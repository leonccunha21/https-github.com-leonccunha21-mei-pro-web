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7932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leo\Documents\https-github.com-leonccunha21-mei-pro-web\data\excel\Dados coletas\"/>
    </mc:Choice>
  </mc:AlternateContent>
  <xr:revisionPtr revIDLastSave="0" documentId="13_ncr:1_{8B726DCF-CB66-4983-A1D1-6A7C8EB98C75}" xr6:coauthVersionLast="47" xr6:coauthVersionMax="47" xr10:uidLastSave="{00000000-0000-0000-0000-000000000000}"/>
  <bookViews>
    <workbookView xWindow="-120" yWindow="-120" windowWidth="20730" windowHeight="11160" firstSheet="2" activeTab="2" xr2:uid="{00000000-000D-0000-FFFF-FFFF00000000}"/>
  </bookViews>
  <sheets>
    <sheet name="Gastos" sheetId="1" state="hidden" r:id="rId1"/>
    <sheet name="Relatorios 2019" sheetId="12" r:id="rId2"/>
    <sheet name="Vendas" sheetId="2" r:id="rId3"/>
    <sheet name="Controlde de entrega" sheetId="8" state="hidden" r:id="rId4"/>
  </sheets>
  <definedNames>
    <definedName name="_FilterDatabase" localSheetId="2" hidden="1">Vendas!$B$1:$G$1</definedName>
    <definedName name="_xlnm._FilterDatabase" localSheetId="3" hidden="1">'Controlde de entrega'!$A$1:$Q$18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F469" i="2" l="1"/>
  <c r="F470" i="2"/>
  <c r="F471" i="2"/>
  <c r="F472" i="2"/>
  <c r="F473" i="2"/>
  <c r="F474" i="2"/>
  <c r="F475" i="2"/>
  <c r="F476" i="2"/>
  <c r="F477" i="2"/>
  <c r="F478" i="2"/>
  <c r="F479" i="2"/>
  <c r="F480" i="2"/>
  <c r="F481" i="2"/>
  <c r="F482" i="2"/>
  <c r="F483" i="2"/>
  <c r="F484" i="2"/>
  <c r="F485" i="2"/>
  <c r="F486" i="2"/>
  <c r="F487" i="2"/>
  <c r="F488" i="2"/>
  <c r="F489" i="2"/>
  <c r="F490" i="2"/>
  <c r="F491" i="2"/>
  <c r="F492" i="2"/>
  <c r="F493" i="2"/>
  <c r="F494" i="2"/>
  <c r="F495" i="2"/>
  <c r="F496" i="2"/>
  <c r="F497" i="2"/>
  <c r="F498" i="2"/>
  <c r="F499" i="2"/>
  <c r="F500" i="2"/>
  <c r="F501" i="2"/>
  <c r="F502" i="2"/>
  <c r="F503" i="2"/>
  <c r="F504" i="2"/>
  <c r="F505" i="2"/>
  <c r="F506" i="2"/>
  <c r="F507" i="2"/>
  <c r="F508" i="2"/>
  <c r="F509" i="2"/>
  <c r="F510" i="2"/>
  <c r="F511" i="2"/>
  <c r="F512" i="2"/>
  <c r="F513" i="2"/>
  <c r="F514" i="2"/>
  <c r="F515" i="2"/>
  <c r="F516" i="2"/>
  <c r="F517" i="2"/>
  <c r="F518" i="2"/>
  <c r="F519" i="2"/>
  <c r="F520" i="2"/>
  <c r="F521" i="2"/>
  <c r="F522" i="2"/>
  <c r="F523" i="2"/>
  <c r="F524" i="2"/>
  <c r="F525" i="2"/>
  <c r="F526" i="2"/>
  <c r="F527" i="2"/>
  <c r="F528" i="2"/>
  <c r="F529" i="2"/>
  <c r="F530" i="2"/>
  <c r="F531" i="2"/>
  <c r="F532" i="2"/>
  <c r="F533" i="2"/>
  <c r="F534" i="2"/>
  <c r="F535" i="2"/>
  <c r="F536" i="2"/>
  <c r="F537" i="2"/>
  <c r="F538" i="2"/>
  <c r="F539" i="2"/>
  <c r="F540" i="2"/>
  <c r="F541" i="2"/>
  <c r="F542" i="2"/>
  <c r="F543" i="2"/>
  <c r="F544" i="2"/>
  <c r="F545" i="2"/>
  <c r="F546" i="2"/>
  <c r="F547" i="2"/>
  <c r="F548" i="2"/>
  <c r="F549" i="2"/>
  <c r="F550" i="2"/>
  <c r="F551" i="2"/>
  <c r="F552" i="2"/>
  <c r="F553" i="2"/>
  <c r="F554" i="2"/>
  <c r="F555" i="2"/>
  <c r="F556" i="2"/>
  <c r="F557" i="2"/>
  <c r="F558" i="2"/>
  <c r="F559" i="2"/>
  <c r="F560" i="2"/>
  <c r="F561" i="2"/>
  <c r="F562" i="2"/>
  <c r="F563" i="2"/>
  <c r="F564" i="2"/>
  <c r="F565" i="2"/>
  <c r="F566" i="2"/>
  <c r="F567" i="2"/>
  <c r="F568" i="2"/>
  <c r="F569" i="2"/>
  <c r="F570" i="2"/>
  <c r="F571" i="2"/>
  <c r="F572" i="2"/>
  <c r="F573" i="2"/>
  <c r="F574" i="2"/>
  <c r="F575" i="2"/>
  <c r="F576" i="2"/>
  <c r="F577" i="2"/>
  <c r="F578" i="2"/>
  <c r="F579" i="2"/>
  <c r="F580" i="2"/>
  <c r="F581" i="2"/>
  <c r="F582" i="2"/>
  <c r="F583" i="2"/>
  <c r="F584" i="2"/>
  <c r="F585" i="2"/>
  <c r="F586" i="2"/>
  <c r="F587" i="2"/>
  <c r="F588" i="2"/>
  <c r="F589" i="2"/>
  <c r="F590" i="2"/>
  <c r="F591" i="2"/>
  <c r="F592" i="2"/>
  <c r="F593" i="2"/>
  <c r="F594" i="2"/>
  <c r="F595" i="2"/>
  <c r="F596" i="2"/>
  <c r="F597" i="2"/>
  <c r="F598" i="2"/>
  <c r="F599" i="2"/>
  <c r="F600" i="2"/>
  <c r="F601" i="2"/>
  <c r="F602" i="2"/>
  <c r="F603" i="2"/>
  <c r="F604" i="2"/>
  <c r="F605" i="2"/>
  <c r="F606" i="2"/>
  <c r="F607" i="2"/>
  <c r="F608" i="2"/>
  <c r="F609" i="2"/>
  <c r="F610" i="2"/>
  <c r="F611" i="2"/>
  <c r="F612" i="2"/>
  <c r="F613" i="2"/>
  <c r="F614" i="2"/>
  <c r="F615" i="2"/>
  <c r="F616" i="2"/>
  <c r="F617" i="2"/>
  <c r="F618" i="2"/>
  <c r="F619" i="2"/>
  <c r="F620" i="2"/>
  <c r="F621" i="2"/>
  <c r="F622" i="2"/>
  <c r="F623" i="2"/>
  <c r="F624" i="2"/>
  <c r="F625" i="2"/>
  <c r="F626" i="2"/>
  <c r="F3" i="2"/>
  <c r="F4" i="2"/>
  <c r="F5" i="2"/>
  <c r="F6" i="2"/>
  <c r="F7" i="2"/>
  <c r="F8" i="2"/>
  <c r="F9" i="2"/>
  <c r="F10" i="2"/>
  <c r="F11" i="2"/>
  <c r="F12" i="2"/>
  <c r="F13" i="2"/>
  <c r="F14" i="2"/>
  <c r="F15" i="2"/>
  <c r="F16" i="2"/>
  <c r="F17" i="2"/>
  <c r="F18" i="2"/>
  <c r="F19" i="2"/>
  <c r="F20" i="2"/>
  <c r="F21" i="2"/>
  <c r="F22" i="2"/>
  <c r="F23" i="2"/>
  <c r="F24" i="2"/>
  <c r="F25" i="2"/>
  <c r="F26" i="2"/>
  <c r="F27" i="2"/>
  <c r="F28" i="2"/>
  <c r="F29" i="2"/>
  <c r="F30" i="2"/>
  <c r="F31" i="2"/>
  <c r="F32" i="2"/>
  <c r="F33" i="2"/>
  <c r="F34" i="2"/>
  <c r="F35" i="2"/>
  <c r="F36" i="2"/>
  <c r="F37" i="2"/>
  <c r="F38" i="2"/>
  <c r="F39" i="2"/>
  <c r="F40" i="2"/>
  <c r="F41" i="2"/>
  <c r="F42" i="2"/>
  <c r="F43" i="2"/>
  <c r="F44" i="2"/>
  <c r="F45" i="2"/>
  <c r="F46" i="2"/>
  <c r="F47" i="2"/>
  <c r="F48" i="2"/>
  <c r="F49" i="2"/>
  <c r="F50" i="2"/>
  <c r="F51" i="2"/>
  <c r="F52" i="2"/>
  <c r="F53" i="2"/>
  <c r="F54" i="2"/>
  <c r="F55" i="2"/>
  <c r="F56" i="2"/>
  <c r="F57" i="2"/>
  <c r="F58" i="2"/>
  <c r="F59" i="2"/>
  <c r="F60" i="2"/>
  <c r="F61" i="2"/>
  <c r="F62" i="2"/>
  <c r="F63" i="2"/>
  <c r="F64" i="2"/>
  <c r="F65" i="2"/>
  <c r="F66" i="2"/>
  <c r="F67" i="2"/>
  <c r="F68" i="2"/>
  <c r="F69" i="2"/>
  <c r="F70" i="2"/>
  <c r="F71" i="2"/>
  <c r="F72" i="2"/>
  <c r="F73" i="2"/>
  <c r="F74" i="2"/>
  <c r="F75" i="2"/>
  <c r="F76" i="2"/>
  <c r="F77" i="2"/>
  <c r="F78" i="2"/>
  <c r="F79" i="2"/>
  <c r="F80" i="2"/>
  <c r="F81" i="2"/>
  <c r="F82" i="2"/>
  <c r="F83" i="2"/>
  <c r="F84" i="2"/>
  <c r="F85" i="2"/>
  <c r="F86" i="2"/>
  <c r="F87" i="2"/>
  <c r="F88" i="2"/>
  <c r="F89" i="2"/>
  <c r="F90" i="2"/>
  <c r="F91" i="2"/>
  <c r="F92" i="2"/>
  <c r="F93" i="2"/>
  <c r="F94" i="2"/>
  <c r="F95" i="2"/>
  <c r="F96" i="2"/>
  <c r="F97" i="2"/>
  <c r="F98" i="2"/>
  <c r="F99" i="2"/>
  <c r="F100" i="2"/>
  <c r="F101" i="2"/>
  <c r="F102" i="2"/>
  <c r="F103" i="2"/>
  <c r="F104" i="2"/>
  <c r="F105" i="2"/>
  <c r="F106" i="2"/>
  <c r="F107" i="2"/>
  <c r="F108" i="2"/>
  <c r="F109" i="2"/>
  <c r="F110" i="2"/>
  <c r="F111" i="2"/>
  <c r="F112" i="2"/>
  <c r="F113" i="2"/>
  <c r="F114" i="2"/>
  <c r="F115" i="2"/>
  <c r="F116" i="2"/>
  <c r="F117" i="2"/>
  <c r="F118" i="2"/>
  <c r="F119" i="2"/>
  <c r="F120" i="2"/>
  <c r="F121" i="2"/>
  <c r="F122" i="2"/>
  <c r="F123" i="2"/>
  <c r="F124" i="2"/>
  <c r="F125" i="2"/>
  <c r="F126" i="2"/>
  <c r="F127" i="2"/>
  <c r="F128" i="2"/>
  <c r="F129" i="2"/>
  <c r="F130" i="2"/>
  <c r="F131" i="2"/>
  <c r="F132" i="2"/>
  <c r="F133" i="2"/>
  <c r="F134" i="2"/>
  <c r="F135" i="2"/>
  <c r="F136" i="2"/>
  <c r="F137" i="2"/>
  <c r="F138" i="2"/>
  <c r="F139" i="2"/>
  <c r="F140" i="2"/>
  <c r="F141" i="2"/>
  <c r="F142" i="2"/>
  <c r="F143" i="2"/>
  <c r="F144" i="2"/>
  <c r="F145" i="2"/>
  <c r="F146" i="2"/>
  <c r="F147" i="2"/>
  <c r="F148" i="2"/>
  <c r="F149" i="2"/>
  <c r="F150" i="2"/>
  <c r="F151" i="2"/>
  <c r="F152" i="2"/>
  <c r="F153" i="2"/>
  <c r="F154" i="2"/>
  <c r="F155" i="2"/>
  <c r="F156" i="2"/>
  <c r="F157" i="2"/>
  <c r="F158" i="2"/>
  <c r="F159" i="2"/>
  <c r="F160" i="2"/>
  <c r="F161" i="2"/>
  <c r="F162" i="2"/>
  <c r="F163" i="2"/>
  <c r="F164" i="2"/>
  <c r="F165" i="2"/>
  <c r="F166" i="2"/>
  <c r="F167" i="2"/>
  <c r="F168" i="2"/>
  <c r="F169" i="2"/>
  <c r="F170" i="2"/>
  <c r="F171" i="2"/>
  <c r="F172" i="2"/>
  <c r="F173" i="2"/>
  <c r="F174" i="2"/>
  <c r="F175" i="2"/>
  <c r="F176" i="2"/>
  <c r="F177" i="2"/>
  <c r="F178" i="2"/>
  <c r="F179" i="2"/>
  <c r="F180" i="2"/>
  <c r="F181" i="2"/>
  <c r="F182" i="2"/>
  <c r="F183" i="2"/>
  <c r="F184" i="2"/>
  <c r="F185" i="2"/>
  <c r="F186" i="2"/>
  <c r="F187" i="2"/>
  <c r="F188" i="2"/>
  <c r="F189" i="2"/>
  <c r="F190" i="2"/>
  <c r="F191" i="2"/>
  <c r="F192" i="2"/>
  <c r="F193" i="2"/>
  <c r="F194" i="2"/>
  <c r="F195" i="2"/>
  <c r="F196" i="2"/>
  <c r="F197" i="2"/>
  <c r="F198" i="2"/>
  <c r="F199" i="2"/>
  <c r="F200" i="2"/>
  <c r="F201" i="2"/>
  <c r="F202" i="2"/>
  <c r="F203" i="2"/>
  <c r="F204" i="2"/>
  <c r="F205" i="2"/>
  <c r="F206" i="2"/>
  <c r="F207" i="2"/>
  <c r="F208" i="2"/>
  <c r="F209" i="2"/>
  <c r="F210" i="2"/>
  <c r="F211" i="2"/>
  <c r="F212" i="2"/>
  <c r="F213" i="2"/>
  <c r="F214" i="2"/>
  <c r="F215" i="2"/>
  <c r="F216" i="2"/>
  <c r="F217" i="2"/>
  <c r="F218" i="2"/>
  <c r="F219" i="2"/>
  <c r="F220" i="2"/>
  <c r="F221" i="2"/>
  <c r="F222" i="2"/>
  <c r="F223" i="2"/>
  <c r="F224" i="2"/>
  <c r="F225" i="2"/>
  <c r="F226" i="2"/>
  <c r="F227" i="2"/>
  <c r="F228" i="2"/>
  <c r="F229" i="2"/>
  <c r="F230" i="2"/>
  <c r="F231" i="2"/>
  <c r="F232" i="2"/>
  <c r="F233" i="2"/>
  <c r="F234" i="2"/>
  <c r="F235" i="2"/>
  <c r="F236" i="2"/>
  <c r="F237" i="2"/>
  <c r="F238" i="2"/>
  <c r="F239" i="2"/>
  <c r="F240" i="2"/>
  <c r="F241" i="2"/>
  <c r="F242" i="2"/>
  <c r="F243" i="2"/>
  <c r="F244" i="2"/>
  <c r="F245" i="2"/>
  <c r="F246" i="2"/>
  <c r="F247" i="2"/>
  <c r="F248" i="2"/>
  <c r="F249" i="2"/>
  <c r="F250" i="2"/>
  <c r="F251" i="2"/>
  <c r="F252" i="2"/>
  <c r="F253" i="2"/>
  <c r="F254" i="2"/>
  <c r="F255" i="2"/>
  <c r="F256" i="2"/>
  <c r="F257" i="2"/>
  <c r="F258" i="2"/>
  <c r="F259" i="2"/>
  <c r="F260" i="2"/>
  <c r="F261" i="2"/>
  <c r="F262" i="2"/>
  <c r="F263" i="2"/>
  <c r="F264" i="2"/>
  <c r="F265" i="2"/>
  <c r="F266" i="2"/>
  <c r="F267" i="2"/>
  <c r="F268" i="2"/>
  <c r="F269" i="2"/>
  <c r="F270" i="2"/>
  <c r="F271" i="2"/>
  <c r="F272" i="2"/>
  <c r="F273" i="2"/>
  <c r="F274" i="2"/>
  <c r="F275" i="2"/>
  <c r="F276" i="2"/>
  <c r="F277" i="2"/>
  <c r="F278" i="2"/>
  <c r="F279" i="2"/>
  <c r="F280" i="2"/>
  <c r="F281" i="2"/>
  <c r="F282" i="2"/>
  <c r="F283" i="2"/>
  <c r="F284" i="2"/>
  <c r="F285" i="2"/>
  <c r="F286" i="2"/>
  <c r="F287" i="2"/>
  <c r="F288" i="2"/>
  <c r="F289" i="2"/>
  <c r="F290" i="2"/>
  <c r="F291" i="2"/>
  <c r="F292" i="2"/>
  <c r="F293" i="2"/>
  <c r="F294" i="2"/>
  <c r="F295" i="2"/>
  <c r="F296" i="2"/>
  <c r="F297" i="2"/>
  <c r="F298" i="2"/>
  <c r="F299" i="2"/>
  <c r="F300" i="2"/>
  <c r="F301" i="2"/>
  <c r="F302" i="2"/>
  <c r="F303" i="2"/>
  <c r="F304" i="2"/>
  <c r="F305" i="2"/>
  <c r="F306" i="2"/>
  <c r="F307" i="2"/>
  <c r="F308" i="2"/>
  <c r="F309" i="2"/>
  <c r="F310" i="2"/>
  <c r="F311" i="2"/>
  <c r="F312" i="2"/>
  <c r="F313" i="2"/>
  <c r="F314" i="2"/>
  <c r="F315" i="2"/>
  <c r="F316" i="2"/>
  <c r="F317" i="2"/>
  <c r="F318" i="2"/>
  <c r="F319" i="2"/>
  <c r="F320" i="2"/>
  <c r="F321" i="2"/>
  <c r="F322" i="2"/>
  <c r="F323" i="2"/>
  <c r="F324" i="2"/>
  <c r="F325" i="2"/>
  <c r="F327" i="2"/>
  <c r="F328" i="2"/>
  <c r="F329" i="2"/>
  <c r="F330" i="2"/>
  <c r="F331" i="2"/>
  <c r="F332" i="2"/>
  <c r="F333" i="2"/>
  <c r="F334" i="2"/>
  <c r="F335" i="2"/>
  <c r="F336" i="2"/>
  <c r="F337" i="2"/>
  <c r="F338" i="2"/>
  <c r="F339" i="2"/>
  <c r="F340" i="2"/>
  <c r="F341" i="2"/>
  <c r="F342" i="2"/>
  <c r="F343" i="2"/>
  <c r="F344" i="2"/>
  <c r="F345" i="2"/>
  <c r="F346" i="2"/>
  <c r="F347" i="2"/>
  <c r="F348" i="2"/>
  <c r="F349" i="2"/>
  <c r="F350" i="2"/>
  <c r="F351" i="2"/>
  <c r="F352" i="2"/>
  <c r="F353" i="2"/>
  <c r="F354" i="2"/>
  <c r="F355" i="2"/>
  <c r="F356" i="2"/>
  <c r="F357" i="2"/>
  <c r="F358" i="2"/>
  <c r="F359" i="2"/>
  <c r="F360" i="2"/>
  <c r="F361" i="2"/>
  <c r="F362" i="2"/>
  <c r="F363" i="2"/>
  <c r="F364" i="2"/>
  <c r="F365" i="2"/>
  <c r="F366" i="2"/>
  <c r="F367" i="2"/>
  <c r="F368" i="2"/>
  <c r="F369" i="2"/>
  <c r="F370" i="2"/>
  <c r="F371" i="2"/>
  <c r="F372" i="2"/>
  <c r="F373" i="2"/>
  <c r="F374" i="2"/>
  <c r="F375" i="2"/>
  <c r="F376" i="2"/>
  <c r="F377" i="2"/>
  <c r="F378" i="2"/>
  <c r="F379" i="2"/>
  <c r="F380" i="2"/>
  <c r="F381" i="2"/>
  <c r="F382" i="2"/>
  <c r="F383" i="2"/>
  <c r="F384" i="2"/>
  <c r="F385" i="2"/>
  <c r="F386" i="2"/>
  <c r="F387" i="2"/>
  <c r="F388" i="2"/>
  <c r="F389" i="2"/>
  <c r="F390" i="2"/>
  <c r="F391" i="2"/>
  <c r="F392" i="2"/>
  <c r="F393" i="2"/>
  <c r="F394" i="2"/>
  <c r="F395" i="2"/>
  <c r="F396" i="2"/>
  <c r="F397" i="2"/>
  <c r="F398" i="2"/>
  <c r="F399" i="2"/>
  <c r="F400" i="2"/>
  <c r="F401" i="2"/>
  <c r="F402" i="2"/>
  <c r="F403" i="2"/>
  <c r="F404" i="2"/>
  <c r="F405" i="2"/>
  <c r="F406" i="2"/>
  <c r="F407" i="2"/>
  <c r="F408" i="2"/>
  <c r="F409" i="2"/>
  <c r="F410" i="2"/>
  <c r="F411" i="2"/>
  <c r="F412" i="2"/>
  <c r="F413" i="2"/>
  <c r="F414" i="2"/>
  <c r="F415" i="2"/>
  <c r="F416" i="2"/>
  <c r="F417" i="2"/>
  <c r="F418" i="2"/>
  <c r="F419" i="2"/>
  <c r="F420" i="2"/>
  <c r="F421" i="2"/>
  <c r="F422" i="2"/>
  <c r="F423" i="2"/>
  <c r="F424" i="2"/>
  <c r="F425" i="2"/>
  <c r="F426" i="2"/>
  <c r="F427" i="2"/>
  <c r="F428" i="2"/>
  <c r="F429" i="2"/>
  <c r="F430" i="2"/>
  <c r="F431" i="2"/>
  <c r="F432" i="2"/>
  <c r="F433" i="2"/>
  <c r="F434" i="2"/>
  <c r="F435" i="2"/>
  <c r="F436" i="2"/>
  <c r="F437" i="2"/>
  <c r="F438" i="2"/>
  <c r="F439" i="2"/>
  <c r="F440" i="2"/>
  <c r="F441" i="2"/>
  <c r="F442" i="2"/>
  <c r="F443" i="2"/>
  <c r="F444" i="2"/>
  <c r="F445" i="2"/>
  <c r="F446" i="2"/>
  <c r="F447" i="2"/>
  <c r="F448" i="2"/>
  <c r="F449" i="2"/>
  <c r="F450" i="2"/>
  <c r="F451" i="2"/>
  <c r="F452" i="2"/>
  <c r="F453" i="2"/>
  <c r="F454" i="2"/>
  <c r="F455" i="2"/>
  <c r="F456" i="2"/>
  <c r="F457" i="2"/>
  <c r="F458" i="2"/>
  <c r="F459" i="2"/>
  <c r="F460" i="2"/>
  <c r="F461" i="2"/>
  <c r="F462" i="2"/>
  <c r="F463" i="2"/>
  <c r="F464" i="2"/>
  <c r="F465" i="2"/>
  <c r="F466" i="2"/>
  <c r="F467" i="2"/>
  <c r="F468" i="2"/>
  <c r="F2" i="2"/>
  <c r="G853" i="12" l="1"/>
  <c r="G854" i="12"/>
  <c r="G855" i="12"/>
  <c r="G856" i="12"/>
  <c r="G857" i="12"/>
  <c r="G858" i="12"/>
  <c r="G859" i="12"/>
  <c r="G860" i="12"/>
  <c r="G861" i="12"/>
  <c r="G862" i="12"/>
  <c r="G863" i="12"/>
  <c r="G864" i="12"/>
  <c r="G865" i="12"/>
  <c r="G866" i="12"/>
  <c r="G867" i="12"/>
  <c r="G868" i="12"/>
  <c r="G869" i="12"/>
  <c r="G870" i="12"/>
  <c r="G871" i="12"/>
  <c r="G872" i="12"/>
  <c r="G873" i="12"/>
  <c r="G874" i="12"/>
  <c r="G875" i="12"/>
  <c r="G876" i="12"/>
  <c r="G877" i="12"/>
  <c r="G878" i="12"/>
  <c r="G879" i="12"/>
  <c r="G880" i="12"/>
  <c r="G881" i="12"/>
  <c r="G882" i="12"/>
  <c r="G883" i="12"/>
  <c r="G884" i="12"/>
  <c r="G885" i="12"/>
  <c r="G886" i="12"/>
  <c r="G887" i="12"/>
  <c r="G888" i="12"/>
  <c r="G889" i="12"/>
  <c r="G890" i="12"/>
  <c r="G891" i="12"/>
  <c r="G892" i="12"/>
  <c r="G893" i="12"/>
  <c r="G894" i="12"/>
  <c r="G895" i="12"/>
  <c r="G896" i="12"/>
  <c r="G897" i="12"/>
  <c r="G898" i="12"/>
  <c r="G899" i="12"/>
  <c r="G900" i="12"/>
  <c r="G901" i="12"/>
  <c r="G902" i="12"/>
  <c r="G903" i="12"/>
  <c r="G904" i="12"/>
  <c r="G905" i="12"/>
  <c r="G906" i="12"/>
  <c r="G907" i="12"/>
  <c r="G908" i="12"/>
  <c r="G909" i="12"/>
  <c r="G910" i="12"/>
  <c r="G911" i="12"/>
  <c r="G912" i="12"/>
  <c r="G913" i="12"/>
  <c r="G914" i="12"/>
  <c r="G915" i="12"/>
  <c r="G916" i="12"/>
  <c r="G917" i="12"/>
  <c r="G918" i="12"/>
  <c r="G919" i="12"/>
  <c r="G920" i="12"/>
  <c r="G921" i="12"/>
  <c r="G922" i="12"/>
  <c r="G923" i="12"/>
  <c r="G924" i="12"/>
  <c r="G925" i="12"/>
  <c r="G926" i="12"/>
  <c r="G927" i="12"/>
  <c r="G928" i="12"/>
  <c r="G929" i="12"/>
  <c r="G930" i="12"/>
  <c r="G931" i="12"/>
  <c r="G932" i="12"/>
  <c r="G933" i="12"/>
  <c r="G934" i="12"/>
  <c r="G852" i="12" l="1"/>
  <c r="G851" i="12"/>
  <c r="G850" i="12"/>
  <c r="G849" i="12"/>
  <c r="G848" i="12"/>
  <c r="G847" i="12"/>
  <c r="G846" i="12"/>
  <c r="G845" i="12"/>
  <c r="G844" i="12"/>
  <c r="G843" i="12"/>
  <c r="G842" i="12"/>
  <c r="G841" i="12"/>
  <c r="G840" i="12"/>
  <c r="G839" i="12"/>
  <c r="G838" i="12"/>
  <c r="G837" i="12"/>
  <c r="G836" i="12"/>
  <c r="G835" i="12"/>
  <c r="G834" i="12"/>
  <c r="G833" i="12"/>
  <c r="G832" i="12"/>
  <c r="G831" i="12"/>
  <c r="G830" i="12"/>
  <c r="G829" i="12"/>
  <c r="G828" i="12"/>
  <c r="G827" i="12"/>
  <c r="G826" i="12"/>
  <c r="G825" i="12"/>
  <c r="G824" i="12"/>
  <c r="G823" i="12"/>
  <c r="G822" i="12"/>
  <c r="G821" i="12"/>
  <c r="G820" i="12"/>
  <c r="G819" i="12"/>
  <c r="G818" i="12"/>
  <c r="G817" i="12"/>
  <c r="G816" i="12"/>
  <c r="G815" i="12"/>
  <c r="G814" i="12"/>
  <c r="G813" i="12"/>
  <c r="G812" i="12"/>
  <c r="G811" i="12"/>
  <c r="G810" i="12"/>
  <c r="G809" i="12"/>
  <c r="G808" i="12"/>
  <c r="G807" i="12"/>
  <c r="G806" i="12"/>
  <c r="G805" i="12"/>
  <c r="G804" i="12"/>
  <c r="G803" i="12"/>
  <c r="G802" i="12"/>
  <c r="G801" i="12"/>
  <c r="G800" i="12"/>
  <c r="G799" i="12"/>
  <c r="G798" i="12"/>
  <c r="G797" i="12"/>
  <c r="G796" i="12"/>
  <c r="G795" i="12"/>
  <c r="G794" i="12"/>
  <c r="G793" i="12"/>
  <c r="G792" i="12"/>
  <c r="G791" i="12"/>
  <c r="G790" i="12"/>
  <c r="G789" i="12"/>
  <c r="G788" i="12"/>
  <c r="G787" i="12"/>
  <c r="G786" i="12"/>
  <c r="G785" i="12"/>
  <c r="G784" i="12"/>
  <c r="G783" i="12"/>
  <c r="G782" i="12"/>
  <c r="G781" i="12"/>
  <c r="G780" i="12"/>
  <c r="G779" i="12"/>
  <c r="G778" i="12"/>
  <c r="G777" i="12"/>
  <c r="G776" i="12"/>
  <c r="G775" i="12"/>
  <c r="G774" i="12"/>
  <c r="G773" i="12"/>
  <c r="G772" i="12"/>
  <c r="G771" i="12"/>
  <c r="G770" i="12"/>
  <c r="G769" i="12"/>
  <c r="G768" i="12"/>
  <c r="G767" i="12"/>
  <c r="G766" i="12"/>
  <c r="G765" i="12"/>
  <c r="G764" i="12"/>
  <c r="G763" i="12"/>
  <c r="G762" i="12"/>
  <c r="G761" i="12"/>
  <c r="G760" i="12"/>
  <c r="G759" i="12"/>
  <c r="G758" i="12"/>
  <c r="G757" i="12"/>
  <c r="G756" i="12"/>
  <c r="G755" i="12"/>
  <c r="G754" i="12"/>
  <c r="G753" i="12"/>
  <c r="G752" i="12"/>
  <c r="G751" i="12"/>
  <c r="G750" i="12"/>
  <c r="G749" i="12"/>
  <c r="G748" i="12"/>
  <c r="G747" i="12"/>
  <c r="G746" i="12"/>
  <c r="G745" i="12"/>
  <c r="G744" i="12"/>
  <c r="G743" i="12"/>
  <c r="G742" i="12"/>
  <c r="G741" i="12"/>
  <c r="G740" i="12"/>
  <c r="G739" i="12"/>
  <c r="G738" i="12"/>
  <c r="G737" i="12"/>
  <c r="G736" i="12"/>
  <c r="G735" i="12"/>
  <c r="G734" i="12"/>
  <c r="G733" i="12"/>
  <c r="G732" i="12"/>
  <c r="G731" i="12"/>
  <c r="G730" i="12"/>
  <c r="G729" i="12"/>
  <c r="G728" i="12"/>
  <c r="G727" i="12"/>
  <c r="G726" i="12"/>
  <c r="G725" i="12"/>
  <c r="G724" i="12"/>
  <c r="G723" i="12"/>
  <c r="G722" i="12"/>
  <c r="G721" i="12"/>
  <c r="G720" i="12"/>
  <c r="G719" i="12"/>
  <c r="G718" i="12"/>
  <c r="G717" i="12"/>
  <c r="G716" i="12"/>
  <c r="G715" i="12"/>
  <c r="G714" i="12"/>
  <c r="G713" i="12"/>
  <c r="G712" i="12"/>
  <c r="G711" i="12"/>
  <c r="G710" i="12"/>
  <c r="G709" i="12"/>
  <c r="G708" i="12"/>
  <c r="G707" i="12"/>
  <c r="G706" i="12"/>
  <c r="G705" i="12"/>
  <c r="G704" i="12"/>
  <c r="G703" i="12"/>
  <c r="G702" i="12"/>
  <c r="G701" i="12"/>
  <c r="G700" i="12"/>
  <c r="G699" i="12"/>
  <c r="G698" i="12"/>
  <c r="G697" i="12"/>
  <c r="G696" i="12"/>
  <c r="G695" i="12"/>
  <c r="G694" i="12"/>
  <c r="G693" i="12"/>
  <c r="G692" i="12"/>
  <c r="G691" i="12"/>
  <c r="G690" i="12"/>
  <c r="G689" i="12"/>
  <c r="G688" i="12"/>
  <c r="G687" i="12"/>
  <c r="G686" i="12"/>
  <c r="G685" i="12"/>
  <c r="G684" i="12"/>
  <c r="K683" i="12"/>
  <c r="J683" i="12"/>
  <c r="G680" i="12"/>
  <c r="G679" i="12"/>
  <c r="G678" i="12"/>
  <c r="G677" i="12"/>
  <c r="G676" i="12"/>
  <c r="G675" i="12"/>
  <c r="G674" i="12"/>
  <c r="G673" i="12"/>
  <c r="G672" i="12"/>
  <c r="G671" i="12"/>
  <c r="G670" i="12"/>
  <c r="G669" i="12"/>
  <c r="G668" i="12"/>
  <c r="G667" i="12"/>
  <c r="G666" i="12"/>
  <c r="G665" i="12"/>
  <c r="G664" i="12"/>
  <c r="G663" i="12"/>
  <c r="G662" i="12"/>
  <c r="G661" i="12"/>
  <c r="G660" i="12"/>
  <c r="G659" i="12"/>
  <c r="G658" i="12"/>
  <c r="G657" i="12"/>
  <c r="G656" i="12"/>
  <c r="G655" i="12"/>
  <c r="G654" i="12"/>
  <c r="G653" i="12"/>
  <c r="G652" i="12"/>
  <c r="G651" i="12"/>
  <c r="G650" i="12"/>
  <c r="G649" i="12"/>
  <c r="G648" i="12"/>
  <c r="G647" i="12"/>
  <c r="G646" i="12"/>
  <c r="G645" i="12"/>
  <c r="G644" i="12"/>
  <c r="G643" i="12"/>
  <c r="G642" i="12"/>
  <c r="G641" i="12"/>
  <c r="G640" i="12"/>
  <c r="G639" i="12"/>
  <c r="G638" i="12"/>
  <c r="G637" i="12"/>
  <c r="G636" i="12"/>
  <c r="G635" i="12"/>
  <c r="G634" i="12"/>
  <c r="G633" i="12"/>
  <c r="G632" i="12"/>
  <c r="G631" i="12"/>
  <c r="G630" i="12"/>
  <c r="G629" i="12"/>
  <c r="G628" i="12"/>
  <c r="G627" i="12"/>
  <c r="G626" i="12"/>
  <c r="G625" i="12"/>
  <c r="G624" i="12"/>
  <c r="G623" i="12"/>
  <c r="G622" i="12"/>
  <c r="G621" i="12"/>
  <c r="G620" i="12"/>
  <c r="G619" i="12"/>
  <c r="G618" i="12"/>
  <c r="G617" i="12"/>
  <c r="G616" i="12"/>
  <c r="G615" i="12"/>
  <c r="G614" i="12"/>
  <c r="G613" i="12"/>
  <c r="G612" i="12"/>
  <c r="G611" i="12"/>
  <c r="G610" i="12"/>
  <c r="G609" i="12"/>
  <c r="G608" i="12"/>
  <c r="G607" i="12"/>
  <c r="G606" i="12"/>
  <c r="G605" i="12"/>
  <c r="G604" i="12"/>
  <c r="G603" i="12"/>
  <c r="G602" i="12"/>
  <c r="G601" i="12"/>
  <c r="G600" i="12"/>
  <c r="G599" i="12"/>
  <c r="G598" i="12"/>
  <c r="G597" i="12"/>
  <c r="G596" i="12"/>
  <c r="G595" i="12"/>
  <c r="G594" i="12"/>
  <c r="G593" i="12"/>
  <c r="G592" i="12"/>
  <c r="G591" i="12"/>
  <c r="G590" i="12"/>
  <c r="G589" i="12"/>
  <c r="G588" i="12"/>
  <c r="G587" i="12"/>
  <c r="G586" i="12"/>
  <c r="G585" i="12"/>
  <c r="G584" i="12"/>
  <c r="G583" i="12"/>
  <c r="G582" i="12"/>
  <c r="G581" i="12"/>
  <c r="F580" i="12"/>
  <c r="G580" i="12" s="1"/>
  <c r="F579" i="12"/>
  <c r="G579" i="12" s="1"/>
  <c r="F578" i="12"/>
  <c r="G578" i="12" s="1"/>
  <c r="G577" i="12"/>
  <c r="G576" i="12"/>
  <c r="G575" i="12"/>
  <c r="G574" i="12"/>
  <c r="G573" i="12"/>
  <c r="F572" i="12"/>
  <c r="G571" i="12"/>
  <c r="F570" i="12"/>
  <c r="G570" i="12" s="1"/>
  <c r="G569" i="12"/>
  <c r="K568" i="12"/>
  <c r="J568" i="12"/>
  <c r="H568" i="12"/>
  <c r="E568" i="12"/>
  <c r="G565" i="12"/>
  <c r="G564" i="12"/>
  <c r="G563" i="12"/>
  <c r="G562" i="12"/>
  <c r="G561" i="12"/>
  <c r="G560" i="12"/>
  <c r="G559" i="12"/>
  <c r="G558" i="12"/>
  <c r="G557" i="12"/>
  <c r="G556" i="12"/>
  <c r="G555" i="12"/>
  <c r="G554" i="12"/>
  <c r="G553" i="12"/>
  <c r="G552" i="12"/>
  <c r="G551" i="12"/>
  <c r="G550" i="12"/>
  <c r="G549" i="12"/>
  <c r="G548" i="12"/>
  <c r="G547" i="12"/>
  <c r="G546" i="12"/>
  <c r="G545" i="12"/>
  <c r="G544" i="12"/>
  <c r="G543" i="12"/>
  <c r="G542" i="12"/>
  <c r="G541" i="12"/>
  <c r="G540" i="12"/>
  <c r="G539" i="12"/>
  <c r="G538" i="12"/>
  <c r="G537" i="12"/>
  <c r="G536" i="12"/>
  <c r="G535" i="12"/>
  <c r="G534" i="12"/>
  <c r="G533" i="12"/>
  <c r="G532" i="12"/>
  <c r="G531" i="12"/>
  <c r="G529" i="12"/>
  <c r="G528" i="12"/>
  <c r="G527" i="12"/>
  <c r="G526" i="12"/>
  <c r="G525" i="12"/>
  <c r="G524" i="12"/>
  <c r="G523" i="12"/>
  <c r="G522" i="12"/>
  <c r="G520" i="12"/>
  <c r="J519" i="12"/>
  <c r="G518" i="12"/>
  <c r="J517" i="12"/>
  <c r="G517" i="12"/>
  <c r="J516" i="12"/>
  <c r="G516" i="12"/>
  <c r="J515" i="12"/>
  <c r="G515" i="12"/>
  <c r="J514" i="12"/>
  <c r="G514" i="12"/>
  <c r="J513" i="12"/>
  <c r="G513" i="12"/>
  <c r="J512" i="12"/>
  <c r="G512" i="12"/>
  <c r="J511" i="12"/>
  <c r="G511" i="12"/>
  <c r="J510" i="12"/>
  <c r="G510" i="12"/>
  <c r="J509" i="12"/>
  <c r="G509" i="12"/>
  <c r="J508" i="12"/>
  <c r="G508" i="12"/>
  <c r="J507" i="12"/>
  <c r="G507" i="12"/>
  <c r="J506" i="12"/>
  <c r="G506" i="12"/>
  <c r="J505" i="12"/>
  <c r="G505" i="12"/>
  <c r="J504" i="12"/>
  <c r="G504" i="12"/>
  <c r="J503" i="12"/>
  <c r="G503" i="12"/>
  <c r="J502" i="12"/>
  <c r="G502" i="12"/>
  <c r="J501" i="12"/>
  <c r="G501" i="12"/>
  <c r="J500" i="12"/>
  <c r="G500" i="12"/>
  <c r="J499" i="12"/>
  <c r="G499" i="12"/>
  <c r="J498" i="12"/>
  <c r="G498" i="12"/>
  <c r="J497" i="12"/>
  <c r="J496" i="12"/>
  <c r="G496" i="12"/>
  <c r="J495" i="12"/>
  <c r="G495" i="12"/>
  <c r="J494" i="12"/>
  <c r="G494" i="12"/>
  <c r="J493" i="12"/>
  <c r="G493" i="12"/>
  <c r="J492" i="12"/>
  <c r="G492" i="12"/>
  <c r="J491" i="12"/>
  <c r="G491" i="12"/>
  <c r="J490" i="12"/>
  <c r="G490" i="12"/>
  <c r="J489" i="12"/>
  <c r="G489" i="12"/>
  <c r="J488" i="12"/>
  <c r="G488" i="12"/>
  <c r="J487" i="12"/>
  <c r="G487" i="12"/>
  <c r="J486" i="12"/>
  <c r="G486" i="12"/>
  <c r="J485" i="12"/>
  <c r="G485" i="12"/>
  <c r="J484" i="12"/>
  <c r="G484" i="12"/>
  <c r="J483" i="12"/>
  <c r="G483" i="12"/>
  <c r="J482" i="12"/>
  <c r="G482" i="12"/>
  <c r="J481" i="12"/>
  <c r="J480" i="12"/>
  <c r="G480" i="12"/>
  <c r="J479" i="12"/>
  <c r="G479" i="12"/>
  <c r="J478" i="12"/>
  <c r="G478" i="12"/>
  <c r="J477" i="12"/>
  <c r="G477" i="12"/>
  <c r="H476" i="12"/>
  <c r="F476" i="12"/>
  <c r="E476" i="12"/>
  <c r="J473" i="12"/>
  <c r="G473" i="12"/>
  <c r="J472" i="12"/>
  <c r="G472" i="12"/>
  <c r="J471" i="12"/>
  <c r="G471" i="12"/>
  <c r="J470" i="12"/>
  <c r="G470" i="12"/>
  <c r="J469" i="12"/>
  <c r="G469" i="12"/>
  <c r="J468" i="12"/>
  <c r="G468" i="12"/>
  <c r="J467" i="12"/>
  <c r="G467" i="12"/>
  <c r="J466" i="12"/>
  <c r="G466" i="12"/>
  <c r="J465" i="12"/>
  <c r="G465" i="12"/>
  <c r="J464" i="12"/>
  <c r="G464" i="12"/>
  <c r="J463" i="12"/>
  <c r="G463" i="12"/>
  <c r="J462" i="12"/>
  <c r="G462" i="12"/>
  <c r="J461" i="12"/>
  <c r="G461" i="12"/>
  <c r="J460" i="12"/>
  <c r="G460" i="12"/>
  <c r="J459" i="12"/>
  <c r="G459" i="12"/>
  <c r="J458" i="12"/>
  <c r="G458" i="12"/>
  <c r="J457" i="12"/>
  <c r="G457" i="12"/>
  <c r="J456" i="12"/>
  <c r="G456" i="12"/>
  <c r="J455" i="12"/>
  <c r="G455" i="12"/>
  <c r="J454" i="12"/>
  <c r="G454" i="12"/>
  <c r="J453" i="12"/>
  <c r="G453" i="12"/>
  <c r="J452" i="12"/>
  <c r="G452" i="12"/>
  <c r="J451" i="12"/>
  <c r="G451" i="12"/>
  <c r="J450" i="12"/>
  <c r="G450" i="12"/>
  <c r="J449" i="12"/>
  <c r="G449" i="12"/>
  <c r="J448" i="12"/>
  <c r="G448" i="12"/>
  <c r="J447" i="12"/>
  <c r="G447" i="12"/>
  <c r="J446" i="12"/>
  <c r="G446" i="12"/>
  <c r="J445" i="12"/>
  <c r="G445" i="12"/>
  <c r="J444" i="12"/>
  <c r="G444" i="12"/>
  <c r="J443" i="12"/>
  <c r="G443" i="12"/>
  <c r="J442" i="12"/>
  <c r="G442" i="12"/>
  <c r="J441" i="12"/>
  <c r="G441" i="12"/>
  <c r="J440" i="12"/>
  <c r="G440" i="12"/>
  <c r="J439" i="12"/>
  <c r="G439" i="12"/>
  <c r="J438" i="12"/>
  <c r="G438" i="12"/>
  <c r="J437" i="12"/>
  <c r="G437" i="12"/>
  <c r="J436" i="12"/>
  <c r="G436" i="12"/>
  <c r="J435" i="12"/>
  <c r="G435" i="12"/>
  <c r="J434" i="12"/>
  <c r="G434" i="12"/>
  <c r="J433" i="12"/>
  <c r="G433" i="12"/>
  <c r="J432" i="12"/>
  <c r="G432" i="12"/>
  <c r="J431" i="12"/>
  <c r="G431" i="12"/>
  <c r="J430" i="12"/>
  <c r="G430" i="12"/>
  <c r="J429" i="12"/>
  <c r="G429" i="12"/>
  <c r="J428" i="12"/>
  <c r="G428" i="12"/>
  <c r="J427" i="12"/>
  <c r="G427" i="12"/>
  <c r="J426" i="12"/>
  <c r="G426" i="12"/>
  <c r="J425" i="12"/>
  <c r="G425" i="12"/>
  <c r="J424" i="12"/>
  <c r="G424" i="12"/>
  <c r="J423" i="12"/>
  <c r="G423" i="12"/>
  <c r="J422" i="12"/>
  <c r="G422" i="12"/>
  <c r="J421" i="12"/>
  <c r="G421" i="12"/>
  <c r="J420" i="12"/>
  <c r="G420" i="12"/>
  <c r="J419" i="12"/>
  <c r="G419" i="12"/>
  <c r="J418" i="12"/>
  <c r="G418" i="12"/>
  <c r="J417" i="12"/>
  <c r="G417" i="12"/>
  <c r="J416" i="12"/>
  <c r="G416" i="12"/>
  <c r="J415" i="12"/>
  <c r="G415" i="12"/>
  <c r="J414" i="12"/>
  <c r="G414" i="12"/>
  <c r="J413" i="12"/>
  <c r="G413" i="12"/>
  <c r="J412" i="12"/>
  <c r="G412" i="12"/>
  <c r="J411" i="12"/>
  <c r="G411" i="12"/>
  <c r="J410" i="12"/>
  <c r="G410" i="12"/>
  <c r="J409" i="12"/>
  <c r="G409" i="12"/>
  <c r="J408" i="12"/>
  <c r="G408" i="12"/>
  <c r="J407" i="12"/>
  <c r="G407" i="12"/>
  <c r="J406" i="12"/>
  <c r="G406" i="12"/>
  <c r="J405" i="12"/>
  <c r="G405" i="12"/>
  <c r="J404" i="12"/>
  <c r="G404" i="12"/>
  <c r="J403" i="12"/>
  <c r="G403" i="12"/>
  <c r="J402" i="12"/>
  <c r="G402" i="12"/>
  <c r="J401" i="12"/>
  <c r="G401" i="12"/>
  <c r="J400" i="12"/>
  <c r="G400" i="12"/>
  <c r="J399" i="12"/>
  <c r="G399" i="12"/>
  <c r="J398" i="12"/>
  <c r="G398" i="12"/>
  <c r="J397" i="12"/>
  <c r="G397" i="12"/>
  <c r="J396" i="12"/>
  <c r="G396" i="12"/>
  <c r="J395" i="12"/>
  <c r="G395" i="12"/>
  <c r="J394" i="12"/>
  <c r="G394" i="12"/>
  <c r="G393" i="12"/>
  <c r="J392" i="12"/>
  <c r="G392" i="12"/>
  <c r="J391" i="12"/>
  <c r="G391" i="12"/>
  <c r="J390" i="12"/>
  <c r="G390" i="12"/>
  <c r="J389" i="12"/>
  <c r="G389" i="12"/>
  <c r="J388" i="12"/>
  <c r="G388" i="12"/>
  <c r="J387" i="12"/>
  <c r="G387" i="12"/>
  <c r="J386" i="12"/>
  <c r="G386" i="12"/>
  <c r="J385" i="12"/>
  <c r="G385" i="12"/>
  <c r="J384" i="12"/>
  <c r="G384" i="12"/>
  <c r="J383" i="12"/>
  <c r="G383" i="12"/>
  <c r="J382" i="12"/>
  <c r="G382" i="12"/>
  <c r="J381" i="12"/>
  <c r="G381" i="12"/>
  <c r="J380" i="12"/>
  <c r="G380" i="12"/>
  <c r="J379" i="12"/>
  <c r="G379" i="12"/>
  <c r="J378" i="12"/>
  <c r="G378" i="12"/>
  <c r="J377" i="12"/>
  <c r="G377" i="12"/>
  <c r="J376" i="12"/>
  <c r="G376" i="12"/>
  <c r="J375" i="12"/>
  <c r="G375" i="12"/>
  <c r="J374" i="12"/>
  <c r="G374" i="12"/>
  <c r="J373" i="12"/>
  <c r="G373" i="12"/>
  <c r="J372" i="12"/>
  <c r="G372" i="12"/>
  <c r="J371" i="12"/>
  <c r="G371" i="12"/>
  <c r="J370" i="12"/>
  <c r="G370" i="12"/>
  <c r="J369" i="12"/>
  <c r="G369" i="12"/>
  <c r="J368" i="12"/>
  <c r="G368" i="12"/>
  <c r="J367" i="12"/>
  <c r="G367" i="12"/>
  <c r="J366" i="12"/>
  <c r="G366" i="12"/>
  <c r="J365" i="12"/>
  <c r="G365" i="12"/>
  <c r="J364" i="12"/>
  <c r="G364" i="12"/>
  <c r="J363" i="12"/>
  <c r="G363" i="12"/>
  <c r="J362" i="12"/>
  <c r="G362" i="12"/>
  <c r="J361" i="12"/>
  <c r="G361" i="12"/>
  <c r="J360" i="12"/>
  <c r="G360" i="12"/>
  <c r="J359" i="12"/>
  <c r="G359" i="12"/>
  <c r="J358" i="12"/>
  <c r="G358" i="12"/>
  <c r="J357" i="12"/>
  <c r="G357" i="12"/>
  <c r="J356" i="12"/>
  <c r="G356" i="12"/>
  <c r="J355" i="12"/>
  <c r="G355" i="12"/>
  <c r="J354" i="12"/>
  <c r="G354" i="12"/>
  <c r="J353" i="12"/>
  <c r="G353" i="12"/>
  <c r="J352" i="12"/>
  <c r="G352" i="12"/>
  <c r="J351" i="12"/>
  <c r="G351" i="12"/>
  <c r="J350" i="12"/>
  <c r="G350" i="12"/>
  <c r="J349" i="12"/>
  <c r="G349" i="12"/>
  <c r="J348" i="12"/>
  <c r="G348" i="12"/>
  <c r="J347" i="12"/>
  <c r="G347" i="12"/>
  <c r="J346" i="12"/>
  <c r="G346" i="12"/>
  <c r="J345" i="12"/>
  <c r="G345" i="12"/>
  <c r="J344" i="12"/>
  <c r="G344" i="12"/>
  <c r="J343" i="12"/>
  <c r="G343" i="12"/>
  <c r="J342" i="12"/>
  <c r="G342" i="12"/>
  <c r="J341" i="12"/>
  <c r="G341" i="12"/>
  <c r="J340" i="12"/>
  <c r="G340" i="12"/>
  <c r="J339" i="12"/>
  <c r="G339" i="12"/>
  <c r="J338" i="12"/>
  <c r="G338" i="12"/>
  <c r="J337" i="12"/>
  <c r="G337" i="12"/>
  <c r="J336" i="12"/>
  <c r="G336" i="12"/>
  <c r="J335" i="12"/>
  <c r="G335" i="12"/>
  <c r="J334" i="12"/>
  <c r="G334" i="12"/>
  <c r="J333" i="12"/>
  <c r="G333" i="12"/>
  <c r="J332" i="12"/>
  <c r="G332" i="12"/>
  <c r="F331" i="12"/>
  <c r="J331" i="12" s="1"/>
  <c r="J330" i="12"/>
  <c r="G330" i="12"/>
  <c r="J329" i="12"/>
  <c r="G329" i="12"/>
  <c r="J328" i="12"/>
  <c r="G328" i="12"/>
  <c r="J327" i="12"/>
  <c r="G327" i="12"/>
  <c r="J326" i="12"/>
  <c r="G326" i="12"/>
  <c r="J325" i="12"/>
  <c r="G325" i="12"/>
  <c r="J324" i="12"/>
  <c r="G324" i="12"/>
  <c r="H323" i="12"/>
  <c r="E323" i="12"/>
  <c r="G320" i="12"/>
  <c r="G319" i="12"/>
  <c r="G318" i="12"/>
  <c r="J317" i="12"/>
  <c r="G317" i="12"/>
  <c r="J316" i="12"/>
  <c r="G316" i="12"/>
  <c r="J315" i="12"/>
  <c r="G315" i="12"/>
  <c r="J314" i="12"/>
  <c r="G314" i="12"/>
  <c r="J313" i="12"/>
  <c r="G313" i="12"/>
  <c r="J312" i="12"/>
  <c r="G312" i="12"/>
  <c r="J311" i="12"/>
  <c r="G311" i="12"/>
  <c r="J310" i="12"/>
  <c r="G310" i="12"/>
  <c r="J309" i="12"/>
  <c r="G309" i="12"/>
  <c r="J308" i="12"/>
  <c r="G308" i="12"/>
  <c r="J307" i="12"/>
  <c r="G307" i="12"/>
  <c r="J306" i="12"/>
  <c r="G306" i="12"/>
  <c r="J305" i="12"/>
  <c r="G305" i="12"/>
  <c r="J304" i="12"/>
  <c r="G304" i="12"/>
  <c r="J303" i="12"/>
  <c r="G303" i="12"/>
  <c r="J302" i="12"/>
  <c r="G302" i="12"/>
  <c r="J301" i="12"/>
  <c r="G301" i="12"/>
  <c r="J300" i="12"/>
  <c r="G300" i="12"/>
  <c r="J299" i="12"/>
  <c r="G299" i="12"/>
  <c r="J298" i="12"/>
  <c r="G298" i="12"/>
  <c r="J297" i="12"/>
  <c r="G297" i="12"/>
  <c r="J296" i="12"/>
  <c r="G296" i="12"/>
  <c r="J295" i="12"/>
  <c r="G295" i="12"/>
  <c r="J294" i="12"/>
  <c r="G294" i="12"/>
  <c r="G293" i="12"/>
  <c r="J292" i="12"/>
  <c r="G292" i="12"/>
  <c r="J291" i="12"/>
  <c r="G291" i="12"/>
  <c r="J290" i="12"/>
  <c r="G290" i="12"/>
  <c r="J289" i="12"/>
  <c r="G289" i="12"/>
  <c r="J288" i="12"/>
  <c r="G288" i="12"/>
  <c r="J287" i="12"/>
  <c r="G287" i="12"/>
  <c r="J286" i="12"/>
  <c r="G286" i="12"/>
  <c r="J285" i="12"/>
  <c r="G285" i="12"/>
  <c r="J284" i="12"/>
  <c r="G284" i="12"/>
  <c r="J283" i="12"/>
  <c r="G283" i="12"/>
  <c r="J282" i="12"/>
  <c r="G282" i="12"/>
  <c r="J281" i="12"/>
  <c r="G281" i="12"/>
  <c r="J280" i="12"/>
  <c r="G280" i="12"/>
  <c r="J279" i="12"/>
  <c r="G279" i="12"/>
  <c r="J278" i="12"/>
  <c r="G278" i="12"/>
  <c r="J277" i="12"/>
  <c r="G277" i="12"/>
  <c r="J276" i="12"/>
  <c r="G276" i="12"/>
  <c r="J275" i="12"/>
  <c r="G275" i="12"/>
  <c r="J274" i="12"/>
  <c r="G274" i="12"/>
  <c r="J273" i="12"/>
  <c r="G273" i="12"/>
  <c r="J272" i="12"/>
  <c r="G272" i="12"/>
  <c r="J271" i="12"/>
  <c r="G271" i="12"/>
  <c r="J270" i="12"/>
  <c r="G270" i="12"/>
  <c r="J269" i="12"/>
  <c r="G269" i="12"/>
  <c r="J268" i="12"/>
  <c r="G268" i="12"/>
  <c r="J267" i="12"/>
  <c r="G267" i="12"/>
  <c r="J266" i="12"/>
  <c r="G266" i="12"/>
  <c r="J265" i="12"/>
  <c r="G265" i="12"/>
  <c r="J264" i="12"/>
  <c r="G264" i="12"/>
  <c r="J263" i="12"/>
  <c r="G263" i="12"/>
  <c r="J262" i="12"/>
  <c r="G262" i="12"/>
  <c r="J261" i="12"/>
  <c r="G261" i="12"/>
  <c r="J260" i="12"/>
  <c r="G260" i="12"/>
  <c r="J259" i="12"/>
  <c r="G259" i="12"/>
  <c r="J258" i="12"/>
  <c r="G258" i="12"/>
  <c r="J257" i="12"/>
  <c r="G257" i="12"/>
  <c r="J256" i="12"/>
  <c r="G256" i="12"/>
  <c r="J255" i="12"/>
  <c r="G255" i="12"/>
  <c r="J254" i="12"/>
  <c r="G254" i="12"/>
  <c r="J253" i="12"/>
  <c r="G253" i="12"/>
  <c r="J252" i="12"/>
  <c r="G252" i="12"/>
  <c r="J251" i="12"/>
  <c r="G251" i="12"/>
  <c r="J250" i="12"/>
  <c r="G250" i="12"/>
  <c r="J249" i="12"/>
  <c r="G249" i="12"/>
  <c r="J248" i="12"/>
  <c r="G248" i="12"/>
  <c r="J247" i="12"/>
  <c r="G247" i="12"/>
  <c r="J246" i="12"/>
  <c r="G246" i="12"/>
  <c r="J245" i="12"/>
  <c r="G245" i="12"/>
  <c r="J244" i="12"/>
  <c r="G244" i="12"/>
  <c r="J243" i="12"/>
  <c r="G243" i="12"/>
  <c r="J242" i="12"/>
  <c r="G242" i="12"/>
  <c r="J241" i="12"/>
  <c r="G241" i="12"/>
  <c r="J240" i="12"/>
  <c r="G240" i="12"/>
  <c r="J239" i="12"/>
  <c r="G239" i="12"/>
  <c r="J238" i="12"/>
  <c r="G238" i="12"/>
  <c r="J237" i="12"/>
  <c r="G237" i="12"/>
  <c r="J236" i="12"/>
  <c r="G236" i="12"/>
  <c r="J235" i="12"/>
  <c r="G235" i="12"/>
  <c r="J234" i="12"/>
  <c r="G234" i="12"/>
  <c r="J233" i="12"/>
  <c r="G233" i="12"/>
  <c r="J232" i="12"/>
  <c r="G232" i="12"/>
  <c r="J231" i="12"/>
  <c r="G231" i="12"/>
  <c r="J230" i="12"/>
  <c r="G230" i="12"/>
  <c r="J229" i="12"/>
  <c r="G229" i="12"/>
  <c r="J228" i="12"/>
  <c r="G228" i="12"/>
  <c r="J227" i="12"/>
  <c r="G227" i="12"/>
  <c r="J226" i="12"/>
  <c r="G226" i="12"/>
  <c r="J225" i="12"/>
  <c r="G225" i="12"/>
  <c r="J224" i="12"/>
  <c r="G224" i="12"/>
  <c r="J223" i="12"/>
  <c r="G223" i="12"/>
  <c r="J222" i="12"/>
  <c r="G222" i="12"/>
  <c r="J221" i="12"/>
  <c r="G221" i="12"/>
  <c r="J220" i="12"/>
  <c r="G220" i="12"/>
  <c r="J219" i="12"/>
  <c r="G219" i="12"/>
  <c r="J218" i="12"/>
  <c r="G218" i="12"/>
  <c r="J217" i="12"/>
  <c r="G217" i="12"/>
  <c r="J216" i="12"/>
  <c r="G216" i="12"/>
  <c r="J215" i="12"/>
  <c r="G215" i="12"/>
  <c r="J214" i="12"/>
  <c r="G214" i="12"/>
  <c r="J213" i="12"/>
  <c r="G213" i="12"/>
  <c r="J212" i="12"/>
  <c r="G212" i="12"/>
  <c r="J211" i="12"/>
  <c r="G211" i="12"/>
  <c r="J210" i="12"/>
  <c r="G210" i="12"/>
  <c r="J209" i="12"/>
  <c r="G209" i="12"/>
  <c r="J208" i="12"/>
  <c r="G208" i="12"/>
  <c r="J207" i="12"/>
  <c r="G207" i="12"/>
  <c r="J206" i="12"/>
  <c r="G206" i="12"/>
  <c r="J205" i="12"/>
  <c r="G205" i="12"/>
  <c r="J204" i="12"/>
  <c r="G204" i="12"/>
  <c r="J203" i="12"/>
  <c r="G203" i="12"/>
  <c r="J202" i="12"/>
  <c r="J201" i="12"/>
  <c r="G201" i="12"/>
  <c r="J200" i="12"/>
  <c r="G200" i="12"/>
  <c r="J199" i="12"/>
  <c r="G199" i="12"/>
  <c r="J198" i="12"/>
  <c r="G198" i="12"/>
  <c r="J197" i="12"/>
  <c r="G197" i="12"/>
  <c r="J196" i="12"/>
  <c r="G196" i="12"/>
  <c r="J195" i="12"/>
  <c r="G195" i="12"/>
  <c r="J194" i="12"/>
  <c r="G194" i="12"/>
  <c r="J193" i="12"/>
  <c r="G193" i="12"/>
  <c r="J192" i="12"/>
  <c r="G192" i="12"/>
  <c r="G191" i="12"/>
  <c r="I187" i="12"/>
  <c r="H187" i="12"/>
  <c r="E187" i="12"/>
  <c r="I188" i="12" s="1"/>
  <c r="I186" i="12"/>
  <c r="G186" i="12"/>
  <c r="I185" i="12"/>
  <c r="G185" i="12"/>
  <c r="I184" i="12"/>
  <c r="G184" i="12"/>
  <c r="I183" i="12"/>
  <c r="G183" i="12"/>
  <c r="I182" i="12"/>
  <c r="G182" i="12"/>
  <c r="I181" i="12"/>
  <c r="G181" i="12"/>
  <c r="I180" i="12"/>
  <c r="G180" i="12"/>
  <c r="I179" i="12"/>
  <c r="G179" i="12"/>
  <c r="I178" i="12"/>
  <c r="G178" i="12"/>
  <c r="I177" i="12"/>
  <c r="G177" i="12"/>
  <c r="I176" i="12"/>
  <c r="G176" i="12"/>
  <c r="I175" i="12"/>
  <c r="G175" i="12"/>
  <c r="I174" i="12"/>
  <c r="G174" i="12"/>
  <c r="I173" i="12"/>
  <c r="G173" i="12"/>
  <c r="I172" i="12"/>
  <c r="G172" i="12"/>
  <c r="I171" i="12"/>
  <c r="G171" i="12"/>
  <c r="I170" i="12"/>
  <c r="G170" i="12"/>
  <c r="I169" i="12"/>
  <c r="G169" i="12"/>
  <c r="I168" i="12"/>
  <c r="G168" i="12"/>
  <c r="I167" i="12"/>
  <c r="G167" i="12"/>
  <c r="I166" i="12"/>
  <c r="G166" i="12"/>
  <c r="I165" i="12"/>
  <c r="G165" i="12"/>
  <c r="I164" i="12"/>
  <c r="G164" i="12"/>
  <c r="I163" i="12"/>
  <c r="G163" i="12"/>
  <c r="I162" i="12"/>
  <c r="G162" i="12"/>
  <c r="I161" i="12"/>
  <c r="G161" i="12"/>
  <c r="I160" i="12"/>
  <c r="G160" i="12"/>
  <c r="I159" i="12"/>
  <c r="I158" i="12"/>
  <c r="G158" i="12"/>
  <c r="I157" i="12"/>
  <c r="G157" i="12"/>
  <c r="I156" i="12"/>
  <c r="G156" i="12"/>
  <c r="I155" i="12"/>
  <c r="G155" i="12"/>
  <c r="I154" i="12"/>
  <c r="G154" i="12"/>
  <c r="I153" i="12"/>
  <c r="G153" i="12"/>
  <c r="I152" i="12"/>
  <c r="I151" i="12"/>
  <c r="G151" i="12"/>
  <c r="I150" i="12"/>
  <c r="G150" i="12"/>
  <c r="I149" i="12"/>
  <c r="G149" i="12"/>
  <c r="I148" i="12"/>
  <c r="G148" i="12"/>
  <c r="I147" i="12"/>
  <c r="G147" i="12"/>
  <c r="I146" i="12"/>
  <c r="G146" i="12"/>
  <c r="I145" i="12"/>
  <c r="G145" i="12"/>
  <c r="I144" i="12"/>
  <c r="G144" i="12"/>
  <c r="I143" i="12"/>
  <c r="I142" i="12"/>
  <c r="G142" i="12"/>
  <c r="I141" i="12"/>
  <c r="G141" i="12"/>
  <c r="I140" i="12"/>
  <c r="G140" i="12"/>
  <c r="I139" i="12"/>
  <c r="G139" i="12"/>
  <c r="I138" i="12"/>
  <c r="G138" i="12"/>
  <c r="I137" i="12"/>
  <c r="G137" i="12"/>
  <c r="I136" i="12"/>
  <c r="G136" i="12"/>
  <c r="I135" i="12"/>
  <c r="G135" i="12"/>
  <c r="I134" i="12"/>
  <c r="G134" i="12"/>
  <c r="I133" i="12"/>
  <c r="G133" i="12"/>
  <c r="I132" i="12"/>
  <c r="G132" i="12"/>
  <c r="I131" i="12"/>
  <c r="G131" i="12"/>
  <c r="I130" i="12"/>
  <c r="G130" i="12"/>
  <c r="I129" i="12"/>
  <c r="G129" i="12"/>
  <c r="I128" i="12"/>
  <c r="G128" i="12"/>
  <c r="I127" i="12"/>
  <c r="G127" i="12"/>
  <c r="I126" i="12"/>
  <c r="G126" i="12"/>
  <c r="I125" i="12"/>
  <c r="G125" i="12"/>
  <c r="I124" i="12"/>
  <c r="G124" i="12"/>
  <c r="I123" i="12"/>
  <c r="G123" i="12"/>
  <c r="I122" i="12"/>
  <c r="G122" i="12"/>
  <c r="I121" i="12"/>
  <c r="G121" i="12"/>
  <c r="I120" i="12"/>
  <c r="G120" i="12"/>
  <c r="I119" i="12"/>
  <c r="G119" i="12"/>
  <c r="I118" i="12"/>
  <c r="G118" i="12"/>
  <c r="I117" i="12"/>
  <c r="G117" i="12"/>
  <c r="I116" i="12"/>
  <c r="G116" i="12"/>
  <c r="I115" i="12"/>
  <c r="G115" i="12"/>
  <c r="I114" i="12"/>
  <c r="G114" i="12"/>
  <c r="I113" i="12"/>
  <c r="G113" i="12"/>
  <c r="I112" i="12"/>
  <c r="G112" i="12"/>
  <c r="H111" i="12"/>
  <c r="F111" i="12"/>
  <c r="E111" i="12"/>
  <c r="G110" i="12"/>
  <c r="G108" i="12"/>
  <c r="G107" i="12"/>
  <c r="G106" i="12"/>
  <c r="G105" i="12"/>
  <c r="G104" i="12"/>
  <c r="G103" i="12"/>
  <c r="G102" i="12"/>
  <c r="G101" i="12"/>
  <c r="G100" i="12"/>
  <c r="G99" i="12"/>
  <c r="G98" i="12"/>
  <c r="G97" i="12"/>
  <c r="G96" i="12"/>
  <c r="G95" i="12"/>
  <c r="G94" i="12"/>
  <c r="G93" i="12"/>
  <c r="G75" i="12"/>
  <c r="G74" i="12"/>
  <c r="G73" i="12"/>
  <c r="G72" i="12"/>
  <c r="G71" i="12"/>
  <c r="G70" i="12"/>
  <c r="G69" i="12"/>
  <c r="G68" i="12"/>
  <c r="G67" i="12"/>
  <c r="G66" i="12"/>
  <c r="G65" i="12"/>
  <c r="G64" i="12"/>
  <c r="G63" i="12"/>
  <c r="G62" i="12"/>
  <c r="G61" i="12"/>
  <c r="G60" i="12"/>
  <c r="G59" i="12"/>
  <c r="G58" i="12"/>
  <c r="G57" i="12"/>
  <c r="G56" i="12"/>
  <c r="G55" i="12"/>
  <c r="G54" i="12"/>
  <c r="G53" i="12"/>
  <c r="G52" i="12"/>
  <c r="G51" i="12"/>
  <c r="G50" i="12"/>
  <c r="G49" i="12"/>
  <c r="G48" i="12"/>
  <c r="G47" i="12"/>
  <c r="G46" i="12"/>
  <c r="G45" i="12"/>
  <c r="G44" i="12"/>
  <c r="H43" i="12"/>
  <c r="F43" i="12"/>
  <c r="E43" i="12"/>
  <c r="G41" i="12"/>
  <c r="G38" i="12"/>
  <c r="G37" i="12"/>
  <c r="G36" i="12"/>
  <c r="G35" i="12"/>
  <c r="G34" i="12"/>
  <c r="G33" i="12"/>
  <c r="G32" i="12"/>
  <c r="G31" i="12"/>
  <c r="G30" i="12"/>
  <c r="G29" i="12"/>
  <c r="G28" i="12"/>
  <c r="G27" i="12"/>
  <c r="G26" i="12"/>
  <c r="G25" i="12"/>
  <c r="G24" i="12"/>
  <c r="G23" i="12"/>
  <c r="G22" i="12"/>
  <c r="G20" i="12"/>
  <c r="G19" i="12"/>
  <c r="G18" i="12"/>
  <c r="G17" i="12"/>
  <c r="G16" i="12"/>
  <c r="G15" i="12"/>
  <c r="G14" i="12"/>
  <c r="G13" i="12"/>
  <c r="G12" i="12"/>
  <c r="G11" i="12"/>
  <c r="G10" i="12"/>
  <c r="G9" i="12"/>
  <c r="G8" i="12"/>
  <c r="G7" i="12"/>
  <c r="G6" i="12"/>
  <c r="G5" i="12"/>
  <c r="G4" i="12"/>
  <c r="G3" i="12"/>
  <c r="G2" i="12"/>
  <c r="H1" i="12"/>
  <c r="F1" i="12"/>
  <c r="E1" i="12"/>
  <c r="I43" i="12" l="1"/>
  <c r="I1" i="12"/>
  <c r="G476" i="12"/>
  <c r="I476" i="12"/>
  <c r="I111" i="12"/>
  <c r="F568" i="12"/>
  <c r="I568" i="12" s="1"/>
  <c r="G187" i="12"/>
  <c r="G331" i="12"/>
  <c r="G323" i="12" s="1"/>
  <c r="G572" i="12"/>
  <c r="G568" i="12" s="1"/>
  <c r="F323" i="12"/>
  <c r="I323" i="12" s="1"/>
  <c r="F683" i="12" l="1"/>
  <c r="H683" i="12" l="1"/>
  <c r="E683" i="12"/>
  <c r="I683" i="12" s="1"/>
  <c r="J46" i="1" l="1"/>
  <c r="G692" i="2" l="1"/>
  <c r="G691" i="2"/>
  <c r="G690" i="2"/>
  <c r="J51" i="1" l="1"/>
  <c r="I46" i="1" l="1"/>
  <c r="I51" i="1"/>
  <c r="D326" i="2" l="1"/>
  <c r="F326" i="2" s="1"/>
  <c r="H46" i="1" l="1"/>
  <c r="G46" i="1" l="1"/>
  <c r="G683" i="12" l="1"/>
  <c r="G3" i="1" l="1"/>
  <c r="D46" i="1" l="1"/>
  <c r="E46" i="1" l="1"/>
  <c r="F51" i="1"/>
  <c r="F46" i="1" l="1"/>
  <c r="F13" i="1" l="1"/>
  <c r="F15" i="1" s="1"/>
  <c r="F54" i="1"/>
  <c r="J18" i="8" l="1"/>
  <c r="I18" i="8"/>
  <c r="H18" i="8"/>
  <c r="G18" i="8"/>
  <c r="F18" i="8"/>
  <c r="E18" i="8"/>
  <c r="D18" i="8"/>
  <c r="C18" i="8"/>
  <c r="L18" i="8"/>
  <c r="M18" i="8" l="1"/>
  <c r="E9" i="1" l="1"/>
  <c r="D49" i="1"/>
  <c r="J53" i="1"/>
  <c r="J13" i="1" s="1"/>
  <c r="J15" i="1" s="1"/>
  <c r="J16" i="1" s="1"/>
  <c r="K53" i="1"/>
  <c r="K13" i="1" s="1"/>
  <c r="K15" i="1" s="1"/>
  <c r="K16" i="1" s="1"/>
  <c r="L53" i="1"/>
  <c r="L13" i="1" s="1"/>
  <c r="L15" i="1" s="1"/>
  <c r="L16" i="1" s="1"/>
  <c r="M53" i="1"/>
  <c r="M13" i="1" s="1"/>
  <c r="M15" i="1" s="1"/>
  <c r="M16" i="1" s="1"/>
  <c r="M49" i="1"/>
  <c r="L49" i="1"/>
  <c r="K49" i="1"/>
  <c r="J49" i="1"/>
  <c r="I49" i="1"/>
  <c r="H49" i="1"/>
  <c r="G49" i="1"/>
  <c r="C49" i="1"/>
  <c r="B49" i="1"/>
  <c r="B14" i="1"/>
  <c r="I53" i="1"/>
  <c r="M9" i="1"/>
  <c r="F9" i="1"/>
  <c r="G9" i="1"/>
  <c r="H9" i="1"/>
  <c r="I9" i="1"/>
  <c r="J9" i="1"/>
  <c r="K9" i="1"/>
  <c r="L9" i="1"/>
  <c r="B12" i="1"/>
  <c r="D9" i="1"/>
  <c r="C9" i="1"/>
  <c r="B9" i="1"/>
  <c r="J17" i="1" l="1"/>
  <c r="I13" i="1"/>
  <c r="I15" i="1" s="1"/>
  <c r="H51" i="1"/>
  <c r="H53" i="1" s="1"/>
  <c r="L17" i="1"/>
  <c r="K17" i="1"/>
  <c r="G51" i="1"/>
  <c r="G53" i="1" s="1"/>
  <c r="M17" i="1"/>
  <c r="B51" i="1"/>
  <c r="B53" i="1" s="1"/>
  <c r="C51" i="1"/>
  <c r="C53" i="1" s="1"/>
  <c r="L54" i="1"/>
  <c r="K54" i="1"/>
  <c r="J54" i="1"/>
  <c r="I54" i="1"/>
  <c r="M54" i="1"/>
  <c r="F53" i="1"/>
  <c r="E51" i="1"/>
  <c r="E53" i="1" s="1"/>
  <c r="D51" i="1"/>
  <c r="D53" i="1" s="1"/>
  <c r="E49" i="1"/>
  <c r="H13" i="1" l="1"/>
  <c r="H15" i="1" s="1"/>
  <c r="I16" i="1"/>
  <c r="I17" i="1"/>
  <c r="H54" i="1"/>
  <c r="G13" i="1"/>
  <c r="G15" i="1" s="1"/>
  <c r="G54" i="1"/>
  <c r="D54" i="1"/>
  <c r="E13" i="1"/>
  <c r="E15" i="1" s="1"/>
  <c r="E16" i="1" s="1"/>
  <c r="E54" i="1"/>
  <c r="D13" i="1"/>
  <c r="D15" i="1" s="1"/>
  <c r="D17" i="1" s="1"/>
  <c r="C54" i="1"/>
  <c r="C13" i="1"/>
  <c r="C15" i="1" s="1"/>
  <c r="C17" i="1" s="1"/>
  <c r="B54" i="1"/>
  <c r="B13" i="1"/>
  <c r="B15" i="1" s="1"/>
  <c r="B17" i="1" s="1"/>
  <c r="F49" i="1"/>
  <c r="N18" i="8"/>
  <c r="H16" i="1" l="1"/>
  <c r="H17" i="1"/>
  <c r="G16" i="1"/>
  <c r="G17" i="1"/>
  <c r="E17" i="1"/>
  <c r="B16" i="1"/>
  <c r="D16" i="1"/>
  <c r="C16" i="1"/>
  <c r="F17" i="1"/>
  <c r="F16" i="1"/>
</calcChain>
</file>

<file path=xl/sharedStrings.xml><?xml version="1.0" encoding="utf-8"?>
<sst xmlns="http://schemas.openxmlformats.org/spreadsheetml/2006/main" count="4510" uniqueCount="817">
  <si>
    <t>Gastos</t>
  </si>
  <si>
    <t>Dezembro</t>
  </si>
  <si>
    <t>Janeiro</t>
  </si>
  <si>
    <t>Fevereiro</t>
  </si>
  <si>
    <t>Março</t>
  </si>
  <si>
    <t>Abril</t>
  </si>
  <si>
    <t>Maio</t>
  </si>
  <si>
    <t>Junho</t>
  </si>
  <si>
    <t>Julho</t>
  </si>
  <si>
    <t>Agosto</t>
  </si>
  <si>
    <t>Setembro</t>
  </si>
  <si>
    <t>Outubro</t>
  </si>
  <si>
    <t>Novembro</t>
  </si>
  <si>
    <t>Cartao</t>
  </si>
  <si>
    <t>-</t>
  </si>
  <si>
    <t>Renda</t>
  </si>
  <si>
    <t>Sobrando</t>
  </si>
  <si>
    <t>Tenebrio</t>
  </si>
  <si>
    <t>Vendas</t>
  </si>
  <si>
    <t>APP</t>
  </si>
  <si>
    <t>Nome</t>
  </si>
  <si>
    <t>Situaçao</t>
  </si>
  <si>
    <t>Agua</t>
  </si>
  <si>
    <t>Equi. Carro</t>
  </si>
  <si>
    <t>Total Ganho</t>
  </si>
  <si>
    <t>Total Gasto</t>
  </si>
  <si>
    <t>Outros Gastos</t>
  </si>
  <si>
    <t>Aparelho</t>
  </si>
  <si>
    <t>IPVA</t>
  </si>
  <si>
    <t>Tenebrios</t>
  </si>
  <si>
    <t>Pc</t>
  </si>
  <si>
    <t>Higor</t>
  </si>
  <si>
    <t>Ferro de solda</t>
  </si>
  <si>
    <t>Multimetro</t>
  </si>
  <si>
    <t>Lucro</t>
  </si>
  <si>
    <t>cliente</t>
  </si>
  <si>
    <t>Carlos</t>
  </si>
  <si>
    <t>Gian</t>
  </si>
  <si>
    <t>Mateus</t>
  </si>
  <si>
    <t>Situação</t>
  </si>
  <si>
    <t>Impressora</t>
  </si>
  <si>
    <t>Danni</t>
  </si>
  <si>
    <t>Vendido</t>
  </si>
  <si>
    <t>Mouse game 2</t>
  </si>
  <si>
    <t>Multimetro Azul</t>
  </si>
  <si>
    <t>Cabo kingo</t>
  </si>
  <si>
    <t>Arame de solda</t>
  </si>
  <si>
    <t>fita isolante</t>
  </si>
  <si>
    <t>Powebank</t>
  </si>
  <si>
    <t>Renada</t>
  </si>
  <si>
    <t>fone sony</t>
  </si>
  <si>
    <t>Suporte celular</t>
  </si>
  <si>
    <t>irmao higor</t>
  </si>
  <si>
    <t>Smartwatch</t>
  </si>
  <si>
    <t>Fone completo</t>
  </si>
  <si>
    <t>carlos</t>
  </si>
  <si>
    <t>Senhor sobradinho</t>
  </si>
  <si>
    <t>ETB</t>
  </si>
  <si>
    <t>Mouse game 1</t>
  </si>
  <si>
    <t>Ceilandia</t>
  </si>
  <si>
    <t>Fabricio</t>
  </si>
  <si>
    <t>Riacho</t>
  </si>
  <si>
    <t>feira</t>
  </si>
  <si>
    <t>olx</t>
  </si>
  <si>
    <t>Processador</t>
  </si>
  <si>
    <t>Case HD</t>
  </si>
  <si>
    <t>Moto casa</t>
  </si>
  <si>
    <t xml:space="preserve">Henrique </t>
  </si>
  <si>
    <t>Smartwatch Academia</t>
  </si>
  <si>
    <t>Amiga higor</t>
  </si>
  <si>
    <t>Metro Taguatinga</t>
  </si>
  <si>
    <t>suporte de solda</t>
  </si>
  <si>
    <t>Switch 24 portas</t>
  </si>
  <si>
    <t>Barbeador</t>
  </si>
  <si>
    <t>Cliente</t>
  </si>
  <si>
    <t>Andre</t>
  </si>
  <si>
    <t>Cliente besouro bike</t>
  </si>
  <si>
    <t>a125-</t>
  </si>
  <si>
    <t>Tenebrios 100 larvas</t>
  </si>
  <si>
    <t xml:space="preserve">Fone lelong </t>
  </si>
  <si>
    <t>Smartwatch prata</t>
  </si>
  <si>
    <t>Riacho olx</t>
  </si>
  <si>
    <t>cable cb-11</t>
  </si>
  <si>
    <t>xtrape carregador turbo</t>
  </si>
  <si>
    <t>Cortador de cabelo basico</t>
  </si>
  <si>
    <t>Tio Teinha</t>
  </si>
  <si>
    <t>Segurança</t>
  </si>
  <si>
    <t>Barbeador 7x1</t>
  </si>
  <si>
    <t>Jean moto</t>
  </si>
  <si>
    <t>Case HD inova</t>
  </si>
  <si>
    <t>Compressor veicular</t>
  </si>
  <si>
    <t>Pop metal</t>
  </si>
  <si>
    <t>Smartwatch A1</t>
  </si>
  <si>
    <t>Mouse game</t>
  </si>
  <si>
    <t>Cable cb-11</t>
  </si>
  <si>
    <t>Xtrape carregador turbo</t>
  </si>
  <si>
    <t>Fita isolante</t>
  </si>
  <si>
    <t>Multímetro Digital Dt-830b</t>
  </si>
  <si>
    <t>Powebank PN-951 10000mAh</t>
  </si>
  <si>
    <t>Smartwatch M2</t>
  </si>
  <si>
    <t>Suporte de solda</t>
  </si>
  <si>
    <t>Produtos</t>
  </si>
  <si>
    <t>Multímetro Digital DT-830b</t>
  </si>
  <si>
    <t>Peixes</t>
  </si>
  <si>
    <t>Karen</t>
  </si>
  <si>
    <t>Pop socket 3D</t>
  </si>
  <si>
    <t>Feira Tagua</t>
  </si>
  <si>
    <t>Compressor de Ar</t>
  </si>
  <si>
    <t>Ferro de solda 40w</t>
  </si>
  <si>
    <t>Ferro de solda 60w</t>
  </si>
  <si>
    <t>Fone SY-301</t>
  </si>
  <si>
    <t>Bianca</t>
  </si>
  <si>
    <t>Ana p7</t>
  </si>
  <si>
    <t>Gama</t>
  </si>
  <si>
    <t xml:space="preserve">Capinha de braço </t>
  </si>
  <si>
    <t>Fone Sony</t>
  </si>
  <si>
    <t>Fone M-05</t>
  </si>
  <si>
    <t>Lanterna + choque</t>
  </si>
  <si>
    <t>Smartwatch F1 Plus</t>
  </si>
  <si>
    <t>Multímetro MD-180l</t>
  </si>
  <si>
    <t>Power Bank inova POW-8012</t>
  </si>
  <si>
    <t>Relógio F1 plus</t>
  </si>
  <si>
    <t>Vicente pires</t>
  </si>
  <si>
    <t>Metro - shopping</t>
  </si>
  <si>
    <t>Amiga Higor</t>
  </si>
  <si>
    <t>Adm Taguatinga</t>
  </si>
  <si>
    <t>Cliente case 2</t>
  </si>
  <si>
    <t>Smartwatch Dz09</t>
  </si>
  <si>
    <t>Amigas do Higor</t>
  </si>
  <si>
    <t>Higor Aline</t>
  </si>
  <si>
    <t>Cartao Nu</t>
  </si>
  <si>
    <t>Cartao Inter</t>
  </si>
  <si>
    <t>Organizador 7000</t>
  </si>
  <si>
    <t>Professor academia</t>
  </si>
  <si>
    <t>Menina Fit time</t>
  </si>
  <si>
    <t>Horario</t>
  </si>
  <si>
    <t>Lugar</t>
  </si>
  <si>
    <t>V.V</t>
  </si>
  <si>
    <t>V.P</t>
  </si>
  <si>
    <t>Sinval</t>
  </si>
  <si>
    <t>Capa de volante</t>
  </si>
  <si>
    <t xml:space="preserve">Fone empresarial </t>
  </si>
  <si>
    <t>Danni Sah</t>
  </si>
  <si>
    <t>Kit ferramenta basic</t>
  </si>
  <si>
    <t>Goiano</t>
  </si>
  <si>
    <t>Smart</t>
  </si>
  <si>
    <t>Kit de ferramenta id-9682K</t>
  </si>
  <si>
    <t>Maria olx</t>
  </si>
  <si>
    <t>Led T10 Branco</t>
  </si>
  <si>
    <t>Gol 12:07</t>
  </si>
  <si>
    <t>Bloqueador de Bicicleta - Alta Proteção - BL01 - LuaTek</t>
  </si>
  <si>
    <t>Leitor de Cartão USB 2.0 GZR-1011</t>
  </si>
  <si>
    <t>Marquinhos p7</t>
  </si>
  <si>
    <t>Taguatinga - loja</t>
  </si>
  <si>
    <t xml:space="preserve">Moto </t>
  </si>
  <si>
    <t>Lanterna  Lampião 6x1</t>
  </si>
  <si>
    <t>Dock Station para HD Sata e Ide KP-HD005 - Knup</t>
  </si>
  <si>
    <t xml:space="preserve">Multímetro  MD-200L </t>
  </si>
  <si>
    <t>irmão higor</t>
  </si>
  <si>
    <t>Cortador de cabelo básico</t>
  </si>
  <si>
    <t>Multímetro Md-180l</t>
  </si>
  <si>
    <t>Fabrício</t>
  </si>
  <si>
    <t>Renata</t>
  </si>
  <si>
    <t>Amigo Sandra</t>
  </si>
  <si>
    <t>Jussara</t>
  </si>
  <si>
    <t>floricultora</t>
  </si>
  <si>
    <t>Maria Heloise</t>
  </si>
  <si>
    <t>Wesley p7</t>
  </si>
  <si>
    <t>Batom depilador</t>
  </si>
  <si>
    <t>S</t>
  </si>
  <si>
    <t>T</t>
  </si>
  <si>
    <t>Q</t>
  </si>
  <si>
    <t>D</t>
  </si>
  <si>
    <t>Quat</t>
  </si>
  <si>
    <t>Frete</t>
  </si>
  <si>
    <t>Menino instagram</t>
  </si>
  <si>
    <t>Cida GAMA</t>
  </si>
  <si>
    <t>Cliente nara</t>
  </si>
  <si>
    <t>Depilador Finishing</t>
  </si>
  <si>
    <t>Riacho tony</t>
  </si>
  <si>
    <t>Smartwatch M3</t>
  </si>
  <si>
    <t>JK</t>
  </si>
  <si>
    <t>Jogo de chave 40 pçs MZA</t>
  </si>
  <si>
    <t>Marquinho</t>
  </si>
  <si>
    <t>Suporte de celular</t>
  </si>
  <si>
    <t>Valeria</t>
  </si>
  <si>
    <t>Menino Samambaia S</t>
  </si>
  <si>
    <t>Motoboy Gama</t>
  </si>
  <si>
    <t>Barbeador Rosa</t>
  </si>
  <si>
    <t>Olx Valdir</t>
  </si>
  <si>
    <t>Ana Portaria P7</t>
  </si>
  <si>
    <t>Cliente top 200</t>
  </si>
  <si>
    <t>Menino bike</t>
  </si>
  <si>
    <t>Senhor da Van</t>
  </si>
  <si>
    <t>Vitoria Amiga ana</t>
  </si>
  <si>
    <t>Maria Helena</t>
  </si>
  <si>
    <t>Menino analf ceilandia</t>
  </si>
  <si>
    <t>Umidificador lua tek lk-109</t>
  </si>
  <si>
    <t>case de HD</t>
  </si>
  <si>
    <t>fone Sony</t>
  </si>
  <si>
    <t>Guará 1</t>
  </si>
  <si>
    <t>Senhor sábado</t>
  </si>
  <si>
    <t>Morsa jf-8001</t>
  </si>
  <si>
    <t>Bateria 2032</t>
  </si>
  <si>
    <t xml:space="preserve"> Laert Candangolandia</t>
  </si>
  <si>
    <t>Clinica geral w3</t>
  </si>
  <si>
    <t>Kit ferramenta Bike</t>
  </si>
  <si>
    <t>115 Microondas</t>
  </si>
  <si>
    <t>Suporte de 4 pilhas</t>
  </si>
  <si>
    <t xml:space="preserve">Gusta </t>
  </si>
  <si>
    <t>Power Bank inova POW-1051</t>
  </si>
  <si>
    <t>Paulo</t>
  </si>
  <si>
    <t>Gerente tatico</t>
  </si>
  <si>
    <t>Cliente relogio A1 lucas</t>
  </si>
  <si>
    <t>Cliente Rodrigo fone</t>
  </si>
  <si>
    <t>Salario</t>
  </si>
  <si>
    <t>Fone Swissport B 09</t>
  </si>
  <si>
    <t>Carregador Samsung</t>
  </si>
  <si>
    <t xml:space="preserve">Volante </t>
  </si>
  <si>
    <t>Cliente volante 3</t>
  </si>
  <si>
    <t>Dona ivone</t>
  </si>
  <si>
    <t>Senhor metro furnas</t>
  </si>
  <si>
    <t>telefone headset intelbras hsb 20</t>
  </si>
  <si>
    <t>cliente telefone</t>
  </si>
  <si>
    <t>Geraldo</t>
  </si>
  <si>
    <t>Sabrina</t>
  </si>
  <si>
    <t xml:space="preserve">Tv box Pro </t>
  </si>
  <si>
    <t>=</t>
  </si>
  <si>
    <t>Joao pedro</t>
  </si>
  <si>
    <t>Mini Keyboard</t>
  </si>
  <si>
    <t>Senhor P7</t>
  </si>
  <si>
    <t>Mohammad</t>
  </si>
  <si>
    <t>Adriana</t>
  </si>
  <si>
    <t>Ana p7 Portaria</t>
  </si>
  <si>
    <t>Sulgador de solda</t>
  </si>
  <si>
    <t>Concerto de celular</t>
  </si>
  <si>
    <t>Pasta de solda</t>
  </si>
  <si>
    <t>Labeo negro</t>
  </si>
  <si>
    <t>Cliente labeo</t>
  </si>
  <si>
    <t>Cliente barbeador gata metro</t>
  </si>
  <si>
    <t>vendido</t>
  </si>
  <si>
    <t xml:space="preserve">Cara ligação </t>
  </si>
  <si>
    <t>Cliente formosa</t>
  </si>
  <si>
    <t>Cliente I30</t>
  </si>
  <si>
    <t>Chave catraca Universal 7mm a 19mm</t>
  </si>
  <si>
    <t>Cliente relogio G 1</t>
  </si>
  <si>
    <t>Cliente relogio G 2</t>
  </si>
  <si>
    <t>Cliente relogio a1 buscar daqui</t>
  </si>
  <si>
    <t>Menino riacho</t>
  </si>
  <si>
    <t xml:space="preserve">Menino moto </t>
  </si>
  <si>
    <t>Fone beats bue</t>
  </si>
  <si>
    <t>Menina bahia</t>
  </si>
  <si>
    <t>primo alisson</t>
  </si>
  <si>
    <t>Caixa trio</t>
  </si>
  <si>
    <t>Cara buscar</t>
  </si>
  <si>
    <t>Celular gran prime</t>
  </si>
  <si>
    <t>Mini Keyboard com Led para Smart TV TP21 i8</t>
  </si>
  <si>
    <t>Câmera de Segurança IP Lampâda VR380 - V9-XL-VN 03045</t>
  </si>
  <si>
    <t>Apresentador USB com Apontador Laser KP-8009 - Knup</t>
  </si>
  <si>
    <t>Alice</t>
  </si>
  <si>
    <t>Smartwatch M3s</t>
  </si>
  <si>
    <t>Solar powered</t>
  </si>
  <si>
    <t>Cliente cavalaria</t>
  </si>
  <si>
    <t>Bombeiro etb</t>
  </si>
  <si>
    <t>Carregador de moto 12v</t>
  </si>
  <si>
    <t>Cliente carregador eduardo moto</t>
  </si>
  <si>
    <t>Suporte moto SP-C201</t>
  </si>
  <si>
    <t>Fone i7s Double 5.0</t>
  </si>
  <si>
    <t>Cliente ligaçao hylx</t>
  </si>
  <si>
    <t>cliente relogio a1 respera</t>
  </si>
  <si>
    <t>Cliente wilmar</t>
  </si>
  <si>
    <t>Pai</t>
  </si>
  <si>
    <t>Sah</t>
  </si>
  <si>
    <t xml:space="preserve">Senhor aleatorio </t>
  </si>
  <si>
    <t xml:space="preserve">metro olx </t>
  </si>
  <si>
    <t>Veithdia® 6520 Óculos</t>
  </si>
  <si>
    <t>Claudio peu</t>
  </si>
  <si>
    <t>Cartão de Memória 32GB Micro SD STGD-TF32G - Exbom</t>
  </si>
  <si>
    <t>Fone Inova N-ST5</t>
  </si>
  <si>
    <t>Cliente organizador 3 parque</t>
  </si>
  <si>
    <t>Ciclista junio projeção</t>
  </si>
  <si>
    <t>Cliente vanessa</t>
  </si>
  <si>
    <t>Cleinte diego centro de tagua</t>
  </si>
  <si>
    <t>Cliente buscar p6</t>
  </si>
  <si>
    <t>Cliente desmontar carro</t>
  </si>
  <si>
    <t xml:space="preserve">Buscou aqui em casa </t>
  </si>
  <si>
    <t>Cliente S.Sul gata</t>
  </si>
  <si>
    <t>Senhor aguas claras 5</t>
  </si>
  <si>
    <t>Cliente Atacado</t>
  </si>
  <si>
    <t>Fone i7s Double 5.0 Atacado</t>
  </si>
  <si>
    <t>Power Bank inova POW-1051 Atacado</t>
  </si>
  <si>
    <t>5k</t>
  </si>
  <si>
    <t>Cliente utrabox</t>
  </si>
  <si>
    <t>Cliente guara 2 piscina</t>
  </si>
  <si>
    <t>Fone bluetho ms-771</t>
  </si>
  <si>
    <t>mouse sem fio MOU-7230</t>
  </si>
  <si>
    <t>Cabo kingo Tipo C</t>
  </si>
  <si>
    <t>Cabo kingo Iphone</t>
  </si>
  <si>
    <t>Cabo kingo V8</t>
  </si>
  <si>
    <t>Suporte Ar articulado</t>
  </si>
  <si>
    <t>Suporte Ar com adesivo</t>
  </si>
  <si>
    <t>Triper Xlcell</t>
  </si>
  <si>
    <t>cleinte organizador chaveiro</t>
  </si>
  <si>
    <t>Tripe SPO-7036</t>
  </si>
  <si>
    <t>Caneta larguile</t>
  </si>
  <si>
    <t>Sandra</t>
  </si>
  <si>
    <t>Menino vicente pires</t>
  </si>
  <si>
    <t>Estragado</t>
  </si>
  <si>
    <t>Gamepad 5 in 1</t>
  </si>
  <si>
    <t>Capinha prova D'agua</t>
  </si>
  <si>
    <t>Cabo auxiliar 1m</t>
  </si>
  <si>
    <t>Smartwatch 116 plus</t>
  </si>
  <si>
    <t>Capinha Xiome MI 8 Life</t>
  </si>
  <si>
    <t>Marcellin</t>
  </si>
  <si>
    <t>Gabriel kiosk</t>
  </si>
  <si>
    <t>Pai Marcellin</t>
  </si>
  <si>
    <t xml:space="preserve">Cabeça carregador Quadrado </t>
  </si>
  <si>
    <t>Suporte celular mesa Atacado</t>
  </si>
  <si>
    <t>Carteira card</t>
  </si>
  <si>
    <t>Cliente espera A111</t>
  </si>
  <si>
    <t>Visinho do marcellin</t>
  </si>
  <si>
    <t>Gatilho Free fire</t>
  </si>
  <si>
    <t>Raquel</t>
  </si>
  <si>
    <t>Cliente ceilandia Nego</t>
  </si>
  <si>
    <t>Vendedor Extra</t>
  </si>
  <si>
    <t>Namorada GAS</t>
  </si>
  <si>
    <t>Cliente Bahia</t>
  </si>
  <si>
    <t>SOM BLUETOOTH E RADIO RELOGIO 506 03166</t>
  </si>
  <si>
    <t>PILHA AA ZINCO FX-2AZ FLEX</t>
  </si>
  <si>
    <t>SELFIE RING LIGHT LE-1887</t>
  </si>
  <si>
    <t>LAMPADA DE LED LED-335 / WM-998</t>
  </si>
  <si>
    <t>CAIXA DE SOM BLUETOOTH A-05 CS-A6BT</t>
  </si>
  <si>
    <t>Cliente atacado</t>
  </si>
  <si>
    <t>Cliente gama</t>
  </si>
  <si>
    <t>Capinha g2</t>
  </si>
  <si>
    <t>Mini charge JBL</t>
  </si>
  <si>
    <t>Adaptador 2 em 1 para Iphone 7, 8 e X (Fone e Carregador) LE-5529</t>
  </si>
  <si>
    <t>Suporte com Gatilho para Jogos de Celular W10</t>
  </si>
  <si>
    <t>Cliente JK</t>
  </si>
  <si>
    <t>Cliente Eduardo Hd grande</t>
  </si>
  <si>
    <t>Mini kit ferramenta TE-6036 Atacado</t>
  </si>
  <si>
    <t>Carregador para celular inova CAR-10024-V8</t>
  </si>
  <si>
    <t>Mini Speaker Music</t>
  </si>
  <si>
    <t>Cliente entrega Riacho fundo</t>
  </si>
  <si>
    <t>Cabeça 3.1 OLIM TURBO</t>
  </si>
  <si>
    <t>Cabo V8 1metro Branco e preto</t>
  </si>
  <si>
    <t>Cliente Umidificador JK</t>
  </si>
  <si>
    <t xml:space="preserve">Cliente saliente </t>
  </si>
  <si>
    <t>Cliente Ligação Solar</t>
  </si>
  <si>
    <t>Cliente Rita Cassia</t>
  </si>
  <si>
    <t>Cliente esposo Arniqueiras</t>
  </si>
  <si>
    <t>Capinha</t>
  </si>
  <si>
    <t xml:space="preserve">Carregador 3.1 Inova </t>
  </si>
  <si>
    <t xml:space="preserve">Capinha prova D'agua </t>
  </si>
  <si>
    <t>TenebrioMulher passarinho</t>
  </si>
  <si>
    <t>Massageador facial</t>
  </si>
  <si>
    <t>Vaper 20w</t>
  </si>
  <si>
    <t>Smartwatch V8</t>
  </si>
  <si>
    <t>Caixa de som mini charge +4</t>
  </si>
  <si>
    <t>Protetor de cabos</t>
  </si>
  <si>
    <t>cliente parque da cidade</t>
  </si>
  <si>
    <t>Antena digital TB-0308</t>
  </si>
  <si>
    <t>Cabeça veicular inova 3.4 Car-G5110</t>
  </si>
  <si>
    <t>Cabo inova tubo V8-IPHONE</t>
  </si>
  <si>
    <t>cliente lago sul</t>
  </si>
  <si>
    <t>cliente balança gata adv.</t>
  </si>
  <si>
    <t xml:space="preserve">CARREGADOR V8 COMPLETO </t>
  </si>
  <si>
    <t xml:space="preserve">Mini depilador </t>
  </si>
  <si>
    <t>Amplicador de solda kit</t>
  </si>
  <si>
    <t>Cliente 408</t>
  </si>
  <si>
    <t>Cliente 603</t>
  </si>
  <si>
    <t>Cliente fox hospicio</t>
  </si>
  <si>
    <t xml:space="preserve">Patty </t>
  </si>
  <si>
    <t>Cliente dengue</t>
  </si>
  <si>
    <t>Cliente jk</t>
  </si>
  <si>
    <t>Cliente Cadeirante</t>
  </si>
  <si>
    <t>Cliente loira</t>
  </si>
  <si>
    <t>Cliente SS</t>
  </si>
  <si>
    <t>Cliente padaria</t>
  </si>
  <si>
    <t>Cliente maria clara</t>
  </si>
  <si>
    <t>Cliente norte</t>
  </si>
  <si>
    <t>Cliente senho 18</t>
  </si>
  <si>
    <t>Rafael portaria</t>
  </si>
  <si>
    <t>potigua</t>
  </si>
  <si>
    <t>danni</t>
  </si>
  <si>
    <t>Secador de cabelo 3900</t>
  </si>
  <si>
    <t>Cliente riacho fundo 1</t>
  </si>
  <si>
    <t>Smartwatch GT08</t>
  </si>
  <si>
    <t>Cliente moto transmissor</t>
  </si>
  <si>
    <t>Kit reparo pneu bike</t>
  </si>
  <si>
    <t>Velocimetro bike</t>
  </si>
  <si>
    <t>francisco p7</t>
  </si>
  <si>
    <t>Jake</t>
  </si>
  <si>
    <t>Mouse sem fio</t>
  </si>
  <si>
    <t>Nagyla</t>
  </si>
  <si>
    <t>Pedro</t>
  </si>
  <si>
    <t>cliente ceilandia ester</t>
  </si>
  <si>
    <t>cliente perto detran</t>
  </si>
  <si>
    <t>Cliente peituda sul</t>
  </si>
  <si>
    <t>Cabo de chupeta 1000amp</t>
  </si>
  <si>
    <t>Vr box</t>
  </si>
  <si>
    <t>Meias feiminas 3x1</t>
  </si>
  <si>
    <t>senhor bike</t>
  </si>
  <si>
    <t>Carinha de coração</t>
  </si>
  <si>
    <t>Namo david</t>
  </si>
  <si>
    <t>Fone i7s</t>
  </si>
  <si>
    <t>Cliente instagram val</t>
  </si>
  <si>
    <t>Cliente "gato"</t>
  </si>
  <si>
    <t xml:space="preserve">Tapete de limpar pincel </t>
  </si>
  <si>
    <t>Cliente besouro Bike</t>
  </si>
  <si>
    <t>Ceilândia</t>
  </si>
  <si>
    <t>André</t>
  </si>
  <si>
    <t>Menino Instagram</t>
  </si>
  <si>
    <t>Kit ferramenta básico</t>
  </si>
  <si>
    <t>Riacho Tony</t>
  </si>
  <si>
    <t>Adm. Taguatinga</t>
  </si>
  <si>
    <t>Joao Pedro</t>
  </si>
  <si>
    <t>Menino Bike</t>
  </si>
  <si>
    <t>Menino analf Ceilândia</t>
  </si>
  <si>
    <t>Vitoria Amiga Ana</t>
  </si>
  <si>
    <t>115 Micro-ondas</t>
  </si>
  <si>
    <t>Gerente tático</t>
  </si>
  <si>
    <t>Cliente relógio A1 Lucas</t>
  </si>
  <si>
    <t>Cliente Felipe relógio A1</t>
  </si>
  <si>
    <t>Dona Ivone</t>
  </si>
  <si>
    <t>Cliente gotosa relógio</t>
  </si>
  <si>
    <t>Cliente Taguatinga norte</t>
  </si>
  <si>
    <t>Sugador de solda</t>
  </si>
  <si>
    <t>Cliente relógio G 1</t>
  </si>
  <si>
    <t>Cliente relógio G 2</t>
  </si>
  <si>
    <t>Cliente relógio a1 buscar daqui</t>
  </si>
  <si>
    <t>primo Alisson</t>
  </si>
  <si>
    <t>Menina Bahia</t>
  </si>
  <si>
    <t>Cliente carregador Eduardo moto</t>
  </si>
  <si>
    <t>Cliente ligação hylx</t>
  </si>
  <si>
    <t>cliente relógio a1 respera</t>
  </si>
  <si>
    <t>Câmera de Segurança IP Lâmpada VR380 - V9-XL-VN 03045</t>
  </si>
  <si>
    <t xml:space="preserve">Senhor aleatório </t>
  </si>
  <si>
    <t>Cliente Vanessa</t>
  </si>
  <si>
    <t>Cliente Diego centro de Tagua</t>
  </si>
  <si>
    <t>Cliente Sul gata</t>
  </si>
  <si>
    <t>cliente organizador chaveiro</t>
  </si>
  <si>
    <t>Tripé SPO-7036</t>
  </si>
  <si>
    <t>Tripé Xlcell</t>
  </si>
  <si>
    <t>Menino Vicente pires</t>
  </si>
  <si>
    <t>Caneta narguilé</t>
  </si>
  <si>
    <t>Cliente Ceilândia Nego</t>
  </si>
  <si>
    <r>
      <t>Película I</t>
    </r>
    <r>
      <rPr>
        <i/>
        <sz val="11"/>
        <color theme="1"/>
        <rFont val="Calibri"/>
        <family val="2"/>
        <scheme val="minor"/>
      </rPr>
      <t>phone6s Vidro</t>
    </r>
  </si>
  <si>
    <r>
      <t>Película Moto g6</t>
    </r>
    <r>
      <rPr>
        <i/>
        <sz val="11"/>
        <color theme="1"/>
        <rFont val="Calibri"/>
        <family val="2"/>
        <scheme val="minor"/>
      </rPr>
      <t xml:space="preserve"> fibra carbono</t>
    </r>
  </si>
  <si>
    <t>Marcelino</t>
  </si>
  <si>
    <t>Vizinho do Marcelino</t>
  </si>
  <si>
    <r>
      <t>Película I</t>
    </r>
    <r>
      <rPr>
        <i/>
        <sz val="11"/>
        <color theme="1"/>
        <rFont val="Calibri"/>
        <family val="2"/>
        <scheme val="minor"/>
      </rPr>
      <t>phone7 fibra carbono</t>
    </r>
  </si>
  <si>
    <t>Smartwatch 116 Plus</t>
  </si>
  <si>
    <t>Película Xiome MI 8 Life</t>
  </si>
  <si>
    <t>Película J6</t>
  </si>
  <si>
    <t>Pai Marcelino</t>
  </si>
  <si>
    <t>Carteira card.</t>
  </si>
  <si>
    <t>Cliente Instagram val</t>
  </si>
  <si>
    <t>Cliente sugador gata a</t>
  </si>
  <si>
    <t>Películas Variadas</t>
  </si>
  <si>
    <t>Cliente kit ferramenta André</t>
  </si>
  <si>
    <t>Cliente sayo veterinária</t>
  </si>
  <si>
    <t xml:space="preserve">Película </t>
  </si>
  <si>
    <t>Cliente Relógio Esperando</t>
  </si>
  <si>
    <t>Capa antimpacto Iphone 7</t>
  </si>
  <si>
    <t>Fone Iphone</t>
  </si>
  <si>
    <t>Cliente Lindomar</t>
  </si>
  <si>
    <t>Ciente neném sul</t>
  </si>
  <si>
    <t>Adaptador Iphone 1 p2</t>
  </si>
  <si>
    <t>Adaptador Iphone 2entradas</t>
  </si>
  <si>
    <t>Película Iphone 6S Plus</t>
  </si>
  <si>
    <t>Cliente projeção qnj</t>
  </si>
  <si>
    <t>Cliente gata Valparaiso</t>
  </si>
  <si>
    <t>Powebank 5 mil inova</t>
  </si>
  <si>
    <t xml:space="preserve">Amigo do Lucas </t>
  </si>
  <si>
    <t>Cliente Uber eats</t>
  </si>
  <si>
    <t>Luminária de bateria de carro</t>
  </si>
  <si>
    <t>Aplicador de solda kit</t>
  </si>
  <si>
    <t>Transmissor de FM radio X6</t>
  </si>
  <si>
    <t>Wemerson</t>
  </si>
  <si>
    <t>Carinha de cachorro</t>
  </si>
  <si>
    <t>Cliente instagram cachorro</t>
  </si>
  <si>
    <t>Cliente gata olx bombabo*</t>
  </si>
  <si>
    <t>Depilador de naris LuaTek</t>
  </si>
  <si>
    <t xml:space="preserve">Mi band 4 </t>
  </si>
  <si>
    <t>Cliente myrian</t>
  </si>
  <si>
    <t>Motoboy</t>
  </si>
  <si>
    <t xml:space="preserve">Taguatinga sul </t>
  </si>
  <si>
    <t xml:space="preserve">Balança de conzinha </t>
  </si>
  <si>
    <t>Pintor</t>
  </si>
  <si>
    <t>Atacado</t>
  </si>
  <si>
    <t>Atacado 2</t>
  </si>
  <si>
    <t>qnp 13</t>
  </si>
  <si>
    <t>Cliente fox hospício</t>
  </si>
  <si>
    <t>Cliente senhor 18</t>
  </si>
  <si>
    <t>potiguar</t>
  </si>
  <si>
    <t>cliente Ceilândia éster</t>
  </si>
  <si>
    <t>Kit reparo pneu Bike</t>
  </si>
  <si>
    <t>Francisco p7</t>
  </si>
  <si>
    <t>Massageado facial</t>
  </si>
  <si>
    <t>cliente perto Detran</t>
  </si>
  <si>
    <t>Velocímetro Bike</t>
  </si>
  <si>
    <t>Meias ferminas 3x1</t>
  </si>
  <si>
    <t>Namo David</t>
  </si>
  <si>
    <t>senhor Bike</t>
  </si>
  <si>
    <t>Cliente Instagram cachorro</t>
  </si>
  <si>
    <t>Cliente Myriam</t>
  </si>
  <si>
    <t>Depilador de nariz LuaTek</t>
  </si>
  <si>
    <t>qnj 13</t>
  </si>
  <si>
    <t>ranger</t>
  </si>
  <si>
    <t>Relogio m2</t>
  </si>
  <si>
    <t>Gatilho free fire</t>
  </si>
  <si>
    <t>Smartwatch Y8</t>
  </si>
  <si>
    <t>Capa anti-impacto</t>
  </si>
  <si>
    <t>cara de moto 70</t>
  </si>
  <si>
    <t>Cabo de Chupeta 1000amp</t>
  </si>
  <si>
    <t xml:space="preserve">Caixa Xtreme mini </t>
  </si>
  <si>
    <t>Vendedor Ceilândia</t>
  </si>
  <si>
    <t>Barbeador basico</t>
  </si>
  <si>
    <t>Rafael Atacado</t>
  </si>
  <si>
    <t>Aplicador de solda</t>
  </si>
  <si>
    <t>Aplicador de soldakit</t>
  </si>
  <si>
    <t>Capa de celular</t>
  </si>
  <si>
    <t>Kit mouse e teclado sem fio knup</t>
  </si>
  <si>
    <t>Taser 928 Type</t>
  </si>
  <si>
    <t>Cliente caio ferramenta</t>
  </si>
  <si>
    <t>Cliente vicente pires</t>
  </si>
  <si>
    <t>Cliente espera relogio a1</t>
  </si>
  <si>
    <t>Cliente 606</t>
  </si>
  <si>
    <t xml:space="preserve">Umidificador </t>
  </si>
  <si>
    <t>Retirador de pelos nariz Luatek</t>
  </si>
  <si>
    <t>Wilson Hospital</t>
  </si>
  <si>
    <t>Gerenal Exercito</t>
  </si>
  <si>
    <t>Ana portaria</t>
  </si>
  <si>
    <t>Diego</t>
  </si>
  <si>
    <t>Mini Chapinha</t>
  </si>
  <si>
    <t xml:space="preserve">Capa de celular de braço </t>
  </si>
  <si>
    <t>Cliente Ceilândia Atacado</t>
  </si>
  <si>
    <t>Carregador veicular inova 3.4A</t>
  </si>
  <si>
    <t>Marcelo Pai</t>
  </si>
  <si>
    <t>Cliente punto sem pain</t>
  </si>
  <si>
    <t>Cabo HDMI - VGA</t>
  </si>
  <si>
    <t>Irmao berg</t>
  </si>
  <si>
    <t>carlos porteiro</t>
  </si>
  <si>
    <t>Fone T7w</t>
  </si>
  <si>
    <t>Menino alameda</t>
  </si>
  <si>
    <t xml:space="preserve">câmera ação 4k </t>
  </si>
  <si>
    <t>joystick analógico</t>
  </si>
  <si>
    <t xml:space="preserve">lampada 3d camera </t>
  </si>
  <si>
    <t>Smart Watch Phone Z60</t>
  </si>
  <si>
    <t>SP</t>
  </si>
  <si>
    <t>Suporte de celular moto/Bike</t>
  </si>
  <si>
    <t>SR Mobile Game Controller</t>
  </si>
  <si>
    <t>Pendrive de 32gb SanDisk</t>
  </si>
  <si>
    <t>Memoria de 64gb SanDisk</t>
  </si>
  <si>
    <t>Fone PMCELL FO-11</t>
  </si>
  <si>
    <t>Cabeça carregador simples</t>
  </si>
  <si>
    <t>--</t>
  </si>
  <si>
    <t>Lanterna de choque 1011</t>
  </si>
  <si>
    <t>Mi Band 4 chinesa</t>
  </si>
  <si>
    <t>Controle ipega PG-9128</t>
  </si>
  <si>
    <t>Fone jbl wiless</t>
  </si>
  <si>
    <t xml:space="preserve">Fashion phone </t>
  </si>
  <si>
    <t>Kit reparo de pneu de Bike</t>
  </si>
  <si>
    <t>P7</t>
  </si>
  <si>
    <t>Amigo diego</t>
  </si>
  <si>
    <t>Cabo VGA para HDMI</t>
  </si>
  <si>
    <t>Marquinhos</t>
  </si>
  <si>
    <t>Smart Watch Phone Z60 Atacado</t>
  </si>
  <si>
    <t>Smartwatch M3 Atacado</t>
  </si>
  <si>
    <t>Cliente metro</t>
  </si>
  <si>
    <t>Cliente prisma branco</t>
  </si>
  <si>
    <t>higor</t>
  </si>
  <si>
    <t xml:space="preserve">Almofada de pescoço </t>
  </si>
  <si>
    <t>Caneta tout</t>
  </si>
  <si>
    <t>Caixa de som charge 2+</t>
  </si>
  <si>
    <t>Luz traseira Bike Atacado</t>
  </si>
  <si>
    <t>Cabo kingo iphone Atacado</t>
  </si>
  <si>
    <t>CARREGADOR V8 COMPLETO Atacado</t>
  </si>
  <si>
    <t>Fone Iphone Atacado</t>
  </si>
  <si>
    <t>Jogo de chave 40 pçs MZA Atacado</t>
  </si>
  <si>
    <t>Kit ferramenta Azul Atacado</t>
  </si>
  <si>
    <t>Kit ferramenta TOC Atacado</t>
  </si>
  <si>
    <t>Lanterna  Lampião 6x1 Atacado</t>
  </si>
  <si>
    <t>Lanterna x900 Atacado</t>
  </si>
  <si>
    <t>Suporte de celular moto/Bike Atacado</t>
  </si>
  <si>
    <t>Suporte lanterna Bike Atacado</t>
  </si>
  <si>
    <t>Luminaria de mesa</t>
  </si>
  <si>
    <t>Remendo de pneus de bike completo</t>
  </si>
  <si>
    <t>Adaptador iPhone 7</t>
  </si>
  <si>
    <t>SR Mobile Game Controle</t>
  </si>
  <si>
    <t>Lanterna choque 8001</t>
  </si>
  <si>
    <t>Chaveiro Goku</t>
  </si>
  <si>
    <t>Power Bank H.maston 10kmap</t>
  </si>
  <si>
    <t>Caixa de Som Bluetooth para Moto D-M100 - Grasep</t>
  </si>
  <si>
    <t>Case para HD Sata 2.5'' USB 2.0 Externo KP-HD001 - Knup</t>
  </si>
  <si>
    <t>Umidificador de Ar e Aromatizador LE-2320 - Lelong</t>
  </si>
  <si>
    <t>Suporte com Case e USB para Moto 5.7'' SP-CA35S - Exbom</t>
  </si>
  <si>
    <t>Lanterna x900</t>
  </si>
  <si>
    <t>Lampiao lanterna</t>
  </si>
  <si>
    <t>Power Bank 10kmap</t>
  </si>
  <si>
    <t>Power Bank 5kmap</t>
  </si>
  <si>
    <t>secretario patricia</t>
  </si>
  <si>
    <t>Garrafa d'agua Tupperware</t>
  </si>
  <si>
    <t>Capa de celular prova D'agua</t>
  </si>
  <si>
    <t>Capa de celular Xiome MI 8 Life</t>
  </si>
  <si>
    <t>Película de celular - Vidro</t>
  </si>
  <si>
    <t>Película de celular - fibra carbono</t>
  </si>
  <si>
    <t>Umidificador  Atacado</t>
  </si>
  <si>
    <t>Cabo V8 Rosa</t>
  </si>
  <si>
    <t>rafael atacado</t>
  </si>
  <si>
    <t>Cabo de Dados USB  SJX-V8</t>
  </si>
  <si>
    <t>Kit churrasco talhe</t>
  </si>
  <si>
    <t>Varal de roupas pequeno</t>
  </si>
  <si>
    <t xml:space="preserve">Mini lidificador </t>
  </si>
  <si>
    <t xml:space="preserve">Cliente gata 50 </t>
  </si>
  <si>
    <t>Terminal reanto 2</t>
  </si>
  <si>
    <t xml:space="preserve">Terminal reanto </t>
  </si>
  <si>
    <t>cliente gatilho 402</t>
  </si>
  <si>
    <t>Marcos caique</t>
  </si>
  <si>
    <t>Porta CNH Acrilico</t>
  </si>
  <si>
    <t>Porta RG Acrilico</t>
  </si>
  <si>
    <t>cliente m2</t>
  </si>
  <si>
    <t>Alana</t>
  </si>
  <si>
    <t>atacado</t>
  </si>
  <si>
    <t>mlk 409</t>
  </si>
  <si>
    <t>Mini Lidificador</t>
  </si>
  <si>
    <t>Cliente Instagram ropa social</t>
  </si>
  <si>
    <t>taguatinga hotel</t>
  </si>
  <si>
    <t>GG</t>
  </si>
  <si>
    <t>G</t>
  </si>
  <si>
    <t>China</t>
  </si>
  <si>
    <t>Quiosque terminal</t>
  </si>
  <si>
    <t>celta branco</t>
  </si>
  <si>
    <t>Aparelho repelente de mosquito e ratos</t>
  </si>
  <si>
    <t>Cliente barbeador aguas claras</t>
  </si>
  <si>
    <t>Gatilho Free fire preto</t>
  </si>
  <si>
    <t xml:space="preserve">Riacho fundo 2 </t>
  </si>
  <si>
    <t>Umidificador luatek</t>
  </si>
  <si>
    <t>Cliente sul</t>
  </si>
  <si>
    <t>Primo da Sah</t>
  </si>
  <si>
    <t>Professor Admilson</t>
  </si>
  <si>
    <t>Admilson</t>
  </si>
  <si>
    <t>Faca busula preta</t>
  </si>
  <si>
    <t>ana portaria</t>
  </si>
  <si>
    <t>Testador de bafometro</t>
  </si>
  <si>
    <t>Led para Bike traseiro</t>
  </si>
  <si>
    <t>fiorino</t>
  </si>
  <si>
    <t>M</t>
  </si>
  <si>
    <t>guara 2</t>
  </si>
  <si>
    <t>casal</t>
  </si>
  <si>
    <t>menino legal b moto</t>
  </si>
  <si>
    <t>cliente militar</t>
  </si>
  <si>
    <t>cliente castelo forte</t>
  </si>
  <si>
    <t>Capa de Doc Carro</t>
  </si>
  <si>
    <t>Cliente mulher minas</t>
  </si>
  <si>
    <t>senhor al</t>
  </si>
  <si>
    <t>gara adega</t>
  </si>
  <si>
    <t xml:space="preserve">Cara campo </t>
  </si>
  <si>
    <t xml:space="preserve">cliente </t>
  </si>
  <si>
    <t>Oculos VR</t>
  </si>
  <si>
    <t>cliente niver dog</t>
  </si>
  <si>
    <t>Cliente gatilho tagua</t>
  </si>
  <si>
    <t>sp</t>
  </si>
  <si>
    <t>Cliente caminhao</t>
  </si>
  <si>
    <t>Cliente viado Ceilândia</t>
  </si>
  <si>
    <t>Cliente gol branco</t>
  </si>
  <si>
    <t/>
  </si>
  <si>
    <t>Carregador al-9006 V8 3.1A</t>
  </si>
  <si>
    <t>Carregador al-9006 V8 2A</t>
  </si>
  <si>
    <t xml:space="preserve">Barbeador NOVA NHC-3780 </t>
  </si>
  <si>
    <t>Luz traseira Bike BS-216</t>
  </si>
  <si>
    <t>Amigo do lucas 414</t>
  </si>
  <si>
    <t>lucas 414</t>
  </si>
  <si>
    <t>Suporte de celular SPO-7027</t>
  </si>
  <si>
    <t>estençao 20 metro</t>
  </si>
  <si>
    <t>Mini ventilador 6</t>
  </si>
  <si>
    <t>alice</t>
  </si>
  <si>
    <t>cliente riacho mall</t>
  </si>
  <si>
    <t>clinte hospital</t>
  </si>
  <si>
    <t>canivete caveira</t>
  </si>
  <si>
    <t>metro furnas</t>
  </si>
  <si>
    <t>cliente a6 gata</t>
  </si>
  <si>
    <t>7,8,6 PLUS</t>
  </si>
  <si>
    <t>Cliente 402</t>
  </si>
  <si>
    <t>cliente capa M</t>
  </si>
  <si>
    <t>cliente 402</t>
  </si>
  <si>
    <t>fone I11</t>
  </si>
  <si>
    <t>fone inova FON-6708</t>
  </si>
  <si>
    <t>Caixa de som JBL CHARGE 3+</t>
  </si>
  <si>
    <t xml:space="preserve">Repetidor wifi </t>
  </si>
  <si>
    <t>barbeador nariz</t>
  </si>
  <si>
    <t>Game pade 5 in1</t>
  </si>
  <si>
    <t>Garrafa d'agua Tupperware transparente</t>
  </si>
  <si>
    <t>lampiao 6x1</t>
  </si>
  <si>
    <t>cliente entrada recanto</t>
  </si>
  <si>
    <t>Ventilador 6</t>
  </si>
  <si>
    <t>cliente moto recanto</t>
  </si>
  <si>
    <t>podes 10 uni</t>
  </si>
  <si>
    <t>fone capinha preta</t>
  </si>
  <si>
    <t>cliente402</t>
  </si>
  <si>
    <t xml:space="preserve">menino metro </t>
  </si>
  <si>
    <t>Cliente loja som</t>
  </si>
  <si>
    <t>Ventilador 7</t>
  </si>
  <si>
    <t>Caixa de som inova RAD-B5329</t>
  </si>
  <si>
    <t>Cliente taramps</t>
  </si>
  <si>
    <t>cliente oculos VR</t>
  </si>
  <si>
    <t>cliente peba moto</t>
  </si>
  <si>
    <t>Potes de plastico 10pçs</t>
  </si>
  <si>
    <t>Smartwatch m4</t>
  </si>
  <si>
    <t>amiga da clarisse</t>
  </si>
  <si>
    <t>Carlos portaria</t>
  </si>
  <si>
    <t>Kit manicure luatek</t>
  </si>
  <si>
    <t>Senhor guara 2</t>
  </si>
  <si>
    <t>Pingo T10 2538</t>
  </si>
  <si>
    <t>Cliente m gata guara</t>
  </si>
  <si>
    <t>cliente guara 2</t>
  </si>
  <si>
    <t>cliente Ceilândia norte</t>
  </si>
  <si>
    <t>cliente ceilandai</t>
  </si>
  <si>
    <t>Carregador de bateria externa</t>
  </si>
  <si>
    <t>Suporte de celular mesa</t>
  </si>
  <si>
    <t>Capa de chuva moto idea</t>
  </si>
  <si>
    <t>cliente 201</t>
  </si>
  <si>
    <t>cliente entregador</t>
  </si>
  <si>
    <t xml:space="preserve">Cliente ioega </t>
  </si>
  <si>
    <t>limpeza p7</t>
  </si>
  <si>
    <t xml:space="preserve">clinete pingo cronos </t>
  </si>
  <si>
    <t>cliente extra</t>
  </si>
  <si>
    <t>Capa de chuva moto</t>
  </si>
  <si>
    <t>Cliente recanto 1</t>
  </si>
  <si>
    <t>Cliente recanto 2 gatinha peito</t>
  </si>
  <si>
    <t>cliente menino erro</t>
  </si>
  <si>
    <t>cliente 302</t>
  </si>
  <si>
    <t>m</t>
  </si>
  <si>
    <t>cliente simpatico carro velho</t>
  </si>
  <si>
    <t>cliente chato civic</t>
  </si>
  <si>
    <t>Tira cravo FWMs</t>
  </si>
  <si>
    <t>Tira Tira cravo FWM FWM</t>
  </si>
  <si>
    <t>Fone I11</t>
  </si>
  <si>
    <t>Fone I9</t>
  </si>
  <si>
    <t>cliente astra preto</t>
  </si>
  <si>
    <t>Cliente pequeno Bike</t>
  </si>
  <si>
    <t>cliente barbeador polica</t>
  </si>
  <si>
    <t>cliente branca A1</t>
  </si>
  <si>
    <t>Mini secador multlaser</t>
  </si>
  <si>
    <t>Danni sah</t>
  </si>
  <si>
    <t>Cliente peituda prisma</t>
  </si>
  <si>
    <t>Jogo de ferramentas cox</t>
  </si>
  <si>
    <t>sinval</t>
  </si>
  <si>
    <t>Gatilhos 5 in 1</t>
  </si>
  <si>
    <t>fone i7ws</t>
  </si>
  <si>
    <t>Cliente metro fechado</t>
  </si>
  <si>
    <t>cliente metro terminal</t>
  </si>
  <si>
    <t xml:space="preserve">cliente taguatinga shopping </t>
  </si>
  <si>
    <t>cliente aguas claras</t>
  </si>
  <si>
    <t>cliente palio 2</t>
  </si>
  <si>
    <t>Cliente ronni gasolina</t>
  </si>
  <si>
    <t xml:space="preserve">azul </t>
  </si>
  <si>
    <t>Taser grande</t>
  </si>
  <si>
    <t>Cliente VOZ DE MULHER</t>
  </si>
  <si>
    <t>Cliente sulgador antigas</t>
  </si>
  <si>
    <t>cliente 413</t>
  </si>
  <si>
    <t>Smartwatch A6</t>
  </si>
  <si>
    <t>Cliente dindn colegio</t>
  </si>
  <si>
    <t>Balança sf-400</t>
  </si>
  <si>
    <t>Ventiladro 6</t>
  </si>
  <si>
    <t>Cliente suporte</t>
  </si>
  <si>
    <t>Cabo 2p para USB</t>
  </si>
  <si>
    <t>Cabo 2 metro</t>
  </si>
  <si>
    <t>Cabo 3 metro</t>
  </si>
  <si>
    <t>Magdiel</t>
  </si>
  <si>
    <t>Cabo Iphone caixinha</t>
  </si>
  <si>
    <t>mini barbeador de sobrasenhas</t>
  </si>
  <si>
    <t>Capinha de celular</t>
  </si>
  <si>
    <t xml:space="preserve">Marcellin </t>
  </si>
  <si>
    <t>g5s plus</t>
  </si>
  <si>
    <t>fone B-05</t>
  </si>
  <si>
    <t xml:space="preserve">Cliente 120 </t>
  </si>
  <si>
    <t xml:space="preserve">Cliente olx </t>
  </si>
  <si>
    <t>Cliente Instagram y</t>
  </si>
  <si>
    <t>Cliente estrada vermelha</t>
  </si>
  <si>
    <t>Cliente Bike</t>
  </si>
  <si>
    <t xml:space="preserve">Clarrise </t>
  </si>
  <si>
    <t xml:space="preserve">Barbeador Tosa </t>
  </si>
  <si>
    <t xml:space="preserve">Cliente final samambaia </t>
  </si>
  <si>
    <t>Andre exp7</t>
  </si>
  <si>
    <t>Suporte de tv simples</t>
  </si>
  <si>
    <t>Cliente moto 3</t>
  </si>
  <si>
    <t xml:space="preserve">Chave magica </t>
  </si>
  <si>
    <t>Cliente Ceilândia menino</t>
  </si>
  <si>
    <t>Smart band m4</t>
  </si>
  <si>
    <t xml:space="preserve">limpador de parabrisa </t>
  </si>
  <si>
    <t>gian</t>
  </si>
  <si>
    <t>Isis</t>
  </si>
  <si>
    <t>Cliente celta gg</t>
  </si>
  <si>
    <t>Maquina de vidro classic</t>
  </si>
  <si>
    <t>Guarda chuva preto</t>
  </si>
  <si>
    <t>isis</t>
  </si>
  <si>
    <t>Cliente peba 614</t>
  </si>
  <si>
    <t>Cliente rogerio</t>
  </si>
  <si>
    <t>Cliente pequeno</t>
  </si>
  <si>
    <t>Cliente capa esposa</t>
  </si>
  <si>
    <t>Cliente pedreiro aguas claras</t>
  </si>
  <si>
    <t>Cliente Bike projeçao</t>
  </si>
  <si>
    <t>Cliente candangolandia</t>
  </si>
  <si>
    <t>Verde</t>
  </si>
  <si>
    <t>pendente</t>
  </si>
  <si>
    <t>amigo do lucas</t>
  </si>
  <si>
    <t>Chave magica</t>
  </si>
  <si>
    <t>Cliente classic branco</t>
  </si>
  <si>
    <t>Cliente nayara Instagram</t>
  </si>
  <si>
    <t>Balança sf-400Atacado</t>
  </si>
  <si>
    <t>Fone i8</t>
  </si>
  <si>
    <t>Valor de custo</t>
  </si>
  <si>
    <t>Valor vendido</t>
  </si>
  <si>
    <t>Concluido</t>
  </si>
  <si>
    <t>Mes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</si>
</sst>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4" formatCode="_-&quot;R$&quot;\ * #,##0.00_-;\-&quot;R$&quot;\ * #,##0.00_-;_-&quot;R$&quot;\ * &quot;-&quot;??_-;_-@_-"/>
    <numFmt numFmtId="43" formatCode="_-* #,##0.00_-;\-* #,##0.00_-;_-* &quot;-&quot;??_-;_-@_-"/>
    <numFmt numFmtId="164" formatCode="_-&quot;R$&quot;* #,##0.00_-;\-&quot;R$&quot;* #,##0.00_-;_-&quot;R$&quot;* &quot;-&quot;??_-;_-@_-"/>
  </numFmts>
  <fonts count="29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14"/>
      <color theme="0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rgb="FF92D050"/>
      <name val="Calibri"/>
      <family val="2"/>
      <scheme val="minor"/>
    </font>
    <font>
      <b/>
      <sz val="11"/>
      <color rgb="FF00B050"/>
      <name val="Calibri"/>
      <family val="2"/>
      <scheme val="minor"/>
    </font>
    <font>
      <b/>
      <sz val="11"/>
      <name val="Calibri"/>
      <family val="2"/>
      <scheme val="minor"/>
    </font>
    <font>
      <b/>
      <sz val="12"/>
      <color theme="0"/>
      <name val="Calibri"/>
      <family val="2"/>
      <scheme val="minor"/>
    </font>
    <font>
      <sz val="11"/>
      <color rgb="FF212121"/>
      <name val="Calibri"/>
      <family val="2"/>
      <scheme val="minor"/>
    </font>
    <font>
      <b/>
      <sz val="16"/>
      <color theme="0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1"/>
      <color rgb="FF7030A0"/>
      <name val="Calibri"/>
      <family val="2"/>
      <scheme val="minor"/>
    </font>
    <font>
      <sz val="10"/>
      <color rgb="FF333333"/>
      <name val="Arial"/>
      <family val="2"/>
    </font>
    <font>
      <b/>
      <sz val="11"/>
      <color rgb="FF222222"/>
      <name val="Calibri"/>
      <family val="2"/>
      <scheme val="minor"/>
    </font>
    <font>
      <sz val="11"/>
      <color rgb="FF222222"/>
      <name val="Calibri"/>
      <family val="2"/>
      <scheme val="minor"/>
    </font>
    <font>
      <sz val="11"/>
      <color rgb="FFFF0000"/>
      <name val="Calibri"/>
      <family val="2"/>
      <scheme val="minor"/>
    </font>
    <font>
      <sz val="14"/>
      <color theme="1"/>
      <name val="Calibri"/>
      <family val="2"/>
      <scheme val="minor"/>
    </font>
    <font>
      <sz val="12"/>
      <color rgb="FF000000"/>
      <name val="Inherit"/>
    </font>
    <font>
      <i/>
      <sz val="11"/>
      <color theme="1"/>
      <name val="Calibri"/>
      <family val="2"/>
      <scheme val="minor"/>
    </font>
    <font>
      <sz val="11"/>
      <name val="Calibri"/>
      <family val="2"/>
      <scheme val="minor"/>
    </font>
    <font>
      <sz val="11"/>
      <color rgb="FF000000"/>
      <name val="Calibri"/>
      <family val="2"/>
      <scheme val="minor"/>
    </font>
    <font>
      <sz val="12"/>
      <color rgb="FF000000"/>
      <name val="Calibri"/>
      <family val="2"/>
      <scheme val="minor"/>
    </font>
    <font>
      <sz val="9"/>
      <color rgb="FF000000"/>
      <name val="Arial"/>
      <family val="2"/>
    </font>
    <font>
      <sz val="12"/>
      <color theme="1"/>
      <name val="Calibri"/>
      <family val="2"/>
      <scheme val="minor"/>
    </font>
    <font>
      <sz val="11"/>
      <color indexed="8"/>
      <name val="Calibri"/>
      <family val="2"/>
      <scheme val="minor"/>
    </font>
    <font>
      <sz val="11"/>
      <color indexed="9"/>
      <name val="Calibri"/>
      <family val="2"/>
      <scheme val="minor"/>
    </font>
    <font>
      <i/>
      <sz val="11"/>
      <color indexed="9"/>
      <name val="Calibri"/>
      <family val="2"/>
      <scheme val="minor"/>
    </font>
  </fonts>
  <fills count="10">
    <fill>
      <patternFill patternType="none"/>
    </fill>
    <fill>
      <patternFill patternType="gray125"/>
    </fill>
    <fill>
      <patternFill patternType="solid">
        <fgColor theme="6" tint="0.79998168889431442"/>
        <bgColor indexed="64"/>
      </patternFill>
    </fill>
    <fill>
      <patternFill patternType="solid">
        <fgColor rgb="FF002060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indexed="56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rgb="FF0070C0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theme="0"/>
        <bgColor indexed="64"/>
      </patternFill>
    </fill>
  </fills>
  <borders count="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4">
    <xf numFmtId="0" fontId="0" fillId="0" borderId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</cellStyleXfs>
  <cellXfs count="166">
    <xf numFmtId="0" fontId="0" fillId="0" borderId="0" xfId="0"/>
    <xf numFmtId="0" fontId="3" fillId="0" borderId="0" xfId="0" applyFont="1" applyAlignment="1">
      <alignment horizontal="center" vertical="center"/>
    </xf>
    <xf numFmtId="0" fontId="0" fillId="0" borderId="0" xfId="0" applyAlignment="1">
      <alignment horizontal="center" vertical="center"/>
    </xf>
    <xf numFmtId="0" fontId="4" fillId="3" borderId="1" xfId="0" applyFont="1" applyFill="1" applyBorder="1" applyAlignment="1">
      <alignment horizontal="center" vertical="center"/>
    </xf>
    <xf numFmtId="44" fontId="2" fillId="3" borderId="1" xfId="1" applyFont="1" applyFill="1" applyBorder="1" applyAlignment="1">
      <alignment horizontal="center" vertical="center"/>
    </xf>
    <xf numFmtId="44" fontId="2" fillId="3" borderId="1" xfId="0" applyNumberFormat="1" applyFont="1" applyFill="1" applyBorder="1"/>
    <xf numFmtId="0" fontId="2" fillId="3" borderId="1" xfId="0" applyFont="1" applyFill="1" applyBorder="1" applyAlignment="1">
      <alignment horizontal="center" vertical="center"/>
    </xf>
    <xf numFmtId="0" fontId="2" fillId="3" borderId="1" xfId="0" applyFont="1" applyFill="1" applyBorder="1" applyAlignment="1">
      <alignment horizontal="left" vertical="center"/>
    </xf>
    <xf numFmtId="0" fontId="0" fillId="0" borderId="1" xfId="0" applyBorder="1"/>
    <xf numFmtId="44" fontId="5" fillId="4" borderId="1" xfId="1" applyFont="1" applyFill="1" applyBorder="1" applyAlignment="1">
      <alignment horizontal="center" vertical="center"/>
    </xf>
    <xf numFmtId="44" fontId="5" fillId="2" borderId="1" xfId="1" applyFont="1" applyFill="1" applyBorder="1" applyAlignment="1">
      <alignment horizontal="center" vertical="center"/>
    </xf>
    <xf numFmtId="0" fontId="2" fillId="3" borderId="3" xfId="0" applyFont="1" applyFill="1" applyBorder="1" applyAlignment="1">
      <alignment vertical="center"/>
    </xf>
    <xf numFmtId="44" fontId="6" fillId="2" borderId="1" xfId="1" applyFont="1" applyFill="1" applyBorder="1" applyAlignment="1">
      <alignment horizontal="center" vertical="center"/>
    </xf>
    <xf numFmtId="0" fontId="3" fillId="0" borderId="0" xfId="0" applyFont="1"/>
    <xf numFmtId="44" fontId="7" fillId="4" borderId="1" xfId="1" applyFont="1" applyFill="1" applyBorder="1" applyAlignment="1">
      <alignment horizontal="center" vertical="center"/>
    </xf>
    <xf numFmtId="0" fontId="0" fillId="0" borderId="0" xfId="0" applyAlignment="1">
      <alignment horizontal="center"/>
    </xf>
    <xf numFmtId="44" fontId="8" fillId="2" borderId="1" xfId="1" applyFont="1" applyFill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164" fontId="0" fillId="0" borderId="1" xfId="1" applyNumberFormat="1" applyFont="1" applyBorder="1"/>
    <xf numFmtId="0" fontId="0" fillId="0" borderId="1" xfId="0" applyBorder="1" applyAlignment="1">
      <alignment horizontal="left" vertical="center"/>
    </xf>
    <xf numFmtId="44" fontId="9" fillId="7" borderId="1" xfId="1" applyFont="1" applyFill="1" applyBorder="1" applyAlignment="1">
      <alignment horizontal="center" vertical="center"/>
    </xf>
    <xf numFmtId="44" fontId="0" fillId="0" borderId="1" xfId="1" applyFont="1" applyBorder="1"/>
    <xf numFmtId="44" fontId="0" fillId="0" borderId="0" xfId="1" applyFont="1"/>
    <xf numFmtId="0" fontId="0" fillId="0" borderId="1" xfId="0" applyBorder="1" applyAlignment="1">
      <alignment horizontal="center"/>
    </xf>
    <xf numFmtId="0" fontId="0" fillId="0" borderId="1" xfId="0" applyBorder="1" applyAlignment="1">
      <alignment horizontal="left"/>
    </xf>
    <xf numFmtId="0" fontId="0" fillId="0" borderId="1" xfId="0" applyBorder="1" applyAlignment="1">
      <alignment vertical="center"/>
    </xf>
    <xf numFmtId="44" fontId="2" fillId="3" borderId="1" xfId="1" applyFont="1" applyFill="1" applyBorder="1"/>
    <xf numFmtId="0" fontId="4" fillId="7" borderId="1" xfId="0" applyFont="1" applyFill="1" applyBorder="1" applyAlignment="1">
      <alignment horizontal="center" vertical="center"/>
    </xf>
    <xf numFmtId="0" fontId="10" fillId="0" borderId="1" xfId="0" applyFont="1" applyBorder="1" applyAlignment="1">
      <alignment horizontal="left"/>
    </xf>
    <xf numFmtId="44" fontId="10" fillId="0" borderId="1" xfId="1" applyFont="1" applyBorder="1" applyAlignment="1">
      <alignment horizontal="left"/>
    </xf>
    <xf numFmtId="44" fontId="8" fillId="4" borderId="1" xfId="1" applyFont="1" applyFill="1" applyBorder="1" applyAlignment="1">
      <alignment horizontal="center" vertical="center"/>
    </xf>
    <xf numFmtId="0" fontId="0" fillId="0" borderId="1" xfId="2" applyNumberFormat="1" applyFont="1" applyBorder="1" applyAlignment="1">
      <alignment horizontal="center" vertical="center"/>
    </xf>
    <xf numFmtId="20" fontId="0" fillId="0" borderId="1" xfId="0" applyNumberFormat="1" applyBorder="1" applyAlignment="1">
      <alignment horizontal="center" vertical="center"/>
    </xf>
    <xf numFmtId="44" fontId="0" fillId="0" borderId="1" xfId="1" applyFont="1" applyBorder="1" applyAlignment="1">
      <alignment horizontal="center" vertical="center"/>
    </xf>
    <xf numFmtId="0" fontId="13" fillId="3" borderId="1" xfId="0" applyFont="1" applyFill="1" applyBorder="1" applyAlignment="1">
      <alignment horizontal="center" vertical="center"/>
    </xf>
    <xf numFmtId="0" fontId="14" fillId="0" borderId="0" xfId="0" applyFont="1"/>
    <xf numFmtId="44" fontId="12" fillId="3" borderId="1" xfId="1" applyFont="1" applyFill="1" applyBorder="1" applyAlignment="1">
      <alignment horizontal="center"/>
    </xf>
    <xf numFmtId="0" fontId="12" fillId="3" borderId="1" xfId="0" applyFont="1" applyFill="1" applyBorder="1" applyAlignment="1">
      <alignment horizontal="center"/>
    </xf>
    <xf numFmtId="0" fontId="12" fillId="3" borderId="1" xfId="1" applyNumberFormat="1" applyFont="1" applyFill="1" applyBorder="1" applyAlignment="1">
      <alignment horizontal="center"/>
    </xf>
    <xf numFmtId="44" fontId="0" fillId="0" borderId="1" xfId="1" applyFont="1" applyBorder="1" applyAlignment="1">
      <alignment horizontal="center" vertical="center"/>
    </xf>
    <xf numFmtId="0" fontId="0" fillId="0" borderId="1" xfId="0" applyFont="1" applyBorder="1" applyAlignment="1">
      <alignment horizontal="left"/>
    </xf>
    <xf numFmtId="0" fontId="0" fillId="0" borderId="1" xfId="0" applyFont="1" applyBorder="1" applyAlignment="1"/>
    <xf numFmtId="0" fontId="15" fillId="8" borderId="1" xfId="0" applyFont="1" applyFill="1" applyBorder="1" applyAlignment="1">
      <alignment horizontal="left" vertical="top"/>
    </xf>
    <xf numFmtId="0" fontId="16" fillId="8" borderId="1" xfId="0" applyFont="1" applyFill="1" applyBorder="1" applyAlignment="1">
      <alignment horizontal="left" vertical="top"/>
    </xf>
    <xf numFmtId="44" fontId="1" fillId="0" borderId="1" xfId="1" applyFont="1" applyBorder="1"/>
    <xf numFmtId="44" fontId="16" fillId="8" borderId="1" xfId="1" applyFont="1" applyFill="1" applyBorder="1" applyAlignment="1">
      <alignment horizontal="right" vertical="top" wrapText="1" indent="1"/>
    </xf>
    <xf numFmtId="0" fontId="0" fillId="0" borderId="1" xfId="0" applyFont="1" applyBorder="1"/>
    <xf numFmtId="0" fontId="0" fillId="0" borderId="1" xfId="0" applyFont="1" applyBorder="1" applyAlignment="1">
      <alignment horizontal="left" vertical="center"/>
    </xf>
    <xf numFmtId="44" fontId="0" fillId="0" borderId="1" xfId="1" applyFont="1" applyBorder="1" applyAlignment="1">
      <alignment horizontal="center" vertical="center"/>
    </xf>
    <xf numFmtId="44" fontId="0" fillId="0" borderId="1" xfId="1" applyFont="1" applyBorder="1" applyAlignment="1"/>
    <xf numFmtId="44" fontId="16" fillId="8" borderId="1" xfId="1" applyFont="1" applyFill="1" applyBorder="1" applyAlignment="1">
      <alignment vertical="top" wrapText="1"/>
    </xf>
    <xf numFmtId="44" fontId="5" fillId="0" borderId="1" xfId="1" applyFont="1" applyBorder="1" applyAlignment="1">
      <alignment horizontal="center" vertical="center"/>
    </xf>
    <xf numFmtId="44" fontId="4" fillId="3" borderId="1" xfId="1" applyFont="1" applyFill="1" applyBorder="1" applyAlignment="1">
      <alignment horizontal="center" vertical="center"/>
    </xf>
    <xf numFmtId="0" fontId="18" fillId="0" borderId="0" xfId="0" applyFont="1"/>
    <xf numFmtId="0" fontId="0" fillId="9" borderId="1" xfId="0" applyFont="1" applyFill="1" applyBorder="1"/>
    <xf numFmtId="0" fontId="0" fillId="9" borderId="1" xfId="0" applyFont="1" applyFill="1" applyBorder="1" applyAlignment="1">
      <alignment horizontal="center" vertical="center"/>
    </xf>
    <xf numFmtId="20" fontId="0" fillId="9" borderId="1" xfId="2" applyNumberFormat="1" applyFont="1" applyFill="1" applyBorder="1" applyAlignment="1">
      <alignment horizontal="center" vertical="center"/>
    </xf>
    <xf numFmtId="0" fontId="0" fillId="9" borderId="1" xfId="2" applyNumberFormat="1" applyFont="1" applyFill="1" applyBorder="1" applyAlignment="1">
      <alignment horizontal="center" vertical="center"/>
    </xf>
    <xf numFmtId="44" fontId="0" fillId="9" borderId="1" xfId="1" applyFont="1" applyFill="1" applyBorder="1" applyAlignment="1">
      <alignment horizontal="center" vertical="center"/>
    </xf>
    <xf numFmtId="44" fontId="3" fillId="9" borderId="1" xfId="1" applyFont="1" applyFill="1" applyBorder="1" applyAlignment="1">
      <alignment horizontal="center" vertical="center"/>
    </xf>
    <xf numFmtId="44" fontId="3" fillId="0" borderId="1" xfId="1" applyFont="1" applyBorder="1" applyAlignment="1">
      <alignment horizontal="center"/>
    </xf>
    <xf numFmtId="44" fontId="3" fillId="0" borderId="1" xfId="1" applyFont="1" applyBorder="1"/>
    <xf numFmtId="0" fontId="4" fillId="3" borderId="1" xfId="0" applyFont="1" applyFill="1" applyBorder="1" applyAlignment="1">
      <alignment horizontal="center"/>
    </xf>
    <xf numFmtId="0" fontId="0" fillId="0" borderId="1" xfId="0" applyFont="1" applyBorder="1" applyAlignment="1">
      <alignment vertical="center"/>
    </xf>
    <xf numFmtId="0" fontId="19" fillId="0" borderId="0" xfId="0" applyFont="1" applyAlignment="1">
      <alignment horizontal="left" vertical="center"/>
    </xf>
    <xf numFmtId="0" fontId="0" fillId="0" borderId="1" xfId="0" applyFill="1" applyBorder="1"/>
    <xf numFmtId="0" fontId="0" fillId="0" borderId="1" xfId="0" applyFill="1" applyBorder="1" applyAlignment="1">
      <alignment horizontal="center" vertical="center"/>
    </xf>
    <xf numFmtId="0" fontId="0" fillId="0" borderId="1" xfId="2" applyNumberFormat="1" applyFont="1" applyFill="1" applyBorder="1" applyAlignment="1">
      <alignment horizontal="center" vertical="center"/>
    </xf>
    <xf numFmtId="44" fontId="0" fillId="0" borderId="1" xfId="1" applyFont="1" applyFill="1" applyBorder="1" applyAlignment="1">
      <alignment horizontal="center" vertical="center"/>
    </xf>
    <xf numFmtId="44" fontId="3" fillId="0" borderId="1" xfId="1" applyFont="1" applyFill="1" applyBorder="1" applyAlignment="1">
      <alignment horizontal="center"/>
    </xf>
    <xf numFmtId="44" fontId="5" fillId="0" borderId="1" xfId="1" applyFont="1" applyFill="1" applyBorder="1" applyAlignment="1">
      <alignment horizontal="center" vertical="center"/>
    </xf>
    <xf numFmtId="0" fontId="4" fillId="7" borderId="1" xfId="0" applyNumberFormat="1" applyFont="1" applyFill="1" applyBorder="1" applyAlignment="1">
      <alignment horizontal="center" vertical="center"/>
    </xf>
    <xf numFmtId="44" fontId="0" fillId="0" borderId="1" xfId="1" applyFont="1" applyBorder="1" applyAlignment="1">
      <alignment horizontal="center" vertical="center"/>
    </xf>
    <xf numFmtId="0" fontId="0" fillId="0" borderId="1" xfId="0" applyFont="1" applyFill="1" applyBorder="1" applyAlignment="1">
      <alignment horizontal="left" vertical="center"/>
    </xf>
    <xf numFmtId="16" fontId="0" fillId="0" borderId="1" xfId="0" applyNumberFormat="1" applyBorder="1" applyAlignment="1">
      <alignment horizontal="center" vertical="center"/>
    </xf>
    <xf numFmtId="0" fontId="0" fillId="0" borderId="1" xfId="0" applyFill="1" applyBorder="1" applyAlignment="1">
      <alignment horizontal="left" vertical="center"/>
    </xf>
    <xf numFmtId="44" fontId="0" fillId="0" borderId="1" xfId="1" applyFont="1" applyFill="1" applyBorder="1"/>
    <xf numFmtId="44" fontId="1" fillId="0" borderId="1" xfId="1" applyFont="1" applyFill="1" applyBorder="1"/>
    <xf numFmtId="0" fontId="0" fillId="0" borderId="1" xfId="0" applyFont="1" applyFill="1" applyBorder="1" applyAlignment="1">
      <alignment vertical="center"/>
    </xf>
    <xf numFmtId="0" fontId="10" fillId="0" borderId="1" xfId="0" applyFont="1" applyFill="1" applyBorder="1" applyAlignment="1">
      <alignment horizontal="left"/>
    </xf>
    <xf numFmtId="0" fontId="0" fillId="0" borderId="1" xfId="0" applyFill="1" applyBorder="1" applyAlignment="1">
      <alignment horizontal="left"/>
    </xf>
    <xf numFmtId="9" fontId="0" fillId="0" borderId="1" xfId="3" applyFont="1" applyBorder="1" applyAlignment="1">
      <alignment horizontal="center" vertical="center"/>
    </xf>
    <xf numFmtId="9" fontId="0" fillId="0" borderId="1" xfId="3" applyFont="1" applyBorder="1" applyAlignment="1">
      <alignment horizontal="center"/>
    </xf>
    <xf numFmtId="0" fontId="5" fillId="0" borderId="1" xfId="0" applyFont="1" applyFill="1" applyBorder="1"/>
    <xf numFmtId="0" fontId="5" fillId="0" borderId="1" xfId="0" applyFont="1" applyBorder="1" applyAlignment="1">
      <alignment horizontal="left" vertical="center"/>
    </xf>
    <xf numFmtId="0" fontId="0" fillId="0" borderId="1" xfId="0" applyFont="1" applyFill="1" applyBorder="1"/>
    <xf numFmtId="44" fontId="0" fillId="0" borderId="0" xfId="1" applyFont="1" applyAlignment="1">
      <alignment horizontal="center"/>
    </xf>
    <xf numFmtId="9" fontId="4" fillId="7" borderId="1" xfId="3" applyFont="1" applyFill="1" applyBorder="1" applyAlignment="1">
      <alignment horizontal="center" vertical="center"/>
    </xf>
    <xf numFmtId="0" fontId="0" fillId="0" borderId="1" xfId="0" applyFont="1" applyFill="1" applyBorder="1" applyAlignment="1">
      <alignment horizontal="left"/>
    </xf>
    <xf numFmtId="0" fontId="0" fillId="0" borderId="1" xfId="0" applyFont="1" applyBorder="1" applyAlignment="1">
      <alignment horizontal="center" vertical="center"/>
    </xf>
    <xf numFmtId="0" fontId="0" fillId="0" borderId="1" xfId="0" applyFont="1" applyBorder="1" applyAlignment="1">
      <alignment horizontal="center"/>
    </xf>
    <xf numFmtId="0" fontId="17" fillId="0" borderId="1" xfId="0" applyFont="1" applyFill="1" applyBorder="1" applyAlignment="1">
      <alignment vertical="center"/>
    </xf>
    <xf numFmtId="0" fontId="0" fillId="0" borderId="1" xfId="0" applyBorder="1" applyAlignment="1"/>
    <xf numFmtId="0" fontId="21" fillId="0" borderId="1" xfId="0" applyFont="1" applyFill="1" applyBorder="1" applyAlignment="1">
      <alignment horizontal="left" vertical="top"/>
    </xf>
    <xf numFmtId="44" fontId="0" fillId="0" borderId="1" xfId="1" applyFont="1" applyBorder="1" applyAlignment="1">
      <alignment horizontal="center"/>
    </xf>
    <xf numFmtId="44" fontId="16" fillId="8" borderId="1" xfId="1" applyFont="1" applyFill="1" applyBorder="1" applyAlignment="1">
      <alignment horizontal="center" vertical="top" wrapText="1"/>
    </xf>
    <xf numFmtId="44" fontId="10" fillId="0" borderId="1" xfId="1" applyFont="1" applyBorder="1" applyAlignment="1">
      <alignment horizontal="center"/>
    </xf>
    <xf numFmtId="44" fontId="0" fillId="0" borderId="1" xfId="1" applyFont="1" applyFill="1" applyBorder="1" applyAlignment="1">
      <alignment horizontal="center"/>
    </xf>
    <xf numFmtId="44" fontId="1" fillId="0" borderId="1" xfId="1" applyFont="1" applyBorder="1" applyAlignment="1">
      <alignment horizontal="left"/>
    </xf>
    <xf numFmtId="44" fontId="22" fillId="0" borderId="1" xfId="1" applyFont="1" applyFill="1" applyBorder="1" applyAlignment="1">
      <alignment horizontal="left" vertical="top" shrinkToFit="1"/>
    </xf>
    <xf numFmtId="0" fontId="0" fillId="0" borderId="1" xfId="0" applyFont="1" applyFill="1" applyBorder="1" applyAlignment="1">
      <alignment vertical="top"/>
    </xf>
    <xf numFmtId="16" fontId="0" fillId="0" borderId="1" xfId="0" applyNumberFormat="1" applyFont="1" applyBorder="1" applyAlignment="1">
      <alignment horizontal="center" vertical="center"/>
    </xf>
    <xf numFmtId="44" fontId="1" fillId="0" borderId="1" xfId="1" applyFont="1" applyBorder="1" applyAlignment="1">
      <alignment horizontal="center"/>
    </xf>
    <xf numFmtId="9" fontId="1" fillId="0" borderId="1" xfId="3" applyFont="1" applyBorder="1" applyAlignment="1">
      <alignment horizontal="center" vertical="center"/>
    </xf>
    <xf numFmtId="164" fontId="0" fillId="0" borderId="1" xfId="1" applyNumberFormat="1" applyFont="1" applyBorder="1" applyAlignment="1">
      <alignment horizontal="center"/>
    </xf>
    <xf numFmtId="9" fontId="0" fillId="0" borderId="1" xfId="3" applyFont="1" applyBorder="1"/>
    <xf numFmtId="9" fontId="10" fillId="0" borderId="1" xfId="3" applyFont="1" applyBorder="1" applyAlignment="1">
      <alignment horizontal="left"/>
    </xf>
    <xf numFmtId="0" fontId="0" fillId="0" borderId="1" xfId="0" quotePrefix="1" applyFont="1" applyBorder="1" applyAlignment="1"/>
    <xf numFmtId="1" fontId="0" fillId="0" borderId="1" xfId="0" applyNumberFormat="1" applyBorder="1" applyAlignment="1">
      <alignment horizontal="center" vertical="center"/>
    </xf>
    <xf numFmtId="1" fontId="0" fillId="0" borderId="1" xfId="0" applyNumberFormat="1" applyFont="1" applyBorder="1" applyAlignment="1">
      <alignment horizontal="center" vertical="center"/>
    </xf>
    <xf numFmtId="1" fontId="0" fillId="0" borderId="1" xfId="0" applyNumberFormat="1" applyFont="1" applyFill="1" applyBorder="1" applyAlignment="1">
      <alignment horizontal="center"/>
    </xf>
    <xf numFmtId="9" fontId="0" fillId="0" borderId="1" xfId="3" quotePrefix="1" applyFont="1" applyBorder="1" applyAlignment="1">
      <alignment horizontal="center" vertical="center"/>
    </xf>
    <xf numFmtId="0" fontId="4" fillId="7" borderId="1" xfId="3" applyNumberFormat="1" applyFont="1" applyFill="1" applyBorder="1" applyAlignment="1">
      <alignment horizontal="center" vertical="center"/>
    </xf>
    <xf numFmtId="44" fontId="9" fillId="7" borderId="1" xfId="1" applyFont="1" applyFill="1" applyBorder="1" applyAlignment="1">
      <alignment vertical="center"/>
    </xf>
    <xf numFmtId="44" fontId="0" fillId="0" borderId="5" xfId="1" applyFont="1" applyBorder="1"/>
    <xf numFmtId="44" fontId="25" fillId="0" borderId="1" xfId="1" applyFont="1" applyBorder="1" applyAlignment="1"/>
    <xf numFmtId="44" fontId="25" fillId="0" borderId="1" xfId="1" applyFont="1" applyBorder="1" applyAlignment="1">
      <alignment horizontal="center"/>
    </xf>
    <xf numFmtId="44" fontId="25" fillId="0" borderId="1" xfId="1" applyFont="1" applyBorder="1"/>
    <xf numFmtId="44" fontId="23" fillId="0" borderId="1" xfId="1" applyFont="1" applyBorder="1" applyAlignment="1">
      <alignment vertical="center"/>
    </xf>
    <xf numFmtId="0" fontId="24" fillId="0" borderId="1" xfId="0" applyFont="1" applyBorder="1" applyAlignment="1">
      <alignment vertical="center"/>
    </xf>
    <xf numFmtId="0" fontId="0" fillId="0" borderId="2" xfId="0" applyBorder="1" applyAlignment="1">
      <alignment horizontal="left" vertical="center"/>
    </xf>
    <xf numFmtId="0" fontId="11" fillId="7" borderId="3" xfId="0" applyFont="1" applyFill="1" applyBorder="1" applyAlignment="1">
      <alignment horizontal="center" vertical="center"/>
    </xf>
    <xf numFmtId="0" fontId="11" fillId="7" borderId="4" xfId="0" applyFont="1" applyFill="1" applyBorder="1" applyAlignment="1">
      <alignment horizontal="center" vertical="center"/>
    </xf>
    <xf numFmtId="1" fontId="11" fillId="7" borderId="4" xfId="0" applyNumberFormat="1" applyFont="1" applyFill="1" applyBorder="1" applyAlignment="1">
      <alignment horizontal="center" vertical="center"/>
    </xf>
    <xf numFmtId="0" fontId="17" fillId="0" borderId="0" xfId="0" applyFont="1" applyAlignment="1">
      <alignment horizontal="center"/>
    </xf>
    <xf numFmtId="0" fontId="17" fillId="0" borderId="1" xfId="0" applyFont="1" applyBorder="1"/>
    <xf numFmtId="44" fontId="17" fillId="0" borderId="1" xfId="1" applyFont="1" applyFill="1" applyBorder="1" applyAlignment="1">
      <alignment horizontal="center"/>
    </xf>
    <xf numFmtId="44" fontId="17" fillId="0" borderId="1" xfId="1" applyFont="1" applyFill="1" applyBorder="1"/>
    <xf numFmtId="9" fontId="17" fillId="0" borderId="1" xfId="3" applyFont="1" applyBorder="1" applyAlignment="1">
      <alignment horizontal="center"/>
    </xf>
    <xf numFmtId="16" fontId="17" fillId="0" borderId="1" xfId="0" applyNumberFormat="1" applyFont="1" applyBorder="1" applyAlignment="1">
      <alignment horizontal="center" vertical="center"/>
    </xf>
    <xf numFmtId="0" fontId="17" fillId="0" borderId="0" xfId="0" applyFont="1"/>
    <xf numFmtId="0" fontId="17" fillId="0" borderId="1" xfId="0" applyFont="1" applyFill="1" applyBorder="1" applyAlignment="1">
      <alignment horizontal="left"/>
    </xf>
    <xf numFmtId="44" fontId="17" fillId="0" borderId="1" xfId="1" applyFont="1" applyFill="1" applyBorder="1" applyAlignment="1"/>
    <xf numFmtId="0" fontId="17" fillId="0" borderId="1" xfId="0" applyFont="1" applyFill="1" applyBorder="1"/>
    <xf numFmtId="0" fontId="17" fillId="0" borderId="0" xfId="0" applyFont="1" applyAlignment="1">
      <alignment horizontal="center" vertical="center"/>
    </xf>
    <xf numFmtId="1" fontId="0" fillId="0" borderId="1" xfId="0" applyNumberFormat="1" applyBorder="1" applyAlignment="1">
      <alignment horizontal="left" vertical="center"/>
    </xf>
    <xf numFmtId="0" fontId="0" fillId="0" borderId="1" xfId="1" applyNumberFormat="1" applyFont="1" applyBorder="1" applyAlignment="1">
      <alignment horizontal="left"/>
    </xf>
    <xf numFmtId="0" fontId="17" fillId="0" borderId="1" xfId="0" applyFont="1" applyBorder="1" applyAlignment="1">
      <alignment horizontal="left"/>
    </xf>
    <xf numFmtId="0" fontId="11" fillId="7" borderId="5" xfId="0" applyFont="1" applyFill="1" applyBorder="1" applyAlignment="1">
      <alignment horizontal="left" vertical="center"/>
    </xf>
    <xf numFmtId="0" fontId="0" fillId="0" borderId="1" xfId="0" applyFont="1" applyFill="1" applyBorder="1" applyAlignment="1">
      <alignment horizontal="left" vertical="top"/>
    </xf>
    <xf numFmtId="0" fontId="0" fillId="0" borderId="1" xfId="0" quotePrefix="1" applyFont="1" applyBorder="1" applyAlignment="1">
      <alignment horizontal="left"/>
    </xf>
    <xf numFmtId="1" fontId="0" fillId="0" borderId="1" xfId="0" quotePrefix="1" applyNumberFormat="1" applyBorder="1" applyAlignment="1">
      <alignment horizontal="center" vertical="center"/>
    </xf>
    <xf numFmtId="0" fontId="0" fillId="0" borderId="1" xfId="0" quotePrefix="1" applyBorder="1" applyAlignment="1">
      <alignment horizontal="left" vertical="center"/>
    </xf>
    <xf numFmtId="16" fontId="0" fillId="0" borderId="1" xfId="0" applyNumberFormat="1" applyBorder="1"/>
    <xf numFmtId="0" fontId="0" fillId="0" borderId="1" xfId="0" quotePrefix="1" applyBorder="1" applyAlignment="1">
      <alignment horizontal="left"/>
    </xf>
    <xf numFmtId="44" fontId="21" fillId="6" borderId="1" xfId="1" applyFont="1" applyFill="1" applyBorder="1" applyAlignment="1">
      <alignment horizontal="center" vertical="center"/>
    </xf>
    <xf numFmtId="44" fontId="21" fillId="6" borderId="1" xfId="1" applyFont="1" applyFill="1" applyBorder="1" applyAlignment="1">
      <alignment vertical="center"/>
    </xf>
    <xf numFmtId="14" fontId="21" fillId="6" borderId="1" xfId="0" applyNumberFormat="1" applyFont="1" applyFill="1" applyBorder="1" applyAlignment="1">
      <alignment horizontal="center" vertical="center"/>
    </xf>
    <xf numFmtId="0" fontId="27" fillId="5" borderId="1" xfId="0" applyFont="1" applyFill="1" applyBorder="1" applyAlignment="1">
      <alignment horizontal="center" vertical="center"/>
    </xf>
    <xf numFmtId="0" fontId="28" fillId="5" borderId="1" xfId="2" applyNumberFormat="1" applyFont="1" applyFill="1" applyBorder="1" applyAlignment="1">
      <alignment horizontal="center" vertical="center"/>
    </xf>
    <xf numFmtId="44" fontId="27" fillId="5" borderId="1" xfId="1" applyFont="1" applyFill="1" applyBorder="1" applyAlignment="1">
      <alignment horizontal="center" vertical="center"/>
    </xf>
    <xf numFmtId="14" fontId="27" fillId="5" borderId="1" xfId="0" applyNumberFormat="1" applyFont="1" applyFill="1" applyBorder="1" applyAlignment="1">
      <alignment horizontal="center" vertical="center"/>
    </xf>
    <xf numFmtId="0" fontId="26" fillId="0" borderId="1" xfId="0" applyFont="1" applyBorder="1" applyAlignment="1">
      <alignment vertical="center"/>
    </xf>
    <xf numFmtId="0" fontId="26" fillId="6" borderId="1" xfId="0" applyFont="1" applyFill="1" applyBorder="1" applyAlignment="1">
      <alignment vertical="center"/>
    </xf>
    <xf numFmtId="164" fontId="1" fillId="0" borderId="1" xfId="1" applyNumberFormat="1" applyFont="1" applyBorder="1" applyAlignment="1">
      <alignment horizontal="center" vertical="center"/>
    </xf>
    <xf numFmtId="164" fontId="1" fillId="0" borderId="1" xfId="1" applyNumberFormat="1" applyFont="1" applyBorder="1"/>
    <xf numFmtId="0" fontId="1" fillId="0" borderId="1" xfId="1" applyNumberFormat="1" applyFont="1" applyBorder="1" applyAlignment="1">
      <alignment horizontal="left"/>
    </xf>
    <xf numFmtId="44" fontId="1" fillId="0" borderId="1" xfId="1" applyFont="1" applyBorder="1" applyAlignment="1"/>
    <xf numFmtId="44" fontId="1" fillId="0" borderId="1" xfId="1" applyFont="1" applyFill="1" applyBorder="1" applyAlignment="1"/>
    <xf numFmtId="164" fontId="1" fillId="0" borderId="1" xfId="1" applyNumberFormat="1" applyFont="1" applyBorder="1" applyAlignment="1">
      <alignment horizontal="center"/>
    </xf>
    <xf numFmtId="0" fontId="11" fillId="7" borderId="1" xfId="0" applyFont="1" applyFill="1" applyBorder="1" applyAlignment="1">
      <alignment horizontal="center" vertical="center"/>
    </xf>
    <xf numFmtId="1" fontId="11" fillId="7" borderId="1" xfId="0" applyNumberFormat="1" applyFont="1" applyFill="1" applyBorder="1" applyAlignment="1">
      <alignment horizontal="center" vertical="center"/>
    </xf>
    <xf numFmtId="0" fontId="11" fillId="7" borderId="3" xfId="0" applyFont="1" applyFill="1" applyBorder="1" applyAlignment="1">
      <alignment horizontal="center" vertical="center"/>
    </xf>
    <xf numFmtId="0" fontId="11" fillId="7" borderId="4" xfId="0" applyFont="1" applyFill="1" applyBorder="1" applyAlignment="1">
      <alignment horizontal="center" vertical="center"/>
    </xf>
    <xf numFmtId="0" fontId="11" fillId="7" borderId="5" xfId="0" applyFont="1" applyFill="1" applyBorder="1" applyAlignment="1">
      <alignment horizontal="center" vertical="center"/>
    </xf>
    <xf numFmtId="1" fontId="11" fillId="7" borderId="4" xfId="0" applyNumberFormat="1" applyFont="1" applyFill="1" applyBorder="1" applyAlignment="1">
      <alignment horizontal="center" vertical="center"/>
    </xf>
  </cellXfs>
  <cellStyles count="4">
    <cellStyle name="Moeda" xfId="1" builtinId="4"/>
    <cellStyle name="Normal" xfId="0" builtinId="0"/>
    <cellStyle name="Porcentagem" xfId="3" builtinId="5"/>
    <cellStyle name="Vírgula" xfId="2" builtinId="3"/>
  </cellStyles>
  <dxfs count="57">
    <dxf>
      <font>
        <b/>
        <i/>
        <color rgb="FF00B050"/>
      </font>
    </dxf>
    <dxf>
      <font>
        <b/>
        <i/>
        <color rgb="FF00B050"/>
      </font>
    </dxf>
    <dxf>
      <font>
        <color rgb="FF9C0006"/>
      </font>
      <fill>
        <patternFill>
          <bgColor rgb="FFFFC7CE"/>
        </patternFill>
      </fill>
    </dxf>
    <dxf>
      <font>
        <b/>
        <i/>
        <color rgb="FFC00000"/>
      </font>
    </dxf>
    <dxf>
      <font>
        <b/>
        <i/>
        <color rgb="FF7030A0"/>
      </font>
    </dxf>
    <dxf>
      <font>
        <b/>
        <i/>
        <color rgb="FF002060"/>
      </font>
    </dxf>
    <dxf>
      <font>
        <b/>
        <i/>
        <color rgb="FF00B050"/>
      </font>
    </dxf>
    <dxf>
      <font>
        <b/>
        <i/>
        <color rgb="FF00B0F0"/>
      </font>
    </dxf>
    <dxf>
      <font>
        <b/>
        <i/>
        <color rgb="FFC00000"/>
      </font>
    </dxf>
    <dxf>
      <font>
        <b/>
        <i/>
        <color rgb="FF7030A0"/>
      </font>
    </dxf>
    <dxf>
      <font>
        <b/>
        <i/>
        <color rgb="FF002060"/>
      </font>
    </dxf>
    <dxf>
      <font>
        <b/>
        <i/>
        <color rgb="FF00B050"/>
      </font>
    </dxf>
    <dxf>
      <font>
        <b/>
        <i/>
        <color rgb="FF00B0F0"/>
      </font>
    </dxf>
    <dxf>
      <font>
        <b/>
        <i/>
        <color rgb="FFC00000"/>
      </font>
    </dxf>
    <dxf>
      <font>
        <b/>
        <i/>
        <color rgb="FF7030A0"/>
      </font>
    </dxf>
    <dxf>
      <font>
        <b/>
        <i/>
        <color rgb="FF002060"/>
      </font>
    </dxf>
    <dxf>
      <font>
        <b/>
        <i/>
        <color rgb="FF00B050"/>
      </font>
    </dxf>
    <dxf>
      <font>
        <b/>
        <i/>
        <color rgb="FF00B0F0"/>
      </font>
    </dxf>
    <dxf>
      <font>
        <b/>
        <i/>
        <color rgb="FFC00000"/>
      </font>
    </dxf>
    <dxf>
      <font>
        <b/>
        <i/>
        <color rgb="FF7030A0"/>
      </font>
    </dxf>
    <dxf>
      <font>
        <b/>
        <i/>
        <color rgb="FF002060"/>
      </font>
    </dxf>
    <dxf>
      <font>
        <b/>
        <i/>
        <color rgb="FF00B050"/>
      </font>
    </dxf>
    <dxf>
      <font>
        <b/>
        <i/>
        <color rgb="FF00B0F0"/>
      </font>
    </dxf>
    <dxf>
      <font>
        <b/>
        <i/>
        <color rgb="FFC00000"/>
      </font>
    </dxf>
    <dxf>
      <font>
        <b/>
        <i/>
        <color rgb="FF7030A0"/>
      </font>
    </dxf>
    <dxf>
      <font>
        <b/>
        <i/>
        <color rgb="FF002060"/>
      </font>
    </dxf>
    <dxf>
      <font>
        <b/>
        <i/>
        <color rgb="FF00B050"/>
      </font>
    </dxf>
    <dxf>
      <font>
        <b/>
        <i/>
        <color rgb="FF00B0F0"/>
      </font>
    </dxf>
    <dxf>
      <font>
        <b/>
        <i/>
        <color rgb="FFC00000"/>
      </font>
    </dxf>
    <dxf>
      <font>
        <b/>
        <i/>
        <color rgb="FF7030A0"/>
      </font>
    </dxf>
    <dxf>
      <font>
        <b/>
        <i/>
        <color rgb="FF002060"/>
      </font>
    </dxf>
    <dxf>
      <font>
        <b/>
        <i/>
        <color rgb="FF00B050"/>
      </font>
    </dxf>
    <dxf>
      <font>
        <b/>
        <i/>
        <color rgb="FF00B0F0"/>
      </font>
    </dxf>
    <dxf>
      <font>
        <b/>
        <i/>
        <color rgb="FF00B050"/>
      </font>
    </dxf>
    <dxf>
      <font>
        <b/>
        <i/>
        <color rgb="FF7030A0"/>
      </font>
    </dxf>
    <dxf>
      <font>
        <b/>
        <i/>
        <color rgb="FF002060"/>
      </font>
    </dxf>
    <dxf>
      <font>
        <b/>
        <i/>
        <color rgb="FFC00000"/>
      </font>
    </dxf>
    <dxf>
      <font>
        <b/>
        <i/>
        <color theme="8"/>
      </font>
    </dxf>
    <dxf>
      <font>
        <b/>
        <i/>
        <color rgb="FFC00000"/>
      </font>
    </dxf>
    <dxf>
      <font>
        <b/>
        <i/>
        <color rgb="FFBE0CC2"/>
      </font>
    </dxf>
    <dxf>
      <font>
        <b/>
        <i/>
        <color theme="9" tint="-0.24994659260841701"/>
      </font>
    </dxf>
    <dxf>
      <font>
        <b/>
        <i/>
        <color rgb="FF00B050"/>
      </font>
    </dxf>
    <dxf>
      <font>
        <b/>
        <i/>
        <color rgb="FF7030A0"/>
      </font>
    </dxf>
    <dxf>
      <font>
        <b/>
        <i/>
        <color rgb="FF002060"/>
      </font>
    </dxf>
    <dxf>
      <font>
        <b/>
        <i/>
        <color rgb="FFC00000"/>
      </font>
    </dxf>
    <dxf>
      <font>
        <b/>
        <i/>
        <color theme="8"/>
      </font>
    </dxf>
    <dxf>
      <font>
        <b/>
        <i/>
        <color rgb="FFC00000"/>
      </font>
    </dxf>
    <dxf>
      <font>
        <b/>
        <i/>
        <color rgb="FF00B0F0"/>
      </font>
    </dxf>
    <dxf>
      <font>
        <b/>
        <i/>
        <color rgb="FFC00000"/>
      </font>
    </dxf>
    <dxf>
      <font>
        <b/>
        <i/>
        <color rgb="FFBE0CC2"/>
      </font>
    </dxf>
    <dxf>
      <font>
        <b/>
        <i/>
        <color rgb="FFFFC000"/>
      </font>
    </dxf>
    <dxf>
      <font>
        <b/>
        <i/>
        <color rgb="FF7030A0"/>
      </font>
    </dxf>
    <dxf>
      <font>
        <b/>
        <i/>
        <color rgb="FF002060"/>
      </font>
    </dxf>
    <dxf>
      <font>
        <b/>
        <i/>
        <color rgb="FF00B050"/>
      </font>
    </dxf>
    <dxf>
      <font>
        <b/>
        <i/>
        <color rgb="FFC00000"/>
      </font>
    </dxf>
    <dxf>
      <font>
        <b/>
        <i/>
        <color theme="3"/>
      </font>
    </dxf>
    <dxf>
      <font>
        <b/>
        <i/>
        <color rgb="FFFF0000"/>
      </font>
    </dxf>
  </dxfs>
  <tableStyles count="0" defaultTableStyle="TableStyleMedium2" defaultPivotStyle="PivotStyleLight16"/>
  <colors>
    <mruColors>
      <color rgb="FFBE0CC2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/>
              <a:t> Grafico de Gastos pessoais </a:t>
            </a:r>
            <a:endParaRPr lang="en-US" baseline="0"/>
          </a:p>
        </c:rich>
      </c:tx>
      <c:overlay val="0"/>
    </c:title>
    <c:autoTitleDeleted val="0"/>
    <c:view3D>
      <c:rotX val="15"/>
      <c:rotY val="20"/>
      <c:rAngAx val="1"/>
    </c:view3D>
    <c:floor>
      <c:thickness val="0"/>
    </c:floor>
    <c:sideWall>
      <c:thickness val="0"/>
    </c:sideWall>
    <c:backWall>
      <c:thickness val="0"/>
    </c:backWall>
    <c:plotArea>
      <c:layout/>
      <c:bar3DChart>
        <c:barDir val="col"/>
        <c:grouping val="clustered"/>
        <c:varyColors val="0"/>
        <c:ser>
          <c:idx val="0"/>
          <c:order val="0"/>
          <c:tx>
            <c:strRef>
              <c:f>Gastos!$A$9</c:f>
              <c:strCache>
                <c:ptCount val="1"/>
                <c:pt idx="0">
                  <c:v>Total Gasto</c:v>
                </c:pt>
              </c:strCache>
            </c:strRef>
          </c:tx>
          <c:spPr>
            <a:solidFill>
              <a:srgbClr val="FF0000"/>
            </a:solidFill>
          </c:spPr>
          <c:invertIfNegative val="0"/>
          <c:cat>
            <c:strRef>
              <c:f>Gastos!$B$1:$L$1</c:f>
              <c:strCache>
                <c:ptCount val="11"/>
                <c:pt idx="0">
                  <c:v>Janeiro</c:v>
                </c:pt>
                <c:pt idx="1">
                  <c:v>Fevereiro</c:v>
                </c:pt>
                <c:pt idx="2">
                  <c:v>Março</c:v>
                </c:pt>
                <c:pt idx="3">
                  <c:v>Abril</c:v>
                </c:pt>
                <c:pt idx="4">
                  <c:v>Maio</c:v>
                </c:pt>
                <c:pt idx="5">
                  <c:v>Junho</c:v>
                </c:pt>
                <c:pt idx="6">
                  <c:v>Julho</c:v>
                </c:pt>
                <c:pt idx="7">
                  <c:v>Agosto</c:v>
                </c:pt>
                <c:pt idx="8">
                  <c:v>Setembro</c:v>
                </c:pt>
                <c:pt idx="9">
                  <c:v>Outubro</c:v>
                </c:pt>
                <c:pt idx="10">
                  <c:v>Novembro</c:v>
                </c:pt>
              </c:strCache>
            </c:strRef>
          </c:cat>
          <c:val>
            <c:numRef>
              <c:f>Gastos!$B$9:$M$9</c:f>
              <c:numCache>
                <c:formatCode>_("R$"* #,##0.00_);_("R$"* \(#,##0.00\);_("R$"* "-"??_);_(@_)</c:formatCode>
                <c:ptCount val="12"/>
                <c:pt idx="0">
                  <c:v>828</c:v>
                </c:pt>
                <c:pt idx="1">
                  <c:v>821.2</c:v>
                </c:pt>
                <c:pt idx="2">
                  <c:v>911.11</c:v>
                </c:pt>
                <c:pt idx="3">
                  <c:v>154.99</c:v>
                </c:pt>
                <c:pt idx="4">
                  <c:v>2833.1499999999996</c:v>
                </c:pt>
                <c:pt idx="5">
                  <c:v>3087.07</c:v>
                </c:pt>
                <c:pt idx="6">
                  <c:v>651.08999999999992</c:v>
                </c:pt>
                <c:pt idx="7">
                  <c:v>499.77</c:v>
                </c:pt>
                <c:pt idx="8">
                  <c:v>499.77</c:v>
                </c:pt>
                <c:pt idx="9">
                  <c:v>499.77</c:v>
                </c:pt>
                <c:pt idx="10">
                  <c:v>499.77</c:v>
                </c:pt>
                <c:pt idx="11">
                  <c:v>481.9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087D-4D1B-BD34-B5015DC7A371}"/>
            </c:ext>
          </c:extLst>
        </c:ser>
        <c:ser>
          <c:idx val="1"/>
          <c:order val="1"/>
          <c:tx>
            <c:strRef>
              <c:f>Gastos!$A$15</c:f>
              <c:strCache>
                <c:ptCount val="1"/>
                <c:pt idx="0">
                  <c:v>Total Ganho</c:v>
                </c:pt>
              </c:strCache>
            </c:strRef>
          </c:tx>
          <c:spPr>
            <a:solidFill>
              <a:srgbClr val="00B050"/>
            </a:solidFill>
          </c:spPr>
          <c:invertIfNegative val="0"/>
          <c:cat>
            <c:strRef>
              <c:f>Gastos!$B$1:$L$1</c:f>
              <c:strCache>
                <c:ptCount val="11"/>
                <c:pt idx="0">
                  <c:v>Janeiro</c:v>
                </c:pt>
                <c:pt idx="1">
                  <c:v>Fevereiro</c:v>
                </c:pt>
                <c:pt idx="2">
                  <c:v>Março</c:v>
                </c:pt>
                <c:pt idx="3">
                  <c:v>Abril</c:v>
                </c:pt>
                <c:pt idx="4">
                  <c:v>Maio</c:v>
                </c:pt>
                <c:pt idx="5">
                  <c:v>Junho</c:v>
                </c:pt>
                <c:pt idx="6">
                  <c:v>Julho</c:v>
                </c:pt>
                <c:pt idx="7">
                  <c:v>Agosto</c:v>
                </c:pt>
                <c:pt idx="8">
                  <c:v>Setembro</c:v>
                </c:pt>
                <c:pt idx="9">
                  <c:v>Outubro</c:v>
                </c:pt>
                <c:pt idx="10">
                  <c:v>Novembro</c:v>
                </c:pt>
              </c:strCache>
            </c:strRef>
          </c:cat>
          <c:val>
            <c:numRef>
              <c:f>Gastos!$B$15:$M$15</c:f>
              <c:numCache>
                <c:formatCode>_("R$"* #,##0.00_);_("R$"* \(#,##0.00\);_("R$"* "-"??_);_(@_)</c:formatCode>
                <c:ptCount val="12"/>
                <c:pt idx="0">
                  <c:v>0</c:v>
                </c:pt>
                <c:pt idx="1">
                  <c:v>0</c:v>
                </c:pt>
                <c:pt idx="2">
                  <c:v>1550.4</c:v>
                </c:pt>
                <c:pt idx="3">
                  <c:v>2014.5100000000002</c:v>
                </c:pt>
                <c:pt idx="4">
                  <c:v>3263.2</c:v>
                </c:pt>
                <c:pt idx="5">
                  <c:v>0</c:v>
                </c:pt>
                <c:pt idx="6">
                  <c:v>0</c:v>
                </c:pt>
                <c:pt idx="7">
                  <c:v>4670.8</c:v>
                </c:pt>
                <c:pt idx="8">
                  <c:v>4917.8999999999996</c:v>
                </c:pt>
                <c:pt idx="9">
                  <c:v>914</c:v>
                </c:pt>
                <c:pt idx="10">
                  <c:v>914</c:v>
                </c:pt>
                <c:pt idx="11">
                  <c:v>914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087D-4D1B-BD34-B5015DC7A371}"/>
            </c:ext>
          </c:extLst>
        </c:ser>
        <c:ser>
          <c:idx val="2"/>
          <c:order val="2"/>
          <c:tx>
            <c:strRef>
              <c:f>Gastos!$A$17</c:f>
              <c:strCache>
                <c:ptCount val="1"/>
                <c:pt idx="0">
                  <c:v>Sobrando</c:v>
                </c:pt>
              </c:strCache>
            </c:strRef>
          </c:tx>
          <c:spPr>
            <a:solidFill>
              <a:schemeClr val="tx2"/>
            </a:solidFill>
          </c:spPr>
          <c:invertIfNegative val="0"/>
          <c:cat>
            <c:strRef>
              <c:f>Gastos!$B$1:$L$1</c:f>
              <c:strCache>
                <c:ptCount val="11"/>
                <c:pt idx="0">
                  <c:v>Janeiro</c:v>
                </c:pt>
                <c:pt idx="1">
                  <c:v>Fevereiro</c:v>
                </c:pt>
                <c:pt idx="2">
                  <c:v>Março</c:v>
                </c:pt>
                <c:pt idx="3">
                  <c:v>Abril</c:v>
                </c:pt>
                <c:pt idx="4">
                  <c:v>Maio</c:v>
                </c:pt>
                <c:pt idx="5">
                  <c:v>Junho</c:v>
                </c:pt>
                <c:pt idx="6">
                  <c:v>Julho</c:v>
                </c:pt>
                <c:pt idx="7">
                  <c:v>Agosto</c:v>
                </c:pt>
                <c:pt idx="8">
                  <c:v>Setembro</c:v>
                </c:pt>
                <c:pt idx="9">
                  <c:v>Outubro</c:v>
                </c:pt>
                <c:pt idx="10">
                  <c:v>Novembro</c:v>
                </c:pt>
              </c:strCache>
            </c:strRef>
          </c:cat>
          <c:val>
            <c:numRef>
              <c:f>Gastos!$B$17:$M$17</c:f>
              <c:numCache>
                <c:formatCode>_("R$"* #,##0.00_);_("R$"* \(#,##0.00\);_("R$"* "-"??_);_(@_)</c:formatCode>
                <c:ptCount val="12"/>
                <c:pt idx="0">
                  <c:v>0</c:v>
                </c:pt>
                <c:pt idx="1">
                  <c:v>0</c:v>
                </c:pt>
                <c:pt idx="2">
                  <c:v>639.29000000000008</c:v>
                </c:pt>
                <c:pt idx="3">
                  <c:v>1859.5200000000002</c:v>
                </c:pt>
                <c:pt idx="4">
                  <c:v>430.05000000000018</c:v>
                </c:pt>
                <c:pt idx="5">
                  <c:v>0</c:v>
                </c:pt>
                <c:pt idx="6">
                  <c:v>0</c:v>
                </c:pt>
                <c:pt idx="7">
                  <c:v>4171.0300000000007</c:v>
                </c:pt>
                <c:pt idx="8">
                  <c:v>4418.1299999999992</c:v>
                </c:pt>
                <c:pt idx="9">
                  <c:v>414.23</c:v>
                </c:pt>
                <c:pt idx="10">
                  <c:v>414.23</c:v>
                </c:pt>
                <c:pt idx="11">
                  <c:v>432.1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087D-4D1B-BD34-B5015DC7A37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shape val="box"/>
        <c:axId val="58390784"/>
        <c:axId val="58933248"/>
        <c:axId val="0"/>
      </c:bar3DChart>
      <c:catAx>
        <c:axId val="58390784"/>
        <c:scaling>
          <c:orientation val="minMax"/>
        </c:scaling>
        <c:delete val="0"/>
        <c:axPos val="b"/>
        <c:numFmt formatCode="General" sourceLinked="0"/>
        <c:majorTickMark val="none"/>
        <c:minorTickMark val="none"/>
        <c:tickLblPos val="nextTo"/>
        <c:crossAx val="58933248"/>
        <c:crosses val="autoZero"/>
        <c:auto val="1"/>
        <c:lblAlgn val="ctr"/>
        <c:lblOffset val="100"/>
        <c:noMultiLvlLbl val="0"/>
      </c:catAx>
      <c:valAx>
        <c:axId val="58933248"/>
        <c:scaling>
          <c:orientation val="minMax"/>
        </c:scaling>
        <c:delete val="0"/>
        <c:axPos val="l"/>
        <c:majorGridlines/>
        <c:title>
          <c:overlay val="0"/>
        </c:title>
        <c:numFmt formatCode="_(&quot;R$&quot;* #,##0.00_);_(&quot;R$&quot;* \(#,##0.00\);_(&quot;R$&quot;* &quot;-&quot;??_);_(@_)" sourceLinked="1"/>
        <c:majorTickMark val="none"/>
        <c:minorTickMark val="none"/>
        <c:tickLblPos val="nextTo"/>
        <c:crossAx val="58390784"/>
        <c:crosses val="autoZero"/>
        <c:crossBetween val="between"/>
      </c:valAx>
      <c:dTable>
        <c:showHorzBorder val="1"/>
        <c:showVertBorder val="1"/>
        <c:showOutline val="1"/>
        <c:showKeys val="1"/>
      </c:dTable>
    </c:plotArea>
    <c:plotVisOnly val="1"/>
    <c:dispBlanksAs val="gap"/>
    <c:showDLblsOverMax val="0"/>
  </c:chart>
  <c:printSettings>
    <c:headerFooter/>
    <c:pageMargins b="0.78740157499999996" l="0.511811024" r="0.511811024" t="0.78740157499999996" header="0.31496062000001374" footer="0.31496062000001374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pt-BR"/>
              <a:t>Grafico receita LC</a:t>
            </a:r>
          </a:p>
        </c:rich>
      </c:tx>
      <c:layout>
        <c:manualLayout>
          <c:xMode val="edge"/>
          <c:yMode val="edge"/>
          <c:x val="0.42097971575519288"/>
          <c:y val="2.7777777777779778E-2"/>
        </c:manualLayout>
      </c:layout>
      <c:overlay val="0"/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Gastos!$A$49</c:f>
              <c:strCache>
                <c:ptCount val="1"/>
                <c:pt idx="0">
                  <c:v>Total Gasto</c:v>
                </c:pt>
              </c:strCache>
            </c:strRef>
          </c:tx>
          <c:spPr>
            <a:solidFill>
              <a:srgbClr val="FF0000"/>
            </a:solidFill>
          </c:spPr>
          <c:invertIfNegative val="0"/>
          <c:cat>
            <c:strRef>
              <c:f>Gastos!$B$45:$M$45</c:f>
              <c:strCache>
                <c:ptCount val="12"/>
                <c:pt idx="0">
                  <c:v>Janeiro</c:v>
                </c:pt>
                <c:pt idx="1">
                  <c:v>Fevereiro</c:v>
                </c:pt>
                <c:pt idx="2">
                  <c:v>Março</c:v>
                </c:pt>
                <c:pt idx="3">
                  <c:v>Abril</c:v>
                </c:pt>
                <c:pt idx="4">
                  <c:v>Maio</c:v>
                </c:pt>
                <c:pt idx="5">
                  <c:v>Junho</c:v>
                </c:pt>
                <c:pt idx="6">
                  <c:v>Julho</c:v>
                </c:pt>
                <c:pt idx="7">
                  <c:v>Agosto</c:v>
                </c:pt>
                <c:pt idx="8">
                  <c:v>Setembro</c:v>
                </c:pt>
                <c:pt idx="9">
                  <c:v>Outubro</c:v>
                </c:pt>
                <c:pt idx="10">
                  <c:v>Novembro</c:v>
                </c:pt>
                <c:pt idx="11">
                  <c:v>Dezembro</c:v>
                </c:pt>
              </c:strCache>
            </c:strRef>
          </c:cat>
          <c:val>
            <c:numRef>
              <c:f>Gastos!$B$49:$M$49</c:f>
              <c:numCache>
                <c:formatCode>_("R$"* #,##0.00_);_("R$"* \(#,##0.00\);_("R$"* "-"??_);_(@_)</c:formatCode>
                <c:ptCount val="12"/>
                <c:pt idx="0">
                  <c:v>0</c:v>
                </c:pt>
                <c:pt idx="1">
                  <c:v>0</c:v>
                </c:pt>
                <c:pt idx="2">
                  <c:v>976.59999999999991</c:v>
                </c:pt>
                <c:pt idx="3">
                  <c:v>1575.9899999999998</c:v>
                </c:pt>
                <c:pt idx="4">
                  <c:v>2043.1</c:v>
                </c:pt>
                <c:pt idx="5">
                  <c:v>2947.3200000000006</c:v>
                </c:pt>
                <c:pt idx="6">
                  <c:v>3060.2299999999996</c:v>
                </c:pt>
                <c:pt idx="7">
                  <c:v>2057.59</c:v>
                </c:pt>
                <c:pt idx="8">
                  <c:v>2319.62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DBC0-42DB-BD50-79C89B497994}"/>
            </c:ext>
          </c:extLst>
        </c:ser>
        <c:ser>
          <c:idx val="1"/>
          <c:order val="1"/>
          <c:tx>
            <c:strRef>
              <c:f>Gastos!$A$53</c:f>
              <c:strCache>
                <c:ptCount val="1"/>
                <c:pt idx="0">
                  <c:v>Total Ganho</c:v>
                </c:pt>
              </c:strCache>
            </c:strRef>
          </c:tx>
          <c:spPr>
            <a:solidFill>
              <a:srgbClr val="0070C0"/>
            </a:solidFill>
          </c:spPr>
          <c:invertIfNegative val="0"/>
          <c:cat>
            <c:strRef>
              <c:f>Gastos!$B$45:$M$45</c:f>
              <c:strCache>
                <c:ptCount val="12"/>
                <c:pt idx="0">
                  <c:v>Janeiro</c:v>
                </c:pt>
                <c:pt idx="1">
                  <c:v>Fevereiro</c:v>
                </c:pt>
                <c:pt idx="2">
                  <c:v>Março</c:v>
                </c:pt>
                <c:pt idx="3">
                  <c:v>Abril</c:v>
                </c:pt>
                <c:pt idx="4">
                  <c:v>Maio</c:v>
                </c:pt>
                <c:pt idx="5">
                  <c:v>Junho</c:v>
                </c:pt>
                <c:pt idx="6">
                  <c:v>Julho</c:v>
                </c:pt>
                <c:pt idx="7">
                  <c:v>Agosto</c:v>
                </c:pt>
                <c:pt idx="8">
                  <c:v>Setembro</c:v>
                </c:pt>
                <c:pt idx="9">
                  <c:v>Outubro</c:v>
                </c:pt>
                <c:pt idx="10">
                  <c:v>Novembro</c:v>
                </c:pt>
                <c:pt idx="11">
                  <c:v>Dezembro</c:v>
                </c:pt>
              </c:strCache>
            </c:strRef>
          </c:cat>
          <c:val>
            <c:numRef>
              <c:f>Gastos!$B$53:$M$53</c:f>
              <c:numCache>
                <c:formatCode>_("R$"* #,##0.00_);_("R$"* \(#,##0.00\);_("R$"* "-"??_);_(@_)</c:formatCode>
                <c:ptCount val="12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2775.5</c:v>
                </c:pt>
                <c:pt idx="4">
                  <c:v>3243</c:v>
                </c:pt>
                <c:pt idx="5">
                  <c:v>0</c:v>
                </c:pt>
                <c:pt idx="6">
                  <c:v>0</c:v>
                </c:pt>
                <c:pt idx="7">
                  <c:v>3756.8</c:v>
                </c:pt>
                <c:pt idx="8">
                  <c:v>4003.9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DBC0-42DB-BD50-79C89B497994}"/>
            </c:ext>
          </c:extLst>
        </c:ser>
        <c:ser>
          <c:idx val="2"/>
          <c:order val="2"/>
          <c:tx>
            <c:strRef>
              <c:f>Gastos!$A$54</c:f>
              <c:strCache>
                <c:ptCount val="1"/>
                <c:pt idx="0">
                  <c:v>Lucro</c:v>
                </c:pt>
              </c:strCache>
            </c:strRef>
          </c:tx>
          <c:spPr>
            <a:solidFill>
              <a:srgbClr val="92D050"/>
            </a:solidFill>
          </c:spPr>
          <c:invertIfNegative val="0"/>
          <c:cat>
            <c:strRef>
              <c:f>Gastos!$B$45:$M$45</c:f>
              <c:strCache>
                <c:ptCount val="12"/>
                <c:pt idx="0">
                  <c:v>Janeiro</c:v>
                </c:pt>
                <c:pt idx="1">
                  <c:v>Fevereiro</c:v>
                </c:pt>
                <c:pt idx="2">
                  <c:v>Março</c:v>
                </c:pt>
                <c:pt idx="3">
                  <c:v>Abril</c:v>
                </c:pt>
                <c:pt idx="4">
                  <c:v>Maio</c:v>
                </c:pt>
                <c:pt idx="5">
                  <c:v>Junho</c:v>
                </c:pt>
                <c:pt idx="6">
                  <c:v>Julho</c:v>
                </c:pt>
                <c:pt idx="7">
                  <c:v>Agosto</c:v>
                </c:pt>
                <c:pt idx="8">
                  <c:v>Setembro</c:v>
                </c:pt>
                <c:pt idx="9">
                  <c:v>Outubro</c:v>
                </c:pt>
                <c:pt idx="10">
                  <c:v>Novembro</c:v>
                </c:pt>
                <c:pt idx="11">
                  <c:v>Dezembro</c:v>
                </c:pt>
              </c:strCache>
            </c:strRef>
          </c:cat>
          <c:val>
            <c:numRef>
              <c:f>Gastos!$B$54:$M$54</c:f>
              <c:numCache>
                <c:formatCode>_("R$"* #,##0.00_);_("R$"* \(#,##0.00\);_("R$"* "-"??_);_(@_)</c:formatCode>
                <c:ptCount val="12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1199.5100000000002</c:v>
                </c:pt>
                <c:pt idx="4">
                  <c:v>2048.1999999999998</c:v>
                </c:pt>
                <c:pt idx="5">
                  <c:v>0</c:v>
                </c:pt>
                <c:pt idx="6">
                  <c:v>0</c:v>
                </c:pt>
                <c:pt idx="7">
                  <c:v>1699.21</c:v>
                </c:pt>
                <c:pt idx="8">
                  <c:v>1684.2800000000002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DBC0-42DB-BD50-79C89B49799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58978688"/>
        <c:axId val="58980224"/>
      </c:barChart>
      <c:catAx>
        <c:axId val="58978688"/>
        <c:scaling>
          <c:orientation val="minMax"/>
        </c:scaling>
        <c:delete val="0"/>
        <c:axPos val="b"/>
        <c:numFmt formatCode="General" sourceLinked="0"/>
        <c:majorTickMark val="none"/>
        <c:minorTickMark val="none"/>
        <c:tickLblPos val="nextTo"/>
        <c:crossAx val="58980224"/>
        <c:crosses val="autoZero"/>
        <c:auto val="1"/>
        <c:lblAlgn val="ctr"/>
        <c:lblOffset val="100"/>
        <c:noMultiLvlLbl val="0"/>
      </c:catAx>
      <c:valAx>
        <c:axId val="58980224"/>
        <c:scaling>
          <c:orientation val="minMax"/>
        </c:scaling>
        <c:delete val="0"/>
        <c:axPos val="l"/>
        <c:majorGridlines/>
        <c:title>
          <c:overlay val="0"/>
        </c:title>
        <c:numFmt formatCode="_(&quot;R$&quot;* #,##0.00_);_(&quot;R$&quot;* \(#,##0.00\);_(&quot;R$&quot;* &quot;-&quot;??_);_(@_)" sourceLinked="1"/>
        <c:majorTickMark val="none"/>
        <c:minorTickMark val="none"/>
        <c:tickLblPos val="nextTo"/>
        <c:crossAx val="58978688"/>
        <c:crosses val="autoZero"/>
        <c:crossBetween val="between"/>
      </c:valAx>
      <c:dTable>
        <c:showHorzBorder val="1"/>
        <c:showVertBorder val="1"/>
        <c:showOutline val="1"/>
        <c:showKeys val="1"/>
      </c:dTable>
    </c:plotArea>
    <c:plotVisOnly val="1"/>
    <c:dispBlanksAs val="gap"/>
    <c:showDLblsOverMax val="0"/>
  </c:chart>
  <c:printSettings>
    <c:headerFooter/>
    <c:pageMargins b="0.78740157499999996" l="0.511811024" r="0.511811024" t="0.78740157499999996" header="0.31496062000001102" footer="0.31496062000001102"/>
    <c:pageSetup/>
  </c:printSettings>
</c:chartSpac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17</xdr:row>
      <xdr:rowOff>142875</xdr:rowOff>
    </xdr:from>
    <xdr:to>
      <xdr:col>12</xdr:col>
      <xdr:colOff>866774</xdr:colOff>
      <xdr:row>42</xdr:row>
      <xdr:rowOff>108137</xdr:rowOff>
    </xdr:to>
    <xdr:graphicFrame macro="">
      <xdr:nvGraphicFramePr>
        <xdr:cNvPr id="4" name="Gráfico 3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0</xdr:col>
      <xdr:colOff>0</xdr:colOff>
      <xdr:row>54</xdr:row>
      <xdr:rowOff>38099</xdr:rowOff>
    </xdr:from>
    <xdr:to>
      <xdr:col>13</xdr:col>
      <xdr:colOff>19049</xdr:colOff>
      <xdr:row>72</xdr:row>
      <xdr:rowOff>47624</xdr:rowOff>
    </xdr:to>
    <xdr:graphicFrame macro="">
      <xdr:nvGraphicFramePr>
        <xdr:cNvPr id="5" name="Gráfico 4">
          <a:extLst>
            <a:ext uri="{FF2B5EF4-FFF2-40B4-BE49-F238E27FC236}">
              <a16:creationId xmlns:a16="http://schemas.microsoft.com/office/drawing/2014/main" id="{00000000-0008-0000-0000-000005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R250"/>
  <sheetViews>
    <sheetView zoomScaleNormal="100" workbookViewId="0">
      <selection activeCell="R235" sqref="R235"/>
    </sheetView>
  </sheetViews>
  <sheetFormatPr defaultRowHeight="15"/>
  <cols>
    <col min="1" max="1" width="13.5703125" style="2" bestFit="1" customWidth="1"/>
    <col min="2" max="2" width="12.140625" bestFit="1" customWidth="1"/>
    <col min="3" max="3" width="12.28515625" bestFit="1" customWidth="1"/>
    <col min="4" max="4" width="12.140625" bestFit="1" customWidth="1"/>
    <col min="5" max="5" width="13.28515625" bestFit="1" customWidth="1"/>
    <col min="6" max="9" width="12.140625" bestFit="1" customWidth="1"/>
    <col min="10" max="10" width="12.42578125" bestFit="1" customWidth="1"/>
    <col min="11" max="11" width="12.140625" bestFit="1" customWidth="1"/>
    <col min="12" max="13" width="13.42578125" bestFit="1" customWidth="1"/>
    <col min="14" max="14" width="9.7109375" customWidth="1"/>
  </cols>
  <sheetData>
    <row r="1" spans="1:13" s="1" customFormat="1" ht="18.75">
      <c r="A1" s="3" t="s">
        <v>0</v>
      </c>
      <c r="B1" s="3" t="s">
        <v>2</v>
      </c>
      <c r="C1" s="3" t="s">
        <v>3</v>
      </c>
      <c r="D1" s="3" t="s">
        <v>4</v>
      </c>
      <c r="E1" s="3" t="s">
        <v>5</v>
      </c>
      <c r="F1" s="3" t="s">
        <v>6</v>
      </c>
      <c r="G1" s="3" t="s">
        <v>7</v>
      </c>
      <c r="H1" s="3" t="s">
        <v>8</v>
      </c>
      <c r="I1" s="3" t="s">
        <v>9</v>
      </c>
      <c r="J1" s="3" t="s">
        <v>10</v>
      </c>
      <c r="K1" s="3" t="s">
        <v>11</v>
      </c>
      <c r="L1" s="3" t="s">
        <v>12</v>
      </c>
      <c r="M1" s="3" t="s">
        <v>1</v>
      </c>
    </row>
    <row r="2" spans="1:13">
      <c r="A2" s="7" t="s">
        <v>130</v>
      </c>
      <c r="B2" s="14">
        <v>769</v>
      </c>
      <c r="C2" s="14">
        <v>580</v>
      </c>
      <c r="D2" s="14">
        <v>696.12</v>
      </c>
      <c r="E2" s="14">
        <v>1562.09</v>
      </c>
      <c r="F2" s="14">
        <v>1541.83</v>
      </c>
      <c r="G2" s="9">
        <v>2329.0700000000002</v>
      </c>
      <c r="H2" s="9">
        <v>472.09</v>
      </c>
      <c r="I2" s="9">
        <v>320.77</v>
      </c>
      <c r="J2" s="9">
        <v>320.77</v>
      </c>
      <c r="K2" s="9">
        <v>320.77</v>
      </c>
      <c r="L2" s="9">
        <v>320.77</v>
      </c>
      <c r="M2" s="9">
        <v>302.89999999999998</v>
      </c>
    </row>
    <row r="3" spans="1:13">
      <c r="A3" s="7" t="s">
        <v>131</v>
      </c>
      <c r="B3" s="14"/>
      <c r="C3" s="14"/>
      <c r="D3" s="14"/>
      <c r="E3" s="14"/>
      <c r="F3" s="14">
        <v>993.48</v>
      </c>
      <c r="G3" s="9">
        <f>353+226</f>
        <v>579</v>
      </c>
      <c r="H3" s="9"/>
      <c r="I3" s="9"/>
      <c r="J3" s="9"/>
      <c r="K3" s="9"/>
      <c r="L3" s="9"/>
      <c r="M3" s="9"/>
    </row>
    <row r="4" spans="1:13">
      <c r="A4" s="7" t="s">
        <v>27</v>
      </c>
      <c r="B4" s="14" t="s">
        <v>14</v>
      </c>
      <c r="C4" s="14">
        <v>70</v>
      </c>
      <c r="D4" s="14">
        <v>60</v>
      </c>
      <c r="E4" s="14">
        <v>70</v>
      </c>
      <c r="F4" s="14">
        <v>70</v>
      </c>
      <c r="G4" s="9">
        <v>70</v>
      </c>
      <c r="H4" s="9">
        <v>70</v>
      </c>
      <c r="I4" s="9">
        <v>70</v>
      </c>
      <c r="J4" s="9">
        <v>70</v>
      </c>
      <c r="K4" s="9">
        <v>70</v>
      </c>
      <c r="L4" s="9">
        <v>70</v>
      </c>
      <c r="M4" s="9">
        <v>70</v>
      </c>
    </row>
    <row r="5" spans="1:13">
      <c r="A5" s="7" t="s">
        <v>28</v>
      </c>
      <c r="B5" s="14" t="s">
        <v>14</v>
      </c>
      <c r="C5" s="14">
        <v>95.99</v>
      </c>
      <c r="D5" s="14">
        <v>95.99</v>
      </c>
      <c r="E5" s="14">
        <v>95.99</v>
      </c>
      <c r="F5" s="14">
        <v>95.99</v>
      </c>
      <c r="G5" s="9" t="s">
        <v>14</v>
      </c>
      <c r="H5" s="9" t="s">
        <v>14</v>
      </c>
      <c r="I5" s="9" t="s">
        <v>14</v>
      </c>
      <c r="J5" s="9" t="s">
        <v>14</v>
      </c>
      <c r="K5" s="9" t="s">
        <v>14</v>
      </c>
      <c r="L5" s="9" t="s">
        <v>14</v>
      </c>
      <c r="M5" s="9" t="s">
        <v>14</v>
      </c>
    </row>
    <row r="6" spans="1:13">
      <c r="A6" s="7" t="s">
        <v>22</v>
      </c>
      <c r="B6" s="14">
        <v>59</v>
      </c>
      <c r="C6" s="14">
        <v>59</v>
      </c>
      <c r="D6" s="14">
        <v>59</v>
      </c>
      <c r="E6" s="14">
        <v>59</v>
      </c>
      <c r="F6" s="14">
        <v>59</v>
      </c>
      <c r="G6" s="9">
        <v>59</v>
      </c>
      <c r="H6" s="9">
        <v>59</v>
      </c>
      <c r="I6" s="9">
        <v>59</v>
      </c>
      <c r="J6" s="9">
        <v>59</v>
      </c>
      <c r="K6" s="9">
        <v>59</v>
      </c>
      <c r="L6" s="9">
        <v>59</v>
      </c>
      <c r="M6" s="9">
        <v>59</v>
      </c>
    </row>
    <row r="7" spans="1:13">
      <c r="A7" s="7" t="s">
        <v>23</v>
      </c>
      <c r="B7" s="14" t="s">
        <v>14</v>
      </c>
      <c r="C7" s="14">
        <v>16.21</v>
      </c>
      <c r="D7" s="14" t="s">
        <v>14</v>
      </c>
      <c r="E7" s="30" t="s">
        <v>14</v>
      </c>
      <c r="F7" s="14">
        <v>72.849999999999994</v>
      </c>
      <c r="G7" s="9" t="s">
        <v>14</v>
      </c>
      <c r="H7" s="9" t="s">
        <v>14</v>
      </c>
      <c r="I7" s="9" t="s">
        <v>14</v>
      </c>
      <c r="J7" s="9" t="s">
        <v>14</v>
      </c>
      <c r="K7" s="9" t="s">
        <v>14</v>
      </c>
      <c r="L7" s="9" t="s">
        <v>14</v>
      </c>
      <c r="M7" s="9" t="s">
        <v>14</v>
      </c>
    </row>
    <row r="8" spans="1:13">
      <c r="A8" s="7" t="s">
        <v>26</v>
      </c>
      <c r="B8" s="14" t="s">
        <v>14</v>
      </c>
      <c r="C8" s="14" t="s">
        <v>14</v>
      </c>
      <c r="D8" s="14"/>
      <c r="E8" s="14"/>
      <c r="F8" s="9"/>
      <c r="G8" s="9">
        <v>50</v>
      </c>
      <c r="H8" s="9">
        <v>50</v>
      </c>
      <c r="I8" s="9">
        <v>50</v>
      </c>
      <c r="J8" s="9">
        <v>50</v>
      </c>
      <c r="K8" s="9">
        <v>50</v>
      </c>
      <c r="L8" s="9">
        <v>50</v>
      </c>
      <c r="M8" s="9">
        <v>50</v>
      </c>
    </row>
    <row r="9" spans="1:13">
      <c r="A9" s="6" t="s">
        <v>25</v>
      </c>
      <c r="B9" s="4">
        <f t="shared" ref="B9:L9" si="0">SUM(B2:B8)</f>
        <v>828</v>
      </c>
      <c r="C9" s="4">
        <f t="shared" si="0"/>
        <v>821.2</v>
      </c>
      <c r="D9" s="4">
        <f t="shared" si="0"/>
        <v>911.11</v>
      </c>
      <c r="E9" s="4">
        <f>SUM(E5:E8)</f>
        <v>154.99</v>
      </c>
      <c r="F9" s="4">
        <f t="shared" si="0"/>
        <v>2833.1499999999996</v>
      </c>
      <c r="G9" s="4">
        <f t="shared" si="0"/>
        <v>3087.07</v>
      </c>
      <c r="H9" s="4">
        <f t="shared" si="0"/>
        <v>651.08999999999992</v>
      </c>
      <c r="I9" s="4">
        <f t="shared" si="0"/>
        <v>499.77</v>
      </c>
      <c r="J9" s="4">
        <f t="shared" si="0"/>
        <v>499.77</v>
      </c>
      <c r="K9" s="4">
        <f t="shared" si="0"/>
        <v>499.77</v>
      </c>
      <c r="L9" s="4">
        <f t="shared" si="0"/>
        <v>499.77</v>
      </c>
      <c r="M9" s="4">
        <f>SUM(M2:M8)</f>
        <v>481.9</v>
      </c>
    </row>
    <row r="10" spans="1:13" ht="18.75">
      <c r="A10" s="11" t="s">
        <v>15</v>
      </c>
      <c r="B10" s="3" t="s">
        <v>2</v>
      </c>
      <c r="C10" s="3" t="s">
        <v>3</v>
      </c>
      <c r="D10" s="3" t="s">
        <v>4</v>
      </c>
      <c r="E10" s="3" t="s">
        <v>5</v>
      </c>
      <c r="F10" s="3" t="s">
        <v>6</v>
      </c>
      <c r="G10" s="3" t="s">
        <v>7</v>
      </c>
      <c r="H10" s="3" t="s">
        <v>8</v>
      </c>
      <c r="I10" s="3" t="s">
        <v>9</v>
      </c>
      <c r="J10" s="3" t="s">
        <v>10</v>
      </c>
      <c r="K10" s="3" t="s">
        <v>11</v>
      </c>
      <c r="L10" s="3" t="s">
        <v>12</v>
      </c>
      <c r="M10" s="3" t="s">
        <v>1</v>
      </c>
    </row>
    <row r="11" spans="1:13">
      <c r="A11" s="7" t="s">
        <v>215</v>
      </c>
      <c r="B11" s="10">
        <v>443</v>
      </c>
      <c r="C11" s="10">
        <v>365</v>
      </c>
      <c r="D11" s="10">
        <v>812</v>
      </c>
      <c r="E11" s="10">
        <v>815</v>
      </c>
      <c r="F11" s="10">
        <v>815</v>
      </c>
      <c r="G11" s="10">
        <v>914</v>
      </c>
      <c r="H11" s="10">
        <v>914</v>
      </c>
      <c r="I11" s="10">
        <v>914</v>
      </c>
      <c r="J11" s="10">
        <v>914</v>
      </c>
      <c r="K11" s="10">
        <v>914</v>
      </c>
      <c r="L11" s="10">
        <v>914</v>
      </c>
      <c r="M11" s="10">
        <v>914</v>
      </c>
    </row>
    <row r="12" spans="1:13">
      <c r="A12" s="7" t="s">
        <v>17</v>
      </c>
      <c r="B12" s="16" t="e">
        <f>Vendas!#REF!</f>
        <v>#REF!</v>
      </c>
      <c r="C12" s="16">
        <v>310</v>
      </c>
      <c r="D12" s="16"/>
      <c r="E12" s="16"/>
      <c r="F12" s="16">
        <v>400</v>
      </c>
      <c r="G12" s="16">
        <v>400</v>
      </c>
      <c r="H12" s="16"/>
      <c r="I12" s="16"/>
      <c r="J12" s="16"/>
      <c r="K12" s="16"/>
      <c r="L12" s="16"/>
      <c r="M12" s="16"/>
    </row>
    <row r="13" spans="1:13">
      <c r="A13" s="7" t="s">
        <v>18</v>
      </c>
      <c r="B13" s="16" t="e">
        <f>B53</f>
        <v>#REF!</v>
      </c>
      <c r="C13" s="16" t="e">
        <f t="shared" ref="C13:M13" si="1">C53</f>
        <v>#REF!</v>
      </c>
      <c r="D13" s="16">
        <f>'Relatorios 2019'!G1</f>
        <v>738.4</v>
      </c>
      <c r="E13" s="16">
        <f>'Relatorios 2019'!G43</f>
        <v>1199.5100000000002</v>
      </c>
      <c r="F13" s="16">
        <f>'Relatorios 2019'!G111</f>
        <v>2048.1999999999998</v>
      </c>
      <c r="G13" s="16" t="e">
        <f>G53</f>
        <v>#REF!</v>
      </c>
      <c r="H13" s="16" t="e">
        <f>H53</f>
        <v>#REF!</v>
      </c>
      <c r="I13" s="16">
        <f>I53</f>
        <v>3756.8</v>
      </c>
      <c r="J13" s="16">
        <f t="shared" si="1"/>
        <v>4003.9</v>
      </c>
      <c r="K13" s="16">
        <f t="shared" si="1"/>
        <v>0</v>
      </c>
      <c r="L13" s="16">
        <f t="shared" si="1"/>
        <v>0</v>
      </c>
      <c r="M13" s="16">
        <f t="shared" si="1"/>
        <v>0</v>
      </c>
    </row>
    <row r="14" spans="1:13">
      <c r="A14" s="7" t="s">
        <v>19</v>
      </c>
      <c r="B14" s="12" t="e">
        <f>Vendas!#REF!</f>
        <v>#REF!</v>
      </c>
      <c r="C14" s="10">
        <v>0</v>
      </c>
      <c r="D14" s="10">
        <v>0</v>
      </c>
      <c r="E14" s="10">
        <v>0</v>
      </c>
      <c r="F14" s="10">
        <v>0</v>
      </c>
      <c r="G14" s="10">
        <v>0</v>
      </c>
      <c r="H14" s="10">
        <v>0</v>
      </c>
      <c r="I14" s="10">
        <v>0</v>
      </c>
      <c r="J14" s="10">
        <v>0</v>
      </c>
      <c r="K14" s="10">
        <v>0</v>
      </c>
      <c r="L14" s="10">
        <v>0</v>
      </c>
      <c r="M14" s="10">
        <v>0</v>
      </c>
    </row>
    <row r="15" spans="1:13">
      <c r="A15" s="6" t="s">
        <v>24</v>
      </c>
      <c r="B15" s="10" t="e">
        <f>SUM(B11:B14)</f>
        <v>#REF!</v>
      </c>
      <c r="C15" s="10" t="e">
        <f>SUM(C11:C14)</f>
        <v>#REF!</v>
      </c>
      <c r="D15" s="10">
        <f>SUM(D11:D14)</f>
        <v>1550.4</v>
      </c>
      <c r="E15" s="10">
        <f>SUM(E11:E14)</f>
        <v>2014.5100000000002</v>
      </c>
      <c r="F15" s="10">
        <f>SUM(F11:F14)</f>
        <v>3263.2</v>
      </c>
      <c r="G15" s="10" t="e">
        <f t="shared" ref="G15:M15" si="2">SUM(G11:G14)</f>
        <v>#REF!</v>
      </c>
      <c r="H15" s="10" t="e">
        <f t="shared" si="2"/>
        <v>#REF!</v>
      </c>
      <c r="I15" s="10">
        <f t="shared" si="2"/>
        <v>4670.8</v>
      </c>
      <c r="J15" s="10">
        <f t="shared" si="2"/>
        <v>4917.8999999999996</v>
      </c>
      <c r="K15" s="10">
        <f t="shared" si="2"/>
        <v>914</v>
      </c>
      <c r="L15" s="10">
        <f t="shared" si="2"/>
        <v>914</v>
      </c>
      <c r="M15" s="10">
        <f t="shared" si="2"/>
        <v>914</v>
      </c>
    </row>
    <row r="16" spans="1:13">
      <c r="A16" s="34"/>
      <c r="B16" s="4" t="e">
        <f>B15-2000</f>
        <v>#REF!</v>
      </c>
      <c r="C16" s="4" t="e">
        <f t="shared" ref="C16:M16" si="3">C15-2000</f>
        <v>#REF!</v>
      </c>
      <c r="D16" s="4">
        <f t="shared" si="3"/>
        <v>-449.59999999999991</v>
      </c>
      <c r="E16" s="4">
        <f t="shared" si="3"/>
        <v>14.510000000000218</v>
      </c>
      <c r="F16" s="4">
        <f t="shared" si="3"/>
        <v>1263.1999999999998</v>
      </c>
      <c r="G16" s="4" t="e">
        <f t="shared" si="3"/>
        <v>#REF!</v>
      </c>
      <c r="H16" s="4" t="e">
        <f t="shared" si="3"/>
        <v>#REF!</v>
      </c>
      <c r="I16" s="4">
        <f t="shared" si="3"/>
        <v>2670.8</v>
      </c>
      <c r="J16" s="4">
        <f t="shared" si="3"/>
        <v>2917.8999999999996</v>
      </c>
      <c r="K16" s="4">
        <f t="shared" si="3"/>
        <v>-1086</v>
      </c>
      <c r="L16" s="4">
        <f t="shared" si="3"/>
        <v>-1086</v>
      </c>
      <c r="M16" s="4">
        <f t="shared" si="3"/>
        <v>-1086</v>
      </c>
    </row>
    <row r="17" spans="1:13">
      <c r="A17" s="6" t="s">
        <v>16</v>
      </c>
      <c r="B17" s="5" t="e">
        <f t="shared" ref="B17:M17" si="4">SUM(B15-B9)</f>
        <v>#REF!</v>
      </c>
      <c r="C17" s="5" t="e">
        <f t="shared" si="4"/>
        <v>#REF!</v>
      </c>
      <c r="D17" s="5">
        <f t="shared" si="4"/>
        <v>639.29000000000008</v>
      </c>
      <c r="E17" s="5">
        <f>SUM(E15-E9)</f>
        <v>1859.5200000000002</v>
      </c>
      <c r="F17" s="5">
        <f t="shared" si="4"/>
        <v>430.05000000000018</v>
      </c>
      <c r="G17" s="5" t="e">
        <f t="shared" si="4"/>
        <v>#REF!</v>
      </c>
      <c r="H17" s="5" t="e">
        <f t="shared" si="4"/>
        <v>#REF!</v>
      </c>
      <c r="I17" s="5">
        <f t="shared" si="4"/>
        <v>4171.0300000000007</v>
      </c>
      <c r="J17" s="5">
        <f t="shared" si="4"/>
        <v>4418.1299999999992</v>
      </c>
      <c r="K17" s="5">
        <f t="shared" si="4"/>
        <v>414.23</v>
      </c>
      <c r="L17" s="5">
        <f t="shared" si="4"/>
        <v>414.23</v>
      </c>
      <c r="M17" s="5">
        <f t="shared" si="4"/>
        <v>432.1</v>
      </c>
    </row>
    <row r="19" spans="1:13">
      <c r="A19"/>
    </row>
    <row r="20" spans="1:13">
      <c r="A20"/>
    </row>
    <row r="21" spans="1:13">
      <c r="A21"/>
    </row>
    <row r="22" spans="1:13">
      <c r="A22"/>
    </row>
    <row r="23" spans="1:13">
      <c r="A23"/>
    </row>
    <row r="24" spans="1:13">
      <c r="A24"/>
    </row>
    <row r="25" spans="1:13">
      <c r="A25"/>
    </row>
    <row r="26" spans="1:13" ht="19.5" customHeight="1">
      <c r="A26"/>
    </row>
    <row r="27" spans="1:13">
      <c r="A27"/>
    </row>
    <row r="28" spans="1:13">
      <c r="A28"/>
    </row>
    <row r="29" spans="1:13">
      <c r="A29"/>
    </row>
    <row r="30" spans="1:13">
      <c r="A30"/>
    </row>
    <row r="45" spans="1:13" s="1" customFormat="1" ht="18.75">
      <c r="A45" s="3" t="s">
        <v>0</v>
      </c>
      <c r="B45" s="3" t="s">
        <v>2</v>
      </c>
      <c r="C45" s="3" t="s">
        <v>3</v>
      </c>
      <c r="D45" s="3" t="s">
        <v>4</v>
      </c>
      <c r="E45" s="3" t="s">
        <v>5</v>
      </c>
      <c r="F45" s="3" t="s">
        <v>6</v>
      </c>
      <c r="G45" s="3" t="s">
        <v>7</v>
      </c>
      <c r="H45" s="3" t="s">
        <v>8</v>
      </c>
      <c r="I45" s="3" t="s">
        <v>9</v>
      </c>
      <c r="J45" s="3" t="s">
        <v>10</v>
      </c>
      <c r="K45" s="3" t="s">
        <v>11</v>
      </c>
      <c r="L45" s="3" t="s">
        <v>12</v>
      </c>
      <c r="M45" s="3" t="s">
        <v>1</v>
      </c>
    </row>
    <row r="46" spans="1:13">
      <c r="A46" s="7" t="s">
        <v>13</v>
      </c>
      <c r="B46" s="14">
        <v>0</v>
      </c>
      <c r="C46" s="14">
        <v>0</v>
      </c>
      <c r="D46" s="14">
        <f>SUM(Vendas!E6:E47)</f>
        <v>976.59999999999991</v>
      </c>
      <c r="E46" s="9">
        <f>'Relatorios 2019'!E43</f>
        <v>1575.9899999999998</v>
      </c>
      <c r="F46" s="9">
        <f>'Relatorios 2019'!E111</f>
        <v>2043.1</v>
      </c>
      <c r="G46" s="9">
        <f>'Relatorios 2019'!E187</f>
        <v>2947.3200000000006</v>
      </c>
      <c r="H46" s="9">
        <f>'Relatorios 2019'!E323</f>
        <v>3060.2299999999996</v>
      </c>
      <c r="I46" s="9">
        <f>'Relatorios 2019'!E476</f>
        <v>2057.59</v>
      </c>
      <c r="J46" s="9">
        <f>'Relatorios 2019'!E568</f>
        <v>2319.62</v>
      </c>
      <c r="K46" s="9"/>
      <c r="L46" s="9"/>
      <c r="M46" s="9"/>
    </row>
    <row r="47" spans="1:13">
      <c r="A47" s="7"/>
      <c r="B47" s="14"/>
      <c r="C47" s="14"/>
      <c r="D47" s="14"/>
      <c r="E47" s="9"/>
      <c r="F47" s="9"/>
      <c r="G47" s="9"/>
      <c r="H47" s="9"/>
      <c r="I47" s="9"/>
      <c r="J47" s="9"/>
      <c r="K47" s="9"/>
      <c r="L47" s="9"/>
      <c r="M47" s="9"/>
    </row>
    <row r="48" spans="1:13">
      <c r="A48" s="7"/>
      <c r="B48" s="14"/>
      <c r="C48" s="14"/>
      <c r="D48" s="14"/>
      <c r="E48" s="9"/>
      <c r="F48" s="9"/>
      <c r="G48" s="9"/>
      <c r="H48" s="9"/>
      <c r="I48" s="9"/>
      <c r="J48" s="9"/>
      <c r="K48" s="9"/>
      <c r="L48" s="9"/>
      <c r="M48" s="9"/>
    </row>
    <row r="49" spans="1:13">
      <c r="A49" s="6" t="s">
        <v>25</v>
      </c>
      <c r="B49" s="4">
        <f t="shared" ref="B49:M49" si="5">SUM(B46:B48)</f>
        <v>0</v>
      </c>
      <c r="C49" s="4">
        <f t="shared" si="5"/>
        <v>0</v>
      </c>
      <c r="D49" s="4">
        <f t="shared" si="5"/>
        <v>976.59999999999991</v>
      </c>
      <c r="E49" s="4">
        <f t="shared" si="5"/>
        <v>1575.9899999999998</v>
      </c>
      <c r="F49" s="4">
        <f t="shared" si="5"/>
        <v>2043.1</v>
      </c>
      <c r="G49" s="4">
        <f t="shared" si="5"/>
        <v>2947.3200000000006</v>
      </c>
      <c r="H49" s="4">
        <f t="shared" si="5"/>
        <v>3060.2299999999996</v>
      </c>
      <c r="I49" s="4">
        <f t="shared" si="5"/>
        <v>2057.59</v>
      </c>
      <c r="J49" s="4">
        <f t="shared" si="5"/>
        <v>2319.62</v>
      </c>
      <c r="K49" s="4">
        <f t="shared" si="5"/>
        <v>0</v>
      </c>
      <c r="L49" s="4">
        <f t="shared" si="5"/>
        <v>0</v>
      </c>
      <c r="M49" s="4">
        <f t="shared" si="5"/>
        <v>0</v>
      </c>
    </row>
    <row r="50" spans="1:13" ht="18.75">
      <c r="A50" s="11" t="s">
        <v>15</v>
      </c>
      <c r="B50" s="3" t="s">
        <v>2</v>
      </c>
      <c r="C50" s="3" t="s">
        <v>3</v>
      </c>
      <c r="D50" s="3" t="s">
        <v>4</v>
      </c>
      <c r="E50" s="3" t="s">
        <v>5</v>
      </c>
      <c r="F50" s="3" t="s">
        <v>6</v>
      </c>
      <c r="G50" s="3" t="s">
        <v>7</v>
      </c>
      <c r="H50" s="3" t="s">
        <v>8</v>
      </c>
      <c r="I50" s="3" t="s">
        <v>9</v>
      </c>
      <c r="J50" s="3" t="s">
        <v>10</v>
      </c>
      <c r="K50" s="3" t="s">
        <v>11</v>
      </c>
      <c r="L50" s="3" t="s">
        <v>12</v>
      </c>
      <c r="M50" s="3" t="s">
        <v>1</v>
      </c>
    </row>
    <row r="51" spans="1:13">
      <c r="A51" s="7" t="s">
        <v>18</v>
      </c>
      <c r="B51" s="10" t="e">
        <f>Vendas!#REF!</f>
        <v>#REF!</v>
      </c>
      <c r="C51" s="10" t="e">
        <f>Vendas!#REF!</f>
        <v>#REF!</v>
      </c>
      <c r="D51" s="10" t="e">
        <f>Vendas!#REF!</f>
        <v>#REF!</v>
      </c>
      <c r="E51" s="10">
        <f>'Relatorios 2019'!F43</f>
        <v>2775.5</v>
      </c>
      <c r="F51" s="10">
        <f>'Relatorios 2019'!F111</f>
        <v>3243</v>
      </c>
      <c r="G51" s="10" t="e">
        <f>Vendas!#REF!</f>
        <v>#REF!</v>
      </c>
      <c r="H51" s="10" t="e">
        <f>Vendas!#REF!</f>
        <v>#REF!</v>
      </c>
      <c r="I51" s="10">
        <f>'Relatorios 2019'!F476</f>
        <v>3756.8</v>
      </c>
      <c r="J51" s="10">
        <f>'Relatorios 2019'!F568</f>
        <v>4003.9</v>
      </c>
      <c r="K51" s="10"/>
      <c r="L51" s="10"/>
      <c r="M51" s="10"/>
    </row>
    <row r="52" spans="1:13">
      <c r="A52" s="7"/>
      <c r="B52" s="10"/>
      <c r="C52" s="10"/>
      <c r="D52" s="10"/>
      <c r="E52" s="10"/>
      <c r="F52" s="10"/>
      <c r="G52" s="10"/>
      <c r="H52" s="10"/>
      <c r="I52" s="10"/>
      <c r="J52" s="10"/>
      <c r="K52" s="10"/>
      <c r="L52" s="10"/>
      <c r="M52" s="10"/>
    </row>
    <row r="53" spans="1:13">
      <c r="A53" s="6" t="s">
        <v>24</v>
      </c>
      <c r="B53" s="10" t="e">
        <f>SUM(B51:B52)</f>
        <v>#REF!</v>
      </c>
      <c r="C53" s="10" t="e">
        <f t="shared" ref="C53:M53" si="6">SUM(C51:C52)</f>
        <v>#REF!</v>
      </c>
      <c r="D53" s="10" t="e">
        <f t="shared" si="6"/>
        <v>#REF!</v>
      </c>
      <c r="E53" s="10">
        <f>SUM(E51:E52)</f>
        <v>2775.5</v>
      </c>
      <c r="F53" s="10">
        <f t="shared" si="6"/>
        <v>3243</v>
      </c>
      <c r="G53" s="10" t="e">
        <f t="shared" si="6"/>
        <v>#REF!</v>
      </c>
      <c r="H53" s="10" t="e">
        <f t="shared" si="6"/>
        <v>#REF!</v>
      </c>
      <c r="I53" s="10">
        <f t="shared" si="6"/>
        <v>3756.8</v>
      </c>
      <c r="J53" s="10">
        <f t="shared" si="6"/>
        <v>4003.9</v>
      </c>
      <c r="K53" s="10">
        <f t="shared" si="6"/>
        <v>0</v>
      </c>
      <c r="L53" s="10">
        <f t="shared" si="6"/>
        <v>0</v>
      </c>
      <c r="M53" s="10">
        <f t="shared" si="6"/>
        <v>0</v>
      </c>
    </row>
    <row r="54" spans="1:13">
      <c r="A54" s="6" t="s">
        <v>34</v>
      </c>
      <c r="B54" s="26" t="e">
        <f>SUM(B53-B49)</f>
        <v>#REF!</v>
      </c>
      <c r="C54" s="26" t="e">
        <f t="shared" ref="C54:M54" si="7">SUM(C53-C49)</f>
        <v>#REF!</v>
      </c>
      <c r="D54" s="26" t="e">
        <f>Vendas!#REF!</f>
        <v>#REF!</v>
      </c>
      <c r="E54" s="26">
        <f>'Relatorios 2019'!G43</f>
        <v>1199.5100000000002</v>
      </c>
      <c r="F54" s="26">
        <f>'Relatorios 2019'!G111</f>
        <v>2048.1999999999998</v>
      </c>
      <c r="G54" s="26" t="e">
        <f t="shared" si="7"/>
        <v>#REF!</v>
      </c>
      <c r="H54" s="26" t="e">
        <f t="shared" si="7"/>
        <v>#REF!</v>
      </c>
      <c r="I54" s="26">
        <f t="shared" si="7"/>
        <v>1699.21</v>
      </c>
      <c r="J54" s="26">
        <f t="shared" si="7"/>
        <v>1684.2800000000002</v>
      </c>
      <c r="K54" s="26">
        <f t="shared" si="7"/>
        <v>0</v>
      </c>
      <c r="L54" s="26">
        <f t="shared" si="7"/>
        <v>0</v>
      </c>
      <c r="M54" s="26">
        <f t="shared" si="7"/>
        <v>0</v>
      </c>
    </row>
    <row r="55" spans="1:13">
      <c r="D55" t="s">
        <v>227</v>
      </c>
    </row>
    <row r="82" spans="4:4">
      <c r="D82" s="35"/>
    </row>
    <row r="84" spans="4:4">
      <c r="D84" s="35"/>
    </row>
    <row r="86" spans="4:4">
      <c r="D86" s="35"/>
    </row>
    <row r="88" spans="4:4">
      <c r="D88" s="35"/>
    </row>
    <row r="90" spans="4:4">
      <c r="D90" s="35"/>
    </row>
    <row r="92" spans="4:4">
      <c r="D92" s="35"/>
    </row>
    <row r="94" spans="4:4">
      <c r="D94" s="35"/>
    </row>
    <row r="96" spans="4:4">
      <c r="D96" s="35"/>
    </row>
    <row r="98" spans="4:4">
      <c r="D98" s="35"/>
    </row>
    <row r="100" spans="4:4">
      <c r="D100" s="35"/>
    </row>
    <row r="102" spans="4:4">
      <c r="D102" s="35"/>
    </row>
    <row r="104" spans="4:4">
      <c r="D104" s="35"/>
    </row>
    <row r="106" spans="4:4">
      <c r="D106" s="35"/>
    </row>
    <row r="108" spans="4:4">
      <c r="D108" s="35"/>
    </row>
    <row r="110" spans="4:4">
      <c r="D110" s="35"/>
    </row>
    <row r="112" spans="4:4">
      <c r="D112" s="35"/>
    </row>
    <row r="114" spans="4:4">
      <c r="D114" s="35"/>
    </row>
    <row r="116" spans="4:4">
      <c r="D116" s="35"/>
    </row>
    <row r="118" spans="4:4">
      <c r="D118" s="35"/>
    </row>
    <row r="120" spans="4:4">
      <c r="D120" s="35"/>
    </row>
    <row r="122" spans="4:4">
      <c r="D122" s="35"/>
    </row>
    <row r="124" spans="4:4">
      <c r="D124" s="35"/>
    </row>
    <row r="126" spans="4:4">
      <c r="D126" s="35"/>
    </row>
    <row r="128" spans="4:4">
      <c r="D128" s="35"/>
    </row>
    <row r="130" spans="4:4">
      <c r="D130" s="35"/>
    </row>
    <row r="132" spans="4:4">
      <c r="D132" s="35"/>
    </row>
    <row r="134" spans="4:4">
      <c r="D134" s="35"/>
    </row>
    <row r="136" spans="4:4">
      <c r="D136" s="35"/>
    </row>
    <row r="138" spans="4:4">
      <c r="D138" s="35"/>
    </row>
    <row r="140" spans="4:4">
      <c r="D140" s="35"/>
    </row>
    <row r="142" spans="4:4">
      <c r="D142" s="35"/>
    </row>
    <row r="144" spans="4:4">
      <c r="D144" s="35"/>
    </row>
    <row r="146" spans="2:6">
      <c r="D146" s="35"/>
    </row>
    <row r="148" spans="2:6">
      <c r="D148" s="35"/>
    </row>
    <row r="150" spans="2:6">
      <c r="D150" s="35"/>
    </row>
    <row r="151" spans="2:6">
      <c r="D151" s="35"/>
    </row>
    <row r="152" spans="2:6">
      <c r="D152" s="35"/>
    </row>
    <row r="155" spans="2:6">
      <c r="B155">
        <v>35</v>
      </c>
      <c r="F155">
        <v>60</v>
      </c>
    </row>
    <row r="167" spans="1:6" s="130" customFormat="1">
      <c r="A167" s="134"/>
      <c r="B167" s="130">
        <v>25</v>
      </c>
      <c r="F167" s="130">
        <v>50</v>
      </c>
    </row>
    <row r="168" spans="1:6">
      <c r="B168">
        <v>40</v>
      </c>
      <c r="F168">
        <v>60</v>
      </c>
    </row>
    <row r="170" spans="1:6">
      <c r="B170">
        <v>5</v>
      </c>
      <c r="F170">
        <v>10</v>
      </c>
    </row>
    <row r="171" spans="1:6">
      <c r="B171">
        <v>3</v>
      </c>
      <c r="F171">
        <v>5</v>
      </c>
    </row>
    <row r="172" spans="1:6">
      <c r="B172">
        <v>2.5</v>
      </c>
    </row>
    <row r="175" spans="1:6">
      <c r="B175">
        <v>19</v>
      </c>
      <c r="F175">
        <v>45</v>
      </c>
    </row>
    <row r="176" spans="1:6">
      <c r="B176">
        <v>10</v>
      </c>
      <c r="F176">
        <v>25</v>
      </c>
    </row>
    <row r="177" spans="2:6">
      <c r="B177">
        <v>2</v>
      </c>
      <c r="F177">
        <v>4</v>
      </c>
    </row>
    <row r="178" spans="2:6">
      <c r="B178">
        <v>10</v>
      </c>
      <c r="F178">
        <v>15</v>
      </c>
    </row>
    <row r="179" spans="2:6">
      <c r="B179">
        <v>18</v>
      </c>
      <c r="F179">
        <v>35</v>
      </c>
    </row>
    <row r="180" spans="2:6">
      <c r="B180">
        <v>18</v>
      </c>
      <c r="F180">
        <v>22</v>
      </c>
    </row>
    <row r="181" spans="2:6">
      <c r="F181">
        <v>20</v>
      </c>
    </row>
    <row r="182" spans="2:6">
      <c r="B182">
        <v>5</v>
      </c>
      <c r="F182">
        <v>10</v>
      </c>
    </row>
    <row r="183" spans="2:6">
      <c r="B183">
        <v>18</v>
      </c>
      <c r="F183">
        <v>35</v>
      </c>
    </row>
    <row r="185" spans="2:6">
      <c r="B185">
        <v>25</v>
      </c>
      <c r="F185">
        <v>50</v>
      </c>
    </row>
    <row r="186" spans="2:6">
      <c r="F186">
        <v>15</v>
      </c>
    </row>
    <row r="187" spans="2:6">
      <c r="B187">
        <v>65</v>
      </c>
      <c r="F187">
        <v>110</v>
      </c>
    </row>
    <row r="188" spans="2:6">
      <c r="B188">
        <v>20</v>
      </c>
      <c r="F188">
        <v>35</v>
      </c>
    </row>
    <row r="189" spans="2:6">
      <c r="B189">
        <v>4.5</v>
      </c>
      <c r="F189">
        <v>7</v>
      </c>
    </row>
    <row r="190" spans="2:6">
      <c r="B190">
        <v>4.5</v>
      </c>
    </row>
    <row r="193" spans="1:6">
      <c r="B193">
        <v>110</v>
      </c>
      <c r="F193">
        <v>160</v>
      </c>
    </row>
    <row r="194" spans="1:6">
      <c r="A194" s="2" t="s">
        <v>529</v>
      </c>
    </row>
    <row r="196" spans="1:6">
      <c r="A196" s="2" t="s">
        <v>529</v>
      </c>
      <c r="B196">
        <v>22</v>
      </c>
      <c r="F196">
        <v>35</v>
      </c>
    </row>
    <row r="248" spans="18:18">
      <c r="R248" t="s">
        <v>608</v>
      </c>
    </row>
    <row r="249" spans="18:18">
      <c r="R249" t="s">
        <v>608</v>
      </c>
    </row>
    <row r="250" spans="18:18">
      <c r="R250" t="s">
        <v>608</v>
      </c>
    </row>
  </sheetData>
  <conditionalFormatting sqref="B17:M17 B54:M54">
    <cfRule type="expression" dxfId="56" priority="2">
      <formula>B17 &lt;= 0</formula>
    </cfRule>
  </conditionalFormatting>
  <pageMargins left="0.511811024" right="0.511811024" top="0.78740157499999996" bottom="0.78740157499999996" header="0.31496062000000002" footer="0.31496062000000002"/>
  <pageSetup paperSize="9" orientation="portrait" r:id="rId1"/>
  <ignoredErrors>
    <ignoredError sqref="E9" formula="1"/>
  </ignoredErrors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S934"/>
  <sheetViews>
    <sheetView topLeftCell="A763" workbookViewId="0">
      <selection activeCell="A854" sqref="A854"/>
    </sheetView>
  </sheetViews>
  <sheetFormatPr defaultRowHeight="15" outlineLevelRow="1"/>
  <cols>
    <col min="1" max="1" width="12.85546875" bestFit="1" customWidth="1"/>
    <col min="2" max="2" width="28.7109375" customWidth="1"/>
    <col min="3" max="3" width="14.140625" bestFit="1" customWidth="1"/>
    <col min="4" max="4" width="30.85546875" bestFit="1" customWidth="1"/>
    <col min="5" max="7" width="13.5703125" bestFit="1" customWidth="1"/>
    <col min="8" max="8" width="9.5703125" bestFit="1" customWidth="1"/>
    <col min="9" max="9" width="11.28515625" bestFit="1" customWidth="1"/>
    <col min="10" max="10" width="5.5703125" bestFit="1" customWidth="1"/>
    <col min="11" max="11" width="7.140625" bestFit="1" customWidth="1"/>
  </cols>
  <sheetData>
    <row r="1" spans="1:11" ht="21">
      <c r="A1" s="160" t="s">
        <v>4</v>
      </c>
      <c r="B1" s="160"/>
      <c r="C1" s="161"/>
      <c r="D1" s="160"/>
      <c r="E1" s="113">
        <f>SUM(E2:E41)</f>
        <v>923.6</v>
      </c>
      <c r="F1" s="20">
        <f>SUM(F2:F41)</f>
        <v>1662</v>
      </c>
      <c r="G1" s="20">
        <v>738.4</v>
      </c>
      <c r="H1" s="71">
        <f>COUNTIF(H2:H41,"Vendido")</f>
        <v>40</v>
      </c>
      <c r="I1" s="87">
        <f>(F1-E1)/F1</f>
        <v>0.44428399518652223</v>
      </c>
      <c r="J1" s="87"/>
      <c r="K1" s="27"/>
    </row>
    <row r="2" spans="1:11">
      <c r="A2" s="8"/>
      <c r="B2" s="8" t="s">
        <v>46</v>
      </c>
      <c r="C2" s="8"/>
      <c r="D2" s="24" t="s">
        <v>36</v>
      </c>
      <c r="E2" s="94">
        <v>6</v>
      </c>
      <c r="F2" s="18">
        <v>12</v>
      </c>
      <c r="G2" s="18">
        <f t="shared" ref="G2:G20" si="0">F2-E2</f>
        <v>6</v>
      </c>
      <c r="H2" s="8" t="s">
        <v>42</v>
      </c>
      <c r="I2" s="8"/>
      <c r="J2" s="105"/>
      <c r="K2" s="8"/>
    </row>
    <row r="3" spans="1:11">
      <c r="A3" s="8"/>
      <c r="B3" s="8" t="s">
        <v>46</v>
      </c>
      <c r="C3" s="8"/>
      <c r="D3" s="24" t="s">
        <v>37</v>
      </c>
      <c r="E3" s="94">
        <v>6</v>
      </c>
      <c r="F3" s="18">
        <v>12</v>
      </c>
      <c r="G3" s="18">
        <f t="shared" si="0"/>
        <v>6</v>
      </c>
      <c r="H3" s="8" t="s">
        <v>42</v>
      </c>
      <c r="I3" s="8"/>
      <c r="J3" s="105"/>
      <c r="K3" s="8"/>
    </row>
    <row r="4" spans="1:11">
      <c r="A4" s="8"/>
      <c r="B4" s="8" t="s">
        <v>87</v>
      </c>
      <c r="C4" s="8"/>
      <c r="D4" s="24" t="s">
        <v>41</v>
      </c>
      <c r="E4" s="94">
        <v>65</v>
      </c>
      <c r="F4" s="18">
        <v>115</v>
      </c>
      <c r="G4" s="18">
        <f t="shared" si="0"/>
        <v>50</v>
      </c>
      <c r="H4" s="8" t="s">
        <v>42</v>
      </c>
      <c r="I4" s="8"/>
      <c r="J4" s="105"/>
      <c r="K4" s="8"/>
    </row>
    <row r="5" spans="1:11">
      <c r="A5" s="8"/>
      <c r="B5" s="8" t="s">
        <v>87</v>
      </c>
      <c r="C5" s="8"/>
      <c r="D5" s="24" t="s">
        <v>85</v>
      </c>
      <c r="E5" s="94">
        <v>65</v>
      </c>
      <c r="F5" s="18">
        <v>115</v>
      </c>
      <c r="G5" s="18">
        <f t="shared" si="0"/>
        <v>50</v>
      </c>
      <c r="H5" s="8" t="s">
        <v>42</v>
      </c>
      <c r="I5" s="8"/>
      <c r="J5" s="105"/>
      <c r="K5" s="8"/>
    </row>
    <row r="6" spans="1:11">
      <c r="A6" s="8"/>
      <c r="B6" s="8" t="s">
        <v>94</v>
      </c>
      <c r="C6" s="8"/>
      <c r="D6" s="24" t="s">
        <v>38</v>
      </c>
      <c r="E6" s="94">
        <v>3</v>
      </c>
      <c r="F6" s="18">
        <v>5</v>
      </c>
      <c r="G6" s="18">
        <f t="shared" si="0"/>
        <v>2</v>
      </c>
      <c r="H6" s="8" t="s">
        <v>42</v>
      </c>
      <c r="I6" s="8"/>
      <c r="J6" s="105"/>
      <c r="K6" s="8"/>
    </row>
    <row r="7" spans="1:11">
      <c r="A7" s="8"/>
      <c r="B7" s="8" t="s">
        <v>45</v>
      </c>
      <c r="C7" s="8"/>
      <c r="D7" s="24" t="s">
        <v>124</v>
      </c>
      <c r="E7" s="94">
        <v>6.8</v>
      </c>
      <c r="F7" s="18">
        <v>25</v>
      </c>
      <c r="G7" s="18">
        <f t="shared" si="0"/>
        <v>18.2</v>
      </c>
      <c r="H7" s="8" t="s">
        <v>42</v>
      </c>
      <c r="I7" s="8"/>
      <c r="J7" s="105"/>
      <c r="K7" s="8"/>
    </row>
    <row r="8" spans="1:11">
      <c r="A8" s="8"/>
      <c r="B8" s="8" t="s">
        <v>45</v>
      </c>
      <c r="C8" s="8"/>
      <c r="D8" s="24" t="s">
        <v>158</v>
      </c>
      <c r="E8" s="94">
        <v>6.8</v>
      </c>
      <c r="F8" s="18">
        <v>7</v>
      </c>
      <c r="G8" s="18">
        <f t="shared" si="0"/>
        <v>0.20000000000000018</v>
      </c>
      <c r="H8" s="8" t="s">
        <v>42</v>
      </c>
      <c r="I8" s="8"/>
      <c r="J8" s="105"/>
      <c r="K8" s="8"/>
    </row>
    <row r="9" spans="1:11">
      <c r="A9" s="8">
        <v>1</v>
      </c>
      <c r="B9" s="8" t="s">
        <v>65</v>
      </c>
      <c r="C9" s="8"/>
      <c r="D9" s="24" t="s">
        <v>66</v>
      </c>
      <c r="E9" s="94">
        <v>16</v>
      </c>
      <c r="F9" s="18">
        <v>30</v>
      </c>
      <c r="G9" s="18">
        <f t="shared" si="0"/>
        <v>14</v>
      </c>
      <c r="H9" s="8" t="s">
        <v>42</v>
      </c>
      <c r="I9" s="8"/>
      <c r="J9" s="105"/>
      <c r="K9" s="8"/>
    </row>
    <row r="10" spans="1:11">
      <c r="A10" s="8">
        <v>2</v>
      </c>
      <c r="B10" s="19" t="s">
        <v>90</v>
      </c>
      <c r="C10" s="19"/>
      <c r="D10" s="136" t="s">
        <v>86</v>
      </c>
      <c r="E10" s="94">
        <v>29</v>
      </c>
      <c r="F10" s="18">
        <v>50</v>
      </c>
      <c r="G10" s="21">
        <f t="shared" si="0"/>
        <v>21</v>
      </c>
      <c r="H10" s="8" t="s">
        <v>42</v>
      </c>
      <c r="I10" s="8"/>
      <c r="J10" s="105"/>
      <c r="K10" s="8"/>
    </row>
    <row r="11" spans="1:11">
      <c r="A11" s="8">
        <v>3</v>
      </c>
      <c r="B11" s="8" t="s">
        <v>159</v>
      </c>
      <c r="C11" s="8"/>
      <c r="D11" s="24" t="s">
        <v>409</v>
      </c>
      <c r="E11" s="94">
        <v>17</v>
      </c>
      <c r="F11" s="18">
        <v>35</v>
      </c>
      <c r="G11" s="18">
        <f t="shared" si="0"/>
        <v>18</v>
      </c>
      <c r="H11" s="8" t="s">
        <v>42</v>
      </c>
      <c r="I11" s="8"/>
      <c r="J11" s="105"/>
      <c r="K11" s="8"/>
    </row>
    <row r="12" spans="1:11">
      <c r="A12" s="8">
        <v>4</v>
      </c>
      <c r="B12" s="8" t="s">
        <v>108</v>
      </c>
      <c r="C12" s="8"/>
      <c r="D12" s="24" t="s">
        <v>37</v>
      </c>
      <c r="E12" s="94">
        <v>13</v>
      </c>
      <c r="F12" s="18">
        <v>20</v>
      </c>
      <c r="G12" s="18">
        <f t="shared" si="0"/>
        <v>7</v>
      </c>
      <c r="H12" s="8" t="s">
        <v>42</v>
      </c>
      <c r="I12" s="8"/>
      <c r="J12" s="105"/>
      <c r="K12" s="8"/>
    </row>
    <row r="13" spans="1:11">
      <c r="A13" s="8">
        <v>5</v>
      </c>
      <c r="B13" s="8" t="s">
        <v>109</v>
      </c>
      <c r="C13" s="8"/>
      <c r="D13" s="24" t="s">
        <v>36</v>
      </c>
      <c r="E13" s="94">
        <v>10</v>
      </c>
      <c r="F13" s="18">
        <v>20</v>
      </c>
      <c r="G13" s="18">
        <f t="shared" si="0"/>
        <v>10</v>
      </c>
      <c r="H13" s="8" t="s">
        <v>42</v>
      </c>
      <c r="I13" s="8"/>
      <c r="J13" s="105"/>
      <c r="K13" s="8"/>
    </row>
    <row r="14" spans="1:11">
      <c r="A14" s="8">
        <v>6</v>
      </c>
      <c r="B14" s="8" t="s">
        <v>96</v>
      </c>
      <c r="C14" s="8"/>
      <c r="D14" s="24" t="s">
        <v>36</v>
      </c>
      <c r="E14" s="94">
        <v>6</v>
      </c>
      <c r="F14" s="18">
        <v>6</v>
      </c>
      <c r="G14" s="18">
        <f t="shared" si="0"/>
        <v>0</v>
      </c>
      <c r="H14" s="8" t="s">
        <v>42</v>
      </c>
      <c r="I14" s="8"/>
      <c r="J14" s="105"/>
      <c r="K14" s="8"/>
    </row>
    <row r="15" spans="1:11">
      <c r="A15" s="8">
        <v>7</v>
      </c>
      <c r="B15" s="8" t="s">
        <v>96</v>
      </c>
      <c r="C15" s="8"/>
      <c r="D15" s="24" t="s">
        <v>37</v>
      </c>
      <c r="E15" s="94">
        <v>6</v>
      </c>
      <c r="F15" s="18">
        <v>18</v>
      </c>
      <c r="G15" s="18">
        <f t="shared" si="0"/>
        <v>12</v>
      </c>
      <c r="H15" s="8" t="s">
        <v>42</v>
      </c>
      <c r="I15" s="8"/>
      <c r="J15" s="105"/>
      <c r="K15" s="8"/>
    </row>
    <row r="16" spans="1:11">
      <c r="A16" s="8">
        <v>8</v>
      </c>
      <c r="B16" s="8" t="s">
        <v>54</v>
      </c>
      <c r="C16" s="8"/>
      <c r="D16" s="24" t="s">
        <v>56</v>
      </c>
      <c r="E16" s="94">
        <v>39</v>
      </c>
      <c r="F16" s="18">
        <v>80</v>
      </c>
      <c r="G16" s="18">
        <f t="shared" si="0"/>
        <v>41</v>
      </c>
      <c r="H16" s="8" t="s">
        <v>42</v>
      </c>
      <c r="I16" s="8"/>
      <c r="J16" s="105"/>
      <c r="K16" s="8"/>
    </row>
    <row r="17" spans="1:11">
      <c r="A17" s="8">
        <v>9</v>
      </c>
      <c r="B17" s="8" t="s">
        <v>79</v>
      </c>
      <c r="C17" s="8"/>
      <c r="D17" s="24" t="s">
        <v>38</v>
      </c>
      <c r="E17" s="94">
        <v>9</v>
      </c>
      <c r="F17" s="18">
        <v>20</v>
      </c>
      <c r="G17" s="18">
        <f t="shared" si="0"/>
        <v>11</v>
      </c>
      <c r="H17" s="8" t="s">
        <v>42</v>
      </c>
      <c r="I17" s="8"/>
      <c r="J17" s="105"/>
      <c r="K17" s="8"/>
    </row>
    <row r="18" spans="1:11">
      <c r="A18" s="8">
        <v>10</v>
      </c>
      <c r="B18" s="8" t="s">
        <v>115</v>
      </c>
      <c r="C18" s="8"/>
      <c r="D18" s="24" t="s">
        <v>57</v>
      </c>
      <c r="E18" s="94">
        <v>25</v>
      </c>
      <c r="F18" s="18">
        <v>50</v>
      </c>
      <c r="G18" s="18">
        <f t="shared" si="0"/>
        <v>25</v>
      </c>
      <c r="H18" s="8" t="s">
        <v>42</v>
      </c>
      <c r="I18" s="8"/>
      <c r="J18" s="105"/>
      <c r="K18" s="8"/>
    </row>
    <row r="19" spans="1:11">
      <c r="A19" s="8">
        <v>11</v>
      </c>
      <c r="B19" s="8" t="s">
        <v>115</v>
      </c>
      <c r="C19" s="8"/>
      <c r="D19" s="24" t="s">
        <v>70</v>
      </c>
      <c r="E19" s="94">
        <v>25</v>
      </c>
      <c r="F19" s="18">
        <v>50</v>
      </c>
      <c r="G19" s="18">
        <f t="shared" si="0"/>
        <v>25</v>
      </c>
      <c r="H19" s="8" t="s">
        <v>42</v>
      </c>
      <c r="I19" s="8"/>
      <c r="J19" s="105"/>
      <c r="K19" s="8"/>
    </row>
    <row r="20" spans="1:11">
      <c r="A20" s="8">
        <v>12</v>
      </c>
      <c r="B20" s="8" t="s">
        <v>93</v>
      </c>
      <c r="C20" s="8"/>
      <c r="D20" s="24" t="s">
        <v>410</v>
      </c>
      <c r="E20" s="94">
        <v>22</v>
      </c>
      <c r="F20" s="18">
        <v>35</v>
      </c>
      <c r="G20" s="18">
        <f t="shared" si="0"/>
        <v>13</v>
      </c>
      <c r="H20" s="8" t="s">
        <v>42</v>
      </c>
      <c r="I20" s="8"/>
      <c r="J20" s="105"/>
      <c r="K20" s="8"/>
    </row>
    <row r="21" spans="1:11">
      <c r="A21" s="8">
        <v>13</v>
      </c>
      <c r="B21" s="8" t="s">
        <v>93</v>
      </c>
      <c r="C21" s="8"/>
      <c r="D21" s="24" t="s">
        <v>38</v>
      </c>
      <c r="E21" s="94">
        <v>2</v>
      </c>
      <c r="F21" s="18"/>
      <c r="G21" s="18"/>
      <c r="H21" s="8" t="s">
        <v>42</v>
      </c>
      <c r="I21" s="8"/>
      <c r="J21" s="105"/>
      <c r="K21" s="8"/>
    </row>
    <row r="22" spans="1:11">
      <c r="A22" s="8">
        <v>14</v>
      </c>
      <c r="B22" s="8" t="s">
        <v>97</v>
      </c>
      <c r="C22" s="8"/>
      <c r="D22" s="24" t="s">
        <v>36</v>
      </c>
      <c r="E22" s="94">
        <v>16</v>
      </c>
      <c r="F22" s="18">
        <v>25</v>
      </c>
      <c r="G22" s="18">
        <f t="shared" ref="G22:G38" si="1">F22-E22</f>
        <v>9</v>
      </c>
      <c r="H22" s="8" t="s">
        <v>42</v>
      </c>
      <c r="I22" s="8"/>
      <c r="J22" s="105"/>
      <c r="K22" s="8"/>
    </row>
    <row r="23" spans="1:11">
      <c r="A23" s="8">
        <v>15</v>
      </c>
      <c r="B23" s="8" t="s">
        <v>97</v>
      </c>
      <c r="C23" s="8"/>
      <c r="D23" s="24" t="s">
        <v>106</v>
      </c>
      <c r="E23" s="94">
        <v>16</v>
      </c>
      <c r="F23" s="18">
        <v>25</v>
      </c>
      <c r="G23" s="18">
        <f t="shared" si="1"/>
        <v>9</v>
      </c>
      <c r="H23" s="8" t="s">
        <v>42</v>
      </c>
      <c r="I23" s="8"/>
      <c r="J23" s="105"/>
      <c r="K23" s="8"/>
    </row>
    <row r="24" spans="1:11">
      <c r="A24" s="8">
        <v>16</v>
      </c>
      <c r="B24" s="8" t="s">
        <v>97</v>
      </c>
      <c r="C24" s="8"/>
      <c r="D24" s="24" t="s">
        <v>67</v>
      </c>
      <c r="E24" s="94">
        <v>16</v>
      </c>
      <c r="F24" s="18">
        <v>25</v>
      </c>
      <c r="G24" s="18">
        <f t="shared" si="1"/>
        <v>9</v>
      </c>
      <c r="H24" s="8" t="s">
        <v>42</v>
      </c>
      <c r="I24" s="8"/>
      <c r="J24" s="105"/>
      <c r="K24" s="8"/>
    </row>
    <row r="25" spans="1:11">
      <c r="A25" s="8">
        <v>17</v>
      </c>
      <c r="B25" s="8" t="s">
        <v>97</v>
      </c>
      <c r="C25" s="8"/>
      <c r="D25" s="24" t="s">
        <v>56</v>
      </c>
      <c r="E25" s="94">
        <v>16</v>
      </c>
      <c r="F25" s="18">
        <v>20</v>
      </c>
      <c r="G25" s="18">
        <f t="shared" si="1"/>
        <v>4</v>
      </c>
      <c r="H25" s="8" t="s">
        <v>42</v>
      </c>
      <c r="I25" s="8"/>
      <c r="J25" s="105"/>
      <c r="K25" s="8"/>
    </row>
    <row r="26" spans="1:11">
      <c r="A26" s="8">
        <v>18</v>
      </c>
      <c r="B26" s="8" t="s">
        <v>160</v>
      </c>
      <c r="C26" s="8"/>
      <c r="D26" s="24" t="s">
        <v>77</v>
      </c>
      <c r="E26" s="94">
        <v>30</v>
      </c>
      <c r="F26" s="18">
        <v>50</v>
      </c>
      <c r="G26" s="18">
        <f t="shared" si="1"/>
        <v>20</v>
      </c>
      <c r="H26" s="8" t="s">
        <v>42</v>
      </c>
      <c r="I26" s="8"/>
      <c r="J26" s="105"/>
      <c r="K26" s="8"/>
    </row>
    <row r="27" spans="1:11">
      <c r="A27" s="8">
        <v>19</v>
      </c>
      <c r="B27" s="8" t="s">
        <v>160</v>
      </c>
      <c r="C27" s="8"/>
      <c r="D27" s="24" t="s">
        <v>57</v>
      </c>
      <c r="E27" s="94">
        <v>30</v>
      </c>
      <c r="F27" s="18">
        <v>55</v>
      </c>
      <c r="G27" s="18">
        <f t="shared" si="1"/>
        <v>25</v>
      </c>
      <c r="H27" s="8" t="s">
        <v>42</v>
      </c>
      <c r="I27" s="8"/>
      <c r="J27" s="105"/>
      <c r="K27" s="8"/>
    </row>
    <row r="28" spans="1:11">
      <c r="A28" s="8">
        <v>20</v>
      </c>
      <c r="B28" s="8" t="s">
        <v>160</v>
      </c>
      <c r="C28" s="8"/>
      <c r="D28" s="24" t="s">
        <v>61</v>
      </c>
      <c r="E28" s="94">
        <v>30</v>
      </c>
      <c r="F28" s="18">
        <v>60</v>
      </c>
      <c r="G28" s="18">
        <f t="shared" si="1"/>
        <v>30</v>
      </c>
      <c r="H28" s="8" t="s">
        <v>42</v>
      </c>
      <c r="I28" s="8"/>
      <c r="J28" s="105"/>
      <c r="K28" s="8"/>
    </row>
    <row r="29" spans="1:11">
      <c r="A29" s="8">
        <v>21</v>
      </c>
      <c r="B29" s="8" t="s">
        <v>98</v>
      </c>
      <c r="C29" s="8"/>
      <c r="D29" s="24" t="s">
        <v>41</v>
      </c>
      <c r="E29" s="94">
        <v>28</v>
      </c>
      <c r="F29" s="18">
        <v>65</v>
      </c>
      <c r="G29" s="18">
        <f t="shared" si="1"/>
        <v>37</v>
      </c>
      <c r="H29" s="8" t="s">
        <v>42</v>
      </c>
      <c r="I29" s="8"/>
      <c r="J29" s="105"/>
      <c r="K29" s="8"/>
    </row>
    <row r="30" spans="1:11">
      <c r="A30" s="8">
        <v>22</v>
      </c>
      <c r="B30" s="8" t="s">
        <v>98</v>
      </c>
      <c r="C30" s="8"/>
      <c r="D30" s="24" t="s">
        <v>161</v>
      </c>
      <c r="E30" s="94">
        <v>28</v>
      </c>
      <c r="F30" s="18">
        <v>57</v>
      </c>
      <c r="G30" s="18">
        <f t="shared" si="1"/>
        <v>29</v>
      </c>
      <c r="H30" s="8" t="s">
        <v>42</v>
      </c>
      <c r="I30" s="8"/>
      <c r="J30" s="105"/>
      <c r="K30" s="8"/>
    </row>
    <row r="31" spans="1:11">
      <c r="A31" s="8">
        <v>23</v>
      </c>
      <c r="B31" s="8" t="s">
        <v>98</v>
      </c>
      <c r="C31" s="8"/>
      <c r="D31" s="24" t="s">
        <v>162</v>
      </c>
      <c r="E31" s="94">
        <v>28</v>
      </c>
      <c r="F31" s="18">
        <v>30</v>
      </c>
      <c r="G31" s="18">
        <f t="shared" si="1"/>
        <v>2</v>
      </c>
      <c r="H31" s="8" t="s">
        <v>42</v>
      </c>
      <c r="I31" s="8"/>
      <c r="J31" s="105"/>
      <c r="K31" s="8"/>
    </row>
    <row r="32" spans="1:11">
      <c r="A32" s="8">
        <v>24</v>
      </c>
      <c r="B32" s="8" t="s">
        <v>92</v>
      </c>
      <c r="C32" s="8"/>
      <c r="D32" s="24" t="s">
        <v>81</v>
      </c>
      <c r="E32" s="94">
        <v>55</v>
      </c>
      <c r="F32" s="18">
        <v>100</v>
      </c>
      <c r="G32" s="18">
        <f t="shared" si="1"/>
        <v>45</v>
      </c>
      <c r="H32" s="8" t="s">
        <v>42</v>
      </c>
      <c r="I32" s="8"/>
      <c r="J32" s="105"/>
      <c r="K32" s="8"/>
    </row>
    <row r="33" spans="1:11">
      <c r="A33" s="8">
        <v>25</v>
      </c>
      <c r="B33" s="8" t="s">
        <v>127</v>
      </c>
      <c r="C33" s="8"/>
      <c r="D33" s="24" t="s">
        <v>411</v>
      </c>
      <c r="E33" s="94">
        <v>55</v>
      </c>
      <c r="F33" s="18">
        <v>100</v>
      </c>
      <c r="G33" s="18">
        <f t="shared" si="1"/>
        <v>45</v>
      </c>
      <c r="H33" s="8" t="s">
        <v>42</v>
      </c>
      <c r="I33" s="8"/>
      <c r="J33" s="105"/>
      <c r="K33" s="8"/>
    </row>
    <row r="34" spans="1:11">
      <c r="A34" s="8">
        <v>26</v>
      </c>
      <c r="B34" s="8" t="s">
        <v>118</v>
      </c>
      <c r="C34" s="8"/>
      <c r="D34" s="24" t="s">
        <v>41</v>
      </c>
      <c r="E34" s="94">
        <v>60</v>
      </c>
      <c r="F34" s="18">
        <v>110</v>
      </c>
      <c r="G34" s="18">
        <f t="shared" si="1"/>
        <v>50</v>
      </c>
      <c r="H34" s="8" t="s">
        <v>42</v>
      </c>
      <c r="I34" s="8"/>
      <c r="J34" s="105"/>
      <c r="K34" s="8"/>
    </row>
    <row r="35" spans="1:11">
      <c r="A35" s="8">
        <v>27</v>
      </c>
      <c r="B35" s="8" t="s">
        <v>99</v>
      </c>
      <c r="C35" s="8"/>
      <c r="D35" s="24" t="s">
        <v>411</v>
      </c>
      <c r="E35" s="94">
        <v>55</v>
      </c>
      <c r="F35" s="18">
        <v>100</v>
      </c>
      <c r="G35" s="18">
        <f t="shared" si="1"/>
        <v>45</v>
      </c>
      <c r="H35" s="8" t="s">
        <v>42</v>
      </c>
      <c r="I35" s="8"/>
      <c r="J35" s="105"/>
      <c r="K35" s="8"/>
    </row>
    <row r="36" spans="1:11">
      <c r="A36" s="8">
        <v>28</v>
      </c>
      <c r="B36" s="8" t="s">
        <v>99</v>
      </c>
      <c r="C36" s="8"/>
      <c r="D36" s="24" t="s">
        <v>129</v>
      </c>
      <c r="E36" s="94">
        <v>55</v>
      </c>
      <c r="F36" s="18">
        <v>55</v>
      </c>
      <c r="G36" s="18">
        <f t="shared" si="1"/>
        <v>0</v>
      </c>
      <c r="H36" s="8" t="s">
        <v>42</v>
      </c>
      <c r="I36" s="8"/>
      <c r="J36" s="105"/>
      <c r="K36" s="8"/>
    </row>
    <row r="37" spans="1:11">
      <c r="A37" s="8">
        <v>29</v>
      </c>
      <c r="B37" s="8" t="s">
        <v>51</v>
      </c>
      <c r="C37" s="8"/>
      <c r="D37" s="24" t="s">
        <v>38</v>
      </c>
      <c r="E37" s="94">
        <v>10</v>
      </c>
      <c r="F37" s="18">
        <v>10</v>
      </c>
      <c r="G37" s="18">
        <f t="shared" si="1"/>
        <v>0</v>
      </c>
      <c r="H37" s="8" t="s">
        <v>42</v>
      </c>
      <c r="I37" s="8"/>
      <c r="J37" s="105"/>
      <c r="K37" s="8"/>
    </row>
    <row r="38" spans="1:11">
      <c r="A38" s="8">
        <v>30</v>
      </c>
      <c r="B38" s="8" t="s">
        <v>100</v>
      </c>
      <c r="C38" s="8"/>
      <c r="D38" s="24" t="s">
        <v>36</v>
      </c>
      <c r="E38" s="94">
        <v>10</v>
      </c>
      <c r="F38" s="18">
        <v>20</v>
      </c>
      <c r="G38" s="18">
        <f t="shared" si="1"/>
        <v>10</v>
      </c>
      <c r="H38" s="8" t="s">
        <v>42</v>
      </c>
      <c r="I38" s="8"/>
      <c r="J38" s="105"/>
      <c r="K38" s="8"/>
    </row>
    <row r="39" spans="1:11">
      <c r="A39" s="8">
        <v>31</v>
      </c>
      <c r="B39" s="8" t="s">
        <v>72</v>
      </c>
      <c r="C39" s="8"/>
      <c r="D39" s="24" t="s">
        <v>63</v>
      </c>
      <c r="E39" s="94"/>
      <c r="F39" s="18">
        <v>30</v>
      </c>
      <c r="G39" s="18">
        <v>30</v>
      </c>
      <c r="H39" s="8" t="s">
        <v>42</v>
      </c>
      <c r="I39" s="8"/>
      <c r="J39" s="105"/>
      <c r="K39" s="8"/>
    </row>
    <row r="40" spans="1:11">
      <c r="A40" s="8">
        <v>32</v>
      </c>
      <c r="B40" s="8" t="s">
        <v>17</v>
      </c>
      <c r="C40" s="8"/>
      <c r="D40" s="24" t="s">
        <v>409</v>
      </c>
      <c r="E40" s="94">
        <v>0</v>
      </c>
      <c r="F40" s="18">
        <v>10</v>
      </c>
      <c r="G40" s="18">
        <v>10</v>
      </c>
      <c r="H40" s="8" t="s">
        <v>42</v>
      </c>
      <c r="I40" s="8"/>
      <c r="J40" s="105"/>
      <c r="K40" s="8"/>
    </row>
    <row r="41" spans="1:11">
      <c r="A41" s="8">
        <v>33</v>
      </c>
      <c r="B41" s="8" t="s">
        <v>95</v>
      </c>
      <c r="C41" s="8"/>
      <c r="D41" s="24" t="s">
        <v>38</v>
      </c>
      <c r="E41" s="94">
        <v>8</v>
      </c>
      <c r="F41" s="18">
        <v>10</v>
      </c>
      <c r="G41" s="18">
        <f>F41-E41</f>
        <v>2</v>
      </c>
      <c r="H41" s="8" t="s">
        <v>42</v>
      </c>
      <c r="I41" s="8"/>
      <c r="J41" s="105"/>
      <c r="K41" s="8"/>
    </row>
    <row r="42" spans="1:11">
      <c r="A42" s="8"/>
      <c r="B42" s="19"/>
      <c r="C42" s="19"/>
      <c r="D42" s="24"/>
      <c r="E42" s="94"/>
      <c r="F42" s="21"/>
      <c r="G42" s="21"/>
      <c r="H42" s="8"/>
      <c r="I42" s="17"/>
      <c r="J42" s="81"/>
      <c r="K42" s="8"/>
    </row>
    <row r="43" spans="1:11" ht="21">
      <c r="A43" s="160" t="s">
        <v>5</v>
      </c>
      <c r="B43" s="160"/>
      <c r="C43" s="161"/>
      <c r="D43" s="160"/>
      <c r="E43" s="113">
        <f>SUM(E44:E110)</f>
        <v>1575.9899999999998</v>
      </c>
      <c r="F43" s="20">
        <f>SUM(F44:F110)</f>
        <v>2775.5</v>
      </c>
      <c r="G43" s="20">
        <v>1199.5100000000002</v>
      </c>
      <c r="H43" s="71">
        <f>COUNTIF(H44:H110,"Vendido")</f>
        <v>50</v>
      </c>
      <c r="I43" s="87">
        <f>(F43-E43)/F43</f>
        <v>0.43217798594847784</v>
      </c>
      <c r="J43" s="87"/>
      <c r="K43" s="27"/>
    </row>
    <row r="44" spans="1:11">
      <c r="A44" s="8">
        <v>1</v>
      </c>
      <c r="B44" s="41" t="s">
        <v>87</v>
      </c>
      <c r="C44" s="41"/>
      <c r="D44" s="40" t="s">
        <v>147</v>
      </c>
      <c r="E44" s="94">
        <v>65</v>
      </c>
      <c r="F44" s="44">
        <v>100</v>
      </c>
      <c r="G44" s="21">
        <f t="shared" ref="G44:G75" si="2">F44-E44</f>
        <v>35</v>
      </c>
      <c r="H44" s="8" t="s">
        <v>42</v>
      </c>
      <c r="I44" s="17"/>
      <c r="J44" s="81"/>
      <c r="K44" s="8"/>
    </row>
    <row r="45" spans="1:11">
      <c r="A45" s="8">
        <v>2</v>
      </c>
      <c r="B45" s="19" t="s">
        <v>87</v>
      </c>
      <c r="C45" s="19"/>
      <c r="D45" s="24" t="s">
        <v>88</v>
      </c>
      <c r="E45" s="94">
        <v>65</v>
      </c>
      <c r="F45" s="21">
        <v>115</v>
      </c>
      <c r="G45" s="21">
        <f t="shared" si="2"/>
        <v>50</v>
      </c>
      <c r="H45" s="8" t="s">
        <v>42</v>
      </c>
      <c r="I45" s="17"/>
      <c r="J45" s="81"/>
      <c r="K45" s="8"/>
    </row>
    <row r="46" spans="1:11">
      <c r="A46" s="8">
        <v>3</v>
      </c>
      <c r="B46" s="19" t="s">
        <v>87</v>
      </c>
      <c r="C46" s="19"/>
      <c r="D46" s="24" t="s">
        <v>103</v>
      </c>
      <c r="E46" s="94">
        <v>65</v>
      </c>
      <c r="F46" s="21">
        <v>120</v>
      </c>
      <c r="G46" s="21">
        <f t="shared" si="2"/>
        <v>55</v>
      </c>
      <c r="H46" s="8" t="s">
        <v>42</v>
      </c>
      <c r="I46" s="17"/>
      <c r="J46" s="81"/>
      <c r="K46" s="8"/>
    </row>
    <row r="47" spans="1:11">
      <c r="A47" s="8">
        <v>4</v>
      </c>
      <c r="B47" s="19" t="s">
        <v>89</v>
      </c>
      <c r="C47" s="19"/>
      <c r="D47" s="24" t="s">
        <v>126</v>
      </c>
      <c r="E47" s="94">
        <v>14</v>
      </c>
      <c r="F47" s="21">
        <v>30</v>
      </c>
      <c r="G47" s="21">
        <f t="shared" si="2"/>
        <v>16</v>
      </c>
      <c r="H47" s="8" t="s">
        <v>42</v>
      </c>
      <c r="I47" s="17"/>
      <c r="J47" s="81"/>
      <c r="K47" s="8"/>
    </row>
    <row r="48" spans="1:11">
      <c r="A48" s="8">
        <v>5</v>
      </c>
      <c r="B48" s="19" t="s">
        <v>90</v>
      </c>
      <c r="C48" s="19"/>
      <c r="D48" s="24" t="s">
        <v>36</v>
      </c>
      <c r="E48" s="94">
        <v>29</v>
      </c>
      <c r="F48" s="21">
        <v>50</v>
      </c>
      <c r="G48" s="21">
        <f t="shared" si="2"/>
        <v>21</v>
      </c>
      <c r="H48" s="8" t="s">
        <v>42</v>
      </c>
      <c r="I48" s="17"/>
      <c r="J48" s="81"/>
      <c r="K48" s="8"/>
    </row>
    <row r="49" spans="1:11">
      <c r="A49" s="8">
        <v>6</v>
      </c>
      <c r="B49" s="19" t="s">
        <v>90</v>
      </c>
      <c r="C49" s="19"/>
      <c r="D49" s="24" t="s">
        <v>123</v>
      </c>
      <c r="E49" s="94">
        <v>29</v>
      </c>
      <c r="F49" s="21">
        <v>50</v>
      </c>
      <c r="G49" s="21">
        <f t="shared" si="2"/>
        <v>21</v>
      </c>
      <c r="H49" s="8" t="s">
        <v>42</v>
      </c>
      <c r="I49" s="17"/>
      <c r="J49" s="81"/>
      <c r="K49" s="8"/>
    </row>
    <row r="50" spans="1:11">
      <c r="A50" s="8">
        <v>7</v>
      </c>
      <c r="B50" s="8" t="s">
        <v>178</v>
      </c>
      <c r="C50" s="8"/>
      <c r="D50" s="24" t="s">
        <v>181</v>
      </c>
      <c r="E50" s="94">
        <v>35</v>
      </c>
      <c r="F50" s="21">
        <v>70</v>
      </c>
      <c r="G50" s="21">
        <f t="shared" si="2"/>
        <v>35</v>
      </c>
      <c r="H50" s="8" t="s">
        <v>42</v>
      </c>
      <c r="I50" s="17"/>
      <c r="J50" s="81"/>
      <c r="K50" s="8"/>
    </row>
    <row r="51" spans="1:11">
      <c r="A51" s="8">
        <v>8</v>
      </c>
      <c r="B51" s="8" t="s">
        <v>178</v>
      </c>
      <c r="C51" s="8"/>
      <c r="D51" s="28" t="s">
        <v>177</v>
      </c>
      <c r="E51" s="94">
        <v>35</v>
      </c>
      <c r="F51" s="21">
        <v>60</v>
      </c>
      <c r="G51" s="21">
        <f t="shared" si="2"/>
        <v>25</v>
      </c>
      <c r="H51" s="8" t="s">
        <v>42</v>
      </c>
      <c r="I51" s="17"/>
      <c r="J51" s="81"/>
      <c r="K51" s="8"/>
    </row>
    <row r="52" spans="1:11">
      <c r="A52" s="8">
        <v>9</v>
      </c>
      <c r="B52" s="8" t="s">
        <v>178</v>
      </c>
      <c r="C52" s="8"/>
      <c r="D52" s="28" t="s">
        <v>176</v>
      </c>
      <c r="E52" s="94">
        <v>35</v>
      </c>
      <c r="F52" s="49">
        <v>70</v>
      </c>
      <c r="G52" s="21">
        <f t="shared" si="2"/>
        <v>35</v>
      </c>
      <c r="H52" s="8" t="s">
        <v>42</v>
      </c>
      <c r="I52" s="17"/>
      <c r="J52" s="81"/>
      <c r="K52" s="8"/>
    </row>
    <row r="53" spans="1:11">
      <c r="A53" s="8">
        <v>10</v>
      </c>
      <c r="B53" s="19" t="s">
        <v>178</v>
      </c>
      <c r="C53" s="19"/>
      <c r="D53" s="24" t="s">
        <v>185</v>
      </c>
      <c r="E53" s="94">
        <v>35</v>
      </c>
      <c r="F53" s="21">
        <v>60</v>
      </c>
      <c r="G53" s="21">
        <f t="shared" si="2"/>
        <v>25</v>
      </c>
      <c r="H53" s="8" t="s">
        <v>42</v>
      </c>
      <c r="I53" s="17"/>
      <c r="J53" s="81"/>
      <c r="K53" s="8"/>
    </row>
    <row r="54" spans="1:11">
      <c r="A54" s="8">
        <v>11</v>
      </c>
      <c r="B54" s="19" t="s">
        <v>156</v>
      </c>
      <c r="C54" s="19"/>
      <c r="D54" s="28" t="s">
        <v>153</v>
      </c>
      <c r="E54" s="94">
        <v>100</v>
      </c>
      <c r="F54" s="21">
        <v>78</v>
      </c>
      <c r="G54" s="21">
        <f t="shared" si="2"/>
        <v>-22</v>
      </c>
      <c r="H54" s="8" t="s">
        <v>42</v>
      </c>
      <c r="I54" s="17"/>
      <c r="J54" s="81"/>
      <c r="K54" s="8"/>
    </row>
    <row r="55" spans="1:11">
      <c r="A55" s="8">
        <v>12</v>
      </c>
      <c r="B55" s="19" t="s">
        <v>116</v>
      </c>
      <c r="C55" s="19"/>
      <c r="D55" s="24" t="s">
        <v>111</v>
      </c>
      <c r="E55" s="94">
        <v>28</v>
      </c>
      <c r="F55" s="21">
        <v>50</v>
      </c>
      <c r="G55" s="21">
        <f t="shared" si="2"/>
        <v>22</v>
      </c>
      <c r="H55" s="8" t="s">
        <v>42</v>
      </c>
      <c r="I55" s="17"/>
      <c r="J55" s="81"/>
      <c r="K55" s="8"/>
    </row>
    <row r="56" spans="1:11">
      <c r="A56" s="8">
        <v>13</v>
      </c>
      <c r="B56" s="8" t="s">
        <v>115</v>
      </c>
      <c r="C56" s="8"/>
      <c r="D56" s="24" t="s">
        <v>145</v>
      </c>
      <c r="E56" s="94">
        <v>25</v>
      </c>
      <c r="F56" s="21">
        <v>50</v>
      </c>
      <c r="G56" s="21">
        <f t="shared" si="2"/>
        <v>25</v>
      </c>
      <c r="H56" s="8" t="s">
        <v>42</v>
      </c>
      <c r="I56" s="17"/>
      <c r="J56" s="81"/>
      <c r="K56" s="8"/>
    </row>
    <row r="57" spans="1:11">
      <c r="A57" s="8">
        <v>14</v>
      </c>
      <c r="B57" s="19" t="s">
        <v>110</v>
      </c>
      <c r="C57" s="19"/>
      <c r="D57" s="24" t="s">
        <v>38</v>
      </c>
      <c r="E57" s="94">
        <v>18</v>
      </c>
      <c r="F57" s="21">
        <v>30</v>
      </c>
      <c r="G57" s="21">
        <f t="shared" si="2"/>
        <v>12</v>
      </c>
      <c r="H57" s="8" t="s">
        <v>42</v>
      </c>
      <c r="I57" s="17"/>
      <c r="J57" s="81"/>
      <c r="K57" s="8"/>
    </row>
    <row r="58" spans="1:11">
      <c r="A58" s="8">
        <v>15</v>
      </c>
      <c r="B58" s="19" t="s">
        <v>182</v>
      </c>
      <c r="C58" s="19"/>
      <c r="D58" s="24" t="s">
        <v>186</v>
      </c>
      <c r="E58" s="94">
        <v>22</v>
      </c>
      <c r="F58" s="21">
        <v>50</v>
      </c>
      <c r="G58" s="21">
        <f t="shared" si="2"/>
        <v>28</v>
      </c>
      <c r="H58" s="8" t="s">
        <v>42</v>
      </c>
      <c r="I58" s="17"/>
      <c r="J58" s="81"/>
      <c r="K58" s="8"/>
    </row>
    <row r="59" spans="1:11">
      <c r="A59" s="8">
        <v>16</v>
      </c>
      <c r="B59" s="8" t="s">
        <v>146</v>
      </c>
      <c r="C59" s="8"/>
      <c r="D59" s="28" t="s">
        <v>412</v>
      </c>
      <c r="E59" s="94">
        <v>11</v>
      </c>
      <c r="F59" s="44">
        <v>20</v>
      </c>
      <c r="G59" s="21">
        <f t="shared" si="2"/>
        <v>9</v>
      </c>
      <c r="H59" s="8" t="s">
        <v>42</v>
      </c>
      <c r="I59" s="17"/>
      <c r="J59" s="81"/>
      <c r="K59" s="8"/>
    </row>
    <row r="60" spans="1:11">
      <c r="A60" s="8">
        <v>17</v>
      </c>
      <c r="B60" s="46" t="s">
        <v>413</v>
      </c>
      <c r="C60" s="46"/>
      <c r="D60" s="28" t="s">
        <v>412</v>
      </c>
      <c r="E60" s="94">
        <v>18</v>
      </c>
      <c r="F60" s="49">
        <v>35</v>
      </c>
      <c r="G60" s="21">
        <f t="shared" si="2"/>
        <v>17</v>
      </c>
      <c r="H60" s="8" t="s">
        <v>42</v>
      </c>
      <c r="I60" s="17"/>
      <c r="J60" s="81"/>
      <c r="K60" s="8"/>
    </row>
    <row r="61" spans="1:11">
      <c r="A61" s="8">
        <v>18</v>
      </c>
      <c r="B61" s="8" t="s">
        <v>155</v>
      </c>
      <c r="C61" s="8"/>
      <c r="D61" s="40" t="s">
        <v>139</v>
      </c>
      <c r="E61" s="94">
        <v>16</v>
      </c>
      <c r="F61" s="21">
        <v>35</v>
      </c>
      <c r="G61" s="21">
        <f t="shared" si="2"/>
        <v>19</v>
      </c>
      <c r="H61" s="8" t="s">
        <v>42</v>
      </c>
      <c r="I61" s="17"/>
      <c r="J61" s="81"/>
      <c r="K61" s="8"/>
    </row>
    <row r="62" spans="1:11">
      <c r="A62" s="8">
        <v>19</v>
      </c>
      <c r="B62" s="63" t="s">
        <v>155</v>
      </c>
      <c r="C62" s="63"/>
      <c r="D62" s="28" t="s">
        <v>113</v>
      </c>
      <c r="E62" s="94">
        <v>16</v>
      </c>
      <c r="F62" s="21">
        <v>35</v>
      </c>
      <c r="G62" s="21">
        <f t="shared" si="2"/>
        <v>19</v>
      </c>
      <c r="H62" s="8" t="s">
        <v>42</v>
      </c>
      <c r="I62" s="17"/>
      <c r="J62" s="81"/>
      <c r="K62" s="8"/>
    </row>
    <row r="63" spans="1:11">
      <c r="A63" s="8">
        <v>20</v>
      </c>
      <c r="B63" s="63" t="s">
        <v>155</v>
      </c>
      <c r="C63" s="63"/>
      <c r="D63" s="28" t="s">
        <v>414</v>
      </c>
      <c r="E63" s="94">
        <v>16</v>
      </c>
      <c r="F63" s="21">
        <v>45</v>
      </c>
      <c r="G63" s="21">
        <f t="shared" si="2"/>
        <v>29</v>
      </c>
      <c r="H63" s="8" t="s">
        <v>42</v>
      </c>
      <c r="I63" s="17"/>
      <c r="J63" s="81"/>
      <c r="K63" s="8"/>
    </row>
    <row r="64" spans="1:11">
      <c r="A64" s="8">
        <v>21</v>
      </c>
      <c r="B64" s="19" t="s">
        <v>117</v>
      </c>
      <c r="C64" s="19"/>
      <c r="D64" s="24" t="s">
        <v>38</v>
      </c>
      <c r="E64" s="94">
        <v>26</v>
      </c>
      <c r="F64" s="21">
        <v>55</v>
      </c>
      <c r="G64" s="21">
        <f t="shared" si="2"/>
        <v>29</v>
      </c>
      <c r="H64" s="8" t="s">
        <v>42</v>
      </c>
      <c r="I64" s="17"/>
      <c r="J64" s="81"/>
      <c r="K64" s="8"/>
    </row>
    <row r="65" spans="1:11">
      <c r="A65" s="8">
        <v>22</v>
      </c>
      <c r="B65" s="19" t="s">
        <v>117</v>
      </c>
      <c r="C65" s="19"/>
      <c r="D65" s="24" t="s">
        <v>38</v>
      </c>
      <c r="E65" s="94">
        <v>26</v>
      </c>
      <c r="F65" s="21">
        <v>50</v>
      </c>
      <c r="G65" s="21">
        <f t="shared" si="2"/>
        <v>24</v>
      </c>
      <c r="H65" s="8" t="s">
        <v>42</v>
      </c>
      <c r="I65" s="17"/>
      <c r="J65" s="81"/>
      <c r="K65" s="8"/>
    </row>
    <row r="66" spans="1:11">
      <c r="A66" s="8">
        <v>23</v>
      </c>
      <c r="B66" s="41" t="s">
        <v>148</v>
      </c>
      <c r="C66" s="41"/>
      <c r="D66" s="40" t="s">
        <v>149</v>
      </c>
      <c r="E66" s="94">
        <v>0</v>
      </c>
      <c r="F66" s="44">
        <v>10</v>
      </c>
      <c r="G66" s="21">
        <f t="shared" si="2"/>
        <v>10</v>
      </c>
      <c r="H66" s="8" t="s">
        <v>42</v>
      </c>
      <c r="I66" s="17"/>
      <c r="J66" s="81"/>
      <c r="K66" s="8"/>
    </row>
    <row r="67" spans="1:11">
      <c r="A67" s="8">
        <v>24</v>
      </c>
      <c r="B67" s="42" t="s">
        <v>151</v>
      </c>
      <c r="C67" s="42"/>
      <c r="D67" s="43" t="s">
        <v>152</v>
      </c>
      <c r="E67" s="95">
        <v>0.99</v>
      </c>
      <c r="F67" s="45">
        <v>2.5</v>
      </c>
      <c r="G67" s="21">
        <f t="shared" si="2"/>
        <v>1.51</v>
      </c>
      <c r="H67" s="8" t="s">
        <v>42</v>
      </c>
      <c r="I67" s="17"/>
      <c r="J67" s="81"/>
      <c r="K67" s="8"/>
    </row>
    <row r="68" spans="1:11">
      <c r="A68" s="8">
        <v>25</v>
      </c>
      <c r="B68" s="8" t="s">
        <v>93</v>
      </c>
      <c r="C68" s="8"/>
      <c r="D68" s="24" t="s">
        <v>163</v>
      </c>
      <c r="E68" s="94">
        <v>22</v>
      </c>
      <c r="F68" s="21">
        <v>35</v>
      </c>
      <c r="G68" s="21">
        <f t="shared" si="2"/>
        <v>13</v>
      </c>
      <c r="H68" s="8" t="s">
        <v>42</v>
      </c>
      <c r="I68" s="32"/>
      <c r="J68" s="81"/>
      <c r="K68" s="8"/>
    </row>
    <row r="69" spans="1:11">
      <c r="A69" s="8">
        <v>26</v>
      </c>
      <c r="B69" s="42" t="s">
        <v>157</v>
      </c>
      <c r="C69" s="42"/>
      <c r="D69" s="28" t="s">
        <v>187</v>
      </c>
      <c r="E69" s="94">
        <v>30</v>
      </c>
      <c r="F69" s="21">
        <v>45</v>
      </c>
      <c r="G69" s="21">
        <f t="shared" si="2"/>
        <v>15</v>
      </c>
      <c r="H69" s="8" t="s">
        <v>42</v>
      </c>
      <c r="I69" s="17"/>
      <c r="J69" s="81"/>
      <c r="K69" s="8"/>
    </row>
    <row r="70" spans="1:11">
      <c r="A70" s="8">
        <v>27</v>
      </c>
      <c r="B70" s="8" t="s">
        <v>102</v>
      </c>
      <c r="C70" s="8"/>
      <c r="D70" s="24" t="s">
        <v>415</v>
      </c>
      <c r="E70" s="94">
        <v>14</v>
      </c>
      <c r="F70" s="21">
        <v>25</v>
      </c>
      <c r="G70" s="21">
        <f t="shared" si="2"/>
        <v>11</v>
      </c>
      <c r="H70" s="8" t="s">
        <v>42</v>
      </c>
      <c r="I70" s="17"/>
      <c r="J70" s="82"/>
      <c r="K70" s="8"/>
    </row>
    <row r="71" spans="1:11">
      <c r="A71" s="8">
        <v>28</v>
      </c>
      <c r="B71" s="8" t="s">
        <v>102</v>
      </c>
      <c r="C71" s="8"/>
      <c r="D71" s="24" t="s">
        <v>37</v>
      </c>
      <c r="E71" s="94">
        <v>16</v>
      </c>
      <c r="F71" s="21">
        <v>25</v>
      </c>
      <c r="G71" s="21">
        <f t="shared" si="2"/>
        <v>9</v>
      </c>
      <c r="H71" s="8" t="s">
        <v>42</v>
      </c>
      <c r="I71" s="17"/>
      <c r="J71" s="81"/>
      <c r="K71" s="8"/>
    </row>
    <row r="72" spans="1:11">
      <c r="A72" s="8">
        <v>29</v>
      </c>
      <c r="B72" s="8" t="s">
        <v>102</v>
      </c>
      <c r="C72" s="8"/>
      <c r="D72" s="24" t="s">
        <v>122</v>
      </c>
      <c r="E72" s="94">
        <v>14</v>
      </c>
      <c r="F72" s="21">
        <v>25</v>
      </c>
      <c r="G72" s="21">
        <f t="shared" si="2"/>
        <v>11</v>
      </c>
      <c r="H72" s="8" t="s">
        <v>42</v>
      </c>
      <c r="I72" s="17"/>
      <c r="J72" s="82"/>
      <c r="K72" s="8"/>
    </row>
    <row r="73" spans="1:11">
      <c r="A73" s="8">
        <v>30</v>
      </c>
      <c r="B73" s="25" t="s">
        <v>102</v>
      </c>
      <c r="C73" s="25"/>
      <c r="D73" s="28"/>
      <c r="E73" s="94">
        <v>14</v>
      </c>
      <c r="F73" s="21">
        <v>20</v>
      </c>
      <c r="G73" s="21">
        <f t="shared" si="2"/>
        <v>6</v>
      </c>
      <c r="H73" s="8" t="s">
        <v>42</v>
      </c>
      <c r="I73" s="17"/>
      <c r="J73" s="81"/>
      <c r="K73" s="8"/>
    </row>
    <row r="74" spans="1:11">
      <c r="A74" s="8">
        <v>31</v>
      </c>
      <c r="B74" s="8" t="s">
        <v>119</v>
      </c>
      <c r="C74" s="8"/>
      <c r="D74" s="24"/>
      <c r="E74" s="94">
        <v>30</v>
      </c>
      <c r="F74" s="21">
        <v>50</v>
      </c>
      <c r="G74" s="21">
        <f t="shared" si="2"/>
        <v>20</v>
      </c>
      <c r="H74" s="8" t="s">
        <v>42</v>
      </c>
      <c r="I74" s="17"/>
      <c r="J74" s="81"/>
      <c r="K74" s="8"/>
    </row>
    <row r="75" spans="1:11">
      <c r="A75" s="8">
        <v>32</v>
      </c>
      <c r="B75" s="8" t="s">
        <v>119</v>
      </c>
      <c r="C75" s="8"/>
      <c r="D75" s="24">
        <v>202</v>
      </c>
      <c r="E75" s="94">
        <v>30</v>
      </c>
      <c r="F75" s="21">
        <v>65</v>
      </c>
      <c r="G75" s="21">
        <f t="shared" si="2"/>
        <v>35</v>
      </c>
      <c r="H75" s="8" t="s">
        <v>42</v>
      </c>
      <c r="I75" s="17"/>
      <c r="J75" s="81"/>
      <c r="K75" s="8"/>
    </row>
    <row r="76" spans="1:11">
      <c r="A76" s="8">
        <v>33</v>
      </c>
      <c r="B76" s="8" t="s">
        <v>132</v>
      </c>
      <c r="C76" s="8"/>
      <c r="D76" s="24" t="s">
        <v>154</v>
      </c>
      <c r="E76" s="94"/>
      <c r="F76" s="21"/>
      <c r="G76" s="21"/>
      <c r="H76" s="8"/>
      <c r="I76" s="17"/>
      <c r="J76" s="81"/>
      <c r="K76" s="8"/>
    </row>
    <row r="77" spans="1:11">
      <c r="A77" s="8">
        <v>34</v>
      </c>
      <c r="B77" s="8" t="s">
        <v>132</v>
      </c>
      <c r="C77" s="8"/>
      <c r="D77" s="24" t="s">
        <v>164</v>
      </c>
      <c r="E77" s="94"/>
      <c r="F77" s="21"/>
      <c r="G77" s="21"/>
      <c r="H77" s="8"/>
      <c r="I77" s="17"/>
      <c r="J77" s="81"/>
      <c r="K77" s="8"/>
    </row>
    <row r="78" spans="1:11">
      <c r="A78" s="8">
        <v>35</v>
      </c>
      <c r="B78" s="8" t="s">
        <v>132</v>
      </c>
      <c r="C78" s="8"/>
      <c r="D78" s="24">
        <v>408</v>
      </c>
      <c r="E78" s="94"/>
      <c r="F78" s="21"/>
      <c r="G78" s="21"/>
      <c r="H78" s="8"/>
      <c r="I78" s="32"/>
      <c r="J78" s="81"/>
      <c r="K78" s="8"/>
    </row>
    <row r="79" spans="1:11">
      <c r="A79" s="8">
        <v>36</v>
      </c>
      <c r="B79" s="8" t="s">
        <v>132</v>
      </c>
      <c r="C79" s="8"/>
      <c r="D79" s="24" t="s">
        <v>165</v>
      </c>
      <c r="E79" s="94"/>
      <c r="F79" s="21"/>
      <c r="G79" s="21"/>
      <c r="H79" s="8"/>
      <c r="I79" s="17"/>
      <c r="J79" s="81"/>
      <c r="K79" s="8"/>
    </row>
    <row r="80" spans="1:11">
      <c r="A80" s="8">
        <v>37</v>
      </c>
      <c r="B80" s="8" t="s">
        <v>132</v>
      </c>
      <c r="C80" s="8"/>
      <c r="D80" s="24" t="s">
        <v>166</v>
      </c>
      <c r="E80" s="94"/>
      <c r="F80" s="21"/>
      <c r="G80" s="21"/>
      <c r="H80" s="8"/>
      <c r="I80" s="32"/>
      <c r="J80" s="81"/>
      <c r="K80" s="8"/>
    </row>
    <row r="81" spans="1:11">
      <c r="A81" s="8">
        <v>38</v>
      </c>
      <c r="B81" s="8" t="s">
        <v>132</v>
      </c>
      <c r="C81" s="8"/>
      <c r="D81" s="24" t="s">
        <v>113</v>
      </c>
      <c r="E81" s="94"/>
      <c r="F81" s="21"/>
      <c r="G81" s="21"/>
      <c r="H81" s="8"/>
      <c r="I81" s="17"/>
      <c r="J81" s="81"/>
      <c r="K81" s="8"/>
    </row>
    <row r="82" spans="1:11">
      <c r="A82" s="8">
        <v>39</v>
      </c>
      <c r="B82" s="8" t="s">
        <v>132</v>
      </c>
      <c r="C82" s="8"/>
      <c r="D82" s="24" t="s">
        <v>36</v>
      </c>
      <c r="E82" s="94"/>
      <c r="F82" s="21"/>
      <c r="G82" s="21"/>
      <c r="H82" s="8"/>
      <c r="I82" s="17"/>
      <c r="J82" s="81"/>
      <c r="K82" s="8"/>
    </row>
    <row r="83" spans="1:11">
      <c r="A83" s="8">
        <v>40</v>
      </c>
      <c r="B83" s="8" t="s">
        <v>132</v>
      </c>
      <c r="C83" s="8"/>
      <c r="D83" s="24" t="s">
        <v>166</v>
      </c>
      <c r="E83" s="94"/>
      <c r="F83" s="21"/>
      <c r="G83" s="21"/>
      <c r="H83" s="8"/>
      <c r="I83" s="32"/>
      <c r="J83" s="81"/>
      <c r="K83" s="8"/>
    </row>
    <row r="84" spans="1:11">
      <c r="A84" s="8">
        <v>41</v>
      </c>
      <c r="B84" s="8" t="s">
        <v>132</v>
      </c>
      <c r="C84" s="8"/>
      <c r="D84" s="24" t="s">
        <v>166</v>
      </c>
      <c r="E84" s="94"/>
      <c r="F84" s="21"/>
      <c r="G84" s="21"/>
      <c r="H84" s="8"/>
      <c r="I84" s="32"/>
      <c r="J84" s="81"/>
      <c r="K84" s="8"/>
    </row>
    <row r="85" spans="1:11">
      <c r="A85" s="8">
        <v>42</v>
      </c>
      <c r="B85" s="19" t="s">
        <v>91</v>
      </c>
      <c r="C85" s="19"/>
      <c r="D85" s="24" t="s">
        <v>128</v>
      </c>
      <c r="E85" s="94"/>
      <c r="F85" s="21"/>
      <c r="G85" s="21"/>
      <c r="H85" s="8"/>
      <c r="I85" s="17"/>
      <c r="J85" s="81"/>
      <c r="K85" s="8"/>
    </row>
    <row r="86" spans="1:11">
      <c r="A86" s="8">
        <v>43</v>
      </c>
      <c r="B86" s="19" t="s">
        <v>91</v>
      </c>
      <c r="C86" s="19"/>
      <c r="D86" s="24"/>
      <c r="E86" s="94"/>
      <c r="F86" s="21"/>
      <c r="G86" s="21"/>
      <c r="H86" s="8"/>
      <c r="I86" s="17"/>
      <c r="J86" s="81"/>
      <c r="K86" s="8"/>
    </row>
    <row r="87" spans="1:11">
      <c r="A87" s="8">
        <v>44</v>
      </c>
      <c r="B87" s="19" t="s">
        <v>105</v>
      </c>
      <c r="C87" s="19"/>
      <c r="D87" s="24" t="s">
        <v>31</v>
      </c>
      <c r="E87" s="96"/>
      <c r="F87" s="29"/>
      <c r="G87" s="21"/>
      <c r="H87" s="28"/>
      <c r="I87" s="17"/>
      <c r="J87" s="81"/>
      <c r="K87" s="8"/>
    </row>
    <row r="88" spans="1:11">
      <c r="A88" s="8">
        <v>45</v>
      </c>
      <c r="B88" s="19" t="s">
        <v>105</v>
      </c>
      <c r="C88" s="19"/>
      <c r="D88" s="24" t="s">
        <v>31</v>
      </c>
      <c r="E88" s="96"/>
      <c r="F88" s="29"/>
      <c r="G88" s="21"/>
      <c r="H88" s="28"/>
      <c r="I88" s="17"/>
      <c r="J88" s="81"/>
      <c r="K88" s="8"/>
    </row>
    <row r="89" spans="1:11">
      <c r="A89" s="8">
        <v>46</v>
      </c>
      <c r="B89" s="19" t="s">
        <v>105</v>
      </c>
      <c r="C89" s="19"/>
      <c r="D89" s="24" t="s">
        <v>31</v>
      </c>
      <c r="E89" s="96"/>
      <c r="F89" s="29"/>
      <c r="G89" s="21"/>
      <c r="H89" s="28"/>
      <c r="I89" s="17"/>
      <c r="J89" s="81"/>
      <c r="K89" s="8"/>
    </row>
    <row r="90" spans="1:11">
      <c r="A90" s="8">
        <v>47</v>
      </c>
      <c r="B90" s="19" t="s">
        <v>105</v>
      </c>
      <c r="C90" s="19"/>
      <c r="D90" s="24" t="s">
        <v>31</v>
      </c>
      <c r="E90" s="96"/>
      <c r="F90" s="29"/>
      <c r="G90" s="21"/>
      <c r="H90" s="28"/>
      <c r="I90" s="17"/>
      <c r="J90" s="81"/>
      <c r="K90" s="8"/>
    </row>
    <row r="91" spans="1:11">
      <c r="A91" s="8">
        <v>48</v>
      </c>
      <c r="B91" s="19" t="s">
        <v>105</v>
      </c>
      <c r="C91" s="19"/>
      <c r="D91" s="24" t="s">
        <v>128</v>
      </c>
      <c r="E91" s="94"/>
      <c r="F91" s="21"/>
      <c r="G91" s="21"/>
      <c r="H91" s="8"/>
      <c r="I91" s="17"/>
      <c r="J91" s="81"/>
      <c r="K91" s="8"/>
    </row>
    <row r="92" spans="1:11">
      <c r="A92" s="8">
        <v>49</v>
      </c>
      <c r="B92" s="19" t="s">
        <v>105</v>
      </c>
      <c r="C92" s="19"/>
      <c r="D92" s="24" t="s">
        <v>128</v>
      </c>
      <c r="E92" s="94"/>
      <c r="F92" s="21"/>
      <c r="G92" s="21"/>
      <c r="H92" s="8"/>
      <c r="I92" s="17"/>
      <c r="J92" s="81"/>
      <c r="K92" s="8"/>
    </row>
    <row r="93" spans="1:11">
      <c r="A93" s="8">
        <v>50</v>
      </c>
      <c r="B93" s="19" t="s">
        <v>105</v>
      </c>
      <c r="C93" s="19"/>
      <c r="D93" s="24" t="s">
        <v>128</v>
      </c>
      <c r="E93" s="94">
        <v>1.4</v>
      </c>
      <c r="F93" s="21">
        <v>5</v>
      </c>
      <c r="G93" s="21">
        <f t="shared" ref="G93:G108" si="3">F93-E93</f>
        <v>3.6</v>
      </c>
      <c r="H93" s="8" t="s">
        <v>42</v>
      </c>
      <c r="I93" s="17"/>
      <c r="J93" s="81"/>
      <c r="K93" s="8"/>
    </row>
    <row r="94" spans="1:11">
      <c r="A94" s="8">
        <v>51</v>
      </c>
      <c r="B94" s="19" t="s">
        <v>105</v>
      </c>
      <c r="C94" s="19"/>
      <c r="D94" s="24" t="s">
        <v>128</v>
      </c>
      <c r="E94" s="94">
        <v>1.4</v>
      </c>
      <c r="F94" s="21">
        <v>5</v>
      </c>
      <c r="G94" s="21">
        <f t="shared" si="3"/>
        <v>3.6</v>
      </c>
      <c r="H94" s="8" t="s">
        <v>42</v>
      </c>
      <c r="I94" s="17"/>
      <c r="J94" s="81"/>
      <c r="K94" s="8"/>
    </row>
    <row r="95" spans="1:11">
      <c r="A95" s="8">
        <v>52</v>
      </c>
      <c r="B95" s="19" t="s">
        <v>105</v>
      </c>
      <c r="C95" s="19"/>
      <c r="D95" s="24" t="s">
        <v>128</v>
      </c>
      <c r="E95" s="94">
        <v>1.4</v>
      </c>
      <c r="F95" s="21">
        <v>5</v>
      </c>
      <c r="G95" s="21">
        <f t="shared" si="3"/>
        <v>3.6</v>
      </c>
      <c r="H95" s="8" t="s">
        <v>42</v>
      </c>
      <c r="I95" s="17"/>
      <c r="J95" s="81"/>
      <c r="K95" s="8"/>
    </row>
    <row r="96" spans="1:11">
      <c r="A96" s="8">
        <v>53</v>
      </c>
      <c r="B96" s="19" t="s">
        <v>105</v>
      </c>
      <c r="C96" s="19"/>
      <c r="D96" s="24"/>
      <c r="E96" s="94">
        <v>1.4</v>
      </c>
      <c r="F96" s="21">
        <v>5</v>
      </c>
      <c r="G96" s="21">
        <f t="shared" si="3"/>
        <v>3.6</v>
      </c>
      <c r="H96" s="8" t="s">
        <v>42</v>
      </c>
      <c r="I96" s="17"/>
      <c r="J96" s="81"/>
      <c r="K96" s="8"/>
    </row>
    <row r="97" spans="1:11">
      <c r="A97" s="8">
        <v>54</v>
      </c>
      <c r="B97" s="19" t="s">
        <v>105</v>
      </c>
      <c r="C97" s="19"/>
      <c r="D97" s="24"/>
      <c r="E97" s="94">
        <v>1.4</v>
      </c>
      <c r="F97" s="21">
        <v>5</v>
      </c>
      <c r="G97" s="21">
        <f t="shared" si="3"/>
        <v>3.6</v>
      </c>
      <c r="H97" s="8" t="s">
        <v>42</v>
      </c>
      <c r="I97" s="17"/>
      <c r="J97" s="81"/>
      <c r="K97" s="8"/>
    </row>
    <row r="98" spans="1:11">
      <c r="A98" s="8">
        <v>55</v>
      </c>
      <c r="B98" s="8" t="s">
        <v>92</v>
      </c>
      <c r="C98" s="8"/>
      <c r="D98" s="24" t="s">
        <v>144</v>
      </c>
      <c r="E98" s="94">
        <v>55</v>
      </c>
      <c r="F98" s="21">
        <v>100</v>
      </c>
      <c r="G98" s="21">
        <f t="shared" si="3"/>
        <v>45</v>
      </c>
      <c r="H98" s="8" t="s">
        <v>42</v>
      </c>
      <c r="I98" s="17"/>
      <c r="J98" s="81"/>
      <c r="K98" s="8"/>
    </row>
    <row r="99" spans="1:11">
      <c r="A99" s="8">
        <v>56</v>
      </c>
      <c r="B99" s="8" t="s">
        <v>127</v>
      </c>
      <c r="C99" s="8"/>
      <c r="D99" s="24" t="s">
        <v>161</v>
      </c>
      <c r="E99" s="94">
        <v>55</v>
      </c>
      <c r="F99" s="21">
        <v>100</v>
      </c>
      <c r="G99" s="21">
        <f t="shared" si="3"/>
        <v>45</v>
      </c>
      <c r="H99" s="8" t="s">
        <v>42</v>
      </c>
      <c r="I99" s="17"/>
      <c r="J99" s="81"/>
      <c r="K99" s="8"/>
    </row>
    <row r="100" spans="1:11">
      <c r="A100" s="8">
        <v>57</v>
      </c>
      <c r="B100" s="19" t="s">
        <v>118</v>
      </c>
      <c r="C100" s="19"/>
      <c r="D100" s="24" t="s">
        <v>31</v>
      </c>
      <c r="E100" s="94">
        <v>55</v>
      </c>
      <c r="F100" s="21">
        <v>100</v>
      </c>
      <c r="G100" s="21">
        <f t="shared" si="3"/>
        <v>45</v>
      </c>
      <c r="H100" s="8" t="s">
        <v>42</v>
      </c>
      <c r="I100" s="17"/>
      <c r="J100" s="81"/>
      <c r="K100" s="8"/>
    </row>
    <row r="101" spans="1:11">
      <c r="A101" s="8">
        <v>58</v>
      </c>
      <c r="B101" s="19" t="s">
        <v>118</v>
      </c>
      <c r="C101" s="19"/>
      <c r="D101" s="24" t="s">
        <v>112</v>
      </c>
      <c r="E101" s="94">
        <v>60</v>
      </c>
      <c r="F101" s="21">
        <v>100</v>
      </c>
      <c r="G101" s="21">
        <f t="shared" si="3"/>
        <v>40</v>
      </c>
      <c r="H101" s="8" t="s">
        <v>42</v>
      </c>
      <c r="I101" s="17"/>
      <c r="J101" s="81"/>
      <c r="K101" s="8"/>
    </row>
    <row r="102" spans="1:11">
      <c r="A102" s="8">
        <v>59</v>
      </c>
      <c r="B102" s="19" t="s">
        <v>118</v>
      </c>
      <c r="C102" s="19"/>
      <c r="D102" s="24" t="s">
        <v>112</v>
      </c>
      <c r="E102" s="94">
        <v>60</v>
      </c>
      <c r="F102" s="21">
        <v>100</v>
      </c>
      <c r="G102" s="21">
        <f t="shared" si="3"/>
        <v>40</v>
      </c>
      <c r="H102" s="8" t="s">
        <v>42</v>
      </c>
      <c r="I102" s="17"/>
      <c r="J102" s="81"/>
      <c r="K102" s="8"/>
    </row>
    <row r="103" spans="1:11">
      <c r="A103" s="8">
        <v>60</v>
      </c>
      <c r="B103" s="19" t="s">
        <v>118</v>
      </c>
      <c r="C103" s="19"/>
      <c r="D103" s="24" t="s">
        <v>111</v>
      </c>
      <c r="E103" s="94">
        <v>60</v>
      </c>
      <c r="F103" s="21">
        <v>100</v>
      </c>
      <c r="G103" s="21">
        <f t="shared" si="3"/>
        <v>40</v>
      </c>
      <c r="H103" s="8" t="s">
        <v>42</v>
      </c>
      <c r="I103" s="17"/>
      <c r="J103" s="81"/>
      <c r="K103" s="8"/>
    </row>
    <row r="104" spans="1:11">
      <c r="A104" s="8">
        <v>61</v>
      </c>
      <c r="B104" s="19" t="s">
        <v>118</v>
      </c>
      <c r="C104" s="19"/>
      <c r="D104" s="24" t="s">
        <v>113</v>
      </c>
      <c r="E104" s="94">
        <v>60</v>
      </c>
      <c r="F104" s="21">
        <v>140</v>
      </c>
      <c r="G104" s="21">
        <f t="shared" si="3"/>
        <v>80</v>
      </c>
      <c r="H104" s="8" t="s">
        <v>42</v>
      </c>
      <c r="I104" s="17"/>
      <c r="J104" s="81"/>
      <c r="K104" s="8"/>
    </row>
    <row r="105" spans="1:11">
      <c r="A105" s="8">
        <v>62</v>
      </c>
      <c r="B105" s="19" t="s">
        <v>118</v>
      </c>
      <c r="C105" s="19"/>
      <c r="D105" s="24" t="s">
        <v>104</v>
      </c>
      <c r="E105" s="94">
        <v>60</v>
      </c>
      <c r="F105" s="21">
        <v>100</v>
      </c>
      <c r="G105" s="21">
        <f t="shared" si="3"/>
        <v>40</v>
      </c>
      <c r="H105" s="8" t="s">
        <v>42</v>
      </c>
      <c r="I105" s="17"/>
      <c r="J105" s="81"/>
      <c r="K105" s="8"/>
    </row>
    <row r="106" spans="1:11">
      <c r="A106" s="8">
        <v>63</v>
      </c>
      <c r="B106" s="19" t="s">
        <v>118</v>
      </c>
      <c r="C106" s="19"/>
      <c r="D106" s="24" t="s">
        <v>167</v>
      </c>
      <c r="E106" s="94">
        <v>60</v>
      </c>
      <c r="F106" s="21">
        <v>100</v>
      </c>
      <c r="G106" s="21">
        <f t="shared" si="3"/>
        <v>40</v>
      </c>
      <c r="H106" s="8" t="s">
        <v>42</v>
      </c>
      <c r="I106" s="17"/>
      <c r="J106" s="81"/>
      <c r="K106" s="8"/>
    </row>
    <row r="107" spans="1:11">
      <c r="A107" s="8">
        <v>64</v>
      </c>
      <c r="B107" s="19" t="s">
        <v>118</v>
      </c>
      <c r="C107" s="19"/>
      <c r="D107" s="24" t="s">
        <v>133</v>
      </c>
      <c r="E107" s="94">
        <v>60</v>
      </c>
      <c r="F107" s="21">
        <v>100</v>
      </c>
      <c r="G107" s="21">
        <f t="shared" si="3"/>
        <v>40</v>
      </c>
      <c r="H107" s="28" t="s">
        <v>42</v>
      </c>
      <c r="I107" s="28"/>
      <c r="J107" s="106"/>
      <c r="K107" s="8"/>
    </row>
    <row r="108" spans="1:11">
      <c r="A108" s="8">
        <v>65</v>
      </c>
      <c r="B108" s="19" t="s">
        <v>118</v>
      </c>
      <c r="C108" s="19"/>
      <c r="D108" s="28" t="s">
        <v>134</v>
      </c>
      <c r="E108" s="94">
        <v>60</v>
      </c>
      <c r="F108" s="21">
        <v>100</v>
      </c>
      <c r="G108" s="21">
        <f t="shared" si="3"/>
        <v>40</v>
      </c>
      <c r="H108" s="8" t="s">
        <v>42</v>
      </c>
      <c r="I108" s="28"/>
      <c r="J108" s="106"/>
      <c r="K108" s="8"/>
    </row>
    <row r="109" spans="1:11">
      <c r="A109" s="8">
        <v>66</v>
      </c>
      <c r="B109" s="8" t="s">
        <v>72</v>
      </c>
      <c r="C109" s="8"/>
      <c r="D109" s="24"/>
      <c r="E109" s="94">
        <v>0</v>
      </c>
      <c r="F109" s="21">
        <v>20</v>
      </c>
      <c r="G109" s="21">
        <v>20</v>
      </c>
      <c r="H109" s="8" t="s">
        <v>42</v>
      </c>
      <c r="I109" s="17"/>
      <c r="J109" s="81"/>
      <c r="K109" s="8"/>
    </row>
    <row r="110" spans="1:11">
      <c r="A110" s="8">
        <v>67</v>
      </c>
      <c r="B110" s="19" t="s">
        <v>197</v>
      </c>
      <c r="C110" s="19"/>
      <c r="D110" s="24">
        <v>302</v>
      </c>
      <c r="E110" s="94">
        <v>24</v>
      </c>
      <c r="F110" s="21">
        <v>30</v>
      </c>
      <c r="G110" s="21">
        <f>F110-E110</f>
        <v>6</v>
      </c>
      <c r="H110" s="8" t="s">
        <v>42</v>
      </c>
      <c r="I110" s="17"/>
      <c r="J110" s="81"/>
      <c r="K110" s="8"/>
    </row>
    <row r="111" spans="1:11" ht="21">
      <c r="A111" s="160" t="s">
        <v>6</v>
      </c>
      <c r="B111" s="160"/>
      <c r="C111" s="161"/>
      <c r="D111" s="160"/>
      <c r="E111" s="113">
        <f>SUM(E112:E186)</f>
        <v>2043.1</v>
      </c>
      <c r="F111" s="20">
        <f>SUM(F112:F186)</f>
        <v>3243</v>
      </c>
      <c r="G111" s="20">
        <v>2048.1999999999998</v>
      </c>
      <c r="H111" s="71">
        <f>COUNTIF(H112:H186,"Vendido")</f>
        <v>75</v>
      </c>
      <c r="I111" s="87">
        <f t="shared" ref="I111:I150" si="4">SUM(F111-E111)/F111</f>
        <v>0.36999691643539934</v>
      </c>
      <c r="J111" s="87"/>
      <c r="K111" s="27"/>
    </row>
    <row r="112" spans="1:11">
      <c r="A112" s="8">
        <v>1</v>
      </c>
      <c r="B112" s="78" t="s">
        <v>155</v>
      </c>
      <c r="C112" s="78"/>
      <c r="D112" s="79" t="s">
        <v>416</v>
      </c>
      <c r="E112" s="97">
        <v>16</v>
      </c>
      <c r="F112" s="76">
        <v>30</v>
      </c>
      <c r="G112" s="76">
        <f t="shared" ref="G112:G142" si="5">F112-E112</f>
        <v>14</v>
      </c>
      <c r="H112" s="8" t="s">
        <v>42</v>
      </c>
      <c r="I112" s="82">
        <f t="shared" si="4"/>
        <v>0.46666666666666667</v>
      </c>
      <c r="J112" s="81"/>
      <c r="K112" s="74">
        <v>43613</v>
      </c>
    </row>
    <row r="113" spans="1:19">
      <c r="A113" s="8">
        <v>2</v>
      </c>
      <c r="B113" s="78" t="s">
        <v>155</v>
      </c>
      <c r="C113" s="78"/>
      <c r="D113" s="79" t="s">
        <v>414</v>
      </c>
      <c r="E113" s="97">
        <v>16</v>
      </c>
      <c r="F113" s="76">
        <v>30</v>
      </c>
      <c r="G113" s="76">
        <f t="shared" si="5"/>
        <v>14</v>
      </c>
      <c r="H113" s="65" t="s">
        <v>42</v>
      </c>
      <c r="I113" s="82">
        <f t="shared" si="4"/>
        <v>0.46666666666666667</v>
      </c>
      <c r="J113" s="82"/>
      <c r="K113" s="74">
        <v>43586</v>
      </c>
    </row>
    <row r="114" spans="1:19">
      <c r="A114" s="8">
        <v>3</v>
      </c>
      <c r="B114" s="78" t="s">
        <v>155</v>
      </c>
      <c r="C114" s="78"/>
      <c r="D114" s="79" t="s">
        <v>414</v>
      </c>
      <c r="E114" s="97">
        <v>16</v>
      </c>
      <c r="F114" s="76">
        <v>30</v>
      </c>
      <c r="G114" s="76">
        <f t="shared" si="5"/>
        <v>14</v>
      </c>
      <c r="H114" s="65" t="s">
        <v>42</v>
      </c>
      <c r="I114" s="82">
        <f t="shared" si="4"/>
        <v>0.46666666666666667</v>
      </c>
      <c r="J114" s="82"/>
      <c r="K114" s="74">
        <v>43586</v>
      </c>
    </row>
    <row r="115" spans="1:19">
      <c r="A115" s="8">
        <v>4</v>
      </c>
      <c r="B115" s="78" t="s">
        <v>155</v>
      </c>
      <c r="C115" s="78"/>
      <c r="D115" s="79" t="s">
        <v>414</v>
      </c>
      <c r="E115" s="97">
        <v>16</v>
      </c>
      <c r="F115" s="76">
        <v>30</v>
      </c>
      <c r="G115" s="76">
        <f t="shared" si="5"/>
        <v>14</v>
      </c>
      <c r="H115" s="65" t="s">
        <v>42</v>
      </c>
      <c r="I115" s="82">
        <f t="shared" si="4"/>
        <v>0.46666666666666667</v>
      </c>
      <c r="J115" s="82"/>
      <c r="K115" s="74">
        <v>43586</v>
      </c>
      <c r="S115" t="s">
        <v>709</v>
      </c>
    </row>
    <row r="116" spans="1:19">
      <c r="A116" s="8">
        <v>5</v>
      </c>
      <c r="B116" s="75" t="s">
        <v>184</v>
      </c>
      <c r="C116" s="75"/>
      <c r="D116" s="79" t="s">
        <v>414</v>
      </c>
      <c r="E116" s="97">
        <v>10</v>
      </c>
      <c r="F116" s="76">
        <v>15</v>
      </c>
      <c r="G116" s="76">
        <f t="shared" si="5"/>
        <v>5</v>
      </c>
      <c r="H116" s="65" t="s">
        <v>42</v>
      </c>
      <c r="I116" s="82">
        <f t="shared" si="4"/>
        <v>0.33333333333333331</v>
      </c>
      <c r="J116" s="82"/>
      <c r="K116" s="74">
        <v>43586</v>
      </c>
    </row>
    <row r="117" spans="1:19">
      <c r="A117" s="8">
        <v>6</v>
      </c>
      <c r="B117" s="65" t="s">
        <v>155</v>
      </c>
      <c r="C117" s="65"/>
      <c r="D117" s="80" t="s">
        <v>189</v>
      </c>
      <c r="E117" s="97">
        <v>16</v>
      </c>
      <c r="F117" s="76">
        <v>30</v>
      </c>
      <c r="G117" s="76">
        <f t="shared" si="5"/>
        <v>14</v>
      </c>
      <c r="H117" s="65" t="s">
        <v>42</v>
      </c>
      <c r="I117" s="82">
        <f t="shared" si="4"/>
        <v>0.46666666666666667</v>
      </c>
      <c r="J117" s="82"/>
      <c r="K117" s="74">
        <v>43587</v>
      </c>
    </row>
    <row r="118" spans="1:19">
      <c r="A118" s="8">
        <v>7</v>
      </c>
      <c r="B118" s="65" t="s">
        <v>155</v>
      </c>
      <c r="C118" s="65"/>
      <c r="D118" s="80" t="s">
        <v>189</v>
      </c>
      <c r="E118" s="97">
        <v>16</v>
      </c>
      <c r="F118" s="76">
        <v>30</v>
      </c>
      <c r="G118" s="76">
        <f t="shared" si="5"/>
        <v>14</v>
      </c>
      <c r="H118" s="65" t="s">
        <v>42</v>
      </c>
      <c r="I118" s="82">
        <f t="shared" si="4"/>
        <v>0.46666666666666667</v>
      </c>
      <c r="J118" s="82"/>
      <c r="K118" s="74">
        <v>43587</v>
      </c>
    </row>
    <row r="119" spans="1:19">
      <c r="A119" s="8">
        <v>8</v>
      </c>
      <c r="B119" s="65" t="s">
        <v>198</v>
      </c>
      <c r="C119" s="65"/>
      <c r="D119" s="80">
        <v>92664554</v>
      </c>
      <c r="E119" s="97">
        <v>16</v>
      </c>
      <c r="F119" s="76">
        <v>30</v>
      </c>
      <c r="G119" s="76">
        <f t="shared" si="5"/>
        <v>14</v>
      </c>
      <c r="H119" s="65" t="s">
        <v>42</v>
      </c>
      <c r="I119" s="82">
        <f t="shared" si="4"/>
        <v>0.46666666666666667</v>
      </c>
      <c r="J119" s="82"/>
      <c r="K119" s="74">
        <v>43588</v>
      </c>
    </row>
    <row r="120" spans="1:19">
      <c r="A120" s="8">
        <v>9</v>
      </c>
      <c r="B120" s="65" t="s">
        <v>199</v>
      </c>
      <c r="C120" s="65"/>
      <c r="D120" s="80">
        <v>92664554</v>
      </c>
      <c r="E120" s="97">
        <v>25</v>
      </c>
      <c r="F120" s="76">
        <v>50</v>
      </c>
      <c r="G120" s="76">
        <f t="shared" si="5"/>
        <v>25</v>
      </c>
      <c r="H120" s="65" t="s">
        <v>42</v>
      </c>
      <c r="I120" s="82">
        <f t="shared" si="4"/>
        <v>0.5</v>
      </c>
      <c r="J120" s="82"/>
      <c r="K120" s="74">
        <v>43588</v>
      </c>
    </row>
    <row r="121" spans="1:19">
      <c r="A121" s="8">
        <v>10</v>
      </c>
      <c r="B121" s="19" t="s">
        <v>182</v>
      </c>
      <c r="C121" s="19"/>
      <c r="D121" s="24" t="s">
        <v>201</v>
      </c>
      <c r="E121" s="94">
        <v>22</v>
      </c>
      <c r="F121" s="21">
        <v>50</v>
      </c>
      <c r="G121" s="21">
        <f t="shared" si="5"/>
        <v>28</v>
      </c>
      <c r="H121" s="8" t="s">
        <v>42</v>
      </c>
      <c r="I121" s="82">
        <f t="shared" si="4"/>
        <v>0.56000000000000005</v>
      </c>
      <c r="J121" s="82"/>
      <c r="K121" s="74">
        <v>43588</v>
      </c>
    </row>
    <row r="122" spans="1:19">
      <c r="A122" s="8">
        <v>11</v>
      </c>
      <c r="B122" s="65" t="s">
        <v>155</v>
      </c>
      <c r="C122" s="65"/>
      <c r="D122" s="80">
        <v>92664554</v>
      </c>
      <c r="E122" s="97">
        <v>16</v>
      </c>
      <c r="F122" s="76">
        <v>35</v>
      </c>
      <c r="G122" s="76">
        <f t="shared" si="5"/>
        <v>19</v>
      </c>
      <c r="H122" s="65" t="s">
        <v>42</v>
      </c>
      <c r="I122" s="82">
        <f t="shared" si="4"/>
        <v>0.54285714285714282</v>
      </c>
      <c r="J122" s="82"/>
      <c r="K122" s="74">
        <v>43588</v>
      </c>
    </row>
    <row r="123" spans="1:19">
      <c r="A123" s="8">
        <v>12</v>
      </c>
      <c r="B123" s="42" t="s">
        <v>150</v>
      </c>
      <c r="C123" s="42"/>
      <c r="D123" s="43" t="s">
        <v>417</v>
      </c>
      <c r="E123" s="95">
        <v>11.8</v>
      </c>
      <c r="F123" s="45">
        <v>30</v>
      </c>
      <c r="G123" s="21">
        <f t="shared" si="5"/>
        <v>18.2</v>
      </c>
      <c r="H123" s="8" t="s">
        <v>42</v>
      </c>
      <c r="I123" s="82">
        <f t="shared" si="4"/>
        <v>0.60666666666666669</v>
      </c>
      <c r="J123" s="82"/>
      <c r="K123" s="74">
        <v>43589</v>
      </c>
    </row>
    <row r="124" spans="1:19">
      <c r="A124" s="8">
        <v>13</v>
      </c>
      <c r="B124" s="8" t="s">
        <v>178</v>
      </c>
      <c r="C124" s="8"/>
      <c r="D124" s="24"/>
      <c r="E124" s="94">
        <v>35</v>
      </c>
      <c r="F124" s="21">
        <v>65</v>
      </c>
      <c r="G124" s="21">
        <f t="shared" si="5"/>
        <v>30</v>
      </c>
      <c r="H124" s="8" t="s">
        <v>42</v>
      </c>
      <c r="I124" s="82">
        <f t="shared" si="4"/>
        <v>0.46153846153846156</v>
      </c>
      <c r="J124" s="82"/>
      <c r="K124" s="74">
        <v>43590</v>
      </c>
    </row>
    <row r="125" spans="1:19">
      <c r="A125" s="8">
        <v>14</v>
      </c>
      <c r="B125" s="19" t="s">
        <v>90</v>
      </c>
      <c r="C125" s="19"/>
      <c r="D125" s="24" t="s">
        <v>191</v>
      </c>
      <c r="E125" s="94">
        <v>27</v>
      </c>
      <c r="F125" s="21">
        <v>50</v>
      </c>
      <c r="G125" s="21">
        <f t="shared" si="5"/>
        <v>23</v>
      </c>
      <c r="H125" s="8" t="s">
        <v>42</v>
      </c>
      <c r="I125" s="82">
        <f t="shared" si="4"/>
        <v>0.46</v>
      </c>
      <c r="J125" s="82"/>
      <c r="K125" s="74">
        <v>43591</v>
      </c>
    </row>
    <row r="126" spans="1:19">
      <c r="A126" s="8">
        <v>15</v>
      </c>
      <c r="B126" s="8" t="s">
        <v>178</v>
      </c>
      <c r="C126" s="8"/>
      <c r="D126" s="24" t="s">
        <v>191</v>
      </c>
      <c r="E126" s="94">
        <v>35</v>
      </c>
      <c r="F126" s="21">
        <v>60</v>
      </c>
      <c r="G126" s="21">
        <f t="shared" si="5"/>
        <v>25</v>
      </c>
      <c r="H126" s="8" t="s">
        <v>42</v>
      </c>
      <c r="I126" s="82">
        <f t="shared" si="4"/>
        <v>0.41666666666666669</v>
      </c>
      <c r="J126" s="82"/>
      <c r="K126" s="74">
        <v>43591</v>
      </c>
    </row>
    <row r="127" spans="1:19">
      <c r="A127" s="8">
        <v>16</v>
      </c>
      <c r="B127" s="19" t="s">
        <v>182</v>
      </c>
      <c r="C127" s="19"/>
      <c r="D127" s="24" t="s">
        <v>200</v>
      </c>
      <c r="E127" s="94">
        <v>22</v>
      </c>
      <c r="F127" s="21">
        <v>60</v>
      </c>
      <c r="G127" s="21">
        <f t="shared" si="5"/>
        <v>38</v>
      </c>
      <c r="H127" s="8" t="s">
        <v>42</v>
      </c>
      <c r="I127" s="82">
        <f t="shared" si="4"/>
        <v>0.6333333333333333</v>
      </c>
      <c r="J127" s="82"/>
      <c r="K127" s="74">
        <v>43591</v>
      </c>
    </row>
    <row r="128" spans="1:19">
      <c r="A128" s="8">
        <v>17</v>
      </c>
      <c r="B128" s="19" t="s">
        <v>182</v>
      </c>
      <c r="C128" s="19"/>
      <c r="D128" s="24" t="s">
        <v>193</v>
      </c>
      <c r="E128" s="94">
        <v>22</v>
      </c>
      <c r="F128" s="21">
        <v>50</v>
      </c>
      <c r="G128" s="21">
        <f t="shared" si="5"/>
        <v>28</v>
      </c>
      <c r="H128" s="8" t="s">
        <v>42</v>
      </c>
      <c r="I128" s="82">
        <f t="shared" si="4"/>
        <v>0.56000000000000005</v>
      </c>
      <c r="J128" s="82"/>
      <c r="K128" s="74">
        <v>43591</v>
      </c>
    </row>
    <row r="129" spans="1:11">
      <c r="A129" s="8">
        <v>18</v>
      </c>
      <c r="B129" s="78" t="s">
        <v>155</v>
      </c>
      <c r="C129" s="78"/>
      <c r="D129" s="24" t="s">
        <v>191</v>
      </c>
      <c r="E129" s="97">
        <v>16</v>
      </c>
      <c r="F129" s="76">
        <v>30</v>
      </c>
      <c r="G129" s="21">
        <f t="shared" si="5"/>
        <v>14</v>
      </c>
      <c r="H129" s="65" t="s">
        <v>42</v>
      </c>
      <c r="I129" s="82">
        <f t="shared" si="4"/>
        <v>0.46666666666666667</v>
      </c>
      <c r="J129" s="82"/>
      <c r="K129" s="74">
        <v>43591</v>
      </c>
    </row>
    <row r="130" spans="1:11">
      <c r="A130" s="8">
        <v>19</v>
      </c>
      <c r="B130" s="19" t="s">
        <v>120</v>
      </c>
      <c r="C130" s="19"/>
      <c r="D130" s="24" t="s">
        <v>191</v>
      </c>
      <c r="E130" s="94">
        <v>28</v>
      </c>
      <c r="F130" s="21">
        <v>50</v>
      </c>
      <c r="G130" s="21">
        <f t="shared" si="5"/>
        <v>22</v>
      </c>
      <c r="H130" s="8" t="s">
        <v>42</v>
      </c>
      <c r="I130" s="82">
        <f t="shared" si="4"/>
        <v>0.44</v>
      </c>
      <c r="J130" s="82"/>
      <c r="K130" s="74">
        <v>43591</v>
      </c>
    </row>
    <row r="131" spans="1:11">
      <c r="A131" s="8">
        <v>20</v>
      </c>
      <c r="B131" s="19" t="s">
        <v>202</v>
      </c>
      <c r="C131" s="19"/>
      <c r="D131" s="24" t="s">
        <v>418</v>
      </c>
      <c r="E131" s="94">
        <v>11</v>
      </c>
      <c r="F131" s="21">
        <v>22</v>
      </c>
      <c r="G131" s="21">
        <f t="shared" si="5"/>
        <v>11</v>
      </c>
      <c r="H131" s="8" t="s">
        <v>42</v>
      </c>
      <c r="I131" s="82">
        <f t="shared" si="4"/>
        <v>0.5</v>
      </c>
      <c r="J131" s="82"/>
      <c r="K131" s="74">
        <v>43593</v>
      </c>
    </row>
    <row r="132" spans="1:11">
      <c r="A132" s="8">
        <v>21</v>
      </c>
      <c r="B132" s="75" t="s">
        <v>118</v>
      </c>
      <c r="C132" s="75"/>
      <c r="D132" s="80" t="s">
        <v>190</v>
      </c>
      <c r="E132" s="97">
        <v>60</v>
      </c>
      <c r="F132" s="76">
        <v>105</v>
      </c>
      <c r="G132" s="76">
        <f t="shared" si="5"/>
        <v>45</v>
      </c>
      <c r="H132" s="65" t="s">
        <v>42</v>
      </c>
      <c r="I132" s="82">
        <f t="shared" si="4"/>
        <v>0.42857142857142855</v>
      </c>
      <c r="J132" s="82"/>
      <c r="K132" s="74">
        <v>43593</v>
      </c>
    </row>
    <row r="133" spans="1:11">
      <c r="A133" s="8">
        <v>22</v>
      </c>
      <c r="B133" s="75" t="s">
        <v>180</v>
      </c>
      <c r="C133" s="75"/>
      <c r="D133" s="24" t="s">
        <v>419</v>
      </c>
      <c r="E133" s="94">
        <v>60</v>
      </c>
      <c r="F133" s="21">
        <v>100</v>
      </c>
      <c r="G133" s="21">
        <f t="shared" si="5"/>
        <v>40</v>
      </c>
      <c r="H133" s="8" t="s">
        <v>42</v>
      </c>
      <c r="I133" s="82">
        <f t="shared" si="4"/>
        <v>0.4</v>
      </c>
      <c r="J133" s="82"/>
      <c r="K133" s="74">
        <v>43593</v>
      </c>
    </row>
    <row r="134" spans="1:11">
      <c r="A134" s="8">
        <v>23</v>
      </c>
      <c r="B134" s="19" t="s">
        <v>202</v>
      </c>
      <c r="C134" s="19"/>
      <c r="D134" s="24" t="s">
        <v>420</v>
      </c>
      <c r="E134" s="94">
        <v>11</v>
      </c>
      <c r="F134" s="21">
        <v>25</v>
      </c>
      <c r="G134" s="21">
        <f t="shared" si="5"/>
        <v>14</v>
      </c>
      <c r="H134" s="8" t="s">
        <v>42</v>
      </c>
      <c r="I134" s="82">
        <f t="shared" si="4"/>
        <v>0.56000000000000005</v>
      </c>
      <c r="J134" s="82"/>
      <c r="K134" s="74">
        <v>43594</v>
      </c>
    </row>
    <row r="135" spans="1:11">
      <c r="A135" s="8">
        <v>24</v>
      </c>
      <c r="B135" s="19" t="s">
        <v>202</v>
      </c>
      <c r="C135" s="19"/>
      <c r="D135" s="24" t="s">
        <v>420</v>
      </c>
      <c r="E135" s="94">
        <v>11</v>
      </c>
      <c r="F135" s="21">
        <v>25</v>
      </c>
      <c r="G135" s="21">
        <f t="shared" si="5"/>
        <v>14</v>
      </c>
      <c r="H135" s="8" t="s">
        <v>42</v>
      </c>
      <c r="I135" s="82">
        <f t="shared" si="4"/>
        <v>0.56000000000000005</v>
      </c>
      <c r="J135" s="82"/>
      <c r="K135" s="74">
        <v>43594</v>
      </c>
    </row>
    <row r="136" spans="1:11">
      <c r="A136" s="8">
        <v>25</v>
      </c>
      <c r="B136" s="8" t="s">
        <v>156</v>
      </c>
      <c r="C136" s="8"/>
      <c r="D136" s="28" t="s">
        <v>205</v>
      </c>
      <c r="E136" s="94">
        <v>78</v>
      </c>
      <c r="F136" s="21">
        <v>110</v>
      </c>
      <c r="G136" s="21">
        <f t="shared" si="5"/>
        <v>32</v>
      </c>
      <c r="H136" s="8" t="s">
        <v>42</v>
      </c>
      <c r="I136" s="82">
        <f t="shared" si="4"/>
        <v>0.29090909090909089</v>
      </c>
      <c r="J136" s="82"/>
      <c r="K136" s="74">
        <v>43595</v>
      </c>
    </row>
    <row r="137" spans="1:11">
      <c r="A137" s="8">
        <v>26</v>
      </c>
      <c r="B137" s="8" t="s">
        <v>156</v>
      </c>
      <c r="C137" s="8"/>
      <c r="D137" s="28" t="s">
        <v>205</v>
      </c>
      <c r="E137" s="94">
        <v>78</v>
      </c>
      <c r="F137" s="21">
        <v>110</v>
      </c>
      <c r="G137" s="21">
        <f t="shared" si="5"/>
        <v>32</v>
      </c>
      <c r="H137" s="8" t="s">
        <v>42</v>
      </c>
      <c r="I137" s="82">
        <f t="shared" si="4"/>
        <v>0.29090909090909089</v>
      </c>
      <c r="J137" s="82"/>
      <c r="K137" s="74">
        <v>43595</v>
      </c>
    </row>
    <row r="138" spans="1:11">
      <c r="A138" s="8">
        <v>27</v>
      </c>
      <c r="B138" s="42" t="s">
        <v>157</v>
      </c>
      <c r="C138" s="42"/>
      <c r="D138" s="28" t="s">
        <v>204</v>
      </c>
      <c r="E138" s="94">
        <v>19.8</v>
      </c>
      <c r="F138" s="21">
        <v>50</v>
      </c>
      <c r="G138" s="21">
        <f t="shared" si="5"/>
        <v>30.2</v>
      </c>
      <c r="H138" s="8" t="s">
        <v>42</v>
      </c>
      <c r="I138" s="82">
        <f t="shared" si="4"/>
        <v>0.60399999999999998</v>
      </c>
      <c r="J138" s="82"/>
      <c r="K138" s="74">
        <v>43595</v>
      </c>
    </row>
    <row r="139" spans="1:11">
      <c r="A139" s="8">
        <v>28</v>
      </c>
      <c r="B139" s="75" t="s">
        <v>180</v>
      </c>
      <c r="C139" s="75"/>
      <c r="D139" s="24" t="s">
        <v>419</v>
      </c>
      <c r="E139" s="94">
        <v>60</v>
      </c>
      <c r="F139" s="21">
        <v>100</v>
      </c>
      <c r="G139" s="21">
        <f t="shared" si="5"/>
        <v>40</v>
      </c>
      <c r="H139" s="8" t="s">
        <v>42</v>
      </c>
      <c r="I139" s="82">
        <f t="shared" si="4"/>
        <v>0.4</v>
      </c>
      <c r="J139" s="82"/>
      <c r="K139" s="74">
        <v>43595</v>
      </c>
    </row>
    <row r="140" spans="1:11">
      <c r="A140" s="8">
        <v>29</v>
      </c>
      <c r="B140" s="19" t="s">
        <v>132</v>
      </c>
      <c r="C140" s="19"/>
      <c r="D140" s="24" t="s">
        <v>195</v>
      </c>
      <c r="E140" s="94">
        <v>20</v>
      </c>
      <c r="F140" s="21">
        <v>33</v>
      </c>
      <c r="G140" s="21">
        <f t="shared" si="5"/>
        <v>13</v>
      </c>
      <c r="H140" s="8" t="s">
        <v>42</v>
      </c>
      <c r="I140" s="82">
        <f t="shared" si="4"/>
        <v>0.39393939393939392</v>
      </c>
      <c r="J140" s="82"/>
      <c r="K140" s="74">
        <v>43596</v>
      </c>
    </row>
    <row r="141" spans="1:11">
      <c r="A141" s="8">
        <v>30</v>
      </c>
      <c r="B141" s="19" t="s">
        <v>132</v>
      </c>
      <c r="C141" s="19"/>
      <c r="D141" s="24" t="s">
        <v>195</v>
      </c>
      <c r="E141" s="94">
        <v>20</v>
      </c>
      <c r="F141" s="21">
        <v>33</v>
      </c>
      <c r="G141" s="21">
        <f t="shared" si="5"/>
        <v>13</v>
      </c>
      <c r="H141" s="8" t="s">
        <v>42</v>
      </c>
      <c r="I141" s="82">
        <f t="shared" si="4"/>
        <v>0.39393939393939392</v>
      </c>
      <c r="J141" s="82"/>
      <c r="K141" s="74">
        <v>43596</v>
      </c>
    </row>
    <row r="142" spans="1:11">
      <c r="A142" s="8">
        <v>31</v>
      </c>
      <c r="B142" s="19" t="s">
        <v>132</v>
      </c>
      <c r="C142" s="19"/>
      <c r="D142" s="24" t="s">
        <v>195</v>
      </c>
      <c r="E142" s="94">
        <v>20</v>
      </c>
      <c r="F142" s="21">
        <v>33</v>
      </c>
      <c r="G142" s="21">
        <f t="shared" si="5"/>
        <v>13</v>
      </c>
      <c r="H142" s="8" t="s">
        <v>42</v>
      </c>
      <c r="I142" s="82">
        <f t="shared" si="4"/>
        <v>0.39393939393939392</v>
      </c>
      <c r="J142" s="82"/>
      <c r="K142" s="74">
        <v>43596</v>
      </c>
    </row>
    <row r="143" spans="1:11">
      <c r="A143" s="8">
        <v>32</v>
      </c>
      <c r="B143" s="75" t="s">
        <v>17</v>
      </c>
      <c r="C143" s="75"/>
      <c r="D143" s="79"/>
      <c r="E143" s="97">
        <v>0</v>
      </c>
      <c r="F143" s="76">
        <v>25</v>
      </c>
      <c r="G143" s="76">
        <v>25</v>
      </c>
      <c r="H143" s="65" t="s">
        <v>42</v>
      </c>
      <c r="I143" s="82">
        <f t="shared" si="4"/>
        <v>1</v>
      </c>
      <c r="J143" s="82"/>
      <c r="K143" s="74">
        <v>43596</v>
      </c>
    </row>
    <row r="144" spans="1:11">
      <c r="A144" s="8">
        <v>33</v>
      </c>
      <c r="B144" s="19" t="s">
        <v>127</v>
      </c>
      <c r="C144" s="19"/>
      <c r="D144" s="24" t="s">
        <v>421</v>
      </c>
      <c r="E144" s="94">
        <v>60</v>
      </c>
      <c r="F144" s="21">
        <v>100</v>
      </c>
      <c r="G144" s="21">
        <f t="shared" ref="G144:G151" si="6">F144-E144</f>
        <v>40</v>
      </c>
      <c r="H144" s="8" t="s">
        <v>42</v>
      </c>
      <c r="I144" s="82">
        <f t="shared" si="4"/>
        <v>0.4</v>
      </c>
      <c r="J144" s="82"/>
      <c r="K144" s="74">
        <v>43598</v>
      </c>
    </row>
    <row r="145" spans="1:11">
      <c r="A145" s="8">
        <v>34</v>
      </c>
      <c r="B145" s="19" t="s">
        <v>208</v>
      </c>
      <c r="C145" s="19"/>
      <c r="D145" s="24" t="s">
        <v>209</v>
      </c>
      <c r="E145" s="94">
        <v>1.5</v>
      </c>
      <c r="F145" s="21">
        <v>3</v>
      </c>
      <c r="G145" s="21">
        <f t="shared" si="6"/>
        <v>1.5</v>
      </c>
      <c r="H145" s="8" t="s">
        <v>42</v>
      </c>
      <c r="I145" s="82">
        <f t="shared" si="4"/>
        <v>0.5</v>
      </c>
      <c r="J145" s="82"/>
      <c r="K145" s="74">
        <v>43598</v>
      </c>
    </row>
    <row r="146" spans="1:11">
      <c r="A146" s="8">
        <v>35</v>
      </c>
      <c r="B146" s="84" t="s">
        <v>116</v>
      </c>
      <c r="C146" s="84"/>
      <c r="D146" s="79" t="s">
        <v>142</v>
      </c>
      <c r="E146" s="97">
        <v>28</v>
      </c>
      <c r="F146" s="76">
        <v>50</v>
      </c>
      <c r="G146" s="21">
        <f t="shared" si="6"/>
        <v>22</v>
      </c>
      <c r="H146" s="65" t="s">
        <v>42</v>
      </c>
      <c r="I146" s="82">
        <f t="shared" si="4"/>
        <v>0.44</v>
      </c>
      <c r="J146" s="82"/>
      <c r="K146" s="74">
        <v>43599</v>
      </c>
    </row>
    <row r="147" spans="1:11">
      <c r="A147" s="8">
        <v>36</v>
      </c>
      <c r="B147" s="84" t="s">
        <v>116</v>
      </c>
      <c r="C147" s="84"/>
      <c r="D147" s="79" t="s">
        <v>214</v>
      </c>
      <c r="E147" s="97">
        <v>28</v>
      </c>
      <c r="F147" s="76">
        <v>50</v>
      </c>
      <c r="G147" s="21">
        <f t="shared" si="6"/>
        <v>22</v>
      </c>
      <c r="H147" s="65" t="s">
        <v>42</v>
      </c>
      <c r="I147" s="82">
        <f t="shared" si="4"/>
        <v>0.44</v>
      </c>
      <c r="J147" s="82"/>
      <c r="K147" s="74">
        <v>43599</v>
      </c>
    </row>
    <row r="148" spans="1:11">
      <c r="A148" s="8">
        <v>37</v>
      </c>
      <c r="B148" s="78" t="s">
        <v>155</v>
      </c>
      <c r="C148" s="78"/>
      <c r="D148" s="24"/>
      <c r="E148" s="97">
        <v>16</v>
      </c>
      <c r="F148" s="76">
        <v>35</v>
      </c>
      <c r="G148" s="21">
        <f t="shared" si="6"/>
        <v>19</v>
      </c>
      <c r="H148" s="65" t="s">
        <v>42</v>
      </c>
      <c r="I148" s="82">
        <f t="shared" si="4"/>
        <v>0.54285714285714282</v>
      </c>
      <c r="J148" s="82"/>
      <c r="K148" s="74">
        <v>43599</v>
      </c>
    </row>
    <row r="149" spans="1:11">
      <c r="A149" s="8">
        <v>38</v>
      </c>
      <c r="B149" s="83" t="s">
        <v>92</v>
      </c>
      <c r="C149" s="83"/>
      <c r="D149" s="79" t="s">
        <v>422</v>
      </c>
      <c r="E149" s="97">
        <v>60</v>
      </c>
      <c r="F149" s="76">
        <v>100</v>
      </c>
      <c r="G149" s="21">
        <f t="shared" si="6"/>
        <v>40</v>
      </c>
      <c r="H149" s="65" t="s">
        <v>42</v>
      </c>
      <c r="I149" s="82">
        <f t="shared" si="4"/>
        <v>0.4</v>
      </c>
      <c r="J149" s="82"/>
      <c r="K149" s="74">
        <v>43599</v>
      </c>
    </row>
    <row r="150" spans="1:11">
      <c r="A150" s="8">
        <v>39</v>
      </c>
      <c r="B150" s="83" t="s">
        <v>92</v>
      </c>
      <c r="C150" s="83"/>
      <c r="D150" s="79" t="s">
        <v>423</v>
      </c>
      <c r="E150" s="97">
        <v>60</v>
      </c>
      <c r="F150" s="76">
        <v>100</v>
      </c>
      <c r="G150" s="21">
        <f t="shared" si="6"/>
        <v>40</v>
      </c>
      <c r="H150" s="65" t="s">
        <v>42</v>
      </c>
      <c r="I150" s="82">
        <f t="shared" si="4"/>
        <v>0.4</v>
      </c>
      <c r="J150" s="82"/>
      <c r="K150" s="74">
        <v>43599</v>
      </c>
    </row>
    <row r="151" spans="1:11">
      <c r="A151" s="8">
        <v>41</v>
      </c>
      <c r="B151" s="19" t="s">
        <v>208</v>
      </c>
      <c r="C151" s="19"/>
      <c r="D151" s="24" t="s">
        <v>211</v>
      </c>
      <c r="E151" s="94">
        <v>1.5</v>
      </c>
      <c r="F151" s="21">
        <v>3</v>
      </c>
      <c r="G151" s="21">
        <f t="shared" si="6"/>
        <v>1.5</v>
      </c>
      <c r="H151" s="8" t="s">
        <v>42</v>
      </c>
      <c r="I151" s="82" t="e">
        <f>SUM(#REF!-#REF!)/#REF!</f>
        <v>#REF!</v>
      </c>
      <c r="J151" s="82"/>
      <c r="K151" s="74">
        <v>43599</v>
      </c>
    </row>
    <row r="152" spans="1:11">
      <c r="A152" s="8">
        <v>42</v>
      </c>
      <c r="B152" s="19" t="s">
        <v>114</v>
      </c>
      <c r="C152" s="19"/>
      <c r="D152" s="24" t="s">
        <v>421</v>
      </c>
      <c r="E152" s="94">
        <v>6</v>
      </c>
      <c r="F152" s="21">
        <v>6</v>
      </c>
      <c r="G152" s="21">
        <v>0</v>
      </c>
      <c r="H152" s="8" t="s">
        <v>42</v>
      </c>
      <c r="I152" s="82">
        <f t="shared" ref="I152:I183" si="7">SUM(F151-E151)/F151</f>
        <v>0.5</v>
      </c>
      <c r="J152" s="82"/>
      <c r="K152" s="74">
        <v>43599</v>
      </c>
    </row>
    <row r="153" spans="1:11">
      <c r="A153" s="8">
        <v>43</v>
      </c>
      <c r="B153" s="83">
        <v>35</v>
      </c>
      <c r="C153" s="83"/>
      <c r="D153" s="79" t="s">
        <v>421</v>
      </c>
      <c r="E153" s="97">
        <v>4</v>
      </c>
      <c r="F153" s="76">
        <v>60</v>
      </c>
      <c r="G153" s="76">
        <f t="shared" ref="G153:G158" si="8">F153-E153</f>
        <v>56</v>
      </c>
      <c r="H153" s="65" t="s">
        <v>42</v>
      </c>
      <c r="I153" s="82">
        <f t="shared" si="7"/>
        <v>0</v>
      </c>
      <c r="J153" s="82"/>
      <c r="K153" s="74">
        <v>43600</v>
      </c>
    </row>
    <row r="154" spans="1:11">
      <c r="A154" s="8">
        <v>44</v>
      </c>
      <c r="B154" s="75" t="s">
        <v>216</v>
      </c>
      <c r="C154" s="75"/>
      <c r="D154" s="79" t="s">
        <v>421</v>
      </c>
      <c r="E154" s="97">
        <v>39</v>
      </c>
      <c r="F154" s="76">
        <v>70</v>
      </c>
      <c r="G154" s="21">
        <f t="shared" si="8"/>
        <v>31</v>
      </c>
      <c r="H154" s="65" t="s">
        <v>42</v>
      </c>
      <c r="I154" s="82">
        <f t="shared" si="7"/>
        <v>0.93333333333333335</v>
      </c>
      <c r="J154" s="82"/>
      <c r="K154" s="74">
        <v>43600</v>
      </c>
    </row>
    <row r="155" spans="1:11">
      <c r="A155" s="8">
        <v>45</v>
      </c>
      <c r="B155" s="75" t="s">
        <v>216</v>
      </c>
      <c r="C155" s="75"/>
      <c r="D155" s="79" t="s">
        <v>421</v>
      </c>
      <c r="E155" s="97">
        <v>39</v>
      </c>
      <c r="F155" s="76">
        <v>70</v>
      </c>
      <c r="G155" s="21">
        <f t="shared" si="8"/>
        <v>31</v>
      </c>
      <c r="H155" s="65" t="s">
        <v>42</v>
      </c>
      <c r="I155" s="82">
        <f t="shared" si="7"/>
        <v>0.44285714285714284</v>
      </c>
      <c r="J155" s="82"/>
      <c r="K155" s="74">
        <v>43600</v>
      </c>
    </row>
    <row r="156" spans="1:11">
      <c r="A156" s="8">
        <v>46</v>
      </c>
      <c r="B156" s="19" t="s">
        <v>202</v>
      </c>
      <c r="C156" s="19"/>
      <c r="D156" s="24" t="s">
        <v>139</v>
      </c>
      <c r="E156" s="94">
        <v>11</v>
      </c>
      <c r="F156" s="21">
        <v>25</v>
      </c>
      <c r="G156" s="21">
        <f t="shared" si="8"/>
        <v>14</v>
      </c>
      <c r="H156" s="8" t="s">
        <v>42</v>
      </c>
      <c r="I156" s="82">
        <f t="shared" si="7"/>
        <v>0.44285714285714284</v>
      </c>
      <c r="J156" s="82"/>
      <c r="K156" s="74">
        <v>43600</v>
      </c>
    </row>
    <row r="157" spans="1:11">
      <c r="A157" s="8">
        <v>47</v>
      </c>
      <c r="B157" s="19" t="s">
        <v>210</v>
      </c>
      <c r="C157" s="19"/>
      <c r="D157" s="24" t="s">
        <v>421</v>
      </c>
      <c r="E157" s="94">
        <v>22</v>
      </c>
      <c r="F157" s="21">
        <v>50</v>
      </c>
      <c r="G157" s="21">
        <f t="shared" si="8"/>
        <v>28</v>
      </c>
      <c r="H157" s="8" t="s">
        <v>42</v>
      </c>
      <c r="I157" s="82">
        <f t="shared" si="7"/>
        <v>0.56000000000000005</v>
      </c>
      <c r="J157" s="81"/>
      <c r="K157" s="74">
        <v>43600</v>
      </c>
    </row>
    <row r="158" spans="1:11">
      <c r="A158" s="8">
        <v>48</v>
      </c>
      <c r="B158" s="19" t="s">
        <v>210</v>
      </c>
      <c r="C158" s="19"/>
      <c r="D158" s="24" t="s">
        <v>421</v>
      </c>
      <c r="E158" s="94">
        <v>22</v>
      </c>
      <c r="F158" s="21">
        <v>50</v>
      </c>
      <c r="G158" s="21">
        <f t="shared" si="8"/>
        <v>28</v>
      </c>
      <c r="H158" s="8" t="s">
        <v>42</v>
      </c>
      <c r="I158" s="82">
        <f t="shared" si="7"/>
        <v>0.56000000000000005</v>
      </c>
      <c r="J158" s="82"/>
      <c r="K158" s="74">
        <v>43600</v>
      </c>
    </row>
    <row r="159" spans="1:11">
      <c r="A159" s="8">
        <v>49</v>
      </c>
      <c r="B159" s="83" t="s">
        <v>218</v>
      </c>
      <c r="C159" s="83"/>
      <c r="D159" s="79" t="s">
        <v>219</v>
      </c>
      <c r="E159" s="97">
        <v>0</v>
      </c>
      <c r="F159" s="76">
        <v>50</v>
      </c>
      <c r="G159" s="76">
        <v>50</v>
      </c>
      <c r="H159" s="65" t="s">
        <v>42</v>
      </c>
      <c r="I159" s="82">
        <f t="shared" si="7"/>
        <v>0.56000000000000005</v>
      </c>
      <c r="J159" s="82"/>
      <c r="K159" s="74">
        <v>43600</v>
      </c>
    </row>
    <row r="160" spans="1:11">
      <c r="A160" s="8">
        <v>50</v>
      </c>
      <c r="B160" s="65" t="s">
        <v>141</v>
      </c>
      <c r="C160" s="65"/>
      <c r="D160" s="80" t="s">
        <v>142</v>
      </c>
      <c r="E160" s="97">
        <v>15</v>
      </c>
      <c r="F160" s="77">
        <v>30</v>
      </c>
      <c r="G160" s="76">
        <f t="shared" ref="G160:G186" si="9">F160-E160</f>
        <v>15</v>
      </c>
      <c r="H160" s="65" t="s">
        <v>42</v>
      </c>
      <c r="I160" s="82">
        <f t="shared" si="7"/>
        <v>1</v>
      </c>
      <c r="J160" s="82"/>
      <c r="K160" s="74">
        <v>43600</v>
      </c>
    </row>
    <row r="161" spans="1:11">
      <c r="A161" s="8">
        <v>51</v>
      </c>
      <c r="B161" s="19" t="s">
        <v>182</v>
      </c>
      <c r="C161" s="19"/>
      <c r="D161" s="24" t="s">
        <v>31</v>
      </c>
      <c r="E161" s="94">
        <v>23</v>
      </c>
      <c r="F161" s="21">
        <v>50</v>
      </c>
      <c r="G161" s="21">
        <f t="shared" si="9"/>
        <v>27</v>
      </c>
      <c r="H161" s="8" t="s">
        <v>42</v>
      </c>
      <c r="I161" s="82">
        <f t="shared" si="7"/>
        <v>0.5</v>
      </c>
      <c r="J161" s="82"/>
      <c r="K161" s="74">
        <v>43601</v>
      </c>
    </row>
    <row r="162" spans="1:11">
      <c r="A162" s="8">
        <v>52</v>
      </c>
      <c r="B162" s="75" t="s">
        <v>222</v>
      </c>
      <c r="C162" s="75"/>
      <c r="D162" s="79" t="s">
        <v>223</v>
      </c>
      <c r="E162" s="97">
        <v>0</v>
      </c>
      <c r="F162" s="76">
        <v>80</v>
      </c>
      <c r="G162" s="76">
        <f t="shared" si="9"/>
        <v>80</v>
      </c>
      <c r="H162" s="65" t="s">
        <v>42</v>
      </c>
      <c r="I162" s="82">
        <f t="shared" si="7"/>
        <v>0.54</v>
      </c>
      <c r="J162" s="81"/>
      <c r="K162" s="74">
        <v>43602</v>
      </c>
    </row>
    <row r="163" spans="1:11">
      <c r="A163" s="8">
        <v>53</v>
      </c>
      <c r="B163" s="8" t="s">
        <v>203</v>
      </c>
      <c r="C163" s="8"/>
      <c r="D163" s="24" t="s">
        <v>38</v>
      </c>
      <c r="E163" s="94">
        <v>3.5</v>
      </c>
      <c r="F163" s="21">
        <v>5</v>
      </c>
      <c r="G163" s="21">
        <f t="shared" si="9"/>
        <v>1.5</v>
      </c>
      <c r="H163" s="8" t="s">
        <v>42</v>
      </c>
      <c r="I163" s="82">
        <f t="shared" si="7"/>
        <v>1</v>
      </c>
      <c r="J163" s="81"/>
      <c r="K163" s="74">
        <v>43602</v>
      </c>
    </row>
    <row r="164" spans="1:11">
      <c r="A164" s="8">
        <v>54</v>
      </c>
      <c r="B164" s="65" t="s">
        <v>140</v>
      </c>
      <c r="C164" s="65"/>
      <c r="D164" s="80" t="s">
        <v>38</v>
      </c>
      <c r="E164" s="97">
        <v>7</v>
      </c>
      <c r="F164" s="76">
        <v>14</v>
      </c>
      <c r="G164" s="76">
        <f t="shared" si="9"/>
        <v>7</v>
      </c>
      <c r="H164" s="65" t="s">
        <v>42</v>
      </c>
      <c r="I164" s="82">
        <f t="shared" si="7"/>
        <v>0.3</v>
      </c>
      <c r="J164" s="82"/>
      <c r="K164" s="74">
        <v>43603</v>
      </c>
    </row>
    <row r="165" spans="1:11">
      <c r="A165" s="125">
        <v>55</v>
      </c>
      <c r="B165" s="91">
        <v>25</v>
      </c>
      <c r="C165" s="91"/>
      <c r="D165" s="137" t="s">
        <v>224</v>
      </c>
      <c r="E165" s="126">
        <v>16</v>
      </c>
      <c r="F165" s="127">
        <v>50</v>
      </c>
      <c r="G165" s="127">
        <f t="shared" si="9"/>
        <v>34</v>
      </c>
      <c r="H165" s="125" t="s">
        <v>42</v>
      </c>
      <c r="I165" s="128">
        <f t="shared" si="7"/>
        <v>0.5</v>
      </c>
      <c r="J165" s="128"/>
      <c r="K165" s="129">
        <v>43603</v>
      </c>
    </row>
    <row r="166" spans="1:11">
      <c r="A166" s="8">
        <v>56</v>
      </c>
      <c r="B166" s="78">
        <v>40</v>
      </c>
      <c r="C166" s="78"/>
      <c r="D166" s="24" t="s">
        <v>424</v>
      </c>
      <c r="E166" s="97">
        <v>16</v>
      </c>
      <c r="F166" s="76">
        <v>60</v>
      </c>
      <c r="G166" s="21">
        <f t="shared" si="9"/>
        <v>44</v>
      </c>
      <c r="H166" s="65" t="s">
        <v>42</v>
      </c>
      <c r="I166" s="82">
        <f t="shared" si="7"/>
        <v>0.68</v>
      </c>
      <c r="J166" s="81"/>
      <c r="K166" s="74">
        <v>43603</v>
      </c>
    </row>
    <row r="167" spans="1:11">
      <c r="A167" s="8">
        <v>57</v>
      </c>
      <c r="B167" s="78" t="s">
        <v>155</v>
      </c>
      <c r="C167" s="78"/>
      <c r="D167" s="24" t="s">
        <v>424</v>
      </c>
      <c r="E167" s="97">
        <v>16</v>
      </c>
      <c r="F167" s="76">
        <v>35</v>
      </c>
      <c r="G167" s="21">
        <f t="shared" si="9"/>
        <v>19</v>
      </c>
      <c r="H167" s="65" t="s">
        <v>42</v>
      </c>
      <c r="I167" s="82">
        <f t="shared" si="7"/>
        <v>0.73333333333333328</v>
      </c>
      <c r="J167" s="81"/>
      <c r="K167" s="74">
        <v>43603</v>
      </c>
    </row>
    <row r="168" spans="1:11">
      <c r="A168" s="8">
        <v>58</v>
      </c>
      <c r="B168" s="83">
        <v>5</v>
      </c>
      <c r="C168" s="83"/>
      <c r="D168" s="79" t="s">
        <v>425</v>
      </c>
      <c r="E168" s="97">
        <v>60</v>
      </c>
      <c r="F168" s="76">
        <v>10</v>
      </c>
      <c r="G168" s="21">
        <f t="shared" si="9"/>
        <v>-50</v>
      </c>
      <c r="H168" s="65" t="s">
        <v>42</v>
      </c>
      <c r="I168" s="82">
        <f t="shared" si="7"/>
        <v>0.54285714285714282</v>
      </c>
      <c r="J168" s="81"/>
      <c r="K168" s="74">
        <v>43603</v>
      </c>
    </row>
    <row r="169" spans="1:11">
      <c r="A169" s="8">
        <v>59</v>
      </c>
      <c r="B169" s="47">
        <v>3</v>
      </c>
      <c r="C169" s="47"/>
      <c r="D169" s="24" t="s">
        <v>225</v>
      </c>
      <c r="E169" s="94">
        <v>24</v>
      </c>
      <c r="F169" s="21">
        <v>5</v>
      </c>
      <c r="G169" s="76">
        <f t="shared" si="9"/>
        <v>-19</v>
      </c>
      <c r="H169" s="8" t="s">
        <v>42</v>
      </c>
      <c r="I169" s="82">
        <f t="shared" si="7"/>
        <v>-5</v>
      </c>
      <c r="J169" s="82"/>
      <c r="K169" s="74">
        <v>43603</v>
      </c>
    </row>
    <row r="170" spans="1:11">
      <c r="A170" s="8">
        <v>60</v>
      </c>
      <c r="B170" s="75">
        <v>2.5</v>
      </c>
      <c r="C170" s="75"/>
      <c r="D170" s="79">
        <v>81769118</v>
      </c>
      <c r="E170" s="97">
        <v>35</v>
      </c>
      <c r="F170" s="76">
        <v>65</v>
      </c>
      <c r="G170" s="76">
        <f t="shared" si="9"/>
        <v>30</v>
      </c>
      <c r="H170" s="65" t="s">
        <v>42</v>
      </c>
      <c r="I170" s="82">
        <f t="shared" si="7"/>
        <v>-3.8</v>
      </c>
      <c r="J170" s="81"/>
      <c r="K170" s="74">
        <v>43603</v>
      </c>
    </row>
    <row r="171" spans="1:11">
      <c r="A171" s="8">
        <v>61</v>
      </c>
      <c r="B171" s="78" t="s">
        <v>155</v>
      </c>
      <c r="C171" s="78"/>
      <c r="D171" s="79" t="s">
        <v>224</v>
      </c>
      <c r="E171" s="97">
        <v>16</v>
      </c>
      <c r="F171" s="76">
        <v>30</v>
      </c>
      <c r="G171" s="21">
        <f t="shared" si="9"/>
        <v>14</v>
      </c>
      <c r="H171" s="65" t="s">
        <v>42</v>
      </c>
      <c r="I171" s="82">
        <f t="shared" si="7"/>
        <v>0.46153846153846156</v>
      </c>
      <c r="J171" s="81"/>
      <c r="K171" s="74">
        <v>43604</v>
      </c>
    </row>
    <row r="172" spans="1:11">
      <c r="A172" s="8">
        <v>62</v>
      </c>
      <c r="B172" s="78" t="s">
        <v>155</v>
      </c>
      <c r="C172" s="78"/>
      <c r="D172" s="79" t="s">
        <v>224</v>
      </c>
      <c r="E172" s="97">
        <v>16</v>
      </c>
      <c r="F172" s="76">
        <v>30</v>
      </c>
      <c r="G172" s="21">
        <f t="shared" si="9"/>
        <v>14</v>
      </c>
      <c r="H172" s="65" t="s">
        <v>42</v>
      </c>
      <c r="I172" s="82">
        <f t="shared" si="7"/>
        <v>0.46666666666666667</v>
      </c>
      <c r="J172" s="81"/>
      <c r="K172" s="74">
        <v>43606</v>
      </c>
    </row>
    <row r="173" spans="1:11">
      <c r="A173" s="8">
        <v>63</v>
      </c>
      <c r="B173" s="78">
        <v>19</v>
      </c>
      <c r="C173" s="78"/>
      <c r="D173" s="79" t="s">
        <v>225</v>
      </c>
      <c r="E173" s="97">
        <v>16</v>
      </c>
      <c r="F173" s="76">
        <v>45</v>
      </c>
      <c r="G173" s="21">
        <f t="shared" si="9"/>
        <v>29</v>
      </c>
      <c r="H173" s="65" t="s">
        <v>42</v>
      </c>
      <c r="I173" s="82">
        <f t="shared" si="7"/>
        <v>0.46666666666666667</v>
      </c>
      <c r="J173" s="81"/>
      <c r="K173" s="74">
        <v>43606</v>
      </c>
    </row>
    <row r="174" spans="1:11">
      <c r="A174" s="8">
        <v>64</v>
      </c>
      <c r="B174" s="83">
        <v>10</v>
      </c>
      <c r="C174" s="83"/>
      <c r="D174" s="79" t="s">
        <v>36</v>
      </c>
      <c r="E174" s="97">
        <v>60</v>
      </c>
      <c r="F174" s="76">
        <v>25</v>
      </c>
      <c r="G174" s="21">
        <f t="shared" si="9"/>
        <v>-35</v>
      </c>
      <c r="H174" s="65" t="s">
        <v>42</v>
      </c>
      <c r="I174" s="82">
        <f t="shared" si="7"/>
        <v>0.64444444444444449</v>
      </c>
      <c r="J174" s="81"/>
      <c r="K174" s="74">
        <v>43606</v>
      </c>
    </row>
    <row r="175" spans="1:11">
      <c r="A175" s="8">
        <v>65</v>
      </c>
      <c r="B175" s="83">
        <v>2</v>
      </c>
      <c r="C175" s="83"/>
      <c r="D175" s="79" t="s">
        <v>36</v>
      </c>
      <c r="E175" s="97">
        <v>110</v>
      </c>
      <c r="F175" s="76">
        <v>4</v>
      </c>
      <c r="G175" s="21">
        <f t="shared" si="9"/>
        <v>-106</v>
      </c>
      <c r="H175" s="65" t="s">
        <v>42</v>
      </c>
      <c r="I175" s="82">
        <f t="shared" si="7"/>
        <v>-1.4</v>
      </c>
      <c r="J175" s="82"/>
      <c r="K175" s="74">
        <v>43608</v>
      </c>
    </row>
    <row r="176" spans="1:11">
      <c r="A176" s="8">
        <v>66</v>
      </c>
      <c r="B176" s="19">
        <v>10</v>
      </c>
      <c r="C176" s="19"/>
      <c r="D176" s="24" t="s">
        <v>232</v>
      </c>
      <c r="E176" s="94">
        <v>20</v>
      </c>
      <c r="F176" s="21">
        <v>15</v>
      </c>
      <c r="G176" s="21">
        <f t="shared" si="9"/>
        <v>-5</v>
      </c>
      <c r="H176" s="8" t="s">
        <v>42</v>
      </c>
      <c r="I176" s="82">
        <f t="shared" si="7"/>
        <v>-26.5</v>
      </c>
      <c r="J176" s="81"/>
      <c r="K176" s="74">
        <v>43608</v>
      </c>
    </row>
    <row r="177" spans="1:11">
      <c r="A177" s="8">
        <v>67</v>
      </c>
      <c r="B177" s="83">
        <v>18</v>
      </c>
      <c r="C177" s="83"/>
      <c r="D177" s="79" t="s">
        <v>36</v>
      </c>
      <c r="E177" s="97">
        <v>20</v>
      </c>
      <c r="F177" s="76">
        <v>35</v>
      </c>
      <c r="G177" s="21">
        <f t="shared" si="9"/>
        <v>15</v>
      </c>
      <c r="H177" s="65" t="s">
        <v>42</v>
      </c>
      <c r="I177" s="82">
        <f t="shared" si="7"/>
        <v>-0.33333333333333331</v>
      </c>
      <c r="J177" s="81"/>
      <c r="K177" s="74">
        <v>43609</v>
      </c>
    </row>
    <row r="178" spans="1:11">
      <c r="A178" s="8">
        <v>68</v>
      </c>
      <c r="B178" s="19">
        <v>18</v>
      </c>
      <c r="C178" s="19"/>
      <c r="D178" s="24" t="s">
        <v>231</v>
      </c>
      <c r="E178" s="94">
        <v>65</v>
      </c>
      <c r="F178" s="21">
        <v>22</v>
      </c>
      <c r="G178" s="21">
        <f t="shared" si="9"/>
        <v>-43</v>
      </c>
      <c r="H178" s="8" t="s">
        <v>42</v>
      </c>
      <c r="I178" s="82">
        <f t="shared" si="7"/>
        <v>0.42857142857142855</v>
      </c>
      <c r="J178" s="81"/>
      <c r="K178" s="74">
        <v>43609</v>
      </c>
    </row>
    <row r="179" spans="1:11">
      <c r="A179" s="8">
        <v>69</v>
      </c>
      <c r="B179" s="75" t="s">
        <v>178</v>
      </c>
      <c r="C179" s="75"/>
      <c r="D179" s="79" t="s">
        <v>426</v>
      </c>
      <c r="E179" s="97">
        <v>35</v>
      </c>
      <c r="F179" s="76">
        <v>20</v>
      </c>
      <c r="G179" s="21">
        <f t="shared" si="9"/>
        <v>-15</v>
      </c>
      <c r="H179" s="65" t="s">
        <v>42</v>
      </c>
      <c r="I179" s="82">
        <f t="shared" si="7"/>
        <v>-1.9545454545454546</v>
      </c>
      <c r="J179" s="81"/>
      <c r="K179" s="74">
        <v>43609</v>
      </c>
    </row>
    <row r="180" spans="1:11">
      <c r="A180" s="8">
        <v>70</v>
      </c>
      <c r="B180" s="83">
        <v>5</v>
      </c>
      <c r="C180" s="83"/>
      <c r="D180" s="79" t="s">
        <v>233</v>
      </c>
      <c r="E180" s="97">
        <v>60</v>
      </c>
      <c r="F180" s="76">
        <v>10</v>
      </c>
      <c r="G180" s="21">
        <f t="shared" si="9"/>
        <v>-50</v>
      </c>
      <c r="H180" s="65" t="s">
        <v>42</v>
      </c>
      <c r="I180" s="82">
        <f t="shared" si="7"/>
        <v>-0.75</v>
      </c>
      <c r="J180" s="81"/>
      <c r="K180" s="74">
        <v>43611</v>
      </c>
    </row>
    <row r="181" spans="1:11">
      <c r="A181" s="8">
        <v>71</v>
      </c>
      <c r="B181" s="83">
        <v>18</v>
      </c>
      <c r="C181" s="83"/>
      <c r="D181" s="79" t="s">
        <v>126</v>
      </c>
      <c r="E181" s="97">
        <v>78</v>
      </c>
      <c r="F181" s="76">
        <v>35</v>
      </c>
      <c r="G181" s="21">
        <f t="shared" si="9"/>
        <v>-43</v>
      </c>
      <c r="H181" s="65" t="s">
        <v>42</v>
      </c>
      <c r="I181" s="82">
        <f t="shared" si="7"/>
        <v>-5</v>
      </c>
      <c r="J181" s="81"/>
      <c r="K181" s="74">
        <v>43612</v>
      </c>
    </row>
    <row r="182" spans="1:11">
      <c r="A182" s="8">
        <v>72</v>
      </c>
      <c r="B182" s="83" t="s">
        <v>427</v>
      </c>
      <c r="C182" s="83"/>
      <c r="D182" s="79" t="s">
        <v>235</v>
      </c>
      <c r="E182" s="97">
        <v>5</v>
      </c>
      <c r="F182" s="76">
        <v>10</v>
      </c>
      <c r="G182" s="21">
        <f t="shared" si="9"/>
        <v>5</v>
      </c>
      <c r="H182" s="65" t="s">
        <v>42</v>
      </c>
      <c r="I182" s="82">
        <f t="shared" si="7"/>
        <v>-1.2285714285714286</v>
      </c>
      <c r="J182" s="81"/>
      <c r="K182" s="74">
        <v>43612</v>
      </c>
    </row>
    <row r="183" spans="1:11">
      <c r="A183" s="8">
        <v>73</v>
      </c>
      <c r="B183" s="83">
        <v>25</v>
      </c>
      <c r="C183" s="83"/>
      <c r="D183" s="79" t="s">
        <v>235</v>
      </c>
      <c r="E183" s="97">
        <v>5</v>
      </c>
      <c r="F183" s="76">
        <v>50</v>
      </c>
      <c r="G183" s="21">
        <f t="shared" si="9"/>
        <v>45</v>
      </c>
      <c r="H183" s="65" t="s">
        <v>42</v>
      </c>
      <c r="I183" s="82">
        <f t="shared" si="7"/>
        <v>0.5</v>
      </c>
      <c r="J183" s="81"/>
      <c r="K183" s="74">
        <v>43612</v>
      </c>
    </row>
    <row r="184" spans="1:11">
      <c r="A184" s="8">
        <v>75</v>
      </c>
      <c r="B184" s="78" t="s">
        <v>155</v>
      </c>
      <c r="C184" s="78"/>
      <c r="D184" s="24" t="s">
        <v>221</v>
      </c>
      <c r="E184" s="97">
        <v>16</v>
      </c>
      <c r="F184" s="76">
        <v>15</v>
      </c>
      <c r="G184" s="21">
        <f t="shared" si="9"/>
        <v>-1</v>
      </c>
      <c r="H184" s="8" t="s">
        <v>42</v>
      </c>
      <c r="I184" s="82" t="e">
        <f>SUM(#REF!-#REF!)/#REF!</f>
        <v>#REF!</v>
      </c>
      <c r="J184" s="81"/>
      <c r="K184" s="74">
        <v>43612</v>
      </c>
    </row>
    <row r="185" spans="1:11">
      <c r="A185" s="8">
        <v>77</v>
      </c>
      <c r="B185" s="83">
        <v>65</v>
      </c>
      <c r="C185" s="83"/>
      <c r="D185" s="79" t="s">
        <v>239</v>
      </c>
      <c r="E185" s="97">
        <v>30</v>
      </c>
      <c r="F185" s="76">
        <v>110</v>
      </c>
      <c r="G185" s="21">
        <f t="shared" si="9"/>
        <v>80</v>
      </c>
      <c r="H185" s="65" t="s">
        <v>240</v>
      </c>
      <c r="I185" s="82">
        <f>SUM(F184-E184)/F184</f>
        <v>-6.6666666666666666E-2</v>
      </c>
      <c r="J185" s="81"/>
      <c r="K185" s="17"/>
    </row>
    <row r="186" spans="1:11">
      <c r="A186" s="8">
        <v>77</v>
      </c>
      <c r="B186" s="83">
        <v>20</v>
      </c>
      <c r="C186" s="83"/>
      <c r="D186" s="79" t="s">
        <v>230</v>
      </c>
      <c r="E186" s="97">
        <v>47</v>
      </c>
      <c r="F186" s="76">
        <v>35</v>
      </c>
      <c r="G186" s="21">
        <f t="shared" si="9"/>
        <v>-12</v>
      </c>
      <c r="H186" s="65" t="s">
        <v>42</v>
      </c>
      <c r="I186" s="82">
        <f>SUM(F185-E185)/F185</f>
        <v>0.72727272727272729</v>
      </c>
      <c r="J186" s="81"/>
      <c r="K186" s="74">
        <v>43616</v>
      </c>
    </row>
    <row r="187" spans="1:11" ht="21">
      <c r="A187" s="121" t="s">
        <v>7</v>
      </c>
      <c r="B187" s="122">
        <v>4.5</v>
      </c>
      <c r="C187" s="123"/>
      <c r="D187" s="138"/>
      <c r="E187" s="113">
        <f>SUM(E188:E322)</f>
        <v>2947.3200000000006</v>
      </c>
      <c r="F187" s="20">
        <v>7</v>
      </c>
      <c r="G187" s="20">
        <f>SUM(G188:G322)</f>
        <v>2364.6899999999996</v>
      </c>
      <c r="H187" s="71">
        <f>COUNTIF(H188:H322,"Vendido")</f>
        <v>129</v>
      </c>
      <c r="I187" s="82">
        <f>SUM(F186-E186)/F186</f>
        <v>-0.34285714285714286</v>
      </c>
      <c r="J187" s="81"/>
      <c r="K187" s="74">
        <v>43614</v>
      </c>
    </row>
    <row r="188" spans="1:11" ht="18.75">
      <c r="A188" s="8">
        <v>24</v>
      </c>
      <c r="B188" s="73">
        <v>4.5</v>
      </c>
      <c r="C188" s="73"/>
      <c r="D188" s="24" t="s">
        <v>288</v>
      </c>
      <c r="E188" s="94">
        <v>20</v>
      </c>
      <c r="F188" s="21"/>
      <c r="G188" s="21"/>
      <c r="H188" s="92" t="s">
        <v>307</v>
      </c>
      <c r="I188" s="87">
        <f>SUM(F187-E187)/F187</f>
        <v>-420.04571428571438</v>
      </c>
      <c r="J188" s="87"/>
      <c r="K188" s="27"/>
    </row>
    <row r="189" spans="1:11">
      <c r="A189" s="8">
        <v>25</v>
      </c>
      <c r="B189" s="73" t="s">
        <v>290</v>
      </c>
      <c r="C189" s="73"/>
      <c r="D189" s="24" t="s">
        <v>288</v>
      </c>
      <c r="E189" s="94">
        <v>20</v>
      </c>
      <c r="F189" s="21"/>
      <c r="G189" s="21"/>
      <c r="H189" s="92" t="s">
        <v>307</v>
      </c>
      <c r="I189" s="23"/>
      <c r="J189" s="81"/>
      <c r="K189" s="74">
        <v>43633</v>
      </c>
    </row>
    <row r="190" spans="1:11">
      <c r="A190" s="8">
        <v>26</v>
      </c>
      <c r="B190" s="73" t="s">
        <v>290</v>
      </c>
      <c r="C190" s="73"/>
      <c r="D190" s="24" t="s">
        <v>288</v>
      </c>
      <c r="E190" s="94">
        <v>20</v>
      </c>
      <c r="F190" s="21"/>
      <c r="G190" s="21"/>
      <c r="H190" s="92" t="s">
        <v>307</v>
      </c>
      <c r="I190" s="23"/>
      <c r="J190" s="81"/>
      <c r="K190" s="74">
        <v>43633</v>
      </c>
    </row>
    <row r="191" spans="1:11">
      <c r="A191" s="8">
        <v>40</v>
      </c>
      <c r="B191" s="83">
        <v>110</v>
      </c>
      <c r="C191" s="83"/>
      <c r="D191" s="79" t="s">
        <v>242</v>
      </c>
      <c r="E191" s="97">
        <v>24</v>
      </c>
      <c r="F191" s="76">
        <v>160</v>
      </c>
      <c r="G191" s="21">
        <f t="shared" ref="G191:G201" si="10">F191-E191</f>
        <v>136</v>
      </c>
      <c r="H191" s="65" t="s">
        <v>42</v>
      </c>
      <c r="I191" s="23"/>
      <c r="J191" s="81"/>
      <c r="K191" s="74">
        <v>43633</v>
      </c>
    </row>
    <row r="192" spans="1:11">
      <c r="A192" s="8" t="s">
        <v>529</v>
      </c>
      <c r="B192" s="83" t="s">
        <v>244</v>
      </c>
      <c r="C192" s="83"/>
      <c r="D192" s="24" t="s">
        <v>241</v>
      </c>
      <c r="E192" s="97">
        <v>24</v>
      </c>
      <c r="F192" s="21">
        <v>40</v>
      </c>
      <c r="G192" s="21">
        <f t="shared" si="10"/>
        <v>16</v>
      </c>
      <c r="H192" s="8" t="s">
        <v>42</v>
      </c>
      <c r="I192" s="82"/>
      <c r="J192" s="81">
        <f t="shared" ref="J192:J202" si="11">SUM(F191-E191)/F191</f>
        <v>0.85</v>
      </c>
      <c r="K192" s="74">
        <v>43617</v>
      </c>
    </row>
    <row r="193" spans="1:11">
      <c r="A193" s="8">
        <v>88</v>
      </c>
      <c r="B193" s="83" t="s">
        <v>92</v>
      </c>
      <c r="C193" s="83"/>
      <c r="D193" s="24" t="s">
        <v>243</v>
      </c>
      <c r="E193" s="94">
        <v>60</v>
      </c>
      <c r="F193" s="21">
        <v>100</v>
      </c>
      <c r="G193" s="21">
        <f t="shared" si="10"/>
        <v>40</v>
      </c>
      <c r="H193" s="8" t="s">
        <v>42</v>
      </c>
      <c r="I193" s="82"/>
      <c r="J193" s="81">
        <f t="shared" si="11"/>
        <v>0.4</v>
      </c>
      <c r="K193" s="74">
        <v>43617</v>
      </c>
    </row>
    <row r="194" spans="1:11">
      <c r="A194" s="8" t="s">
        <v>529</v>
      </c>
      <c r="B194" s="83">
        <v>22</v>
      </c>
      <c r="C194" s="83"/>
      <c r="D194" s="24" t="s">
        <v>428</v>
      </c>
      <c r="E194" s="94">
        <v>60</v>
      </c>
      <c r="F194" s="21">
        <v>35</v>
      </c>
      <c r="G194" s="21">
        <f t="shared" si="10"/>
        <v>-25</v>
      </c>
      <c r="H194" s="8" t="s">
        <v>42</v>
      </c>
      <c r="I194" s="82"/>
      <c r="J194" s="81">
        <f t="shared" si="11"/>
        <v>0.4</v>
      </c>
      <c r="K194" s="74">
        <v>43617</v>
      </c>
    </row>
    <row r="195" spans="1:11">
      <c r="A195" s="8">
        <v>90</v>
      </c>
      <c r="B195" s="83" t="s">
        <v>92</v>
      </c>
      <c r="C195" s="83"/>
      <c r="D195" s="24" t="s">
        <v>429</v>
      </c>
      <c r="E195" s="94">
        <v>60</v>
      </c>
      <c r="F195" s="21">
        <v>100</v>
      </c>
      <c r="G195" s="21">
        <f t="shared" si="10"/>
        <v>40</v>
      </c>
      <c r="H195" s="8" t="s">
        <v>42</v>
      </c>
      <c r="I195" s="82"/>
      <c r="J195" s="81">
        <f t="shared" si="11"/>
        <v>-0.7142857142857143</v>
      </c>
      <c r="K195" s="74">
        <v>43619</v>
      </c>
    </row>
    <row r="196" spans="1:11">
      <c r="A196" s="8">
        <v>91</v>
      </c>
      <c r="B196" s="83" t="s">
        <v>92</v>
      </c>
      <c r="C196" s="83"/>
      <c r="D196" s="24" t="s">
        <v>430</v>
      </c>
      <c r="E196" s="94">
        <v>60</v>
      </c>
      <c r="F196" s="21">
        <v>100</v>
      </c>
      <c r="G196" s="21">
        <f t="shared" si="10"/>
        <v>40</v>
      </c>
      <c r="H196" s="8" t="s">
        <v>42</v>
      </c>
      <c r="I196" s="23"/>
      <c r="J196" s="81">
        <f t="shared" si="11"/>
        <v>0.4</v>
      </c>
      <c r="K196" s="74">
        <v>43619</v>
      </c>
    </row>
    <row r="197" spans="1:11">
      <c r="A197" s="8">
        <v>45</v>
      </c>
      <c r="B197" s="19" t="s">
        <v>90</v>
      </c>
      <c r="C197" s="19"/>
      <c r="D197" s="24" t="s">
        <v>249</v>
      </c>
      <c r="E197" s="94">
        <v>27</v>
      </c>
      <c r="F197" s="21">
        <v>50</v>
      </c>
      <c r="G197" s="21">
        <f t="shared" si="10"/>
        <v>23</v>
      </c>
      <c r="H197" s="8" t="s">
        <v>42</v>
      </c>
      <c r="I197" s="23"/>
      <c r="J197" s="81">
        <f t="shared" si="11"/>
        <v>0.4</v>
      </c>
      <c r="K197" s="74">
        <v>43619</v>
      </c>
    </row>
    <row r="198" spans="1:11">
      <c r="A198" s="8">
        <v>92</v>
      </c>
      <c r="B198" s="83" t="s">
        <v>92</v>
      </c>
      <c r="C198" s="83"/>
      <c r="D198" s="24" t="s">
        <v>248</v>
      </c>
      <c r="E198" s="94">
        <v>60</v>
      </c>
      <c r="F198" s="21">
        <v>120</v>
      </c>
      <c r="G198" s="21">
        <f t="shared" si="10"/>
        <v>60</v>
      </c>
      <c r="H198" s="8" t="s">
        <v>42</v>
      </c>
      <c r="I198" s="23"/>
      <c r="J198" s="81">
        <f t="shared" si="11"/>
        <v>0.46</v>
      </c>
      <c r="K198" s="74">
        <v>43620</v>
      </c>
    </row>
    <row r="199" spans="1:11">
      <c r="A199" s="8">
        <v>36</v>
      </c>
      <c r="B199" s="19" t="s">
        <v>253</v>
      </c>
      <c r="C199" s="19"/>
      <c r="D199" s="24" t="s">
        <v>254</v>
      </c>
      <c r="E199" s="94">
        <v>0</v>
      </c>
      <c r="F199" s="21">
        <v>30</v>
      </c>
      <c r="G199" s="21">
        <f t="shared" si="10"/>
        <v>30</v>
      </c>
      <c r="H199" s="8" t="s">
        <v>42</v>
      </c>
      <c r="I199" s="23"/>
      <c r="J199" s="81">
        <f t="shared" si="11"/>
        <v>0.5</v>
      </c>
      <c r="K199" s="74">
        <v>43620</v>
      </c>
    </row>
    <row r="200" spans="1:11">
      <c r="A200" s="8">
        <v>39</v>
      </c>
      <c r="B200" s="19" t="s">
        <v>255</v>
      </c>
      <c r="C200" s="19"/>
      <c r="D200" s="24"/>
      <c r="E200" s="94">
        <v>0</v>
      </c>
      <c r="F200" s="21">
        <v>40</v>
      </c>
      <c r="G200" s="21">
        <f t="shared" si="10"/>
        <v>40</v>
      </c>
      <c r="H200" s="8" t="s">
        <v>42</v>
      </c>
      <c r="I200" s="23"/>
      <c r="J200" s="81">
        <f t="shared" si="11"/>
        <v>1</v>
      </c>
      <c r="K200" s="74">
        <v>43621</v>
      </c>
    </row>
    <row r="201" spans="1:11">
      <c r="A201" s="8">
        <v>47</v>
      </c>
      <c r="B201" s="83" t="s">
        <v>250</v>
      </c>
      <c r="C201" s="83"/>
      <c r="D201" s="24" t="s">
        <v>431</v>
      </c>
      <c r="E201" s="94">
        <v>32</v>
      </c>
      <c r="F201" s="21">
        <v>45</v>
      </c>
      <c r="G201" s="21">
        <f t="shared" si="10"/>
        <v>13</v>
      </c>
      <c r="H201" s="8" t="s">
        <v>42</v>
      </c>
      <c r="I201" s="23"/>
      <c r="J201" s="81">
        <f t="shared" si="11"/>
        <v>1</v>
      </c>
      <c r="K201" s="74">
        <v>43621</v>
      </c>
    </row>
    <row r="202" spans="1:11" ht="15.75">
      <c r="A202" s="8"/>
      <c r="B202" s="19"/>
      <c r="C202" s="108"/>
      <c r="D202" s="24"/>
      <c r="E202" s="115"/>
      <c r="F202" s="21"/>
      <c r="G202" s="21"/>
      <c r="H202" s="8"/>
      <c r="I202" s="23"/>
      <c r="J202" s="81">
        <f t="shared" si="11"/>
        <v>0.28888888888888886</v>
      </c>
      <c r="K202" s="74">
        <v>43621</v>
      </c>
    </row>
    <row r="203" spans="1:11">
      <c r="A203" s="8">
        <v>48</v>
      </c>
      <c r="B203" s="83" t="s">
        <v>250</v>
      </c>
      <c r="C203" s="83"/>
      <c r="D203" s="24" t="s">
        <v>431</v>
      </c>
      <c r="E203" s="94">
        <v>32</v>
      </c>
      <c r="F203" s="21">
        <v>45</v>
      </c>
      <c r="G203" s="21">
        <f t="shared" ref="G203:G234" si="12">F203-E203</f>
        <v>13</v>
      </c>
      <c r="H203" s="8" t="s">
        <v>42</v>
      </c>
      <c r="I203" s="23"/>
      <c r="J203" s="81">
        <f t="shared" ref="J203:J234" si="13">SUM(F203-E203)/F203</f>
        <v>0.28888888888888886</v>
      </c>
      <c r="K203" s="74">
        <v>43621</v>
      </c>
    </row>
    <row r="204" spans="1:11">
      <c r="A204" s="8">
        <v>93</v>
      </c>
      <c r="B204" s="83" t="s">
        <v>92</v>
      </c>
      <c r="C204" s="83"/>
      <c r="D204" s="24" t="s">
        <v>432</v>
      </c>
      <c r="E204" s="94">
        <v>60</v>
      </c>
      <c r="F204" s="21">
        <v>120</v>
      </c>
      <c r="G204" s="21">
        <f t="shared" si="12"/>
        <v>60</v>
      </c>
      <c r="H204" s="8" t="s">
        <v>42</v>
      </c>
      <c r="I204" s="23"/>
      <c r="J204" s="81">
        <f t="shared" si="13"/>
        <v>0.5</v>
      </c>
      <c r="K204" s="74">
        <v>43621</v>
      </c>
    </row>
    <row r="205" spans="1:11">
      <c r="A205" s="8">
        <v>96</v>
      </c>
      <c r="B205" s="19" t="s">
        <v>261</v>
      </c>
      <c r="C205" s="19"/>
      <c r="D205" s="24"/>
      <c r="E205" s="94">
        <v>25</v>
      </c>
      <c r="F205" s="21">
        <v>50</v>
      </c>
      <c r="G205" s="21">
        <f t="shared" si="12"/>
        <v>25</v>
      </c>
      <c r="H205" s="8" t="s">
        <v>42</v>
      </c>
      <c r="I205" s="23"/>
      <c r="J205" s="81">
        <f t="shared" si="13"/>
        <v>0.5</v>
      </c>
      <c r="K205" s="74">
        <v>43622</v>
      </c>
    </row>
    <row r="206" spans="1:11">
      <c r="A206" s="8">
        <v>97</v>
      </c>
      <c r="B206" s="19" t="s">
        <v>261</v>
      </c>
      <c r="C206" s="19"/>
      <c r="D206" s="24"/>
      <c r="E206" s="94">
        <v>25</v>
      </c>
      <c r="F206" s="21">
        <v>50</v>
      </c>
      <c r="G206" s="21">
        <f t="shared" si="12"/>
        <v>25</v>
      </c>
      <c r="H206" s="8" t="s">
        <v>42</v>
      </c>
      <c r="I206" s="23"/>
      <c r="J206" s="81">
        <f t="shared" si="13"/>
        <v>0.5</v>
      </c>
      <c r="K206" s="74">
        <v>43622</v>
      </c>
    </row>
    <row r="207" spans="1:11">
      <c r="A207" s="8">
        <v>42</v>
      </c>
      <c r="B207" s="83" t="s">
        <v>244</v>
      </c>
      <c r="C207" s="83"/>
      <c r="D207" s="24" t="s">
        <v>263</v>
      </c>
      <c r="E207" s="97">
        <v>24</v>
      </c>
      <c r="F207" s="21">
        <v>35</v>
      </c>
      <c r="G207" s="21">
        <f t="shared" si="12"/>
        <v>11</v>
      </c>
      <c r="H207" s="8" t="s">
        <v>42</v>
      </c>
      <c r="I207" s="23"/>
      <c r="J207" s="81">
        <f t="shared" si="13"/>
        <v>0.31428571428571428</v>
      </c>
      <c r="K207" s="74">
        <v>43623</v>
      </c>
    </row>
    <row r="208" spans="1:11">
      <c r="A208" s="8">
        <v>46</v>
      </c>
      <c r="B208" s="19" t="s">
        <v>90</v>
      </c>
      <c r="C208" s="19"/>
      <c r="D208" s="24"/>
      <c r="E208" s="94">
        <v>27</v>
      </c>
      <c r="F208" s="21">
        <v>50</v>
      </c>
      <c r="G208" s="21">
        <f t="shared" si="12"/>
        <v>23</v>
      </c>
      <c r="H208" s="8" t="s">
        <v>42</v>
      </c>
      <c r="I208" s="23"/>
      <c r="J208" s="81">
        <f t="shared" si="13"/>
        <v>0.46</v>
      </c>
      <c r="K208" s="74">
        <v>43623</v>
      </c>
    </row>
    <row r="209" spans="1:11">
      <c r="A209" s="8">
        <v>66</v>
      </c>
      <c r="B209" s="63" t="s">
        <v>155</v>
      </c>
      <c r="C209" s="63"/>
      <c r="D209" s="24" t="s">
        <v>262</v>
      </c>
      <c r="E209" s="94">
        <v>16</v>
      </c>
      <c r="F209" s="21">
        <v>35</v>
      </c>
      <c r="G209" s="21">
        <f t="shared" si="12"/>
        <v>19</v>
      </c>
      <c r="H209" s="8" t="s">
        <v>42</v>
      </c>
      <c r="I209" s="23"/>
      <c r="J209" s="81">
        <f t="shared" si="13"/>
        <v>0.54285714285714282</v>
      </c>
      <c r="K209" s="74">
        <v>43623</v>
      </c>
    </row>
    <row r="210" spans="1:11">
      <c r="A210" s="8">
        <v>94</v>
      </c>
      <c r="B210" s="83" t="s">
        <v>92</v>
      </c>
      <c r="C210" s="83"/>
      <c r="D210" s="24" t="s">
        <v>433</v>
      </c>
      <c r="E210" s="94">
        <v>16</v>
      </c>
      <c r="F210" s="21">
        <v>35</v>
      </c>
      <c r="G210" s="21">
        <f t="shared" si="12"/>
        <v>19</v>
      </c>
      <c r="H210" s="8" t="s">
        <v>42</v>
      </c>
      <c r="I210" s="23"/>
      <c r="J210" s="81">
        <f t="shared" si="13"/>
        <v>0.54285714285714282</v>
      </c>
      <c r="K210" s="74">
        <v>43623</v>
      </c>
    </row>
    <row r="211" spans="1:11">
      <c r="A211" s="8">
        <v>98</v>
      </c>
      <c r="B211" s="19" t="s">
        <v>261</v>
      </c>
      <c r="C211" s="19"/>
      <c r="D211" s="24" t="s">
        <v>263</v>
      </c>
      <c r="E211" s="94">
        <v>25</v>
      </c>
      <c r="F211" s="21">
        <v>45</v>
      </c>
      <c r="G211" s="21">
        <f t="shared" si="12"/>
        <v>20</v>
      </c>
      <c r="H211" s="8" t="s">
        <v>42</v>
      </c>
      <c r="I211" s="23"/>
      <c r="J211" s="81">
        <f t="shared" si="13"/>
        <v>0.44444444444444442</v>
      </c>
      <c r="K211" s="74">
        <v>43623</v>
      </c>
    </row>
    <row r="212" spans="1:11">
      <c r="A212" s="8">
        <v>110</v>
      </c>
      <c r="B212" s="19" t="s">
        <v>737</v>
      </c>
      <c r="C212" s="19"/>
      <c r="D212" s="79"/>
      <c r="E212" s="97">
        <v>65</v>
      </c>
      <c r="F212" s="76">
        <v>100</v>
      </c>
      <c r="G212" s="21">
        <f t="shared" si="12"/>
        <v>35</v>
      </c>
      <c r="H212" s="65" t="s">
        <v>42</v>
      </c>
      <c r="I212" s="82"/>
      <c r="J212" s="81">
        <f t="shared" si="13"/>
        <v>0.35</v>
      </c>
      <c r="K212" s="74">
        <v>43623</v>
      </c>
    </row>
    <row r="213" spans="1:11">
      <c r="A213" s="8">
        <v>50</v>
      </c>
      <c r="B213" s="19" t="s">
        <v>267</v>
      </c>
      <c r="C213" s="19"/>
      <c r="D213" s="24" t="s">
        <v>434</v>
      </c>
      <c r="E213" s="94">
        <v>23.5</v>
      </c>
      <c r="F213" s="21">
        <v>50</v>
      </c>
      <c r="G213" s="21">
        <f t="shared" si="12"/>
        <v>26.5</v>
      </c>
      <c r="H213" s="8" t="s">
        <v>42</v>
      </c>
      <c r="I213" s="23"/>
      <c r="J213" s="81">
        <f t="shared" si="13"/>
        <v>0.53</v>
      </c>
      <c r="K213" s="74">
        <v>43624</v>
      </c>
    </row>
    <row r="214" spans="1:11">
      <c r="A214" s="8">
        <v>95</v>
      </c>
      <c r="B214" s="83" t="s">
        <v>92</v>
      </c>
      <c r="C214" s="83"/>
      <c r="D214" s="24" t="s">
        <v>434</v>
      </c>
      <c r="E214" s="94">
        <v>60</v>
      </c>
      <c r="F214" s="21">
        <v>90</v>
      </c>
      <c r="G214" s="21">
        <f t="shared" si="12"/>
        <v>30</v>
      </c>
      <c r="H214" s="8" t="s">
        <v>42</v>
      </c>
      <c r="I214" s="23"/>
      <c r="J214" s="81">
        <f t="shared" si="13"/>
        <v>0.33333333333333331</v>
      </c>
      <c r="K214" s="74">
        <v>43624</v>
      </c>
    </row>
    <row r="215" spans="1:11">
      <c r="A215" s="8">
        <v>115</v>
      </c>
      <c r="B215" s="19" t="s">
        <v>226</v>
      </c>
      <c r="C215" s="19"/>
      <c r="D215" s="24" t="s">
        <v>259</v>
      </c>
      <c r="E215" s="94">
        <v>110</v>
      </c>
      <c r="F215" s="21">
        <v>180</v>
      </c>
      <c r="G215" s="21">
        <f t="shared" si="12"/>
        <v>70</v>
      </c>
      <c r="H215" s="8" t="s">
        <v>42</v>
      </c>
      <c r="I215" s="23"/>
      <c r="J215" s="81">
        <f t="shared" si="13"/>
        <v>0.3888888888888889</v>
      </c>
      <c r="K215" s="74">
        <v>43624</v>
      </c>
    </row>
    <row r="216" spans="1:11">
      <c r="A216" s="8">
        <v>51</v>
      </c>
      <c r="B216" s="19" t="s">
        <v>267</v>
      </c>
      <c r="C216" s="19"/>
      <c r="D216" s="24" t="s">
        <v>435</v>
      </c>
      <c r="E216" s="94">
        <v>23.5</v>
      </c>
      <c r="F216" s="21">
        <v>40</v>
      </c>
      <c r="G216" s="21">
        <f t="shared" si="12"/>
        <v>16.5</v>
      </c>
      <c r="H216" s="8" t="s">
        <v>42</v>
      </c>
      <c r="I216" s="23"/>
      <c r="J216" s="81">
        <f t="shared" si="13"/>
        <v>0.41249999999999998</v>
      </c>
      <c r="K216" s="74">
        <v>43625</v>
      </c>
    </row>
    <row r="217" spans="1:11">
      <c r="A217" s="8">
        <v>99</v>
      </c>
      <c r="B217" s="19" t="s">
        <v>261</v>
      </c>
      <c r="C217" s="19"/>
      <c r="D217" s="24" t="s">
        <v>270</v>
      </c>
      <c r="E217" s="94">
        <v>25</v>
      </c>
      <c r="F217" s="21">
        <v>40</v>
      </c>
      <c r="G217" s="21">
        <f t="shared" si="12"/>
        <v>15</v>
      </c>
      <c r="H217" s="8" t="s">
        <v>42</v>
      </c>
      <c r="I217" s="23"/>
      <c r="J217" s="81">
        <f t="shared" si="13"/>
        <v>0.375</v>
      </c>
      <c r="K217" s="74">
        <v>43625</v>
      </c>
    </row>
    <row r="218" spans="1:11">
      <c r="A218" s="8">
        <v>116</v>
      </c>
      <c r="B218" s="19" t="s">
        <v>226</v>
      </c>
      <c r="C218" s="19"/>
      <c r="D218" s="24" t="s">
        <v>435</v>
      </c>
      <c r="E218" s="94">
        <v>110</v>
      </c>
      <c r="F218" s="21">
        <v>150</v>
      </c>
      <c r="G218" s="21">
        <f t="shared" si="12"/>
        <v>40</v>
      </c>
      <c r="H218" s="8" t="s">
        <v>42</v>
      </c>
      <c r="I218" s="23"/>
      <c r="J218" s="81">
        <f t="shared" si="13"/>
        <v>0.26666666666666666</v>
      </c>
      <c r="K218" s="74">
        <v>43625</v>
      </c>
    </row>
    <row r="219" spans="1:11">
      <c r="A219" s="8">
        <v>37</v>
      </c>
      <c r="B219" s="75" t="s">
        <v>436</v>
      </c>
      <c r="C219" s="75"/>
      <c r="D219" s="79" t="s">
        <v>225</v>
      </c>
      <c r="E219" s="97">
        <v>94</v>
      </c>
      <c r="F219" s="76">
        <v>160</v>
      </c>
      <c r="G219" s="21">
        <f t="shared" si="12"/>
        <v>66</v>
      </c>
      <c r="H219" s="65" t="s">
        <v>42</v>
      </c>
      <c r="I219" s="82"/>
      <c r="J219" s="81">
        <f t="shared" si="13"/>
        <v>0.41249999999999998</v>
      </c>
      <c r="K219" s="74">
        <v>43626</v>
      </c>
    </row>
    <row r="220" spans="1:11">
      <c r="A220" s="8">
        <v>76</v>
      </c>
      <c r="B220" s="8" t="s">
        <v>102</v>
      </c>
      <c r="C220" s="8"/>
      <c r="D220" s="24" t="s">
        <v>271</v>
      </c>
      <c r="E220" s="94">
        <v>14</v>
      </c>
      <c r="F220" s="21">
        <v>20</v>
      </c>
      <c r="G220" s="21">
        <f t="shared" si="12"/>
        <v>6</v>
      </c>
      <c r="H220" s="8" t="s">
        <v>42</v>
      </c>
      <c r="I220" s="82"/>
      <c r="J220" s="81">
        <f t="shared" si="13"/>
        <v>0.3</v>
      </c>
      <c r="K220" s="74">
        <v>43626</v>
      </c>
    </row>
    <row r="221" spans="1:11">
      <c r="A221" s="8">
        <v>100</v>
      </c>
      <c r="B221" s="19" t="s">
        <v>261</v>
      </c>
      <c r="C221" s="19"/>
      <c r="D221" s="24" t="s">
        <v>36</v>
      </c>
      <c r="E221" s="94">
        <v>25</v>
      </c>
      <c r="F221" s="21">
        <v>35</v>
      </c>
      <c r="G221" s="21">
        <f t="shared" si="12"/>
        <v>10</v>
      </c>
      <c r="H221" s="8" t="s">
        <v>42</v>
      </c>
      <c r="I221" s="23"/>
      <c r="J221" s="81">
        <f t="shared" si="13"/>
        <v>0.2857142857142857</v>
      </c>
      <c r="K221" s="74">
        <v>43626</v>
      </c>
    </row>
    <row r="222" spans="1:11">
      <c r="A222" s="8">
        <v>29</v>
      </c>
      <c r="B222" s="19" t="s">
        <v>258</v>
      </c>
      <c r="C222" s="19"/>
      <c r="D222" s="24" t="s">
        <v>126</v>
      </c>
      <c r="E222" s="94">
        <v>26.99</v>
      </c>
      <c r="F222" s="21">
        <v>40</v>
      </c>
      <c r="G222" s="21">
        <f t="shared" si="12"/>
        <v>13.010000000000002</v>
      </c>
      <c r="H222" s="8" t="s">
        <v>42</v>
      </c>
      <c r="I222" s="23"/>
      <c r="J222" s="81">
        <f t="shared" si="13"/>
        <v>0.32525000000000004</v>
      </c>
      <c r="K222" s="74">
        <v>43627</v>
      </c>
    </row>
    <row r="223" spans="1:11">
      <c r="A223" s="8">
        <v>64</v>
      </c>
      <c r="B223" s="19" t="s">
        <v>206</v>
      </c>
      <c r="C223" s="19"/>
      <c r="D223" s="24" t="s">
        <v>274</v>
      </c>
      <c r="E223" s="94">
        <v>12</v>
      </c>
      <c r="F223" s="21">
        <v>25</v>
      </c>
      <c r="G223" s="21">
        <f t="shared" si="12"/>
        <v>13</v>
      </c>
      <c r="H223" s="8" t="s">
        <v>42</v>
      </c>
      <c r="I223" s="82"/>
      <c r="J223" s="81">
        <f t="shared" si="13"/>
        <v>0.52</v>
      </c>
      <c r="K223" s="74">
        <v>43627</v>
      </c>
    </row>
    <row r="224" spans="1:11">
      <c r="A224" s="8">
        <v>67</v>
      </c>
      <c r="B224" s="63" t="s">
        <v>155</v>
      </c>
      <c r="C224" s="63"/>
      <c r="D224" s="24" t="s">
        <v>437</v>
      </c>
      <c r="E224" s="94">
        <v>16</v>
      </c>
      <c r="F224" s="21">
        <v>30</v>
      </c>
      <c r="G224" s="21">
        <f t="shared" si="12"/>
        <v>14</v>
      </c>
      <c r="H224" s="8" t="s">
        <v>42</v>
      </c>
      <c r="I224" s="23"/>
      <c r="J224" s="81">
        <f t="shared" si="13"/>
        <v>0.46666666666666667</v>
      </c>
      <c r="K224" s="74">
        <v>43627</v>
      </c>
    </row>
    <row r="225" spans="1:11">
      <c r="A225" s="8">
        <v>101</v>
      </c>
      <c r="B225" s="19" t="s">
        <v>261</v>
      </c>
      <c r="C225" s="19"/>
      <c r="D225" s="24" t="s">
        <v>126</v>
      </c>
      <c r="E225" s="94">
        <v>25</v>
      </c>
      <c r="F225" s="21">
        <v>40</v>
      </c>
      <c r="G225" s="21">
        <f t="shared" si="12"/>
        <v>15</v>
      </c>
      <c r="H225" s="8" t="s">
        <v>42</v>
      </c>
      <c r="I225" s="23"/>
      <c r="J225" s="81">
        <f t="shared" si="13"/>
        <v>0.375</v>
      </c>
      <c r="K225" s="74">
        <v>43627</v>
      </c>
    </row>
    <row r="226" spans="1:11">
      <c r="A226" s="8">
        <v>118</v>
      </c>
      <c r="B226" s="19" t="s">
        <v>529</v>
      </c>
      <c r="C226" s="19"/>
      <c r="D226" s="24">
        <v>414</v>
      </c>
      <c r="E226" s="94">
        <v>22.9</v>
      </c>
      <c r="F226" s="21">
        <v>40</v>
      </c>
      <c r="G226" s="21">
        <f t="shared" si="12"/>
        <v>17.100000000000001</v>
      </c>
      <c r="H226" s="8" t="s">
        <v>42</v>
      </c>
      <c r="I226" s="23"/>
      <c r="J226" s="81">
        <f t="shared" si="13"/>
        <v>0.42750000000000005</v>
      </c>
      <c r="K226" s="74">
        <v>43627</v>
      </c>
    </row>
    <row r="227" spans="1:11">
      <c r="A227" s="8">
        <v>43</v>
      </c>
      <c r="B227" s="83" t="s">
        <v>244</v>
      </c>
      <c r="C227" s="83"/>
      <c r="D227" s="24" t="s">
        <v>276</v>
      </c>
      <c r="E227" s="97">
        <v>24</v>
      </c>
      <c r="F227" s="21">
        <v>45</v>
      </c>
      <c r="G227" s="21">
        <f t="shared" si="12"/>
        <v>21</v>
      </c>
      <c r="H227" s="8" t="s">
        <v>42</v>
      </c>
      <c r="I227" s="23"/>
      <c r="J227" s="81">
        <f t="shared" si="13"/>
        <v>0.46666666666666667</v>
      </c>
      <c r="K227" s="74">
        <v>43628</v>
      </c>
    </row>
    <row r="228" spans="1:11">
      <c r="A228" s="8">
        <v>69</v>
      </c>
      <c r="B228" s="19" t="s">
        <v>229</v>
      </c>
      <c r="C228" s="19"/>
      <c r="D228" s="24" t="s">
        <v>259</v>
      </c>
      <c r="E228" s="94">
        <v>20</v>
      </c>
      <c r="F228" s="21">
        <v>20</v>
      </c>
      <c r="G228" s="21">
        <f t="shared" si="12"/>
        <v>0</v>
      </c>
      <c r="H228" s="8" t="s">
        <v>42</v>
      </c>
      <c r="I228" s="23"/>
      <c r="J228" s="81">
        <f t="shared" si="13"/>
        <v>0</v>
      </c>
      <c r="K228" s="74">
        <v>43628</v>
      </c>
    </row>
    <row r="229" spans="1:11">
      <c r="A229" s="8">
        <v>70</v>
      </c>
      <c r="B229" s="19" t="s">
        <v>256</v>
      </c>
      <c r="C229" s="19"/>
      <c r="D229" s="24"/>
      <c r="E229" s="94">
        <v>22</v>
      </c>
      <c r="F229" s="21">
        <v>40</v>
      </c>
      <c r="G229" s="21">
        <f t="shared" si="12"/>
        <v>18</v>
      </c>
      <c r="H229" s="8" t="s">
        <v>42</v>
      </c>
      <c r="I229" s="23"/>
      <c r="J229" s="81">
        <f t="shared" si="13"/>
        <v>0.45</v>
      </c>
      <c r="K229" s="74">
        <v>43628</v>
      </c>
    </row>
    <row r="230" spans="1:11">
      <c r="A230" s="8">
        <v>119</v>
      </c>
      <c r="B230" s="19" t="s">
        <v>529</v>
      </c>
      <c r="C230" s="19"/>
      <c r="D230" s="24" t="s">
        <v>126</v>
      </c>
      <c r="E230" s="94">
        <v>22.9</v>
      </c>
      <c r="F230" s="21">
        <v>40</v>
      </c>
      <c r="G230" s="21">
        <f t="shared" si="12"/>
        <v>17.100000000000001</v>
      </c>
      <c r="H230" s="8" t="s">
        <v>42</v>
      </c>
      <c r="I230" s="23"/>
      <c r="J230" s="81">
        <f t="shared" si="13"/>
        <v>0.42750000000000005</v>
      </c>
      <c r="K230" s="74">
        <v>43628</v>
      </c>
    </row>
    <row r="231" spans="1:11">
      <c r="A231" s="8">
        <v>120</v>
      </c>
      <c r="B231" s="19" t="s">
        <v>529</v>
      </c>
      <c r="C231" s="19"/>
      <c r="D231" s="24"/>
      <c r="E231" s="94">
        <v>24</v>
      </c>
      <c r="F231" s="21">
        <v>50</v>
      </c>
      <c r="G231" s="21">
        <f t="shared" si="12"/>
        <v>26</v>
      </c>
      <c r="H231" s="8" t="s">
        <v>42</v>
      </c>
      <c r="I231" s="23"/>
      <c r="J231" s="81">
        <f t="shared" si="13"/>
        <v>0.52</v>
      </c>
      <c r="K231" s="74">
        <v>43628</v>
      </c>
    </row>
    <row r="232" spans="1:11">
      <c r="A232" s="8">
        <v>52</v>
      </c>
      <c r="B232" s="19" t="s">
        <v>267</v>
      </c>
      <c r="C232" s="19"/>
      <c r="D232" s="24" t="s">
        <v>438</v>
      </c>
      <c r="E232" s="94">
        <v>23.5</v>
      </c>
      <c r="F232" s="21">
        <v>50</v>
      </c>
      <c r="G232" s="21">
        <f t="shared" si="12"/>
        <v>26.5</v>
      </c>
      <c r="H232" s="8" t="s">
        <v>42</v>
      </c>
      <c r="I232" s="23"/>
      <c r="J232" s="81">
        <f t="shared" si="13"/>
        <v>0.53</v>
      </c>
      <c r="K232" s="74">
        <v>43630</v>
      </c>
    </row>
    <row r="233" spans="1:11">
      <c r="A233" s="8">
        <v>65</v>
      </c>
      <c r="B233" s="19" t="s">
        <v>206</v>
      </c>
      <c r="C233" s="19"/>
      <c r="D233" s="24" t="s">
        <v>280</v>
      </c>
      <c r="E233" s="94">
        <v>12</v>
      </c>
      <c r="F233" s="21">
        <v>20</v>
      </c>
      <c r="G233" s="21">
        <f t="shared" si="12"/>
        <v>8</v>
      </c>
      <c r="H233" s="8" t="s">
        <v>42</v>
      </c>
      <c r="I233" s="82"/>
      <c r="J233" s="81">
        <f t="shared" si="13"/>
        <v>0.4</v>
      </c>
      <c r="K233" s="74">
        <v>43630</v>
      </c>
    </row>
    <row r="234" spans="1:11">
      <c r="A234" s="8">
        <v>77</v>
      </c>
      <c r="B234" s="19" t="s">
        <v>132</v>
      </c>
      <c r="C234" s="19"/>
      <c r="D234" s="24" t="s">
        <v>279</v>
      </c>
      <c r="E234" s="94">
        <v>20</v>
      </c>
      <c r="F234" s="21">
        <v>40</v>
      </c>
      <c r="G234" s="21">
        <f t="shared" si="12"/>
        <v>20</v>
      </c>
      <c r="H234" s="8" t="s">
        <v>42</v>
      </c>
      <c r="I234" s="23"/>
      <c r="J234" s="81">
        <f t="shared" si="13"/>
        <v>0.5</v>
      </c>
      <c r="K234" s="74">
        <v>43630</v>
      </c>
    </row>
    <row r="235" spans="1:11">
      <c r="A235" s="8">
        <v>78</v>
      </c>
      <c r="B235" s="19" t="s">
        <v>132</v>
      </c>
      <c r="C235" s="19"/>
      <c r="D235" s="24" t="s">
        <v>279</v>
      </c>
      <c r="E235" s="94">
        <v>20</v>
      </c>
      <c r="F235" s="21">
        <v>40</v>
      </c>
      <c r="G235" s="21">
        <f t="shared" ref="G235:G266" si="14">F235-E235</f>
        <v>20</v>
      </c>
      <c r="H235" s="8" t="s">
        <v>42</v>
      </c>
      <c r="I235" s="23"/>
      <c r="J235" s="81">
        <f t="shared" ref="J235:J266" si="15">SUM(F235-E235)/F235</f>
        <v>0.5</v>
      </c>
      <c r="K235" s="74">
        <v>43630</v>
      </c>
    </row>
    <row r="236" spans="1:11">
      <c r="A236" s="8">
        <v>79</v>
      </c>
      <c r="B236" s="19" t="s">
        <v>132</v>
      </c>
      <c r="C236" s="19"/>
      <c r="D236" s="24" t="s">
        <v>279</v>
      </c>
      <c r="E236" s="94">
        <v>20</v>
      </c>
      <c r="F236" s="21">
        <v>40</v>
      </c>
      <c r="G236" s="21">
        <f t="shared" si="14"/>
        <v>20</v>
      </c>
      <c r="H236" s="8" t="s">
        <v>42</v>
      </c>
      <c r="I236" s="23"/>
      <c r="J236" s="81">
        <f t="shared" si="15"/>
        <v>0.5</v>
      </c>
      <c r="K236" s="74">
        <v>43630</v>
      </c>
    </row>
    <row r="237" spans="1:11">
      <c r="A237" s="8">
        <v>44</v>
      </c>
      <c r="B237" s="19" t="s">
        <v>244</v>
      </c>
      <c r="C237" s="19"/>
      <c r="D237" s="24" t="s">
        <v>285</v>
      </c>
      <c r="E237" s="94">
        <v>24</v>
      </c>
      <c r="F237" s="21">
        <v>35</v>
      </c>
      <c r="G237" s="21">
        <f t="shared" si="14"/>
        <v>11</v>
      </c>
      <c r="H237" s="8" t="s">
        <v>42</v>
      </c>
      <c r="I237" s="23"/>
      <c r="J237" s="81">
        <f t="shared" si="15"/>
        <v>0.31428571428571428</v>
      </c>
      <c r="K237" s="74">
        <v>43631</v>
      </c>
    </row>
    <row r="238" spans="1:11">
      <c r="A238" s="8">
        <v>53</v>
      </c>
      <c r="B238" s="19" t="s">
        <v>267</v>
      </c>
      <c r="C238" s="19"/>
      <c r="D238" s="24" t="s">
        <v>283</v>
      </c>
      <c r="E238" s="94">
        <v>23.5</v>
      </c>
      <c r="F238" s="21">
        <v>50</v>
      </c>
      <c r="G238" s="21">
        <f t="shared" si="14"/>
        <v>26.5</v>
      </c>
      <c r="H238" s="8" t="s">
        <v>42</v>
      </c>
      <c r="I238" s="23"/>
      <c r="J238" s="81">
        <f t="shared" si="15"/>
        <v>0.53</v>
      </c>
      <c r="K238" s="74">
        <v>43631</v>
      </c>
    </row>
    <row r="239" spans="1:11">
      <c r="A239" s="8">
        <v>63</v>
      </c>
      <c r="B239" s="19" t="s">
        <v>182</v>
      </c>
      <c r="C239" s="19"/>
      <c r="D239" s="24" t="s">
        <v>284</v>
      </c>
      <c r="E239" s="94">
        <v>25</v>
      </c>
      <c r="F239" s="21">
        <v>50</v>
      </c>
      <c r="G239" s="21">
        <f t="shared" si="14"/>
        <v>25</v>
      </c>
      <c r="H239" s="8" t="s">
        <v>42</v>
      </c>
      <c r="I239" s="23"/>
      <c r="J239" s="81">
        <f t="shared" si="15"/>
        <v>0.5</v>
      </c>
      <c r="K239" s="74">
        <v>43631</v>
      </c>
    </row>
    <row r="240" spans="1:11">
      <c r="A240" s="8">
        <v>80</v>
      </c>
      <c r="B240" s="19" t="s">
        <v>132</v>
      </c>
      <c r="C240" s="19"/>
      <c r="D240" s="24" t="s">
        <v>439</v>
      </c>
      <c r="E240" s="94">
        <v>20</v>
      </c>
      <c r="F240" s="21">
        <v>40</v>
      </c>
      <c r="G240" s="21">
        <f t="shared" si="14"/>
        <v>20</v>
      </c>
      <c r="H240" s="8" t="s">
        <v>42</v>
      </c>
      <c r="I240" s="23"/>
      <c r="J240" s="81">
        <f t="shared" si="15"/>
        <v>0.5</v>
      </c>
      <c r="K240" s="74">
        <v>43631</v>
      </c>
    </row>
    <row r="241" spans="1:11">
      <c r="A241" s="8">
        <v>54</v>
      </c>
      <c r="B241" s="19" t="s">
        <v>267</v>
      </c>
      <c r="C241" s="19"/>
      <c r="D241" s="24" t="s">
        <v>440</v>
      </c>
      <c r="E241" s="94">
        <v>23.5</v>
      </c>
      <c r="F241" s="21">
        <v>55</v>
      </c>
      <c r="G241" s="21">
        <f t="shared" si="14"/>
        <v>31.5</v>
      </c>
      <c r="H241" s="8" t="s">
        <v>42</v>
      </c>
      <c r="I241" s="23"/>
      <c r="J241" s="81">
        <f t="shared" si="15"/>
        <v>0.57272727272727275</v>
      </c>
      <c r="K241" s="74">
        <v>43632</v>
      </c>
    </row>
    <row r="242" spans="1:11">
      <c r="A242" s="8">
        <v>57</v>
      </c>
      <c r="B242" s="19" t="s">
        <v>289</v>
      </c>
      <c r="C242" s="19"/>
      <c r="D242" s="24" t="s">
        <v>288</v>
      </c>
      <c r="E242" s="94">
        <v>23.5</v>
      </c>
      <c r="F242" s="21">
        <v>35</v>
      </c>
      <c r="G242" s="21">
        <f t="shared" si="14"/>
        <v>11.5</v>
      </c>
      <c r="H242" s="8" t="s">
        <v>42</v>
      </c>
      <c r="I242" s="23"/>
      <c r="J242" s="81">
        <f t="shared" si="15"/>
        <v>0.32857142857142857</v>
      </c>
      <c r="K242" s="74">
        <v>43633</v>
      </c>
    </row>
    <row r="243" spans="1:11">
      <c r="A243" s="8">
        <v>58</v>
      </c>
      <c r="B243" s="19" t="s">
        <v>289</v>
      </c>
      <c r="C243" s="19"/>
      <c r="D243" s="24" t="s">
        <v>288</v>
      </c>
      <c r="E243" s="94">
        <v>23.5</v>
      </c>
      <c r="F243" s="21">
        <v>35</v>
      </c>
      <c r="G243" s="21">
        <f t="shared" si="14"/>
        <v>11.5</v>
      </c>
      <c r="H243" s="8" t="s">
        <v>42</v>
      </c>
      <c r="I243" s="23"/>
      <c r="J243" s="81">
        <f t="shared" si="15"/>
        <v>0.32857142857142857</v>
      </c>
      <c r="K243" s="74">
        <v>43633</v>
      </c>
    </row>
    <row r="244" spans="1:11">
      <c r="A244" s="8">
        <v>74</v>
      </c>
      <c r="B244" s="42" t="s">
        <v>157</v>
      </c>
      <c r="C244" s="42"/>
      <c r="D244" s="43" t="s">
        <v>292</v>
      </c>
      <c r="E244" s="94">
        <v>20</v>
      </c>
      <c r="F244" s="45">
        <v>50</v>
      </c>
      <c r="G244" s="21">
        <f t="shared" si="14"/>
        <v>30</v>
      </c>
      <c r="H244" s="8" t="s">
        <v>42</v>
      </c>
      <c r="I244" s="82"/>
      <c r="J244" s="81">
        <f t="shared" si="15"/>
        <v>0.6</v>
      </c>
      <c r="K244" s="74">
        <v>43633</v>
      </c>
    </row>
    <row r="245" spans="1:11">
      <c r="A245" s="8">
        <v>87</v>
      </c>
      <c r="B245" s="73" t="s">
        <v>290</v>
      </c>
      <c r="C245" s="73"/>
      <c r="D245" s="24" t="s">
        <v>288</v>
      </c>
      <c r="E245" s="94">
        <v>20</v>
      </c>
      <c r="F245" s="21">
        <v>35</v>
      </c>
      <c r="G245" s="21">
        <f t="shared" si="14"/>
        <v>15</v>
      </c>
      <c r="H245" s="8" t="s">
        <v>42</v>
      </c>
      <c r="I245" s="23" t="s">
        <v>291</v>
      </c>
      <c r="J245" s="81">
        <f t="shared" si="15"/>
        <v>0.42857142857142855</v>
      </c>
      <c r="K245" s="74">
        <v>43633</v>
      </c>
    </row>
    <row r="246" spans="1:11">
      <c r="A246" s="8">
        <v>102</v>
      </c>
      <c r="B246" s="19" t="s">
        <v>261</v>
      </c>
      <c r="C246" s="19"/>
      <c r="D246" s="24" t="s">
        <v>287</v>
      </c>
      <c r="E246" s="94">
        <v>25</v>
      </c>
      <c r="F246" s="21">
        <v>40</v>
      </c>
      <c r="G246" s="21">
        <f t="shared" si="14"/>
        <v>15</v>
      </c>
      <c r="H246" s="8" t="s">
        <v>42</v>
      </c>
      <c r="I246" s="23"/>
      <c r="J246" s="81">
        <f t="shared" si="15"/>
        <v>0.375</v>
      </c>
      <c r="K246" s="74">
        <v>43633</v>
      </c>
    </row>
    <row r="247" spans="1:11">
      <c r="A247" s="8">
        <v>103</v>
      </c>
      <c r="B247" s="19" t="s">
        <v>261</v>
      </c>
      <c r="C247" s="19"/>
      <c r="D247" s="24" t="s">
        <v>287</v>
      </c>
      <c r="E247" s="94">
        <v>25</v>
      </c>
      <c r="F247" s="21">
        <v>40</v>
      </c>
      <c r="G247" s="21">
        <f t="shared" si="14"/>
        <v>15</v>
      </c>
      <c r="H247" s="8" t="s">
        <v>42</v>
      </c>
      <c r="I247" s="23"/>
      <c r="J247" s="81">
        <f t="shared" si="15"/>
        <v>0.375</v>
      </c>
      <c r="K247" s="74">
        <v>43633</v>
      </c>
    </row>
    <row r="248" spans="1:11">
      <c r="A248" s="8">
        <v>104</v>
      </c>
      <c r="B248" s="19" t="s">
        <v>261</v>
      </c>
      <c r="C248" s="19"/>
      <c r="D248" s="24" t="s">
        <v>287</v>
      </c>
      <c r="E248" s="94">
        <v>25</v>
      </c>
      <c r="F248" s="21">
        <v>40</v>
      </c>
      <c r="G248" s="21">
        <f t="shared" si="14"/>
        <v>15</v>
      </c>
      <c r="H248" s="8" t="s">
        <v>42</v>
      </c>
      <c r="I248" s="23"/>
      <c r="J248" s="81">
        <f t="shared" si="15"/>
        <v>0.375</v>
      </c>
      <c r="K248" s="74">
        <v>43633</v>
      </c>
    </row>
    <row r="249" spans="1:11">
      <c r="A249" s="8">
        <v>105</v>
      </c>
      <c r="B249" s="19" t="s">
        <v>261</v>
      </c>
      <c r="C249" s="19"/>
      <c r="D249" s="24" t="s">
        <v>287</v>
      </c>
      <c r="E249" s="94">
        <v>25</v>
      </c>
      <c r="F249" s="21">
        <v>40</v>
      </c>
      <c r="G249" s="21">
        <f t="shared" si="14"/>
        <v>15</v>
      </c>
      <c r="H249" s="8" t="s">
        <v>42</v>
      </c>
      <c r="I249" s="23"/>
      <c r="J249" s="81">
        <f t="shared" si="15"/>
        <v>0.375</v>
      </c>
      <c r="K249" s="74">
        <v>43633</v>
      </c>
    </row>
    <row r="250" spans="1:11">
      <c r="A250" s="8">
        <v>106</v>
      </c>
      <c r="B250" s="19" t="s">
        <v>261</v>
      </c>
      <c r="C250" s="19"/>
      <c r="D250" s="24" t="s">
        <v>287</v>
      </c>
      <c r="E250" s="94">
        <v>25</v>
      </c>
      <c r="F250" s="21">
        <v>40</v>
      </c>
      <c r="G250" s="21">
        <f t="shared" si="14"/>
        <v>15</v>
      </c>
      <c r="H250" s="8" t="s">
        <v>42</v>
      </c>
      <c r="I250" s="23"/>
      <c r="J250" s="81">
        <f t="shared" si="15"/>
        <v>0.375</v>
      </c>
      <c r="K250" s="74">
        <v>43633</v>
      </c>
    </row>
    <row r="251" spans="1:11">
      <c r="A251" s="8">
        <v>121</v>
      </c>
      <c r="B251" s="19" t="s">
        <v>529</v>
      </c>
      <c r="C251" s="19"/>
      <c r="D251" s="24" t="s">
        <v>287</v>
      </c>
      <c r="E251" s="94">
        <v>24</v>
      </c>
      <c r="F251" s="21">
        <v>35</v>
      </c>
      <c r="G251" s="21">
        <f t="shared" si="14"/>
        <v>11</v>
      </c>
      <c r="H251" s="8" t="s">
        <v>42</v>
      </c>
      <c r="I251" s="23"/>
      <c r="J251" s="81">
        <f t="shared" si="15"/>
        <v>0.31428571428571428</v>
      </c>
      <c r="K251" s="74">
        <v>43633</v>
      </c>
    </row>
    <row r="252" spans="1:11">
      <c r="A252" s="8">
        <v>75</v>
      </c>
      <c r="B252" s="42" t="s">
        <v>157</v>
      </c>
      <c r="C252" s="42"/>
      <c r="D252" s="28" t="s">
        <v>293</v>
      </c>
      <c r="E252" s="94">
        <v>20</v>
      </c>
      <c r="F252" s="21">
        <v>50</v>
      </c>
      <c r="G252" s="21">
        <f t="shared" si="14"/>
        <v>30</v>
      </c>
      <c r="H252" s="8" t="s">
        <v>42</v>
      </c>
      <c r="I252" s="82"/>
      <c r="J252" s="81">
        <f t="shared" si="15"/>
        <v>0.6</v>
      </c>
      <c r="K252" s="74">
        <v>43634</v>
      </c>
    </row>
    <row r="253" spans="1:11">
      <c r="A253" s="8">
        <v>30</v>
      </c>
      <c r="B253" s="19" t="s">
        <v>297</v>
      </c>
      <c r="C253" s="19"/>
      <c r="D253" s="24"/>
      <c r="E253" s="94">
        <v>6.5</v>
      </c>
      <c r="F253" s="21">
        <v>10</v>
      </c>
      <c r="G253" s="21">
        <f t="shared" si="14"/>
        <v>3.5</v>
      </c>
      <c r="H253" s="8" t="s">
        <v>42</v>
      </c>
      <c r="I253" s="82"/>
      <c r="J253" s="81">
        <f t="shared" si="15"/>
        <v>0.35</v>
      </c>
      <c r="K253" s="74">
        <v>43635</v>
      </c>
    </row>
    <row r="254" spans="1:11">
      <c r="A254" s="8">
        <v>59</v>
      </c>
      <c r="B254" s="19" t="s">
        <v>278</v>
      </c>
      <c r="C254" s="19"/>
      <c r="D254" s="24" t="s">
        <v>142</v>
      </c>
      <c r="E254" s="94">
        <v>33</v>
      </c>
      <c r="F254" s="21">
        <v>50</v>
      </c>
      <c r="G254" s="21">
        <f t="shared" si="14"/>
        <v>17</v>
      </c>
      <c r="H254" s="8" t="s">
        <v>42</v>
      </c>
      <c r="I254" s="23"/>
      <c r="J254" s="81">
        <f t="shared" si="15"/>
        <v>0.34</v>
      </c>
      <c r="K254" s="74">
        <v>43636</v>
      </c>
    </row>
    <row r="255" spans="1:11">
      <c r="A255" s="8">
        <v>60</v>
      </c>
      <c r="B255" s="19" t="s">
        <v>278</v>
      </c>
      <c r="C255" s="19"/>
      <c r="D255" s="24" t="s">
        <v>142</v>
      </c>
      <c r="E255" s="94">
        <v>33</v>
      </c>
      <c r="F255" s="21">
        <v>50</v>
      </c>
      <c r="G255" s="21">
        <f t="shared" si="14"/>
        <v>17</v>
      </c>
      <c r="H255" s="8" t="s">
        <v>42</v>
      </c>
      <c r="I255" s="23"/>
      <c r="J255" s="81">
        <f t="shared" si="15"/>
        <v>0.34</v>
      </c>
      <c r="K255" s="74">
        <v>43636</v>
      </c>
    </row>
    <row r="256" spans="1:11">
      <c r="A256" s="8">
        <v>49</v>
      </c>
      <c r="B256" s="19" t="s">
        <v>294</v>
      </c>
      <c r="C256" s="19"/>
      <c r="D256" s="24" t="s">
        <v>411</v>
      </c>
      <c r="E256" s="94">
        <v>50</v>
      </c>
      <c r="F256" s="21">
        <v>100</v>
      </c>
      <c r="G256" s="21">
        <f t="shared" si="14"/>
        <v>50</v>
      </c>
      <c r="H256" s="8" t="s">
        <v>42</v>
      </c>
      <c r="I256" s="23"/>
      <c r="J256" s="81">
        <f t="shared" si="15"/>
        <v>0.5</v>
      </c>
      <c r="K256" s="74">
        <v>43637</v>
      </c>
    </row>
    <row r="257" spans="1:11">
      <c r="A257" s="8">
        <v>81</v>
      </c>
      <c r="B257" s="19" t="s">
        <v>132</v>
      </c>
      <c r="C257" s="19"/>
      <c r="D257" s="24" t="s">
        <v>441</v>
      </c>
      <c r="E257" s="94">
        <v>20</v>
      </c>
      <c r="F257" s="21">
        <v>20</v>
      </c>
      <c r="G257" s="21">
        <f t="shared" si="14"/>
        <v>0</v>
      </c>
      <c r="H257" s="8" t="s">
        <v>42</v>
      </c>
      <c r="I257" s="23"/>
      <c r="J257" s="81">
        <f t="shared" si="15"/>
        <v>0</v>
      </c>
      <c r="K257" s="74">
        <v>43637</v>
      </c>
    </row>
    <row r="258" spans="1:11">
      <c r="A258" s="8">
        <v>82</v>
      </c>
      <c r="B258" s="19" t="s">
        <v>132</v>
      </c>
      <c r="C258" s="19"/>
      <c r="D258" s="24" t="s">
        <v>441</v>
      </c>
      <c r="E258" s="94">
        <v>20</v>
      </c>
      <c r="F258" s="21">
        <v>40</v>
      </c>
      <c r="G258" s="21">
        <f t="shared" si="14"/>
        <v>20</v>
      </c>
      <c r="H258" s="8" t="s">
        <v>42</v>
      </c>
      <c r="I258" s="23"/>
      <c r="J258" s="81">
        <f t="shared" si="15"/>
        <v>0.5</v>
      </c>
      <c r="K258" s="74">
        <v>43637</v>
      </c>
    </row>
    <row r="259" spans="1:11">
      <c r="A259" s="8">
        <v>83</v>
      </c>
      <c r="B259" s="19" t="s">
        <v>132</v>
      </c>
      <c r="C259" s="19"/>
      <c r="D259" s="24" t="s">
        <v>441</v>
      </c>
      <c r="E259" s="94">
        <v>20</v>
      </c>
      <c r="F259" s="21">
        <v>40</v>
      </c>
      <c r="G259" s="21">
        <f t="shared" si="14"/>
        <v>20</v>
      </c>
      <c r="H259" s="8" t="s">
        <v>42</v>
      </c>
      <c r="I259" s="23"/>
      <c r="J259" s="81">
        <f t="shared" si="15"/>
        <v>0.5</v>
      </c>
      <c r="K259" s="74">
        <v>43637</v>
      </c>
    </row>
    <row r="260" spans="1:11">
      <c r="A260" s="8">
        <v>111</v>
      </c>
      <c r="B260" s="19" t="s">
        <v>442</v>
      </c>
      <c r="C260" s="19"/>
      <c r="D260" s="24" t="s">
        <v>36</v>
      </c>
      <c r="E260" s="94">
        <v>5</v>
      </c>
      <c r="F260" s="21">
        <v>15</v>
      </c>
      <c r="G260" s="21">
        <f t="shared" si="14"/>
        <v>10</v>
      </c>
      <c r="H260" s="8" t="s">
        <v>42</v>
      </c>
      <c r="I260" s="23"/>
      <c r="J260" s="81">
        <f t="shared" si="15"/>
        <v>0.66666666666666663</v>
      </c>
      <c r="K260" s="74">
        <v>43637</v>
      </c>
    </row>
    <row r="261" spans="1:11">
      <c r="A261" s="8">
        <v>113</v>
      </c>
      <c r="B261" s="19" t="s">
        <v>443</v>
      </c>
      <c r="C261" s="19"/>
      <c r="D261" s="24" t="s">
        <v>36</v>
      </c>
      <c r="E261" s="94">
        <v>4.5</v>
      </c>
      <c r="F261" s="21">
        <v>15</v>
      </c>
      <c r="G261" s="21">
        <f t="shared" si="14"/>
        <v>10.5</v>
      </c>
      <c r="H261" s="8" t="s">
        <v>42</v>
      </c>
      <c r="I261" s="23"/>
      <c r="J261" s="81">
        <f t="shared" si="15"/>
        <v>0.7</v>
      </c>
      <c r="K261" s="74">
        <v>43637</v>
      </c>
    </row>
    <row r="262" spans="1:11">
      <c r="A262" s="8">
        <v>117</v>
      </c>
      <c r="B262" s="19" t="s">
        <v>226</v>
      </c>
      <c r="C262" s="19"/>
      <c r="D262" s="24" t="s">
        <v>411</v>
      </c>
      <c r="E262" s="94">
        <v>110</v>
      </c>
      <c r="F262" s="21">
        <v>150</v>
      </c>
      <c r="G262" s="21">
        <f t="shared" si="14"/>
        <v>40</v>
      </c>
      <c r="H262" s="8" t="s">
        <v>42</v>
      </c>
      <c r="I262" s="23"/>
      <c r="J262" s="81">
        <f t="shared" si="15"/>
        <v>0.26666666666666666</v>
      </c>
      <c r="K262" s="74">
        <v>43637</v>
      </c>
    </row>
    <row r="263" spans="1:11">
      <c r="A263" s="8">
        <v>31</v>
      </c>
      <c r="B263" s="19" t="s">
        <v>297</v>
      </c>
      <c r="C263" s="19"/>
      <c r="D263" s="24" t="s">
        <v>288</v>
      </c>
      <c r="E263" s="94">
        <v>6.8</v>
      </c>
      <c r="F263" s="21">
        <v>10</v>
      </c>
      <c r="G263" s="21">
        <f t="shared" si="14"/>
        <v>3.2</v>
      </c>
      <c r="H263" s="8" t="s">
        <v>42</v>
      </c>
      <c r="I263" s="23"/>
      <c r="J263" s="81">
        <f t="shared" si="15"/>
        <v>0.32</v>
      </c>
      <c r="K263" s="74">
        <v>43638</v>
      </c>
    </row>
    <row r="264" spans="1:11">
      <c r="A264" s="8">
        <v>32</v>
      </c>
      <c r="B264" s="19" t="s">
        <v>296</v>
      </c>
      <c r="C264" s="19"/>
      <c r="D264" s="24" t="s">
        <v>288</v>
      </c>
      <c r="E264" s="94">
        <v>7</v>
      </c>
      <c r="F264" s="21">
        <v>10</v>
      </c>
      <c r="G264" s="21">
        <f t="shared" si="14"/>
        <v>3</v>
      </c>
      <c r="H264" s="8" t="s">
        <v>42</v>
      </c>
      <c r="I264" s="23"/>
      <c r="J264" s="81">
        <f t="shared" si="15"/>
        <v>0.3</v>
      </c>
      <c r="K264" s="74">
        <v>43638</v>
      </c>
    </row>
    <row r="265" spans="1:11">
      <c r="A265" s="8">
        <v>33</v>
      </c>
      <c r="B265" s="19" t="s">
        <v>296</v>
      </c>
      <c r="C265" s="19"/>
      <c r="D265" s="24" t="s">
        <v>288</v>
      </c>
      <c r="E265" s="94">
        <v>7</v>
      </c>
      <c r="F265" s="21">
        <v>10</v>
      </c>
      <c r="G265" s="21">
        <f t="shared" si="14"/>
        <v>3</v>
      </c>
      <c r="H265" s="8" t="s">
        <v>42</v>
      </c>
      <c r="I265" s="23"/>
      <c r="J265" s="81">
        <f t="shared" si="15"/>
        <v>0.3</v>
      </c>
      <c r="K265" s="74">
        <v>43638</v>
      </c>
    </row>
    <row r="266" spans="1:11">
      <c r="A266" s="8">
        <v>34</v>
      </c>
      <c r="B266" s="19" t="s">
        <v>298</v>
      </c>
      <c r="C266" s="19"/>
      <c r="D266" s="24" t="s">
        <v>288</v>
      </c>
      <c r="E266" s="94">
        <v>4.5</v>
      </c>
      <c r="F266" s="21">
        <v>6</v>
      </c>
      <c r="G266" s="21">
        <f t="shared" si="14"/>
        <v>1.5</v>
      </c>
      <c r="H266" s="8" t="s">
        <v>42</v>
      </c>
      <c r="I266" s="23"/>
      <c r="J266" s="81">
        <f t="shared" si="15"/>
        <v>0.25</v>
      </c>
      <c r="K266" s="74">
        <v>43638</v>
      </c>
    </row>
    <row r="267" spans="1:11">
      <c r="A267" s="8">
        <v>35</v>
      </c>
      <c r="B267" s="19" t="s">
        <v>298</v>
      </c>
      <c r="C267" s="19"/>
      <c r="D267" s="24" t="s">
        <v>288</v>
      </c>
      <c r="E267" s="94">
        <v>4.5</v>
      </c>
      <c r="F267" s="21">
        <v>6</v>
      </c>
      <c r="G267" s="21">
        <f t="shared" ref="G267:G298" si="16">F267-E267</f>
        <v>1.5</v>
      </c>
      <c r="H267" s="8" t="s">
        <v>42</v>
      </c>
      <c r="I267" s="23"/>
      <c r="J267" s="81">
        <f t="shared" ref="J267:J292" si="17">SUM(F267-E267)/F267</f>
        <v>0.25</v>
      </c>
      <c r="K267" s="74">
        <v>43638</v>
      </c>
    </row>
    <row r="268" spans="1:11">
      <c r="A268" s="8">
        <v>72</v>
      </c>
      <c r="B268" s="19" t="s">
        <v>295</v>
      </c>
      <c r="C268" s="19"/>
      <c r="D268" s="24" t="s">
        <v>288</v>
      </c>
      <c r="E268" s="94">
        <v>11.5</v>
      </c>
      <c r="F268" s="21">
        <v>15</v>
      </c>
      <c r="G268" s="21">
        <f t="shared" si="16"/>
        <v>3.5</v>
      </c>
      <c r="H268" s="8" t="s">
        <v>42</v>
      </c>
      <c r="I268" s="23"/>
      <c r="J268" s="81">
        <f t="shared" si="17"/>
        <v>0.23333333333333334</v>
      </c>
      <c r="K268" s="74">
        <v>43638</v>
      </c>
    </row>
    <row r="269" spans="1:11">
      <c r="A269" s="8">
        <v>73</v>
      </c>
      <c r="B269" s="19" t="s">
        <v>295</v>
      </c>
      <c r="C269" s="19"/>
      <c r="D269" s="24" t="s">
        <v>288</v>
      </c>
      <c r="E269" s="94">
        <v>11.5</v>
      </c>
      <c r="F269" s="21">
        <v>15</v>
      </c>
      <c r="G269" s="21">
        <f t="shared" si="16"/>
        <v>3.5</v>
      </c>
      <c r="H269" s="8" t="s">
        <v>42</v>
      </c>
      <c r="I269" s="23"/>
      <c r="J269" s="81">
        <f t="shared" si="17"/>
        <v>0.23333333333333334</v>
      </c>
      <c r="K269" s="74">
        <v>43638</v>
      </c>
    </row>
    <row r="270" spans="1:11">
      <c r="A270" s="8">
        <v>107</v>
      </c>
      <c r="B270" s="19" t="s">
        <v>299</v>
      </c>
      <c r="C270" s="19"/>
      <c r="D270" s="24" t="s">
        <v>288</v>
      </c>
      <c r="E270" s="94">
        <v>3.5</v>
      </c>
      <c r="F270" s="21">
        <v>5</v>
      </c>
      <c r="G270" s="21">
        <f t="shared" si="16"/>
        <v>1.5</v>
      </c>
      <c r="H270" s="8" t="s">
        <v>42</v>
      </c>
      <c r="I270" s="23"/>
      <c r="J270" s="81">
        <f t="shared" si="17"/>
        <v>0.3</v>
      </c>
      <c r="K270" s="74">
        <v>43638</v>
      </c>
    </row>
    <row r="271" spans="1:11">
      <c r="A271" s="8">
        <v>109</v>
      </c>
      <c r="B271" s="19" t="s">
        <v>300</v>
      </c>
      <c r="C271" s="19"/>
      <c r="D271" s="24" t="s">
        <v>288</v>
      </c>
      <c r="E271" s="94">
        <v>5</v>
      </c>
      <c r="F271" s="21">
        <v>7</v>
      </c>
      <c r="G271" s="21">
        <f t="shared" si="16"/>
        <v>2</v>
      </c>
      <c r="H271" s="8" t="s">
        <v>42</v>
      </c>
      <c r="I271" s="23"/>
      <c r="J271" s="81">
        <f t="shared" si="17"/>
        <v>0.2857142857142857</v>
      </c>
      <c r="K271" s="74">
        <v>43638</v>
      </c>
    </row>
    <row r="272" spans="1:11">
      <c r="A272" s="8">
        <v>112</v>
      </c>
      <c r="B272" s="19" t="s">
        <v>442</v>
      </c>
      <c r="C272" s="19"/>
      <c r="D272" s="24" t="s">
        <v>288</v>
      </c>
      <c r="E272" s="94">
        <v>5</v>
      </c>
      <c r="F272" s="21">
        <v>7</v>
      </c>
      <c r="G272" s="21">
        <f t="shared" si="16"/>
        <v>2</v>
      </c>
      <c r="H272" s="8" t="s">
        <v>42</v>
      </c>
      <c r="I272" s="23"/>
      <c r="J272" s="81">
        <f t="shared" si="17"/>
        <v>0.2857142857142857</v>
      </c>
      <c r="K272" s="74">
        <v>43638</v>
      </c>
    </row>
    <row r="273" spans="1:11">
      <c r="A273" s="8">
        <v>114</v>
      </c>
      <c r="B273" s="19" t="s">
        <v>443</v>
      </c>
      <c r="C273" s="19"/>
      <c r="D273" s="24" t="s">
        <v>288</v>
      </c>
      <c r="E273" s="94">
        <v>4.5</v>
      </c>
      <c r="F273" s="21">
        <v>6</v>
      </c>
      <c r="G273" s="21">
        <f t="shared" si="16"/>
        <v>1.5</v>
      </c>
      <c r="H273" s="8" t="s">
        <v>42</v>
      </c>
      <c r="I273" s="23"/>
      <c r="J273" s="81">
        <f t="shared" si="17"/>
        <v>0.25</v>
      </c>
      <c r="K273" s="74">
        <v>43638</v>
      </c>
    </row>
    <row r="274" spans="1:11">
      <c r="A274" s="8">
        <v>122</v>
      </c>
      <c r="B274" s="19" t="s">
        <v>529</v>
      </c>
      <c r="C274" s="19"/>
      <c r="D274" s="24" t="s">
        <v>288</v>
      </c>
      <c r="E274" s="94">
        <v>24</v>
      </c>
      <c r="F274" s="21">
        <v>35</v>
      </c>
      <c r="G274" s="21">
        <f t="shared" si="16"/>
        <v>11</v>
      </c>
      <c r="H274" s="8" t="s">
        <v>42</v>
      </c>
      <c r="I274" s="23"/>
      <c r="J274" s="81">
        <f t="shared" si="17"/>
        <v>0.31428571428571428</v>
      </c>
      <c r="K274" s="74">
        <v>43638</v>
      </c>
    </row>
    <row r="275" spans="1:11">
      <c r="A275" s="8">
        <v>123</v>
      </c>
      <c r="B275" s="19" t="s">
        <v>529</v>
      </c>
      <c r="C275" s="19"/>
      <c r="D275" s="24" t="s">
        <v>288</v>
      </c>
      <c r="E275" s="94">
        <v>24</v>
      </c>
      <c r="F275" s="21">
        <v>35</v>
      </c>
      <c r="G275" s="21">
        <f t="shared" si="16"/>
        <v>11</v>
      </c>
      <c r="H275" s="8" t="s">
        <v>42</v>
      </c>
      <c r="I275" s="23"/>
      <c r="J275" s="81">
        <f t="shared" si="17"/>
        <v>0.31428571428571428</v>
      </c>
      <c r="K275" s="74">
        <v>43638</v>
      </c>
    </row>
    <row r="276" spans="1:11">
      <c r="A276" s="8">
        <v>124</v>
      </c>
      <c r="B276" s="19" t="s">
        <v>529</v>
      </c>
      <c r="C276" s="19"/>
      <c r="D276" s="24" t="s">
        <v>288</v>
      </c>
      <c r="E276" s="94">
        <v>24</v>
      </c>
      <c r="F276" s="21">
        <v>35</v>
      </c>
      <c r="G276" s="21">
        <f t="shared" si="16"/>
        <v>11</v>
      </c>
      <c r="H276" s="8" t="s">
        <v>42</v>
      </c>
      <c r="I276" s="23"/>
      <c r="J276" s="81">
        <f t="shared" si="17"/>
        <v>0.31428571428571428</v>
      </c>
      <c r="K276" s="74">
        <v>43638</v>
      </c>
    </row>
    <row r="277" spans="1:11">
      <c r="A277" s="8">
        <v>55</v>
      </c>
      <c r="B277" s="19" t="s">
        <v>267</v>
      </c>
      <c r="C277" s="19"/>
      <c r="D277" s="24" t="s">
        <v>444</v>
      </c>
      <c r="E277" s="94">
        <v>23.5</v>
      </c>
      <c r="F277" s="21">
        <v>70</v>
      </c>
      <c r="G277" s="21">
        <f t="shared" si="16"/>
        <v>46.5</v>
      </c>
      <c r="H277" s="8" t="s">
        <v>42</v>
      </c>
      <c r="I277" s="23"/>
      <c r="J277" s="81">
        <f t="shared" si="17"/>
        <v>0.66428571428571426</v>
      </c>
      <c r="K277" s="74">
        <v>43639</v>
      </c>
    </row>
    <row r="278" spans="1:11">
      <c r="A278" s="8">
        <v>38</v>
      </c>
      <c r="B278" s="19" t="s">
        <v>445</v>
      </c>
      <c r="C278" s="19"/>
      <c r="D278" s="24" t="s">
        <v>305</v>
      </c>
      <c r="E278" s="94">
        <v>15</v>
      </c>
      <c r="F278" s="21">
        <v>30</v>
      </c>
      <c r="G278" s="21">
        <f t="shared" si="16"/>
        <v>15</v>
      </c>
      <c r="H278" s="8" t="s">
        <v>42</v>
      </c>
      <c r="I278" s="23"/>
      <c r="J278" s="81">
        <f t="shared" si="17"/>
        <v>0.5</v>
      </c>
      <c r="K278" s="74">
        <v>43640</v>
      </c>
    </row>
    <row r="279" spans="1:11">
      <c r="A279" s="8">
        <v>71</v>
      </c>
      <c r="B279" s="19" t="s">
        <v>256</v>
      </c>
      <c r="C279" s="19"/>
      <c r="D279" s="24" t="s">
        <v>288</v>
      </c>
      <c r="E279" s="94">
        <v>22</v>
      </c>
      <c r="F279" s="21">
        <v>40</v>
      </c>
      <c r="G279" s="21">
        <f t="shared" si="16"/>
        <v>18</v>
      </c>
      <c r="H279" s="8" t="s">
        <v>42</v>
      </c>
      <c r="I279" s="23"/>
      <c r="J279" s="81">
        <f t="shared" si="17"/>
        <v>0.45</v>
      </c>
      <c r="K279" s="74">
        <v>43640</v>
      </c>
    </row>
    <row r="280" spans="1:11">
      <c r="A280" s="8">
        <v>125</v>
      </c>
      <c r="B280" s="19" t="s">
        <v>529</v>
      </c>
      <c r="C280" s="19"/>
      <c r="D280" s="24" t="s">
        <v>288</v>
      </c>
      <c r="E280" s="94">
        <v>24</v>
      </c>
      <c r="F280" s="21">
        <v>35</v>
      </c>
      <c r="G280" s="21">
        <f t="shared" si="16"/>
        <v>11</v>
      </c>
      <c r="H280" s="8" t="s">
        <v>42</v>
      </c>
      <c r="I280" s="23"/>
      <c r="J280" s="81">
        <f t="shared" si="17"/>
        <v>0.31428571428571428</v>
      </c>
      <c r="K280" s="74">
        <v>43640</v>
      </c>
    </row>
    <row r="281" spans="1:11">
      <c r="A281" s="8">
        <v>56</v>
      </c>
      <c r="B281" s="19" t="s">
        <v>267</v>
      </c>
      <c r="C281" s="19"/>
      <c r="D281" s="24" t="s">
        <v>446</v>
      </c>
      <c r="E281" s="94">
        <v>23.5</v>
      </c>
      <c r="F281" s="21">
        <v>60</v>
      </c>
      <c r="G281" s="21">
        <f t="shared" si="16"/>
        <v>36.5</v>
      </c>
      <c r="H281" s="8" t="s">
        <v>42</v>
      </c>
      <c r="I281" s="23"/>
      <c r="J281" s="81">
        <f t="shared" si="17"/>
        <v>0.60833333333333328</v>
      </c>
      <c r="K281" s="74">
        <v>43642</v>
      </c>
    </row>
    <row r="282" spans="1:11">
      <c r="A282" s="8">
        <v>84</v>
      </c>
      <c r="B282" s="19" t="s">
        <v>447</v>
      </c>
      <c r="C282" s="19"/>
      <c r="D282" s="24" t="s">
        <v>322</v>
      </c>
      <c r="E282" s="94">
        <v>2</v>
      </c>
      <c r="F282" s="21">
        <v>10</v>
      </c>
      <c r="G282" s="21">
        <f t="shared" si="16"/>
        <v>8</v>
      </c>
      <c r="H282" s="8" t="s">
        <v>42</v>
      </c>
      <c r="I282" s="23"/>
      <c r="J282" s="81">
        <f t="shared" si="17"/>
        <v>0.8</v>
      </c>
      <c r="K282" s="74">
        <v>43642</v>
      </c>
    </row>
    <row r="283" spans="1:11">
      <c r="A283" s="8">
        <v>86</v>
      </c>
      <c r="B283" s="19" t="s">
        <v>448</v>
      </c>
      <c r="C283" s="19"/>
      <c r="D283" s="24" t="s">
        <v>449</v>
      </c>
      <c r="E283" s="94">
        <v>5</v>
      </c>
      <c r="F283" s="21">
        <v>15</v>
      </c>
      <c r="G283" s="21">
        <f t="shared" si="16"/>
        <v>10</v>
      </c>
      <c r="H283" s="8" t="s">
        <v>42</v>
      </c>
      <c r="I283" s="23"/>
      <c r="J283" s="81">
        <f t="shared" si="17"/>
        <v>0.66666666666666663</v>
      </c>
      <c r="K283" s="74">
        <v>43642</v>
      </c>
    </row>
    <row r="284" spans="1:11">
      <c r="A284" s="8">
        <v>61</v>
      </c>
      <c r="B284" s="19" t="s">
        <v>308</v>
      </c>
      <c r="C284" s="19"/>
      <c r="D284" s="24" t="s">
        <v>450</v>
      </c>
      <c r="E284" s="94">
        <v>15</v>
      </c>
      <c r="F284" s="21">
        <v>25</v>
      </c>
      <c r="G284" s="21">
        <f t="shared" si="16"/>
        <v>10</v>
      </c>
      <c r="H284" s="8" t="s">
        <v>42</v>
      </c>
      <c r="I284" s="23"/>
      <c r="J284" s="81">
        <f t="shared" si="17"/>
        <v>0.4</v>
      </c>
      <c r="K284" s="74">
        <v>43643</v>
      </c>
    </row>
    <row r="285" spans="1:11">
      <c r="A285" s="8">
        <v>62</v>
      </c>
      <c r="B285" s="19" t="s">
        <v>308</v>
      </c>
      <c r="C285" s="19"/>
      <c r="D285" s="24" t="s">
        <v>450</v>
      </c>
      <c r="E285" s="94">
        <v>15</v>
      </c>
      <c r="F285" s="21">
        <v>25</v>
      </c>
      <c r="G285" s="21">
        <f t="shared" si="16"/>
        <v>10</v>
      </c>
      <c r="H285" s="8" t="s">
        <v>42</v>
      </c>
      <c r="I285" s="23"/>
      <c r="J285" s="81">
        <f t="shared" si="17"/>
        <v>0.4</v>
      </c>
      <c r="K285" s="74">
        <v>43643</v>
      </c>
    </row>
    <row r="286" spans="1:11">
      <c r="A286" s="8">
        <v>68</v>
      </c>
      <c r="B286" s="63" t="s">
        <v>155</v>
      </c>
      <c r="C286" s="63"/>
      <c r="D286" s="24" t="s">
        <v>339</v>
      </c>
      <c r="E286" s="94">
        <v>16</v>
      </c>
      <c r="F286" s="21">
        <v>30</v>
      </c>
      <c r="G286" s="21">
        <f t="shared" si="16"/>
        <v>14</v>
      </c>
      <c r="H286" s="8" t="s">
        <v>42</v>
      </c>
      <c r="I286" s="23"/>
      <c r="J286" s="81">
        <f t="shared" si="17"/>
        <v>0.46666666666666667</v>
      </c>
      <c r="K286" s="74">
        <v>43643</v>
      </c>
    </row>
    <row r="287" spans="1:11">
      <c r="A287" s="8">
        <v>85</v>
      </c>
      <c r="B287" s="19" t="s">
        <v>451</v>
      </c>
      <c r="C287" s="19"/>
      <c r="D287" s="24" t="s">
        <v>339</v>
      </c>
      <c r="E287" s="94">
        <v>5</v>
      </c>
      <c r="F287" s="21">
        <v>20</v>
      </c>
      <c r="G287" s="21">
        <f t="shared" si="16"/>
        <v>15</v>
      </c>
      <c r="H287" s="8" t="s">
        <v>42</v>
      </c>
      <c r="I287" s="23"/>
      <c r="J287" s="81">
        <f t="shared" si="17"/>
        <v>0.75</v>
      </c>
      <c r="K287" s="74">
        <v>43643</v>
      </c>
    </row>
    <row r="288" spans="1:11">
      <c r="A288" s="8">
        <v>108</v>
      </c>
      <c r="B288" s="19" t="s">
        <v>299</v>
      </c>
      <c r="C288" s="19"/>
      <c r="D288" s="24" t="s">
        <v>288</v>
      </c>
      <c r="E288" s="94">
        <v>3.5</v>
      </c>
      <c r="F288" s="21">
        <v>5</v>
      </c>
      <c r="G288" s="21">
        <f t="shared" si="16"/>
        <v>1.5</v>
      </c>
      <c r="H288" s="8" t="s">
        <v>42</v>
      </c>
      <c r="I288" s="23"/>
      <c r="J288" s="81">
        <f t="shared" si="17"/>
        <v>0.3</v>
      </c>
      <c r="K288" s="74">
        <v>43643</v>
      </c>
    </row>
    <row r="289" spans="1:11">
      <c r="A289" s="8">
        <v>126</v>
      </c>
      <c r="B289" s="19" t="s">
        <v>529</v>
      </c>
      <c r="C289" s="19"/>
      <c r="D289" s="24" t="s">
        <v>449</v>
      </c>
      <c r="E289" s="94">
        <v>24</v>
      </c>
      <c r="F289" s="21">
        <v>35</v>
      </c>
      <c r="G289" s="21">
        <f t="shared" si="16"/>
        <v>11</v>
      </c>
      <c r="H289" s="8" t="s">
        <v>42</v>
      </c>
      <c r="I289" s="23"/>
      <c r="J289" s="81">
        <f t="shared" si="17"/>
        <v>0.31428571428571428</v>
      </c>
      <c r="K289" s="74">
        <v>43643</v>
      </c>
    </row>
    <row r="290" spans="1:11">
      <c r="A290" s="8">
        <v>127</v>
      </c>
      <c r="B290" s="19" t="s">
        <v>529</v>
      </c>
      <c r="C290" s="19"/>
      <c r="D290" s="24" t="s">
        <v>288</v>
      </c>
      <c r="E290" s="94">
        <v>24</v>
      </c>
      <c r="F290" s="21">
        <v>35</v>
      </c>
      <c r="G290" s="21">
        <f t="shared" si="16"/>
        <v>11</v>
      </c>
      <c r="H290" s="8" t="s">
        <v>42</v>
      </c>
      <c r="I290" s="23"/>
      <c r="J290" s="81">
        <f t="shared" si="17"/>
        <v>0.31428571428571428</v>
      </c>
      <c r="K290" s="74">
        <v>43643</v>
      </c>
    </row>
    <row r="291" spans="1:11">
      <c r="A291" s="8">
        <v>128</v>
      </c>
      <c r="B291" s="19" t="s">
        <v>529</v>
      </c>
      <c r="C291" s="19"/>
      <c r="D291" s="24" t="s">
        <v>288</v>
      </c>
      <c r="E291" s="94">
        <v>24</v>
      </c>
      <c r="F291" s="21">
        <v>35</v>
      </c>
      <c r="G291" s="21">
        <f t="shared" si="16"/>
        <v>11</v>
      </c>
      <c r="H291" s="8" t="s">
        <v>42</v>
      </c>
      <c r="I291" s="23"/>
      <c r="J291" s="81">
        <f t="shared" si="17"/>
        <v>0.31428571428571428</v>
      </c>
      <c r="K291" s="74">
        <v>43643</v>
      </c>
    </row>
    <row r="292" spans="1:11">
      <c r="A292" s="8">
        <v>129</v>
      </c>
      <c r="B292" s="19" t="s">
        <v>529</v>
      </c>
      <c r="C292" s="19"/>
      <c r="D292" s="24" t="s">
        <v>288</v>
      </c>
      <c r="E292" s="94">
        <v>24</v>
      </c>
      <c r="F292" s="21">
        <v>35</v>
      </c>
      <c r="G292" s="21">
        <f t="shared" si="16"/>
        <v>11</v>
      </c>
      <c r="H292" s="8" t="s">
        <v>42</v>
      </c>
      <c r="I292" s="23"/>
      <c r="J292" s="81">
        <f t="shared" si="17"/>
        <v>0.31428571428571428</v>
      </c>
      <c r="K292" s="74">
        <v>43643</v>
      </c>
    </row>
    <row r="293" spans="1:11">
      <c r="A293" s="8">
        <v>132</v>
      </c>
      <c r="B293" s="83" t="s">
        <v>452</v>
      </c>
      <c r="C293" s="83"/>
      <c r="D293" s="24" t="s">
        <v>36</v>
      </c>
      <c r="E293" s="94">
        <v>36.4</v>
      </c>
      <c r="F293" s="21">
        <v>100</v>
      </c>
      <c r="G293" s="21">
        <f t="shared" si="16"/>
        <v>63.6</v>
      </c>
      <c r="H293" s="8" t="s">
        <v>42</v>
      </c>
      <c r="I293" s="23"/>
      <c r="J293" s="81"/>
      <c r="K293" s="74">
        <v>43644</v>
      </c>
    </row>
    <row r="294" spans="1:11">
      <c r="A294" s="8">
        <v>133</v>
      </c>
      <c r="B294" s="83" t="s">
        <v>92</v>
      </c>
      <c r="C294" s="83"/>
      <c r="D294" s="24" t="s">
        <v>319</v>
      </c>
      <c r="E294" s="94">
        <v>23.13</v>
      </c>
      <c r="F294" s="21">
        <v>98.01</v>
      </c>
      <c r="G294" s="21">
        <f t="shared" si="16"/>
        <v>74.88000000000001</v>
      </c>
      <c r="H294" s="8" t="s">
        <v>42</v>
      </c>
      <c r="I294" s="23"/>
      <c r="J294" s="81">
        <f t="shared" ref="J294:J317" si="18">SUM(F294-E294)/F294</f>
        <v>0.76400367309458228</v>
      </c>
      <c r="K294" s="74">
        <v>43644</v>
      </c>
    </row>
    <row r="295" spans="1:11">
      <c r="A295" s="8">
        <v>136</v>
      </c>
      <c r="B295" s="19" t="s">
        <v>529</v>
      </c>
      <c r="C295" s="19"/>
      <c r="D295" s="24" t="s">
        <v>288</v>
      </c>
      <c r="E295" s="94">
        <v>24</v>
      </c>
      <c r="F295" s="21">
        <v>35</v>
      </c>
      <c r="G295" s="21">
        <f t="shared" si="16"/>
        <v>11</v>
      </c>
      <c r="H295" s="8" t="s">
        <v>42</v>
      </c>
      <c r="I295" s="23"/>
      <c r="J295" s="81">
        <f t="shared" si="18"/>
        <v>0.31428571428571428</v>
      </c>
      <c r="K295" s="74">
        <v>43644</v>
      </c>
    </row>
    <row r="296" spans="1:11">
      <c r="A296" s="8">
        <v>137</v>
      </c>
      <c r="B296" s="19" t="s">
        <v>529</v>
      </c>
      <c r="C296" s="19"/>
      <c r="D296" s="24" t="s">
        <v>288</v>
      </c>
      <c r="E296" s="94">
        <v>24</v>
      </c>
      <c r="F296" s="21">
        <v>35</v>
      </c>
      <c r="G296" s="21">
        <f t="shared" si="16"/>
        <v>11</v>
      </c>
      <c r="H296" s="8" t="s">
        <v>42</v>
      </c>
      <c r="I296" s="23"/>
      <c r="J296" s="81">
        <f t="shared" si="18"/>
        <v>0.31428571428571428</v>
      </c>
      <c r="K296" s="74">
        <v>43644</v>
      </c>
    </row>
    <row r="297" spans="1:11">
      <c r="A297" s="8">
        <v>138</v>
      </c>
      <c r="B297" s="19" t="s">
        <v>529</v>
      </c>
      <c r="C297" s="19"/>
      <c r="D297" s="24" t="s">
        <v>288</v>
      </c>
      <c r="E297" s="94">
        <v>24</v>
      </c>
      <c r="F297" s="21">
        <v>35</v>
      </c>
      <c r="G297" s="21">
        <f t="shared" si="16"/>
        <v>11</v>
      </c>
      <c r="H297" s="8" t="s">
        <v>42</v>
      </c>
      <c r="I297" s="23"/>
      <c r="J297" s="81">
        <f t="shared" si="18"/>
        <v>0.31428571428571428</v>
      </c>
      <c r="K297" s="74">
        <v>43644</v>
      </c>
    </row>
    <row r="298" spans="1:11">
      <c r="A298" s="8">
        <v>139</v>
      </c>
      <c r="B298" s="19" t="s">
        <v>529</v>
      </c>
      <c r="C298" s="19"/>
      <c r="D298" s="24" t="s">
        <v>449</v>
      </c>
      <c r="E298" s="94">
        <v>24</v>
      </c>
      <c r="F298" s="21">
        <v>35</v>
      </c>
      <c r="G298" s="21">
        <f t="shared" si="16"/>
        <v>11</v>
      </c>
      <c r="H298" s="8" t="s">
        <v>42</v>
      </c>
      <c r="I298" s="23"/>
      <c r="J298" s="81">
        <f t="shared" si="18"/>
        <v>0.31428571428571428</v>
      </c>
      <c r="K298" s="74">
        <v>43644</v>
      </c>
    </row>
    <row r="299" spans="1:11">
      <c r="A299" s="8">
        <v>140</v>
      </c>
      <c r="B299" s="19" t="s">
        <v>312</v>
      </c>
      <c r="C299" s="19"/>
      <c r="D299" s="24" t="s">
        <v>314</v>
      </c>
      <c r="E299" s="94">
        <v>3.5</v>
      </c>
      <c r="F299" s="21">
        <v>15</v>
      </c>
      <c r="G299" s="21">
        <f t="shared" ref="G299:G320" si="19">F299-E299</f>
        <v>11.5</v>
      </c>
      <c r="H299" s="8" t="s">
        <v>42</v>
      </c>
      <c r="I299" s="23"/>
      <c r="J299" s="81">
        <f t="shared" si="18"/>
        <v>0.76666666666666672</v>
      </c>
      <c r="K299" s="74">
        <v>43644</v>
      </c>
    </row>
    <row r="300" spans="1:11">
      <c r="A300" s="8">
        <v>141</v>
      </c>
      <c r="B300" s="19" t="s">
        <v>453</v>
      </c>
      <c r="C300" s="19"/>
      <c r="D300" s="24" t="s">
        <v>314</v>
      </c>
      <c r="E300" s="94">
        <v>1</v>
      </c>
      <c r="F300" s="21">
        <v>5</v>
      </c>
      <c r="G300" s="21">
        <f t="shared" si="19"/>
        <v>4</v>
      </c>
      <c r="H300" s="8" t="s">
        <v>42</v>
      </c>
      <c r="I300" s="23"/>
      <c r="J300" s="81">
        <f t="shared" si="18"/>
        <v>0.8</v>
      </c>
      <c r="K300" s="74">
        <v>43644</v>
      </c>
    </row>
    <row r="301" spans="1:11">
      <c r="A301" s="8">
        <v>142</v>
      </c>
      <c r="B301" s="19" t="s">
        <v>454</v>
      </c>
      <c r="C301" s="19"/>
      <c r="D301" s="24" t="s">
        <v>455</v>
      </c>
      <c r="E301" s="94">
        <v>1</v>
      </c>
      <c r="F301" s="21">
        <v>7</v>
      </c>
      <c r="G301" s="21">
        <f t="shared" si="19"/>
        <v>6</v>
      </c>
      <c r="H301" s="8" t="s">
        <v>42</v>
      </c>
      <c r="I301" s="23"/>
      <c r="J301" s="81">
        <f t="shared" si="18"/>
        <v>0.8571428571428571</v>
      </c>
      <c r="K301" s="74">
        <v>43644</v>
      </c>
    </row>
    <row r="302" spans="1:11">
      <c r="A302" s="8">
        <v>143</v>
      </c>
      <c r="B302" s="19" t="s">
        <v>316</v>
      </c>
      <c r="C302" s="19"/>
      <c r="D302" s="24" t="s">
        <v>288</v>
      </c>
      <c r="E302" s="94">
        <v>1.5</v>
      </c>
      <c r="F302" s="21">
        <v>3</v>
      </c>
      <c r="G302" s="21">
        <f t="shared" si="19"/>
        <v>1.5</v>
      </c>
      <c r="H302" s="8" t="s">
        <v>42</v>
      </c>
      <c r="I302" s="23"/>
      <c r="J302" s="81">
        <f t="shared" si="18"/>
        <v>0.5</v>
      </c>
      <c r="K302" s="74">
        <v>43644</v>
      </c>
    </row>
    <row r="303" spans="1:11">
      <c r="A303" s="8">
        <v>143</v>
      </c>
      <c r="B303" s="19" t="s">
        <v>316</v>
      </c>
      <c r="C303" s="19"/>
      <c r="D303" s="24" t="s">
        <v>288</v>
      </c>
      <c r="E303" s="94">
        <v>1.5</v>
      </c>
      <c r="F303" s="21">
        <v>3</v>
      </c>
      <c r="G303" s="21">
        <f t="shared" si="19"/>
        <v>1.5</v>
      </c>
      <c r="H303" s="8" t="s">
        <v>42</v>
      </c>
      <c r="I303" s="23"/>
      <c r="J303" s="81">
        <f t="shared" si="18"/>
        <v>0.5</v>
      </c>
      <c r="K303" s="74">
        <v>43644</v>
      </c>
    </row>
    <row r="304" spans="1:11">
      <c r="A304" s="8">
        <v>143</v>
      </c>
      <c r="B304" s="19" t="s">
        <v>316</v>
      </c>
      <c r="C304" s="19"/>
      <c r="D304" s="24" t="s">
        <v>288</v>
      </c>
      <c r="E304" s="94">
        <v>1.5</v>
      </c>
      <c r="F304" s="21">
        <v>3</v>
      </c>
      <c r="G304" s="21">
        <f t="shared" si="19"/>
        <v>1.5</v>
      </c>
      <c r="H304" s="8" t="s">
        <v>42</v>
      </c>
      <c r="I304" s="23"/>
      <c r="J304" s="81">
        <f t="shared" si="18"/>
        <v>0.5</v>
      </c>
      <c r="K304" s="74">
        <v>43644</v>
      </c>
    </row>
    <row r="305" spans="1:11">
      <c r="A305" s="8">
        <v>143</v>
      </c>
      <c r="B305" s="19" t="s">
        <v>316</v>
      </c>
      <c r="C305" s="19"/>
      <c r="D305" s="24" t="s">
        <v>288</v>
      </c>
      <c r="E305" s="94">
        <v>1.5</v>
      </c>
      <c r="F305" s="21">
        <v>3</v>
      </c>
      <c r="G305" s="21">
        <f t="shared" si="19"/>
        <v>1.5</v>
      </c>
      <c r="H305" s="8" t="s">
        <v>42</v>
      </c>
      <c r="I305" s="23"/>
      <c r="J305" s="81">
        <f t="shared" si="18"/>
        <v>0.5</v>
      </c>
      <c r="K305" s="74">
        <v>43644</v>
      </c>
    </row>
    <row r="306" spans="1:11">
      <c r="A306" s="8">
        <v>143</v>
      </c>
      <c r="B306" s="19" t="s">
        <v>316</v>
      </c>
      <c r="C306" s="19"/>
      <c r="D306" s="24" t="s">
        <v>449</v>
      </c>
      <c r="E306" s="94">
        <v>1.5</v>
      </c>
      <c r="F306" s="21">
        <v>3</v>
      </c>
      <c r="G306" s="21">
        <f t="shared" si="19"/>
        <v>1.5</v>
      </c>
      <c r="H306" s="8" t="s">
        <v>42</v>
      </c>
      <c r="I306" s="23"/>
      <c r="J306" s="81">
        <f t="shared" si="18"/>
        <v>0.5</v>
      </c>
      <c r="K306" s="74">
        <v>43644</v>
      </c>
    </row>
    <row r="307" spans="1:11">
      <c r="A307" s="8">
        <v>143</v>
      </c>
      <c r="B307" s="19" t="s">
        <v>316</v>
      </c>
      <c r="C307" s="19"/>
      <c r="D307" s="24" t="s">
        <v>449</v>
      </c>
      <c r="E307" s="94">
        <v>1.5</v>
      </c>
      <c r="F307" s="21">
        <v>3</v>
      </c>
      <c r="G307" s="21">
        <f t="shared" si="19"/>
        <v>1.5</v>
      </c>
      <c r="H307" s="8" t="s">
        <v>42</v>
      </c>
      <c r="I307" s="23"/>
      <c r="J307" s="81">
        <f t="shared" si="18"/>
        <v>0.5</v>
      </c>
      <c r="K307" s="74">
        <v>43644</v>
      </c>
    </row>
    <row r="308" spans="1:11">
      <c r="A308" s="8">
        <v>143</v>
      </c>
      <c r="B308" s="19" t="s">
        <v>105</v>
      </c>
      <c r="C308" s="19"/>
      <c r="D308" s="24" t="s">
        <v>288</v>
      </c>
      <c r="E308" s="94">
        <v>1.4</v>
      </c>
      <c r="F308" s="21">
        <v>3</v>
      </c>
      <c r="G308" s="21">
        <f t="shared" si="19"/>
        <v>1.6</v>
      </c>
      <c r="H308" s="8" t="s">
        <v>42</v>
      </c>
      <c r="I308" s="23"/>
      <c r="J308" s="81">
        <f t="shared" si="18"/>
        <v>0.53333333333333333</v>
      </c>
      <c r="K308" s="74">
        <v>43644</v>
      </c>
    </row>
    <row r="309" spans="1:11">
      <c r="A309" s="8">
        <v>143</v>
      </c>
      <c r="B309" s="19" t="s">
        <v>105</v>
      </c>
      <c r="C309" s="19"/>
      <c r="D309" s="24" t="s">
        <v>288</v>
      </c>
      <c r="E309" s="94">
        <v>1.4</v>
      </c>
      <c r="F309" s="21">
        <v>3</v>
      </c>
      <c r="G309" s="21">
        <f t="shared" si="19"/>
        <v>1.6</v>
      </c>
      <c r="H309" s="8" t="s">
        <v>42</v>
      </c>
      <c r="I309" s="23"/>
      <c r="J309" s="81">
        <f t="shared" si="18"/>
        <v>0.53333333333333333</v>
      </c>
      <c r="K309" s="74">
        <v>43644</v>
      </c>
    </row>
    <row r="310" spans="1:11">
      <c r="A310" s="8">
        <v>143</v>
      </c>
      <c r="B310" s="19" t="s">
        <v>105</v>
      </c>
      <c r="C310" s="19"/>
      <c r="D310" s="24" t="s">
        <v>288</v>
      </c>
      <c r="E310" s="94">
        <v>1.4</v>
      </c>
      <c r="F310" s="21">
        <v>3</v>
      </c>
      <c r="G310" s="21">
        <f t="shared" si="19"/>
        <v>1.6</v>
      </c>
      <c r="H310" s="8" t="s">
        <v>42</v>
      </c>
      <c r="I310" s="23"/>
      <c r="J310" s="81">
        <f t="shared" si="18"/>
        <v>0.53333333333333333</v>
      </c>
      <c r="K310" s="74">
        <v>43644</v>
      </c>
    </row>
    <row r="311" spans="1:11">
      <c r="A311" s="8">
        <v>143</v>
      </c>
      <c r="B311" s="19" t="s">
        <v>317</v>
      </c>
      <c r="C311" s="19"/>
      <c r="D311" s="24" t="s">
        <v>288</v>
      </c>
      <c r="E311" s="94">
        <v>4.5</v>
      </c>
      <c r="F311" s="21">
        <v>7</v>
      </c>
      <c r="G311" s="21">
        <f t="shared" si="19"/>
        <v>2.5</v>
      </c>
      <c r="H311" s="8" t="s">
        <v>42</v>
      </c>
      <c r="I311" s="23"/>
      <c r="J311" s="81">
        <f t="shared" si="18"/>
        <v>0.35714285714285715</v>
      </c>
      <c r="K311" s="74">
        <v>43644</v>
      </c>
    </row>
    <row r="312" spans="1:11">
      <c r="A312" s="8">
        <v>143</v>
      </c>
      <c r="B312" s="19" t="s">
        <v>317</v>
      </c>
      <c r="C312" s="19"/>
      <c r="D312" s="24" t="s">
        <v>288</v>
      </c>
      <c r="E312" s="94">
        <v>4.5</v>
      </c>
      <c r="F312" s="21">
        <v>7</v>
      </c>
      <c r="G312" s="21">
        <f t="shared" si="19"/>
        <v>2.5</v>
      </c>
      <c r="H312" s="8" t="s">
        <v>42</v>
      </c>
      <c r="I312" s="23"/>
      <c r="J312" s="81">
        <f t="shared" si="18"/>
        <v>0.35714285714285715</v>
      </c>
      <c r="K312" s="74">
        <v>43644</v>
      </c>
    </row>
    <row r="313" spans="1:11">
      <c r="A313" s="8">
        <v>143</v>
      </c>
      <c r="B313" s="19" t="s">
        <v>456</v>
      </c>
      <c r="C313" s="19"/>
      <c r="D313" s="24" t="s">
        <v>288</v>
      </c>
      <c r="E313" s="94">
        <v>1.5</v>
      </c>
      <c r="F313" s="21">
        <v>3</v>
      </c>
      <c r="G313" s="21">
        <f t="shared" si="19"/>
        <v>1.5</v>
      </c>
      <c r="H313" s="8" t="s">
        <v>42</v>
      </c>
      <c r="I313" s="23"/>
      <c r="J313" s="81">
        <f t="shared" si="18"/>
        <v>0.5</v>
      </c>
      <c r="K313" s="74">
        <v>43644</v>
      </c>
    </row>
    <row r="314" spans="1:11">
      <c r="A314" s="8">
        <v>143</v>
      </c>
      <c r="B314" s="19" t="s">
        <v>456</v>
      </c>
      <c r="C314" s="19"/>
      <c r="D314" s="24" t="s">
        <v>288</v>
      </c>
      <c r="E314" s="94">
        <v>1.5</v>
      </c>
      <c r="F314" s="21">
        <v>3</v>
      </c>
      <c r="G314" s="21">
        <f t="shared" si="19"/>
        <v>1.5</v>
      </c>
      <c r="H314" s="8" t="s">
        <v>42</v>
      </c>
      <c r="I314" s="23"/>
      <c r="J314" s="81">
        <f t="shared" si="18"/>
        <v>0.5</v>
      </c>
      <c r="K314" s="74">
        <v>43644</v>
      </c>
    </row>
    <row r="315" spans="1:11">
      <c r="A315" s="8">
        <v>143</v>
      </c>
      <c r="B315" s="19" t="s">
        <v>321</v>
      </c>
      <c r="C315" s="19"/>
      <c r="D315" s="24" t="s">
        <v>450</v>
      </c>
      <c r="E315" s="94">
        <v>5</v>
      </c>
      <c r="F315" s="21">
        <v>13</v>
      </c>
      <c r="G315" s="21">
        <f t="shared" si="19"/>
        <v>8</v>
      </c>
      <c r="H315" s="8" t="s">
        <v>42</v>
      </c>
      <c r="I315" s="23"/>
      <c r="J315" s="81">
        <f t="shared" si="18"/>
        <v>0.61538461538461542</v>
      </c>
      <c r="K315" s="74">
        <v>43644</v>
      </c>
    </row>
    <row r="316" spans="1:11">
      <c r="A316" s="8">
        <v>7</v>
      </c>
      <c r="B316" s="19" t="s">
        <v>267</v>
      </c>
      <c r="C316" s="19"/>
      <c r="D316" s="24" t="s">
        <v>314</v>
      </c>
      <c r="E316" s="94">
        <v>23.5</v>
      </c>
      <c r="F316" s="21">
        <v>50</v>
      </c>
      <c r="G316" s="21">
        <f t="shared" si="19"/>
        <v>26.5</v>
      </c>
      <c r="H316" s="8" t="s">
        <v>42</v>
      </c>
      <c r="I316" s="23"/>
      <c r="J316" s="81">
        <f t="shared" si="18"/>
        <v>0.53</v>
      </c>
      <c r="K316" s="74">
        <v>43644</v>
      </c>
    </row>
    <row r="317" spans="1:11">
      <c r="A317" s="8">
        <v>20</v>
      </c>
      <c r="B317" s="83" t="s">
        <v>260</v>
      </c>
      <c r="C317" s="83"/>
      <c r="D317" s="24" t="s">
        <v>314</v>
      </c>
      <c r="E317" s="94">
        <v>20</v>
      </c>
      <c r="F317" s="21">
        <v>80</v>
      </c>
      <c r="G317" s="21">
        <f t="shared" si="19"/>
        <v>60</v>
      </c>
      <c r="H317" s="8" t="s">
        <v>42</v>
      </c>
      <c r="I317" s="23"/>
      <c r="J317" s="81">
        <f t="shared" si="18"/>
        <v>0.75</v>
      </c>
      <c r="K317" s="74">
        <v>43644</v>
      </c>
    </row>
    <row r="318" spans="1:11">
      <c r="A318" s="8">
        <v>143</v>
      </c>
      <c r="B318" s="19" t="s">
        <v>267</v>
      </c>
      <c r="C318" s="19"/>
      <c r="D318" s="24" t="s">
        <v>324</v>
      </c>
      <c r="E318" s="94">
        <v>23.5</v>
      </c>
      <c r="F318" s="21">
        <v>55</v>
      </c>
      <c r="G318" s="21">
        <f t="shared" si="19"/>
        <v>31.5</v>
      </c>
      <c r="H318" s="8" t="s">
        <v>42</v>
      </c>
      <c r="I318" s="23"/>
      <c r="J318" s="81"/>
      <c r="K318" s="74">
        <v>43645</v>
      </c>
    </row>
    <row r="319" spans="1:11">
      <c r="A319" s="8">
        <v>143</v>
      </c>
      <c r="B319" s="19" t="s">
        <v>267</v>
      </c>
      <c r="C319" s="19"/>
      <c r="D319" s="24" t="s">
        <v>325</v>
      </c>
      <c r="E319" s="94">
        <v>23.5</v>
      </c>
      <c r="F319" s="21">
        <v>50</v>
      </c>
      <c r="G319" s="21">
        <f t="shared" si="19"/>
        <v>26.5</v>
      </c>
      <c r="H319" s="8" t="s">
        <v>42</v>
      </c>
      <c r="I319" s="23"/>
      <c r="J319" s="81"/>
      <c r="K319" s="74">
        <v>43645</v>
      </c>
    </row>
    <row r="320" spans="1:11">
      <c r="A320" s="8">
        <v>28</v>
      </c>
      <c r="B320" s="19" t="s">
        <v>309</v>
      </c>
      <c r="C320" s="19"/>
      <c r="D320" s="24" t="s">
        <v>272</v>
      </c>
      <c r="E320" s="94">
        <v>5</v>
      </c>
      <c r="F320" s="21">
        <v>15</v>
      </c>
      <c r="G320" s="21">
        <f t="shared" si="19"/>
        <v>10</v>
      </c>
      <c r="H320" s="8" t="s">
        <v>42</v>
      </c>
      <c r="I320" s="23"/>
      <c r="J320" s="81"/>
      <c r="K320" s="74">
        <v>43645</v>
      </c>
    </row>
    <row r="321" spans="1:11">
      <c r="A321" s="8"/>
      <c r="B321" s="19"/>
      <c r="C321" s="19"/>
      <c r="D321" s="24"/>
      <c r="E321" s="94"/>
      <c r="F321" s="21"/>
      <c r="G321" s="21"/>
      <c r="H321" s="8"/>
      <c r="I321" s="23"/>
      <c r="J321" s="81"/>
      <c r="K321" s="17"/>
    </row>
    <row r="322" spans="1:11">
      <c r="A322" s="8"/>
      <c r="B322" s="19"/>
      <c r="C322" s="19"/>
      <c r="D322" s="24"/>
      <c r="E322" s="94"/>
      <c r="F322" s="21"/>
      <c r="G322" s="21"/>
      <c r="H322" s="8"/>
      <c r="I322" s="23"/>
      <c r="J322" s="81"/>
      <c r="K322" s="17"/>
    </row>
    <row r="323" spans="1:11" ht="21">
      <c r="A323" s="162" t="s">
        <v>8</v>
      </c>
      <c r="B323" s="163"/>
      <c r="C323" s="165"/>
      <c r="D323" s="164"/>
      <c r="E323" s="113">
        <f>SUM(E324:E475)</f>
        <v>3060.2299999999996</v>
      </c>
      <c r="F323" s="20">
        <f>SUM(F324:F475)</f>
        <v>5746.5</v>
      </c>
      <c r="G323" s="20">
        <f>SUM(G324:G475)</f>
        <v>2686.27</v>
      </c>
      <c r="H323" s="71">
        <f>COUNTIF(H324:H475,"Vendido")</f>
        <v>150</v>
      </c>
      <c r="I323" s="87">
        <f>SUM(F323-E323)/F323</f>
        <v>0.46746193335073533</v>
      </c>
      <c r="J323" s="87"/>
      <c r="K323" s="27"/>
    </row>
    <row r="324" spans="1:11">
      <c r="A324" s="46">
        <v>1</v>
      </c>
      <c r="B324" s="47" t="s">
        <v>289</v>
      </c>
      <c r="C324" s="47"/>
      <c r="D324" s="40"/>
      <c r="E324" s="102">
        <v>23.5</v>
      </c>
      <c r="F324" s="44">
        <v>35</v>
      </c>
      <c r="G324" s="44">
        <f t="shared" ref="G324:G355" si="20">F324-E324</f>
        <v>11.5</v>
      </c>
      <c r="H324" s="46" t="s">
        <v>42</v>
      </c>
      <c r="I324" s="90"/>
      <c r="J324" s="103">
        <f t="shared" ref="J324:J355" si="21">SUM(F324-E324)/F324</f>
        <v>0.32857142857142857</v>
      </c>
      <c r="K324" s="101">
        <v>43647</v>
      </c>
    </row>
    <row r="325" spans="1:11">
      <c r="A325" s="46">
        <v>2</v>
      </c>
      <c r="B325" s="47" t="s">
        <v>737</v>
      </c>
      <c r="C325" s="47"/>
      <c r="D325" s="40" t="s">
        <v>458</v>
      </c>
      <c r="E325" s="98">
        <v>65</v>
      </c>
      <c r="F325" s="44">
        <v>110</v>
      </c>
      <c r="G325" s="44">
        <f t="shared" si="20"/>
        <v>45</v>
      </c>
      <c r="H325" s="46" t="s">
        <v>42</v>
      </c>
      <c r="I325" s="90"/>
      <c r="J325" s="103">
        <f t="shared" si="21"/>
        <v>0.40909090909090912</v>
      </c>
      <c r="K325" s="101">
        <v>43647</v>
      </c>
    </row>
    <row r="326" spans="1:11">
      <c r="A326" s="46">
        <v>3</v>
      </c>
      <c r="B326" s="47" t="s">
        <v>529</v>
      </c>
      <c r="C326" s="47"/>
      <c r="D326" s="139" t="s">
        <v>332</v>
      </c>
      <c r="E326" s="102">
        <v>24</v>
      </c>
      <c r="F326" s="44">
        <v>35</v>
      </c>
      <c r="G326" s="44">
        <f t="shared" si="20"/>
        <v>11</v>
      </c>
      <c r="H326" s="46" t="s">
        <v>42</v>
      </c>
      <c r="I326" s="90"/>
      <c r="J326" s="103">
        <f t="shared" si="21"/>
        <v>0.31428571428571428</v>
      </c>
      <c r="K326" s="101">
        <v>43647</v>
      </c>
    </row>
    <row r="327" spans="1:11">
      <c r="A327" s="46">
        <v>4</v>
      </c>
      <c r="B327" s="47" t="s">
        <v>529</v>
      </c>
      <c r="C327" s="47"/>
      <c r="D327" s="139" t="s">
        <v>332</v>
      </c>
      <c r="E327" s="102">
        <v>24</v>
      </c>
      <c r="F327" s="44">
        <v>35</v>
      </c>
      <c r="G327" s="44">
        <f t="shared" si="20"/>
        <v>11</v>
      </c>
      <c r="H327" s="46" t="s">
        <v>42</v>
      </c>
      <c r="I327" s="90"/>
      <c r="J327" s="103">
        <f t="shared" si="21"/>
        <v>0.31428571428571428</v>
      </c>
      <c r="K327" s="101">
        <v>43647</v>
      </c>
    </row>
    <row r="328" spans="1:11">
      <c r="A328" s="46">
        <v>5</v>
      </c>
      <c r="B328" s="47" t="s">
        <v>529</v>
      </c>
      <c r="C328" s="47"/>
      <c r="D328" s="139" t="s">
        <v>332</v>
      </c>
      <c r="E328" s="102">
        <v>24</v>
      </c>
      <c r="F328" s="44">
        <v>35</v>
      </c>
      <c r="G328" s="44">
        <f t="shared" si="20"/>
        <v>11</v>
      </c>
      <c r="H328" s="46" t="s">
        <v>42</v>
      </c>
      <c r="I328" s="90"/>
      <c r="J328" s="103">
        <f t="shared" si="21"/>
        <v>0.31428571428571428</v>
      </c>
      <c r="K328" s="101">
        <v>43647</v>
      </c>
    </row>
    <row r="329" spans="1:11">
      <c r="A329" s="46">
        <v>6</v>
      </c>
      <c r="B329" s="47" t="s">
        <v>529</v>
      </c>
      <c r="C329" s="47"/>
      <c r="D329" s="139" t="s">
        <v>332</v>
      </c>
      <c r="E329" s="102">
        <v>24</v>
      </c>
      <c r="F329" s="44">
        <v>35</v>
      </c>
      <c r="G329" s="44">
        <f t="shared" si="20"/>
        <v>11</v>
      </c>
      <c r="H329" s="46" t="s">
        <v>42</v>
      </c>
      <c r="I329" s="90"/>
      <c r="J329" s="103">
        <f t="shared" si="21"/>
        <v>0.31428571428571428</v>
      </c>
      <c r="K329" s="101">
        <v>43647</v>
      </c>
    </row>
    <row r="330" spans="1:11">
      <c r="A330" s="46">
        <v>7</v>
      </c>
      <c r="B330" s="47" t="s">
        <v>182</v>
      </c>
      <c r="C330" s="47"/>
      <c r="D330" s="40" t="s">
        <v>460</v>
      </c>
      <c r="E330" s="102">
        <v>22</v>
      </c>
      <c r="F330" s="44">
        <v>50</v>
      </c>
      <c r="G330" s="44">
        <f t="shared" si="20"/>
        <v>28</v>
      </c>
      <c r="H330" s="46" t="s">
        <v>42</v>
      </c>
      <c r="I330" s="90"/>
      <c r="J330" s="103">
        <f t="shared" si="21"/>
        <v>0.56000000000000005</v>
      </c>
      <c r="K330" s="101">
        <v>43648</v>
      </c>
    </row>
    <row r="331" spans="1:11">
      <c r="A331" s="46">
        <v>8</v>
      </c>
      <c r="B331" s="47" t="s">
        <v>459</v>
      </c>
      <c r="C331" s="47"/>
      <c r="D331" s="139" t="s">
        <v>332</v>
      </c>
      <c r="E331" s="102">
        <v>15</v>
      </c>
      <c r="F331" s="44">
        <f>15*2.5</f>
        <v>37.5</v>
      </c>
      <c r="G331" s="44">
        <f t="shared" si="20"/>
        <v>22.5</v>
      </c>
      <c r="H331" s="46" t="s">
        <v>42</v>
      </c>
      <c r="I331" s="90"/>
      <c r="J331" s="103">
        <f t="shared" si="21"/>
        <v>0.6</v>
      </c>
      <c r="K331" s="101">
        <v>43648</v>
      </c>
    </row>
    <row r="332" spans="1:11">
      <c r="A332" s="46">
        <v>9</v>
      </c>
      <c r="B332" s="47" t="s">
        <v>529</v>
      </c>
      <c r="C332" s="47"/>
      <c r="D332" s="40" t="s">
        <v>461</v>
      </c>
      <c r="E332" s="102">
        <v>24</v>
      </c>
      <c r="F332" s="44">
        <v>55</v>
      </c>
      <c r="G332" s="44">
        <f t="shared" si="20"/>
        <v>31</v>
      </c>
      <c r="H332" s="46" t="s">
        <v>42</v>
      </c>
      <c r="I332" s="90"/>
      <c r="J332" s="103">
        <f t="shared" si="21"/>
        <v>0.5636363636363636</v>
      </c>
      <c r="K332" s="101">
        <v>43648</v>
      </c>
    </row>
    <row r="333" spans="1:11">
      <c r="A333" s="46">
        <v>10</v>
      </c>
      <c r="B333" s="47" t="s">
        <v>529</v>
      </c>
      <c r="C333" s="47"/>
      <c r="D333" s="40" t="s">
        <v>461</v>
      </c>
      <c r="E333" s="102">
        <v>24</v>
      </c>
      <c r="F333" s="44">
        <v>55</v>
      </c>
      <c r="G333" s="44">
        <f t="shared" si="20"/>
        <v>31</v>
      </c>
      <c r="H333" s="46" t="s">
        <v>42</v>
      </c>
      <c r="I333" s="90"/>
      <c r="J333" s="103">
        <f t="shared" si="21"/>
        <v>0.5636363636363636</v>
      </c>
      <c r="K333" s="101">
        <v>43648</v>
      </c>
    </row>
    <row r="334" spans="1:11">
      <c r="A334" s="46">
        <v>11</v>
      </c>
      <c r="B334" s="47" t="s">
        <v>608</v>
      </c>
      <c r="C334" s="47"/>
      <c r="D334" s="139" t="s">
        <v>332</v>
      </c>
      <c r="E334" s="102">
        <v>24</v>
      </c>
      <c r="F334" s="44">
        <v>35</v>
      </c>
      <c r="G334" s="44">
        <f t="shared" si="20"/>
        <v>11</v>
      </c>
      <c r="H334" s="46" t="s">
        <v>42</v>
      </c>
      <c r="I334" s="90"/>
      <c r="J334" s="103">
        <f t="shared" si="21"/>
        <v>0.31428571428571428</v>
      </c>
      <c r="K334" s="101">
        <v>43648</v>
      </c>
    </row>
    <row r="335" spans="1:11">
      <c r="A335" s="46">
        <v>12</v>
      </c>
      <c r="B335" s="47" t="s">
        <v>334</v>
      </c>
      <c r="C335" s="47"/>
      <c r="D335" s="139" t="s">
        <v>332</v>
      </c>
      <c r="E335" s="102">
        <v>3.5</v>
      </c>
      <c r="F335" s="44">
        <v>5</v>
      </c>
      <c r="G335" s="44">
        <f t="shared" si="20"/>
        <v>1.5</v>
      </c>
      <c r="H335" s="46" t="s">
        <v>42</v>
      </c>
      <c r="I335" s="90"/>
      <c r="J335" s="103">
        <f t="shared" si="21"/>
        <v>0.3</v>
      </c>
      <c r="K335" s="101">
        <v>43649</v>
      </c>
    </row>
    <row r="336" spans="1:11">
      <c r="A336" s="46">
        <v>13</v>
      </c>
      <c r="B336" s="47" t="s">
        <v>462</v>
      </c>
      <c r="C336" s="47"/>
      <c r="D336" s="139" t="s">
        <v>332</v>
      </c>
      <c r="E336" s="102">
        <v>1</v>
      </c>
      <c r="F336" s="44">
        <v>2.5</v>
      </c>
      <c r="G336" s="44">
        <f t="shared" si="20"/>
        <v>1.5</v>
      </c>
      <c r="H336" s="46" t="s">
        <v>42</v>
      </c>
      <c r="I336" s="90"/>
      <c r="J336" s="103">
        <f t="shared" si="21"/>
        <v>0.6</v>
      </c>
      <c r="K336" s="101">
        <v>43649</v>
      </c>
    </row>
    <row r="337" spans="1:11">
      <c r="A337" s="46">
        <v>14</v>
      </c>
      <c r="B337" s="47" t="s">
        <v>737</v>
      </c>
      <c r="C337" s="47"/>
      <c r="D337" s="40" t="s">
        <v>333</v>
      </c>
      <c r="E337" s="98">
        <v>65</v>
      </c>
      <c r="F337" s="44">
        <v>100</v>
      </c>
      <c r="G337" s="44">
        <f t="shared" si="20"/>
        <v>35</v>
      </c>
      <c r="H337" s="46" t="s">
        <v>42</v>
      </c>
      <c r="I337" s="90"/>
      <c r="J337" s="103">
        <f t="shared" si="21"/>
        <v>0.35</v>
      </c>
      <c r="K337" s="101">
        <v>43649</v>
      </c>
    </row>
    <row r="338" spans="1:11">
      <c r="A338" s="46">
        <v>15</v>
      </c>
      <c r="B338" s="47" t="s">
        <v>529</v>
      </c>
      <c r="C338" s="47"/>
      <c r="D338" s="139" t="s">
        <v>332</v>
      </c>
      <c r="E338" s="99">
        <v>24</v>
      </c>
      <c r="F338" s="44">
        <v>35</v>
      </c>
      <c r="G338" s="44">
        <f t="shared" si="20"/>
        <v>11</v>
      </c>
      <c r="H338" s="46" t="s">
        <v>42</v>
      </c>
      <c r="I338" s="90"/>
      <c r="J338" s="103">
        <f t="shared" si="21"/>
        <v>0.31428571428571428</v>
      </c>
      <c r="K338" s="101">
        <v>43649</v>
      </c>
    </row>
    <row r="339" spans="1:11">
      <c r="A339" s="46">
        <v>16</v>
      </c>
      <c r="B339" s="93" t="s">
        <v>336</v>
      </c>
      <c r="C339" s="93"/>
      <c r="D339" s="139" t="s">
        <v>288</v>
      </c>
      <c r="E339" s="99">
        <v>4.99</v>
      </c>
      <c r="F339" s="44">
        <v>10</v>
      </c>
      <c r="G339" s="44">
        <f t="shared" si="20"/>
        <v>5.01</v>
      </c>
      <c r="H339" s="46" t="s">
        <v>42</v>
      </c>
      <c r="I339" s="90"/>
      <c r="J339" s="103">
        <f t="shared" si="21"/>
        <v>0.501</v>
      </c>
      <c r="K339" s="101">
        <v>43650</v>
      </c>
    </row>
    <row r="340" spans="1:11">
      <c r="A340" s="46">
        <v>17</v>
      </c>
      <c r="B340" s="93" t="s">
        <v>336</v>
      </c>
      <c r="C340" s="93"/>
      <c r="D340" s="139" t="s">
        <v>288</v>
      </c>
      <c r="E340" s="99">
        <v>4.99</v>
      </c>
      <c r="F340" s="44">
        <v>10</v>
      </c>
      <c r="G340" s="44">
        <f t="shared" si="20"/>
        <v>5.01</v>
      </c>
      <c r="H340" s="46" t="s">
        <v>42</v>
      </c>
      <c r="I340" s="90"/>
      <c r="J340" s="103">
        <f t="shared" si="21"/>
        <v>0.501</v>
      </c>
      <c r="K340" s="101">
        <v>43650</v>
      </c>
    </row>
    <row r="341" spans="1:11">
      <c r="A341" s="46">
        <v>18</v>
      </c>
      <c r="B341" s="47" t="s">
        <v>310</v>
      </c>
      <c r="C341" s="47"/>
      <c r="D341" s="40" t="s">
        <v>339</v>
      </c>
      <c r="E341" s="102">
        <v>2.5</v>
      </c>
      <c r="F341" s="44">
        <v>5</v>
      </c>
      <c r="G341" s="44">
        <f t="shared" si="20"/>
        <v>2.5</v>
      </c>
      <c r="H341" s="46" t="s">
        <v>42</v>
      </c>
      <c r="I341" s="90"/>
      <c r="J341" s="103">
        <f t="shared" si="21"/>
        <v>0.5</v>
      </c>
      <c r="K341" s="101">
        <v>43650</v>
      </c>
    </row>
    <row r="342" spans="1:11">
      <c r="A342" s="46">
        <v>19</v>
      </c>
      <c r="B342" s="93" t="s">
        <v>331</v>
      </c>
      <c r="C342" s="93"/>
      <c r="D342" s="139" t="s">
        <v>288</v>
      </c>
      <c r="E342" s="99">
        <v>13.99</v>
      </c>
      <c r="F342" s="44">
        <v>18</v>
      </c>
      <c r="G342" s="44">
        <f t="shared" si="20"/>
        <v>4.01</v>
      </c>
      <c r="H342" s="46" t="s">
        <v>42</v>
      </c>
      <c r="I342" s="90"/>
      <c r="J342" s="103">
        <f t="shared" si="21"/>
        <v>0.22277777777777777</v>
      </c>
      <c r="K342" s="101">
        <v>43650</v>
      </c>
    </row>
    <row r="343" spans="1:11">
      <c r="A343" s="46">
        <v>20</v>
      </c>
      <c r="B343" s="93" t="s">
        <v>328</v>
      </c>
      <c r="C343" s="93"/>
      <c r="D343" s="139" t="s">
        <v>332</v>
      </c>
      <c r="E343" s="99">
        <v>10</v>
      </c>
      <c r="F343" s="44">
        <v>12.5</v>
      </c>
      <c r="G343" s="44">
        <f t="shared" si="20"/>
        <v>2.5</v>
      </c>
      <c r="H343" s="46" t="s">
        <v>42</v>
      </c>
      <c r="I343" s="90"/>
      <c r="J343" s="103">
        <f t="shared" si="21"/>
        <v>0.2</v>
      </c>
      <c r="K343" s="101">
        <v>43650</v>
      </c>
    </row>
    <row r="344" spans="1:11">
      <c r="A344" s="46">
        <v>21</v>
      </c>
      <c r="B344" s="93" t="s">
        <v>329</v>
      </c>
      <c r="C344" s="93"/>
      <c r="D344" s="139" t="s">
        <v>411</v>
      </c>
      <c r="E344" s="99">
        <v>8.99</v>
      </c>
      <c r="F344" s="44">
        <v>20</v>
      </c>
      <c r="G344" s="44">
        <f t="shared" si="20"/>
        <v>11.01</v>
      </c>
      <c r="H344" s="46" t="s">
        <v>42</v>
      </c>
      <c r="I344" s="90"/>
      <c r="J344" s="103">
        <f t="shared" si="21"/>
        <v>0.55049999999999999</v>
      </c>
      <c r="K344" s="101">
        <v>43650</v>
      </c>
    </row>
    <row r="345" spans="1:11">
      <c r="A345" s="46">
        <v>22</v>
      </c>
      <c r="B345" s="93" t="s">
        <v>329</v>
      </c>
      <c r="C345" s="93"/>
      <c r="D345" s="139" t="s">
        <v>332</v>
      </c>
      <c r="E345" s="99">
        <v>8.99</v>
      </c>
      <c r="F345" s="44">
        <v>10</v>
      </c>
      <c r="G345" s="44">
        <f t="shared" si="20"/>
        <v>1.0099999999999998</v>
      </c>
      <c r="H345" s="46" t="s">
        <v>42</v>
      </c>
      <c r="I345" s="90"/>
      <c r="J345" s="103">
        <f t="shared" si="21"/>
        <v>0.10099999999999998</v>
      </c>
      <c r="K345" s="101">
        <v>43650</v>
      </c>
    </row>
    <row r="346" spans="1:11">
      <c r="A346" s="46">
        <v>23</v>
      </c>
      <c r="B346" s="47" t="s">
        <v>529</v>
      </c>
      <c r="C346" s="47"/>
      <c r="D346" s="139" t="s">
        <v>339</v>
      </c>
      <c r="E346" s="99">
        <v>24</v>
      </c>
      <c r="F346" s="44">
        <v>35</v>
      </c>
      <c r="G346" s="44">
        <f t="shared" si="20"/>
        <v>11</v>
      </c>
      <c r="H346" s="46" t="s">
        <v>42</v>
      </c>
      <c r="I346" s="90"/>
      <c r="J346" s="103">
        <f t="shared" si="21"/>
        <v>0.31428571428571428</v>
      </c>
      <c r="K346" s="101">
        <v>43650</v>
      </c>
    </row>
    <row r="347" spans="1:11">
      <c r="A347" s="46">
        <v>24</v>
      </c>
      <c r="B347" s="93" t="s">
        <v>336</v>
      </c>
      <c r="C347" s="93"/>
      <c r="D347" s="139" t="s">
        <v>339</v>
      </c>
      <c r="E347" s="99">
        <v>4.99</v>
      </c>
      <c r="F347" s="44">
        <v>15</v>
      </c>
      <c r="G347" s="44">
        <f t="shared" si="20"/>
        <v>10.01</v>
      </c>
      <c r="H347" s="46" t="s">
        <v>42</v>
      </c>
      <c r="I347" s="90"/>
      <c r="J347" s="103">
        <f t="shared" si="21"/>
        <v>0.66733333333333333</v>
      </c>
      <c r="K347" s="101">
        <v>43651</v>
      </c>
    </row>
    <row r="348" spans="1:11">
      <c r="A348" s="46">
        <v>25</v>
      </c>
      <c r="B348" s="93" t="s">
        <v>329</v>
      </c>
      <c r="C348" s="93"/>
      <c r="D348" s="139" t="s">
        <v>339</v>
      </c>
      <c r="E348" s="99">
        <v>8.99</v>
      </c>
      <c r="F348" s="44">
        <v>20</v>
      </c>
      <c r="G348" s="44">
        <f t="shared" si="20"/>
        <v>11.01</v>
      </c>
      <c r="H348" s="46" t="s">
        <v>42</v>
      </c>
      <c r="I348" s="90"/>
      <c r="J348" s="103">
        <f t="shared" si="21"/>
        <v>0.55049999999999999</v>
      </c>
      <c r="K348" s="101">
        <v>43651</v>
      </c>
    </row>
    <row r="349" spans="1:11">
      <c r="A349" s="46">
        <v>26</v>
      </c>
      <c r="B349" s="47" t="s">
        <v>452</v>
      </c>
      <c r="C349" s="47"/>
      <c r="D349" s="40" t="s">
        <v>326</v>
      </c>
      <c r="E349" s="102">
        <v>38.159999999999997</v>
      </c>
      <c r="F349" s="44">
        <v>100</v>
      </c>
      <c r="G349" s="44">
        <f t="shared" si="20"/>
        <v>61.84</v>
      </c>
      <c r="H349" s="46" t="s">
        <v>42</v>
      </c>
      <c r="I349" s="90"/>
      <c r="J349" s="103">
        <f t="shared" si="21"/>
        <v>0.61840000000000006</v>
      </c>
      <c r="K349" s="101">
        <v>43651</v>
      </c>
    </row>
    <row r="350" spans="1:11">
      <c r="A350" s="46">
        <v>27</v>
      </c>
      <c r="B350" s="85" t="s">
        <v>260</v>
      </c>
      <c r="C350" s="85"/>
      <c r="D350" s="40" t="s">
        <v>326</v>
      </c>
      <c r="E350" s="98">
        <v>60</v>
      </c>
      <c r="F350" s="44">
        <v>100</v>
      </c>
      <c r="G350" s="44">
        <f t="shared" si="20"/>
        <v>40</v>
      </c>
      <c r="H350" s="46" t="s">
        <v>42</v>
      </c>
      <c r="I350" s="90"/>
      <c r="J350" s="103">
        <f t="shared" si="21"/>
        <v>0.4</v>
      </c>
      <c r="K350" s="101">
        <v>43651</v>
      </c>
    </row>
    <row r="351" spans="1:11">
      <c r="A351" s="46">
        <v>28</v>
      </c>
      <c r="B351" s="93" t="s">
        <v>327</v>
      </c>
      <c r="C351" s="93"/>
      <c r="D351" s="139" t="s">
        <v>339</v>
      </c>
      <c r="E351" s="99">
        <v>39.99</v>
      </c>
      <c r="F351" s="44">
        <v>65</v>
      </c>
      <c r="G351" s="44">
        <f t="shared" si="20"/>
        <v>25.009999999999998</v>
      </c>
      <c r="H351" s="46" t="s">
        <v>42</v>
      </c>
      <c r="I351" s="90"/>
      <c r="J351" s="103">
        <f t="shared" si="21"/>
        <v>0.38476923076923075</v>
      </c>
      <c r="K351" s="101">
        <v>43651</v>
      </c>
    </row>
    <row r="352" spans="1:11">
      <c r="A352" s="46">
        <v>29</v>
      </c>
      <c r="B352" s="93" t="s">
        <v>337</v>
      </c>
      <c r="C352" s="93"/>
      <c r="D352" s="139" t="s">
        <v>463</v>
      </c>
      <c r="E352" s="99">
        <v>11.8</v>
      </c>
      <c r="F352" s="44">
        <v>25</v>
      </c>
      <c r="G352" s="44">
        <f t="shared" si="20"/>
        <v>13.2</v>
      </c>
      <c r="H352" s="46" t="s">
        <v>42</v>
      </c>
      <c r="I352" s="90"/>
      <c r="J352" s="103">
        <f t="shared" si="21"/>
        <v>0.52800000000000002</v>
      </c>
      <c r="K352" s="101">
        <v>43651</v>
      </c>
    </row>
    <row r="353" spans="1:11">
      <c r="A353" s="46">
        <v>30</v>
      </c>
      <c r="B353" s="93" t="s">
        <v>337</v>
      </c>
      <c r="C353" s="93"/>
      <c r="D353" s="139" t="s">
        <v>463</v>
      </c>
      <c r="E353" s="99">
        <v>11.8</v>
      </c>
      <c r="F353" s="44">
        <v>25</v>
      </c>
      <c r="G353" s="44">
        <f t="shared" si="20"/>
        <v>13.2</v>
      </c>
      <c r="H353" s="46" t="s">
        <v>42</v>
      </c>
      <c r="I353" s="90"/>
      <c r="J353" s="103">
        <f t="shared" si="21"/>
        <v>0.52800000000000002</v>
      </c>
      <c r="K353" s="101">
        <v>43651</v>
      </c>
    </row>
    <row r="354" spans="1:11">
      <c r="A354" s="46">
        <v>31</v>
      </c>
      <c r="B354" s="93" t="s">
        <v>529</v>
      </c>
      <c r="C354" s="93"/>
      <c r="D354" s="139" t="s">
        <v>339</v>
      </c>
      <c r="E354" s="99">
        <v>22.99</v>
      </c>
      <c r="F354" s="44">
        <v>35</v>
      </c>
      <c r="G354" s="44">
        <f t="shared" si="20"/>
        <v>12.010000000000002</v>
      </c>
      <c r="H354" s="46" t="s">
        <v>42</v>
      </c>
      <c r="I354" s="90"/>
      <c r="J354" s="103">
        <f t="shared" si="21"/>
        <v>0.34314285714285719</v>
      </c>
      <c r="K354" s="101">
        <v>43651</v>
      </c>
    </row>
    <row r="355" spans="1:11">
      <c r="A355" s="46">
        <v>32</v>
      </c>
      <c r="B355" s="93" t="s">
        <v>529</v>
      </c>
      <c r="C355" s="93"/>
      <c r="D355" s="139" t="s">
        <v>339</v>
      </c>
      <c r="E355" s="99">
        <v>22.99</v>
      </c>
      <c r="F355" s="44">
        <v>35</v>
      </c>
      <c r="G355" s="44">
        <f t="shared" si="20"/>
        <v>12.010000000000002</v>
      </c>
      <c r="H355" s="46" t="s">
        <v>42</v>
      </c>
      <c r="I355" s="90"/>
      <c r="J355" s="103">
        <f t="shared" si="21"/>
        <v>0.34314285714285719</v>
      </c>
      <c r="K355" s="101">
        <v>43651</v>
      </c>
    </row>
    <row r="356" spans="1:11">
      <c r="A356" s="46">
        <v>33</v>
      </c>
      <c r="B356" s="93" t="s">
        <v>529</v>
      </c>
      <c r="C356" s="93"/>
      <c r="D356" s="40" t="s">
        <v>338</v>
      </c>
      <c r="E356" s="102">
        <v>24</v>
      </c>
      <c r="F356" s="44">
        <v>55</v>
      </c>
      <c r="G356" s="44">
        <f t="shared" ref="G356:G387" si="22">F356-E356</f>
        <v>31</v>
      </c>
      <c r="H356" s="46" t="s">
        <v>42</v>
      </c>
      <c r="I356" s="90"/>
      <c r="J356" s="103">
        <f t="shared" ref="J356:J392" si="23">SUM(F356-E356)/F356</f>
        <v>0.5636363636363636</v>
      </c>
      <c r="K356" s="101">
        <v>43651</v>
      </c>
    </row>
    <row r="357" spans="1:11">
      <c r="A357" s="46">
        <v>34</v>
      </c>
      <c r="B357" s="47" t="s">
        <v>344</v>
      </c>
      <c r="C357" s="47"/>
      <c r="D357" s="139" t="s">
        <v>332</v>
      </c>
      <c r="E357" s="102">
        <v>11</v>
      </c>
      <c r="F357" s="102">
        <v>15</v>
      </c>
      <c r="G357" s="44">
        <f t="shared" si="22"/>
        <v>4</v>
      </c>
      <c r="H357" s="46" t="s">
        <v>42</v>
      </c>
      <c r="I357" s="90"/>
      <c r="J357" s="103">
        <f t="shared" si="23"/>
        <v>0.26666666666666666</v>
      </c>
      <c r="K357" s="101">
        <v>43652</v>
      </c>
    </row>
    <row r="358" spans="1:11">
      <c r="A358" s="46">
        <v>35</v>
      </c>
      <c r="B358" s="47" t="s">
        <v>464</v>
      </c>
      <c r="C358" s="47"/>
      <c r="D358" s="139" t="s">
        <v>332</v>
      </c>
      <c r="E358" s="102">
        <v>3.5</v>
      </c>
      <c r="F358" s="44">
        <v>5</v>
      </c>
      <c r="G358" s="44">
        <f t="shared" si="22"/>
        <v>1.5</v>
      </c>
      <c r="H358" s="46" t="s">
        <v>42</v>
      </c>
      <c r="I358" s="90"/>
      <c r="J358" s="103">
        <f t="shared" si="23"/>
        <v>0.3</v>
      </c>
      <c r="K358" s="101">
        <v>43652</v>
      </c>
    </row>
    <row r="359" spans="1:11">
      <c r="A359" s="46">
        <v>36</v>
      </c>
      <c r="B359" s="47" t="s">
        <v>341</v>
      </c>
      <c r="C359" s="47"/>
      <c r="D359" s="139" t="s">
        <v>332</v>
      </c>
      <c r="E359" s="102">
        <v>6</v>
      </c>
      <c r="F359" s="44">
        <v>8</v>
      </c>
      <c r="G359" s="44">
        <f t="shared" si="22"/>
        <v>2</v>
      </c>
      <c r="H359" s="46" t="s">
        <v>42</v>
      </c>
      <c r="I359" s="90"/>
      <c r="J359" s="103">
        <f t="shared" si="23"/>
        <v>0.25</v>
      </c>
      <c r="K359" s="101">
        <v>43652</v>
      </c>
    </row>
    <row r="360" spans="1:11">
      <c r="A360" s="46">
        <v>37</v>
      </c>
      <c r="B360" s="47" t="s">
        <v>267</v>
      </c>
      <c r="C360" s="47"/>
      <c r="D360" s="40" t="s">
        <v>343</v>
      </c>
      <c r="E360" s="102">
        <v>23.5</v>
      </c>
      <c r="F360" s="44">
        <v>60</v>
      </c>
      <c r="G360" s="44">
        <f t="shared" si="22"/>
        <v>36.5</v>
      </c>
      <c r="H360" s="46" t="s">
        <v>42</v>
      </c>
      <c r="I360" s="90"/>
      <c r="J360" s="103">
        <f t="shared" si="23"/>
        <v>0.60833333333333328</v>
      </c>
      <c r="K360" s="101">
        <v>43652</v>
      </c>
    </row>
    <row r="361" spans="1:11">
      <c r="A361" s="46">
        <v>38</v>
      </c>
      <c r="B361" s="47" t="s">
        <v>465</v>
      </c>
      <c r="C361" s="47"/>
      <c r="D361" s="139" t="s">
        <v>332</v>
      </c>
      <c r="E361" s="102">
        <v>13</v>
      </c>
      <c r="F361" s="102">
        <v>16</v>
      </c>
      <c r="G361" s="44">
        <f t="shared" si="22"/>
        <v>3</v>
      </c>
      <c r="H361" s="46" t="s">
        <v>42</v>
      </c>
      <c r="I361" s="90"/>
      <c r="J361" s="103">
        <f t="shared" si="23"/>
        <v>0.1875</v>
      </c>
      <c r="K361" s="101">
        <v>43652</v>
      </c>
    </row>
    <row r="362" spans="1:11">
      <c r="A362" s="46">
        <v>39</v>
      </c>
      <c r="B362" s="47" t="s">
        <v>335</v>
      </c>
      <c r="C362" s="47"/>
      <c r="D362" s="40" t="s">
        <v>288</v>
      </c>
      <c r="E362" s="102">
        <v>32</v>
      </c>
      <c r="F362" s="44">
        <v>40</v>
      </c>
      <c r="G362" s="44">
        <f t="shared" si="22"/>
        <v>8</v>
      </c>
      <c r="H362" s="46" t="s">
        <v>42</v>
      </c>
      <c r="I362" s="90"/>
      <c r="J362" s="103">
        <f t="shared" si="23"/>
        <v>0.2</v>
      </c>
      <c r="K362" s="101">
        <v>43652</v>
      </c>
    </row>
    <row r="363" spans="1:11">
      <c r="A363" s="46">
        <v>40</v>
      </c>
      <c r="B363" s="47" t="s">
        <v>340</v>
      </c>
      <c r="C363" s="47"/>
      <c r="D363" s="139" t="s">
        <v>332</v>
      </c>
      <c r="E363" s="102">
        <v>6</v>
      </c>
      <c r="F363" s="44">
        <v>10</v>
      </c>
      <c r="G363" s="44">
        <f t="shared" si="22"/>
        <v>4</v>
      </c>
      <c r="H363" s="46" t="s">
        <v>42</v>
      </c>
      <c r="I363" s="90"/>
      <c r="J363" s="103">
        <f t="shared" si="23"/>
        <v>0.4</v>
      </c>
      <c r="K363" s="101">
        <v>43652</v>
      </c>
    </row>
    <row r="364" spans="1:11">
      <c r="A364" s="46">
        <v>41</v>
      </c>
      <c r="B364" s="47" t="s">
        <v>342</v>
      </c>
      <c r="C364" s="47"/>
      <c r="D364" s="139" t="s">
        <v>332</v>
      </c>
      <c r="E364" s="102">
        <v>14</v>
      </c>
      <c r="F364" s="44">
        <v>20</v>
      </c>
      <c r="G364" s="44">
        <f t="shared" si="22"/>
        <v>6</v>
      </c>
      <c r="H364" s="46" t="s">
        <v>42</v>
      </c>
      <c r="I364" s="90"/>
      <c r="J364" s="103">
        <f t="shared" si="23"/>
        <v>0.3</v>
      </c>
      <c r="K364" s="101">
        <v>43652</v>
      </c>
    </row>
    <row r="365" spans="1:11">
      <c r="A365" s="46">
        <v>42</v>
      </c>
      <c r="B365" s="47" t="s">
        <v>342</v>
      </c>
      <c r="C365" s="47"/>
      <c r="D365" s="139" t="s">
        <v>332</v>
      </c>
      <c r="E365" s="102">
        <v>14</v>
      </c>
      <c r="F365" s="44">
        <v>20</v>
      </c>
      <c r="G365" s="44">
        <f t="shared" si="22"/>
        <v>6</v>
      </c>
      <c r="H365" s="46" t="s">
        <v>42</v>
      </c>
      <c r="I365" s="90"/>
      <c r="J365" s="103">
        <f t="shared" si="23"/>
        <v>0.3</v>
      </c>
      <c r="K365" s="101">
        <v>43652</v>
      </c>
    </row>
    <row r="366" spans="1:11">
      <c r="A366" s="46">
        <v>43</v>
      </c>
      <c r="B366" s="47" t="s">
        <v>529</v>
      </c>
      <c r="C366" s="47"/>
      <c r="D366" s="139" t="s">
        <v>346</v>
      </c>
      <c r="E366" s="102">
        <v>24</v>
      </c>
      <c r="F366" s="44">
        <v>50</v>
      </c>
      <c r="G366" s="44">
        <f t="shared" si="22"/>
        <v>26</v>
      </c>
      <c r="H366" s="46" t="s">
        <v>42</v>
      </c>
      <c r="I366" s="90"/>
      <c r="J366" s="103">
        <f t="shared" si="23"/>
        <v>0.52</v>
      </c>
      <c r="K366" s="101">
        <v>43653</v>
      </c>
    </row>
    <row r="367" spans="1:11">
      <c r="A367" s="46">
        <v>44</v>
      </c>
      <c r="B367" s="47" t="s">
        <v>529</v>
      </c>
      <c r="C367" s="47"/>
      <c r="D367" s="139" t="s">
        <v>346</v>
      </c>
      <c r="E367" s="102">
        <v>24</v>
      </c>
      <c r="F367" s="44">
        <v>50</v>
      </c>
      <c r="G367" s="44">
        <f t="shared" si="22"/>
        <v>26</v>
      </c>
      <c r="H367" s="46" t="s">
        <v>42</v>
      </c>
      <c r="I367" s="90"/>
      <c r="J367" s="103">
        <f t="shared" si="23"/>
        <v>0.52</v>
      </c>
      <c r="K367" s="101">
        <v>43653</v>
      </c>
    </row>
    <row r="368" spans="1:11">
      <c r="A368" s="46">
        <v>45</v>
      </c>
      <c r="B368" s="47" t="s">
        <v>529</v>
      </c>
      <c r="C368" s="47"/>
      <c r="D368" s="139" t="s">
        <v>346</v>
      </c>
      <c r="E368" s="102">
        <v>24</v>
      </c>
      <c r="F368" s="44">
        <v>50</v>
      </c>
      <c r="G368" s="44">
        <f t="shared" si="22"/>
        <v>26</v>
      </c>
      <c r="H368" s="46" t="s">
        <v>42</v>
      </c>
      <c r="I368" s="90"/>
      <c r="J368" s="103">
        <f t="shared" si="23"/>
        <v>0.52</v>
      </c>
      <c r="K368" s="101">
        <v>43653</v>
      </c>
    </row>
    <row r="369" spans="1:11">
      <c r="A369" s="46">
        <v>46</v>
      </c>
      <c r="B369" s="47" t="s">
        <v>335</v>
      </c>
      <c r="C369" s="47"/>
      <c r="D369" s="40" t="s">
        <v>347</v>
      </c>
      <c r="E369" s="102">
        <v>32</v>
      </c>
      <c r="F369" s="44">
        <v>57</v>
      </c>
      <c r="G369" s="44">
        <f t="shared" si="22"/>
        <v>25</v>
      </c>
      <c r="H369" s="46" t="s">
        <v>42</v>
      </c>
      <c r="I369" s="90"/>
      <c r="J369" s="103">
        <f t="shared" si="23"/>
        <v>0.43859649122807015</v>
      </c>
      <c r="K369" s="101">
        <v>43654</v>
      </c>
    </row>
    <row r="370" spans="1:11">
      <c r="A370" s="46">
        <v>47</v>
      </c>
      <c r="B370" s="47" t="s">
        <v>261</v>
      </c>
      <c r="C370" s="47"/>
      <c r="D370" s="40" t="s">
        <v>348</v>
      </c>
      <c r="E370" s="102">
        <v>25</v>
      </c>
      <c r="F370" s="44">
        <v>50</v>
      </c>
      <c r="G370" s="44">
        <f t="shared" si="22"/>
        <v>25</v>
      </c>
      <c r="H370" s="46" t="s">
        <v>42</v>
      </c>
      <c r="I370" s="90"/>
      <c r="J370" s="103">
        <f t="shared" si="23"/>
        <v>0.5</v>
      </c>
      <c r="K370" s="101">
        <v>43654</v>
      </c>
    </row>
    <row r="371" spans="1:11">
      <c r="A371" s="46">
        <v>48</v>
      </c>
      <c r="B371" s="47" t="s">
        <v>261</v>
      </c>
      <c r="C371" s="47"/>
      <c r="D371" s="40" t="s">
        <v>348</v>
      </c>
      <c r="E371" s="102">
        <v>25</v>
      </c>
      <c r="F371" s="44">
        <v>50</v>
      </c>
      <c r="G371" s="44">
        <f t="shared" si="22"/>
        <v>25</v>
      </c>
      <c r="H371" s="46" t="s">
        <v>42</v>
      </c>
      <c r="I371" s="90"/>
      <c r="J371" s="103">
        <f t="shared" si="23"/>
        <v>0.5</v>
      </c>
      <c r="K371" s="101">
        <v>43654</v>
      </c>
    </row>
    <row r="372" spans="1:11">
      <c r="A372" s="46">
        <v>49</v>
      </c>
      <c r="B372" s="47" t="s">
        <v>298</v>
      </c>
      <c r="C372" s="47"/>
      <c r="D372" s="40" t="s">
        <v>466</v>
      </c>
      <c r="E372" s="102">
        <v>4.5</v>
      </c>
      <c r="F372" s="44">
        <v>10</v>
      </c>
      <c r="G372" s="44">
        <f t="shared" si="22"/>
        <v>5.5</v>
      </c>
      <c r="H372" s="46" t="s">
        <v>42</v>
      </c>
      <c r="I372" s="90"/>
      <c r="J372" s="103">
        <f t="shared" si="23"/>
        <v>0.55000000000000004</v>
      </c>
      <c r="K372" s="101">
        <v>43655</v>
      </c>
    </row>
    <row r="373" spans="1:11">
      <c r="A373" s="46">
        <v>50</v>
      </c>
      <c r="B373" s="63" t="s">
        <v>155</v>
      </c>
      <c r="C373" s="63"/>
      <c r="D373" s="40" t="s">
        <v>466</v>
      </c>
      <c r="E373" s="102">
        <v>16</v>
      </c>
      <c r="F373" s="44">
        <v>35</v>
      </c>
      <c r="G373" s="44">
        <f t="shared" si="22"/>
        <v>19</v>
      </c>
      <c r="H373" s="46" t="s">
        <v>42</v>
      </c>
      <c r="I373" s="90"/>
      <c r="J373" s="103">
        <f t="shared" si="23"/>
        <v>0.54285714285714282</v>
      </c>
      <c r="K373" s="101">
        <v>43655</v>
      </c>
    </row>
    <row r="374" spans="1:11">
      <c r="A374" s="46">
        <v>51</v>
      </c>
      <c r="B374" s="47" t="s">
        <v>529</v>
      </c>
      <c r="C374" s="47"/>
      <c r="D374" s="40" t="s">
        <v>466</v>
      </c>
      <c r="E374" s="102">
        <v>24</v>
      </c>
      <c r="F374" s="44">
        <v>80</v>
      </c>
      <c r="G374" s="44">
        <f t="shared" si="22"/>
        <v>56</v>
      </c>
      <c r="H374" s="46" t="s">
        <v>42</v>
      </c>
      <c r="I374" s="90"/>
      <c r="J374" s="103">
        <f t="shared" si="23"/>
        <v>0.7</v>
      </c>
      <c r="K374" s="101">
        <v>43655</v>
      </c>
    </row>
    <row r="375" spans="1:11">
      <c r="A375" s="46">
        <v>52</v>
      </c>
      <c r="B375" s="47" t="s">
        <v>529</v>
      </c>
      <c r="C375" s="47"/>
      <c r="D375" s="40" t="s">
        <v>349</v>
      </c>
      <c r="E375" s="102">
        <v>24</v>
      </c>
      <c r="F375" s="44">
        <v>50</v>
      </c>
      <c r="G375" s="44">
        <f t="shared" si="22"/>
        <v>26</v>
      </c>
      <c r="H375" s="46" t="s">
        <v>42</v>
      </c>
      <c r="I375" s="90"/>
      <c r="J375" s="103">
        <f t="shared" si="23"/>
        <v>0.52</v>
      </c>
      <c r="K375" s="101">
        <v>43655</v>
      </c>
    </row>
    <row r="376" spans="1:11">
      <c r="A376" s="46">
        <v>53</v>
      </c>
      <c r="B376" s="47" t="s">
        <v>529</v>
      </c>
      <c r="C376" s="47"/>
      <c r="D376" s="40" t="s">
        <v>349</v>
      </c>
      <c r="E376" s="102">
        <v>24</v>
      </c>
      <c r="F376" s="44">
        <v>50</v>
      </c>
      <c r="G376" s="44">
        <f t="shared" si="22"/>
        <v>26</v>
      </c>
      <c r="H376" s="46" t="s">
        <v>42</v>
      </c>
      <c r="I376" s="90"/>
      <c r="J376" s="103">
        <f t="shared" si="23"/>
        <v>0.52</v>
      </c>
      <c r="K376" s="101">
        <v>43655</v>
      </c>
    </row>
    <row r="377" spans="1:11">
      <c r="A377" s="46">
        <v>54</v>
      </c>
      <c r="B377" s="47" t="s">
        <v>321</v>
      </c>
      <c r="C377" s="47"/>
      <c r="D377" s="40" t="s">
        <v>467</v>
      </c>
      <c r="E377" s="102">
        <v>5</v>
      </c>
      <c r="F377" s="44">
        <v>15</v>
      </c>
      <c r="G377" s="44">
        <f t="shared" si="22"/>
        <v>10</v>
      </c>
      <c r="H377" s="46" t="s">
        <v>42</v>
      </c>
      <c r="I377" s="90"/>
      <c r="J377" s="103">
        <f t="shared" si="23"/>
        <v>0.66666666666666663</v>
      </c>
      <c r="K377" s="101">
        <v>43656</v>
      </c>
    </row>
    <row r="378" spans="1:11">
      <c r="A378" s="46">
        <v>55</v>
      </c>
      <c r="B378" s="47" t="s">
        <v>321</v>
      </c>
      <c r="C378" s="47"/>
      <c r="D378" s="40" t="s">
        <v>467</v>
      </c>
      <c r="E378" s="102">
        <v>5</v>
      </c>
      <c r="F378" s="44">
        <v>15</v>
      </c>
      <c r="G378" s="44">
        <f t="shared" si="22"/>
        <v>10</v>
      </c>
      <c r="H378" s="46" t="s">
        <v>42</v>
      </c>
      <c r="I378" s="41"/>
      <c r="J378" s="103">
        <f t="shared" si="23"/>
        <v>0.66666666666666663</v>
      </c>
      <c r="K378" s="101">
        <v>43656</v>
      </c>
    </row>
    <row r="379" spans="1:11">
      <c r="A379" s="46">
        <v>56</v>
      </c>
      <c r="B379" s="47" t="s">
        <v>261</v>
      </c>
      <c r="C379" s="47"/>
      <c r="D379" s="40" t="s">
        <v>350</v>
      </c>
      <c r="E379" s="102">
        <v>25</v>
      </c>
      <c r="F379" s="44">
        <v>45</v>
      </c>
      <c r="G379" s="44">
        <f t="shared" si="22"/>
        <v>20</v>
      </c>
      <c r="H379" s="46" t="s">
        <v>42</v>
      </c>
      <c r="I379" s="90"/>
      <c r="J379" s="103">
        <f t="shared" si="23"/>
        <v>0.44444444444444442</v>
      </c>
      <c r="K379" s="101">
        <v>43656</v>
      </c>
    </row>
    <row r="380" spans="1:11">
      <c r="A380" s="46">
        <v>57</v>
      </c>
      <c r="B380" s="47" t="s">
        <v>261</v>
      </c>
      <c r="C380" s="47"/>
      <c r="D380" s="40" t="s">
        <v>350</v>
      </c>
      <c r="E380" s="102">
        <v>25</v>
      </c>
      <c r="F380" s="44">
        <v>45</v>
      </c>
      <c r="G380" s="44">
        <f t="shared" si="22"/>
        <v>20</v>
      </c>
      <c r="H380" s="46" t="s">
        <v>42</v>
      </c>
      <c r="I380" s="90"/>
      <c r="J380" s="103">
        <f t="shared" si="23"/>
        <v>0.44444444444444442</v>
      </c>
      <c r="K380" s="101">
        <v>43656</v>
      </c>
    </row>
    <row r="381" spans="1:11">
      <c r="A381" s="46">
        <v>58</v>
      </c>
      <c r="B381" s="47" t="s">
        <v>261</v>
      </c>
      <c r="C381" s="47"/>
      <c r="D381" s="40" t="s">
        <v>350</v>
      </c>
      <c r="E381" s="102">
        <v>25</v>
      </c>
      <c r="F381" s="44">
        <v>45</v>
      </c>
      <c r="G381" s="44">
        <f t="shared" si="22"/>
        <v>20</v>
      </c>
      <c r="H381" s="46" t="s">
        <v>42</v>
      </c>
      <c r="I381" s="90"/>
      <c r="J381" s="103">
        <f t="shared" si="23"/>
        <v>0.44444444444444442</v>
      </c>
      <c r="K381" s="101">
        <v>43656</v>
      </c>
    </row>
    <row r="382" spans="1:11">
      <c r="A382" s="46">
        <v>59</v>
      </c>
      <c r="B382" s="47" t="s">
        <v>261</v>
      </c>
      <c r="C382" s="47"/>
      <c r="D382" s="40" t="s">
        <v>350</v>
      </c>
      <c r="E382" s="102">
        <v>25</v>
      </c>
      <c r="F382" s="44">
        <v>45</v>
      </c>
      <c r="G382" s="44">
        <f t="shared" si="22"/>
        <v>20</v>
      </c>
      <c r="H382" s="46" t="s">
        <v>42</v>
      </c>
      <c r="I382" s="90"/>
      <c r="J382" s="103">
        <f t="shared" si="23"/>
        <v>0.44444444444444442</v>
      </c>
      <c r="K382" s="101">
        <v>43656</v>
      </c>
    </row>
    <row r="383" spans="1:11">
      <c r="A383" s="46">
        <v>60</v>
      </c>
      <c r="B383" s="47" t="s">
        <v>468</v>
      </c>
      <c r="C383" s="47"/>
      <c r="D383" s="40" t="s">
        <v>332</v>
      </c>
      <c r="E383" s="102">
        <v>20</v>
      </c>
      <c r="F383" s="44">
        <v>27</v>
      </c>
      <c r="G383" s="44">
        <f t="shared" si="22"/>
        <v>7</v>
      </c>
      <c r="H383" s="46" t="s">
        <v>42</v>
      </c>
      <c r="I383" s="90"/>
      <c r="J383" s="103">
        <f t="shared" si="23"/>
        <v>0.25925925925925924</v>
      </c>
      <c r="K383" s="101">
        <v>43657</v>
      </c>
    </row>
    <row r="384" spans="1:11">
      <c r="A384" s="46">
        <v>61</v>
      </c>
      <c r="B384" s="47" t="s">
        <v>468</v>
      </c>
      <c r="C384" s="47"/>
      <c r="D384" s="40" t="s">
        <v>332</v>
      </c>
      <c r="E384" s="102">
        <v>20</v>
      </c>
      <c r="F384" s="44">
        <v>27</v>
      </c>
      <c r="G384" s="44">
        <f t="shared" si="22"/>
        <v>7</v>
      </c>
      <c r="H384" s="46" t="s">
        <v>42</v>
      </c>
      <c r="I384" s="90"/>
      <c r="J384" s="103">
        <f t="shared" si="23"/>
        <v>0.25925925925925924</v>
      </c>
      <c r="K384" s="101">
        <v>43657</v>
      </c>
    </row>
    <row r="385" spans="1:11">
      <c r="A385" s="46">
        <v>62</v>
      </c>
      <c r="B385" s="47" t="s">
        <v>469</v>
      </c>
      <c r="C385" s="47"/>
      <c r="D385" s="40" t="s">
        <v>332</v>
      </c>
      <c r="E385" s="102">
        <v>15</v>
      </c>
      <c r="F385" s="44">
        <v>15</v>
      </c>
      <c r="G385" s="44">
        <f t="shared" si="22"/>
        <v>0</v>
      </c>
      <c r="H385" s="46" t="s">
        <v>42</v>
      </c>
      <c r="I385" s="90"/>
      <c r="J385" s="103">
        <f t="shared" si="23"/>
        <v>0</v>
      </c>
      <c r="K385" s="101">
        <v>43657</v>
      </c>
    </row>
    <row r="386" spans="1:11">
      <c r="A386" s="46">
        <v>63</v>
      </c>
      <c r="B386" s="47" t="s">
        <v>469</v>
      </c>
      <c r="C386" s="47"/>
      <c r="D386" s="40" t="s">
        <v>332</v>
      </c>
      <c r="E386" s="102">
        <v>15</v>
      </c>
      <c r="F386" s="44">
        <v>15</v>
      </c>
      <c r="G386" s="44">
        <f t="shared" si="22"/>
        <v>0</v>
      </c>
      <c r="H386" s="46" t="s">
        <v>42</v>
      </c>
      <c r="I386" s="90"/>
      <c r="J386" s="103">
        <f t="shared" si="23"/>
        <v>0</v>
      </c>
      <c r="K386" s="101">
        <v>43657</v>
      </c>
    </row>
    <row r="387" spans="1:11">
      <c r="A387" s="46">
        <v>64</v>
      </c>
      <c r="B387" s="47" t="s">
        <v>353</v>
      </c>
      <c r="C387" s="47"/>
      <c r="D387" s="40" t="s">
        <v>332</v>
      </c>
      <c r="E387" s="102">
        <v>5</v>
      </c>
      <c r="F387" s="44">
        <v>7</v>
      </c>
      <c r="G387" s="44">
        <f t="shared" si="22"/>
        <v>2</v>
      </c>
      <c r="H387" s="46" t="s">
        <v>42</v>
      </c>
      <c r="I387" s="90"/>
      <c r="J387" s="103">
        <f t="shared" si="23"/>
        <v>0.2857142857142857</v>
      </c>
      <c r="K387" s="101">
        <v>43657</v>
      </c>
    </row>
    <row r="388" spans="1:11">
      <c r="A388" s="46">
        <v>65</v>
      </c>
      <c r="B388" s="47" t="s">
        <v>353</v>
      </c>
      <c r="C388" s="47"/>
      <c r="D388" s="40" t="s">
        <v>332</v>
      </c>
      <c r="E388" s="102">
        <v>5</v>
      </c>
      <c r="F388" s="44">
        <v>7</v>
      </c>
      <c r="G388" s="44">
        <f t="shared" ref="G388:G419" si="24">F388-E388</f>
        <v>2</v>
      </c>
      <c r="H388" s="46" t="s">
        <v>42</v>
      </c>
      <c r="I388" s="90"/>
      <c r="J388" s="103">
        <f t="shared" si="23"/>
        <v>0.2857142857142857</v>
      </c>
      <c r="K388" s="101">
        <v>43657</v>
      </c>
    </row>
    <row r="389" spans="1:11">
      <c r="A389" s="46">
        <v>66</v>
      </c>
      <c r="B389" s="47" t="s">
        <v>352</v>
      </c>
      <c r="C389" s="47"/>
      <c r="D389" s="40" t="s">
        <v>471</v>
      </c>
      <c r="E389" s="102">
        <v>4.8</v>
      </c>
      <c r="F389" s="44">
        <v>10</v>
      </c>
      <c r="G389" s="44">
        <f t="shared" si="24"/>
        <v>5.2</v>
      </c>
      <c r="H389" s="46" t="s">
        <v>42</v>
      </c>
      <c r="I389" s="90"/>
      <c r="J389" s="103">
        <f t="shared" si="23"/>
        <v>0.52</v>
      </c>
      <c r="K389" s="101">
        <v>43657</v>
      </c>
    </row>
    <row r="390" spans="1:11">
      <c r="A390" s="46">
        <v>67</v>
      </c>
      <c r="B390" s="47" t="s">
        <v>342</v>
      </c>
      <c r="C390" s="47"/>
      <c r="D390" s="40" t="s">
        <v>471</v>
      </c>
      <c r="E390" s="102">
        <v>14</v>
      </c>
      <c r="F390" s="44">
        <v>35</v>
      </c>
      <c r="G390" s="44">
        <f t="shared" si="24"/>
        <v>21</v>
      </c>
      <c r="H390" s="46" t="s">
        <v>42</v>
      </c>
      <c r="I390" s="90"/>
      <c r="J390" s="103">
        <f t="shared" si="23"/>
        <v>0.6</v>
      </c>
      <c r="K390" s="101">
        <v>43657</v>
      </c>
    </row>
    <row r="391" spans="1:11">
      <c r="A391" s="46">
        <v>68</v>
      </c>
      <c r="B391" s="47" t="s">
        <v>470</v>
      </c>
      <c r="C391" s="47"/>
      <c r="D391" s="40" t="s">
        <v>332</v>
      </c>
      <c r="E391" s="102">
        <v>1</v>
      </c>
      <c r="F391" s="44">
        <v>2.5</v>
      </c>
      <c r="G391" s="44">
        <f t="shared" si="24"/>
        <v>1.5</v>
      </c>
      <c r="H391" s="46" t="s">
        <v>42</v>
      </c>
      <c r="I391" s="90"/>
      <c r="J391" s="103">
        <f t="shared" si="23"/>
        <v>0.6</v>
      </c>
      <c r="K391" s="101">
        <v>43657</v>
      </c>
    </row>
    <row r="392" spans="1:11">
      <c r="A392" s="46">
        <v>69</v>
      </c>
      <c r="B392" s="47" t="s">
        <v>267</v>
      </c>
      <c r="C392" s="47"/>
      <c r="D392" s="40" t="s">
        <v>472</v>
      </c>
      <c r="E392" s="102">
        <v>23.5</v>
      </c>
      <c r="F392" s="44">
        <v>55</v>
      </c>
      <c r="G392" s="44">
        <f t="shared" si="24"/>
        <v>31.5</v>
      </c>
      <c r="H392" s="46" t="s">
        <v>42</v>
      </c>
      <c r="I392" s="90"/>
      <c r="J392" s="103">
        <f t="shared" si="23"/>
        <v>0.57272727272727275</v>
      </c>
      <c r="K392" s="101">
        <v>43659</v>
      </c>
    </row>
    <row r="393" spans="1:11">
      <c r="A393" s="46">
        <v>70</v>
      </c>
      <c r="B393" s="47" t="s">
        <v>356</v>
      </c>
      <c r="C393" s="47"/>
      <c r="D393" s="40" t="s">
        <v>426</v>
      </c>
      <c r="E393" s="102">
        <v>50</v>
      </c>
      <c r="F393" s="44">
        <v>100</v>
      </c>
      <c r="G393" s="44">
        <f t="shared" si="24"/>
        <v>50</v>
      </c>
      <c r="H393" s="46" t="s">
        <v>42</v>
      </c>
      <c r="I393" s="23"/>
      <c r="J393" s="82"/>
      <c r="K393" s="101">
        <v>43659</v>
      </c>
    </row>
    <row r="394" spans="1:11">
      <c r="A394" s="46">
        <v>71</v>
      </c>
      <c r="B394" s="47" t="s">
        <v>362</v>
      </c>
      <c r="C394" s="47"/>
      <c r="D394" s="40" t="s">
        <v>411</v>
      </c>
      <c r="E394" s="102">
        <v>6.7</v>
      </c>
      <c r="F394" s="44">
        <v>20</v>
      </c>
      <c r="G394" s="44">
        <f t="shared" si="24"/>
        <v>13.3</v>
      </c>
      <c r="H394" s="46" t="s">
        <v>42</v>
      </c>
      <c r="I394" s="90"/>
      <c r="J394" s="103">
        <f t="shared" ref="J394:J425" si="25">SUM(F394-E394)/F394</f>
        <v>0.66500000000000004</v>
      </c>
      <c r="K394" s="101">
        <v>43660</v>
      </c>
    </row>
    <row r="395" spans="1:11">
      <c r="A395" s="46">
        <v>72</v>
      </c>
      <c r="B395" s="47" t="s">
        <v>358</v>
      </c>
      <c r="C395" s="47"/>
      <c r="D395" s="40" t="s">
        <v>332</v>
      </c>
      <c r="E395" s="102">
        <v>35</v>
      </c>
      <c r="F395" s="44">
        <v>40</v>
      </c>
      <c r="G395" s="44">
        <f t="shared" si="24"/>
        <v>5</v>
      </c>
      <c r="H395" s="46" t="s">
        <v>42</v>
      </c>
      <c r="I395" s="90"/>
      <c r="J395" s="103">
        <f t="shared" si="25"/>
        <v>0.125</v>
      </c>
      <c r="K395" s="101">
        <v>43660</v>
      </c>
    </row>
    <row r="396" spans="1:11">
      <c r="A396" s="46">
        <v>73</v>
      </c>
      <c r="B396" s="47" t="s">
        <v>182</v>
      </c>
      <c r="C396" s="47"/>
      <c r="D396" s="40" t="s">
        <v>411</v>
      </c>
      <c r="E396" s="102">
        <v>25</v>
      </c>
      <c r="F396" s="44">
        <v>40</v>
      </c>
      <c r="G396" s="44">
        <f t="shared" si="24"/>
        <v>15</v>
      </c>
      <c r="H396" s="46" t="s">
        <v>42</v>
      </c>
      <c r="I396" s="90"/>
      <c r="J396" s="103">
        <f t="shared" si="25"/>
        <v>0.375</v>
      </c>
      <c r="K396" s="101">
        <v>43660</v>
      </c>
    </row>
    <row r="397" spans="1:11">
      <c r="A397" s="46">
        <v>74</v>
      </c>
      <c r="B397" s="47" t="s">
        <v>359</v>
      </c>
      <c r="C397" s="47"/>
      <c r="D397" s="40" t="s">
        <v>332</v>
      </c>
      <c r="E397" s="102">
        <v>4</v>
      </c>
      <c r="F397" s="44">
        <v>6</v>
      </c>
      <c r="G397" s="44">
        <f t="shared" si="24"/>
        <v>2</v>
      </c>
      <c r="H397" s="46" t="s">
        <v>42</v>
      </c>
      <c r="I397" s="90"/>
      <c r="J397" s="103">
        <f t="shared" si="25"/>
        <v>0.33333333333333331</v>
      </c>
      <c r="K397" s="101">
        <v>43660</v>
      </c>
    </row>
    <row r="398" spans="1:11">
      <c r="A398" s="46">
        <v>75</v>
      </c>
      <c r="B398" s="47" t="s">
        <v>387</v>
      </c>
      <c r="C398" s="47"/>
      <c r="D398" s="40"/>
      <c r="E398" s="102">
        <v>45</v>
      </c>
      <c r="F398" s="44">
        <v>100</v>
      </c>
      <c r="G398" s="44">
        <f t="shared" si="24"/>
        <v>55</v>
      </c>
      <c r="H398" s="46" t="s">
        <v>42</v>
      </c>
      <c r="I398" s="90"/>
      <c r="J398" s="103">
        <f t="shared" si="25"/>
        <v>0.55000000000000004</v>
      </c>
      <c r="K398" s="101">
        <v>43660</v>
      </c>
    </row>
    <row r="399" spans="1:11">
      <c r="A399" s="46">
        <v>76</v>
      </c>
      <c r="B399" s="63" t="s">
        <v>155</v>
      </c>
      <c r="C399" s="63"/>
      <c r="D399" s="40"/>
      <c r="E399" s="102">
        <v>16</v>
      </c>
      <c r="F399" s="44">
        <v>35</v>
      </c>
      <c r="G399" s="44">
        <f t="shared" si="24"/>
        <v>19</v>
      </c>
      <c r="H399" s="46" t="s">
        <v>42</v>
      </c>
      <c r="I399" s="90"/>
      <c r="J399" s="103">
        <f t="shared" si="25"/>
        <v>0.54285714285714282</v>
      </c>
      <c r="K399" s="101">
        <v>43661</v>
      </c>
    </row>
    <row r="400" spans="1:11">
      <c r="A400" s="46">
        <v>77</v>
      </c>
      <c r="B400" s="47" t="s">
        <v>387</v>
      </c>
      <c r="C400" s="47"/>
      <c r="D400" s="40" t="s">
        <v>360</v>
      </c>
      <c r="E400" s="102">
        <v>45</v>
      </c>
      <c r="F400" s="44">
        <v>100</v>
      </c>
      <c r="G400" s="44">
        <f t="shared" si="24"/>
        <v>55</v>
      </c>
      <c r="H400" s="46" t="s">
        <v>42</v>
      </c>
      <c r="I400" s="90"/>
      <c r="J400" s="103">
        <f t="shared" si="25"/>
        <v>0.55000000000000004</v>
      </c>
      <c r="K400" s="101">
        <v>43661</v>
      </c>
    </row>
    <row r="401" spans="1:11">
      <c r="A401" s="46">
        <v>78</v>
      </c>
      <c r="B401" s="47" t="s">
        <v>357</v>
      </c>
      <c r="C401" s="47"/>
      <c r="D401" s="40" t="s">
        <v>360</v>
      </c>
      <c r="E401" s="102">
        <v>45</v>
      </c>
      <c r="F401" s="44">
        <v>100</v>
      </c>
      <c r="G401" s="44">
        <f t="shared" si="24"/>
        <v>55</v>
      </c>
      <c r="H401" s="46" t="s">
        <v>42</v>
      </c>
      <c r="I401" s="90"/>
      <c r="J401" s="103">
        <f t="shared" si="25"/>
        <v>0.55000000000000004</v>
      </c>
      <c r="K401" s="101">
        <v>43661</v>
      </c>
    </row>
    <row r="402" spans="1:11">
      <c r="A402" s="46">
        <v>79</v>
      </c>
      <c r="B402" s="93" t="s">
        <v>337</v>
      </c>
      <c r="C402" s="93"/>
      <c r="D402" s="139"/>
      <c r="E402" s="99">
        <v>11.8</v>
      </c>
      <c r="F402" s="44">
        <v>20</v>
      </c>
      <c r="G402" s="44">
        <f t="shared" si="24"/>
        <v>8.1999999999999993</v>
      </c>
      <c r="H402" s="46" t="s">
        <v>42</v>
      </c>
      <c r="I402" s="90"/>
      <c r="J402" s="103">
        <f t="shared" si="25"/>
        <v>0.41</v>
      </c>
      <c r="K402" s="101">
        <v>43661</v>
      </c>
    </row>
    <row r="403" spans="1:11">
      <c r="A403" s="46">
        <v>80</v>
      </c>
      <c r="B403" s="47" t="s">
        <v>764</v>
      </c>
      <c r="C403" s="47"/>
      <c r="D403" s="40" t="s">
        <v>365</v>
      </c>
      <c r="E403" s="102">
        <v>18</v>
      </c>
      <c r="F403" s="44">
        <v>35</v>
      </c>
      <c r="G403" s="44">
        <f t="shared" si="24"/>
        <v>17</v>
      </c>
      <c r="H403" s="46" t="s">
        <v>42</v>
      </c>
      <c r="I403" s="90"/>
      <c r="J403" s="103">
        <f t="shared" si="25"/>
        <v>0.48571428571428571</v>
      </c>
      <c r="K403" s="101">
        <v>43662</v>
      </c>
    </row>
    <row r="404" spans="1:11">
      <c r="A404" s="46">
        <v>81</v>
      </c>
      <c r="B404" s="47" t="s">
        <v>267</v>
      </c>
      <c r="C404" s="47"/>
      <c r="D404" s="40" t="s">
        <v>364</v>
      </c>
      <c r="E404" s="102">
        <v>23.5</v>
      </c>
      <c r="F404" s="44">
        <v>50</v>
      </c>
      <c r="G404" s="44">
        <f t="shared" si="24"/>
        <v>26.5</v>
      </c>
      <c r="H404" s="46" t="s">
        <v>42</v>
      </c>
      <c r="I404" s="90"/>
      <c r="J404" s="103">
        <f t="shared" si="25"/>
        <v>0.53</v>
      </c>
      <c r="K404" s="101">
        <v>43662</v>
      </c>
    </row>
    <row r="405" spans="1:11">
      <c r="A405" s="46">
        <v>82</v>
      </c>
      <c r="B405" s="47" t="s">
        <v>470</v>
      </c>
      <c r="C405" s="47"/>
      <c r="D405" s="40" t="s">
        <v>332</v>
      </c>
      <c r="E405" s="102">
        <v>1</v>
      </c>
      <c r="F405" s="44">
        <v>2.5</v>
      </c>
      <c r="G405" s="44">
        <f t="shared" si="24"/>
        <v>1.5</v>
      </c>
      <c r="H405" s="46" t="s">
        <v>42</v>
      </c>
      <c r="I405" s="90"/>
      <c r="J405" s="103">
        <f t="shared" si="25"/>
        <v>0.6</v>
      </c>
      <c r="K405" s="101">
        <v>43662</v>
      </c>
    </row>
    <row r="406" spans="1:11">
      <c r="A406" s="46">
        <v>83</v>
      </c>
      <c r="B406" s="47" t="s">
        <v>473</v>
      </c>
      <c r="C406" s="47"/>
      <c r="D406" s="40" t="s">
        <v>474</v>
      </c>
      <c r="E406" s="102">
        <v>12</v>
      </c>
      <c r="F406" s="44">
        <v>26</v>
      </c>
      <c r="G406" s="44">
        <f t="shared" si="24"/>
        <v>14</v>
      </c>
      <c r="H406" s="46" t="s">
        <v>42</v>
      </c>
      <c r="I406" s="90"/>
      <c r="J406" s="103">
        <f t="shared" si="25"/>
        <v>0.53846153846153844</v>
      </c>
      <c r="K406" s="101">
        <v>43662</v>
      </c>
    </row>
    <row r="407" spans="1:11">
      <c r="A407" s="46">
        <v>84</v>
      </c>
      <c r="B407" s="47" t="s">
        <v>266</v>
      </c>
      <c r="C407" s="47"/>
      <c r="D407" s="40" t="s">
        <v>475</v>
      </c>
      <c r="E407" s="102">
        <v>18</v>
      </c>
      <c r="F407" s="44">
        <v>25</v>
      </c>
      <c r="G407" s="44">
        <f t="shared" si="24"/>
        <v>7</v>
      </c>
      <c r="H407" s="46" t="s">
        <v>42</v>
      </c>
      <c r="I407" s="90"/>
      <c r="J407" s="103">
        <f t="shared" si="25"/>
        <v>0.28000000000000003</v>
      </c>
      <c r="K407" s="101">
        <v>43662</v>
      </c>
    </row>
    <row r="408" spans="1:11">
      <c r="A408" s="46">
        <v>85</v>
      </c>
      <c r="B408" s="47" t="s">
        <v>361</v>
      </c>
      <c r="C408" s="47"/>
      <c r="D408" s="40" t="s">
        <v>36</v>
      </c>
      <c r="E408" s="102">
        <v>16.5</v>
      </c>
      <c r="F408" s="44">
        <v>25</v>
      </c>
      <c r="G408" s="44">
        <f t="shared" si="24"/>
        <v>8.5</v>
      </c>
      <c r="H408" s="46" t="s">
        <v>42</v>
      </c>
      <c r="I408" s="90"/>
      <c r="J408" s="103">
        <f t="shared" si="25"/>
        <v>0.34</v>
      </c>
      <c r="K408" s="101">
        <v>43663</v>
      </c>
    </row>
    <row r="409" spans="1:11">
      <c r="A409" s="46">
        <v>86</v>
      </c>
      <c r="B409" s="47" t="s">
        <v>477</v>
      </c>
      <c r="C409" s="47"/>
      <c r="D409" s="40" t="s">
        <v>493</v>
      </c>
      <c r="E409" s="102">
        <v>30</v>
      </c>
      <c r="F409" s="44">
        <v>50</v>
      </c>
      <c r="G409" s="44">
        <f t="shared" si="24"/>
        <v>20</v>
      </c>
      <c r="H409" s="46" t="s">
        <v>42</v>
      </c>
      <c r="I409" s="90"/>
      <c r="J409" s="103">
        <f t="shared" si="25"/>
        <v>0.4</v>
      </c>
      <c r="K409" s="101">
        <v>43663</v>
      </c>
    </row>
    <row r="410" spans="1:11">
      <c r="A410" s="46">
        <v>87</v>
      </c>
      <c r="B410" s="47" t="s">
        <v>476</v>
      </c>
      <c r="C410" s="47"/>
      <c r="D410" s="40" t="s">
        <v>36</v>
      </c>
      <c r="E410" s="102">
        <v>9.99</v>
      </c>
      <c r="F410" s="44">
        <v>20</v>
      </c>
      <c r="G410" s="44">
        <f t="shared" si="24"/>
        <v>10.01</v>
      </c>
      <c r="H410" s="46" t="s">
        <v>42</v>
      </c>
      <c r="I410" s="90"/>
      <c r="J410" s="103">
        <f t="shared" si="25"/>
        <v>0.50049999999999994</v>
      </c>
      <c r="K410" s="101">
        <v>43663</v>
      </c>
    </row>
    <row r="411" spans="1:11">
      <c r="A411" s="46">
        <v>88</v>
      </c>
      <c r="B411" s="47" t="s">
        <v>476</v>
      </c>
      <c r="C411" s="47"/>
      <c r="D411" s="40" t="s">
        <v>36</v>
      </c>
      <c r="E411" s="102">
        <v>9.99</v>
      </c>
      <c r="F411" s="44">
        <v>20</v>
      </c>
      <c r="G411" s="44">
        <f t="shared" si="24"/>
        <v>10.01</v>
      </c>
      <c r="H411" s="46" t="s">
        <v>42</v>
      </c>
      <c r="I411" s="90"/>
      <c r="J411" s="103">
        <f t="shared" si="25"/>
        <v>0.50049999999999994</v>
      </c>
      <c r="K411" s="101">
        <v>43663</v>
      </c>
    </row>
    <row r="412" spans="1:11">
      <c r="A412" s="46">
        <v>89</v>
      </c>
      <c r="B412" s="47" t="s">
        <v>367</v>
      </c>
      <c r="C412" s="47"/>
      <c r="D412" s="40" t="s">
        <v>369</v>
      </c>
      <c r="E412" s="102">
        <v>8.5</v>
      </c>
      <c r="F412" s="44">
        <v>20</v>
      </c>
      <c r="G412" s="44">
        <f t="shared" si="24"/>
        <v>11.5</v>
      </c>
      <c r="H412" s="46" t="s">
        <v>42</v>
      </c>
      <c r="I412" s="90"/>
      <c r="J412" s="103">
        <f t="shared" si="25"/>
        <v>0.57499999999999996</v>
      </c>
      <c r="K412" s="101">
        <v>43663</v>
      </c>
    </row>
    <row r="413" spans="1:11">
      <c r="A413" s="46">
        <v>90</v>
      </c>
      <c r="B413" s="47" t="s">
        <v>367</v>
      </c>
      <c r="C413" s="47"/>
      <c r="D413" s="40" t="s">
        <v>370</v>
      </c>
      <c r="E413" s="102">
        <v>8.5</v>
      </c>
      <c r="F413" s="44">
        <v>20</v>
      </c>
      <c r="G413" s="44">
        <f t="shared" si="24"/>
        <v>11.5</v>
      </c>
      <c r="H413" s="46" t="s">
        <v>42</v>
      </c>
      <c r="I413" s="90"/>
      <c r="J413" s="103">
        <f t="shared" si="25"/>
        <v>0.57499999999999996</v>
      </c>
      <c r="K413" s="101">
        <v>43663</v>
      </c>
    </row>
    <row r="414" spans="1:11">
      <c r="A414" s="46">
        <v>91</v>
      </c>
      <c r="B414" s="47" t="s">
        <v>357</v>
      </c>
      <c r="C414" s="47"/>
      <c r="D414" s="40" t="s">
        <v>36</v>
      </c>
      <c r="E414" s="102">
        <v>45</v>
      </c>
      <c r="F414" s="44">
        <v>100</v>
      </c>
      <c r="G414" s="44">
        <f t="shared" si="24"/>
        <v>55</v>
      </c>
      <c r="H414" s="46" t="s">
        <v>42</v>
      </c>
      <c r="I414" s="90"/>
      <c r="J414" s="103">
        <f t="shared" si="25"/>
        <v>0.55000000000000004</v>
      </c>
      <c r="K414" s="101">
        <v>43663</v>
      </c>
    </row>
    <row r="415" spans="1:11">
      <c r="A415" s="46">
        <v>92</v>
      </c>
      <c r="B415" s="47" t="s">
        <v>521</v>
      </c>
      <c r="C415" s="47"/>
      <c r="D415" s="40" t="s">
        <v>373</v>
      </c>
      <c r="E415" s="102">
        <v>30</v>
      </c>
      <c r="F415" s="44">
        <v>40</v>
      </c>
      <c r="G415" s="44">
        <f t="shared" si="24"/>
        <v>10</v>
      </c>
      <c r="H415" s="46" t="s">
        <v>42</v>
      </c>
      <c r="I415" s="90"/>
      <c r="J415" s="103">
        <f t="shared" si="25"/>
        <v>0.25</v>
      </c>
      <c r="K415" s="101">
        <v>43664</v>
      </c>
    </row>
    <row r="416" spans="1:11">
      <c r="A416" s="46">
        <v>93</v>
      </c>
      <c r="B416" s="47" t="s">
        <v>521</v>
      </c>
      <c r="C416" s="47"/>
      <c r="D416" s="40"/>
      <c r="E416" s="102">
        <v>30</v>
      </c>
      <c r="F416" s="44">
        <v>50</v>
      </c>
      <c r="G416" s="44">
        <f t="shared" si="24"/>
        <v>20</v>
      </c>
      <c r="H416" s="46" t="s">
        <v>42</v>
      </c>
      <c r="I416" s="90"/>
      <c r="J416" s="103">
        <f t="shared" si="25"/>
        <v>0.4</v>
      </c>
      <c r="K416" s="101">
        <v>43664</v>
      </c>
    </row>
    <row r="417" spans="1:11">
      <c r="A417" s="46">
        <v>94</v>
      </c>
      <c r="B417" s="47" t="s">
        <v>182</v>
      </c>
      <c r="C417" s="47"/>
      <c r="D417" s="40" t="s">
        <v>382</v>
      </c>
      <c r="E417" s="102">
        <v>22</v>
      </c>
      <c r="F417" s="44">
        <v>40</v>
      </c>
      <c r="G417" s="44">
        <f t="shared" si="24"/>
        <v>18</v>
      </c>
      <c r="H417" s="46" t="s">
        <v>42</v>
      </c>
      <c r="I417" s="90"/>
      <c r="J417" s="103">
        <f t="shared" si="25"/>
        <v>0.45</v>
      </c>
      <c r="K417" s="101">
        <v>43664</v>
      </c>
    </row>
    <row r="418" spans="1:11">
      <c r="A418" s="46">
        <v>95</v>
      </c>
      <c r="B418" s="47" t="s">
        <v>367</v>
      </c>
      <c r="C418" s="47"/>
      <c r="D418" s="40" t="s">
        <v>375</v>
      </c>
      <c r="E418" s="102">
        <v>8.5</v>
      </c>
      <c r="F418" s="44">
        <v>20</v>
      </c>
      <c r="G418" s="44">
        <f t="shared" si="24"/>
        <v>11.5</v>
      </c>
      <c r="H418" s="46" t="s">
        <v>42</v>
      </c>
      <c r="I418" s="90"/>
      <c r="J418" s="103">
        <f t="shared" si="25"/>
        <v>0.57499999999999996</v>
      </c>
      <c r="K418" s="101">
        <v>43664</v>
      </c>
    </row>
    <row r="419" spans="1:11">
      <c r="A419" s="46">
        <v>96</v>
      </c>
      <c r="B419" s="47" t="s">
        <v>367</v>
      </c>
      <c r="C419" s="47"/>
      <c r="D419" s="40" t="s">
        <v>374</v>
      </c>
      <c r="E419" s="102">
        <v>8.5</v>
      </c>
      <c r="F419" s="44">
        <v>25</v>
      </c>
      <c r="G419" s="44">
        <f t="shared" si="24"/>
        <v>16.5</v>
      </c>
      <c r="H419" s="46" t="s">
        <v>42</v>
      </c>
      <c r="I419" s="90"/>
      <c r="J419" s="103">
        <f t="shared" si="25"/>
        <v>0.66</v>
      </c>
      <c r="K419" s="101">
        <v>43664</v>
      </c>
    </row>
    <row r="420" spans="1:11">
      <c r="A420" s="46">
        <v>97</v>
      </c>
      <c r="B420" s="47" t="s">
        <v>367</v>
      </c>
      <c r="C420" s="47"/>
      <c r="D420" s="40" t="s">
        <v>376</v>
      </c>
      <c r="E420" s="102">
        <v>8.5</v>
      </c>
      <c r="F420" s="44">
        <v>30</v>
      </c>
      <c r="G420" s="44">
        <f t="shared" ref="G420:G451" si="26">F420-E420</f>
        <v>21.5</v>
      </c>
      <c r="H420" s="46" t="s">
        <v>42</v>
      </c>
      <c r="I420" s="90"/>
      <c r="J420" s="103">
        <f t="shared" si="25"/>
        <v>0.71666666666666667</v>
      </c>
      <c r="K420" s="101">
        <v>43664</v>
      </c>
    </row>
    <row r="421" spans="1:11">
      <c r="A421" s="46">
        <v>98</v>
      </c>
      <c r="B421" s="47" t="s">
        <v>367</v>
      </c>
      <c r="C421" s="47"/>
      <c r="D421" s="40" t="s">
        <v>379</v>
      </c>
      <c r="E421" s="102">
        <v>8.5</v>
      </c>
      <c r="F421" s="44">
        <v>20</v>
      </c>
      <c r="G421" s="44">
        <f t="shared" si="26"/>
        <v>11.5</v>
      </c>
      <c r="H421" s="46" t="s">
        <v>42</v>
      </c>
      <c r="I421" s="90"/>
      <c r="J421" s="103">
        <f t="shared" si="25"/>
        <v>0.57499999999999996</v>
      </c>
      <c r="K421" s="101">
        <v>43664</v>
      </c>
    </row>
    <row r="422" spans="1:11">
      <c r="A422" s="46">
        <v>99</v>
      </c>
      <c r="B422" s="47" t="s">
        <v>367</v>
      </c>
      <c r="C422" s="47"/>
      <c r="D422" s="40" t="s">
        <v>380</v>
      </c>
      <c r="E422" s="102">
        <v>8.5</v>
      </c>
      <c r="F422" s="44">
        <v>25</v>
      </c>
      <c r="G422" s="44">
        <f t="shared" si="26"/>
        <v>16.5</v>
      </c>
      <c r="H422" s="46" t="s">
        <v>42</v>
      </c>
      <c r="I422" s="90"/>
      <c r="J422" s="103">
        <f t="shared" si="25"/>
        <v>0.66</v>
      </c>
      <c r="K422" s="101">
        <v>43664</v>
      </c>
    </row>
    <row r="423" spans="1:11">
      <c r="A423" s="46">
        <v>100</v>
      </c>
      <c r="B423" s="47" t="s">
        <v>367</v>
      </c>
      <c r="C423" s="47"/>
      <c r="D423" s="40" t="s">
        <v>378</v>
      </c>
      <c r="E423" s="102">
        <v>8.5</v>
      </c>
      <c r="F423" s="44">
        <v>20</v>
      </c>
      <c r="G423" s="44">
        <f t="shared" si="26"/>
        <v>11.5</v>
      </c>
      <c r="H423" s="46" t="s">
        <v>42</v>
      </c>
      <c r="I423" s="90"/>
      <c r="J423" s="103">
        <f t="shared" si="25"/>
        <v>0.57499999999999996</v>
      </c>
      <c r="K423" s="101">
        <v>43664</v>
      </c>
    </row>
    <row r="424" spans="1:11">
      <c r="A424" s="46">
        <v>101</v>
      </c>
      <c r="B424" s="47" t="s">
        <v>367</v>
      </c>
      <c r="C424" s="47"/>
      <c r="D424" s="40" t="s">
        <v>494</v>
      </c>
      <c r="E424" s="102">
        <v>8.5</v>
      </c>
      <c r="F424" s="44">
        <v>20</v>
      </c>
      <c r="G424" s="44">
        <f t="shared" si="26"/>
        <v>11.5</v>
      </c>
      <c r="H424" s="46" t="s">
        <v>42</v>
      </c>
      <c r="I424" s="90"/>
      <c r="J424" s="103">
        <f t="shared" si="25"/>
        <v>0.57499999999999996</v>
      </c>
      <c r="K424" s="101">
        <v>43664</v>
      </c>
    </row>
    <row r="425" spans="1:11">
      <c r="A425" s="46">
        <v>102</v>
      </c>
      <c r="B425" s="47" t="s">
        <v>367</v>
      </c>
      <c r="C425" s="47"/>
      <c r="D425" s="40" t="s">
        <v>377</v>
      </c>
      <c r="E425" s="102">
        <v>8.5</v>
      </c>
      <c r="F425" s="44">
        <v>20</v>
      </c>
      <c r="G425" s="44">
        <f t="shared" si="26"/>
        <v>11.5</v>
      </c>
      <c r="H425" s="46" t="s">
        <v>42</v>
      </c>
      <c r="I425" s="90"/>
      <c r="J425" s="103">
        <f t="shared" si="25"/>
        <v>0.57499999999999996</v>
      </c>
      <c r="K425" s="101">
        <v>43664</v>
      </c>
    </row>
    <row r="426" spans="1:11">
      <c r="A426" s="46">
        <v>103</v>
      </c>
      <c r="B426" s="47" t="s">
        <v>367</v>
      </c>
      <c r="C426" s="47"/>
      <c r="D426" s="40" t="s">
        <v>372</v>
      </c>
      <c r="E426" s="102">
        <v>8.5</v>
      </c>
      <c r="F426" s="44">
        <v>20</v>
      </c>
      <c r="G426" s="44">
        <f t="shared" si="26"/>
        <v>11.5</v>
      </c>
      <c r="H426" s="46" t="s">
        <v>42</v>
      </c>
      <c r="I426" s="90"/>
      <c r="J426" s="103">
        <f t="shared" ref="J426:J457" si="27">SUM(F426-E426)/F426</f>
        <v>0.57499999999999996</v>
      </c>
      <c r="K426" s="101">
        <v>43664</v>
      </c>
    </row>
    <row r="427" spans="1:11">
      <c r="A427" s="46">
        <v>104</v>
      </c>
      <c r="B427" s="47" t="s">
        <v>367</v>
      </c>
      <c r="C427" s="47"/>
      <c r="D427" s="40" t="s">
        <v>372</v>
      </c>
      <c r="E427" s="102">
        <v>8.5</v>
      </c>
      <c r="F427" s="44">
        <v>20</v>
      </c>
      <c r="G427" s="44">
        <f t="shared" si="26"/>
        <v>11.5</v>
      </c>
      <c r="H427" s="46" t="s">
        <v>42</v>
      </c>
      <c r="I427" s="90"/>
      <c r="J427" s="103">
        <f t="shared" si="27"/>
        <v>0.57499999999999996</v>
      </c>
      <c r="K427" s="101">
        <v>43664</v>
      </c>
    </row>
    <row r="428" spans="1:11">
      <c r="A428" s="46">
        <v>105</v>
      </c>
      <c r="B428" s="47" t="s">
        <v>367</v>
      </c>
      <c r="C428" s="47"/>
      <c r="D428" s="40"/>
      <c r="E428" s="102">
        <v>8.5</v>
      </c>
      <c r="F428" s="44">
        <v>20</v>
      </c>
      <c r="G428" s="44">
        <f t="shared" si="26"/>
        <v>11.5</v>
      </c>
      <c r="H428" s="46" t="s">
        <v>42</v>
      </c>
      <c r="I428" s="23"/>
      <c r="J428" s="103">
        <f t="shared" si="27"/>
        <v>0.57499999999999996</v>
      </c>
      <c r="K428" s="101">
        <v>43665</v>
      </c>
    </row>
    <row r="429" spans="1:11">
      <c r="A429" s="46">
        <v>106</v>
      </c>
      <c r="B429" s="47" t="s">
        <v>178</v>
      </c>
      <c r="C429" s="47"/>
      <c r="D429" s="40" t="s">
        <v>392</v>
      </c>
      <c r="E429" s="102">
        <v>35</v>
      </c>
      <c r="F429" s="44">
        <v>45</v>
      </c>
      <c r="G429" s="44">
        <f t="shared" si="26"/>
        <v>10</v>
      </c>
      <c r="H429" s="46" t="s">
        <v>42</v>
      </c>
      <c r="I429" s="90"/>
      <c r="J429" s="103">
        <f t="shared" si="27"/>
        <v>0.22222222222222221</v>
      </c>
      <c r="K429" s="101">
        <v>43666</v>
      </c>
    </row>
    <row r="430" spans="1:11">
      <c r="A430" s="46">
        <v>107</v>
      </c>
      <c r="B430" s="47" t="s">
        <v>321</v>
      </c>
      <c r="C430" s="47"/>
      <c r="D430" s="40" t="s">
        <v>495</v>
      </c>
      <c r="E430" s="102">
        <v>5</v>
      </c>
      <c r="F430" s="44">
        <v>15</v>
      </c>
      <c r="G430" s="44">
        <f t="shared" si="26"/>
        <v>10</v>
      </c>
      <c r="H430" s="46" t="s">
        <v>42</v>
      </c>
      <c r="I430" s="23"/>
      <c r="J430" s="103">
        <f t="shared" si="27"/>
        <v>0.66666666666666663</v>
      </c>
      <c r="K430" s="101">
        <v>43666</v>
      </c>
    </row>
    <row r="431" spans="1:11">
      <c r="A431" s="46">
        <v>108</v>
      </c>
      <c r="B431" s="47" t="s">
        <v>367</v>
      </c>
      <c r="C431" s="47"/>
      <c r="D431" s="40" t="s">
        <v>392</v>
      </c>
      <c r="E431" s="102">
        <v>8.5</v>
      </c>
      <c r="F431" s="44">
        <v>10</v>
      </c>
      <c r="G431" s="44">
        <f t="shared" si="26"/>
        <v>1.5</v>
      </c>
      <c r="H431" s="46" t="s">
        <v>42</v>
      </c>
      <c r="I431" s="23"/>
      <c r="J431" s="103">
        <f t="shared" si="27"/>
        <v>0.15</v>
      </c>
      <c r="K431" s="101">
        <v>43666</v>
      </c>
    </row>
    <row r="432" spans="1:11">
      <c r="A432" s="46">
        <v>109</v>
      </c>
      <c r="B432" s="47" t="s">
        <v>132</v>
      </c>
      <c r="C432" s="47"/>
      <c r="D432" s="40" t="s">
        <v>41</v>
      </c>
      <c r="E432" s="102">
        <v>20</v>
      </c>
      <c r="F432" s="44">
        <v>40</v>
      </c>
      <c r="G432" s="44">
        <f t="shared" si="26"/>
        <v>20</v>
      </c>
      <c r="H432" s="46" t="s">
        <v>42</v>
      </c>
      <c r="I432" s="90"/>
      <c r="J432" s="103">
        <f t="shared" si="27"/>
        <v>0.5</v>
      </c>
      <c r="K432" s="101">
        <v>43666</v>
      </c>
    </row>
    <row r="433" spans="1:11">
      <c r="A433" s="46">
        <v>110</v>
      </c>
      <c r="B433" s="47" t="s">
        <v>385</v>
      </c>
      <c r="C433" s="47"/>
      <c r="D433" s="40" t="s">
        <v>41</v>
      </c>
      <c r="E433" s="102">
        <v>70</v>
      </c>
      <c r="F433" s="44">
        <v>120</v>
      </c>
      <c r="G433" s="44">
        <f t="shared" si="26"/>
        <v>50</v>
      </c>
      <c r="H433" s="46" t="s">
        <v>42</v>
      </c>
      <c r="I433" s="90"/>
      <c r="J433" s="103">
        <f t="shared" si="27"/>
        <v>0.41666666666666669</v>
      </c>
      <c r="K433" s="101">
        <v>43666</v>
      </c>
    </row>
    <row r="434" spans="1:11">
      <c r="A434" s="46">
        <v>111</v>
      </c>
      <c r="B434" s="93" t="s">
        <v>327</v>
      </c>
      <c r="C434" s="93"/>
      <c r="D434" s="139" t="s">
        <v>41</v>
      </c>
      <c r="E434" s="99">
        <v>39.99</v>
      </c>
      <c r="F434" s="44">
        <v>60</v>
      </c>
      <c r="G434" s="44">
        <f t="shared" si="26"/>
        <v>20.009999999999998</v>
      </c>
      <c r="H434" s="46" t="s">
        <v>42</v>
      </c>
      <c r="I434" s="90"/>
      <c r="J434" s="103">
        <f t="shared" si="27"/>
        <v>0.33349999999999996</v>
      </c>
      <c r="K434" s="101">
        <v>43666</v>
      </c>
    </row>
    <row r="435" spans="1:11">
      <c r="A435" s="46">
        <v>112</v>
      </c>
      <c r="B435" s="47" t="s">
        <v>367</v>
      </c>
      <c r="C435" s="47"/>
      <c r="D435" s="40" t="s">
        <v>288</v>
      </c>
      <c r="E435" s="102">
        <v>8.5</v>
      </c>
      <c r="F435" s="44">
        <v>10</v>
      </c>
      <c r="G435" s="44">
        <f t="shared" si="26"/>
        <v>1.5</v>
      </c>
      <c r="H435" s="46" t="s">
        <v>42</v>
      </c>
      <c r="I435" s="90"/>
      <c r="J435" s="103">
        <f t="shared" si="27"/>
        <v>0.15</v>
      </c>
      <c r="K435" s="101">
        <v>43667</v>
      </c>
    </row>
    <row r="436" spans="1:11">
      <c r="A436" s="46">
        <v>113</v>
      </c>
      <c r="B436" s="47" t="s">
        <v>521</v>
      </c>
      <c r="C436" s="47"/>
      <c r="D436" s="40"/>
      <c r="E436" s="102">
        <v>30</v>
      </c>
      <c r="F436" s="44">
        <v>45</v>
      </c>
      <c r="G436" s="44">
        <f t="shared" si="26"/>
        <v>15</v>
      </c>
      <c r="H436" s="46" t="s">
        <v>42</v>
      </c>
      <c r="I436" s="90"/>
      <c r="J436" s="103">
        <f t="shared" si="27"/>
        <v>0.33333333333333331</v>
      </c>
      <c r="K436" s="101">
        <v>43668</v>
      </c>
    </row>
    <row r="437" spans="1:11">
      <c r="A437" s="46">
        <v>114</v>
      </c>
      <c r="B437" s="47" t="s">
        <v>367</v>
      </c>
      <c r="C437" s="47"/>
      <c r="D437" s="40" t="s">
        <v>386</v>
      </c>
      <c r="E437" s="102">
        <v>8.5</v>
      </c>
      <c r="F437" s="44">
        <v>30</v>
      </c>
      <c r="G437" s="44">
        <f t="shared" si="26"/>
        <v>21.5</v>
      </c>
      <c r="H437" s="46" t="s">
        <v>42</v>
      </c>
      <c r="I437" s="23"/>
      <c r="J437" s="103">
        <f t="shared" si="27"/>
        <v>0.71666666666666667</v>
      </c>
      <c r="K437" s="101">
        <v>43668</v>
      </c>
    </row>
    <row r="438" spans="1:11">
      <c r="A438" s="46">
        <v>115</v>
      </c>
      <c r="B438" s="85" t="s">
        <v>452</v>
      </c>
      <c r="C438" s="85"/>
      <c r="D438" s="24" t="s">
        <v>407</v>
      </c>
      <c r="E438" s="102">
        <v>34</v>
      </c>
      <c r="F438" s="44">
        <v>100</v>
      </c>
      <c r="G438" s="21">
        <f t="shared" si="26"/>
        <v>66</v>
      </c>
      <c r="H438" s="46" t="s">
        <v>42</v>
      </c>
      <c r="I438" s="90"/>
      <c r="J438" s="103">
        <f t="shared" si="27"/>
        <v>0.66</v>
      </c>
      <c r="K438" s="101">
        <v>43668</v>
      </c>
    </row>
    <row r="439" spans="1:11">
      <c r="A439" s="46">
        <v>116</v>
      </c>
      <c r="B439" s="47" t="s">
        <v>478</v>
      </c>
      <c r="C439" s="47"/>
      <c r="D439" s="40" t="s">
        <v>388</v>
      </c>
      <c r="E439" s="102">
        <v>20</v>
      </c>
      <c r="F439" s="44">
        <v>30</v>
      </c>
      <c r="G439" s="44">
        <f t="shared" si="26"/>
        <v>10</v>
      </c>
      <c r="H439" s="46" t="s">
        <v>42</v>
      </c>
      <c r="I439" s="90"/>
      <c r="J439" s="103">
        <f t="shared" si="27"/>
        <v>0.33333333333333331</v>
      </c>
      <c r="K439" s="101">
        <v>43668</v>
      </c>
    </row>
    <row r="440" spans="1:11">
      <c r="A440" s="46">
        <v>117</v>
      </c>
      <c r="B440" s="47" t="s">
        <v>399</v>
      </c>
      <c r="C440" s="47"/>
      <c r="D440" s="40" t="s">
        <v>36</v>
      </c>
      <c r="E440" s="102">
        <v>24</v>
      </c>
      <c r="F440" s="44">
        <v>35</v>
      </c>
      <c r="G440" s="44">
        <f t="shared" si="26"/>
        <v>11</v>
      </c>
      <c r="H440" s="46" t="s">
        <v>42</v>
      </c>
      <c r="I440" s="90"/>
      <c r="J440" s="103">
        <f t="shared" si="27"/>
        <v>0.31428571428571428</v>
      </c>
      <c r="K440" s="101">
        <v>43669</v>
      </c>
    </row>
    <row r="441" spans="1:11">
      <c r="A441" s="46">
        <v>118</v>
      </c>
      <c r="B441" s="47" t="s">
        <v>178</v>
      </c>
      <c r="C441" s="47"/>
      <c r="D441" s="40" t="s">
        <v>496</v>
      </c>
      <c r="E441" s="102">
        <v>35</v>
      </c>
      <c r="F441" s="44">
        <v>70</v>
      </c>
      <c r="G441" s="44">
        <f t="shared" si="26"/>
        <v>35</v>
      </c>
      <c r="H441" s="46" t="s">
        <v>42</v>
      </c>
      <c r="I441" s="90"/>
      <c r="J441" s="103">
        <f t="shared" si="27"/>
        <v>0.5</v>
      </c>
      <c r="K441" s="101">
        <v>43669</v>
      </c>
    </row>
    <row r="442" spans="1:11">
      <c r="A442" s="46">
        <v>119</v>
      </c>
      <c r="B442" s="47" t="s">
        <v>321</v>
      </c>
      <c r="C442" s="47"/>
      <c r="D442" s="40"/>
      <c r="E442" s="102">
        <v>5</v>
      </c>
      <c r="F442" s="44">
        <v>15</v>
      </c>
      <c r="G442" s="44">
        <f t="shared" si="26"/>
        <v>10</v>
      </c>
      <c r="H442" s="46" t="s">
        <v>42</v>
      </c>
      <c r="I442" s="90"/>
      <c r="J442" s="103">
        <f t="shared" si="27"/>
        <v>0.66666666666666663</v>
      </c>
      <c r="K442" s="101">
        <v>43669</v>
      </c>
    </row>
    <row r="443" spans="1:11">
      <c r="A443" s="46">
        <v>120</v>
      </c>
      <c r="B443" s="47" t="s">
        <v>497</v>
      </c>
      <c r="C443" s="47"/>
      <c r="D443" s="40" t="s">
        <v>498</v>
      </c>
      <c r="E443" s="102">
        <v>2</v>
      </c>
      <c r="F443" s="44">
        <v>5</v>
      </c>
      <c r="G443" s="44">
        <f t="shared" si="26"/>
        <v>3</v>
      </c>
      <c r="H443" s="46" t="s">
        <v>42</v>
      </c>
      <c r="I443" s="90"/>
      <c r="J443" s="103">
        <f t="shared" si="27"/>
        <v>0.6</v>
      </c>
      <c r="K443" s="101">
        <v>43669</v>
      </c>
    </row>
    <row r="444" spans="1:11">
      <c r="A444" s="46">
        <v>121</v>
      </c>
      <c r="B444" s="47" t="s">
        <v>499</v>
      </c>
      <c r="C444" s="47"/>
      <c r="D444" s="40" t="s">
        <v>398</v>
      </c>
      <c r="E444" s="102">
        <v>13</v>
      </c>
      <c r="F444" s="44">
        <v>30</v>
      </c>
      <c r="G444" s="44">
        <f t="shared" si="26"/>
        <v>17</v>
      </c>
      <c r="H444" s="46" t="s">
        <v>42</v>
      </c>
      <c r="I444" s="90"/>
      <c r="J444" s="103">
        <f t="shared" si="27"/>
        <v>0.56666666666666665</v>
      </c>
      <c r="K444" s="101">
        <v>43669</v>
      </c>
    </row>
    <row r="445" spans="1:11">
      <c r="A445" s="46">
        <v>122</v>
      </c>
      <c r="B445" s="47" t="s">
        <v>484</v>
      </c>
      <c r="C445" s="47"/>
      <c r="D445" s="40" t="s">
        <v>395</v>
      </c>
      <c r="E445" s="102">
        <v>120.8</v>
      </c>
      <c r="F445" s="44">
        <v>230</v>
      </c>
      <c r="G445" s="44">
        <f t="shared" si="26"/>
        <v>109.2</v>
      </c>
      <c r="H445" s="46" t="s">
        <v>42</v>
      </c>
      <c r="I445" s="90"/>
      <c r="J445" s="103">
        <f t="shared" si="27"/>
        <v>0.4747826086956522</v>
      </c>
      <c r="K445" s="101">
        <v>43669</v>
      </c>
    </row>
    <row r="446" spans="1:11">
      <c r="A446" s="46">
        <v>123</v>
      </c>
      <c r="B446" s="47" t="s">
        <v>367</v>
      </c>
      <c r="C446" s="47"/>
      <c r="D446" s="40" t="s">
        <v>500</v>
      </c>
      <c r="E446" s="102">
        <v>8.5</v>
      </c>
      <c r="F446" s="44">
        <v>30</v>
      </c>
      <c r="G446" s="44">
        <f t="shared" si="26"/>
        <v>21.5</v>
      </c>
      <c r="H446" s="46" t="s">
        <v>42</v>
      </c>
      <c r="I446" s="23"/>
      <c r="J446" s="103">
        <f t="shared" si="27"/>
        <v>0.71666666666666667</v>
      </c>
      <c r="K446" s="101">
        <v>43669</v>
      </c>
    </row>
    <row r="447" spans="1:11">
      <c r="A447" s="46">
        <v>124</v>
      </c>
      <c r="B447" s="47" t="s">
        <v>367</v>
      </c>
      <c r="C447" s="47"/>
      <c r="D447" s="40"/>
      <c r="E447" s="102">
        <v>8.5</v>
      </c>
      <c r="F447" s="44">
        <v>17.5</v>
      </c>
      <c r="G447" s="44">
        <f t="shared" si="26"/>
        <v>9</v>
      </c>
      <c r="H447" s="46" t="s">
        <v>42</v>
      </c>
      <c r="I447" s="103"/>
      <c r="J447" s="103">
        <f t="shared" si="27"/>
        <v>0.51428571428571423</v>
      </c>
      <c r="K447" s="101">
        <v>43669</v>
      </c>
    </row>
    <row r="448" spans="1:11">
      <c r="A448" s="46">
        <v>125</v>
      </c>
      <c r="B448" s="47" t="s">
        <v>367</v>
      </c>
      <c r="C448" s="47"/>
      <c r="D448" s="40"/>
      <c r="E448" s="102">
        <v>8.5</v>
      </c>
      <c r="F448" s="44">
        <v>17.5</v>
      </c>
      <c r="G448" s="44">
        <f t="shared" si="26"/>
        <v>9</v>
      </c>
      <c r="H448" s="46" t="s">
        <v>42</v>
      </c>
      <c r="I448" s="103"/>
      <c r="J448" s="103">
        <f t="shared" si="27"/>
        <v>0.51428571428571423</v>
      </c>
      <c r="K448" s="101">
        <v>43669</v>
      </c>
    </row>
    <row r="449" spans="1:11">
      <c r="A449" s="46">
        <v>126</v>
      </c>
      <c r="B449" s="47" t="s">
        <v>501</v>
      </c>
      <c r="C449" s="47"/>
      <c r="D449" s="40" t="s">
        <v>498</v>
      </c>
      <c r="E449" s="102">
        <v>12</v>
      </c>
      <c r="F449" s="44">
        <v>25</v>
      </c>
      <c r="G449" s="44">
        <f t="shared" si="26"/>
        <v>13</v>
      </c>
      <c r="H449" s="46" t="s">
        <v>42</v>
      </c>
      <c r="I449" s="90"/>
      <c r="J449" s="103">
        <f t="shared" si="27"/>
        <v>0.52</v>
      </c>
      <c r="K449" s="101">
        <v>43669</v>
      </c>
    </row>
    <row r="450" spans="1:11">
      <c r="A450" s="46">
        <v>127</v>
      </c>
      <c r="B450" s="47" t="s">
        <v>400</v>
      </c>
      <c r="C450" s="47"/>
      <c r="D450" s="40"/>
      <c r="E450" s="102">
        <v>30</v>
      </c>
      <c r="F450" s="44">
        <v>55</v>
      </c>
      <c r="G450" s="44">
        <f t="shared" si="26"/>
        <v>25</v>
      </c>
      <c r="H450" s="46" t="s">
        <v>42</v>
      </c>
      <c r="I450" s="90"/>
      <c r="J450" s="103">
        <f t="shared" si="27"/>
        <v>0.45454545454545453</v>
      </c>
      <c r="K450" s="101">
        <v>43669</v>
      </c>
    </row>
    <row r="451" spans="1:11">
      <c r="A451" s="46">
        <v>128</v>
      </c>
      <c r="B451" s="47" t="s">
        <v>502</v>
      </c>
      <c r="C451" s="47"/>
      <c r="D451" s="40" t="s">
        <v>322</v>
      </c>
      <c r="E451" s="102">
        <v>5</v>
      </c>
      <c r="F451" s="44">
        <v>10</v>
      </c>
      <c r="G451" s="44">
        <f t="shared" si="26"/>
        <v>5</v>
      </c>
      <c r="H451" s="46" t="s">
        <v>42</v>
      </c>
      <c r="I451" s="90"/>
      <c r="J451" s="103">
        <f t="shared" si="27"/>
        <v>0.5</v>
      </c>
      <c r="K451" s="101">
        <v>43671</v>
      </c>
    </row>
    <row r="452" spans="1:11">
      <c r="A452" s="46">
        <v>129</v>
      </c>
      <c r="B452" s="47" t="s">
        <v>362</v>
      </c>
      <c r="C452" s="47"/>
      <c r="D452" s="40" t="s">
        <v>457</v>
      </c>
      <c r="E452" s="102">
        <v>6</v>
      </c>
      <c r="F452" s="44">
        <v>15</v>
      </c>
      <c r="G452" s="21">
        <f t="shared" ref="G452:G473" si="28">F452-E452</f>
        <v>9</v>
      </c>
      <c r="H452" s="46" t="s">
        <v>42</v>
      </c>
      <c r="I452" s="90"/>
      <c r="J452" s="103">
        <f t="shared" si="27"/>
        <v>0.6</v>
      </c>
      <c r="K452" s="101">
        <v>43672</v>
      </c>
    </row>
    <row r="453" spans="1:11">
      <c r="A453" s="46">
        <v>130</v>
      </c>
      <c r="B453" s="19" t="s">
        <v>403</v>
      </c>
      <c r="C453" s="19"/>
      <c r="D453" s="24" t="s">
        <v>503</v>
      </c>
      <c r="E453" s="104">
        <v>15</v>
      </c>
      <c r="F453" s="104">
        <v>30</v>
      </c>
      <c r="G453" s="21">
        <f t="shared" si="28"/>
        <v>15</v>
      </c>
      <c r="H453" s="8" t="s">
        <v>42</v>
      </c>
      <c r="I453" s="23"/>
      <c r="J453" s="103">
        <f t="shared" si="27"/>
        <v>0.5</v>
      </c>
      <c r="K453" s="101">
        <v>43672</v>
      </c>
    </row>
    <row r="454" spans="1:11">
      <c r="A454" s="46">
        <v>131</v>
      </c>
      <c r="B454" s="19" t="s">
        <v>405</v>
      </c>
      <c r="C454" s="19"/>
      <c r="D454" s="24" t="s">
        <v>457</v>
      </c>
      <c r="E454" s="94">
        <v>23</v>
      </c>
      <c r="F454" s="21">
        <v>40</v>
      </c>
      <c r="G454" s="21">
        <f t="shared" si="28"/>
        <v>17</v>
      </c>
      <c r="H454" s="8" t="s">
        <v>42</v>
      </c>
      <c r="I454" s="23"/>
      <c r="J454" s="103">
        <f t="shared" si="27"/>
        <v>0.42499999999999999</v>
      </c>
      <c r="K454" s="101">
        <v>43672</v>
      </c>
    </row>
    <row r="455" spans="1:11">
      <c r="A455" s="46">
        <v>132</v>
      </c>
      <c r="B455" s="47" t="s">
        <v>182</v>
      </c>
      <c r="C455" s="47"/>
      <c r="D455" s="40" t="s">
        <v>382</v>
      </c>
      <c r="E455" s="102">
        <v>22</v>
      </c>
      <c r="F455" s="44">
        <v>40</v>
      </c>
      <c r="G455" s="21">
        <f t="shared" si="28"/>
        <v>18</v>
      </c>
      <c r="H455" s="46" t="s">
        <v>42</v>
      </c>
      <c r="I455" s="90"/>
      <c r="J455" s="103">
        <f t="shared" si="27"/>
        <v>0.45</v>
      </c>
      <c r="K455" s="101">
        <v>43672</v>
      </c>
    </row>
    <row r="456" spans="1:11">
      <c r="A456" s="46">
        <v>133</v>
      </c>
      <c r="B456" s="47" t="s">
        <v>393</v>
      </c>
      <c r="C456" s="47"/>
      <c r="D456" s="40" t="s">
        <v>394</v>
      </c>
      <c r="E456" s="102">
        <v>11.5</v>
      </c>
      <c r="F456" s="44">
        <v>25</v>
      </c>
      <c r="G456" s="21">
        <f t="shared" si="28"/>
        <v>13.5</v>
      </c>
      <c r="H456" s="46" t="s">
        <v>42</v>
      </c>
      <c r="I456" s="90"/>
      <c r="J456" s="103">
        <f t="shared" si="27"/>
        <v>0.54</v>
      </c>
      <c r="K456" s="101">
        <v>43672</v>
      </c>
    </row>
    <row r="457" spans="1:11">
      <c r="A457" s="46">
        <v>134</v>
      </c>
      <c r="B457" s="47" t="s">
        <v>182</v>
      </c>
      <c r="C457" s="47"/>
      <c r="D457" s="40" t="s">
        <v>504</v>
      </c>
      <c r="E457" s="102">
        <v>22</v>
      </c>
      <c r="F457" s="44">
        <v>40</v>
      </c>
      <c r="G457" s="21">
        <f t="shared" si="28"/>
        <v>18</v>
      </c>
      <c r="H457" s="46" t="s">
        <v>42</v>
      </c>
      <c r="I457" s="90"/>
      <c r="J457" s="103">
        <f t="shared" si="27"/>
        <v>0.45</v>
      </c>
      <c r="K457" s="101">
        <v>43673</v>
      </c>
    </row>
    <row r="458" spans="1:11">
      <c r="A458" s="46">
        <v>135</v>
      </c>
      <c r="B458" s="19" t="s">
        <v>480</v>
      </c>
      <c r="C458" s="19"/>
      <c r="D458" s="24" t="s">
        <v>505</v>
      </c>
      <c r="E458" s="94">
        <v>20</v>
      </c>
      <c r="F458" s="21">
        <v>30</v>
      </c>
      <c r="G458" s="21">
        <f t="shared" si="28"/>
        <v>10</v>
      </c>
      <c r="H458" s="8" t="s">
        <v>42</v>
      </c>
      <c r="I458" s="23"/>
      <c r="J458" s="103">
        <f t="shared" ref="J458:J473" si="29">SUM(F458-E458)/F458</f>
        <v>0.33333333333333331</v>
      </c>
      <c r="K458" s="74">
        <v>43675</v>
      </c>
    </row>
    <row r="459" spans="1:11">
      <c r="A459" s="46">
        <v>136</v>
      </c>
      <c r="B459" s="47" t="s">
        <v>478</v>
      </c>
      <c r="C459" s="47"/>
      <c r="D459" s="24" t="s">
        <v>36</v>
      </c>
      <c r="E459" s="94">
        <v>20</v>
      </c>
      <c r="F459" s="21">
        <v>30</v>
      </c>
      <c r="G459" s="21">
        <f t="shared" si="28"/>
        <v>10</v>
      </c>
      <c r="H459" s="8" t="s">
        <v>42</v>
      </c>
      <c r="I459" s="23"/>
      <c r="J459" s="103">
        <f t="shared" si="29"/>
        <v>0.33333333333333331</v>
      </c>
      <c r="K459" s="74">
        <v>43675</v>
      </c>
    </row>
    <row r="460" spans="1:11">
      <c r="A460" s="46">
        <v>137</v>
      </c>
      <c r="B460" s="47" t="s">
        <v>478</v>
      </c>
      <c r="C460" s="47"/>
      <c r="D460" s="24" t="s">
        <v>479</v>
      </c>
      <c r="E460" s="94">
        <v>20</v>
      </c>
      <c r="F460" s="21">
        <v>30</v>
      </c>
      <c r="G460" s="21">
        <f t="shared" si="28"/>
        <v>10</v>
      </c>
      <c r="H460" s="8" t="s">
        <v>42</v>
      </c>
      <c r="I460" s="23"/>
      <c r="J460" s="103">
        <f t="shared" si="29"/>
        <v>0.33333333333333331</v>
      </c>
      <c r="K460" s="74">
        <v>43675</v>
      </c>
    </row>
    <row r="461" spans="1:11">
      <c r="A461" s="46">
        <v>138</v>
      </c>
      <c r="B461" s="47" t="s">
        <v>357</v>
      </c>
      <c r="C461" s="47"/>
      <c r="D461" s="40" t="s">
        <v>482</v>
      </c>
      <c r="E461" s="102">
        <v>45</v>
      </c>
      <c r="F461" s="44">
        <v>80</v>
      </c>
      <c r="G461" s="44">
        <f t="shared" si="28"/>
        <v>35</v>
      </c>
      <c r="H461" s="46" t="s">
        <v>42</v>
      </c>
      <c r="I461" s="90"/>
      <c r="J461" s="103">
        <f t="shared" si="29"/>
        <v>0.4375</v>
      </c>
      <c r="K461" s="74">
        <v>43675</v>
      </c>
    </row>
    <row r="462" spans="1:11">
      <c r="A462" s="46">
        <v>139</v>
      </c>
      <c r="B462" s="47" t="s">
        <v>529</v>
      </c>
      <c r="C462" s="47"/>
      <c r="D462" s="40" t="s">
        <v>506</v>
      </c>
      <c r="E462" s="102">
        <v>24</v>
      </c>
      <c r="F462" s="44">
        <v>50</v>
      </c>
      <c r="G462" s="44">
        <f t="shared" si="28"/>
        <v>26</v>
      </c>
      <c r="H462" s="46" t="s">
        <v>42</v>
      </c>
      <c r="I462" s="90"/>
      <c r="J462" s="103">
        <f t="shared" si="29"/>
        <v>0.52</v>
      </c>
      <c r="K462" s="101">
        <v>43676</v>
      </c>
    </row>
    <row r="463" spans="1:11">
      <c r="A463" s="46">
        <v>140</v>
      </c>
      <c r="B463" s="47" t="s">
        <v>529</v>
      </c>
      <c r="C463" s="47"/>
      <c r="D463" s="40" t="s">
        <v>506</v>
      </c>
      <c r="E463" s="102">
        <v>24</v>
      </c>
      <c r="F463" s="44">
        <v>50</v>
      </c>
      <c r="G463" s="44">
        <f t="shared" si="28"/>
        <v>26</v>
      </c>
      <c r="H463" s="46" t="s">
        <v>42</v>
      </c>
      <c r="I463" s="90"/>
      <c r="J463" s="103">
        <f t="shared" si="29"/>
        <v>0.52</v>
      </c>
      <c r="K463" s="101">
        <v>43676</v>
      </c>
    </row>
    <row r="464" spans="1:11">
      <c r="A464" s="46">
        <v>141</v>
      </c>
      <c r="B464" s="47" t="s">
        <v>520</v>
      </c>
      <c r="C464" s="47"/>
      <c r="D464" s="40"/>
      <c r="E464" s="102">
        <v>30</v>
      </c>
      <c r="F464" s="44">
        <v>50</v>
      </c>
      <c r="G464" s="44">
        <f t="shared" si="28"/>
        <v>20</v>
      </c>
      <c r="H464" s="46" t="s">
        <v>42</v>
      </c>
      <c r="I464" s="103"/>
      <c r="J464" s="103">
        <f t="shared" si="29"/>
        <v>0.4</v>
      </c>
      <c r="K464" s="101">
        <v>43676</v>
      </c>
    </row>
    <row r="465" spans="1:11">
      <c r="A465" s="46">
        <v>142</v>
      </c>
      <c r="B465" s="19" t="s">
        <v>484</v>
      </c>
      <c r="C465" s="19"/>
      <c r="D465" s="24"/>
      <c r="E465" s="94">
        <v>145</v>
      </c>
      <c r="F465" s="21">
        <v>250</v>
      </c>
      <c r="G465" s="44">
        <f t="shared" si="28"/>
        <v>105</v>
      </c>
      <c r="H465" s="8" t="s">
        <v>42</v>
      </c>
      <c r="I465" s="23"/>
      <c r="J465" s="103">
        <f t="shared" si="29"/>
        <v>0.42</v>
      </c>
      <c r="K465" s="101">
        <v>43676</v>
      </c>
    </row>
    <row r="466" spans="1:11">
      <c r="A466" s="46">
        <v>143</v>
      </c>
      <c r="B466" s="19" t="s">
        <v>507</v>
      </c>
      <c r="C466" s="19"/>
      <c r="D466" s="40" t="s">
        <v>486</v>
      </c>
      <c r="E466" s="94">
        <v>8.5</v>
      </c>
      <c r="F466" s="21">
        <v>15</v>
      </c>
      <c r="G466" s="44">
        <f t="shared" si="28"/>
        <v>6.5</v>
      </c>
      <c r="H466" s="8" t="s">
        <v>240</v>
      </c>
      <c r="I466" s="23"/>
      <c r="J466" s="103">
        <f t="shared" si="29"/>
        <v>0.43333333333333335</v>
      </c>
      <c r="K466" s="101">
        <v>43676</v>
      </c>
    </row>
    <row r="467" spans="1:11">
      <c r="A467" s="46">
        <v>144</v>
      </c>
      <c r="B467" s="47" t="s">
        <v>182</v>
      </c>
      <c r="C467" s="47"/>
      <c r="D467" s="40" t="s">
        <v>486</v>
      </c>
      <c r="E467" s="102">
        <v>22</v>
      </c>
      <c r="F467" s="44">
        <v>40</v>
      </c>
      <c r="G467" s="44">
        <f t="shared" si="28"/>
        <v>18</v>
      </c>
      <c r="H467" s="46" t="s">
        <v>240</v>
      </c>
      <c r="I467" s="90"/>
      <c r="J467" s="103">
        <f t="shared" si="29"/>
        <v>0.45</v>
      </c>
      <c r="K467" s="101">
        <v>43676</v>
      </c>
    </row>
    <row r="468" spans="1:11">
      <c r="A468" s="46">
        <v>145</v>
      </c>
      <c r="B468" s="47" t="s">
        <v>367</v>
      </c>
      <c r="C468" s="47"/>
      <c r="D468" s="40" t="s">
        <v>487</v>
      </c>
      <c r="E468" s="102">
        <v>8.5</v>
      </c>
      <c r="F468" s="44">
        <v>25</v>
      </c>
      <c r="G468" s="44">
        <f t="shared" si="28"/>
        <v>16.5</v>
      </c>
      <c r="H468" s="46" t="s">
        <v>240</v>
      </c>
      <c r="I468" s="23"/>
      <c r="J468" s="103">
        <f t="shared" si="29"/>
        <v>0.66</v>
      </c>
      <c r="K468" s="101">
        <v>43676</v>
      </c>
    </row>
    <row r="469" spans="1:11">
      <c r="A469" s="46">
        <v>146</v>
      </c>
      <c r="B469" s="19" t="s">
        <v>764</v>
      </c>
      <c r="C469" s="19"/>
      <c r="D469" s="24"/>
      <c r="E469" s="94">
        <v>18</v>
      </c>
      <c r="F469" s="21">
        <v>30</v>
      </c>
      <c r="G469" s="44">
        <f t="shared" si="28"/>
        <v>12</v>
      </c>
      <c r="H469" s="8" t="s">
        <v>240</v>
      </c>
      <c r="I469" s="23"/>
      <c r="J469" s="103">
        <f t="shared" si="29"/>
        <v>0.4</v>
      </c>
      <c r="K469" s="101">
        <v>43676</v>
      </c>
    </row>
    <row r="470" spans="1:11">
      <c r="A470" s="46">
        <v>147</v>
      </c>
      <c r="B470" s="47" t="s">
        <v>168</v>
      </c>
      <c r="C470" s="47"/>
      <c r="D470" s="40" t="s">
        <v>508</v>
      </c>
      <c r="E470" s="102">
        <v>20</v>
      </c>
      <c r="F470" s="44">
        <v>50</v>
      </c>
      <c r="G470" s="44">
        <f t="shared" si="28"/>
        <v>30</v>
      </c>
      <c r="H470" s="46" t="s">
        <v>240</v>
      </c>
      <c r="I470" s="90"/>
      <c r="J470" s="103">
        <f t="shared" si="29"/>
        <v>0.6</v>
      </c>
      <c r="K470" s="101">
        <v>43677</v>
      </c>
    </row>
    <row r="471" spans="1:11">
      <c r="A471" s="46">
        <v>148</v>
      </c>
      <c r="B471" s="47" t="s">
        <v>321</v>
      </c>
      <c r="C471" s="47"/>
      <c r="D471" s="40"/>
      <c r="E471" s="102">
        <v>5</v>
      </c>
      <c r="F471" s="44">
        <v>20</v>
      </c>
      <c r="G471" s="44">
        <f t="shared" si="28"/>
        <v>15</v>
      </c>
      <c r="H471" s="46" t="s">
        <v>240</v>
      </c>
      <c r="I471" s="90"/>
      <c r="J471" s="103">
        <f t="shared" si="29"/>
        <v>0.75</v>
      </c>
      <c r="K471" s="101">
        <v>43677</v>
      </c>
    </row>
    <row r="472" spans="1:11">
      <c r="A472" s="46">
        <v>149</v>
      </c>
      <c r="B472" s="47" t="s">
        <v>321</v>
      </c>
      <c r="C472" s="47"/>
      <c r="D472" s="40" t="s">
        <v>491</v>
      </c>
      <c r="E472" s="102">
        <v>5</v>
      </c>
      <c r="F472" s="44">
        <v>15</v>
      </c>
      <c r="G472" s="44">
        <f t="shared" si="28"/>
        <v>10</v>
      </c>
      <c r="H472" s="46" t="s">
        <v>240</v>
      </c>
      <c r="I472" s="90"/>
      <c r="J472" s="103">
        <f t="shared" si="29"/>
        <v>0.66666666666666663</v>
      </c>
      <c r="K472" s="101">
        <v>43677</v>
      </c>
    </row>
    <row r="473" spans="1:11">
      <c r="A473" s="46">
        <v>150</v>
      </c>
      <c r="B473" s="47" t="s">
        <v>478</v>
      </c>
      <c r="C473" s="47"/>
      <c r="D473" s="24" t="s">
        <v>489</v>
      </c>
      <c r="E473" s="94">
        <v>20</v>
      </c>
      <c r="F473" s="21">
        <v>30</v>
      </c>
      <c r="G473" s="44">
        <f t="shared" si="28"/>
        <v>10</v>
      </c>
      <c r="H473" s="8" t="s">
        <v>240</v>
      </c>
      <c r="I473" s="23"/>
      <c r="J473" s="103">
        <f t="shared" si="29"/>
        <v>0.33333333333333331</v>
      </c>
      <c r="K473" s="101">
        <v>43677</v>
      </c>
    </row>
    <row r="474" spans="1:11">
      <c r="A474" s="46">
        <v>151</v>
      </c>
      <c r="B474" s="19"/>
      <c r="C474" s="19"/>
      <c r="D474" s="24"/>
      <c r="E474" s="94"/>
      <c r="F474" s="21"/>
      <c r="G474" s="21"/>
      <c r="H474" s="8"/>
      <c r="I474" s="23"/>
      <c r="J474" s="81"/>
      <c r="K474" s="17"/>
    </row>
    <row r="475" spans="1:11">
      <c r="A475" s="8"/>
      <c r="B475" s="19"/>
      <c r="C475" s="19"/>
      <c r="D475" s="24"/>
      <c r="E475" s="94"/>
      <c r="F475" s="21"/>
      <c r="G475" s="21"/>
      <c r="H475" s="8"/>
      <c r="I475" s="23"/>
      <c r="J475" s="81"/>
      <c r="K475" s="17"/>
    </row>
    <row r="476" spans="1:11" ht="21">
      <c r="A476" s="162" t="s">
        <v>9</v>
      </c>
      <c r="B476" s="163"/>
      <c r="C476" s="163"/>
      <c r="D476" s="164"/>
      <c r="E476" s="20">
        <f>SUM(E477:E567)</f>
        <v>2057.59</v>
      </c>
      <c r="F476" s="20">
        <f>SUM(F477:F567)</f>
        <v>3756.8</v>
      </c>
      <c r="G476" s="20">
        <f>SUM(G477:G567)</f>
        <v>1788.21</v>
      </c>
      <c r="H476" s="71">
        <f>COUNTIF(H477:H567,"Vendido")</f>
        <v>68</v>
      </c>
      <c r="I476" s="87">
        <f>SUM(F476-E476)/F476</f>
        <v>0.45230249148211243</v>
      </c>
      <c r="J476" s="112"/>
      <c r="K476" s="27"/>
    </row>
    <row r="477" spans="1:11">
      <c r="A477" s="8">
        <v>1</v>
      </c>
      <c r="B477" s="19" t="s">
        <v>811</v>
      </c>
      <c r="C477" s="19"/>
      <c r="D477" s="40" t="s">
        <v>490</v>
      </c>
      <c r="E477" s="94">
        <v>18</v>
      </c>
      <c r="F477" s="21">
        <v>22</v>
      </c>
      <c r="G477" s="44">
        <f>F477-E477</f>
        <v>4</v>
      </c>
      <c r="H477" s="8" t="s">
        <v>490</v>
      </c>
      <c r="I477" s="23"/>
      <c r="J477" s="103">
        <f t="shared" ref="J477:J517" si="30">SUM(F477-E477)/F477</f>
        <v>0.18181818181818182</v>
      </c>
      <c r="K477" s="101"/>
    </row>
    <row r="478" spans="1:11">
      <c r="A478" s="8">
        <v>1</v>
      </c>
      <c r="B478" s="85" t="s">
        <v>260</v>
      </c>
      <c r="C478" s="85"/>
      <c r="D478" s="40" t="s">
        <v>31</v>
      </c>
      <c r="E478" s="44">
        <v>25</v>
      </c>
      <c r="F478" s="44">
        <v>50</v>
      </c>
      <c r="G478" s="21">
        <f>F478-E478</f>
        <v>25</v>
      </c>
      <c r="H478" s="8" t="s">
        <v>490</v>
      </c>
      <c r="I478" s="23"/>
      <c r="J478" s="103">
        <f t="shared" si="30"/>
        <v>0.5</v>
      </c>
      <c r="K478" s="101"/>
    </row>
    <row r="479" spans="1:11">
      <c r="A479" s="8">
        <v>1</v>
      </c>
      <c r="B479" s="19" t="s">
        <v>568</v>
      </c>
      <c r="C479" s="108"/>
      <c r="D479" s="24" t="s">
        <v>31</v>
      </c>
      <c r="E479" s="94">
        <v>35</v>
      </c>
      <c r="F479" s="21">
        <v>60</v>
      </c>
      <c r="G479" s="44">
        <f>F479-E479</f>
        <v>25</v>
      </c>
      <c r="H479" s="8" t="s">
        <v>490</v>
      </c>
      <c r="I479" s="90"/>
      <c r="J479" s="103">
        <f t="shared" si="30"/>
        <v>0.41666666666666669</v>
      </c>
      <c r="K479" s="101"/>
    </row>
    <row r="480" spans="1:11">
      <c r="A480" s="8">
        <v>1</v>
      </c>
      <c r="B480" s="19" t="s">
        <v>568</v>
      </c>
      <c r="C480" s="108"/>
      <c r="D480" s="24" t="s">
        <v>31</v>
      </c>
      <c r="E480" s="94">
        <v>38</v>
      </c>
      <c r="F480" s="21">
        <v>60</v>
      </c>
      <c r="G480" s="44">
        <f>F480-E480</f>
        <v>22</v>
      </c>
      <c r="H480" s="8" t="s">
        <v>490</v>
      </c>
      <c r="I480" s="23"/>
      <c r="J480" s="103">
        <f t="shared" si="30"/>
        <v>0.36666666666666664</v>
      </c>
      <c r="K480" s="74"/>
    </row>
    <row r="481" spans="1:11">
      <c r="A481" s="8">
        <v>1</v>
      </c>
      <c r="B481" s="47" t="s">
        <v>297</v>
      </c>
      <c r="C481" s="47"/>
      <c r="D481" s="40" t="s">
        <v>31</v>
      </c>
      <c r="E481" s="102">
        <v>6.8</v>
      </c>
      <c r="F481" s="44">
        <v>6.8</v>
      </c>
      <c r="G481" s="44">
        <v>0</v>
      </c>
      <c r="H481" s="8" t="s">
        <v>490</v>
      </c>
      <c r="I481" s="103"/>
      <c r="J481" s="103">
        <f t="shared" si="30"/>
        <v>0</v>
      </c>
      <c r="K481" s="74"/>
    </row>
    <row r="482" spans="1:11">
      <c r="A482" s="8">
        <v>1</v>
      </c>
      <c r="B482" s="19" t="s">
        <v>308</v>
      </c>
      <c r="C482" s="19"/>
      <c r="D482" s="24" t="s">
        <v>519</v>
      </c>
      <c r="E482" s="94">
        <v>12.5</v>
      </c>
      <c r="F482" s="21">
        <v>20</v>
      </c>
      <c r="G482" s="44">
        <f t="shared" ref="G482:G496" si="31">F482-E482</f>
        <v>7.5</v>
      </c>
      <c r="H482" s="8" t="s">
        <v>490</v>
      </c>
      <c r="I482" s="23"/>
      <c r="J482" s="103">
        <f t="shared" si="30"/>
        <v>0.375</v>
      </c>
      <c r="K482" s="74"/>
    </row>
    <row r="483" spans="1:11">
      <c r="A483" s="8">
        <v>1</v>
      </c>
      <c r="B483" s="47" t="s">
        <v>366</v>
      </c>
      <c r="C483" s="47"/>
      <c r="D483" s="40" t="s">
        <v>519</v>
      </c>
      <c r="E483" s="102">
        <v>5.5</v>
      </c>
      <c r="F483" s="44">
        <v>7.5</v>
      </c>
      <c r="G483" s="44">
        <f t="shared" si="31"/>
        <v>2</v>
      </c>
      <c r="H483" s="8" t="s">
        <v>490</v>
      </c>
      <c r="I483" s="23"/>
      <c r="J483" s="103">
        <f t="shared" si="30"/>
        <v>0.26666666666666666</v>
      </c>
      <c r="K483" s="74"/>
    </row>
    <row r="484" spans="1:11">
      <c r="A484" s="8">
        <v>1</v>
      </c>
      <c r="B484" s="19" t="s">
        <v>608</v>
      </c>
      <c r="C484" s="19"/>
      <c r="D484" s="40" t="s">
        <v>519</v>
      </c>
      <c r="E484" s="94">
        <v>25</v>
      </c>
      <c r="F484" s="21">
        <v>35</v>
      </c>
      <c r="G484" s="44">
        <f t="shared" si="31"/>
        <v>10</v>
      </c>
      <c r="H484" s="8" t="s">
        <v>490</v>
      </c>
      <c r="I484" s="23"/>
      <c r="J484" s="103">
        <f t="shared" si="30"/>
        <v>0.2857142857142857</v>
      </c>
      <c r="K484" s="74"/>
    </row>
    <row r="485" spans="1:11">
      <c r="A485" s="8">
        <v>1</v>
      </c>
      <c r="B485" s="19" t="s">
        <v>608</v>
      </c>
      <c r="C485" s="19"/>
      <c r="D485" s="40" t="s">
        <v>519</v>
      </c>
      <c r="E485" s="94">
        <v>25</v>
      </c>
      <c r="F485" s="21">
        <v>35</v>
      </c>
      <c r="G485" s="44">
        <f t="shared" si="31"/>
        <v>10</v>
      </c>
      <c r="H485" s="8" t="s">
        <v>490</v>
      </c>
      <c r="I485" s="23"/>
      <c r="J485" s="103">
        <f t="shared" si="30"/>
        <v>0.2857142857142857</v>
      </c>
      <c r="K485" s="74"/>
    </row>
    <row r="486" spans="1:11">
      <c r="A486" s="8">
        <v>1</v>
      </c>
      <c r="B486" s="19" t="s">
        <v>308</v>
      </c>
      <c r="C486" s="19"/>
      <c r="D486" s="24" t="s">
        <v>519</v>
      </c>
      <c r="E486" s="94">
        <v>12.5</v>
      </c>
      <c r="F486" s="21">
        <v>35</v>
      </c>
      <c r="G486" s="44">
        <f t="shared" si="31"/>
        <v>22.5</v>
      </c>
      <c r="H486" s="8" t="s">
        <v>490</v>
      </c>
      <c r="I486" s="23"/>
      <c r="J486" s="103">
        <f t="shared" si="30"/>
        <v>0.6428571428571429</v>
      </c>
      <c r="K486" s="74"/>
    </row>
    <row r="487" spans="1:11">
      <c r="A487" s="8">
        <v>1</v>
      </c>
      <c r="B487" s="19" t="s">
        <v>608</v>
      </c>
      <c r="C487" s="19"/>
      <c r="D487" s="40" t="s">
        <v>519</v>
      </c>
      <c r="E487" s="94">
        <v>25</v>
      </c>
      <c r="F487" s="21">
        <v>35</v>
      </c>
      <c r="G487" s="44">
        <f t="shared" si="31"/>
        <v>10</v>
      </c>
      <c r="H487" s="8" t="s">
        <v>490</v>
      </c>
      <c r="I487" s="90"/>
      <c r="J487" s="103">
        <f t="shared" si="30"/>
        <v>0.2857142857142857</v>
      </c>
      <c r="K487" s="74"/>
    </row>
    <row r="488" spans="1:11">
      <c r="A488" s="8">
        <v>1</v>
      </c>
      <c r="B488" s="19" t="s">
        <v>608</v>
      </c>
      <c r="C488" s="19"/>
      <c r="D488" s="40" t="s">
        <v>519</v>
      </c>
      <c r="E488" s="94">
        <v>25</v>
      </c>
      <c r="F488" s="21">
        <v>35</v>
      </c>
      <c r="G488" s="44">
        <f t="shared" si="31"/>
        <v>10</v>
      </c>
      <c r="H488" s="8" t="s">
        <v>490</v>
      </c>
      <c r="I488" s="23"/>
      <c r="J488" s="103">
        <f t="shared" si="30"/>
        <v>0.2857142857142857</v>
      </c>
      <c r="K488" s="74"/>
    </row>
    <row r="489" spans="1:11">
      <c r="A489" s="8">
        <v>1</v>
      </c>
      <c r="B489" s="19" t="s">
        <v>608</v>
      </c>
      <c r="C489" s="19"/>
      <c r="D489" s="24" t="s">
        <v>519</v>
      </c>
      <c r="E489" s="94">
        <v>25</v>
      </c>
      <c r="F489" s="21">
        <v>35</v>
      </c>
      <c r="G489" s="44">
        <f t="shared" si="31"/>
        <v>10</v>
      </c>
      <c r="H489" s="8" t="s">
        <v>490</v>
      </c>
      <c r="I489" s="23"/>
      <c r="J489" s="103">
        <f t="shared" si="30"/>
        <v>0.2857142857142857</v>
      </c>
      <c r="K489" s="74"/>
    </row>
    <row r="490" spans="1:11">
      <c r="A490" s="8">
        <v>1</v>
      </c>
      <c r="B490" s="19" t="s">
        <v>351</v>
      </c>
      <c r="C490" s="19"/>
      <c r="D490" s="24" t="s">
        <v>519</v>
      </c>
      <c r="E490" s="94">
        <v>3.5</v>
      </c>
      <c r="F490" s="21">
        <v>5</v>
      </c>
      <c r="G490" s="21">
        <f t="shared" si="31"/>
        <v>1.5</v>
      </c>
      <c r="H490" s="8" t="s">
        <v>490</v>
      </c>
      <c r="I490" s="90"/>
      <c r="J490" s="103">
        <f t="shared" si="30"/>
        <v>0.3</v>
      </c>
      <c r="K490" s="101"/>
    </row>
    <row r="491" spans="1:11">
      <c r="A491" s="8">
        <v>1</v>
      </c>
      <c r="B491" s="19" t="s">
        <v>301</v>
      </c>
      <c r="C491" s="19"/>
      <c r="D491" s="24" t="s">
        <v>519</v>
      </c>
      <c r="E491" s="94">
        <v>3.5</v>
      </c>
      <c r="F491" s="21">
        <v>5</v>
      </c>
      <c r="G491" s="21">
        <f t="shared" si="31"/>
        <v>1.5</v>
      </c>
      <c r="H491" s="8" t="s">
        <v>490</v>
      </c>
      <c r="I491" s="103"/>
      <c r="J491" s="103">
        <f t="shared" si="30"/>
        <v>0.3</v>
      </c>
      <c r="K491" s="74"/>
    </row>
    <row r="492" spans="1:11">
      <c r="A492" s="8">
        <v>1</v>
      </c>
      <c r="B492" s="19" t="s">
        <v>301</v>
      </c>
      <c r="C492" s="19"/>
      <c r="D492" s="24" t="s">
        <v>519</v>
      </c>
      <c r="E492" s="94">
        <v>3.5</v>
      </c>
      <c r="F492" s="21">
        <v>5</v>
      </c>
      <c r="G492" s="21">
        <f t="shared" si="31"/>
        <v>1.5</v>
      </c>
      <c r="H492" s="8" t="s">
        <v>490</v>
      </c>
      <c r="I492" s="23"/>
      <c r="J492" s="103">
        <f t="shared" si="30"/>
        <v>0.3</v>
      </c>
      <c r="K492" s="74"/>
    </row>
    <row r="493" spans="1:11">
      <c r="A493" s="8">
        <v>1</v>
      </c>
      <c r="B493" s="19" t="s">
        <v>556</v>
      </c>
      <c r="C493" s="108"/>
      <c r="D493" s="24" t="s">
        <v>519</v>
      </c>
      <c r="E493" s="94">
        <v>2.5</v>
      </c>
      <c r="F493" s="21">
        <v>4</v>
      </c>
      <c r="G493" s="21">
        <f t="shared" si="31"/>
        <v>1.5</v>
      </c>
      <c r="H493" s="8" t="s">
        <v>490</v>
      </c>
      <c r="I493" s="90"/>
      <c r="J493" s="103">
        <f t="shared" si="30"/>
        <v>0.375</v>
      </c>
      <c r="K493" s="74"/>
    </row>
    <row r="494" spans="1:11">
      <c r="A494" s="8">
        <v>1</v>
      </c>
      <c r="B494" s="47" t="s">
        <v>345</v>
      </c>
      <c r="C494" s="109"/>
      <c r="D494" s="24" t="s">
        <v>519</v>
      </c>
      <c r="E494" s="102">
        <v>1</v>
      </c>
      <c r="F494" s="44">
        <v>2.5</v>
      </c>
      <c r="G494" s="21">
        <f t="shared" si="31"/>
        <v>1.5</v>
      </c>
      <c r="H494" s="8" t="s">
        <v>490</v>
      </c>
      <c r="I494" s="23"/>
      <c r="J494" s="103">
        <f t="shared" si="30"/>
        <v>0.6</v>
      </c>
      <c r="K494" s="74"/>
    </row>
    <row r="495" spans="1:11">
      <c r="A495" s="8">
        <v>1</v>
      </c>
      <c r="B495" s="47" t="s">
        <v>345</v>
      </c>
      <c r="C495" s="109"/>
      <c r="D495" s="24" t="s">
        <v>519</v>
      </c>
      <c r="E495" s="102">
        <v>1</v>
      </c>
      <c r="F495" s="44">
        <v>2.5</v>
      </c>
      <c r="G495" s="21">
        <f t="shared" si="31"/>
        <v>1.5</v>
      </c>
      <c r="H495" s="8" t="s">
        <v>490</v>
      </c>
      <c r="I495" s="23"/>
      <c r="J495" s="103">
        <f t="shared" si="30"/>
        <v>0.6</v>
      </c>
      <c r="K495" s="74"/>
    </row>
    <row r="496" spans="1:11">
      <c r="A496" s="8">
        <v>1</v>
      </c>
      <c r="B496" s="47" t="s">
        <v>366</v>
      </c>
      <c r="C496" s="109"/>
      <c r="D496" s="24" t="s">
        <v>519</v>
      </c>
      <c r="E496" s="94">
        <v>5.5</v>
      </c>
      <c r="F496" s="21">
        <v>7.5</v>
      </c>
      <c r="G496" s="21">
        <f t="shared" si="31"/>
        <v>2</v>
      </c>
      <c r="H496" s="8" t="s">
        <v>490</v>
      </c>
      <c r="I496" s="23"/>
      <c r="J496" s="103">
        <f t="shared" si="30"/>
        <v>0.26666666666666666</v>
      </c>
      <c r="K496" s="74"/>
    </row>
    <row r="497" spans="1:11">
      <c r="A497" s="8">
        <v>1</v>
      </c>
      <c r="B497" s="19" t="s">
        <v>529</v>
      </c>
      <c r="C497" s="108"/>
      <c r="D497" s="24" t="s">
        <v>519</v>
      </c>
      <c r="E497" s="49">
        <v>25</v>
      </c>
      <c r="F497" s="21">
        <v>25</v>
      </c>
      <c r="G497" s="21">
        <v>0</v>
      </c>
      <c r="H497" s="8" t="s">
        <v>490</v>
      </c>
      <c r="I497" s="23"/>
      <c r="J497" s="103">
        <f t="shared" si="30"/>
        <v>0</v>
      </c>
      <c r="K497" s="74"/>
    </row>
    <row r="498" spans="1:11">
      <c r="A498" s="8">
        <v>1</v>
      </c>
      <c r="B498" s="19" t="s">
        <v>513</v>
      </c>
      <c r="C498" s="19"/>
      <c r="D498" s="24"/>
      <c r="E498" s="94">
        <v>3.5</v>
      </c>
      <c r="F498" s="21">
        <v>5</v>
      </c>
      <c r="G498" s="44">
        <f t="shared" ref="G498:G518" si="32">F498-E498</f>
        <v>1.5</v>
      </c>
      <c r="H498" s="8" t="s">
        <v>490</v>
      </c>
      <c r="I498" s="23"/>
      <c r="J498" s="103">
        <f t="shared" si="30"/>
        <v>0.3</v>
      </c>
      <c r="K498" s="74"/>
    </row>
    <row r="499" spans="1:11">
      <c r="A499" s="8">
        <v>1</v>
      </c>
      <c r="B499" s="19" t="s">
        <v>516</v>
      </c>
      <c r="C499" s="19"/>
      <c r="D499" s="24" t="s">
        <v>69</v>
      </c>
      <c r="E499" s="94">
        <v>65</v>
      </c>
      <c r="F499" s="21">
        <v>160</v>
      </c>
      <c r="G499" s="44">
        <f t="shared" si="32"/>
        <v>95</v>
      </c>
      <c r="H499" s="8" t="s">
        <v>240</v>
      </c>
      <c r="I499" s="23"/>
      <c r="J499" s="103">
        <f t="shared" si="30"/>
        <v>0.59375</v>
      </c>
      <c r="K499" s="74"/>
    </row>
    <row r="500" spans="1:11">
      <c r="A500" s="8">
        <v>1</v>
      </c>
      <c r="B500" s="19" t="s">
        <v>511</v>
      </c>
      <c r="C500" s="108"/>
      <c r="D500" s="24" t="s">
        <v>565</v>
      </c>
      <c r="E500" s="94">
        <v>5</v>
      </c>
      <c r="F500" s="21">
        <v>15</v>
      </c>
      <c r="G500" s="44">
        <f t="shared" si="32"/>
        <v>10</v>
      </c>
      <c r="H500" s="8" t="s">
        <v>240</v>
      </c>
      <c r="I500" s="23"/>
      <c r="J500" s="103">
        <f t="shared" si="30"/>
        <v>0.66666666666666663</v>
      </c>
      <c r="K500" s="74"/>
    </row>
    <row r="501" spans="1:11">
      <c r="A501" s="8">
        <v>1</v>
      </c>
      <c r="B501" s="19" t="s">
        <v>515</v>
      </c>
      <c r="C501" s="19"/>
      <c r="D501" s="140" t="s">
        <v>75</v>
      </c>
      <c r="E501" s="94">
        <v>26</v>
      </c>
      <c r="F501" s="21">
        <v>40</v>
      </c>
      <c r="G501" s="44">
        <f t="shared" si="32"/>
        <v>14</v>
      </c>
      <c r="H501" s="8" t="s">
        <v>240</v>
      </c>
      <c r="I501" s="103"/>
      <c r="J501" s="103">
        <f t="shared" si="30"/>
        <v>0.35</v>
      </c>
      <c r="K501" s="74"/>
    </row>
    <row r="502" spans="1:11">
      <c r="A502" s="8">
        <v>1</v>
      </c>
      <c r="B502" s="47" t="s">
        <v>387</v>
      </c>
      <c r="C502" s="47"/>
      <c r="D502" s="40" t="s">
        <v>514</v>
      </c>
      <c r="E502" s="102">
        <v>45</v>
      </c>
      <c r="F502" s="44">
        <v>70</v>
      </c>
      <c r="G502" s="44">
        <f t="shared" si="32"/>
        <v>25</v>
      </c>
      <c r="H502" s="46" t="s">
        <v>240</v>
      </c>
      <c r="I502" s="23"/>
      <c r="J502" s="103">
        <f t="shared" si="30"/>
        <v>0.35714285714285715</v>
      </c>
      <c r="K502" s="74"/>
    </row>
    <row r="503" spans="1:11">
      <c r="A503" s="8">
        <v>1</v>
      </c>
      <c r="B503" s="47" t="s">
        <v>363</v>
      </c>
      <c r="C503" s="47"/>
      <c r="D503" s="40" t="s">
        <v>543</v>
      </c>
      <c r="E503" s="102">
        <v>5</v>
      </c>
      <c r="F503" s="44">
        <v>10</v>
      </c>
      <c r="G503" s="44">
        <f t="shared" si="32"/>
        <v>5</v>
      </c>
      <c r="H503" s="46" t="s">
        <v>240</v>
      </c>
      <c r="I503" s="103"/>
      <c r="J503" s="103">
        <f t="shared" si="30"/>
        <v>0.5</v>
      </c>
      <c r="K503" s="74"/>
    </row>
    <row r="504" spans="1:11">
      <c r="A504" s="8">
        <v>1</v>
      </c>
      <c r="B504" s="19" t="s">
        <v>544</v>
      </c>
      <c r="C504" s="19"/>
      <c r="D504" s="24" t="s">
        <v>543</v>
      </c>
      <c r="E504" s="94">
        <v>22</v>
      </c>
      <c r="F504" s="21">
        <v>40</v>
      </c>
      <c r="G504" s="44">
        <f t="shared" si="32"/>
        <v>18</v>
      </c>
      <c r="H504" s="8" t="s">
        <v>240</v>
      </c>
      <c r="I504" s="103"/>
      <c r="J504" s="103">
        <f t="shared" si="30"/>
        <v>0.45</v>
      </c>
      <c r="K504" s="74"/>
    </row>
    <row r="505" spans="1:11">
      <c r="A505" s="8">
        <v>1</v>
      </c>
      <c r="B505" s="19" t="s">
        <v>523</v>
      </c>
      <c r="C505" s="19"/>
      <c r="D505" s="24" t="s">
        <v>528</v>
      </c>
      <c r="E505" s="94">
        <v>55</v>
      </c>
      <c r="F505" s="21">
        <v>85</v>
      </c>
      <c r="G505" s="44">
        <f t="shared" si="32"/>
        <v>30</v>
      </c>
      <c r="H505" s="8" t="s">
        <v>240</v>
      </c>
      <c r="I505" s="103"/>
      <c r="J505" s="103">
        <f t="shared" si="30"/>
        <v>0.35294117647058826</v>
      </c>
      <c r="K505" s="74"/>
    </row>
    <row r="506" spans="1:11">
      <c r="A506" s="8">
        <v>1</v>
      </c>
      <c r="B506" s="47" t="s">
        <v>182</v>
      </c>
      <c r="C506" s="47"/>
      <c r="D506" s="40" t="s">
        <v>525</v>
      </c>
      <c r="E506" s="102">
        <v>22</v>
      </c>
      <c r="F506" s="44">
        <v>45</v>
      </c>
      <c r="G506" s="44">
        <f t="shared" si="32"/>
        <v>23</v>
      </c>
      <c r="H506" s="46" t="s">
        <v>240</v>
      </c>
      <c r="I506" s="23"/>
      <c r="J506" s="103">
        <f t="shared" si="30"/>
        <v>0.51111111111111107</v>
      </c>
      <c r="K506" s="74"/>
    </row>
    <row r="507" spans="1:11">
      <c r="A507" s="8">
        <v>1</v>
      </c>
      <c r="B507" s="47" t="s">
        <v>182</v>
      </c>
      <c r="C507" s="47"/>
      <c r="D507" s="40" t="s">
        <v>525</v>
      </c>
      <c r="E507" s="102">
        <v>22</v>
      </c>
      <c r="F507" s="44">
        <v>47.5</v>
      </c>
      <c r="G507" s="44">
        <f t="shared" si="32"/>
        <v>25.5</v>
      </c>
      <c r="H507" s="46" t="s">
        <v>240</v>
      </c>
      <c r="I507" s="23"/>
      <c r="J507" s="103">
        <f t="shared" si="30"/>
        <v>0.5368421052631579</v>
      </c>
      <c r="K507" s="74"/>
    </row>
    <row r="508" spans="1:11">
      <c r="A508" s="8">
        <v>1</v>
      </c>
      <c r="B508" s="47" t="s">
        <v>182</v>
      </c>
      <c r="C508" s="47"/>
      <c r="D508" s="40" t="s">
        <v>525</v>
      </c>
      <c r="E508" s="102">
        <v>22</v>
      </c>
      <c r="F508" s="44">
        <v>50</v>
      </c>
      <c r="G508" s="44">
        <f t="shared" si="32"/>
        <v>28</v>
      </c>
      <c r="H508" s="46" t="s">
        <v>240</v>
      </c>
      <c r="I508" s="23"/>
      <c r="J508" s="103">
        <f t="shared" si="30"/>
        <v>0.56000000000000005</v>
      </c>
      <c r="K508" s="74"/>
    </row>
    <row r="509" spans="1:11">
      <c r="A509" s="8">
        <v>1</v>
      </c>
      <c r="B509" s="47" t="s">
        <v>182</v>
      </c>
      <c r="C509" s="47"/>
      <c r="D509" s="40" t="s">
        <v>525</v>
      </c>
      <c r="E509" s="102">
        <v>22</v>
      </c>
      <c r="F509" s="44">
        <v>45</v>
      </c>
      <c r="G509" s="44">
        <f t="shared" si="32"/>
        <v>23</v>
      </c>
      <c r="H509" s="46" t="s">
        <v>240</v>
      </c>
      <c r="I509" s="23"/>
      <c r="J509" s="103">
        <f t="shared" si="30"/>
        <v>0.51111111111111107</v>
      </c>
      <c r="K509" s="74"/>
    </row>
    <row r="510" spans="1:11">
      <c r="A510" s="8">
        <v>1</v>
      </c>
      <c r="B510" s="47" t="s">
        <v>476</v>
      </c>
      <c r="C510" s="47"/>
      <c r="D510" s="40" t="s">
        <v>527</v>
      </c>
      <c r="E510" s="102">
        <v>9.99</v>
      </c>
      <c r="F510" s="44">
        <v>20</v>
      </c>
      <c r="G510" s="44">
        <f t="shared" si="32"/>
        <v>10.01</v>
      </c>
      <c r="H510" s="46" t="s">
        <v>240</v>
      </c>
      <c r="I510" s="103"/>
      <c r="J510" s="103">
        <f t="shared" si="30"/>
        <v>0.50049999999999994</v>
      </c>
      <c r="K510" s="74"/>
    </row>
    <row r="511" spans="1:11">
      <c r="A511" s="8">
        <v>1</v>
      </c>
      <c r="B511" s="19" t="s">
        <v>524</v>
      </c>
      <c r="C511" s="19"/>
      <c r="D511" s="40" t="s">
        <v>527</v>
      </c>
      <c r="E511" s="94">
        <v>25</v>
      </c>
      <c r="F511" s="21">
        <v>50</v>
      </c>
      <c r="G511" s="44">
        <f t="shared" si="32"/>
        <v>25</v>
      </c>
      <c r="H511" s="8" t="s">
        <v>240</v>
      </c>
      <c r="I511" s="23"/>
      <c r="J511" s="103">
        <f t="shared" si="30"/>
        <v>0.5</v>
      </c>
      <c r="K511" s="74"/>
    </row>
    <row r="512" spans="1:11">
      <c r="A512" s="8">
        <v>1</v>
      </c>
      <c r="B512" s="19" t="s">
        <v>261</v>
      </c>
      <c r="C512" s="108"/>
      <c r="D512" s="24" t="s">
        <v>570</v>
      </c>
      <c r="E512" s="94">
        <v>25</v>
      </c>
      <c r="F512" s="21">
        <v>40</v>
      </c>
      <c r="G512" s="21">
        <f t="shared" si="32"/>
        <v>15</v>
      </c>
      <c r="H512" s="8" t="s">
        <v>240</v>
      </c>
      <c r="I512" s="23"/>
      <c r="J512" s="103">
        <f t="shared" si="30"/>
        <v>0.375</v>
      </c>
      <c r="K512" s="74"/>
    </row>
    <row r="513" spans="1:11">
      <c r="A513" s="8">
        <v>1</v>
      </c>
      <c r="B513" s="19" t="s">
        <v>261</v>
      </c>
      <c r="C513" s="108"/>
      <c r="D513" s="24" t="s">
        <v>571</v>
      </c>
      <c r="E513" s="94">
        <v>25</v>
      </c>
      <c r="F513" s="21">
        <v>40</v>
      </c>
      <c r="G513" s="21">
        <f t="shared" si="32"/>
        <v>15</v>
      </c>
      <c r="H513" s="8" t="s">
        <v>240</v>
      </c>
      <c r="I513" s="23"/>
      <c r="J513" s="103">
        <f t="shared" si="30"/>
        <v>0.375</v>
      </c>
      <c r="K513" s="74"/>
    </row>
    <row r="514" spans="1:11">
      <c r="A514" s="8">
        <v>1</v>
      </c>
      <c r="B514" s="47" t="s">
        <v>478</v>
      </c>
      <c r="C514" s="47"/>
      <c r="D514" s="24" t="s">
        <v>540</v>
      </c>
      <c r="E514" s="94">
        <v>20</v>
      </c>
      <c r="F514" s="21">
        <v>35</v>
      </c>
      <c r="G514" s="44">
        <f t="shared" si="32"/>
        <v>15</v>
      </c>
      <c r="H514" s="8" t="s">
        <v>240</v>
      </c>
      <c r="I514" s="90"/>
      <c r="J514" s="103">
        <f t="shared" si="30"/>
        <v>0.42857142857142855</v>
      </c>
      <c r="K514" s="74"/>
    </row>
    <row r="515" spans="1:11">
      <c r="A515" s="8">
        <v>1</v>
      </c>
      <c r="B515" s="93" t="s">
        <v>330</v>
      </c>
      <c r="C515" s="93"/>
      <c r="D515" s="139" t="s">
        <v>526</v>
      </c>
      <c r="E515" s="99">
        <v>9.5</v>
      </c>
      <c r="F515" s="44">
        <v>30</v>
      </c>
      <c r="G515" s="44">
        <f t="shared" si="32"/>
        <v>20.5</v>
      </c>
      <c r="H515" s="46" t="s">
        <v>240</v>
      </c>
      <c r="I515" s="23"/>
      <c r="J515" s="103">
        <f t="shared" si="30"/>
        <v>0.68333333333333335</v>
      </c>
      <c r="K515" s="74"/>
    </row>
    <row r="516" spans="1:11">
      <c r="A516" s="8">
        <v>1</v>
      </c>
      <c r="B516" s="19" t="s">
        <v>352</v>
      </c>
      <c r="C516" s="19"/>
      <c r="D516" s="24" t="s">
        <v>384</v>
      </c>
      <c r="E516" s="94">
        <v>10</v>
      </c>
      <c r="F516" s="21">
        <v>20</v>
      </c>
      <c r="G516" s="44">
        <f t="shared" si="32"/>
        <v>10</v>
      </c>
      <c r="H516" s="46" t="s">
        <v>240</v>
      </c>
      <c r="I516" s="23"/>
      <c r="J516" s="103">
        <f t="shared" si="30"/>
        <v>0.5</v>
      </c>
      <c r="K516" s="74"/>
    </row>
    <row r="517" spans="1:11">
      <c r="A517" s="8">
        <v>1</v>
      </c>
      <c r="B517" s="47" t="s">
        <v>367</v>
      </c>
      <c r="C517" s="47"/>
      <c r="D517" s="40" t="s">
        <v>384</v>
      </c>
      <c r="E517" s="102">
        <v>8.5</v>
      </c>
      <c r="F517" s="44">
        <v>20</v>
      </c>
      <c r="G517" s="44">
        <f t="shared" si="32"/>
        <v>11.5</v>
      </c>
      <c r="H517" s="46" t="s">
        <v>240</v>
      </c>
      <c r="I517" s="23"/>
      <c r="J517" s="103">
        <f t="shared" si="30"/>
        <v>0.57499999999999996</v>
      </c>
      <c r="K517" s="74"/>
    </row>
    <row r="518" spans="1:11">
      <c r="A518" s="8">
        <v>1</v>
      </c>
      <c r="B518" s="47" t="s">
        <v>367</v>
      </c>
      <c r="C518" s="47"/>
      <c r="D518" s="40" t="s">
        <v>384</v>
      </c>
      <c r="E518" s="102">
        <v>8.5</v>
      </c>
      <c r="F518" s="44">
        <v>20</v>
      </c>
      <c r="G518" s="44">
        <f t="shared" si="32"/>
        <v>11.5</v>
      </c>
      <c r="H518" s="46" t="s">
        <v>240</v>
      </c>
      <c r="I518" s="94"/>
      <c r="J518" s="103"/>
      <c r="K518" s="74"/>
    </row>
    <row r="519" spans="1:11">
      <c r="A519" s="8">
        <v>1</v>
      </c>
      <c r="B519" s="19" t="s">
        <v>558</v>
      </c>
      <c r="C519" s="108"/>
      <c r="D519" s="24" t="s">
        <v>534</v>
      </c>
      <c r="E519" s="49">
        <v>20</v>
      </c>
      <c r="F519" s="21">
        <v>50</v>
      </c>
      <c r="G519" s="21">
        <v>30</v>
      </c>
      <c r="H519" s="8" t="s">
        <v>240</v>
      </c>
      <c r="I519" s="23"/>
      <c r="J519" s="103">
        <f>SUM(F519-E519)/F519</f>
        <v>0.6</v>
      </c>
      <c r="K519" s="74"/>
    </row>
    <row r="520" spans="1:11">
      <c r="A520" s="8">
        <v>1</v>
      </c>
      <c r="B520" s="47" t="s">
        <v>182</v>
      </c>
      <c r="C520" s="47"/>
      <c r="D520" s="40" t="s">
        <v>532</v>
      </c>
      <c r="E520" s="102">
        <v>22</v>
      </c>
      <c r="F520" s="44">
        <v>55</v>
      </c>
      <c r="G520" s="44">
        <f>F520-E520</f>
        <v>33</v>
      </c>
      <c r="H520" s="46" t="s">
        <v>240</v>
      </c>
      <c r="I520" s="94"/>
      <c r="J520" s="103"/>
      <c r="K520" s="101"/>
    </row>
    <row r="521" spans="1:11">
      <c r="A521" s="8">
        <v>1</v>
      </c>
      <c r="B521" s="47" t="s">
        <v>275</v>
      </c>
      <c r="C521" s="47"/>
      <c r="D521" s="40" t="s">
        <v>31</v>
      </c>
      <c r="E521" s="98">
        <v>50</v>
      </c>
      <c r="F521" s="44">
        <v>50</v>
      </c>
      <c r="G521" s="44">
        <v>50</v>
      </c>
      <c r="H521" s="8" t="s">
        <v>240</v>
      </c>
      <c r="I521" s="94"/>
      <c r="J521" s="103"/>
      <c r="K521" s="101"/>
    </row>
    <row r="522" spans="1:11">
      <c r="A522" s="8">
        <v>1</v>
      </c>
      <c r="B522" s="47" t="s">
        <v>478</v>
      </c>
      <c r="C522" s="47"/>
      <c r="D522" s="24" t="s">
        <v>542</v>
      </c>
      <c r="E522" s="94">
        <v>20</v>
      </c>
      <c r="F522" s="21">
        <v>30</v>
      </c>
      <c r="G522" s="44">
        <f t="shared" ref="G522:G529" si="33">F522-E522</f>
        <v>10</v>
      </c>
      <c r="H522" s="8" t="s">
        <v>240</v>
      </c>
      <c r="I522" s="94"/>
      <c r="J522" s="103"/>
      <c r="K522" s="101"/>
    </row>
    <row r="523" spans="1:11">
      <c r="A523" s="8">
        <v>1</v>
      </c>
      <c r="B523" s="19" t="s">
        <v>522</v>
      </c>
      <c r="C523" s="19"/>
      <c r="D523" s="24" t="s">
        <v>539</v>
      </c>
      <c r="E523" s="94">
        <v>2.8</v>
      </c>
      <c r="F523" s="21">
        <v>10</v>
      </c>
      <c r="G523" s="44">
        <f t="shared" si="33"/>
        <v>7.2</v>
      </c>
      <c r="H523" s="8" t="s">
        <v>240</v>
      </c>
      <c r="I523" s="94"/>
      <c r="J523" s="103"/>
      <c r="K523" s="101"/>
    </row>
    <row r="524" spans="1:11">
      <c r="A524" s="8">
        <v>1</v>
      </c>
      <c r="B524" s="19" t="s">
        <v>541</v>
      </c>
      <c r="C524" s="19"/>
      <c r="D524" s="24" t="s">
        <v>183</v>
      </c>
      <c r="E524" s="94">
        <v>15</v>
      </c>
      <c r="F524" s="21">
        <v>25</v>
      </c>
      <c r="G524" s="44">
        <f t="shared" si="33"/>
        <v>10</v>
      </c>
      <c r="H524" s="8" t="s">
        <v>240</v>
      </c>
      <c r="I524" s="94"/>
      <c r="J524" s="103"/>
      <c r="K524" s="101"/>
    </row>
    <row r="525" spans="1:11">
      <c r="A525" s="8">
        <v>1</v>
      </c>
      <c r="B525" s="19" t="s">
        <v>566</v>
      </c>
      <c r="C525" s="108"/>
      <c r="D525" s="24" t="s">
        <v>567</v>
      </c>
      <c r="E525" s="94">
        <v>15</v>
      </c>
      <c r="F525" s="21">
        <v>25</v>
      </c>
      <c r="G525" s="21">
        <f t="shared" si="33"/>
        <v>10</v>
      </c>
      <c r="H525" s="8" t="s">
        <v>240</v>
      </c>
      <c r="I525" s="94"/>
      <c r="J525" s="103"/>
      <c r="K525" s="101"/>
    </row>
    <row r="526" spans="1:11">
      <c r="A526" s="8">
        <v>1</v>
      </c>
      <c r="B526" s="85" t="s">
        <v>512</v>
      </c>
      <c r="C526" s="85"/>
      <c r="D526" s="24" t="s">
        <v>545</v>
      </c>
      <c r="E526" s="94">
        <v>45</v>
      </c>
      <c r="F526" s="21">
        <v>85</v>
      </c>
      <c r="G526" s="44">
        <f t="shared" si="33"/>
        <v>40</v>
      </c>
      <c r="H526" s="46" t="s">
        <v>240</v>
      </c>
      <c r="I526" s="94"/>
      <c r="J526" s="103"/>
      <c r="K526" s="101"/>
    </row>
    <row r="527" spans="1:11">
      <c r="A527" s="8">
        <v>1</v>
      </c>
      <c r="B527" s="19" t="s">
        <v>563</v>
      </c>
      <c r="C527" s="108"/>
      <c r="D527" s="24" t="s">
        <v>564</v>
      </c>
      <c r="E527" s="94">
        <v>5</v>
      </c>
      <c r="F527" s="21">
        <v>10</v>
      </c>
      <c r="G527" s="21">
        <f t="shared" si="33"/>
        <v>5</v>
      </c>
      <c r="H527" s="46" t="s">
        <v>240</v>
      </c>
      <c r="I527" s="94"/>
      <c r="J527" s="103"/>
      <c r="K527" s="101"/>
    </row>
    <row r="528" spans="1:11">
      <c r="A528" s="8">
        <v>1</v>
      </c>
      <c r="B528" s="19" t="s">
        <v>563</v>
      </c>
      <c r="C528" s="108"/>
      <c r="D528" s="24" t="s">
        <v>564</v>
      </c>
      <c r="E528" s="94">
        <v>5</v>
      </c>
      <c r="F528" s="21">
        <v>10</v>
      </c>
      <c r="G528" s="21">
        <f t="shared" si="33"/>
        <v>5</v>
      </c>
      <c r="H528" s="46" t="s">
        <v>240</v>
      </c>
      <c r="I528" s="23"/>
      <c r="J528" s="103"/>
      <c r="K528" s="74"/>
    </row>
    <row r="529" spans="1:11">
      <c r="A529" s="8">
        <v>1</v>
      </c>
      <c r="B529" s="47" t="s">
        <v>261</v>
      </c>
      <c r="C529" s="47"/>
      <c r="D529" s="40" t="s">
        <v>509</v>
      </c>
      <c r="E529" s="102">
        <v>25</v>
      </c>
      <c r="F529" s="44">
        <v>47.5</v>
      </c>
      <c r="G529" s="44">
        <f t="shared" si="33"/>
        <v>22.5</v>
      </c>
      <c r="H529" s="8" t="s">
        <v>240</v>
      </c>
      <c r="I529" s="94"/>
      <c r="J529" s="103"/>
      <c r="K529" s="101"/>
    </row>
    <row r="530" spans="1:11">
      <c r="A530" s="8">
        <v>1</v>
      </c>
      <c r="B530" s="19" t="s">
        <v>547</v>
      </c>
      <c r="C530" s="19"/>
      <c r="D530" s="24" t="s">
        <v>550</v>
      </c>
      <c r="E530" s="94">
        <v>1</v>
      </c>
      <c r="F530" s="21">
        <v>1</v>
      </c>
      <c r="G530" s="44">
        <v>0</v>
      </c>
      <c r="H530" s="46" t="s">
        <v>240</v>
      </c>
      <c r="I530" s="94"/>
      <c r="J530" s="103"/>
      <c r="K530" s="74"/>
    </row>
    <row r="531" spans="1:11">
      <c r="A531" s="8">
        <v>1</v>
      </c>
      <c r="B531" s="19" t="s">
        <v>552</v>
      </c>
      <c r="C531" s="19"/>
      <c r="D531" s="19" t="s">
        <v>550</v>
      </c>
      <c r="E531" s="94">
        <v>18</v>
      </c>
      <c r="F531" s="21">
        <v>50</v>
      </c>
      <c r="G531" s="21">
        <f t="shared" ref="G531:G565" si="34">F531-E531</f>
        <v>32</v>
      </c>
      <c r="H531" s="8" t="s">
        <v>240</v>
      </c>
      <c r="I531" s="23"/>
      <c r="J531" s="103"/>
      <c r="K531" s="74"/>
    </row>
    <row r="532" spans="1:11">
      <c r="A532" s="8">
        <v>1</v>
      </c>
      <c r="B532" s="19" t="s">
        <v>548</v>
      </c>
      <c r="C532" s="108"/>
      <c r="D532" s="24" t="s">
        <v>550</v>
      </c>
      <c r="E532" s="94">
        <v>75</v>
      </c>
      <c r="F532" s="21">
        <v>160</v>
      </c>
      <c r="G532" s="44">
        <f t="shared" si="34"/>
        <v>85</v>
      </c>
      <c r="H532" s="46" t="s">
        <v>240</v>
      </c>
      <c r="I532" s="94"/>
      <c r="J532" s="103"/>
      <c r="K532" s="101"/>
    </row>
    <row r="533" spans="1:11">
      <c r="A533" s="8">
        <v>1</v>
      </c>
      <c r="B533" s="19" t="s">
        <v>329</v>
      </c>
      <c r="C533" s="108"/>
      <c r="D533" s="24" t="s">
        <v>550</v>
      </c>
      <c r="E533" s="94">
        <v>8</v>
      </c>
      <c r="F533" s="21">
        <v>20</v>
      </c>
      <c r="G533" s="44">
        <f t="shared" si="34"/>
        <v>12</v>
      </c>
      <c r="H533" s="46" t="s">
        <v>240</v>
      </c>
      <c r="I533" s="94"/>
      <c r="J533" s="103"/>
      <c r="K533" s="74"/>
    </row>
    <row r="534" spans="1:11">
      <c r="A534" s="8">
        <v>1</v>
      </c>
      <c r="B534" s="19" t="s">
        <v>555</v>
      </c>
      <c r="C534" s="108">
        <v>7898657060019</v>
      </c>
      <c r="D534" s="24" t="s">
        <v>185</v>
      </c>
      <c r="E534" s="94">
        <v>5</v>
      </c>
      <c r="F534" s="21">
        <v>10</v>
      </c>
      <c r="G534" s="44">
        <f t="shared" si="34"/>
        <v>5</v>
      </c>
      <c r="H534" s="8" t="s">
        <v>240</v>
      </c>
      <c r="I534" s="23"/>
      <c r="J534" s="103"/>
      <c r="K534" s="74"/>
    </row>
    <row r="535" spans="1:11">
      <c r="A535" s="8">
        <v>1</v>
      </c>
      <c r="B535" s="47" t="s">
        <v>387</v>
      </c>
      <c r="C535" s="47"/>
      <c r="D535" s="24" t="s">
        <v>517</v>
      </c>
      <c r="E535" s="102">
        <v>45</v>
      </c>
      <c r="F535" s="44">
        <v>70</v>
      </c>
      <c r="G535" s="44">
        <f t="shared" si="34"/>
        <v>25</v>
      </c>
      <c r="H535" s="46" t="s">
        <v>240</v>
      </c>
      <c r="I535" s="23"/>
      <c r="J535" s="103"/>
      <c r="K535" s="74"/>
    </row>
    <row r="536" spans="1:11">
      <c r="A536" s="8">
        <v>1</v>
      </c>
      <c r="B536" s="47" t="s">
        <v>512</v>
      </c>
      <c r="C536" s="47"/>
      <c r="D536" s="24" t="s">
        <v>517</v>
      </c>
      <c r="E536" s="94">
        <v>45</v>
      </c>
      <c r="F536" s="21">
        <v>74</v>
      </c>
      <c r="G536" s="44">
        <f t="shared" si="34"/>
        <v>29</v>
      </c>
      <c r="H536" s="46" t="s">
        <v>240</v>
      </c>
      <c r="I536" s="23"/>
      <c r="J536" s="103"/>
      <c r="K536" s="74"/>
    </row>
    <row r="537" spans="1:11">
      <c r="A537" s="8">
        <v>1</v>
      </c>
      <c r="B537" s="85" t="s">
        <v>512</v>
      </c>
      <c r="C537" s="85"/>
      <c r="D537" s="24" t="s">
        <v>531</v>
      </c>
      <c r="E537" s="94">
        <v>45</v>
      </c>
      <c r="F537" s="21">
        <v>80</v>
      </c>
      <c r="G537" s="44">
        <f t="shared" si="34"/>
        <v>35</v>
      </c>
      <c r="H537" s="8" t="s">
        <v>240</v>
      </c>
      <c r="I537" s="23"/>
      <c r="J537" s="103"/>
      <c r="K537" s="74"/>
    </row>
    <row r="538" spans="1:11">
      <c r="A538" s="8">
        <v>1</v>
      </c>
      <c r="B538" s="85" t="s">
        <v>387</v>
      </c>
      <c r="C538" s="85"/>
      <c r="D538" s="40" t="s">
        <v>531</v>
      </c>
      <c r="E538" s="94">
        <v>45</v>
      </c>
      <c r="F538" s="21">
        <v>80</v>
      </c>
      <c r="G538" s="44">
        <f t="shared" si="34"/>
        <v>35</v>
      </c>
      <c r="H538" s="46" t="s">
        <v>240</v>
      </c>
      <c r="I538" s="23"/>
      <c r="J538" s="103"/>
      <c r="K538" s="74"/>
    </row>
    <row r="539" spans="1:11">
      <c r="A539" s="8">
        <v>1</v>
      </c>
      <c r="B539" s="85" t="s">
        <v>387</v>
      </c>
      <c r="C539" s="85"/>
      <c r="D539" s="40" t="s">
        <v>531</v>
      </c>
      <c r="E539" s="94">
        <v>45</v>
      </c>
      <c r="F539" s="21">
        <v>80</v>
      </c>
      <c r="G539" s="44">
        <f t="shared" si="34"/>
        <v>35</v>
      </c>
      <c r="H539" s="8" t="s">
        <v>240</v>
      </c>
      <c r="I539" s="23"/>
      <c r="J539" s="103"/>
      <c r="K539" s="74"/>
    </row>
    <row r="540" spans="1:11">
      <c r="A540" s="8">
        <v>1</v>
      </c>
      <c r="B540" s="19" t="s">
        <v>510</v>
      </c>
      <c r="C540" s="19"/>
      <c r="D540" s="24"/>
      <c r="E540" s="94">
        <v>35</v>
      </c>
      <c r="F540" s="21">
        <v>50</v>
      </c>
      <c r="G540" s="44">
        <f t="shared" si="34"/>
        <v>15</v>
      </c>
      <c r="H540" s="46" t="s">
        <v>240</v>
      </c>
      <c r="I540" s="23"/>
      <c r="J540" s="103"/>
      <c r="K540" s="74"/>
    </row>
    <row r="541" spans="1:11">
      <c r="A541" s="8">
        <v>1</v>
      </c>
      <c r="B541" s="47" t="s">
        <v>478</v>
      </c>
      <c r="C541" s="47"/>
      <c r="D541" s="24"/>
      <c r="E541" s="94">
        <v>20</v>
      </c>
      <c r="F541" s="21">
        <v>30</v>
      </c>
      <c r="G541" s="44">
        <f t="shared" si="34"/>
        <v>10</v>
      </c>
      <c r="H541" s="8" t="s">
        <v>240</v>
      </c>
      <c r="I541" s="23"/>
      <c r="J541" s="103"/>
      <c r="K541" s="74"/>
    </row>
    <row r="542" spans="1:11">
      <c r="A542" s="8">
        <v>1</v>
      </c>
      <c r="B542" s="19" t="s">
        <v>518</v>
      </c>
      <c r="C542" s="19"/>
      <c r="D542" s="24"/>
      <c r="E542" s="94">
        <v>15</v>
      </c>
      <c r="F542" s="21">
        <v>30</v>
      </c>
      <c r="G542" s="44">
        <f t="shared" si="34"/>
        <v>15</v>
      </c>
      <c r="H542" s="8" t="s">
        <v>240</v>
      </c>
      <c r="I542" s="23"/>
      <c r="J542" s="103"/>
      <c r="K542" s="74"/>
    </row>
    <row r="543" spans="1:11">
      <c r="A543" s="8">
        <v>1</v>
      </c>
      <c r="B543" s="47" t="s">
        <v>478</v>
      </c>
      <c r="C543" s="47"/>
      <c r="D543" s="24"/>
      <c r="E543" s="94">
        <v>20</v>
      </c>
      <c r="F543" s="21">
        <v>30</v>
      </c>
      <c r="G543" s="44">
        <f t="shared" si="34"/>
        <v>10</v>
      </c>
      <c r="H543" s="8" t="s">
        <v>240</v>
      </c>
      <c r="I543" s="23"/>
      <c r="J543" s="103"/>
      <c r="K543" s="74"/>
    </row>
    <row r="544" spans="1:11">
      <c r="A544" s="8">
        <v>1</v>
      </c>
      <c r="B544" s="19" t="s">
        <v>530</v>
      </c>
      <c r="C544" s="19"/>
      <c r="D544" s="24"/>
      <c r="E544" s="94">
        <v>8.5</v>
      </c>
      <c r="F544" s="21">
        <v>15</v>
      </c>
      <c r="G544" s="44">
        <f t="shared" si="34"/>
        <v>6.5</v>
      </c>
      <c r="H544" s="8" t="s">
        <v>240</v>
      </c>
      <c r="I544" s="94"/>
      <c r="J544" s="103"/>
      <c r="K544" s="74"/>
    </row>
    <row r="545" spans="1:11">
      <c r="A545" s="8">
        <v>1</v>
      </c>
      <c r="B545" s="47" t="s">
        <v>182</v>
      </c>
      <c r="C545" s="47"/>
      <c r="D545" s="40"/>
      <c r="E545" s="102">
        <v>22</v>
      </c>
      <c r="F545" s="44">
        <v>45</v>
      </c>
      <c r="G545" s="44">
        <f t="shared" si="34"/>
        <v>23</v>
      </c>
      <c r="H545" s="46" t="s">
        <v>240</v>
      </c>
      <c r="I545" s="94"/>
      <c r="J545" s="103"/>
      <c r="K545" s="74"/>
    </row>
    <row r="546" spans="1:11">
      <c r="A546" s="8">
        <v>1</v>
      </c>
      <c r="B546" s="47" t="s">
        <v>182</v>
      </c>
      <c r="C546" s="47"/>
      <c r="D546" s="40"/>
      <c r="E546" s="102">
        <v>22</v>
      </c>
      <c r="F546" s="44">
        <v>45</v>
      </c>
      <c r="G546" s="44">
        <f t="shared" si="34"/>
        <v>23</v>
      </c>
      <c r="H546" s="46" t="s">
        <v>240</v>
      </c>
      <c r="I546" s="23"/>
      <c r="J546" s="103"/>
      <c r="K546" s="74"/>
    </row>
    <row r="547" spans="1:11">
      <c r="A547" s="8">
        <v>1</v>
      </c>
      <c r="B547" s="19" t="s">
        <v>261</v>
      </c>
      <c r="C547" s="19"/>
      <c r="D547" s="24"/>
      <c r="E547" s="94">
        <v>25</v>
      </c>
      <c r="F547" s="21">
        <v>55</v>
      </c>
      <c r="G547" s="44">
        <f t="shared" si="34"/>
        <v>30</v>
      </c>
      <c r="H547" s="8" t="s">
        <v>240</v>
      </c>
      <c r="I547" s="23"/>
      <c r="J547" s="81"/>
      <c r="K547" s="74"/>
    </row>
    <row r="548" spans="1:11">
      <c r="A548" s="8">
        <v>1</v>
      </c>
      <c r="B548" s="19" t="s">
        <v>261</v>
      </c>
      <c r="C548" s="19"/>
      <c r="D548" s="24"/>
      <c r="E548" s="94">
        <v>25</v>
      </c>
      <c r="F548" s="21">
        <v>55</v>
      </c>
      <c r="G548" s="44">
        <f t="shared" si="34"/>
        <v>30</v>
      </c>
      <c r="H548" s="8" t="s">
        <v>240</v>
      </c>
      <c r="I548" s="23"/>
      <c r="J548" s="103"/>
      <c r="K548" s="74"/>
    </row>
    <row r="549" spans="1:11">
      <c r="A549" s="8">
        <v>1</v>
      </c>
      <c r="B549" s="47" t="s">
        <v>266</v>
      </c>
      <c r="C549" s="47"/>
      <c r="D549" s="40"/>
      <c r="E549" s="102">
        <v>18</v>
      </c>
      <c r="F549" s="44">
        <v>30</v>
      </c>
      <c r="G549" s="44">
        <f t="shared" si="34"/>
        <v>12</v>
      </c>
      <c r="H549" s="46" t="s">
        <v>240</v>
      </c>
      <c r="I549" s="23"/>
      <c r="J549" s="103"/>
      <c r="K549" s="74"/>
    </row>
    <row r="550" spans="1:11">
      <c r="A550" s="8">
        <v>1</v>
      </c>
      <c r="B550" s="19" t="s">
        <v>516</v>
      </c>
      <c r="C550" s="19"/>
      <c r="D550" s="24"/>
      <c r="E550" s="94">
        <v>63</v>
      </c>
      <c r="F550" s="21">
        <v>150</v>
      </c>
      <c r="G550" s="44">
        <f t="shared" si="34"/>
        <v>87</v>
      </c>
      <c r="H550" s="8" t="s">
        <v>240</v>
      </c>
      <c r="I550" s="23"/>
      <c r="J550" s="103"/>
      <c r="K550" s="74"/>
    </row>
    <row r="551" spans="1:11">
      <c r="A551" s="8">
        <v>1</v>
      </c>
      <c r="B551" s="47" t="s">
        <v>367</v>
      </c>
      <c r="C551" s="47"/>
      <c r="D551" s="40"/>
      <c r="E551" s="102">
        <v>8.5</v>
      </c>
      <c r="F551" s="44">
        <v>25</v>
      </c>
      <c r="G551" s="44">
        <f t="shared" si="34"/>
        <v>16.5</v>
      </c>
      <c r="H551" s="46" t="s">
        <v>240</v>
      </c>
      <c r="I551" s="94"/>
      <c r="J551" s="103"/>
      <c r="K551" s="74"/>
    </row>
    <row r="552" spans="1:11">
      <c r="A552" s="8">
        <v>1</v>
      </c>
      <c r="B552" s="19" t="s">
        <v>764</v>
      </c>
      <c r="C552" s="19"/>
      <c r="D552" s="24"/>
      <c r="E552" s="94">
        <v>18.5</v>
      </c>
      <c r="F552" s="21">
        <v>34</v>
      </c>
      <c r="G552" s="44">
        <f t="shared" si="34"/>
        <v>15.5</v>
      </c>
      <c r="H552" s="46" t="s">
        <v>240</v>
      </c>
      <c r="I552" s="23"/>
      <c r="J552" s="103"/>
      <c r="K552" s="74"/>
    </row>
    <row r="553" spans="1:11">
      <c r="A553" s="8">
        <v>1</v>
      </c>
      <c r="B553" s="19" t="s">
        <v>812</v>
      </c>
      <c r="C553" s="19"/>
      <c r="D553" s="24"/>
      <c r="E553" s="94">
        <v>25</v>
      </c>
      <c r="F553" s="21">
        <v>50</v>
      </c>
      <c r="G553" s="44">
        <f t="shared" si="34"/>
        <v>25</v>
      </c>
      <c r="H553" s="46" t="s">
        <v>240</v>
      </c>
      <c r="I553" s="23"/>
      <c r="J553" s="103"/>
      <c r="K553" s="74"/>
    </row>
    <row r="554" spans="1:11">
      <c r="A554" s="8">
        <v>1</v>
      </c>
      <c r="B554" s="47" t="s">
        <v>264</v>
      </c>
      <c r="C554" s="47"/>
      <c r="D554" s="40"/>
      <c r="E554" s="102">
        <v>16</v>
      </c>
      <c r="F554" s="44">
        <v>30</v>
      </c>
      <c r="G554" s="44">
        <f t="shared" si="34"/>
        <v>14</v>
      </c>
      <c r="H554" s="46" t="s">
        <v>240</v>
      </c>
      <c r="I554" s="94"/>
      <c r="J554" s="103"/>
      <c r="K554" s="74"/>
    </row>
    <row r="555" spans="1:11">
      <c r="A555" s="8">
        <v>1</v>
      </c>
      <c r="B555" s="19" t="s">
        <v>551</v>
      </c>
      <c r="C555" s="19"/>
      <c r="D555" s="19"/>
      <c r="E555" s="94">
        <v>18</v>
      </c>
      <c r="F555" s="21">
        <v>30</v>
      </c>
      <c r="G555" s="21">
        <f t="shared" si="34"/>
        <v>12</v>
      </c>
      <c r="H555" s="8" t="s">
        <v>240</v>
      </c>
      <c r="I555" s="94"/>
      <c r="J555" s="103"/>
      <c r="K555" s="74"/>
    </row>
    <row r="556" spans="1:11">
      <c r="A556" s="8">
        <v>1</v>
      </c>
      <c r="B556" s="19" t="s">
        <v>608</v>
      </c>
      <c r="C556" s="19"/>
      <c r="D556" s="19"/>
      <c r="E556" s="94">
        <v>25</v>
      </c>
      <c r="F556" s="21">
        <v>55</v>
      </c>
      <c r="G556" s="21">
        <f t="shared" si="34"/>
        <v>30</v>
      </c>
      <c r="H556" s="46" t="s">
        <v>240</v>
      </c>
      <c r="I556" s="94"/>
      <c r="J556" s="103"/>
      <c r="K556" s="74"/>
    </row>
    <row r="557" spans="1:11">
      <c r="A557" s="8">
        <v>1</v>
      </c>
      <c r="B557" s="85" t="s">
        <v>569</v>
      </c>
      <c r="C557" s="110"/>
      <c r="D557" s="19"/>
      <c r="E557" s="94">
        <v>40</v>
      </c>
      <c r="F557" s="21">
        <v>55</v>
      </c>
      <c r="G557" s="44">
        <f t="shared" si="34"/>
        <v>15</v>
      </c>
      <c r="H557" s="8" t="s">
        <v>240</v>
      </c>
      <c r="I557" s="23"/>
      <c r="J557" s="103"/>
      <c r="K557" s="74"/>
    </row>
    <row r="558" spans="1:11">
      <c r="A558" s="8">
        <v>1</v>
      </c>
      <c r="B558" s="19" t="s">
        <v>156</v>
      </c>
      <c r="C558" s="108"/>
      <c r="D558" s="19"/>
      <c r="E558" s="94">
        <v>90</v>
      </c>
      <c r="F558" s="21">
        <v>120</v>
      </c>
      <c r="G558" s="44">
        <f t="shared" si="34"/>
        <v>30</v>
      </c>
      <c r="H558" s="46" t="s">
        <v>240</v>
      </c>
      <c r="I558" s="23"/>
      <c r="J558" s="103"/>
      <c r="K558" s="74"/>
    </row>
    <row r="559" spans="1:11">
      <c r="A559" s="8">
        <v>1</v>
      </c>
      <c r="B559" s="19" t="s">
        <v>308</v>
      </c>
      <c r="C559" s="108"/>
      <c r="D559" s="40"/>
      <c r="E559" s="94">
        <v>12.5</v>
      </c>
      <c r="F559" s="21">
        <v>30</v>
      </c>
      <c r="G559" s="44">
        <f t="shared" si="34"/>
        <v>17.5</v>
      </c>
      <c r="H559" s="8" t="s">
        <v>240</v>
      </c>
      <c r="I559" s="23"/>
      <c r="J559" s="103"/>
      <c r="K559" s="74"/>
    </row>
    <row r="560" spans="1:11">
      <c r="A560" s="8">
        <v>1</v>
      </c>
      <c r="B560" s="47" t="s">
        <v>478</v>
      </c>
      <c r="C560" s="109"/>
      <c r="D560" s="40"/>
      <c r="E560" s="94">
        <v>20</v>
      </c>
      <c r="F560" s="44">
        <v>30</v>
      </c>
      <c r="G560" s="44">
        <f t="shared" si="34"/>
        <v>10</v>
      </c>
      <c r="H560" s="8" t="s">
        <v>240</v>
      </c>
      <c r="I560" s="23"/>
      <c r="J560" s="103"/>
      <c r="K560" s="74"/>
    </row>
    <row r="561" spans="1:11">
      <c r="A561" s="8">
        <v>1</v>
      </c>
      <c r="B561" s="19" t="s">
        <v>561</v>
      </c>
      <c r="C561" s="108"/>
      <c r="D561" s="24"/>
      <c r="E561" s="94">
        <v>38</v>
      </c>
      <c r="F561" s="21">
        <v>90</v>
      </c>
      <c r="G561" s="44">
        <f t="shared" si="34"/>
        <v>52</v>
      </c>
      <c r="H561" s="46" t="s">
        <v>240</v>
      </c>
      <c r="I561" s="23"/>
      <c r="J561" s="111" t="s">
        <v>557</v>
      </c>
      <c r="K561" s="74"/>
    </row>
    <row r="562" spans="1:11">
      <c r="A562" s="8">
        <v>1</v>
      </c>
      <c r="B562" s="19" t="s">
        <v>331</v>
      </c>
      <c r="C562" s="108"/>
      <c r="D562" s="24"/>
      <c r="E562" s="94">
        <v>14</v>
      </c>
      <c r="F562" s="21">
        <v>30</v>
      </c>
      <c r="G562" s="21">
        <f t="shared" si="34"/>
        <v>16</v>
      </c>
      <c r="H562" s="8" t="s">
        <v>240</v>
      </c>
      <c r="I562" s="23"/>
      <c r="J562" s="103"/>
      <c r="K562" s="74"/>
    </row>
    <row r="563" spans="1:11">
      <c r="A563" s="8">
        <v>1</v>
      </c>
      <c r="B563" s="19" t="s">
        <v>516</v>
      </c>
      <c r="C563" s="108"/>
      <c r="D563" s="24"/>
      <c r="E563" s="49">
        <v>63</v>
      </c>
      <c r="F563" s="21">
        <v>100</v>
      </c>
      <c r="G563" s="21">
        <f t="shared" si="34"/>
        <v>37</v>
      </c>
      <c r="H563" s="8" t="s">
        <v>240</v>
      </c>
      <c r="I563" s="94"/>
      <c r="J563" s="103"/>
      <c r="K563" s="74"/>
    </row>
    <row r="564" spans="1:11">
      <c r="A564" s="8">
        <v>1</v>
      </c>
      <c r="B564" s="19" t="s">
        <v>511</v>
      </c>
      <c r="C564" s="108"/>
      <c r="D564" s="24"/>
      <c r="E564" s="49">
        <v>5</v>
      </c>
      <c r="F564" s="21">
        <v>15</v>
      </c>
      <c r="G564" s="44">
        <f t="shared" si="34"/>
        <v>10</v>
      </c>
      <c r="H564" s="46" t="s">
        <v>240</v>
      </c>
      <c r="I564" s="23"/>
      <c r="J564" s="103"/>
      <c r="K564" s="74"/>
    </row>
    <row r="565" spans="1:11">
      <c r="A565" s="8">
        <v>1</v>
      </c>
      <c r="B565" s="19" t="s">
        <v>549</v>
      </c>
      <c r="C565" s="108"/>
      <c r="D565" s="24"/>
      <c r="E565" s="49">
        <v>40</v>
      </c>
      <c r="F565" s="21">
        <v>100</v>
      </c>
      <c r="G565" s="44">
        <f t="shared" si="34"/>
        <v>60</v>
      </c>
      <c r="H565" s="46" t="s">
        <v>240</v>
      </c>
      <c r="I565" s="23"/>
      <c r="J565" s="103"/>
      <c r="K565" s="74"/>
    </row>
    <row r="566" spans="1:11">
      <c r="A566" s="8">
        <v>1</v>
      </c>
      <c r="B566" s="19" t="s">
        <v>331</v>
      </c>
      <c r="C566" s="108"/>
      <c r="D566" s="24"/>
      <c r="E566" s="49">
        <v>14</v>
      </c>
      <c r="F566" s="21">
        <v>25</v>
      </c>
      <c r="G566" s="44">
        <v>50</v>
      </c>
      <c r="H566" s="8" t="s">
        <v>240</v>
      </c>
      <c r="I566" s="94"/>
      <c r="J566" s="103"/>
      <c r="K566" s="89"/>
    </row>
    <row r="567" spans="1:11">
      <c r="A567" s="8">
        <v>1</v>
      </c>
      <c r="B567" s="19"/>
      <c r="C567" s="108"/>
      <c r="D567" s="24"/>
      <c r="E567" s="49"/>
      <c r="F567" s="21"/>
      <c r="G567" s="21"/>
      <c r="H567" s="8"/>
      <c r="I567" s="23"/>
      <c r="J567" s="103"/>
      <c r="K567" s="17"/>
    </row>
    <row r="568" spans="1:11" ht="21">
      <c r="A568" s="162" t="s">
        <v>10</v>
      </c>
      <c r="B568" s="163"/>
      <c r="C568" s="163"/>
      <c r="D568" s="164"/>
      <c r="E568" s="20">
        <f>SUM(E569:E682)</f>
        <v>2319.62</v>
      </c>
      <c r="F568" s="20">
        <f>SUM(F569:F682)</f>
        <v>4003.9</v>
      </c>
      <c r="G568" s="20">
        <f>SUM(G569:G682)</f>
        <v>1684.2799999999997</v>
      </c>
      <c r="H568" s="71">
        <f>COUNTIF(H569:H666,"Vendido")</f>
        <v>66</v>
      </c>
      <c r="I568" s="87">
        <f>SUM(F568-E568)/F568</f>
        <v>0.42065985663977629</v>
      </c>
      <c r="J568" s="112">
        <f>COUNTIF(H569:H666,"Estoque")</f>
        <v>0</v>
      </c>
      <c r="K568" s="71">
        <f>COUNTIF($H$569:H666,"Atacado")</f>
        <v>32</v>
      </c>
    </row>
    <row r="569" spans="1:11" ht="15.75">
      <c r="A569" s="8">
        <v>1</v>
      </c>
      <c r="B569" s="19" t="s">
        <v>611</v>
      </c>
      <c r="C569" s="108"/>
      <c r="D569" s="19" t="s">
        <v>572</v>
      </c>
      <c r="E569" s="115">
        <v>0.75</v>
      </c>
      <c r="F569" s="21">
        <v>2.5</v>
      </c>
      <c r="G569" s="21">
        <f t="shared" ref="G569:G600" si="35">F569-E569</f>
        <v>1.75</v>
      </c>
      <c r="H569" s="8" t="s">
        <v>490</v>
      </c>
      <c r="I569" s="23"/>
      <c r="J569" s="103"/>
      <c r="K569" s="74">
        <v>43727</v>
      </c>
    </row>
    <row r="570" spans="1:11" ht="15.75">
      <c r="A570" s="8">
        <v>2</v>
      </c>
      <c r="B570" s="19" t="s">
        <v>538</v>
      </c>
      <c r="C570" s="92"/>
      <c r="D570" s="24" t="s">
        <v>572</v>
      </c>
      <c r="E570" s="116">
        <v>6.5</v>
      </c>
      <c r="F570" s="21">
        <f>E570*20%+E570</f>
        <v>7.8</v>
      </c>
      <c r="G570" s="21">
        <f t="shared" si="35"/>
        <v>1.2999999999999998</v>
      </c>
      <c r="H570" s="8" t="s">
        <v>490</v>
      </c>
      <c r="I570" s="23"/>
      <c r="J570" s="103"/>
      <c r="K570" s="17"/>
    </row>
    <row r="571" spans="1:11" ht="15.75">
      <c r="A571" s="8">
        <v>3</v>
      </c>
      <c r="B571" s="19" t="s">
        <v>562</v>
      </c>
      <c r="C571" s="19"/>
      <c r="D571" s="24" t="s">
        <v>572</v>
      </c>
      <c r="E571" s="116">
        <v>1</v>
      </c>
      <c r="F571" s="21">
        <v>1.5</v>
      </c>
      <c r="G571" s="21">
        <f t="shared" si="35"/>
        <v>0.5</v>
      </c>
      <c r="H571" s="8" t="s">
        <v>490</v>
      </c>
      <c r="I571" s="23"/>
      <c r="J571" s="103"/>
      <c r="K571" s="17"/>
    </row>
    <row r="572" spans="1:11" ht="15.75">
      <c r="A572" s="8">
        <v>4</v>
      </c>
      <c r="B572" s="19" t="s">
        <v>155</v>
      </c>
      <c r="C572" s="92"/>
      <c r="D572" s="24" t="s">
        <v>572</v>
      </c>
      <c r="E572" s="115">
        <v>16</v>
      </c>
      <c r="F572" s="21">
        <f>E572*20%+E572</f>
        <v>19.2</v>
      </c>
      <c r="G572" s="21">
        <f t="shared" si="35"/>
        <v>3.1999999999999993</v>
      </c>
      <c r="H572" s="8" t="s">
        <v>490</v>
      </c>
      <c r="I572" s="23"/>
      <c r="J572" s="103"/>
      <c r="K572" s="74">
        <v>43725</v>
      </c>
    </row>
    <row r="573" spans="1:11" ht="15.75">
      <c r="A573" s="8">
        <v>5</v>
      </c>
      <c r="B573" s="19" t="s">
        <v>155</v>
      </c>
      <c r="C573" s="135"/>
      <c r="D573" s="135" t="s">
        <v>572</v>
      </c>
      <c r="E573" s="115">
        <v>13</v>
      </c>
      <c r="F573" s="21">
        <v>16.5</v>
      </c>
      <c r="G573" s="21">
        <f t="shared" si="35"/>
        <v>3.5</v>
      </c>
      <c r="H573" s="8" t="s">
        <v>490</v>
      </c>
      <c r="I573" s="23"/>
      <c r="J573" s="103"/>
      <c r="K573" s="74">
        <v>43727</v>
      </c>
    </row>
    <row r="574" spans="1:11" ht="15.75">
      <c r="A574" s="8">
        <v>6</v>
      </c>
      <c r="B574" s="19" t="s">
        <v>155</v>
      </c>
      <c r="C574" s="135"/>
      <c r="D574" s="135" t="s">
        <v>572</v>
      </c>
      <c r="E574" s="115">
        <v>13</v>
      </c>
      <c r="F574" s="21">
        <v>16.5</v>
      </c>
      <c r="G574" s="21">
        <f t="shared" si="35"/>
        <v>3.5</v>
      </c>
      <c r="H574" s="8" t="s">
        <v>490</v>
      </c>
      <c r="I574" s="23"/>
      <c r="J574" s="103"/>
      <c r="K574" s="74">
        <v>43727</v>
      </c>
    </row>
    <row r="575" spans="1:11" ht="15.75">
      <c r="A575" s="8">
        <v>7</v>
      </c>
      <c r="B575" s="19" t="s">
        <v>155</v>
      </c>
      <c r="C575" s="135"/>
      <c r="D575" s="135" t="s">
        <v>572</v>
      </c>
      <c r="E575" s="115">
        <v>13</v>
      </c>
      <c r="F575" s="21">
        <v>16.5</v>
      </c>
      <c r="G575" s="21">
        <f t="shared" si="35"/>
        <v>3.5</v>
      </c>
      <c r="H575" s="8" t="s">
        <v>490</v>
      </c>
      <c r="I575" s="23"/>
      <c r="J575" s="103"/>
      <c r="K575" s="74">
        <v>43727</v>
      </c>
    </row>
    <row r="576" spans="1:11" ht="15.75">
      <c r="A576" s="8">
        <v>8</v>
      </c>
      <c r="B576" s="19" t="s">
        <v>155</v>
      </c>
      <c r="C576" s="135"/>
      <c r="D576" s="135" t="s">
        <v>572</v>
      </c>
      <c r="E576" s="115">
        <v>13</v>
      </c>
      <c r="F576" s="21">
        <v>16.5</v>
      </c>
      <c r="G576" s="21">
        <f t="shared" si="35"/>
        <v>3.5</v>
      </c>
      <c r="H576" s="8" t="s">
        <v>490</v>
      </c>
      <c r="I576" s="23"/>
      <c r="J576" s="103"/>
      <c r="K576" s="74">
        <v>43727</v>
      </c>
    </row>
    <row r="577" spans="1:11" ht="15.75">
      <c r="A577" s="8">
        <v>9</v>
      </c>
      <c r="B577" s="19" t="s">
        <v>559</v>
      </c>
      <c r="C577" s="92"/>
      <c r="D577" s="24" t="s">
        <v>572</v>
      </c>
      <c r="E577" s="115">
        <v>119.69499999999999</v>
      </c>
      <c r="F577" s="21">
        <v>150</v>
      </c>
      <c r="G577" s="21">
        <f t="shared" si="35"/>
        <v>30.305000000000007</v>
      </c>
      <c r="H577" s="8" t="s">
        <v>490</v>
      </c>
      <c r="I577" s="23"/>
      <c r="J577" s="103"/>
      <c r="K577" s="74">
        <v>43727</v>
      </c>
    </row>
    <row r="578" spans="1:11" ht="15.75">
      <c r="A578" s="8">
        <v>10</v>
      </c>
      <c r="B578" s="19" t="s">
        <v>600</v>
      </c>
      <c r="C578" s="19"/>
      <c r="D578" s="19" t="s">
        <v>572</v>
      </c>
      <c r="E578" s="115">
        <v>35</v>
      </c>
      <c r="F578" s="21">
        <f>E578*20%+E578</f>
        <v>42</v>
      </c>
      <c r="G578" s="21">
        <f t="shared" si="35"/>
        <v>7</v>
      </c>
      <c r="H578" s="8" t="s">
        <v>490</v>
      </c>
      <c r="I578" s="23"/>
      <c r="J578" s="103"/>
      <c r="K578" s="74">
        <v>43725</v>
      </c>
    </row>
    <row r="579" spans="1:11" ht="15.75">
      <c r="A579" s="8">
        <v>11</v>
      </c>
      <c r="B579" s="19" t="s">
        <v>601</v>
      </c>
      <c r="C579" s="19"/>
      <c r="D579" s="19" t="s">
        <v>572</v>
      </c>
      <c r="E579" s="115">
        <v>15</v>
      </c>
      <c r="F579" s="21">
        <f>E579*20%+E579</f>
        <v>18</v>
      </c>
      <c r="G579" s="21">
        <f t="shared" si="35"/>
        <v>3</v>
      </c>
      <c r="H579" s="8" t="s">
        <v>490</v>
      </c>
      <c r="I579" s="23"/>
      <c r="J579" s="103"/>
      <c r="K579" s="74">
        <v>43725</v>
      </c>
    </row>
    <row r="580" spans="1:11" ht="15.75">
      <c r="A580" s="8">
        <v>12</v>
      </c>
      <c r="B580" s="85" t="s">
        <v>512</v>
      </c>
      <c r="C580" s="19"/>
      <c r="D580" s="19" t="s">
        <v>572</v>
      </c>
      <c r="E580" s="116">
        <v>45</v>
      </c>
      <c r="F580" s="21">
        <f>E580*20%+E580</f>
        <v>54</v>
      </c>
      <c r="G580" s="21">
        <f t="shared" si="35"/>
        <v>9</v>
      </c>
      <c r="H580" s="8" t="s">
        <v>490</v>
      </c>
      <c r="I580" s="23"/>
      <c r="J580" s="103"/>
      <c r="K580" s="17"/>
    </row>
    <row r="581" spans="1:11" ht="15.75">
      <c r="A581" s="8">
        <v>13</v>
      </c>
      <c r="B581" s="119" t="s">
        <v>596</v>
      </c>
      <c r="C581" s="19"/>
      <c r="D581" s="19" t="s">
        <v>572</v>
      </c>
      <c r="E581" s="118">
        <v>18.899999999999999</v>
      </c>
      <c r="F581" s="21">
        <v>35</v>
      </c>
      <c r="G581" s="21">
        <f t="shared" si="35"/>
        <v>16.100000000000001</v>
      </c>
      <c r="H581" s="8" t="s">
        <v>490</v>
      </c>
      <c r="I581" s="23"/>
      <c r="J581" s="81"/>
      <c r="K581" s="74">
        <v>43727</v>
      </c>
    </row>
    <row r="582" spans="1:11" ht="15.75">
      <c r="A582" s="8">
        <v>14</v>
      </c>
      <c r="B582" s="119" t="s">
        <v>596</v>
      </c>
      <c r="C582" s="19"/>
      <c r="D582" s="19" t="s">
        <v>572</v>
      </c>
      <c r="E582" s="118">
        <v>18.899999999999999</v>
      </c>
      <c r="F582" s="21">
        <v>35</v>
      </c>
      <c r="G582" s="21">
        <f t="shared" si="35"/>
        <v>16.100000000000001</v>
      </c>
      <c r="H582" s="8" t="s">
        <v>490</v>
      </c>
      <c r="I582" s="23"/>
      <c r="J582" s="103"/>
      <c r="K582" s="74">
        <v>43727</v>
      </c>
    </row>
    <row r="583" spans="1:11" ht="15.75">
      <c r="A583" s="8">
        <v>15</v>
      </c>
      <c r="B583" s="19" t="s">
        <v>595</v>
      </c>
      <c r="C583" s="108"/>
      <c r="D583" s="24" t="s">
        <v>31</v>
      </c>
      <c r="E583" s="115">
        <v>12</v>
      </c>
      <c r="F583" s="21">
        <v>15</v>
      </c>
      <c r="G583" s="21">
        <f t="shared" si="35"/>
        <v>3</v>
      </c>
      <c r="H583" s="8" t="s">
        <v>490</v>
      </c>
      <c r="I583" s="23"/>
      <c r="J583" s="103"/>
      <c r="K583" s="17"/>
    </row>
    <row r="584" spans="1:11" ht="15.75">
      <c r="A584" s="8">
        <v>16</v>
      </c>
      <c r="B584" s="19" t="s">
        <v>577</v>
      </c>
      <c r="C584" s="19"/>
      <c r="D584" s="19" t="s">
        <v>31</v>
      </c>
      <c r="E584" s="115">
        <v>6.8</v>
      </c>
      <c r="F584" s="21">
        <v>6.8</v>
      </c>
      <c r="G584" s="21">
        <f t="shared" si="35"/>
        <v>0</v>
      </c>
      <c r="H584" s="8" t="s">
        <v>490</v>
      </c>
      <c r="I584" s="23"/>
      <c r="J584" s="103"/>
      <c r="K584" s="74">
        <v>43718</v>
      </c>
    </row>
    <row r="585" spans="1:11" ht="15.75">
      <c r="A585" s="8">
        <v>17</v>
      </c>
      <c r="B585" s="19" t="s">
        <v>689</v>
      </c>
      <c r="C585" s="108"/>
      <c r="D585" s="135" t="s">
        <v>610</v>
      </c>
      <c r="E585" s="115">
        <v>57</v>
      </c>
      <c r="F585" s="21">
        <v>73</v>
      </c>
      <c r="G585" s="21">
        <f t="shared" si="35"/>
        <v>16</v>
      </c>
      <c r="H585" s="8" t="s">
        <v>490</v>
      </c>
      <c r="I585" s="23"/>
      <c r="J585" s="103"/>
      <c r="K585" s="74">
        <v>43727</v>
      </c>
    </row>
    <row r="586" spans="1:11" ht="15.75">
      <c r="A586" s="8">
        <v>18</v>
      </c>
      <c r="B586" s="19" t="s">
        <v>578</v>
      </c>
      <c r="C586" s="19"/>
      <c r="D586" s="19" t="s">
        <v>31</v>
      </c>
      <c r="E586" s="115">
        <v>5.5</v>
      </c>
      <c r="F586" s="21">
        <v>15</v>
      </c>
      <c r="G586" s="21">
        <f t="shared" si="35"/>
        <v>9.5</v>
      </c>
      <c r="H586" s="8" t="s">
        <v>490</v>
      </c>
      <c r="I586" s="23"/>
      <c r="J586" s="103"/>
      <c r="K586" s="74">
        <v>43718</v>
      </c>
    </row>
    <row r="587" spans="1:11" ht="15.75">
      <c r="A587" s="8">
        <v>19</v>
      </c>
      <c r="B587" s="19" t="s">
        <v>579</v>
      </c>
      <c r="C587" s="41"/>
      <c r="D587" s="40" t="s">
        <v>31</v>
      </c>
      <c r="E587" s="115">
        <v>16</v>
      </c>
      <c r="F587" s="44">
        <v>16</v>
      </c>
      <c r="G587" s="21">
        <f t="shared" si="35"/>
        <v>0</v>
      </c>
      <c r="H587" s="8" t="s">
        <v>490</v>
      </c>
      <c r="I587" s="23"/>
      <c r="J587" s="103"/>
      <c r="K587" s="74">
        <v>43718</v>
      </c>
    </row>
    <row r="588" spans="1:11" ht="15.75">
      <c r="A588" s="8">
        <v>20</v>
      </c>
      <c r="B588" s="19" t="s">
        <v>580</v>
      </c>
      <c r="C588" s="92"/>
      <c r="D588" s="24" t="s">
        <v>31</v>
      </c>
      <c r="E588" s="115">
        <v>22</v>
      </c>
      <c r="F588" s="21">
        <v>26.4</v>
      </c>
      <c r="G588" s="21">
        <f t="shared" si="35"/>
        <v>4.3999999999999986</v>
      </c>
      <c r="H588" s="8" t="s">
        <v>490</v>
      </c>
      <c r="I588" s="23"/>
      <c r="J588" s="103"/>
      <c r="K588" s="74">
        <v>43718</v>
      </c>
    </row>
    <row r="589" spans="1:11" ht="15.75">
      <c r="A589" s="8">
        <v>21</v>
      </c>
      <c r="B589" s="19" t="s">
        <v>581</v>
      </c>
      <c r="C589" s="19"/>
      <c r="D589" s="19" t="s">
        <v>572</v>
      </c>
      <c r="E589" s="115">
        <v>25</v>
      </c>
      <c r="F589" s="21">
        <v>30</v>
      </c>
      <c r="G589" s="21">
        <f t="shared" si="35"/>
        <v>5</v>
      </c>
      <c r="H589" s="8" t="s">
        <v>490</v>
      </c>
      <c r="I589" s="23"/>
      <c r="J589" s="103"/>
      <c r="K589" s="74">
        <v>43718</v>
      </c>
    </row>
    <row r="590" spans="1:11" ht="15.75">
      <c r="A590" s="8">
        <v>22</v>
      </c>
      <c r="B590" s="19" t="s">
        <v>582</v>
      </c>
      <c r="C590" s="41"/>
      <c r="D590" s="40" t="s">
        <v>31</v>
      </c>
      <c r="E590" s="115">
        <v>13</v>
      </c>
      <c r="F590" s="21">
        <v>15.6</v>
      </c>
      <c r="G590" s="21">
        <f t="shared" si="35"/>
        <v>2.5999999999999996</v>
      </c>
      <c r="H590" s="8" t="s">
        <v>490</v>
      </c>
      <c r="I590" s="23"/>
      <c r="J590" s="103"/>
      <c r="K590" s="74">
        <v>43718</v>
      </c>
    </row>
    <row r="591" spans="1:11" ht="15.75">
      <c r="A591" s="8">
        <v>23</v>
      </c>
      <c r="B591" s="25" t="s">
        <v>583</v>
      </c>
      <c r="C591" s="41"/>
      <c r="D591" s="40" t="s">
        <v>31</v>
      </c>
      <c r="E591" s="115">
        <v>16</v>
      </c>
      <c r="F591" s="21">
        <v>19.2</v>
      </c>
      <c r="G591" s="21">
        <f t="shared" si="35"/>
        <v>3.1999999999999993</v>
      </c>
      <c r="H591" s="8" t="s">
        <v>490</v>
      </c>
      <c r="I591" s="23"/>
      <c r="J591" s="103"/>
      <c r="K591" s="74">
        <v>43718</v>
      </c>
    </row>
    <row r="592" spans="1:11" ht="15.75">
      <c r="A592" s="8">
        <v>24</v>
      </c>
      <c r="B592" s="19" t="s">
        <v>584</v>
      </c>
      <c r="C592" s="19"/>
      <c r="D592" s="19" t="s">
        <v>31</v>
      </c>
      <c r="E592" s="115">
        <v>33</v>
      </c>
      <c r="F592" s="21">
        <v>39.6</v>
      </c>
      <c r="G592" s="21">
        <f t="shared" si="35"/>
        <v>6.6000000000000014</v>
      </c>
      <c r="H592" s="8" t="s">
        <v>490</v>
      </c>
      <c r="I592" s="23"/>
      <c r="J592" s="103"/>
      <c r="K592" s="74">
        <v>43718</v>
      </c>
    </row>
    <row r="593" spans="1:11" ht="15.75">
      <c r="A593" s="8">
        <v>25</v>
      </c>
      <c r="B593" s="19" t="s">
        <v>584</v>
      </c>
      <c r="C593" s="19"/>
      <c r="D593" s="19" t="s">
        <v>572</v>
      </c>
      <c r="E593" s="115">
        <v>31</v>
      </c>
      <c r="F593" s="21">
        <v>37.200000000000003</v>
      </c>
      <c r="G593" s="21">
        <f t="shared" si="35"/>
        <v>6.2000000000000028</v>
      </c>
      <c r="H593" s="8" t="s">
        <v>490</v>
      </c>
      <c r="I593" s="23"/>
      <c r="J593" s="103"/>
      <c r="K593" s="74">
        <v>43718</v>
      </c>
    </row>
    <row r="594" spans="1:11" ht="15.75">
      <c r="A594" s="8">
        <v>26</v>
      </c>
      <c r="B594" s="19" t="s">
        <v>576</v>
      </c>
      <c r="C594" s="19"/>
      <c r="D594" s="19" t="s">
        <v>572</v>
      </c>
      <c r="E594" s="115">
        <v>10</v>
      </c>
      <c r="F594" s="21">
        <v>12</v>
      </c>
      <c r="G594" s="21">
        <f t="shared" si="35"/>
        <v>2</v>
      </c>
      <c r="H594" s="8" t="s">
        <v>490</v>
      </c>
      <c r="I594" s="23"/>
      <c r="J594" s="103"/>
      <c r="K594" s="74">
        <v>43718</v>
      </c>
    </row>
    <row r="595" spans="1:11" ht="15.75">
      <c r="A595" s="8">
        <v>27</v>
      </c>
      <c r="B595" s="19" t="s">
        <v>559</v>
      </c>
      <c r="C595" s="19"/>
      <c r="D595" s="19" t="s">
        <v>572</v>
      </c>
      <c r="E595" s="115">
        <v>119.69499999999999</v>
      </c>
      <c r="F595" s="21">
        <v>150</v>
      </c>
      <c r="G595" s="21">
        <f t="shared" si="35"/>
        <v>30.305000000000007</v>
      </c>
      <c r="H595" s="8" t="s">
        <v>490</v>
      </c>
      <c r="I595" s="23"/>
      <c r="J595" s="103"/>
      <c r="K595" s="74">
        <v>43726</v>
      </c>
    </row>
    <row r="596" spans="1:11" ht="15.75">
      <c r="A596" s="8">
        <v>28</v>
      </c>
      <c r="B596" s="19" t="s">
        <v>585</v>
      </c>
      <c r="C596" s="19"/>
      <c r="D596" s="19" t="s">
        <v>31</v>
      </c>
      <c r="E596" s="115">
        <v>18</v>
      </c>
      <c r="F596" s="21">
        <v>21.6</v>
      </c>
      <c r="G596" s="21">
        <f t="shared" si="35"/>
        <v>3.6000000000000014</v>
      </c>
      <c r="H596" s="8" t="s">
        <v>490</v>
      </c>
      <c r="I596" s="23"/>
      <c r="J596" s="103"/>
      <c r="K596" s="74">
        <v>43718</v>
      </c>
    </row>
    <row r="597" spans="1:11" ht="15.75">
      <c r="A597" s="8">
        <v>29</v>
      </c>
      <c r="B597" s="19" t="s">
        <v>586</v>
      </c>
      <c r="C597" s="19"/>
      <c r="D597" s="19" t="s">
        <v>31</v>
      </c>
      <c r="E597" s="115">
        <v>5</v>
      </c>
      <c r="F597" s="21">
        <v>6</v>
      </c>
      <c r="G597" s="21">
        <f t="shared" si="35"/>
        <v>1</v>
      </c>
      <c r="H597" s="8" t="s">
        <v>490</v>
      </c>
      <c r="I597" s="23"/>
      <c r="J597" s="103"/>
      <c r="K597" s="74">
        <v>43718</v>
      </c>
    </row>
    <row r="598" spans="1:11" ht="15.75">
      <c r="A598" s="8">
        <v>88</v>
      </c>
      <c r="B598" s="119" t="s">
        <v>595</v>
      </c>
      <c r="C598" s="19"/>
      <c r="D598" s="19" t="s">
        <v>572</v>
      </c>
      <c r="E598" s="118">
        <v>11.99</v>
      </c>
      <c r="F598" s="114">
        <v>15</v>
      </c>
      <c r="G598" s="21">
        <f t="shared" si="35"/>
        <v>3.01</v>
      </c>
      <c r="H598" s="8" t="s">
        <v>624</v>
      </c>
      <c r="I598" s="23"/>
      <c r="J598" s="103"/>
      <c r="K598" s="74">
        <v>43731</v>
      </c>
    </row>
    <row r="599" spans="1:11" ht="15.75">
      <c r="A599" s="8">
        <v>95</v>
      </c>
      <c r="B599" s="19" t="s">
        <v>738</v>
      </c>
      <c r="C599" s="108"/>
      <c r="D599" s="24" t="s">
        <v>572</v>
      </c>
      <c r="E599" s="115">
        <v>45</v>
      </c>
      <c r="F599" s="21">
        <v>55</v>
      </c>
      <c r="G599" s="21">
        <f t="shared" si="35"/>
        <v>10</v>
      </c>
      <c r="H599" s="8" t="s">
        <v>490</v>
      </c>
      <c r="I599" s="23"/>
      <c r="J599" s="103"/>
      <c r="K599" s="74">
        <v>43735</v>
      </c>
    </row>
    <row r="600" spans="1:11" ht="15.75">
      <c r="A600" s="8">
        <v>102</v>
      </c>
      <c r="B600" s="19" t="s">
        <v>738</v>
      </c>
      <c r="C600" s="108"/>
      <c r="D600" s="24" t="s">
        <v>572</v>
      </c>
      <c r="E600" s="115">
        <v>45</v>
      </c>
      <c r="F600" s="21">
        <v>55</v>
      </c>
      <c r="G600" s="21">
        <f t="shared" si="35"/>
        <v>10</v>
      </c>
      <c r="H600" s="8" t="s">
        <v>490</v>
      </c>
      <c r="I600" s="23"/>
      <c r="J600" s="103"/>
      <c r="K600" s="17"/>
    </row>
    <row r="601" spans="1:11" ht="15.75">
      <c r="A601" s="8">
        <v>30</v>
      </c>
      <c r="B601" s="19" t="s">
        <v>321</v>
      </c>
      <c r="C601" s="41"/>
      <c r="D601" s="40" t="s">
        <v>618</v>
      </c>
      <c r="E601" s="115">
        <v>5</v>
      </c>
      <c r="F601" s="21">
        <v>15</v>
      </c>
      <c r="G601" s="21">
        <f t="shared" ref="G601:G632" si="36">F601-E601</f>
        <v>10</v>
      </c>
      <c r="H601" s="8" t="s">
        <v>240</v>
      </c>
      <c r="I601" s="23"/>
      <c r="J601" s="103"/>
      <c r="K601" s="74">
        <v>43729</v>
      </c>
    </row>
    <row r="602" spans="1:11" ht="15.75">
      <c r="A602" s="8">
        <v>31</v>
      </c>
      <c r="B602" s="19" t="s">
        <v>99</v>
      </c>
      <c r="C602" s="19"/>
      <c r="D602" s="19"/>
      <c r="E602" s="115">
        <v>39</v>
      </c>
      <c r="F602" s="21">
        <v>70</v>
      </c>
      <c r="G602" s="21">
        <f t="shared" si="36"/>
        <v>31</v>
      </c>
      <c r="H602" s="46" t="s">
        <v>240</v>
      </c>
      <c r="I602" s="23"/>
      <c r="J602" s="103"/>
      <c r="K602" s="74">
        <v>43730</v>
      </c>
    </row>
    <row r="603" spans="1:11" ht="15.75">
      <c r="A603" s="8">
        <v>32</v>
      </c>
      <c r="B603" s="47" t="s">
        <v>182</v>
      </c>
      <c r="C603" s="92"/>
      <c r="D603" s="24" t="s">
        <v>616</v>
      </c>
      <c r="E603" s="115">
        <v>22</v>
      </c>
      <c r="F603" s="21">
        <v>50</v>
      </c>
      <c r="G603" s="21">
        <f t="shared" si="36"/>
        <v>28</v>
      </c>
      <c r="H603" s="46" t="s">
        <v>240</v>
      </c>
      <c r="I603" s="23"/>
      <c r="J603" s="103"/>
      <c r="K603" s="74">
        <v>43729</v>
      </c>
    </row>
    <row r="604" spans="1:11" ht="15.75">
      <c r="A604" s="8">
        <v>33</v>
      </c>
      <c r="B604" s="19" t="s">
        <v>99</v>
      </c>
      <c r="C604" s="19"/>
      <c r="D604" s="24" t="s">
        <v>617</v>
      </c>
      <c r="E604" s="115">
        <v>20</v>
      </c>
      <c r="F604" s="21">
        <v>70</v>
      </c>
      <c r="G604" s="21">
        <f t="shared" si="36"/>
        <v>50</v>
      </c>
      <c r="H604" s="46" t="s">
        <v>240</v>
      </c>
      <c r="I604" s="23"/>
      <c r="J604" s="103"/>
      <c r="K604" s="74">
        <v>43729</v>
      </c>
    </row>
    <row r="605" spans="1:11" ht="15.75">
      <c r="A605" s="8">
        <v>34</v>
      </c>
      <c r="B605" s="19" t="s">
        <v>573</v>
      </c>
      <c r="C605" s="19"/>
      <c r="D605" s="19"/>
      <c r="E605" s="115">
        <v>10</v>
      </c>
      <c r="F605" s="21">
        <v>20</v>
      </c>
      <c r="G605" s="21">
        <f t="shared" si="36"/>
        <v>10</v>
      </c>
      <c r="H605" s="8" t="s">
        <v>240</v>
      </c>
      <c r="I605" s="23"/>
      <c r="J605" s="103"/>
      <c r="K605" s="74">
        <v>43716</v>
      </c>
    </row>
    <row r="606" spans="1:11" ht="15.75">
      <c r="A606" s="8">
        <v>35</v>
      </c>
      <c r="B606" s="19" t="s">
        <v>573</v>
      </c>
      <c r="C606" s="19"/>
      <c r="D606" s="19"/>
      <c r="E606" s="115">
        <v>10</v>
      </c>
      <c r="F606" s="21">
        <v>20</v>
      </c>
      <c r="G606" s="21">
        <f t="shared" si="36"/>
        <v>10</v>
      </c>
      <c r="H606" s="8" t="s">
        <v>240</v>
      </c>
      <c r="I606" s="23"/>
      <c r="J606" s="103"/>
      <c r="K606" s="74">
        <v>43716</v>
      </c>
    </row>
    <row r="607" spans="1:11" ht="15.75">
      <c r="A607" s="8">
        <v>36</v>
      </c>
      <c r="B607" s="19" t="s">
        <v>573</v>
      </c>
      <c r="C607" s="19"/>
      <c r="D607" s="19"/>
      <c r="E607" s="115">
        <v>10</v>
      </c>
      <c r="F607" s="21">
        <v>20</v>
      </c>
      <c r="G607" s="21">
        <f t="shared" si="36"/>
        <v>10</v>
      </c>
      <c r="H607" s="8" t="s">
        <v>240</v>
      </c>
      <c r="I607" s="23"/>
      <c r="J607" s="103"/>
      <c r="K607" s="74">
        <v>43720</v>
      </c>
    </row>
    <row r="608" spans="1:11" ht="15.75">
      <c r="A608" s="8">
        <v>37</v>
      </c>
      <c r="B608" s="19" t="s">
        <v>573</v>
      </c>
      <c r="C608" s="19"/>
      <c r="D608" s="19"/>
      <c r="E608" s="115">
        <v>10</v>
      </c>
      <c r="F608" s="21">
        <v>20</v>
      </c>
      <c r="G608" s="21">
        <f t="shared" si="36"/>
        <v>10</v>
      </c>
      <c r="H608" s="8" t="s">
        <v>240</v>
      </c>
      <c r="I608" s="23"/>
      <c r="J608" s="103"/>
      <c r="K608" s="74">
        <v>43723</v>
      </c>
    </row>
    <row r="609" spans="1:11" ht="15.75">
      <c r="A609" s="8">
        <v>38</v>
      </c>
      <c r="B609" s="19" t="s">
        <v>764</v>
      </c>
      <c r="C609" s="19"/>
      <c r="D609" s="19"/>
      <c r="E609" s="115">
        <v>18</v>
      </c>
      <c r="F609" s="21">
        <v>30</v>
      </c>
      <c r="G609" s="21">
        <f t="shared" si="36"/>
        <v>12</v>
      </c>
      <c r="H609" s="8" t="s">
        <v>240</v>
      </c>
      <c r="I609" s="23"/>
      <c r="J609" s="103"/>
      <c r="K609" s="74">
        <v>43717</v>
      </c>
    </row>
    <row r="610" spans="1:11" ht="15.75">
      <c r="A610" s="8">
        <v>39</v>
      </c>
      <c r="B610" s="19" t="s">
        <v>556</v>
      </c>
      <c r="C610" s="19"/>
      <c r="D610" s="19"/>
      <c r="E610" s="115">
        <v>2.5</v>
      </c>
      <c r="F610" s="21">
        <v>4</v>
      </c>
      <c r="G610" s="21">
        <f t="shared" si="36"/>
        <v>1.5</v>
      </c>
      <c r="H610" s="46" t="s">
        <v>240</v>
      </c>
      <c r="I610" s="23"/>
      <c r="J610" s="103"/>
      <c r="K610" s="74">
        <v>43710</v>
      </c>
    </row>
    <row r="611" spans="1:11" ht="15.75">
      <c r="A611" s="8">
        <v>40</v>
      </c>
      <c r="B611" s="19" t="s">
        <v>556</v>
      </c>
      <c r="C611" s="19"/>
      <c r="D611" s="19"/>
      <c r="E611" s="115">
        <v>2.5</v>
      </c>
      <c r="F611" s="21">
        <v>4</v>
      </c>
      <c r="G611" s="21">
        <f t="shared" si="36"/>
        <v>1.5</v>
      </c>
      <c r="H611" s="46" t="s">
        <v>240</v>
      </c>
      <c r="I611" s="23"/>
      <c r="J611" s="103"/>
      <c r="K611" s="74">
        <v>43710</v>
      </c>
    </row>
    <row r="612" spans="1:11" ht="15.75">
      <c r="A612" s="8">
        <v>41</v>
      </c>
      <c r="B612" s="47" t="s">
        <v>345</v>
      </c>
      <c r="C612" s="41"/>
      <c r="D612" s="40"/>
      <c r="E612" s="115">
        <v>1</v>
      </c>
      <c r="F612" s="44">
        <v>2.5</v>
      </c>
      <c r="G612" s="21">
        <f t="shared" si="36"/>
        <v>1.5</v>
      </c>
      <c r="H612" s="46" t="s">
        <v>240</v>
      </c>
      <c r="I612" s="23"/>
      <c r="J612" s="103"/>
      <c r="K612" s="74">
        <v>43710</v>
      </c>
    </row>
    <row r="613" spans="1:11" ht="15.75">
      <c r="A613" s="8">
        <v>42</v>
      </c>
      <c r="B613" s="119" t="s">
        <v>594</v>
      </c>
      <c r="C613" s="19"/>
      <c r="D613" s="19"/>
      <c r="E613" s="118">
        <v>28</v>
      </c>
      <c r="F613" s="21">
        <v>50</v>
      </c>
      <c r="G613" s="21">
        <f t="shared" si="36"/>
        <v>22</v>
      </c>
      <c r="H613" s="46" t="s">
        <v>240</v>
      </c>
      <c r="I613" s="23"/>
      <c r="J613" s="103"/>
      <c r="K613" s="74">
        <v>43725</v>
      </c>
    </row>
    <row r="614" spans="1:11" ht="15.75">
      <c r="A614" s="8">
        <v>43</v>
      </c>
      <c r="B614" s="19" t="s">
        <v>575</v>
      </c>
      <c r="C614" s="19"/>
      <c r="D614" s="19"/>
      <c r="E614" s="115">
        <v>40</v>
      </c>
      <c r="F614" s="21">
        <v>70</v>
      </c>
      <c r="G614" s="21">
        <f t="shared" si="36"/>
        <v>30</v>
      </c>
      <c r="H614" s="8" t="s">
        <v>240</v>
      </c>
      <c r="I614" s="23"/>
      <c r="J614" s="103"/>
      <c r="K614" s="74">
        <v>43717</v>
      </c>
    </row>
    <row r="615" spans="1:11" ht="15.75">
      <c r="A615" s="8">
        <v>44</v>
      </c>
      <c r="B615" s="19" t="s">
        <v>575</v>
      </c>
      <c r="C615" s="19"/>
      <c r="D615" s="19"/>
      <c r="E615" s="115">
        <v>40</v>
      </c>
      <c r="F615" s="21">
        <v>90</v>
      </c>
      <c r="G615" s="21">
        <f t="shared" si="36"/>
        <v>50</v>
      </c>
      <c r="H615" s="8" t="s">
        <v>240</v>
      </c>
      <c r="I615" s="23"/>
      <c r="J615" s="103"/>
      <c r="K615" s="74">
        <v>43719</v>
      </c>
    </row>
    <row r="616" spans="1:11" ht="15.75">
      <c r="A616" s="8">
        <v>45</v>
      </c>
      <c r="B616" s="19" t="s">
        <v>574</v>
      </c>
      <c r="C616" s="19"/>
      <c r="D616" s="19"/>
      <c r="E616" s="115">
        <v>5</v>
      </c>
      <c r="F616" s="21">
        <v>10</v>
      </c>
      <c r="G616" s="21">
        <f t="shared" si="36"/>
        <v>5</v>
      </c>
      <c r="H616" s="8" t="s">
        <v>240</v>
      </c>
      <c r="I616" s="23"/>
      <c r="J616" s="103"/>
      <c r="K616" s="74">
        <v>43716</v>
      </c>
    </row>
    <row r="617" spans="1:11" ht="15.75">
      <c r="A617" s="8">
        <v>46</v>
      </c>
      <c r="B617" s="19" t="s">
        <v>574</v>
      </c>
      <c r="C617" s="19"/>
      <c r="D617" s="19"/>
      <c r="E617" s="115">
        <v>5</v>
      </c>
      <c r="F617" s="21">
        <v>10</v>
      </c>
      <c r="G617" s="21">
        <f t="shared" si="36"/>
        <v>5</v>
      </c>
      <c r="H617" s="8" t="s">
        <v>240</v>
      </c>
      <c r="I617" s="23"/>
      <c r="J617" s="103"/>
      <c r="K617" s="74">
        <v>43716</v>
      </c>
    </row>
    <row r="618" spans="1:11" ht="15.75">
      <c r="A618" s="8">
        <v>47</v>
      </c>
      <c r="B618" s="47" t="s">
        <v>366</v>
      </c>
      <c r="C618" s="41"/>
      <c r="D618" s="40" t="s">
        <v>537</v>
      </c>
      <c r="E618" s="115">
        <v>5.5</v>
      </c>
      <c r="F618" s="44">
        <v>15</v>
      </c>
      <c r="G618" s="21">
        <f t="shared" si="36"/>
        <v>9.5</v>
      </c>
      <c r="H618" s="8" t="s">
        <v>240</v>
      </c>
      <c r="I618" s="23"/>
      <c r="J618" s="103"/>
      <c r="K618" s="74">
        <v>43709</v>
      </c>
    </row>
    <row r="619" spans="1:11" ht="15.75">
      <c r="A619" s="8">
        <v>48</v>
      </c>
      <c r="B619" s="19" t="s">
        <v>592</v>
      </c>
      <c r="C619" s="92"/>
      <c r="D619" s="24" t="s">
        <v>550</v>
      </c>
      <c r="E619" s="115">
        <v>5</v>
      </c>
      <c r="F619" s="21">
        <v>10</v>
      </c>
      <c r="G619" s="21">
        <f t="shared" si="36"/>
        <v>5</v>
      </c>
      <c r="H619" s="8" t="s">
        <v>240</v>
      </c>
      <c r="I619" s="23"/>
      <c r="J619" s="103"/>
      <c r="K619" s="74">
        <v>43716</v>
      </c>
    </row>
    <row r="620" spans="1:11" ht="15.75">
      <c r="A620" s="8">
        <v>49</v>
      </c>
      <c r="B620" s="19" t="s">
        <v>592</v>
      </c>
      <c r="C620" s="92"/>
      <c r="D620" s="24" t="s">
        <v>550</v>
      </c>
      <c r="E620" s="115">
        <v>5</v>
      </c>
      <c r="F620" s="21">
        <v>10</v>
      </c>
      <c r="G620" s="21">
        <f t="shared" si="36"/>
        <v>5</v>
      </c>
      <c r="H620" s="8" t="s">
        <v>240</v>
      </c>
      <c r="I620" s="23"/>
      <c r="J620" s="103"/>
      <c r="K620" s="74">
        <v>43718</v>
      </c>
    </row>
    <row r="621" spans="1:11" ht="15.75">
      <c r="A621" s="8">
        <v>50</v>
      </c>
      <c r="B621" s="19" t="s">
        <v>812</v>
      </c>
      <c r="C621" s="92"/>
      <c r="D621" s="24" t="s">
        <v>550</v>
      </c>
      <c r="E621" s="115">
        <v>25</v>
      </c>
      <c r="F621" s="21">
        <v>50</v>
      </c>
      <c r="G621" s="21">
        <f t="shared" si="36"/>
        <v>25</v>
      </c>
      <c r="H621" s="8" t="s">
        <v>240</v>
      </c>
      <c r="I621" s="23"/>
      <c r="J621" s="103"/>
      <c r="K621" s="74">
        <v>43716</v>
      </c>
    </row>
    <row r="622" spans="1:11" ht="15.75">
      <c r="A622" s="8">
        <v>51</v>
      </c>
      <c r="B622" s="19" t="s">
        <v>561</v>
      </c>
      <c r="C622" s="92"/>
      <c r="D622" s="24" t="s">
        <v>550</v>
      </c>
      <c r="E622" s="115">
        <v>38</v>
      </c>
      <c r="F622" s="21">
        <v>50</v>
      </c>
      <c r="G622" s="21">
        <f t="shared" si="36"/>
        <v>12</v>
      </c>
      <c r="H622" s="46" t="s">
        <v>240</v>
      </c>
      <c r="I622" s="23"/>
      <c r="J622" s="103"/>
      <c r="K622" s="74">
        <v>43710</v>
      </c>
    </row>
    <row r="623" spans="1:11" ht="15.75">
      <c r="A623" s="8">
        <v>52</v>
      </c>
      <c r="B623" s="19" t="s">
        <v>561</v>
      </c>
      <c r="C623" s="92"/>
      <c r="D623" s="24"/>
      <c r="E623" s="115">
        <v>38</v>
      </c>
      <c r="F623" s="21">
        <v>80</v>
      </c>
      <c r="G623" s="21">
        <f t="shared" si="36"/>
        <v>42</v>
      </c>
      <c r="H623" s="8" t="s">
        <v>240</v>
      </c>
      <c r="I623" s="23"/>
      <c r="J623" s="103"/>
      <c r="K623" s="74">
        <v>43725</v>
      </c>
    </row>
    <row r="624" spans="1:11" ht="15.75">
      <c r="A624" s="8">
        <v>53</v>
      </c>
      <c r="B624" s="19" t="s">
        <v>321</v>
      </c>
      <c r="C624" s="41"/>
      <c r="D624" s="40" t="s">
        <v>537</v>
      </c>
      <c r="E624" s="115">
        <v>5</v>
      </c>
      <c r="F624" s="21">
        <v>15</v>
      </c>
      <c r="G624" s="21">
        <f t="shared" si="36"/>
        <v>10</v>
      </c>
      <c r="H624" s="8" t="s">
        <v>240</v>
      </c>
      <c r="I624" s="23"/>
      <c r="J624" s="103"/>
      <c r="K624" s="74">
        <v>43709</v>
      </c>
    </row>
    <row r="625" spans="1:11" ht="15.75">
      <c r="A625" s="8">
        <v>54</v>
      </c>
      <c r="B625" s="19" t="s">
        <v>511</v>
      </c>
      <c r="C625" s="92"/>
      <c r="D625" s="24"/>
      <c r="E625" s="115">
        <v>5</v>
      </c>
      <c r="F625" s="21">
        <v>15</v>
      </c>
      <c r="G625" s="21">
        <f t="shared" si="36"/>
        <v>10</v>
      </c>
      <c r="H625" s="8" t="s">
        <v>240</v>
      </c>
      <c r="I625" s="23"/>
      <c r="J625" s="103"/>
      <c r="K625" s="74">
        <v>43709</v>
      </c>
    </row>
    <row r="626" spans="1:11" ht="15.75">
      <c r="A626" s="8">
        <v>55</v>
      </c>
      <c r="B626" s="47" t="s">
        <v>182</v>
      </c>
      <c r="C626" s="41"/>
      <c r="D626" s="40"/>
      <c r="E626" s="115">
        <v>22</v>
      </c>
      <c r="F626" s="44">
        <v>40</v>
      </c>
      <c r="G626" s="21">
        <f t="shared" si="36"/>
        <v>18</v>
      </c>
      <c r="H626" s="8" t="s">
        <v>240</v>
      </c>
      <c r="I626" s="23"/>
      <c r="J626" s="103"/>
      <c r="K626" s="74">
        <v>43717</v>
      </c>
    </row>
    <row r="627" spans="1:11" ht="15.75">
      <c r="A627" s="8">
        <v>56</v>
      </c>
      <c r="B627" s="47" t="s">
        <v>182</v>
      </c>
      <c r="C627" s="41"/>
      <c r="D627" s="40"/>
      <c r="E627" s="115">
        <v>22</v>
      </c>
      <c r="F627" s="44">
        <v>45</v>
      </c>
      <c r="G627" s="21">
        <f t="shared" si="36"/>
        <v>23</v>
      </c>
      <c r="H627" s="8" t="s">
        <v>240</v>
      </c>
      <c r="I627" s="23"/>
      <c r="J627" s="103"/>
      <c r="K627" s="74">
        <v>43724</v>
      </c>
    </row>
    <row r="628" spans="1:11" ht="15.75">
      <c r="A628" s="8">
        <v>57</v>
      </c>
      <c r="B628" s="47" t="s">
        <v>182</v>
      </c>
      <c r="C628" s="19"/>
      <c r="D628" s="19"/>
      <c r="E628" s="115">
        <v>22</v>
      </c>
      <c r="F628" s="21">
        <v>45</v>
      </c>
      <c r="G628" s="21">
        <f t="shared" si="36"/>
        <v>23</v>
      </c>
      <c r="H628" s="46" t="s">
        <v>240</v>
      </c>
      <c r="I628" s="23"/>
      <c r="J628" s="103"/>
      <c r="K628" s="74">
        <v>43725</v>
      </c>
    </row>
    <row r="629" spans="1:11" ht="15.75">
      <c r="A629" s="8">
        <v>58</v>
      </c>
      <c r="B629" s="19" t="s">
        <v>591</v>
      </c>
      <c r="C629" s="41"/>
      <c r="D629" s="40" t="s">
        <v>537</v>
      </c>
      <c r="E629" s="115">
        <v>25</v>
      </c>
      <c r="F629" s="44">
        <v>50</v>
      </c>
      <c r="G629" s="21">
        <f t="shared" si="36"/>
        <v>25</v>
      </c>
      <c r="H629" s="8" t="s">
        <v>240</v>
      </c>
      <c r="I629" s="23"/>
      <c r="J629" s="103"/>
      <c r="K629" s="74">
        <v>43709</v>
      </c>
    </row>
    <row r="630" spans="1:11" ht="15.75">
      <c r="A630" s="8">
        <v>59</v>
      </c>
      <c r="B630" s="19" t="s">
        <v>591</v>
      </c>
      <c r="C630" s="41"/>
      <c r="D630" s="40"/>
      <c r="E630" s="115">
        <v>25</v>
      </c>
      <c r="F630" s="21">
        <v>50</v>
      </c>
      <c r="G630" s="21">
        <f t="shared" si="36"/>
        <v>25</v>
      </c>
      <c r="H630" s="8" t="s">
        <v>240</v>
      </c>
      <c r="I630" s="23"/>
      <c r="J630" s="103"/>
      <c r="K630" s="74">
        <v>43714</v>
      </c>
    </row>
    <row r="631" spans="1:11" ht="15.75">
      <c r="A631" s="8">
        <v>60</v>
      </c>
      <c r="B631" s="19" t="s">
        <v>558</v>
      </c>
      <c r="C631" s="19"/>
      <c r="D631" s="19"/>
      <c r="E631" s="115">
        <v>20</v>
      </c>
      <c r="F631" s="21">
        <v>50</v>
      </c>
      <c r="G631" s="21">
        <f t="shared" si="36"/>
        <v>30</v>
      </c>
      <c r="H631" s="8" t="s">
        <v>240</v>
      </c>
      <c r="I631" s="23"/>
      <c r="J631" s="103"/>
      <c r="K631" s="74">
        <v>43714</v>
      </c>
    </row>
    <row r="632" spans="1:11" ht="15.75">
      <c r="A632" s="8">
        <v>61</v>
      </c>
      <c r="B632" s="19" t="s">
        <v>587</v>
      </c>
      <c r="C632" s="19"/>
      <c r="D632" s="19"/>
      <c r="E632" s="115">
        <v>20</v>
      </c>
      <c r="F632" s="21">
        <v>40</v>
      </c>
      <c r="G632" s="21">
        <f t="shared" si="36"/>
        <v>20</v>
      </c>
      <c r="H632" s="8" t="s">
        <v>240</v>
      </c>
      <c r="I632" s="23"/>
      <c r="J632" s="103"/>
      <c r="K632" s="74">
        <v>43721</v>
      </c>
    </row>
    <row r="633" spans="1:11" ht="15.75">
      <c r="A633" s="8">
        <v>62</v>
      </c>
      <c r="B633" s="19" t="s">
        <v>554</v>
      </c>
      <c r="C633" s="92"/>
      <c r="D633" s="24" t="s">
        <v>550</v>
      </c>
      <c r="E633" s="116">
        <v>27</v>
      </c>
      <c r="F633" s="21">
        <v>70</v>
      </c>
      <c r="G633" s="21">
        <f t="shared" ref="G633:G664" si="37">F633-E633</f>
        <v>43</v>
      </c>
      <c r="H633" s="46" t="s">
        <v>240</v>
      </c>
      <c r="I633" s="23"/>
      <c r="J633" s="103"/>
      <c r="K633" s="74">
        <v>43709</v>
      </c>
    </row>
    <row r="634" spans="1:11" ht="15.75">
      <c r="A634" s="8">
        <v>63</v>
      </c>
      <c r="B634" s="19" t="s">
        <v>606</v>
      </c>
      <c r="C634" s="108"/>
      <c r="D634" s="135"/>
      <c r="E634" s="115">
        <v>1</v>
      </c>
      <c r="F634" s="21">
        <v>5</v>
      </c>
      <c r="G634" s="21">
        <f t="shared" si="37"/>
        <v>4</v>
      </c>
      <c r="H634" s="8" t="s">
        <v>240</v>
      </c>
      <c r="I634" s="23"/>
      <c r="J634" s="103"/>
      <c r="K634" s="74">
        <v>43724</v>
      </c>
    </row>
    <row r="635" spans="1:11" ht="15.75">
      <c r="A635" s="8">
        <v>64</v>
      </c>
      <c r="B635" s="19" t="s">
        <v>606</v>
      </c>
      <c r="C635" s="108"/>
      <c r="D635" s="135"/>
      <c r="E635" s="115">
        <v>1</v>
      </c>
      <c r="F635" s="21">
        <v>5</v>
      </c>
      <c r="G635" s="21">
        <f t="shared" si="37"/>
        <v>4</v>
      </c>
      <c r="H635" s="8" t="s">
        <v>240</v>
      </c>
      <c r="I635" s="23"/>
      <c r="J635" s="103"/>
      <c r="K635" s="74">
        <v>43724</v>
      </c>
    </row>
    <row r="636" spans="1:11" ht="15.75">
      <c r="A636" s="8">
        <v>65</v>
      </c>
      <c r="B636" s="19" t="s">
        <v>606</v>
      </c>
      <c r="C636" s="108"/>
      <c r="D636" s="135"/>
      <c r="E636" s="115">
        <v>1</v>
      </c>
      <c r="F636" s="21">
        <v>5</v>
      </c>
      <c r="G636" s="21">
        <f t="shared" si="37"/>
        <v>4</v>
      </c>
      <c r="H636" s="8" t="s">
        <v>240</v>
      </c>
      <c r="I636" s="23"/>
      <c r="J636" s="103"/>
      <c r="K636" s="74">
        <v>43724</v>
      </c>
    </row>
    <row r="637" spans="1:11" ht="15.75">
      <c r="A637" s="8">
        <v>66</v>
      </c>
      <c r="B637" s="19" t="s">
        <v>593</v>
      </c>
      <c r="C637" s="92"/>
      <c r="D637" s="24" t="s">
        <v>550</v>
      </c>
      <c r="E637" s="115">
        <v>43</v>
      </c>
      <c r="F637" s="21">
        <v>70</v>
      </c>
      <c r="G637" s="21">
        <f t="shared" si="37"/>
        <v>27</v>
      </c>
      <c r="H637" s="8" t="s">
        <v>240</v>
      </c>
      <c r="I637" s="23"/>
      <c r="J637" s="103"/>
      <c r="K637" s="74">
        <v>43715</v>
      </c>
    </row>
    <row r="638" spans="1:11" ht="15.75">
      <c r="A638" s="8">
        <v>67</v>
      </c>
      <c r="B638" s="19" t="s">
        <v>588</v>
      </c>
      <c r="C638" s="19"/>
      <c r="D638" s="19"/>
      <c r="E638" s="115">
        <v>5</v>
      </c>
      <c r="F638" s="21">
        <v>10</v>
      </c>
      <c r="G638" s="21">
        <f t="shared" si="37"/>
        <v>5</v>
      </c>
      <c r="H638" s="8" t="s">
        <v>240</v>
      </c>
      <c r="I638" s="23"/>
      <c r="J638" s="103"/>
      <c r="K638" s="74">
        <v>43709</v>
      </c>
    </row>
    <row r="639" spans="1:11" ht="15.75">
      <c r="A639" s="8">
        <v>68</v>
      </c>
      <c r="B639" s="19" t="s">
        <v>588</v>
      </c>
      <c r="C639" s="19"/>
      <c r="D639" s="19"/>
      <c r="E639" s="115">
        <v>5</v>
      </c>
      <c r="F639" s="21">
        <v>10</v>
      </c>
      <c r="G639" s="21">
        <f t="shared" si="37"/>
        <v>5</v>
      </c>
      <c r="H639" s="8" t="s">
        <v>240</v>
      </c>
      <c r="I639" s="23"/>
      <c r="J639" s="103"/>
      <c r="K639" s="74">
        <v>43709</v>
      </c>
    </row>
    <row r="640" spans="1:11" ht="15.75">
      <c r="A640" s="8">
        <v>69</v>
      </c>
      <c r="B640" s="85" t="s">
        <v>99</v>
      </c>
      <c r="C640" s="19"/>
      <c r="D640" s="19"/>
      <c r="E640" s="115">
        <v>20</v>
      </c>
      <c r="F640" s="21">
        <v>50</v>
      </c>
      <c r="G640" s="21">
        <f t="shared" si="37"/>
        <v>30</v>
      </c>
      <c r="H640" s="8" t="s">
        <v>240</v>
      </c>
      <c r="I640" s="23"/>
      <c r="J640" s="103"/>
      <c r="K640" s="74">
        <v>43724</v>
      </c>
    </row>
    <row r="641" spans="1:11" ht="15.75">
      <c r="A641" s="8">
        <v>70</v>
      </c>
      <c r="B641" s="85" t="s">
        <v>99</v>
      </c>
      <c r="C641" s="19"/>
      <c r="D641" s="19"/>
      <c r="E641" s="115">
        <v>20</v>
      </c>
      <c r="F641" s="21">
        <v>50</v>
      </c>
      <c r="G641" s="21">
        <f t="shared" si="37"/>
        <v>30</v>
      </c>
      <c r="H641" s="8" t="s">
        <v>240</v>
      </c>
      <c r="I641" s="23"/>
      <c r="J641" s="103"/>
      <c r="K641" s="74">
        <v>43724</v>
      </c>
    </row>
    <row r="642" spans="1:11" ht="15.75">
      <c r="A642" s="8">
        <v>71</v>
      </c>
      <c r="B642" s="19" t="s">
        <v>99</v>
      </c>
      <c r="C642" s="92"/>
      <c r="D642" s="24" t="s">
        <v>602</v>
      </c>
      <c r="E642" s="115">
        <v>20</v>
      </c>
      <c r="F642" s="21">
        <v>50</v>
      </c>
      <c r="G642" s="21">
        <f t="shared" si="37"/>
        <v>30</v>
      </c>
      <c r="H642" s="8" t="s">
        <v>240</v>
      </c>
      <c r="I642" s="23"/>
      <c r="J642" s="103"/>
      <c r="K642" s="74">
        <v>43726</v>
      </c>
    </row>
    <row r="643" spans="1:11" ht="15.75">
      <c r="A643" s="8">
        <v>72</v>
      </c>
      <c r="B643" s="19" t="s">
        <v>261</v>
      </c>
      <c r="C643" s="41"/>
      <c r="D643" s="40"/>
      <c r="E643" s="116">
        <v>25</v>
      </c>
      <c r="F643" s="21">
        <v>40</v>
      </c>
      <c r="G643" s="21">
        <f t="shared" si="37"/>
        <v>15</v>
      </c>
      <c r="H643" s="8" t="s">
        <v>240</v>
      </c>
      <c r="I643" s="23"/>
      <c r="J643" s="103"/>
      <c r="K643" s="74">
        <v>43713</v>
      </c>
    </row>
    <row r="644" spans="1:11" ht="15.75">
      <c r="A644" s="8">
        <v>73</v>
      </c>
      <c r="B644" s="19" t="s">
        <v>261</v>
      </c>
      <c r="C644" s="41"/>
      <c r="D644" s="40"/>
      <c r="E644" s="116">
        <v>25</v>
      </c>
      <c r="F644" s="21">
        <v>40</v>
      </c>
      <c r="G644" s="21">
        <f t="shared" si="37"/>
        <v>15</v>
      </c>
      <c r="H644" s="8" t="s">
        <v>240</v>
      </c>
      <c r="I644" s="23"/>
      <c r="J644" s="103"/>
      <c r="K644" s="74">
        <v>43714</v>
      </c>
    </row>
    <row r="645" spans="1:11" ht="15.75">
      <c r="A645" s="8">
        <v>74</v>
      </c>
      <c r="B645" s="119" t="s">
        <v>597</v>
      </c>
      <c r="C645" s="19"/>
      <c r="D645" s="19"/>
      <c r="E645" s="118">
        <v>19.989999999999998</v>
      </c>
      <c r="F645" s="21">
        <v>40</v>
      </c>
      <c r="G645" s="21">
        <f t="shared" si="37"/>
        <v>20.010000000000002</v>
      </c>
      <c r="H645" s="46" t="s">
        <v>240</v>
      </c>
      <c r="I645" s="23"/>
      <c r="J645" s="103"/>
      <c r="K645" s="74">
        <v>43725</v>
      </c>
    </row>
    <row r="646" spans="1:11" ht="15.75">
      <c r="A646" s="8">
        <v>75</v>
      </c>
      <c r="B646" s="19" t="s">
        <v>478</v>
      </c>
      <c r="C646" s="92"/>
      <c r="D646" s="24" t="s">
        <v>550</v>
      </c>
      <c r="E646" s="116">
        <v>15</v>
      </c>
      <c r="F646" s="21">
        <v>30</v>
      </c>
      <c r="G646" s="21">
        <f t="shared" si="37"/>
        <v>15</v>
      </c>
      <c r="H646" s="8" t="s">
        <v>240</v>
      </c>
      <c r="I646" s="23"/>
      <c r="J646" s="103"/>
      <c r="K646" s="74">
        <v>43715</v>
      </c>
    </row>
    <row r="647" spans="1:11" ht="15.75">
      <c r="A647" s="8">
        <v>76</v>
      </c>
      <c r="B647" s="19" t="s">
        <v>478</v>
      </c>
      <c r="C647" s="92"/>
      <c r="D647" s="24"/>
      <c r="E647" s="117">
        <v>20</v>
      </c>
      <c r="F647" s="44">
        <v>30</v>
      </c>
      <c r="G647" s="21">
        <f t="shared" si="37"/>
        <v>10</v>
      </c>
      <c r="H647" s="8" t="s">
        <v>240</v>
      </c>
      <c r="I647" s="23"/>
      <c r="J647" s="103"/>
      <c r="K647" s="74">
        <v>43721</v>
      </c>
    </row>
    <row r="648" spans="1:11" ht="15.75">
      <c r="A648" s="8">
        <v>77</v>
      </c>
      <c r="B648" s="19" t="s">
        <v>478</v>
      </c>
      <c r="C648" s="92"/>
      <c r="D648" s="24"/>
      <c r="E648" s="117">
        <v>20</v>
      </c>
      <c r="F648" s="44">
        <v>30</v>
      </c>
      <c r="G648" s="21">
        <f t="shared" si="37"/>
        <v>10</v>
      </c>
      <c r="H648" s="8" t="s">
        <v>240</v>
      </c>
      <c r="I648" s="23"/>
      <c r="J648" s="103"/>
      <c r="K648" s="74">
        <v>43721</v>
      </c>
    </row>
    <row r="649" spans="1:11" ht="15.75">
      <c r="A649" s="8">
        <v>78</v>
      </c>
      <c r="B649" s="119" t="s">
        <v>596</v>
      </c>
      <c r="C649" s="19"/>
      <c r="D649" s="19"/>
      <c r="E649" s="118">
        <v>18.899999999999999</v>
      </c>
      <c r="F649" s="21">
        <v>35</v>
      </c>
      <c r="G649" s="21">
        <f t="shared" si="37"/>
        <v>16.100000000000001</v>
      </c>
      <c r="H649" s="46" t="s">
        <v>240</v>
      </c>
      <c r="I649" s="23"/>
      <c r="J649" s="81"/>
      <c r="K649" s="74">
        <v>43725</v>
      </c>
    </row>
    <row r="650" spans="1:11" ht="15.75">
      <c r="A650" s="8">
        <v>79</v>
      </c>
      <c r="B650" s="19" t="s">
        <v>612</v>
      </c>
      <c r="C650" s="108"/>
      <c r="D650" s="24" t="s">
        <v>615</v>
      </c>
      <c r="E650" s="115">
        <v>18</v>
      </c>
      <c r="F650" s="21">
        <v>40</v>
      </c>
      <c r="G650" s="21">
        <f t="shared" si="37"/>
        <v>22</v>
      </c>
      <c r="H650" s="8" t="s">
        <v>240</v>
      </c>
      <c r="I650" s="23"/>
      <c r="J650" s="103"/>
      <c r="K650" s="74">
        <v>43728</v>
      </c>
    </row>
    <row r="651" spans="1:11" ht="15.75">
      <c r="A651" s="8">
        <v>80</v>
      </c>
      <c r="B651" s="19" t="s">
        <v>613</v>
      </c>
      <c r="C651" s="108"/>
      <c r="D651" s="24" t="s">
        <v>615</v>
      </c>
      <c r="E651" s="115">
        <v>10</v>
      </c>
      <c r="F651" s="21">
        <v>35</v>
      </c>
      <c r="G651" s="21">
        <f t="shared" si="37"/>
        <v>25</v>
      </c>
      <c r="H651" s="8" t="s">
        <v>240</v>
      </c>
      <c r="I651" s="23"/>
      <c r="J651" s="103"/>
      <c r="K651" s="74">
        <v>43728</v>
      </c>
    </row>
    <row r="652" spans="1:11" ht="15.75">
      <c r="A652" s="8">
        <v>81</v>
      </c>
      <c r="B652" s="19" t="s">
        <v>613</v>
      </c>
      <c r="C652" s="108"/>
      <c r="D652" s="24" t="s">
        <v>615</v>
      </c>
      <c r="E652" s="115">
        <v>10</v>
      </c>
      <c r="F652" s="21">
        <v>35</v>
      </c>
      <c r="G652" s="21">
        <f t="shared" si="37"/>
        <v>25</v>
      </c>
      <c r="H652" s="8" t="s">
        <v>240</v>
      </c>
      <c r="I652" s="23"/>
      <c r="J652" s="103"/>
      <c r="K652" s="74">
        <v>43728</v>
      </c>
    </row>
    <row r="653" spans="1:11" ht="15.75">
      <c r="A653" s="8">
        <v>82</v>
      </c>
      <c r="B653" s="19" t="s">
        <v>614</v>
      </c>
      <c r="C653" s="108"/>
      <c r="D653" s="24" t="s">
        <v>615</v>
      </c>
      <c r="E653" s="115">
        <v>50</v>
      </c>
      <c r="F653" s="21">
        <v>80</v>
      </c>
      <c r="G653" s="21">
        <f t="shared" si="37"/>
        <v>30</v>
      </c>
      <c r="H653" s="8" t="s">
        <v>240</v>
      </c>
      <c r="I653" s="23"/>
      <c r="J653" s="103"/>
      <c r="K653" s="74">
        <v>43728</v>
      </c>
    </row>
    <row r="654" spans="1:11" ht="15.75">
      <c r="A654" s="8">
        <v>83</v>
      </c>
      <c r="B654" s="19" t="s">
        <v>739</v>
      </c>
      <c r="C654" s="108"/>
      <c r="D654" s="24" t="s">
        <v>619</v>
      </c>
      <c r="E654" s="115">
        <v>30</v>
      </c>
      <c r="F654" s="21">
        <v>55</v>
      </c>
      <c r="G654" s="21">
        <f t="shared" si="37"/>
        <v>25</v>
      </c>
      <c r="H654" s="8" t="s">
        <v>240</v>
      </c>
      <c r="I654" s="23"/>
      <c r="J654" s="103"/>
      <c r="K654" s="74">
        <v>43730</v>
      </c>
    </row>
    <row r="655" spans="1:11" ht="15.75">
      <c r="A655" s="8">
        <v>84</v>
      </c>
      <c r="B655" s="19" t="s">
        <v>367</v>
      </c>
      <c r="C655" s="108"/>
      <c r="D655" s="135" t="s">
        <v>75</v>
      </c>
      <c r="E655" s="115">
        <v>9.5</v>
      </c>
      <c r="F655" s="21">
        <v>20</v>
      </c>
      <c r="G655" s="21">
        <f t="shared" si="37"/>
        <v>10.5</v>
      </c>
      <c r="H655" s="8" t="s">
        <v>240</v>
      </c>
      <c r="I655" s="23"/>
      <c r="J655" s="103"/>
      <c r="K655" s="74">
        <v>43729</v>
      </c>
    </row>
    <row r="656" spans="1:11" ht="15.75">
      <c r="A656" s="8">
        <v>85</v>
      </c>
      <c r="B656" s="19" t="s">
        <v>367</v>
      </c>
      <c r="C656" s="108"/>
      <c r="D656" s="135" t="s">
        <v>394</v>
      </c>
      <c r="E656" s="115">
        <v>9.5</v>
      </c>
      <c r="F656" s="21">
        <v>20</v>
      </c>
      <c r="G656" s="21">
        <f t="shared" si="37"/>
        <v>10.5</v>
      </c>
      <c r="H656" s="8" t="s">
        <v>240</v>
      </c>
      <c r="I656" s="23"/>
      <c r="J656" s="103"/>
      <c r="K656" s="74">
        <v>43733</v>
      </c>
    </row>
    <row r="657" spans="1:11" ht="15.75">
      <c r="A657" s="8">
        <v>86</v>
      </c>
      <c r="B657" s="19" t="s">
        <v>99</v>
      </c>
      <c r="C657" s="19"/>
      <c r="D657" s="19" t="s">
        <v>622</v>
      </c>
      <c r="E657" s="115">
        <v>20</v>
      </c>
      <c r="F657" s="21">
        <v>45</v>
      </c>
      <c r="G657" s="21">
        <f t="shared" si="37"/>
        <v>25</v>
      </c>
      <c r="H657" s="8" t="s">
        <v>240</v>
      </c>
      <c r="I657" s="23"/>
      <c r="J657" s="103"/>
      <c r="K657" s="74">
        <v>43733</v>
      </c>
    </row>
    <row r="658" spans="1:11" ht="15.75">
      <c r="A658" s="8">
        <v>87</v>
      </c>
      <c r="B658" s="19" t="s">
        <v>99</v>
      </c>
      <c r="C658" s="19"/>
      <c r="D658" s="19" t="s">
        <v>622</v>
      </c>
      <c r="E658" s="115">
        <v>20</v>
      </c>
      <c r="F658" s="21">
        <v>45</v>
      </c>
      <c r="G658" s="21">
        <f t="shared" si="37"/>
        <v>25</v>
      </c>
      <c r="H658" s="8" t="s">
        <v>240</v>
      </c>
      <c r="I658" s="23"/>
      <c r="J658" s="103"/>
      <c r="K658" s="74">
        <v>43733</v>
      </c>
    </row>
    <row r="659" spans="1:11" ht="15.75">
      <c r="A659" s="8">
        <v>89</v>
      </c>
      <c r="B659" s="19" t="s">
        <v>546</v>
      </c>
      <c r="C659" s="92"/>
      <c r="D659" s="24" t="s">
        <v>550</v>
      </c>
      <c r="E659" s="115">
        <v>70</v>
      </c>
      <c r="F659" s="21">
        <v>100</v>
      </c>
      <c r="G659" s="21">
        <f t="shared" si="37"/>
        <v>30</v>
      </c>
      <c r="H659" s="8" t="s">
        <v>240</v>
      </c>
      <c r="I659" s="23"/>
      <c r="J659" s="103"/>
      <c r="K659" s="74">
        <v>43732</v>
      </c>
    </row>
    <row r="660" spans="1:11" ht="15.75">
      <c r="A660" s="8">
        <v>90</v>
      </c>
      <c r="B660" s="120" t="s">
        <v>620</v>
      </c>
      <c r="C660" s="108"/>
      <c r="D660" s="24" t="s">
        <v>313</v>
      </c>
      <c r="E660" s="115">
        <v>2.5</v>
      </c>
      <c r="F660" s="21">
        <v>5</v>
      </c>
      <c r="G660" s="21">
        <f t="shared" si="37"/>
        <v>2.5</v>
      </c>
      <c r="H660" s="8" t="s">
        <v>240</v>
      </c>
      <c r="I660" s="23"/>
      <c r="J660" s="103"/>
      <c r="K660" s="74">
        <v>43735</v>
      </c>
    </row>
    <row r="661" spans="1:11" ht="15.75">
      <c r="A661" s="8">
        <v>91</v>
      </c>
      <c r="B661" s="19" t="s">
        <v>621</v>
      </c>
      <c r="C661" s="108"/>
      <c r="D661" s="24" t="s">
        <v>313</v>
      </c>
      <c r="E661" s="115">
        <v>2.5</v>
      </c>
      <c r="F661" s="21">
        <v>5</v>
      </c>
      <c r="G661" s="21">
        <f t="shared" si="37"/>
        <v>2.5</v>
      </c>
      <c r="H661" s="8" t="s">
        <v>240</v>
      </c>
      <c r="I661" s="23"/>
      <c r="J661" s="103"/>
      <c r="K661" s="74">
        <v>43735</v>
      </c>
    </row>
    <row r="662" spans="1:11" ht="15.75">
      <c r="A662" s="8">
        <v>92</v>
      </c>
      <c r="B662" s="19" t="s">
        <v>812</v>
      </c>
      <c r="C662" s="108"/>
      <c r="D662" s="24" t="s">
        <v>625</v>
      </c>
      <c r="E662" s="115">
        <v>30</v>
      </c>
      <c r="F662" s="21">
        <v>60</v>
      </c>
      <c r="G662" s="21">
        <f t="shared" si="37"/>
        <v>30</v>
      </c>
      <c r="H662" s="8" t="s">
        <v>240</v>
      </c>
      <c r="I662" s="23"/>
      <c r="J662" s="103"/>
      <c r="K662" s="74">
        <v>43734</v>
      </c>
    </row>
    <row r="663" spans="1:11" ht="15.75">
      <c r="A663" s="8">
        <v>93</v>
      </c>
      <c r="B663" s="19" t="s">
        <v>620</v>
      </c>
      <c r="C663" s="108"/>
      <c r="D663" s="24" t="s">
        <v>313</v>
      </c>
      <c r="E663" s="115">
        <v>2.5</v>
      </c>
      <c r="F663" s="21">
        <v>5</v>
      </c>
      <c r="G663" s="21">
        <f t="shared" si="37"/>
        <v>2.5</v>
      </c>
      <c r="H663" s="8" t="s">
        <v>240</v>
      </c>
      <c r="I663" s="23"/>
      <c r="J663" s="103"/>
      <c r="K663" s="74">
        <v>43735</v>
      </c>
    </row>
    <row r="664" spans="1:11" ht="15.75">
      <c r="A664" s="8">
        <v>94</v>
      </c>
      <c r="B664" s="19" t="s">
        <v>621</v>
      </c>
      <c r="C664" s="108"/>
      <c r="D664" s="24" t="s">
        <v>313</v>
      </c>
      <c r="E664" s="115">
        <v>3</v>
      </c>
      <c r="F664" s="21">
        <v>6</v>
      </c>
      <c r="G664" s="21">
        <f t="shared" si="37"/>
        <v>3</v>
      </c>
      <c r="H664" s="8" t="s">
        <v>240</v>
      </c>
      <c r="I664" s="23"/>
      <c r="J664" s="103"/>
      <c r="K664" s="74">
        <v>43735</v>
      </c>
    </row>
    <row r="665" spans="1:11" ht="15.75">
      <c r="A665" s="8">
        <v>96</v>
      </c>
      <c r="B665" s="47" t="s">
        <v>116</v>
      </c>
      <c r="C665" s="92"/>
      <c r="D665" s="24" t="s">
        <v>623</v>
      </c>
      <c r="E665" s="115">
        <v>28</v>
      </c>
      <c r="F665" s="21">
        <v>50</v>
      </c>
      <c r="G665" s="21">
        <f t="shared" ref="G665:G680" si="38">F665-E665</f>
        <v>22</v>
      </c>
      <c r="H665" s="8" t="s">
        <v>240</v>
      </c>
      <c r="I665" s="23"/>
      <c r="J665" s="103"/>
      <c r="K665" s="74">
        <v>43735</v>
      </c>
    </row>
    <row r="666" spans="1:11" ht="15.75">
      <c r="A666" s="8">
        <v>97</v>
      </c>
      <c r="B666" s="19" t="s">
        <v>626</v>
      </c>
      <c r="C666" s="108"/>
      <c r="D666" s="24" t="s">
        <v>623</v>
      </c>
      <c r="E666" s="115">
        <v>40</v>
      </c>
      <c r="F666" s="21">
        <v>80</v>
      </c>
      <c r="G666" s="21">
        <f t="shared" si="38"/>
        <v>40</v>
      </c>
      <c r="H666" s="8" t="s">
        <v>240</v>
      </c>
      <c r="I666" s="23"/>
      <c r="J666" s="103"/>
      <c r="K666" s="74">
        <v>43735</v>
      </c>
    </row>
    <row r="667" spans="1:11" ht="15.75">
      <c r="A667" s="8">
        <v>98</v>
      </c>
      <c r="B667" s="19" t="s">
        <v>355</v>
      </c>
      <c r="C667" s="108"/>
      <c r="D667" s="24" t="s">
        <v>305</v>
      </c>
      <c r="E667" s="115">
        <v>16</v>
      </c>
      <c r="F667" s="21">
        <v>22</v>
      </c>
      <c r="G667" s="21">
        <f t="shared" si="38"/>
        <v>6</v>
      </c>
      <c r="H667" s="8" t="s">
        <v>240</v>
      </c>
      <c r="I667" s="23"/>
      <c r="J667" s="103"/>
      <c r="K667" s="74">
        <v>43735</v>
      </c>
    </row>
    <row r="668" spans="1:11" ht="15.75">
      <c r="A668" s="8">
        <v>99</v>
      </c>
      <c r="B668" s="19" t="s">
        <v>620</v>
      </c>
      <c r="C668" s="108"/>
      <c r="D668" s="24" t="s">
        <v>313</v>
      </c>
      <c r="E668" s="115">
        <v>2.5</v>
      </c>
      <c r="F668" s="21">
        <v>5</v>
      </c>
      <c r="G668" s="21">
        <f t="shared" si="38"/>
        <v>2.5</v>
      </c>
      <c r="H668" s="8" t="s">
        <v>240</v>
      </c>
      <c r="I668" s="23"/>
      <c r="J668" s="103"/>
      <c r="K668" s="74">
        <v>43735</v>
      </c>
    </row>
    <row r="669" spans="1:11" ht="15.75">
      <c r="A669" s="8">
        <v>100</v>
      </c>
      <c r="B669" s="19" t="s">
        <v>620</v>
      </c>
      <c r="C669" s="108"/>
      <c r="D669" s="24" t="s">
        <v>313</v>
      </c>
      <c r="E669" s="115">
        <v>2.5</v>
      </c>
      <c r="F669" s="21">
        <v>5</v>
      </c>
      <c r="G669" s="21">
        <f t="shared" si="38"/>
        <v>2.5</v>
      </c>
      <c r="H669" s="8" t="s">
        <v>240</v>
      </c>
      <c r="I669" s="23"/>
      <c r="J669" s="103"/>
      <c r="K669" s="74">
        <v>43735</v>
      </c>
    </row>
    <row r="670" spans="1:11" ht="15.75">
      <c r="A670" s="8">
        <v>101</v>
      </c>
      <c r="B670" s="19" t="s">
        <v>621</v>
      </c>
      <c r="C670" s="108"/>
      <c r="D670" s="24" t="s">
        <v>313</v>
      </c>
      <c r="E670" s="115">
        <v>3</v>
      </c>
      <c r="F670" s="21">
        <v>6</v>
      </c>
      <c r="G670" s="21">
        <f t="shared" si="38"/>
        <v>3</v>
      </c>
      <c r="H670" s="8" t="s">
        <v>240</v>
      </c>
      <c r="I670" s="23"/>
      <c r="J670" s="103"/>
      <c r="K670" s="74">
        <v>43735</v>
      </c>
    </row>
    <row r="671" spans="1:11" ht="15.75">
      <c r="A671" s="8">
        <v>103</v>
      </c>
      <c r="B671" s="47" t="s">
        <v>116</v>
      </c>
      <c r="C671" s="92"/>
      <c r="D671" s="24" t="s">
        <v>623</v>
      </c>
      <c r="E671" s="115">
        <v>28</v>
      </c>
      <c r="F671" s="21">
        <v>50</v>
      </c>
      <c r="G671" s="21">
        <f t="shared" si="38"/>
        <v>22</v>
      </c>
      <c r="H671" s="8" t="s">
        <v>240</v>
      </c>
      <c r="I671" s="23"/>
      <c r="J671" s="103"/>
      <c r="K671" s="74">
        <v>43735</v>
      </c>
    </row>
    <row r="672" spans="1:11" ht="15.75">
      <c r="A672" s="8">
        <v>104</v>
      </c>
      <c r="B672" s="19" t="s">
        <v>626</v>
      </c>
      <c r="C672" s="108"/>
      <c r="D672" s="24" t="s">
        <v>623</v>
      </c>
      <c r="E672" s="115">
        <v>40</v>
      </c>
      <c r="F672" s="21">
        <v>80</v>
      </c>
      <c r="G672" s="21">
        <f t="shared" si="38"/>
        <v>40</v>
      </c>
      <c r="H672" s="8" t="s">
        <v>240</v>
      </c>
      <c r="I672" s="23"/>
      <c r="J672" s="81"/>
      <c r="K672" s="74">
        <v>43735</v>
      </c>
    </row>
    <row r="673" spans="1:11" ht="15.75">
      <c r="A673" s="8">
        <v>106</v>
      </c>
      <c r="B673" s="19" t="s">
        <v>670</v>
      </c>
      <c r="C673" s="108"/>
      <c r="D673" s="135" t="s">
        <v>627</v>
      </c>
      <c r="E673" s="115">
        <v>12</v>
      </c>
      <c r="F673" s="21">
        <v>25</v>
      </c>
      <c r="G673" s="21">
        <f t="shared" si="38"/>
        <v>13</v>
      </c>
      <c r="H673" s="8" t="s">
        <v>240</v>
      </c>
      <c r="I673" s="23"/>
      <c r="J673" s="81"/>
      <c r="K673" s="74">
        <v>43736</v>
      </c>
    </row>
    <row r="674" spans="1:11" ht="15.75">
      <c r="A674" s="8">
        <v>107</v>
      </c>
      <c r="B674" s="19" t="s">
        <v>670</v>
      </c>
      <c r="C674" s="108"/>
      <c r="D674" s="135" t="s">
        <v>627</v>
      </c>
      <c r="E674" s="115">
        <v>12</v>
      </c>
      <c r="F674" s="21">
        <v>25</v>
      </c>
      <c r="G674" s="21">
        <f t="shared" si="38"/>
        <v>13</v>
      </c>
      <c r="H674" s="8" t="s">
        <v>240</v>
      </c>
      <c r="I674" s="23"/>
      <c r="J674" s="81"/>
      <c r="K674" s="74">
        <v>43736</v>
      </c>
    </row>
    <row r="675" spans="1:11" ht="15.75">
      <c r="A675" s="8">
        <v>108</v>
      </c>
      <c r="B675" s="19" t="s">
        <v>512</v>
      </c>
      <c r="C675" s="108"/>
      <c r="D675" s="24" t="s">
        <v>628</v>
      </c>
      <c r="E675" s="115">
        <v>40</v>
      </c>
      <c r="F675" s="21">
        <v>85</v>
      </c>
      <c r="G675" s="21">
        <f t="shared" si="38"/>
        <v>45</v>
      </c>
      <c r="H675" s="8" t="s">
        <v>240</v>
      </c>
      <c r="I675" s="23"/>
      <c r="J675" s="81"/>
      <c r="K675" s="74">
        <v>43736</v>
      </c>
    </row>
    <row r="676" spans="1:11" ht="15.75">
      <c r="A676" s="8">
        <v>109</v>
      </c>
      <c r="B676" s="19" t="s">
        <v>728</v>
      </c>
      <c r="C676" s="108" t="s">
        <v>629</v>
      </c>
      <c r="D676" s="24"/>
      <c r="E676" s="115">
        <v>30</v>
      </c>
      <c r="F676" s="21">
        <v>55</v>
      </c>
      <c r="G676" s="21">
        <f t="shared" si="38"/>
        <v>25</v>
      </c>
      <c r="H676" s="8" t="s">
        <v>240</v>
      </c>
      <c r="I676" s="23"/>
      <c r="J676" s="103"/>
      <c r="K676" s="74">
        <v>43737</v>
      </c>
    </row>
    <row r="677" spans="1:11" ht="15.75">
      <c r="A677" s="8">
        <v>110</v>
      </c>
      <c r="B677" s="19" t="s">
        <v>728</v>
      </c>
      <c r="C677" s="108" t="s">
        <v>630</v>
      </c>
      <c r="D677" s="24"/>
      <c r="E677" s="115">
        <v>30</v>
      </c>
      <c r="F677" s="21">
        <v>60</v>
      </c>
      <c r="G677" s="21">
        <f t="shared" si="38"/>
        <v>30</v>
      </c>
      <c r="H677" s="8" t="s">
        <v>240</v>
      </c>
      <c r="I677" s="23"/>
      <c r="J677" s="81"/>
      <c r="K677" s="74">
        <v>43738</v>
      </c>
    </row>
    <row r="678" spans="1:11" ht="15.75">
      <c r="A678" s="8">
        <v>111</v>
      </c>
      <c r="B678" s="19" t="s">
        <v>728</v>
      </c>
      <c r="C678" s="108" t="s">
        <v>630</v>
      </c>
      <c r="D678" s="24"/>
      <c r="E678" s="115">
        <v>30</v>
      </c>
      <c r="F678" s="21">
        <v>60</v>
      </c>
      <c r="G678" s="21">
        <f t="shared" si="38"/>
        <v>30</v>
      </c>
      <c r="H678" s="8" t="s">
        <v>240</v>
      </c>
      <c r="I678" s="23"/>
      <c r="J678" s="81"/>
      <c r="K678" s="74">
        <v>43738</v>
      </c>
    </row>
    <row r="679" spans="1:11" ht="15.75">
      <c r="A679" s="8">
        <v>112</v>
      </c>
      <c r="B679" s="19" t="s">
        <v>728</v>
      </c>
      <c r="C679" s="108" t="s">
        <v>629</v>
      </c>
      <c r="D679" s="24"/>
      <c r="E679" s="115">
        <v>30</v>
      </c>
      <c r="F679" s="21">
        <v>50</v>
      </c>
      <c r="G679" s="21">
        <f t="shared" si="38"/>
        <v>20</v>
      </c>
      <c r="H679" s="8" t="s">
        <v>240</v>
      </c>
      <c r="I679" s="23"/>
      <c r="J679" s="81"/>
      <c r="K679" s="74">
        <v>43738</v>
      </c>
    </row>
    <row r="680" spans="1:11" ht="15.75">
      <c r="A680" s="8">
        <v>113</v>
      </c>
      <c r="B680" s="19" t="s">
        <v>728</v>
      </c>
      <c r="C680" s="108" t="s">
        <v>630</v>
      </c>
      <c r="D680" s="24"/>
      <c r="E680" s="115">
        <v>30</v>
      </c>
      <c r="F680" s="21">
        <v>60</v>
      </c>
      <c r="G680" s="21">
        <f t="shared" si="38"/>
        <v>30</v>
      </c>
      <c r="H680" s="8" t="s">
        <v>240</v>
      </c>
      <c r="I680" s="23"/>
      <c r="J680" s="81"/>
      <c r="K680" s="74">
        <v>43738</v>
      </c>
    </row>
    <row r="681" spans="1:11" ht="15.75">
      <c r="A681" s="8">
        <v>114</v>
      </c>
      <c r="B681" s="19"/>
      <c r="C681" s="108"/>
      <c r="D681" s="24"/>
      <c r="E681" s="115"/>
      <c r="F681" s="21"/>
      <c r="G681" s="21"/>
      <c r="H681" s="8"/>
      <c r="I681" s="23"/>
      <c r="J681" s="81"/>
      <c r="K681" s="17"/>
    </row>
    <row r="682" spans="1:11" ht="15.75">
      <c r="A682" s="8"/>
      <c r="B682" s="19"/>
      <c r="C682" s="108"/>
      <c r="D682" s="24"/>
      <c r="E682" s="115"/>
      <c r="F682" s="21"/>
      <c r="G682" s="21"/>
      <c r="H682" s="8"/>
      <c r="I682" s="23"/>
      <c r="J682" s="81"/>
      <c r="K682" s="17"/>
    </row>
    <row r="683" spans="1:11" ht="21">
      <c r="A683" s="162" t="s">
        <v>11</v>
      </c>
      <c r="B683" s="163"/>
      <c r="C683" s="163"/>
      <c r="D683" s="164"/>
      <c r="E683" s="20" t="e">
        <f>SUM(#REF!)</f>
        <v>#REF!</v>
      </c>
      <c r="F683" s="20" t="e">
        <f>SUM(#REF!)</f>
        <v>#REF!</v>
      </c>
      <c r="G683" s="20" t="e">
        <f>SUM(#REF!)</f>
        <v>#REF!</v>
      </c>
      <c r="H683" s="71" t="e">
        <f>COUNTIF(#REF!,"Vendido")</f>
        <v>#REF!</v>
      </c>
      <c r="I683" s="87" t="e">
        <f>SUM(F683-E683)/F683</f>
        <v>#REF!</v>
      </c>
      <c r="J683" s="112" t="e">
        <f>COUNTIF(#REF!,"Estoque")</f>
        <v>#REF!</v>
      </c>
      <c r="K683" s="71" t="e">
        <f>COUNTIF(#REF!,"ESTOQUE")</f>
        <v>#REF!</v>
      </c>
    </row>
    <row r="684" spans="1:11" ht="15.75">
      <c r="A684" s="8">
        <v>1</v>
      </c>
      <c r="B684" s="19" t="s">
        <v>634</v>
      </c>
      <c r="C684" s="108"/>
      <c r="D684" s="24" t="s">
        <v>36</v>
      </c>
      <c r="E684" s="115">
        <v>28</v>
      </c>
      <c r="F684" s="21">
        <v>35</v>
      </c>
      <c r="G684" s="21">
        <f t="shared" ref="G684:G747" si="39">F684-E684</f>
        <v>7</v>
      </c>
      <c r="H684" s="8" t="s">
        <v>490</v>
      </c>
      <c r="I684" s="23"/>
      <c r="J684" s="81"/>
      <c r="K684" s="17"/>
    </row>
    <row r="685" spans="1:11" ht="15.75">
      <c r="A685" s="8">
        <v>1</v>
      </c>
      <c r="B685" s="19" t="s">
        <v>634</v>
      </c>
      <c r="C685" s="108"/>
      <c r="D685" s="24" t="s">
        <v>36</v>
      </c>
      <c r="E685" s="115">
        <v>28</v>
      </c>
      <c r="F685" s="21">
        <v>35</v>
      </c>
      <c r="G685" s="21">
        <f t="shared" si="39"/>
        <v>7</v>
      </c>
      <c r="H685" s="8" t="s">
        <v>490</v>
      </c>
      <c r="I685" s="23"/>
      <c r="J685" s="81"/>
      <c r="K685" s="17"/>
    </row>
    <row r="686" spans="1:11" ht="15.75">
      <c r="A686" s="8">
        <v>1</v>
      </c>
      <c r="B686" s="19" t="s">
        <v>634</v>
      </c>
      <c r="C686" s="108"/>
      <c r="D686" s="24" t="s">
        <v>36</v>
      </c>
      <c r="E686" s="115">
        <v>28</v>
      </c>
      <c r="F686" s="21">
        <v>35</v>
      </c>
      <c r="G686" s="21">
        <f t="shared" si="39"/>
        <v>7</v>
      </c>
      <c r="H686" s="8" t="s">
        <v>490</v>
      </c>
      <c r="I686" s="23"/>
      <c r="J686" s="81"/>
      <c r="K686" s="17"/>
    </row>
    <row r="687" spans="1:11" ht="15.75">
      <c r="A687" s="8">
        <v>1</v>
      </c>
      <c r="B687" s="19" t="s">
        <v>674</v>
      </c>
      <c r="C687" s="108"/>
      <c r="D687" s="24"/>
      <c r="E687" s="115">
        <v>7</v>
      </c>
      <c r="F687" s="21">
        <v>10</v>
      </c>
      <c r="G687" s="21">
        <f t="shared" si="39"/>
        <v>3</v>
      </c>
      <c r="H687" s="8" t="s">
        <v>490</v>
      </c>
      <c r="I687" s="23"/>
      <c r="J687" s="81"/>
      <c r="K687" s="17"/>
    </row>
    <row r="688" spans="1:11" ht="15.75">
      <c r="A688" s="8">
        <v>1</v>
      </c>
      <c r="B688" s="19" t="s">
        <v>674</v>
      </c>
      <c r="C688" s="108"/>
      <c r="D688" s="24"/>
      <c r="E688" s="115">
        <v>7</v>
      </c>
      <c r="F688" s="21">
        <v>10</v>
      </c>
      <c r="G688" s="21">
        <f t="shared" si="39"/>
        <v>3</v>
      </c>
      <c r="H688" s="8" t="s">
        <v>490</v>
      </c>
      <c r="I688" s="23"/>
      <c r="J688" s="81"/>
      <c r="K688" s="17"/>
    </row>
    <row r="689" spans="1:11" ht="15.75">
      <c r="A689" s="8">
        <v>1</v>
      </c>
      <c r="B689" s="19" t="s">
        <v>764</v>
      </c>
      <c r="C689" s="108"/>
      <c r="D689" s="24"/>
      <c r="E689" s="115">
        <v>18</v>
      </c>
      <c r="F689" s="21">
        <v>22</v>
      </c>
      <c r="G689" s="21">
        <f t="shared" si="39"/>
        <v>4</v>
      </c>
      <c r="H689" s="8" t="s">
        <v>490</v>
      </c>
      <c r="I689" s="23"/>
      <c r="J689" s="81"/>
      <c r="K689" s="17"/>
    </row>
    <row r="690" spans="1:11" ht="15.75">
      <c r="A690" s="8">
        <v>1</v>
      </c>
      <c r="B690" s="19" t="s">
        <v>764</v>
      </c>
      <c r="C690" s="108"/>
      <c r="D690" s="24"/>
      <c r="E690" s="115">
        <v>18</v>
      </c>
      <c r="F690" s="21">
        <v>22</v>
      </c>
      <c r="G690" s="21">
        <f t="shared" si="39"/>
        <v>4</v>
      </c>
      <c r="H690" s="8" t="s">
        <v>490</v>
      </c>
      <c r="I690" s="23"/>
      <c r="J690" s="81"/>
      <c r="K690" s="17"/>
    </row>
    <row r="691" spans="1:11" ht="15.75">
      <c r="A691" s="8">
        <v>1</v>
      </c>
      <c r="B691" s="19" t="s">
        <v>675</v>
      </c>
      <c r="C691" s="108"/>
      <c r="D691" s="24"/>
      <c r="E691" s="115">
        <v>15</v>
      </c>
      <c r="F691" s="21">
        <v>20</v>
      </c>
      <c r="G691" s="21">
        <f t="shared" si="39"/>
        <v>5</v>
      </c>
      <c r="H691" s="8" t="s">
        <v>490</v>
      </c>
      <c r="I691" s="23"/>
      <c r="J691" s="81"/>
      <c r="K691" s="17"/>
    </row>
    <row r="692" spans="1:11" ht="15.75">
      <c r="A692" s="8">
        <v>1</v>
      </c>
      <c r="B692" s="19" t="s">
        <v>680</v>
      </c>
      <c r="C692" s="108"/>
      <c r="D692" s="24" t="s">
        <v>610</v>
      </c>
      <c r="E692" s="115">
        <v>6</v>
      </c>
      <c r="F692" s="21">
        <v>10</v>
      </c>
      <c r="G692" s="21">
        <f t="shared" si="39"/>
        <v>4</v>
      </c>
      <c r="H692" s="8" t="s">
        <v>490</v>
      </c>
      <c r="I692" s="23"/>
      <c r="J692" s="81"/>
      <c r="K692" s="17"/>
    </row>
    <row r="693" spans="1:11" ht="15.75">
      <c r="A693" s="8">
        <v>1</v>
      </c>
      <c r="B693" s="19" t="s">
        <v>764</v>
      </c>
      <c r="C693" s="108"/>
      <c r="D693" s="24" t="s">
        <v>610</v>
      </c>
      <c r="E693" s="115">
        <v>19</v>
      </c>
      <c r="F693" s="21">
        <v>22</v>
      </c>
      <c r="G693" s="21">
        <f t="shared" si="39"/>
        <v>3</v>
      </c>
      <c r="H693" s="8" t="s">
        <v>624</v>
      </c>
      <c r="I693" s="23"/>
      <c r="J693" s="81"/>
      <c r="K693" s="17"/>
    </row>
    <row r="694" spans="1:11" ht="15.75">
      <c r="A694" s="8">
        <v>1</v>
      </c>
      <c r="B694" s="19" t="s">
        <v>691</v>
      </c>
      <c r="C694" s="108"/>
      <c r="D694" s="24" t="s">
        <v>610</v>
      </c>
      <c r="E694" s="115">
        <v>8.5</v>
      </c>
      <c r="F694" s="21">
        <v>10</v>
      </c>
      <c r="G694" s="21">
        <f t="shared" si="39"/>
        <v>1.5</v>
      </c>
      <c r="H694" s="8" t="s">
        <v>624</v>
      </c>
      <c r="I694" s="23"/>
      <c r="J694" s="81"/>
      <c r="K694" s="17"/>
    </row>
    <row r="695" spans="1:11" ht="15.75">
      <c r="A695" s="8">
        <v>1</v>
      </c>
      <c r="B695" s="19" t="s">
        <v>689</v>
      </c>
      <c r="C695" s="108"/>
      <c r="D695" s="24" t="s">
        <v>610</v>
      </c>
      <c r="E695" s="115">
        <v>57</v>
      </c>
      <c r="F695" s="21">
        <v>70</v>
      </c>
      <c r="G695" s="21">
        <f t="shared" si="39"/>
        <v>13</v>
      </c>
      <c r="H695" s="8" t="s">
        <v>624</v>
      </c>
      <c r="I695" s="23"/>
      <c r="J695" s="81"/>
      <c r="K695" s="17"/>
    </row>
    <row r="696" spans="1:11" ht="15.75">
      <c r="A696" s="8">
        <v>1</v>
      </c>
      <c r="B696" s="19" t="s">
        <v>690</v>
      </c>
      <c r="C696" s="108"/>
      <c r="D696" s="24" t="s">
        <v>610</v>
      </c>
      <c r="E696" s="115">
        <v>40</v>
      </c>
      <c r="F696" s="21">
        <v>48</v>
      </c>
      <c r="G696" s="21">
        <f t="shared" si="39"/>
        <v>8</v>
      </c>
      <c r="H696" s="8" t="s">
        <v>624</v>
      </c>
      <c r="I696" s="23"/>
      <c r="J696" s="81"/>
      <c r="K696" s="17"/>
    </row>
    <row r="697" spans="1:11" ht="15.75">
      <c r="A697" s="8">
        <v>1</v>
      </c>
      <c r="B697" s="19" t="s">
        <v>674</v>
      </c>
      <c r="C697" s="108"/>
      <c r="D697" s="24" t="s">
        <v>610</v>
      </c>
      <c r="E697" s="115">
        <v>7</v>
      </c>
      <c r="F697" s="21">
        <v>10</v>
      </c>
      <c r="G697" s="21">
        <f t="shared" si="39"/>
        <v>3</v>
      </c>
      <c r="H697" s="8" t="s">
        <v>624</v>
      </c>
      <c r="I697" s="23"/>
      <c r="J697" s="81"/>
      <c r="K697" s="17"/>
    </row>
    <row r="698" spans="1:11" ht="15.75">
      <c r="A698" s="8">
        <v>1</v>
      </c>
      <c r="B698" s="19" t="s">
        <v>603</v>
      </c>
      <c r="C698" s="19"/>
      <c r="D698" s="19" t="s">
        <v>677</v>
      </c>
      <c r="E698" s="115">
        <v>8.9</v>
      </c>
      <c r="F698" s="21">
        <v>10</v>
      </c>
      <c r="G698" s="21">
        <f t="shared" si="39"/>
        <v>1.0999999999999996</v>
      </c>
      <c r="H698" s="8" t="s">
        <v>624</v>
      </c>
      <c r="I698" s="23"/>
      <c r="J698" s="81"/>
      <c r="K698" s="17"/>
    </row>
    <row r="699" spans="1:11" ht="15.75">
      <c r="A699" s="8">
        <v>1</v>
      </c>
      <c r="B699" s="19" t="s">
        <v>696</v>
      </c>
      <c r="C699" s="108"/>
      <c r="D699" s="24" t="s">
        <v>610</v>
      </c>
      <c r="E699" s="115">
        <v>18</v>
      </c>
      <c r="F699" s="21">
        <v>22</v>
      </c>
      <c r="G699" s="21">
        <f t="shared" si="39"/>
        <v>4</v>
      </c>
      <c r="H699" s="8" t="s">
        <v>624</v>
      </c>
      <c r="I699" s="23"/>
      <c r="J699" s="81"/>
      <c r="K699" s="17"/>
    </row>
    <row r="700" spans="1:11" ht="15.75">
      <c r="A700" s="8">
        <v>1</v>
      </c>
      <c r="B700" s="19" t="s">
        <v>698</v>
      </c>
      <c r="C700" s="108"/>
      <c r="D700" s="24" t="s">
        <v>610</v>
      </c>
      <c r="E700" s="115">
        <v>10</v>
      </c>
      <c r="F700" s="21">
        <v>12</v>
      </c>
      <c r="G700" s="21">
        <f t="shared" si="39"/>
        <v>2</v>
      </c>
      <c r="H700" s="8" t="s">
        <v>624</v>
      </c>
      <c r="I700" s="23"/>
      <c r="J700" s="81"/>
      <c r="K700" s="17"/>
    </row>
    <row r="701" spans="1:11" ht="15.75">
      <c r="A701" s="8">
        <v>1</v>
      </c>
      <c r="B701" s="19" t="s">
        <v>301</v>
      </c>
      <c r="C701" s="108"/>
      <c r="D701" s="24" t="s">
        <v>610</v>
      </c>
      <c r="E701" s="115">
        <v>3.5</v>
      </c>
      <c r="F701" s="21">
        <v>5</v>
      </c>
      <c r="G701" s="21">
        <f t="shared" si="39"/>
        <v>1.5</v>
      </c>
      <c r="H701" s="8" t="s">
        <v>624</v>
      </c>
      <c r="I701" s="23"/>
      <c r="J701" s="81"/>
      <c r="K701" s="17"/>
    </row>
    <row r="702" spans="1:11" ht="15.75">
      <c r="A702" s="8">
        <v>1</v>
      </c>
      <c r="B702" s="19" t="s">
        <v>603</v>
      </c>
      <c r="C702" s="108"/>
      <c r="D702" s="135" t="s">
        <v>572</v>
      </c>
      <c r="E702" s="115">
        <v>8.9</v>
      </c>
      <c r="F702" s="21">
        <v>10</v>
      </c>
      <c r="G702" s="21">
        <f t="shared" si="39"/>
        <v>1.0999999999999996</v>
      </c>
      <c r="H702" s="8" t="s">
        <v>624</v>
      </c>
      <c r="I702" s="23"/>
      <c r="J702" s="81"/>
      <c r="K702" s="17"/>
    </row>
    <row r="703" spans="1:11" ht="15.75">
      <c r="A703" s="8">
        <v>1</v>
      </c>
      <c r="B703" s="19" t="s">
        <v>109</v>
      </c>
      <c r="C703" s="108"/>
      <c r="D703" s="24" t="s">
        <v>610</v>
      </c>
      <c r="E703" s="115">
        <v>18</v>
      </c>
      <c r="F703" s="21">
        <v>22</v>
      </c>
      <c r="G703" s="21">
        <f t="shared" si="39"/>
        <v>4</v>
      </c>
      <c r="H703" s="8" t="s">
        <v>490</v>
      </c>
      <c r="I703" s="23"/>
      <c r="J703" s="81"/>
      <c r="K703" s="17"/>
    </row>
    <row r="704" spans="1:11" ht="15.75">
      <c r="A704" s="8">
        <v>1</v>
      </c>
      <c r="B704" s="19" t="s">
        <v>606</v>
      </c>
      <c r="C704" s="31" t="s">
        <v>683</v>
      </c>
      <c r="D704" s="24" t="s">
        <v>610</v>
      </c>
      <c r="E704" s="115">
        <v>1</v>
      </c>
      <c r="F704" s="21">
        <v>2.5</v>
      </c>
      <c r="G704" s="21">
        <f t="shared" si="39"/>
        <v>1.5</v>
      </c>
      <c r="H704" s="8" t="s">
        <v>490</v>
      </c>
      <c r="I704" s="23"/>
      <c r="J704" s="81"/>
      <c r="K704" s="17"/>
    </row>
    <row r="705" spans="1:11" ht="15.75">
      <c r="A705" s="8">
        <v>1</v>
      </c>
      <c r="B705" s="19" t="s">
        <v>606</v>
      </c>
      <c r="C705" s="31" t="s">
        <v>683</v>
      </c>
      <c r="D705" s="24" t="s">
        <v>610</v>
      </c>
      <c r="E705" s="115">
        <v>1</v>
      </c>
      <c r="F705" s="21">
        <v>2.5</v>
      </c>
      <c r="G705" s="21">
        <f t="shared" si="39"/>
        <v>1.5</v>
      </c>
      <c r="H705" s="8" t="s">
        <v>490</v>
      </c>
      <c r="I705" s="23"/>
      <c r="J705" s="81"/>
      <c r="K705" s="17"/>
    </row>
    <row r="706" spans="1:11" ht="15.75">
      <c r="A706" s="8">
        <v>1</v>
      </c>
      <c r="B706" s="19" t="s">
        <v>670</v>
      </c>
      <c r="C706" s="108"/>
      <c r="D706" s="135" t="s">
        <v>313</v>
      </c>
      <c r="E706" s="115">
        <v>12</v>
      </c>
      <c r="F706" s="21">
        <v>25</v>
      </c>
      <c r="G706" s="21">
        <f t="shared" si="39"/>
        <v>13</v>
      </c>
      <c r="H706" s="8" t="s">
        <v>42</v>
      </c>
      <c r="I706" s="23"/>
      <c r="J706" s="81"/>
      <c r="K706" s="17"/>
    </row>
    <row r="707" spans="1:11" ht="15.75">
      <c r="A707" s="8">
        <v>1</v>
      </c>
      <c r="B707" s="19" t="s">
        <v>670</v>
      </c>
      <c r="C707" s="108"/>
      <c r="D707" s="135" t="s">
        <v>635</v>
      </c>
      <c r="E707" s="115">
        <v>12</v>
      </c>
      <c r="F707" s="21">
        <v>25</v>
      </c>
      <c r="G707" s="21">
        <f t="shared" si="39"/>
        <v>13</v>
      </c>
      <c r="H707" s="8" t="s">
        <v>42</v>
      </c>
      <c r="I707" s="23"/>
      <c r="J707" s="81"/>
      <c r="K707" s="17"/>
    </row>
    <row r="708" spans="1:11" ht="15.75">
      <c r="A708" s="8">
        <v>1</v>
      </c>
      <c r="B708" s="19" t="s">
        <v>355</v>
      </c>
      <c r="C708" s="108"/>
      <c r="D708" s="24" t="s">
        <v>313</v>
      </c>
      <c r="E708" s="115">
        <v>16</v>
      </c>
      <c r="F708" s="21">
        <v>35</v>
      </c>
      <c r="G708" s="21">
        <f t="shared" si="39"/>
        <v>19</v>
      </c>
      <c r="H708" s="8" t="s">
        <v>42</v>
      </c>
      <c r="I708" s="23"/>
      <c r="J708" s="81"/>
      <c r="K708" s="17"/>
    </row>
    <row r="709" spans="1:11" ht="15.75">
      <c r="A709" s="8">
        <v>1</v>
      </c>
      <c r="B709" s="19" t="s">
        <v>530</v>
      </c>
      <c r="C709" s="92"/>
      <c r="D709" s="24" t="s">
        <v>632</v>
      </c>
      <c r="E709" s="115">
        <v>8.5</v>
      </c>
      <c r="F709" s="21">
        <v>25</v>
      </c>
      <c r="G709" s="21">
        <f t="shared" si="39"/>
        <v>16.5</v>
      </c>
      <c r="H709" s="8" t="s">
        <v>42</v>
      </c>
      <c r="I709" s="23"/>
      <c r="J709" s="81"/>
      <c r="K709" s="17"/>
    </row>
    <row r="710" spans="1:11" ht="15.75">
      <c r="A710" s="8">
        <v>1</v>
      </c>
      <c r="B710" s="19" t="s">
        <v>478</v>
      </c>
      <c r="C710" s="92"/>
      <c r="D710" s="24" t="s">
        <v>633</v>
      </c>
      <c r="E710" s="117">
        <v>20</v>
      </c>
      <c r="F710" s="44">
        <v>30</v>
      </c>
      <c r="G710" s="21">
        <f t="shared" si="39"/>
        <v>10</v>
      </c>
      <c r="H710" s="8" t="s">
        <v>42</v>
      </c>
      <c r="I710" s="23"/>
      <c r="J710" s="81"/>
      <c r="K710" s="17"/>
    </row>
    <row r="711" spans="1:11" ht="15.75">
      <c r="A711" s="8">
        <v>1</v>
      </c>
      <c r="B711" s="19" t="s">
        <v>670</v>
      </c>
      <c r="C711" s="108"/>
      <c r="D711" s="135" t="s">
        <v>637</v>
      </c>
      <c r="E711" s="115">
        <v>12</v>
      </c>
      <c r="F711" s="21">
        <v>30</v>
      </c>
      <c r="G711" s="21">
        <f t="shared" si="39"/>
        <v>18</v>
      </c>
      <c r="H711" s="8" t="s">
        <v>42</v>
      </c>
      <c r="I711" s="23"/>
      <c r="J711" s="81"/>
      <c r="K711" s="17"/>
    </row>
    <row r="712" spans="1:11" ht="15.75">
      <c r="A712" s="8">
        <v>1</v>
      </c>
      <c r="B712" s="19" t="s">
        <v>728</v>
      </c>
      <c r="C712" s="108" t="s">
        <v>629</v>
      </c>
      <c r="D712" s="24"/>
      <c r="E712" s="115">
        <v>30</v>
      </c>
      <c r="F712" s="21">
        <v>65</v>
      </c>
      <c r="G712" s="21">
        <f t="shared" si="39"/>
        <v>35</v>
      </c>
      <c r="H712" s="8" t="s">
        <v>42</v>
      </c>
      <c r="I712" s="23"/>
      <c r="J712" s="81"/>
      <c r="K712" s="17"/>
    </row>
    <row r="713" spans="1:11" ht="15.75">
      <c r="A713" s="8">
        <v>1</v>
      </c>
      <c r="B713" s="19" t="s">
        <v>728</v>
      </c>
      <c r="C713" s="108" t="s">
        <v>629</v>
      </c>
      <c r="D713" s="24"/>
      <c r="E713" s="115">
        <v>30</v>
      </c>
      <c r="F713" s="21">
        <v>58</v>
      </c>
      <c r="G713" s="21">
        <f t="shared" si="39"/>
        <v>28</v>
      </c>
      <c r="H713" s="8" t="s">
        <v>42</v>
      </c>
      <c r="I713" s="23"/>
      <c r="J713" s="81"/>
      <c r="K713" s="17"/>
    </row>
    <row r="714" spans="1:11" ht="15.75">
      <c r="A714" s="8">
        <v>1</v>
      </c>
      <c r="B714" s="19" t="s">
        <v>321</v>
      </c>
      <c r="C714" s="92"/>
      <c r="D714" s="24" t="s">
        <v>640</v>
      </c>
      <c r="E714" s="115">
        <v>5</v>
      </c>
      <c r="F714" s="21">
        <v>15</v>
      </c>
      <c r="G714" s="21">
        <f t="shared" si="39"/>
        <v>10</v>
      </c>
      <c r="H714" s="8" t="s">
        <v>42</v>
      </c>
      <c r="I714" s="23"/>
      <c r="J714" s="81"/>
      <c r="K714" s="17"/>
    </row>
    <row r="715" spans="1:11" ht="15.75">
      <c r="A715" s="8">
        <v>1</v>
      </c>
      <c r="B715" s="19" t="s">
        <v>626</v>
      </c>
      <c r="C715" s="108"/>
      <c r="D715" s="24" t="s">
        <v>639</v>
      </c>
      <c r="E715" s="115">
        <v>40</v>
      </c>
      <c r="F715" s="21">
        <v>80</v>
      </c>
      <c r="G715" s="21">
        <f t="shared" si="39"/>
        <v>40</v>
      </c>
      <c r="H715" s="8" t="s">
        <v>240</v>
      </c>
      <c r="I715" s="23"/>
      <c r="J715" s="81"/>
      <c r="K715" s="17"/>
    </row>
    <row r="716" spans="1:11" ht="15.75">
      <c r="A716" s="8">
        <v>1</v>
      </c>
      <c r="B716" s="19" t="s">
        <v>301</v>
      </c>
      <c r="C716" s="92"/>
      <c r="D716" s="24" t="s">
        <v>641</v>
      </c>
      <c r="E716" s="115">
        <v>3.5</v>
      </c>
      <c r="F716" s="21">
        <v>10</v>
      </c>
      <c r="G716" s="21">
        <f t="shared" si="39"/>
        <v>6.5</v>
      </c>
      <c r="H716" s="8" t="s">
        <v>240</v>
      </c>
      <c r="I716" s="23"/>
      <c r="J716" s="81"/>
      <c r="K716" s="17"/>
    </row>
    <row r="717" spans="1:11" ht="15.75">
      <c r="A717" s="8">
        <v>1</v>
      </c>
      <c r="B717" s="19" t="s">
        <v>670</v>
      </c>
      <c r="C717" s="108"/>
      <c r="D717" s="135"/>
      <c r="E717" s="115">
        <v>12</v>
      </c>
      <c r="F717" s="21">
        <v>30</v>
      </c>
      <c r="G717" s="21">
        <f t="shared" si="39"/>
        <v>18</v>
      </c>
      <c r="H717" s="8" t="s">
        <v>42</v>
      </c>
      <c r="I717" s="23"/>
      <c r="J717" s="81"/>
      <c r="K717" s="17"/>
    </row>
    <row r="718" spans="1:11" ht="15.75">
      <c r="A718" s="8">
        <v>1</v>
      </c>
      <c r="B718" s="19" t="s">
        <v>643</v>
      </c>
      <c r="C718" s="108"/>
      <c r="D718" s="24" t="s">
        <v>644</v>
      </c>
      <c r="E718" s="115">
        <v>15</v>
      </c>
      <c r="F718" s="21">
        <v>30</v>
      </c>
      <c r="G718" s="21">
        <f t="shared" si="39"/>
        <v>15</v>
      </c>
      <c r="H718" s="8" t="s">
        <v>240</v>
      </c>
      <c r="I718" s="2"/>
      <c r="J718" s="2"/>
      <c r="K718" s="2"/>
    </row>
    <row r="719" spans="1:11" ht="15.75">
      <c r="A719" s="8">
        <v>1</v>
      </c>
      <c r="B719" s="19" t="s">
        <v>636</v>
      </c>
      <c r="C719" s="108"/>
      <c r="D719" s="24"/>
      <c r="E719" s="115">
        <v>3</v>
      </c>
      <c r="F719" s="21">
        <v>15</v>
      </c>
      <c r="G719" s="21">
        <f t="shared" si="39"/>
        <v>12</v>
      </c>
      <c r="H719" s="8" t="s">
        <v>240</v>
      </c>
      <c r="I719" s="23"/>
      <c r="J719" s="81"/>
      <c r="K719" s="17"/>
    </row>
    <row r="720" spans="1:11" ht="15.75">
      <c r="A720" s="8">
        <v>1</v>
      </c>
      <c r="B720" s="19" t="s">
        <v>636</v>
      </c>
      <c r="C720" s="108"/>
      <c r="D720" s="24"/>
      <c r="E720" s="115">
        <v>3</v>
      </c>
      <c r="F720" s="21">
        <v>15</v>
      </c>
      <c r="G720" s="21">
        <f t="shared" si="39"/>
        <v>12</v>
      </c>
      <c r="H720" s="8" t="s">
        <v>240</v>
      </c>
      <c r="I720" s="23"/>
      <c r="J720" s="81"/>
      <c r="K720" s="17"/>
    </row>
    <row r="721" spans="1:11" ht="15.75">
      <c r="A721" s="8">
        <v>1</v>
      </c>
      <c r="B721" s="19" t="s">
        <v>636</v>
      </c>
      <c r="C721" s="108"/>
      <c r="D721" s="24"/>
      <c r="E721" s="115">
        <v>3</v>
      </c>
      <c r="F721" s="21">
        <v>20</v>
      </c>
      <c r="G721" s="21">
        <f t="shared" si="39"/>
        <v>17</v>
      </c>
      <c r="H721" s="8" t="s">
        <v>240</v>
      </c>
      <c r="I721" s="23"/>
      <c r="J721" s="81"/>
      <c r="K721" s="17"/>
    </row>
    <row r="722" spans="1:11" ht="15.75">
      <c r="A722" s="8">
        <v>1</v>
      </c>
      <c r="B722" s="19" t="s">
        <v>598</v>
      </c>
      <c r="C722" s="92"/>
      <c r="D722" s="24"/>
      <c r="E722" s="115">
        <v>33</v>
      </c>
      <c r="F722" s="21">
        <v>60</v>
      </c>
      <c r="G722" s="21">
        <f t="shared" si="39"/>
        <v>27</v>
      </c>
      <c r="H722" s="46" t="s">
        <v>240</v>
      </c>
      <c r="I722" s="23"/>
      <c r="J722" s="81"/>
      <c r="K722" s="17"/>
    </row>
    <row r="723" spans="1:11" ht="15.75">
      <c r="A723" s="8">
        <v>1</v>
      </c>
      <c r="B723" s="19" t="s">
        <v>728</v>
      </c>
      <c r="C723" s="108" t="s">
        <v>629</v>
      </c>
      <c r="D723" s="24"/>
      <c r="E723" s="115">
        <v>30</v>
      </c>
      <c r="F723" s="21">
        <v>60</v>
      </c>
      <c r="G723" s="21">
        <f t="shared" si="39"/>
        <v>30</v>
      </c>
      <c r="H723" s="8" t="s">
        <v>42</v>
      </c>
      <c r="I723" s="23"/>
      <c r="J723" s="81"/>
      <c r="K723" s="17"/>
    </row>
    <row r="724" spans="1:11" ht="15.75">
      <c r="A724" s="8">
        <v>1</v>
      </c>
      <c r="B724" s="19" t="s">
        <v>670</v>
      </c>
      <c r="C724" s="108"/>
      <c r="D724" s="135"/>
      <c r="E724" s="115">
        <v>12</v>
      </c>
      <c r="F724" s="21">
        <v>25</v>
      </c>
      <c r="G724" s="21">
        <f t="shared" si="39"/>
        <v>13</v>
      </c>
      <c r="H724" s="8" t="s">
        <v>42</v>
      </c>
      <c r="I724" s="23"/>
      <c r="J724" s="81"/>
      <c r="K724" s="17"/>
    </row>
    <row r="725" spans="1:11" ht="15.75">
      <c r="A725" s="8">
        <v>1</v>
      </c>
      <c r="B725" s="19" t="s">
        <v>764</v>
      </c>
      <c r="C725" s="108"/>
      <c r="D725" s="135" t="s">
        <v>647</v>
      </c>
      <c r="E725" s="115">
        <v>18</v>
      </c>
      <c r="F725" s="21">
        <v>35</v>
      </c>
      <c r="G725" s="21">
        <f t="shared" si="39"/>
        <v>17</v>
      </c>
      <c r="H725" s="8" t="s">
        <v>42</v>
      </c>
      <c r="I725" s="23"/>
      <c r="J725" s="81"/>
      <c r="K725" s="17"/>
    </row>
    <row r="726" spans="1:11" ht="15.75">
      <c r="A726" s="8">
        <v>1</v>
      </c>
      <c r="B726" s="19" t="s">
        <v>670</v>
      </c>
      <c r="C726" s="108"/>
      <c r="D726" s="135"/>
      <c r="E726" s="115">
        <v>10</v>
      </c>
      <c r="F726" s="21">
        <v>25</v>
      </c>
      <c r="G726" s="21">
        <f t="shared" si="39"/>
        <v>15</v>
      </c>
      <c r="H726" s="8" t="s">
        <v>42</v>
      </c>
      <c r="I726" s="23"/>
      <c r="J726" s="81"/>
      <c r="K726" s="17"/>
    </row>
    <row r="727" spans="1:11" ht="15.75">
      <c r="A727" s="8">
        <v>1</v>
      </c>
      <c r="B727" s="47" t="s">
        <v>182</v>
      </c>
      <c r="C727" s="41"/>
      <c r="D727" s="40"/>
      <c r="E727" s="115">
        <v>22</v>
      </c>
      <c r="F727" s="44">
        <v>39</v>
      </c>
      <c r="G727" s="21">
        <f t="shared" si="39"/>
        <v>17</v>
      </c>
      <c r="H727" s="8" t="s">
        <v>42</v>
      </c>
      <c r="I727" s="23"/>
      <c r="J727" s="81"/>
      <c r="K727" s="17"/>
    </row>
    <row r="728" spans="1:11" ht="15.75">
      <c r="A728" s="8">
        <v>1</v>
      </c>
      <c r="B728" s="19" t="s">
        <v>646</v>
      </c>
      <c r="C728" s="108"/>
      <c r="D728" s="24"/>
      <c r="E728" s="115">
        <v>8</v>
      </c>
      <c r="F728" s="21">
        <v>15</v>
      </c>
      <c r="G728" s="21">
        <f t="shared" si="39"/>
        <v>7</v>
      </c>
      <c r="H728" s="8" t="s">
        <v>42</v>
      </c>
      <c r="I728" s="23"/>
      <c r="J728" s="81"/>
      <c r="K728" s="17"/>
    </row>
    <row r="729" spans="1:11" ht="15.75">
      <c r="A729" s="8">
        <v>1</v>
      </c>
      <c r="B729" s="19" t="s">
        <v>645</v>
      </c>
      <c r="C729" s="108"/>
      <c r="D729" s="24"/>
      <c r="E729" s="115">
        <v>25</v>
      </c>
      <c r="F729" s="21">
        <v>60</v>
      </c>
      <c r="G729" s="21">
        <f t="shared" si="39"/>
        <v>35</v>
      </c>
      <c r="H729" s="8" t="s">
        <v>42</v>
      </c>
      <c r="I729" s="23"/>
      <c r="J729" s="81"/>
      <c r="K729" s="17"/>
    </row>
    <row r="730" spans="1:11" ht="15.75">
      <c r="A730" s="8">
        <v>1</v>
      </c>
      <c r="B730" s="19" t="s">
        <v>670</v>
      </c>
      <c r="C730" s="108"/>
      <c r="D730" s="135" t="s">
        <v>650</v>
      </c>
      <c r="E730" s="115">
        <v>10</v>
      </c>
      <c r="F730" s="21">
        <v>25</v>
      </c>
      <c r="G730" s="21">
        <f t="shared" si="39"/>
        <v>15</v>
      </c>
      <c r="H730" s="8" t="s">
        <v>42</v>
      </c>
      <c r="I730" s="23"/>
      <c r="J730" s="81"/>
      <c r="K730" s="17"/>
    </row>
    <row r="731" spans="1:11" ht="15.75">
      <c r="A731" s="8">
        <v>1</v>
      </c>
      <c r="B731" s="19" t="s">
        <v>728</v>
      </c>
      <c r="C731" s="108" t="s">
        <v>630</v>
      </c>
      <c r="D731" s="24" t="s">
        <v>652</v>
      </c>
      <c r="E731" s="115">
        <v>30</v>
      </c>
      <c r="F731" s="21">
        <v>60</v>
      </c>
      <c r="G731" s="21">
        <f t="shared" si="39"/>
        <v>30</v>
      </c>
      <c r="H731" s="8" t="s">
        <v>42</v>
      </c>
      <c r="I731" s="23"/>
      <c r="J731" s="81"/>
      <c r="K731" s="17"/>
    </row>
    <row r="732" spans="1:11" ht="15.75">
      <c r="A732" s="8">
        <v>1</v>
      </c>
      <c r="B732" s="19" t="s">
        <v>728</v>
      </c>
      <c r="C732" s="108" t="s">
        <v>630</v>
      </c>
      <c r="D732" s="24" t="s">
        <v>651</v>
      </c>
      <c r="E732" s="115">
        <v>30</v>
      </c>
      <c r="F732" s="21">
        <v>60</v>
      </c>
      <c r="G732" s="21">
        <f t="shared" si="39"/>
        <v>30</v>
      </c>
      <c r="H732" s="8" t="s">
        <v>42</v>
      </c>
      <c r="I732" s="23"/>
      <c r="J732" s="81"/>
      <c r="K732" s="17"/>
    </row>
    <row r="733" spans="1:11" ht="15.75">
      <c r="A733" s="8">
        <v>1</v>
      </c>
      <c r="B733" s="19" t="s">
        <v>728</v>
      </c>
      <c r="C733" s="108" t="s">
        <v>629</v>
      </c>
      <c r="D733" s="24">
        <v>404</v>
      </c>
      <c r="E733" s="115">
        <v>30</v>
      </c>
      <c r="F733" s="21">
        <v>60</v>
      </c>
      <c r="G733" s="21">
        <f t="shared" si="39"/>
        <v>30</v>
      </c>
      <c r="H733" s="8" t="s">
        <v>42</v>
      </c>
      <c r="I733" s="23"/>
      <c r="J733" s="81"/>
      <c r="K733" s="17"/>
    </row>
    <row r="734" spans="1:11" ht="15.75">
      <c r="A734" s="8">
        <v>1</v>
      </c>
      <c r="B734" s="19" t="s">
        <v>728</v>
      </c>
      <c r="C734" s="108" t="s">
        <v>648</v>
      </c>
      <c r="D734" s="24">
        <v>203</v>
      </c>
      <c r="E734" s="115">
        <v>30</v>
      </c>
      <c r="F734" s="21">
        <v>60</v>
      </c>
      <c r="G734" s="21">
        <f t="shared" si="39"/>
        <v>30</v>
      </c>
      <c r="H734" s="8" t="s">
        <v>42</v>
      </c>
      <c r="I734" s="23"/>
      <c r="J734" s="81"/>
      <c r="K734" s="17"/>
    </row>
    <row r="735" spans="1:11" ht="15.75">
      <c r="A735" s="8">
        <v>1</v>
      </c>
      <c r="B735" s="19" t="s">
        <v>636</v>
      </c>
      <c r="C735" s="108"/>
      <c r="D735" s="24" t="s">
        <v>313</v>
      </c>
      <c r="E735" s="115">
        <v>3</v>
      </c>
      <c r="F735" s="21">
        <v>7</v>
      </c>
      <c r="G735" s="21">
        <f t="shared" si="39"/>
        <v>4</v>
      </c>
      <c r="H735" s="8" t="s">
        <v>240</v>
      </c>
      <c r="I735" s="23"/>
      <c r="J735" s="81"/>
      <c r="K735" s="17"/>
    </row>
    <row r="736" spans="1:11" ht="15.75">
      <c r="A736" s="8">
        <v>1</v>
      </c>
      <c r="B736" s="19" t="s">
        <v>99</v>
      </c>
      <c r="C736" s="108"/>
      <c r="D736" s="24" t="s">
        <v>649</v>
      </c>
      <c r="E736" s="115">
        <v>20</v>
      </c>
      <c r="F736" s="21">
        <v>50</v>
      </c>
      <c r="G736" s="21">
        <f t="shared" si="39"/>
        <v>30</v>
      </c>
      <c r="H736" s="8" t="s">
        <v>42</v>
      </c>
      <c r="I736" s="23"/>
      <c r="J736" s="81"/>
      <c r="K736" s="17"/>
    </row>
    <row r="737" spans="1:11" ht="15.75">
      <c r="A737" s="8">
        <v>1</v>
      </c>
      <c r="B737" s="19" t="s">
        <v>671</v>
      </c>
      <c r="C737" s="108"/>
      <c r="D737" s="24" t="s">
        <v>672</v>
      </c>
      <c r="E737" s="115">
        <v>8</v>
      </c>
      <c r="F737" s="21">
        <v>15</v>
      </c>
      <c r="G737" s="21">
        <f t="shared" si="39"/>
        <v>7</v>
      </c>
      <c r="H737" s="8" t="s">
        <v>240</v>
      </c>
      <c r="I737" s="23"/>
      <c r="J737" s="81"/>
      <c r="K737" s="17"/>
    </row>
    <row r="738" spans="1:11" ht="15.75">
      <c r="A738" s="8">
        <v>1</v>
      </c>
      <c r="B738" s="19" t="s">
        <v>670</v>
      </c>
      <c r="C738" s="108"/>
      <c r="D738" s="135" t="s">
        <v>658</v>
      </c>
      <c r="E738" s="115">
        <v>10</v>
      </c>
      <c r="F738" s="21">
        <v>25</v>
      </c>
      <c r="G738" s="21">
        <f t="shared" si="39"/>
        <v>15</v>
      </c>
      <c r="H738" s="8" t="s">
        <v>42</v>
      </c>
      <c r="I738" s="23"/>
      <c r="J738" s="81"/>
      <c r="K738" s="17"/>
    </row>
    <row r="739" spans="1:11" ht="15.75">
      <c r="A739" s="8">
        <v>1</v>
      </c>
      <c r="B739" s="19" t="s">
        <v>728</v>
      </c>
      <c r="C739" s="108" t="s">
        <v>630</v>
      </c>
      <c r="D739" s="24" t="s">
        <v>659</v>
      </c>
      <c r="E739" s="115">
        <v>30</v>
      </c>
      <c r="F739" s="21">
        <v>60</v>
      </c>
      <c r="G739" s="21">
        <f t="shared" si="39"/>
        <v>30</v>
      </c>
      <c r="H739" s="8" t="s">
        <v>42</v>
      </c>
      <c r="I739" s="23"/>
      <c r="J739" s="81"/>
      <c r="K739" s="17"/>
    </row>
    <row r="740" spans="1:11" ht="15.75">
      <c r="A740" s="8">
        <v>1</v>
      </c>
      <c r="B740" s="19" t="s">
        <v>728</v>
      </c>
      <c r="C740" s="108" t="s">
        <v>648</v>
      </c>
      <c r="D740" s="24" t="s">
        <v>653</v>
      </c>
      <c r="E740" s="115">
        <v>30</v>
      </c>
      <c r="F740" s="21">
        <v>57</v>
      </c>
      <c r="G740" s="21">
        <f t="shared" si="39"/>
        <v>27</v>
      </c>
      <c r="H740" s="8" t="s">
        <v>42</v>
      </c>
      <c r="I740" s="23"/>
      <c r="J740" s="81"/>
      <c r="K740" s="17"/>
    </row>
    <row r="741" spans="1:11" ht="15.75">
      <c r="A741" s="8">
        <v>1</v>
      </c>
      <c r="B741" s="19" t="s">
        <v>728</v>
      </c>
      <c r="C741" s="108" t="s">
        <v>648</v>
      </c>
      <c r="D741" s="24" t="s">
        <v>653</v>
      </c>
      <c r="E741" s="115">
        <v>30</v>
      </c>
      <c r="F741" s="21">
        <v>57</v>
      </c>
      <c r="G741" s="21">
        <f t="shared" si="39"/>
        <v>27</v>
      </c>
      <c r="H741" s="8" t="s">
        <v>42</v>
      </c>
      <c r="I741" s="23"/>
      <c r="J741" s="81"/>
      <c r="K741" s="17"/>
    </row>
    <row r="742" spans="1:11" ht="15.75">
      <c r="A742" s="8">
        <v>1</v>
      </c>
      <c r="B742" s="19" t="s">
        <v>636</v>
      </c>
      <c r="C742" s="108"/>
      <c r="D742" s="24" t="s">
        <v>662</v>
      </c>
      <c r="E742" s="115">
        <v>3</v>
      </c>
      <c r="F742" s="21">
        <v>10</v>
      </c>
      <c r="G742" s="21">
        <f t="shared" si="39"/>
        <v>7</v>
      </c>
      <c r="H742" s="8" t="s">
        <v>42</v>
      </c>
      <c r="I742" s="23"/>
      <c r="J742" s="81"/>
      <c r="K742" s="17"/>
    </row>
    <row r="743" spans="1:11" ht="15.75">
      <c r="A743" s="8">
        <v>1</v>
      </c>
      <c r="B743" s="19" t="s">
        <v>636</v>
      </c>
      <c r="C743" s="108"/>
      <c r="D743" s="24" t="s">
        <v>662</v>
      </c>
      <c r="E743" s="115">
        <v>3</v>
      </c>
      <c r="F743" s="21">
        <v>10</v>
      </c>
      <c r="G743" s="21">
        <f t="shared" si="39"/>
        <v>7</v>
      </c>
      <c r="H743" s="8" t="s">
        <v>42</v>
      </c>
      <c r="I743" s="23"/>
      <c r="J743" s="81"/>
      <c r="K743" s="17"/>
    </row>
    <row r="744" spans="1:11" ht="15.75">
      <c r="A744" s="8">
        <v>1</v>
      </c>
      <c r="B744" s="19" t="s">
        <v>636</v>
      </c>
      <c r="C744" s="108"/>
      <c r="D744" s="24" t="s">
        <v>662</v>
      </c>
      <c r="E744" s="115">
        <v>3</v>
      </c>
      <c r="F744" s="21">
        <v>10</v>
      </c>
      <c r="G744" s="21">
        <f t="shared" si="39"/>
        <v>7</v>
      </c>
      <c r="H744" s="8" t="s">
        <v>42</v>
      </c>
      <c r="I744" s="23"/>
      <c r="J744" s="81"/>
      <c r="K744" s="17"/>
    </row>
    <row r="745" spans="1:11" ht="15.75">
      <c r="A745" s="8">
        <v>1</v>
      </c>
      <c r="B745" s="19" t="s">
        <v>636</v>
      </c>
      <c r="C745" s="108"/>
      <c r="D745" s="24" t="s">
        <v>662</v>
      </c>
      <c r="E745" s="115">
        <v>3</v>
      </c>
      <c r="F745" s="21">
        <v>10</v>
      </c>
      <c r="G745" s="21">
        <f t="shared" si="39"/>
        <v>7</v>
      </c>
      <c r="H745" s="8" t="s">
        <v>42</v>
      </c>
      <c r="I745" s="23"/>
      <c r="J745" s="81"/>
      <c r="K745" s="17"/>
    </row>
    <row r="746" spans="1:11" ht="15.75">
      <c r="A746" s="8">
        <v>1</v>
      </c>
      <c r="B746" s="19" t="s">
        <v>636</v>
      </c>
      <c r="C746" s="108"/>
      <c r="D746" s="24" t="s">
        <v>662</v>
      </c>
      <c r="E746" s="115">
        <v>3</v>
      </c>
      <c r="F746" s="21">
        <v>10</v>
      </c>
      <c r="G746" s="21">
        <f t="shared" si="39"/>
        <v>7</v>
      </c>
      <c r="H746" s="8" t="s">
        <v>42</v>
      </c>
      <c r="I746" s="23"/>
      <c r="J746" s="81"/>
      <c r="K746" s="17"/>
    </row>
    <row r="747" spans="1:11" ht="15.75">
      <c r="A747" s="8">
        <v>1</v>
      </c>
      <c r="B747" s="47" t="s">
        <v>182</v>
      </c>
      <c r="C747" s="41"/>
      <c r="D747" s="40" t="s">
        <v>655</v>
      </c>
      <c r="E747" s="115">
        <v>22</v>
      </c>
      <c r="F747" s="44">
        <v>40</v>
      </c>
      <c r="G747" s="21">
        <f t="shared" si="39"/>
        <v>18</v>
      </c>
      <c r="H747" s="8" t="s">
        <v>42</v>
      </c>
      <c r="I747" s="23"/>
      <c r="J747" s="81"/>
      <c r="K747" s="17"/>
    </row>
    <row r="748" spans="1:11" ht="15.75">
      <c r="A748" s="8">
        <v>1</v>
      </c>
      <c r="B748" s="47" t="s">
        <v>182</v>
      </c>
      <c r="C748" s="41"/>
      <c r="D748" s="40" t="s">
        <v>655</v>
      </c>
      <c r="E748" s="115">
        <v>22</v>
      </c>
      <c r="F748" s="44">
        <v>40</v>
      </c>
      <c r="G748" s="21">
        <f t="shared" ref="G748:G811" si="40">F748-E748</f>
        <v>18</v>
      </c>
      <c r="H748" s="46" t="s">
        <v>42</v>
      </c>
      <c r="I748" s="23"/>
      <c r="J748" s="81"/>
      <c r="K748" s="17"/>
    </row>
    <row r="749" spans="1:11" ht="15.75">
      <c r="A749" s="8">
        <v>1</v>
      </c>
      <c r="B749" s="19" t="s">
        <v>660</v>
      </c>
      <c r="C749" s="108"/>
      <c r="D749" s="24" t="s">
        <v>661</v>
      </c>
      <c r="E749" s="115">
        <v>20</v>
      </c>
      <c r="F749" s="21">
        <v>50</v>
      </c>
      <c r="G749" s="21">
        <f t="shared" si="40"/>
        <v>30</v>
      </c>
      <c r="H749" s="8" t="s">
        <v>42</v>
      </c>
      <c r="I749" s="23"/>
      <c r="J749" s="81"/>
      <c r="K749" s="17"/>
    </row>
    <row r="750" spans="1:11" ht="15.75">
      <c r="A750" s="8">
        <v>1</v>
      </c>
      <c r="B750" s="19" t="s">
        <v>670</v>
      </c>
      <c r="C750" s="108"/>
      <c r="D750" s="135" t="s">
        <v>656</v>
      </c>
      <c r="E750" s="115">
        <v>10</v>
      </c>
      <c r="F750" s="21">
        <v>35</v>
      </c>
      <c r="G750" s="21">
        <f t="shared" si="40"/>
        <v>25</v>
      </c>
      <c r="H750" s="8" t="s">
        <v>42</v>
      </c>
      <c r="I750" s="23"/>
      <c r="J750" s="81"/>
      <c r="K750" s="17"/>
    </row>
    <row r="751" spans="1:11" ht="15.75">
      <c r="A751" s="8">
        <v>1</v>
      </c>
      <c r="B751" s="19" t="s">
        <v>670</v>
      </c>
      <c r="C751" s="108"/>
      <c r="D751" s="135" t="s">
        <v>657</v>
      </c>
      <c r="E751" s="115">
        <v>10</v>
      </c>
      <c r="F751" s="21">
        <v>30</v>
      </c>
      <c r="G751" s="21">
        <f t="shared" si="40"/>
        <v>20</v>
      </c>
      <c r="H751" s="8" t="s">
        <v>42</v>
      </c>
      <c r="I751" s="23"/>
      <c r="J751" s="81"/>
      <c r="K751" s="17"/>
    </row>
    <row r="752" spans="1:11" ht="15.75">
      <c r="A752" s="8">
        <v>1</v>
      </c>
      <c r="B752" s="19" t="s">
        <v>728</v>
      </c>
      <c r="C752" s="108" t="s">
        <v>629</v>
      </c>
      <c r="D752" s="24" t="s">
        <v>664</v>
      </c>
      <c r="E752" s="115">
        <v>30</v>
      </c>
      <c r="F752" s="21">
        <v>60</v>
      </c>
      <c r="G752" s="21">
        <f t="shared" si="40"/>
        <v>30</v>
      </c>
      <c r="H752" s="8" t="s">
        <v>42</v>
      </c>
      <c r="I752" s="23"/>
      <c r="J752" s="81"/>
      <c r="K752" s="17"/>
    </row>
    <row r="753" spans="1:11" ht="15.75">
      <c r="A753" s="8">
        <v>1</v>
      </c>
      <c r="B753" s="19" t="s">
        <v>178</v>
      </c>
      <c r="C753" s="108"/>
      <c r="D753" s="24" t="s">
        <v>665</v>
      </c>
      <c r="E753" s="115">
        <v>35</v>
      </c>
      <c r="F753" s="21">
        <v>75</v>
      </c>
      <c r="G753" s="21">
        <f t="shared" si="40"/>
        <v>40</v>
      </c>
      <c r="H753" s="46" t="s">
        <v>42</v>
      </c>
      <c r="I753" s="23"/>
      <c r="J753" s="81"/>
      <c r="K753" s="17"/>
    </row>
    <row r="754" spans="1:11" ht="15.75">
      <c r="A754" s="8">
        <v>1</v>
      </c>
      <c r="B754" s="47" t="s">
        <v>182</v>
      </c>
      <c r="C754" s="41"/>
      <c r="D754" s="40" t="s">
        <v>666</v>
      </c>
      <c r="E754" s="115">
        <v>22</v>
      </c>
      <c r="F754" s="44">
        <v>40</v>
      </c>
      <c r="G754" s="21">
        <f t="shared" si="40"/>
        <v>18</v>
      </c>
      <c r="H754" s="8" t="s">
        <v>42</v>
      </c>
      <c r="I754" s="23"/>
      <c r="J754" s="81"/>
      <c r="K754" s="17"/>
    </row>
    <row r="755" spans="1:11" ht="15.75">
      <c r="A755" s="8">
        <v>1</v>
      </c>
      <c r="B755" s="19" t="s">
        <v>643</v>
      </c>
      <c r="C755" s="108"/>
      <c r="D755" s="24" t="s">
        <v>672</v>
      </c>
      <c r="E755" s="115">
        <v>14</v>
      </c>
      <c r="F755" s="21">
        <v>30</v>
      </c>
      <c r="G755" s="21">
        <f t="shared" si="40"/>
        <v>16</v>
      </c>
      <c r="H755" s="8" t="s">
        <v>240</v>
      </c>
      <c r="I755" s="23"/>
      <c r="J755" s="81"/>
      <c r="K755" s="17"/>
    </row>
    <row r="756" spans="1:11" ht="15.75">
      <c r="A756" s="8">
        <v>1</v>
      </c>
      <c r="B756" s="19" t="s">
        <v>671</v>
      </c>
      <c r="C756" s="108"/>
      <c r="D756" s="24" t="s">
        <v>673</v>
      </c>
      <c r="E756" s="115">
        <v>8</v>
      </c>
      <c r="F756" s="21">
        <v>15</v>
      </c>
      <c r="G756" s="21">
        <f t="shared" si="40"/>
        <v>7</v>
      </c>
      <c r="H756" s="8" t="s">
        <v>240</v>
      </c>
      <c r="I756" s="23"/>
      <c r="J756" s="81"/>
      <c r="K756" s="17"/>
    </row>
    <row r="757" spans="1:11" ht="15.75">
      <c r="A757" s="8">
        <v>1</v>
      </c>
      <c r="B757" s="19" t="s">
        <v>671</v>
      </c>
      <c r="C757" s="108"/>
      <c r="D757" s="24" t="s">
        <v>673</v>
      </c>
      <c r="E757" s="115">
        <v>8</v>
      </c>
      <c r="F757" s="21">
        <v>15</v>
      </c>
      <c r="G757" s="21">
        <f t="shared" si="40"/>
        <v>7</v>
      </c>
      <c r="H757" s="8" t="s">
        <v>240</v>
      </c>
      <c r="I757" s="23"/>
      <c r="J757" s="81"/>
      <c r="K757" s="17"/>
    </row>
    <row r="758" spans="1:11" ht="15.75">
      <c r="A758" s="8">
        <v>1</v>
      </c>
      <c r="B758" s="19" t="s">
        <v>674</v>
      </c>
      <c r="C758" s="108"/>
      <c r="D758" s="24" t="s">
        <v>677</v>
      </c>
      <c r="E758" s="115">
        <v>7</v>
      </c>
      <c r="F758" s="21">
        <v>15</v>
      </c>
      <c r="G758" s="21">
        <f t="shared" si="40"/>
        <v>8</v>
      </c>
      <c r="H758" s="8" t="s">
        <v>240</v>
      </c>
      <c r="I758" s="23"/>
      <c r="J758" s="81"/>
      <c r="K758" s="17"/>
    </row>
    <row r="759" spans="1:11" ht="15.75">
      <c r="A759" s="8">
        <v>1</v>
      </c>
      <c r="B759" s="19" t="s">
        <v>92</v>
      </c>
      <c r="C759" s="108"/>
      <c r="D759" s="24" t="s">
        <v>679</v>
      </c>
      <c r="E759" s="115">
        <v>45</v>
      </c>
      <c r="F759" s="21">
        <v>80</v>
      </c>
      <c r="G759" s="21">
        <f t="shared" si="40"/>
        <v>35</v>
      </c>
      <c r="H759" s="8" t="s">
        <v>42</v>
      </c>
      <c r="I759" s="23"/>
      <c r="J759" s="81"/>
      <c r="K759" s="17"/>
    </row>
    <row r="760" spans="1:11" ht="15.75">
      <c r="A760" s="8">
        <v>1</v>
      </c>
      <c r="B760" s="19" t="s">
        <v>92</v>
      </c>
      <c r="C760" s="108"/>
      <c r="D760" s="24" t="s">
        <v>678</v>
      </c>
      <c r="E760" s="115">
        <v>45</v>
      </c>
      <c r="F760" s="21">
        <v>80</v>
      </c>
      <c r="G760" s="21">
        <f t="shared" si="40"/>
        <v>35</v>
      </c>
      <c r="H760" s="8" t="s">
        <v>42</v>
      </c>
      <c r="I760" s="23"/>
      <c r="J760" s="81"/>
      <c r="K760" s="17"/>
    </row>
    <row r="761" spans="1:11" ht="15.75">
      <c r="A761" s="8">
        <v>1</v>
      </c>
      <c r="B761" s="19" t="s">
        <v>676</v>
      </c>
      <c r="C761" s="108"/>
      <c r="D761" s="24" t="s">
        <v>677</v>
      </c>
      <c r="E761" s="115">
        <v>18</v>
      </c>
      <c r="F761" s="21">
        <v>30</v>
      </c>
      <c r="G761" s="21">
        <f t="shared" si="40"/>
        <v>12</v>
      </c>
      <c r="H761" s="8" t="s">
        <v>42</v>
      </c>
      <c r="I761" s="23"/>
      <c r="J761" s="81"/>
      <c r="K761" s="17"/>
    </row>
    <row r="762" spans="1:11" ht="15.75">
      <c r="A762" s="8">
        <v>1</v>
      </c>
      <c r="B762" s="19" t="s">
        <v>676</v>
      </c>
      <c r="C762" s="108"/>
      <c r="D762" s="24" t="s">
        <v>677</v>
      </c>
      <c r="E762" s="115">
        <v>18</v>
      </c>
      <c r="F762" s="21">
        <v>30</v>
      </c>
      <c r="G762" s="21">
        <f t="shared" si="40"/>
        <v>12</v>
      </c>
      <c r="H762" s="8" t="s">
        <v>42</v>
      </c>
      <c r="I762" s="23"/>
      <c r="J762" s="81"/>
      <c r="K762" s="17"/>
    </row>
    <row r="763" spans="1:11" ht="15.75">
      <c r="A763" s="8">
        <v>1</v>
      </c>
      <c r="B763" s="19" t="s">
        <v>670</v>
      </c>
      <c r="C763" s="108"/>
      <c r="D763" s="135" t="s">
        <v>681</v>
      </c>
      <c r="E763" s="115">
        <v>10</v>
      </c>
      <c r="F763" s="21">
        <v>25</v>
      </c>
      <c r="G763" s="21">
        <f t="shared" si="40"/>
        <v>15</v>
      </c>
      <c r="H763" s="8" t="s">
        <v>240</v>
      </c>
      <c r="I763" s="23"/>
      <c r="J763" s="81"/>
      <c r="K763" s="17"/>
    </row>
    <row r="764" spans="1:11" ht="15.75">
      <c r="A764" s="8">
        <v>1</v>
      </c>
      <c r="B764" s="19" t="s">
        <v>654</v>
      </c>
      <c r="C764" s="108"/>
      <c r="D764" s="24"/>
      <c r="E764" s="115">
        <v>3.5</v>
      </c>
      <c r="F764" s="21">
        <v>5</v>
      </c>
      <c r="G764" s="21">
        <f t="shared" si="40"/>
        <v>1.5</v>
      </c>
      <c r="H764" s="8" t="s">
        <v>240</v>
      </c>
      <c r="I764" s="23"/>
      <c r="J764" s="81"/>
      <c r="K764" s="17"/>
    </row>
    <row r="765" spans="1:11" ht="15.75">
      <c r="A765" s="8">
        <v>1</v>
      </c>
      <c r="B765" s="19" t="s">
        <v>654</v>
      </c>
      <c r="C765" s="108"/>
      <c r="D765" s="24"/>
      <c r="E765" s="115">
        <v>3.5</v>
      </c>
      <c r="F765" s="21">
        <v>5</v>
      </c>
      <c r="G765" s="21">
        <f t="shared" si="40"/>
        <v>1.5</v>
      </c>
      <c r="H765" s="8" t="s">
        <v>240</v>
      </c>
      <c r="I765" s="23"/>
      <c r="J765" s="81"/>
      <c r="K765" s="17"/>
    </row>
    <row r="766" spans="1:11" ht="15.75">
      <c r="A766" s="8">
        <v>1</v>
      </c>
      <c r="B766" s="19" t="s">
        <v>654</v>
      </c>
      <c r="C766" s="108"/>
      <c r="D766" s="24"/>
      <c r="E766" s="115">
        <v>3.5</v>
      </c>
      <c r="F766" s="21">
        <v>5</v>
      </c>
      <c r="G766" s="21">
        <f t="shared" si="40"/>
        <v>1.5</v>
      </c>
      <c r="H766" s="8" t="s">
        <v>240</v>
      </c>
      <c r="I766" s="23"/>
      <c r="J766" s="81"/>
      <c r="K766" s="17"/>
    </row>
    <row r="767" spans="1:11" ht="15.75">
      <c r="A767" s="8">
        <v>1</v>
      </c>
      <c r="B767" s="19" t="s">
        <v>636</v>
      </c>
      <c r="C767" s="108"/>
      <c r="D767" s="24" t="s">
        <v>682</v>
      </c>
      <c r="E767" s="115">
        <v>3</v>
      </c>
      <c r="F767" s="21">
        <v>10</v>
      </c>
      <c r="G767" s="21">
        <f t="shared" si="40"/>
        <v>7</v>
      </c>
      <c r="H767" s="8" t="s">
        <v>240</v>
      </c>
      <c r="I767" s="23"/>
      <c r="J767" s="81"/>
      <c r="K767" s="17"/>
    </row>
    <row r="768" spans="1:11" ht="15.75">
      <c r="A768" s="8">
        <v>1</v>
      </c>
      <c r="B768" s="19" t="s">
        <v>636</v>
      </c>
      <c r="C768" s="108"/>
      <c r="D768" s="24" t="s">
        <v>682</v>
      </c>
      <c r="E768" s="115">
        <v>3</v>
      </c>
      <c r="F768" s="21">
        <v>10</v>
      </c>
      <c r="G768" s="21">
        <f t="shared" si="40"/>
        <v>7</v>
      </c>
      <c r="H768" s="8" t="s">
        <v>240</v>
      </c>
      <c r="I768" s="23"/>
      <c r="J768" s="81"/>
      <c r="K768" s="17"/>
    </row>
    <row r="769" spans="1:11" ht="15.75">
      <c r="A769" s="8">
        <v>1</v>
      </c>
      <c r="B769" s="19" t="s">
        <v>636</v>
      </c>
      <c r="C769" s="108"/>
      <c r="D769" s="24" t="s">
        <v>682</v>
      </c>
      <c r="E769" s="115">
        <v>3</v>
      </c>
      <c r="F769" s="21">
        <v>10</v>
      </c>
      <c r="G769" s="21">
        <f t="shared" si="40"/>
        <v>7</v>
      </c>
      <c r="H769" s="8" t="s">
        <v>240</v>
      </c>
      <c r="I769" s="23"/>
      <c r="J769" s="81"/>
      <c r="K769" s="17"/>
    </row>
    <row r="770" spans="1:11" ht="15.75">
      <c r="A770" s="8">
        <v>1</v>
      </c>
      <c r="B770" s="19" t="s">
        <v>762</v>
      </c>
      <c r="C770" s="108"/>
      <c r="D770" s="24" t="s">
        <v>682</v>
      </c>
      <c r="E770" s="115">
        <v>70</v>
      </c>
      <c r="F770" s="21">
        <v>120</v>
      </c>
      <c r="G770" s="21">
        <f t="shared" si="40"/>
        <v>50</v>
      </c>
      <c r="H770" s="8" t="s">
        <v>240</v>
      </c>
      <c r="I770" s="23"/>
      <c r="J770" s="81"/>
      <c r="K770" s="17"/>
    </row>
    <row r="771" spans="1:11" ht="15.75">
      <c r="A771" s="8">
        <v>1</v>
      </c>
      <c r="B771" s="19" t="s">
        <v>620</v>
      </c>
      <c r="C771" s="108"/>
      <c r="D771" s="24"/>
      <c r="E771" s="115">
        <v>2.5</v>
      </c>
      <c r="F771" s="21">
        <v>5</v>
      </c>
      <c r="G771" s="21">
        <f t="shared" si="40"/>
        <v>2.5</v>
      </c>
      <c r="H771" s="8" t="s">
        <v>240</v>
      </c>
      <c r="I771" s="23"/>
      <c r="J771" s="81"/>
      <c r="K771" s="17"/>
    </row>
    <row r="772" spans="1:11" ht="15.75">
      <c r="A772" s="8">
        <v>1</v>
      </c>
      <c r="B772" s="19" t="s">
        <v>728</v>
      </c>
      <c r="C772" s="108" t="s">
        <v>648</v>
      </c>
      <c r="D772" s="24" t="s">
        <v>685</v>
      </c>
      <c r="E772" s="115">
        <v>30</v>
      </c>
      <c r="F772" s="21">
        <v>60</v>
      </c>
      <c r="G772" s="21">
        <f t="shared" si="40"/>
        <v>30</v>
      </c>
      <c r="H772" s="8" t="s">
        <v>240</v>
      </c>
      <c r="I772" s="23"/>
      <c r="J772" s="81"/>
      <c r="K772" s="17"/>
    </row>
    <row r="773" spans="1:11" ht="15.75">
      <c r="A773" s="8">
        <v>1</v>
      </c>
      <c r="B773" s="19" t="s">
        <v>669</v>
      </c>
      <c r="C773" s="141" t="s">
        <v>667</v>
      </c>
      <c r="D773" s="24" t="s">
        <v>686</v>
      </c>
      <c r="E773" s="115">
        <v>3.5</v>
      </c>
      <c r="F773" s="21">
        <v>10</v>
      </c>
      <c r="G773" s="21">
        <f t="shared" si="40"/>
        <v>6.5</v>
      </c>
      <c r="H773" s="8" t="s">
        <v>240</v>
      </c>
      <c r="I773" s="23"/>
      <c r="J773" s="81"/>
      <c r="K773" s="17"/>
    </row>
    <row r="774" spans="1:11" ht="15.75">
      <c r="A774" s="8">
        <v>1</v>
      </c>
      <c r="B774" s="19" t="s">
        <v>668</v>
      </c>
      <c r="C774" s="108"/>
      <c r="D774" s="24" t="s">
        <v>684</v>
      </c>
      <c r="E774" s="115">
        <v>3.5</v>
      </c>
      <c r="F774" s="21">
        <v>15</v>
      </c>
      <c r="G774" s="21">
        <f t="shared" si="40"/>
        <v>11.5</v>
      </c>
      <c r="H774" s="8" t="s">
        <v>240</v>
      </c>
      <c r="I774" s="23"/>
      <c r="J774" s="81"/>
      <c r="K774" s="17"/>
    </row>
    <row r="775" spans="1:11" ht="15.75">
      <c r="A775" s="8">
        <v>1</v>
      </c>
      <c r="B775" s="19" t="s">
        <v>668</v>
      </c>
      <c r="C775" s="108"/>
      <c r="D775" s="24" t="s">
        <v>684</v>
      </c>
      <c r="E775" s="115">
        <v>3.5</v>
      </c>
      <c r="F775" s="21">
        <v>15</v>
      </c>
      <c r="G775" s="21">
        <f t="shared" si="40"/>
        <v>11.5</v>
      </c>
      <c r="H775" s="8" t="s">
        <v>240</v>
      </c>
      <c r="I775" s="23"/>
      <c r="J775" s="81"/>
      <c r="K775" s="17"/>
    </row>
    <row r="776" spans="1:11" ht="15.75">
      <c r="A776" s="8">
        <v>1</v>
      </c>
      <c r="B776" s="47" t="s">
        <v>277</v>
      </c>
      <c r="C776" s="92"/>
      <c r="D776" s="24" t="s">
        <v>610</v>
      </c>
      <c r="E776" s="116">
        <v>23</v>
      </c>
      <c r="F776" s="21">
        <v>25</v>
      </c>
      <c r="G776" s="21">
        <f t="shared" si="40"/>
        <v>2</v>
      </c>
      <c r="H776" s="46" t="s">
        <v>240</v>
      </c>
      <c r="I776" s="23"/>
      <c r="J776" s="81"/>
      <c r="K776" s="17"/>
    </row>
    <row r="777" spans="1:11" ht="15.75">
      <c r="A777" s="8">
        <v>1</v>
      </c>
      <c r="B777" s="19" t="s">
        <v>687</v>
      </c>
      <c r="C777" s="108"/>
      <c r="D777" s="24" t="s">
        <v>272</v>
      </c>
      <c r="E777" s="115">
        <v>45</v>
      </c>
      <c r="F777" s="21">
        <v>80</v>
      </c>
      <c r="G777" s="21">
        <f t="shared" si="40"/>
        <v>35</v>
      </c>
      <c r="H777" s="8" t="s">
        <v>42</v>
      </c>
      <c r="I777" s="23"/>
      <c r="J777" s="81"/>
      <c r="K777" s="17"/>
    </row>
    <row r="778" spans="1:11" ht="15.75">
      <c r="A778" s="8">
        <v>1</v>
      </c>
      <c r="B778" s="19" t="s">
        <v>670</v>
      </c>
      <c r="C778" s="108"/>
      <c r="D778" s="135" t="s">
        <v>610</v>
      </c>
      <c r="E778" s="115">
        <v>10</v>
      </c>
      <c r="F778" s="21">
        <v>17</v>
      </c>
      <c r="G778" s="21">
        <f t="shared" si="40"/>
        <v>7</v>
      </c>
      <c r="H778" s="8" t="s">
        <v>240</v>
      </c>
      <c r="I778" s="23"/>
      <c r="J778" s="81"/>
      <c r="K778" s="17"/>
    </row>
    <row r="779" spans="1:11" ht="15.75">
      <c r="A779" s="8">
        <v>1</v>
      </c>
      <c r="B779" s="19" t="s">
        <v>638</v>
      </c>
      <c r="C779" s="108"/>
      <c r="D779" s="24" t="s">
        <v>610</v>
      </c>
      <c r="E779" s="115">
        <v>21</v>
      </c>
      <c r="F779" s="21">
        <v>30</v>
      </c>
      <c r="G779" s="21">
        <f t="shared" si="40"/>
        <v>9</v>
      </c>
      <c r="H779" s="8" t="s">
        <v>240</v>
      </c>
      <c r="I779" s="23"/>
      <c r="J779" s="81"/>
      <c r="K779" s="17"/>
    </row>
    <row r="780" spans="1:11" ht="15.75">
      <c r="A780" s="8">
        <v>1</v>
      </c>
      <c r="B780" s="19" t="s">
        <v>736</v>
      </c>
      <c r="C780" s="108"/>
      <c r="D780" s="24" t="s">
        <v>610</v>
      </c>
      <c r="E780" s="115">
        <v>50</v>
      </c>
      <c r="F780" s="21">
        <v>60</v>
      </c>
      <c r="G780" s="21">
        <f t="shared" si="40"/>
        <v>10</v>
      </c>
      <c r="H780" s="8" t="s">
        <v>240</v>
      </c>
      <c r="I780" s="23"/>
      <c r="J780" s="81"/>
      <c r="K780" s="17"/>
    </row>
    <row r="781" spans="1:11" ht="15.75">
      <c r="A781" s="8">
        <v>1</v>
      </c>
      <c r="B781" s="19" t="s">
        <v>699</v>
      </c>
      <c r="C781" s="108"/>
      <c r="D781" s="24" t="s">
        <v>700</v>
      </c>
      <c r="E781" s="115">
        <v>5</v>
      </c>
      <c r="F781" s="21">
        <v>15</v>
      </c>
      <c r="G781" s="21">
        <f t="shared" si="40"/>
        <v>10</v>
      </c>
      <c r="H781" s="8" t="s">
        <v>240</v>
      </c>
      <c r="I781" s="23"/>
      <c r="J781" s="81"/>
      <c r="K781" s="17"/>
    </row>
    <row r="782" spans="1:11" ht="15.75">
      <c r="A782" s="8">
        <v>1</v>
      </c>
      <c r="B782" s="19" t="s">
        <v>92</v>
      </c>
      <c r="C782" s="108"/>
      <c r="D782" s="24" t="s">
        <v>697</v>
      </c>
      <c r="E782" s="115">
        <v>45</v>
      </c>
      <c r="F782" s="21">
        <v>80</v>
      </c>
      <c r="G782" s="21">
        <f t="shared" si="40"/>
        <v>35</v>
      </c>
      <c r="H782" s="8" t="s">
        <v>240</v>
      </c>
      <c r="I782" s="23"/>
      <c r="J782" s="81"/>
      <c r="K782" s="17"/>
    </row>
    <row r="783" spans="1:11" ht="15.75">
      <c r="A783" s="8">
        <v>1</v>
      </c>
      <c r="B783" s="19" t="s">
        <v>764</v>
      </c>
      <c r="C783" s="108"/>
      <c r="D783" s="24" t="s">
        <v>695</v>
      </c>
      <c r="E783" s="115">
        <v>19</v>
      </c>
      <c r="F783" s="21">
        <v>30</v>
      </c>
      <c r="G783" s="21">
        <f t="shared" si="40"/>
        <v>11</v>
      </c>
      <c r="H783" s="8" t="s">
        <v>42</v>
      </c>
      <c r="I783" s="23"/>
      <c r="J783" s="81"/>
      <c r="K783" s="17"/>
    </row>
    <row r="784" spans="1:11" ht="15.75">
      <c r="A784" s="8">
        <v>1</v>
      </c>
      <c r="B784" s="19" t="s">
        <v>773</v>
      </c>
      <c r="C784" s="108"/>
      <c r="D784" s="24" t="s">
        <v>677</v>
      </c>
      <c r="E784" s="115">
        <v>2.5</v>
      </c>
      <c r="F784" s="21">
        <v>10</v>
      </c>
      <c r="G784" s="21">
        <f t="shared" si="40"/>
        <v>7.5</v>
      </c>
      <c r="H784" s="8" t="s">
        <v>42</v>
      </c>
      <c r="I784" s="23"/>
      <c r="J784" s="81"/>
      <c r="K784" s="17"/>
    </row>
    <row r="785" spans="1:11" ht="15.75">
      <c r="A785" s="8">
        <v>1</v>
      </c>
      <c r="B785" s="19" t="s">
        <v>696</v>
      </c>
      <c r="C785" s="108"/>
      <c r="D785" s="24" t="s">
        <v>677</v>
      </c>
      <c r="E785" s="115">
        <v>18</v>
      </c>
      <c r="F785" s="21">
        <v>30</v>
      </c>
      <c r="G785" s="21">
        <f t="shared" si="40"/>
        <v>12</v>
      </c>
      <c r="H785" s="8" t="s">
        <v>42</v>
      </c>
      <c r="I785" s="23"/>
      <c r="J785" s="81"/>
      <c r="K785" s="17"/>
    </row>
    <row r="786" spans="1:11" ht="15.75">
      <c r="A786" s="8">
        <v>1</v>
      </c>
      <c r="B786" s="19" t="s">
        <v>696</v>
      </c>
      <c r="C786" s="108"/>
      <c r="D786" s="24" t="s">
        <v>677</v>
      </c>
      <c r="E786" s="115">
        <v>18</v>
      </c>
      <c r="F786" s="21">
        <v>30</v>
      </c>
      <c r="G786" s="21">
        <f t="shared" si="40"/>
        <v>12</v>
      </c>
      <c r="H786" s="8" t="s">
        <v>42</v>
      </c>
      <c r="I786" s="23"/>
      <c r="J786" s="81"/>
      <c r="K786" s="17"/>
    </row>
    <row r="787" spans="1:11" ht="15.75">
      <c r="A787" s="8">
        <v>1</v>
      </c>
      <c r="B787" s="19" t="s">
        <v>92</v>
      </c>
      <c r="C787" s="108"/>
      <c r="D787" s="24" t="s">
        <v>701</v>
      </c>
      <c r="E787" s="115">
        <v>45</v>
      </c>
      <c r="F787" s="21">
        <v>70</v>
      </c>
      <c r="G787" s="21">
        <f t="shared" si="40"/>
        <v>25</v>
      </c>
      <c r="H787" s="8" t="s">
        <v>42</v>
      </c>
      <c r="I787" s="23"/>
      <c r="J787" s="81"/>
      <c r="K787" s="17"/>
    </row>
    <row r="788" spans="1:11" ht="15.75">
      <c r="A788" s="8">
        <v>1</v>
      </c>
      <c r="B788" s="19" t="s">
        <v>670</v>
      </c>
      <c r="C788" s="108"/>
      <c r="D788" s="135"/>
      <c r="E788" s="115">
        <v>10</v>
      </c>
      <c r="F788" s="21">
        <v>25</v>
      </c>
      <c r="G788" s="21">
        <f t="shared" si="40"/>
        <v>15</v>
      </c>
      <c r="H788" s="8" t="s">
        <v>240</v>
      </c>
      <c r="I788" s="23"/>
      <c r="J788" s="81"/>
      <c r="K788" s="17"/>
    </row>
    <row r="789" spans="1:11" ht="15.75">
      <c r="A789" s="8">
        <v>1</v>
      </c>
      <c r="B789" s="19" t="s">
        <v>478</v>
      </c>
      <c r="C789" s="92"/>
      <c r="D789" s="24"/>
      <c r="E789" s="117">
        <v>20</v>
      </c>
      <c r="F789" s="44">
        <v>30</v>
      </c>
      <c r="G789" s="21">
        <f t="shared" si="40"/>
        <v>10</v>
      </c>
      <c r="H789" s="8" t="s">
        <v>240</v>
      </c>
      <c r="I789" s="23"/>
      <c r="J789" s="81"/>
      <c r="K789" s="17"/>
    </row>
    <row r="790" spans="1:11" ht="15.75">
      <c r="A790" s="8">
        <v>1</v>
      </c>
      <c r="B790" s="19" t="s">
        <v>92</v>
      </c>
      <c r="C790" s="108"/>
      <c r="D790" s="24" t="s">
        <v>702</v>
      </c>
      <c r="E790" s="115">
        <v>45</v>
      </c>
      <c r="F790" s="21">
        <v>80</v>
      </c>
      <c r="G790" s="21">
        <f t="shared" si="40"/>
        <v>35</v>
      </c>
      <c r="H790" s="8" t="s">
        <v>42</v>
      </c>
      <c r="I790" s="23"/>
      <c r="J790" s="81"/>
      <c r="K790" s="17"/>
    </row>
    <row r="791" spans="1:11" ht="15.75">
      <c r="A791" s="8">
        <v>1</v>
      </c>
      <c r="B791" s="19" t="s">
        <v>696</v>
      </c>
      <c r="C791" s="108"/>
      <c r="D791" s="24" t="s">
        <v>259</v>
      </c>
      <c r="E791" s="115">
        <v>18</v>
      </c>
      <c r="F791" s="21">
        <v>30</v>
      </c>
      <c r="G791" s="21">
        <f t="shared" si="40"/>
        <v>12</v>
      </c>
      <c r="H791" s="8" t="s">
        <v>42</v>
      </c>
      <c r="I791" s="23"/>
      <c r="J791" s="81"/>
      <c r="K791" s="17"/>
    </row>
    <row r="792" spans="1:11" ht="15.75">
      <c r="A792" s="8">
        <v>1</v>
      </c>
      <c r="B792" s="19" t="s">
        <v>696</v>
      </c>
      <c r="C792" s="108"/>
      <c r="D792" s="24" t="s">
        <v>259</v>
      </c>
      <c r="E792" s="115">
        <v>18</v>
      </c>
      <c r="F792" s="21">
        <v>30</v>
      </c>
      <c r="G792" s="21">
        <f t="shared" si="40"/>
        <v>12</v>
      </c>
      <c r="H792" s="8" t="s">
        <v>42</v>
      </c>
      <c r="I792" s="23"/>
      <c r="J792" s="81"/>
      <c r="K792" s="17"/>
    </row>
    <row r="793" spans="1:11" ht="15.75">
      <c r="A793" s="8">
        <v>1</v>
      </c>
      <c r="B793" s="19" t="s">
        <v>703</v>
      </c>
      <c r="C793" s="108"/>
      <c r="D793" s="24" t="s">
        <v>259</v>
      </c>
      <c r="E793" s="115">
        <v>24</v>
      </c>
      <c r="F793" s="21">
        <v>40</v>
      </c>
      <c r="G793" s="21">
        <f t="shared" si="40"/>
        <v>16</v>
      </c>
      <c r="H793" s="8" t="s">
        <v>42</v>
      </c>
      <c r="I793" s="23"/>
      <c r="J793" s="81"/>
      <c r="K793" s="17"/>
    </row>
    <row r="794" spans="1:11" ht="15.75">
      <c r="A794" s="8">
        <v>1</v>
      </c>
      <c r="B794" s="19" t="s">
        <v>704</v>
      </c>
      <c r="C794" s="108"/>
      <c r="D794" s="24" t="s">
        <v>684</v>
      </c>
      <c r="E794" s="115">
        <v>30</v>
      </c>
      <c r="F794" s="21">
        <v>55</v>
      </c>
      <c r="G794" s="21">
        <f t="shared" si="40"/>
        <v>25</v>
      </c>
      <c r="H794" s="8" t="s">
        <v>42</v>
      </c>
      <c r="I794" s="23"/>
      <c r="J794" s="81"/>
      <c r="K794" s="17"/>
    </row>
    <row r="795" spans="1:11" ht="15.75">
      <c r="A795" s="8">
        <v>1</v>
      </c>
      <c r="B795" s="19" t="s">
        <v>535</v>
      </c>
      <c r="C795" s="41"/>
      <c r="D795" s="24" t="s">
        <v>705</v>
      </c>
      <c r="E795" s="115">
        <v>14</v>
      </c>
      <c r="F795" s="21">
        <v>20</v>
      </c>
      <c r="G795" s="21">
        <f t="shared" si="40"/>
        <v>6</v>
      </c>
      <c r="H795" s="46" t="s">
        <v>42</v>
      </c>
      <c r="I795" s="23"/>
      <c r="J795" s="81"/>
      <c r="K795" s="17"/>
    </row>
    <row r="796" spans="1:11" ht="15.75">
      <c r="A796" s="8">
        <v>1</v>
      </c>
      <c r="B796" s="19" t="s">
        <v>670</v>
      </c>
      <c r="C796" s="108"/>
      <c r="D796" s="135" t="s">
        <v>707</v>
      </c>
      <c r="E796" s="115">
        <v>10</v>
      </c>
      <c r="F796" s="21">
        <v>25</v>
      </c>
      <c r="G796" s="21">
        <f t="shared" si="40"/>
        <v>15</v>
      </c>
      <c r="H796" s="8" t="s">
        <v>42</v>
      </c>
      <c r="I796" s="23"/>
      <c r="J796" s="81"/>
      <c r="K796" s="17"/>
    </row>
    <row r="797" spans="1:11" ht="15.75">
      <c r="A797" s="8">
        <v>1</v>
      </c>
      <c r="B797" s="19" t="s">
        <v>693</v>
      </c>
      <c r="C797" s="108"/>
      <c r="D797" s="24" t="s">
        <v>706</v>
      </c>
      <c r="E797" s="115">
        <v>5.5</v>
      </c>
      <c r="F797" s="21">
        <v>10</v>
      </c>
      <c r="G797" s="21">
        <f t="shared" si="40"/>
        <v>4.5</v>
      </c>
      <c r="H797" s="8" t="s">
        <v>240</v>
      </c>
      <c r="I797" s="23"/>
      <c r="J797" s="81"/>
      <c r="K797" s="17"/>
    </row>
    <row r="798" spans="1:11" ht="15.75">
      <c r="A798" s="8">
        <v>1</v>
      </c>
      <c r="B798" s="19" t="s">
        <v>636</v>
      </c>
      <c r="C798" s="108"/>
      <c r="D798" s="24" t="s">
        <v>706</v>
      </c>
      <c r="E798" s="115">
        <v>3</v>
      </c>
      <c r="F798" s="21">
        <v>10</v>
      </c>
      <c r="G798" s="21">
        <f t="shared" si="40"/>
        <v>7</v>
      </c>
      <c r="H798" s="8" t="s">
        <v>240</v>
      </c>
      <c r="I798" s="23"/>
      <c r="J798" s="81"/>
      <c r="K798" s="17"/>
    </row>
    <row r="799" spans="1:11" ht="15.75">
      <c r="A799" s="8">
        <v>1</v>
      </c>
      <c r="B799" s="19" t="s">
        <v>636</v>
      </c>
      <c r="C799" s="108"/>
      <c r="D799" s="24" t="s">
        <v>705</v>
      </c>
      <c r="E799" s="115">
        <v>3</v>
      </c>
      <c r="F799" s="21">
        <v>10</v>
      </c>
      <c r="G799" s="21">
        <f t="shared" si="40"/>
        <v>7</v>
      </c>
      <c r="H799" s="8" t="s">
        <v>240</v>
      </c>
      <c r="I799" s="23"/>
      <c r="J799" s="81"/>
      <c r="K799" s="17"/>
    </row>
    <row r="800" spans="1:11" ht="15.75">
      <c r="A800" s="8">
        <v>1</v>
      </c>
      <c r="B800" s="19" t="s">
        <v>694</v>
      </c>
      <c r="C800" s="108"/>
      <c r="D800" s="24" t="s">
        <v>705</v>
      </c>
      <c r="E800" s="115">
        <v>13</v>
      </c>
      <c r="F800" s="21">
        <v>30</v>
      </c>
      <c r="G800" s="21">
        <f t="shared" si="40"/>
        <v>17</v>
      </c>
      <c r="H800" s="8" t="s">
        <v>240</v>
      </c>
      <c r="I800" s="23"/>
      <c r="J800" s="81"/>
      <c r="K800" s="17"/>
    </row>
    <row r="801" spans="1:11" ht="15.75">
      <c r="A801" s="8">
        <v>1</v>
      </c>
      <c r="B801" s="19" t="s">
        <v>660</v>
      </c>
      <c r="C801" s="108"/>
      <c r="D801" s="24" t="s">
        <v>706</v>
      </c>
      <c r="E801" s="115">
        <v>20</v>
      </c>
      <c r="F801" s="21">
        <v>40</v>
      </c>
      <c r="G801" s="21">
        <f t="shared" si="40"/>
        <v>20</v>
      </c>
      <c r="H801" s="8" t="s">
        <v>240</v>
      </c>
      <c r="I801" s="23"/>
      <c r="J801" s="81"/>
      <c r="K801" s="17"/>
    </row>
    <row r="802" spans="1:11" ht="15.75">
      <c r="A802" s="8">
        <v>1</v>
      </c>
      <c r="B802" s="19" t="s">
        <v>408</v>
      </c>
      <c r="C802" s="41"/>
      <c r="D802" s="24" t="s">
        <v>705</v>
      </c>
      <c r="E802" s="115">
        <v>15</v>
      </c>
      <c r="F802" s="21">
        <v>20</v>
      </c>
      <c r="G802" s="21">
        <f t="shared" si="40"/>
        <v>5</v>
      </c>
      <c r="H802" s="46" t="s">
        <v>240</v>
      </c>
      <c r="I802" s="23"/>
      <c r="J802" s="81"/>
      <c r="K802" s="17"/>
    </row>
    <row r="803" spans="1:11" ht="15.75">
      <c r="A803" s="8">
        <v>1</v>
      </c>
      <c r="B803" s="19" t="s">
        <v>478</v>
      </c>
      <c r="C803" s="92"/>
      <c r="D803" s="24" t="s">
        <v>705</v>
      </c>
      <c r="E803" s="117">
        <v>20</v>
      </c>
      <c r="F803" s="44">
        <v>30</v>
      </c>
      <c r="G803" s="21">
        <f t="shared" si="40"/>
        <v>10</v>
      </c>
      <c r="H803" s="8" t="s">
        <v>240</v>
      </c>
      <c r="I803" s="23"/>
      <c r="J803" s="81"/>
      <c r="K803" s="17"/>
    </row>
    <row r="804" spans="1:11" ht="15.75">
      <c r="A804" s="8">
        <v>1</v>
      </c>
      <c r="B804" s="19" t="s">
        <v>708</v>
      </c>
      <c r="C804" s="108"/>
      <c r="D804" s="135" t="s">
        <v>707</v>
      </c>
      <c r="E804" s="115">
        <v>10</v>
      </c>
      <c r="F804" s="21">
        <v>15</v>
      </c>
      <c r="G804" s="21">
        <f t="shared" si="40"/>
        <v>5</v>
      </c>
      <c r="H804" s="8" t="s">
        <v>42</v>
      </c>
      <c r="I804" s="23"/>
      <c r="J804" s="81"/>
      <c r="K804" s="17"/>
    </row>
    <row r="805" spans="1:11" ht="15.75">
      <c r="A805" s="8">
        <v>1</v>
      </c>
      <c r="B805" s="19" t="s">
        <v>709</v>
      </c>
      <c r="C805" s="108"/>
      <c r="D805" s="24" t="s">
        <v>705</v>
      </c>
      <c r="E805" s="115">
        <v>50</v>
      </c>
      <c r="F805" s="21">
        <v>100</v>
      </c>
      <c r="G805" s="21">
        <f t="shared" si="40"/>
        <v>50</v>
      </c>
      <c r="H805" s="8" t="s">
        <v>42</v>
      </c>
      <c r="I805" s="23"/>
      <c r="J805" s="81"/>
      <c r="K805" s="17"/>
    </row>
    <row r="806" spans="1:11" ht="15.75">
      <c r="A806" s="8">
        <v>1</v>
      </c>
      <c r="B806" s="19" t="s">
        <v>670</v>
      </c>
      <c r="C806" s="108"/>
      <c r="D806" s="135" t="s">
        <v>710</v>
      </c>
      <c r="E806" s="115">
        <v>10</v>
      </c>
      <c r="F806" s="21">
        <v>25</v>
      </c>
      <c r="G806" s="21">
        <f t="shared" si="40"/>
        <v>15</v>
      </c>
      <c r="H806" s="8" t="s">
        <v>42</v>
      </c>
      <c r="I806" s="23"/>
      <c r="J806" s="81"/>
      <c r="K806" s="17"/>
    </row>
    <row r="807" spans="1:11" ht="15.75">
      <c r="A807" s="8">
        <v>1</v>
      </c>
      <c r="B807" s="19" t="s">
        <v>590</v>
      </c>
      <c r="C807" s="19"/>
      <c r="D807" s="19" t="s">
        <v>550</v>
      </c>
      <c r="E807" s="115">
        <v>18</v>
      </c>
      <c r="F807" s="21">
        <v>40</v>
      </c>
      <c r="G807" s="21">
        <f t="shared" si="40"/>
        <v>22</v>
      </c>
      <c r="H807" s="46" t="s">
        <v>240</v>
      </c>
      <c r="I807" s="23"/>
      <c r="J807" s="81"/>
      <c r="K807" s="17"/>
    </row>
    <row r="808" spans="1:11" ht="15.75">
      <c r="A808" s="8">
        <v>1</v>
      </c>
      <c r="B808" s="19" t="s">
        <v>636</v>
      </c>
      <c r="C808" s="108"/>
      <c r="D808" s="24" t="s">
        <v>313</v>
      </c>
      <c r="E808" s="115">
        <v>3</v>
      </c>
      <c r="F808" s="21">
        <v>10</v>
      </c>
      <c r="G808" s="21">
        <f t="shared" si="40"/>
        <v>7</v>
      </c>
      <c r="H808" s="8" t="s">
        <v>42</v>
      </c>
      <c r="I808" s="23"/>
      <c r="J808" s="81"/>
      <c r="K808" s="17"/>
    </row>
    <row r="809" spans="1:11" ht="15.75">
      <c r="A809" s="8">
        <v>1</v>
      </c>
      <c r="B809" s="19" t="s">
        <v>636</v>
      </c>
      <c r="C809" s="108"/>
      <c r="D809" s="24" t="s">
        <v>313</v>
      </c>
      <c r="E809" s="115">
        <v>2.5</v>
      </c>
      <c r="F809" s="21">
        <v>10</v>
      </c>
      <c r="G809" s="21">
        <f t="shared" si="40"/>
        <v>7.5</v>
      </c>
      <c r="H809" s="8" t="s">
        <v>42</v>
      </c>
      <c r="I809" s="23"/>
      <c r="J809" s="81"/>
      <c r="K809" s="17"/>
    </row>
    <row r="810" spans="1:11" ht="15.75">
      <c r="A810" s="8">
        <v>1</v>
      </c>
      <c r="B810" s="19" t="s">
        <v>590</v>
      </c>
      <c r="C810" s="19"/>
      <c r="D810" s="19" t="s">
        <v>550</v>
      </c>
      <c r="E810" s="115">
        <v>18</v>
      </c>
      <c r="F810" s="21">
        <v>40</v>
      </c>
      <c r="G810" s="21">
        <f t="shared" si="40"/>
        <v>22</v>
      </c>
      <c r="H810" s="8" t="s">
        <v>240</v>
      </c>
      <c r="I810" s="23"/>
      <c r="J810" s="81"/>
      <c r="K810" s="17"/>
    </row>
    <row r="811" spans="1:11" ht="15.75">
      <c r="A811" s="8">
        <v>1</v>
      </c>
      <c r="B811" s="19" t="s">
        <v>712</v>
      </c>
      <c r="C811" s="108"/>
      <c r="D811" s="24" t="s">
        <v>713</v>
      </c>
      <c r="E811" s="115">
        <v>13</v>
      </c>
      <c r="F811" s="21">
        <v>25</v>
      </c>
      <c r="G811" s="21">
        <f t="shared" si="40"/>
        <v>12</v>
      </c>
      <c r="H811" s="8" t="s">
        <v>42</v>
      </c>
      <c r="I811" s="23"/>
      <c r="J811" s="81"/>
      <c r="K811" s="17"/>
    </row>
    <row r="812" spans="1:11" ht="15.75">
      <c r="A812" s="8">
        <v>1</v>
      </c>
      <c r="B812" s="19" t="s">
        <v>669</v>
      </c>
      <c r="C812" s="108"/>
      <c r="D812" s="24" t="s">
        <v>711</v>
      </c>
      <c r="E812" s="115">
        <v>3.5</v>
      </c>
      <c r="F812" s="21">
        <v>9.8000000000000007</v>
      </c>
      <c r="G812" s="21">
        <f t="shared" ref="G812:G852" si="41">F812-E812</f>
        <v>6.3000000000000007</v>
      </c>
      <c r="H812" s="8" t="s">
        <v>42</v>
      </c>
      <c r="I812" s="23"/>
      <c r="J812" s="81"/>
      <c r="K812" s="17"/>
    </row>
    <row r="813" spans="1:11" ht="15.75">
      <c r="A813" s="8">
        <v>1</v>
      </c>
      <c r="B813" s="19" t="s">
        <v>670</v>
      </c>
      <c r="C813" s="108"/>
      <c r="D813" s="24"/>
      <c r="E813" s="115">
        <v>12</v>
      </c>
      <c r="F813" s="21">
        <v>25</v>
      </c>
      <c r="G813" s="21">
        <f t="shared" si="41"/>
        <v>13</v>
      </c>
      <c r="H813" s="8" t="s">
        <v>42</v>
      </c>
      <c r="I813" s="23"/>
      <c r="J813" s="81"/>
      <c r="K813" s="17"/>
    </row>
    <row r="814" spans="1:11" ht="15.75">
      <c r="A814" s="8">
        <v>1</v>
      </c>
      <c r="B814" s="19" t="s">
        <v>589</v>
      </c>
      <c r="C814" s="23" t="s">
        <v>663</v>
      </c>
      <c r="D814" s="24"/>
      <c r="E814" s="116">
        <v>6</v>
      </c>
      <c r="F814" s="21">
        <v>20</v>
      </c>
      <c r="G814" s="21">
        <f t="shared" si="41"/>
        <v>14</v>
      </c>
      <c r="H814" s="46" t="s">
        <v>42</v>
      </c>
      <c r="I814" s="23"/>
      <c r="J814" s="81"/>
      <c r="K814" s="17"/>
    </row>
    <row r="815" spans="1:11" ht="15.75">
      <c r="A815" s="8">
        <v>1</v>
      </c>
      <c r="B815" s="19" t="s">
        <v>728</v>
      </c>
      <c r="C815" s="108" t="s">
        <v>629</v>
      </c>
      <c r="D815" s="24" t="s">
        <v>718</v>
      </c>
      <c r="E815" s="115">
        <v>30</v>
      </c>
      <c r="F815" s="21">
        <v>70</v>
      </c>
      <c r="G815" s="21">
        <f t="shared" si="41"/>
        <v>40</v>
      </c>
      <c r="H815" s="8" t="s">
        <v>42</v>
      </c>
      <c r="I815" s="23"/>
      <c r="J815" s="81"/>
      <c r="K815" s="17"/>
    </row>
    <row r="816" spans="1:11" ht="15.75">
      <c r="A816" s="8">
        <v>1</v>
      </c>
      <c r="B816" s="19" t="s">
        <v>728</v>
      </c>
      <c r="C816" s="108" t="s">
        <v>648</v>
      </c>
      <c r="D816" s="24" t="s">
        <v>715</v>
      </c>
      <c r="E816" s="115">
        <v>30</v>
      </c>
      <c r="F816" s="21">
        <v>58.5</v>
      </c>
      <c r="G816" s="21">
        <f t="shared" si="41"/>
        <v>28.5</v>
      </c>
      <c r="H816" s="8" t="s">
        <v>42</v>
      </c>
      <c r="I816" s="23"/>
      <c r="J816" s="81"/>
      <c r="K816" s="17"/>
    </row>
    <row r="817" spans="1:11" ht="15.75">
      <c r="A817" s="8">
        <v>1</v>
      </c>
      <c r="B817" s="19" t="s">
        <v>728</v>
      </c>
      <c r="C817" s="108" t="s">
        <v>629</v>
      </c>
      <c r="D817" s="24" t="s">
        <v>716</v>
      </c>
      <c r="E817" s="115">
        <v>30</v>
      </c>
      <c r="F817" s="21">
        <v>60</v>
      </c>
      <c r="G817" s="21">
        <f t="shared" si="41"/>
        <v>30</v>
      </c>
      <c r="H817" s="8" t="s">
        <v>42</v>
      </c>
      <c r="I817" s="23"/>
      <c r="J817" s="81"/>
      <c r="K817" s="17"/>
    </row>
    <row r="818" spans="1:11" ht="15.75">
      <c r="A818" s="8">
        <v>1</v>
      </c>
      <c r="B818" s="19" t="s">
        <v>692</v>
      </c>
      <c r="C818" s="108"/>
      <c r="D818" s="24" t="s">
        <v>717</v>
      </c>
      <c r="E818" s="115">
        <v>12.5</v>
      </c>
      <c r="F818" s="21">
        <v>35</v>
      </c>
      <c r="G818" s="21">
        <f t="shared" si="41"/>
        <v>22.5</v>
      </c>
      <c r="H818" s="8" t="s">
        <v>42</v>
      </c>
      <c r="I818" s="23"/>
      <c r="J818" s="81"/>
      <c r="K818" s="17"/>
    </row>
    <row r="819" spans="1:11" ht="15.75">
      <c r="A819" s="8">
        <v>1</v>
      </c>
      <c r="B819" s="19" t="s">
        <v>670</v>
      </c>
      <c r="C819" s="108"/>
      <c r="D819" s="24" t="s">
        <v>722</v>
      </c>
      <c r="E819" s="115">
        <v>12</v>
      </c>
      <c r="F819" s="21">
        <v>32</v>
      </c>
      <c r="G819" s="21">
        <f t="shared" si="41"/>
        <v>20</v>
      </c>
      <c r="H819" s="8" t="s">
        <v>42</v>
      </c>
      <c r="I819" s="23"/>
      <c r="J819" s="81"/>
      <c r="K819" s="17"/>
    </row>
    <row r="820" spans="1:11" ht="15.75">
      <c r="A820" s="8">
        <v>1</v>
      </c>
      <c r="B820" s="19" t="s">
        <v>728</v>
      </c>
      <c r="C820" s="108" t="s">
        <v>630</v>
      </c>
      <c r="D820" s="24" t="s">
        <v>723</v>
      </c>
      <c r="E820" s="115">
        <v>30</v>
      </c>
      <c r="F820" s="21">
        <v>60</v>
      </c>
      <c r="G820" s="21">
        <f t="shared" si="41"/>
        <v>30</v>
      </c>
      <c r="H820" s="8" t="s">
        <v>42</v>
      </c>
      <c r="I820" s="23"/>
      <c r="J820" s="81"/>
      <c r="K820" s="17"/>
    </row>
    <row r="821" spans="1:11" ht="15.75">
      <c r="A821" s="8">
        <v>1</v>
      </c>
      <c r="B821" s="19" t="s">
        <v>721</v>
      </c>
      <c r="C821" s="108" t="s">
        <v>648</v>
      </c>
      <c r="D821" s="24"/>
      <c r="E821" s="115">
        <v>35</v>
      </c>
      <c r="F821" s="114">
        <v>60</v>
      </c>
      <c r="G821" s="21">
        <f t="shared" si="41"/>
        <v>25</v>
      </c>
      <c r="H821" s="8" t="s">
        <v>42</v>
      </c>
      <c r="I821" s="23"/>
      <c r="J821" s="81"/>
      <c r="K821" s="17"/>
    </row>
    <row r="822" spans="1:11" ht="15.75">
      <c r="A822" s="8">
        <v>1</v>
      </c>
      <c r="B822" s="19" t="s">
        <v>560</v>
      </c>
      <c r="C822" s="23" t="s">
        <v>550</v>
      </c>
      <c r="D822" s="24" t="s">
        <v>724</v>
      </c>
      <c r="E822" s="116">
        <v>47</v>
      </c>
      <c r="F822" s="114">
        <v>80</v>
      </c>
      <c r="G822" s="21">
        <f t="shared" si="41"/>
        <v>33</v>
      </c>
      <c r="H822" s="8" t="s">
        <v>42</v>
      </c>
      <c r="I822" s="23"/>
      <c r="J822" s="81"/>
      <c r="K822" s="17"/>
    </row>
    <row r="823" spans="1:11" ht="15.75">
      <c r="A823" s="8">
        <v>1</v>
      </c>
      <c r="B823" s="19" t="s">
        <v>92</v>
      </c>
      <c r="C823" s="108"/>
      <c r="D823" s="24">
        <v>320</v>
      </c>
      <c r="E823" s="115">
        <v>45</v>
      </c>
      <c r="F823" s="21">
        <v>80</v>
      </c>
      <c r="G823" s="21">
        <f t="shared" si="41"/>
        <v>35</v>
      </c>
      <c r="H823" s="8" t="s">
        <v>42</v>
      </c>
      <c r="I823" s="23"/>
      <c r="J823" s="81"/>
      <c r="K823" s="17"/>
    </row>
    <row r="824" spans="1:11" ht="15.75">
      <c r="A824" s="8">
        <v>1</v>
      </c>
      <c r="B824" s="19" t="s">
        <v>720</v>
      </c>
      <c r="C824" s="108"/>
      <c r="D824" s="24" t="s">
        <v>677</v>
      </c>
      <c r="E824" s="115">
        <v>2.4</v>
      </c>
      <c r="F824" s="21">
        <v>5</v>
      </c>
      <c r="G824" s="21">
        <f t="shared" si="41"/>
        <v>2.6</v>
      </c>
      <c r="H824" s="8" t="s">
        <v>42</v>
      </c>
      <c r="I824" s="23"/>
      <c r="J824" s="81"/>
      <c r="K824" s="17"/>
    </row>
    <row r="825" spans="1:11" ht="15.75">
      <c r="A825" s="8">
        <v>1</v>
      </c>
      <c r="B825" s="19" t="s">
        <v>728</v>
      </c>
      <c r="C825" s="108" t="s">
        <v>648</v>
      </c>
      <c r="D825" s="24" t="s">
        <v>727</v>
      </c>
      <c r="E825" s="115">
        <v>30</v>
      </c>
      <c r="F825" s="21">
        <v>60</v>
      </c>
      <c r="G825" s="21">
        <f t="shared" si="41"/>
        <v>30</v>
      </c>
      <c r="H825" s="8" t="s">
        <v>42</v>
      </c>
      <c r="I825" s="23"/>
      <c r="J825" s="81"/>
      <c r="K825" s="17"/>
    </row>
    <row r="826" spans="1:11" ht="15.75">
      <c r="A826" s="8">
        <v>1</v>
      </c>
      <c r="B826" s="19" t="s">
        <v>719</v>
      </c>
      <c r="C826" s="108"/>
      <c r="D826" s="24" t="s">
        <v>677</v>
      </c>
      <c r="E826" s="115">
        <v>4.5</v>
      </c>
      <c r="F826" s="21">
        <v>10</v>
      </c>
      <c r="G826" s="21">
        <f t="shared" si="41"/>
        <v>5.5</v>
      </c>
      <c r="H826" s="8" t="s">
        <v>42</v>
      </c>
      <c r="I826" s="23"/>
      <c r="J826" s="81"/>
      <c r="K826" s="17"/>
    </row>
    <row r="827" spans="1:11" ht="15.75">
      <c r="A827" s="8">
        <v>1</v>
      </c>
      <c r="B827" s="19" t="s">
        <v>636</v>
      </c>
      <c r="C827" s="108"/>
      <c r="D827" s="24" t="s">
        <v>731</v>
      </c>
      <c r="E827" s="115">
        <v>2.5</v>
      </c>
      <c r="F827" s="21">
        <v>10</v>
      </c>
      <c r="G827" s="21">
        <f t="shared" si="41"/>
        <v>7.5</v>
      </c>
      <c r="H827" s="8" t="s">
        <v>42</v>
      </c>
      <c r="I827" s="23"/>
      <c r="J827" s="81"/>
      <c r="K827" s="17"/>
    </row>
    <row r="828" spans="1:11" ht="15.75">
      <c r="A828" s="8">
        <v>1</v>
      </c>
      <c r="B828" s="19" t="s">
        <v>636</v>
      </c>
      <c r="C828" s="108"/>
      <c r="D828" s="24" t="s">
        <v>732</v>
      </c>
      <c r="E828" s="115">
        <v>2.5</v>
      </c>
      <c r="F828" s="21">
        <v>10</v>
      </c>
      <c r="G828" s="21">
        <f t="shared" si="41"/>
        <v>7.5</v>
      </c>
      <c r="H828" s="8" t="s">
        <v>42</v>
      </c>
      <c r="I828" s="23"/>
      <c r="J828" s="81"/>
      <c r="K828" s="17"/>
    </row>
    <row r="829" spans="1:11" ht="15.75">
      <c r="A829" s="8">
        <v>1</v>
      </c>
      <c r="B829" s="19" t="s">
        <v>636</v>
      </c>
      <c r="C829" s="108"/>
      <c r="D829" s="24" t="s">
        <v>732</v>
      </c>
      <c r="E829" s="115">
        <v>2.5</v>
      </c>
      <c r="F829" s="21">
        <v>10</v>
      </c>
      <c r="G829" s="21">
        <f t="shared" si="41"/>
        <v>7.5</v>
      </c>
      <c r="H829" s="8" t="s">
        <v>42</v>
      </c>
      <c r="I829" s="23"/>
      <c r="J829" s="81"/>
      <c r="K829" s="17"/>
    </row>
    <row r="830" spans="1:11" ht="15.75">
      <c r="A830" s="8">
        <v>1</v>
      </c>
      <c r="B830" s="19" t="s">
        <v>712</v>
      </c>
      <c r="C830" s="108"/>
      <c r="D830" s="24" t="s">
        <v>711</v>
      </c>
      <c r="E830" s="115">
        <v>13</v>
      </c>
      <c r="F830" s="21">
        <v>25</v>
      </c>
      <c r="G830" s="21">
        <f t="shared" si="41"/>
        <v>12</v>
      </c>
      <c r="H830" s="8" t="s">
        <v>42</v>
      </c>
      <c r="I830" s="23"/>
      <c r="J830" s="81"/>
      <c r="K830" s="17"/>
    </row>
    <row r="831" spans="1:11" ht="15.75">
      <c r="A831" s="8">
        <v>1</v>
      </c>
      <c r="B831" s="19" t="s">
        <v>712</v>
      </c>
      <c r="C831" s="108"/>
      <c r="D831" s="24" t="s">
        <v>729</v>
      </c>
      <c r="E831" s="115">
        <v>13</v>
      </c>
      <c r="F831" s="21">
        <v>35</v>
      </c>
      <c r="G831" s="21">
        <f t="shared" si="41"/>
        <v>22</v>
      </c>
      <c r="H831" s="8" t="s">
        <v>240</v>
      </c>
      <c r="I831" s="23"/>
      <c r="J831" s="81"/>
      <c r="K831" s="17"/>
    </row>
    <row r="832" spans="1:11" ht="15.75">
      <c r="A832" s="8">
        <v>1</v>
      </c>
      <c r="B832" s="19" t="s">
        <v>355</v>
      </c>
      <c r="C832" s="108"/>
      <c r="D832" s="24" t="s">
        <v>730</v>
      </c>
      <c r="E832" s="115">
        <v>16</v>
      </c>
      <c r="F832" s="21">
        <v>40</v>
      </c>
      <c r="G832" s="21">
        <f t="shared" si="41"/>
        <v>24</v>
      </c>
      <c r="H832" s="8" t="s">
        <v>240</v>
      </c>
      <c r="I832" s="23"/>
      <c r="J832" s="81"/>
      <c r="K832" s="17"/>
    </row>
    <row r="833" spans="1:11" ht="15.75">
      <c r="A833" s="8">
        <v>1</v>
      </c>
      <c r="B833" s="19" t="s">
        <v>714</v>
      </c>
      <c r="C833" s="108" t="s">
        <v>631</v>
      </c>
      <c r="D833" s="24" t="s">
        <v>726</v>
      </c>
      <c r="E833" s="115">
        <v>1.8</v>
      </c>
      <c r="F833" s="21">
        <v>10</v>
      </c>
      <c r="G833" s="21">
        <f t="shared" si="41"/>
        <v>8.1999999999999993</v>
      </c>
      <c r="H833" s="8" t="s">
        <v>42</v>
      </c>
      <c r="I833" s="23"/>
      <c r="J833" s="81"/>
      <c r="K833" s="17"/>
    </row>
    <row r="834" spans="1:11" ht="15.75">
      <c r="A834" s="8">
        <v>1</v>
      </c>
      <c r="B834" s="19" t="s">
        <v>714</v>
      </c>
      <c r="C834" s="108" t="s">
        <v>631</v>
      </c>
      <c r="D834" s="24" t="s">
        <v>726</v>
      </c>
      <c r="E834" s="115">
        <v>1.8</v>
      </c>
      <c r="F834" s="21">
        <v>10</v>
      </c>
      <c r="G834" s="21">
        <f t="shared" si="41"/>
        <v>8.1999999999999993</v>
      </c>
      <c r="H834" s="8" t="s">
        <v>42</v>
      </c>
      <c r="I834" s="23"/>
      <c r="J834" s="81"/>
      <c r="K834" s="17"/>
    </row>
    <row r="835" spans="1:11" ht="15.75">
      <c r="A835" s="8">
        <v>1</v>
      </c>
      <c r="B835" s="19" t="s">
        <v>714</v>
      </c>
      <c r="C835" s="108" t="s">
        <v>631</v>
      </c>
      <c r="D835" s="24" t="s">
        <v>726</v>
      </c>
      <c r="E835" s="115">
        <v>1.8</v>
      </c>
      <c r="F835" s="21">
        <v>10</v>
      </c>
      <c r="G835" s="21">
        <f t="shared" si="41"/>
        <v>8.1999999999999993</v>
      </c>
      <c r="H835" s="8" t="s">
        <v>42</v>
      </c>
      <c r="I835" s="23"/>
      <c r="J835" s="81"/>
      <c r="K835" s="17"/>
    </row>
    <row r="836" spans="1:11" ht="15.75">
      <c r="A836" s="8">
        <v>1</v>
      </c>
      <c r="B836" s="19" t="s">
        <v>714</v>
      </c>
      <c r="C836" s="108" t="s">
        <v>631</v>
      </c>
      <c r="D836" s="24" t="s">
        <v>726</v>
      </c>
      <c r="E836" s="115">
        <v>1.8</v>
      </c>
      <c r="F836" s="21">
        <v>10</v>
      </c>
      <c r="G836" s="21">
        <f t="shared" si="41"/>
        <v>8.1999999999999993</v>
      </c>
      <c r="H836" s="8" t="s">
        <v>42</v>
      </c>
      <c r="I836" s="23"/>
      <c r="J836" s="81"/>
      <c r="K836" s="17"/>
    </row>
    <row r="837" spans="1:11" ht="15.75">
      <c r="A837" s="8">
        <v>1</v>
      </c>
      <c r="B837" s="19" t="s">
        <v>99</v>
      </c>
      <c r="C837" s="108"/>
      <c r="D837" s="24" t="s">
        <v>725</v>
      </c>
      <c r="E837" s="115">
        <v>20</v>
      </c>
      <c r="F837" s="21">
        <v>50</v>
      </c>
      <c r="G837" s="21">
        <f t="shared" si="41"/>
        <v>30</v>
      </c>
      <c r="H837" s="8" t="s">
        <v>42</v>
      </c>
      <c r="I837" s="23"/>
      <c r="J837" s="81"/>
      <c r="K837" s="17"/>
    </row>
    <row r="838" spans="1:11" ht="15.75">
      <c r="A838" s="8">
        <v>1</v>
      </c>
      <c r="B838" s="19" t="s">
        <v>720</v>
      </c>
      <c r="C838" s="108"/>
      <c r="D838" s="24" t="s">
        <v>677</v>
      </c>
      <c r="E838" s="115">
        <v>2.4</v>
      </c>
      <c r="F838" s="21">
        <v>5</v>
      </c>
      <c r="G838" s="21">
        <f t="shared" si="41"/>
        <v>2.6</v>
      </c>
      <c r="H838" s="8" t="s">
        <v>42</v>
      </c>
      <c r="I838" s="23"/>
      <c r="J838" s="81"/>
      <c r="K838" s="17"/>
    </row>
    <row r="839" spans="1:11" ht="15.75">
      <c r="A839" s="8">
        <v>1</v>
      </c>
      <c r="B839" s="19" t="s">
        <v>720</v>
      </c>
      <c r="C839" s="108"/>
      <c r="D839" s="24" t="s">
        <v>644</v>
      </c>
      <c r="E839" s="115">
        <v>2.4</v>
      </c>
      <c r="F839" s="21">
        <v>5</v>
      </c>
      <c r="G839" s="21">
        <f t="shared" si="41"/>
        <v>2.6</v>
      </c>
      <c r="H839" s="8" t="s">
        <v>42</v>
      </c>
      <c r="I839" s="23"/>
      <c r="J839" s="81"/>
      <c r="K839" s="17"/>
    </row>
    <row r="840" spans="1:11" ht="15.75">
      <c r="A840" s="8">
        <v>1</v>
      </c>
      <c r="B840" s="19" t="s">
        <v>696</v>
      </c>
      <c r="C840" s="108"/>
      <c r="D840" s="24" t="s">
        <v>677</v>
      </c>
      <c r="E840" s="115">
        <v>18</v>
      </c>
      <c r="F840" s="21">
        <v>30</v>
      </c>
      <c r="G840" s="21">
        <f t="shared" si="41"/>
        <v>12</v>
      </c>
      <c r="H840" s="8" t="s">
        <v>42</v>
      </c>
      <c r="I840" s="130"/>
      <c r="J840" s="130"/>
      <c r="K840" s="130"/>
    </row>
    <row r="841" spans="1:11" ht="15.75">
      <c r="A841" s="8">
        <v>1</v>
      </c>
      <c r="B841" s="19" t="s">
        <v>728</v>
      </c>
      <c r="C841" s="108" t="s">
        <v>733</v>
      </c>
      <c r="D841" s="24" t="s">
        <v>734</v>
      </c>
      <c r="E841" s="115">
        <v>30</v>
      </c>
      <c r="F841" s="21">
        <v>60</v>
      </c>
      <c r="G841" s="21">
        <f t="shared" si="41"/>
        <v>30</v>
      </c>
      <c r="H841" s="8" t="s">
        <v>42</v>
      </c>
      <c r="I841" s="23"/>
      <c r="J841" s="81"/>
      <c r="K841" s="17"/>
    </row>
    <row r="842" spans="1:11" ht="15.75">
      <c r="A842" s="8">
        <v>1</v>
      </c>
      <c r="B842" s="19" t="s">
        <v>99</v>
      </c>
      <c r="C842" s="108"/>
      <c r="D842" s="24"/>
      <c r="E842" s="115">
        <v>17</v>
      </c>
      <c r="F842" s="21">
        <v>60</v>
      </c>
      <c r="G842" s="21">
        <f t="shared" si="41"/>
        <v>43</v>
      </c>
      <c r="H842" s="8" t="s">
        <v>240</v>
      </c>
      <c r="I842" s="23"/>
      <c r="J842" s="81"/>
      <c r="K842" s="17"/>
    </row>
    <row r="843" spans="1:11" ht="15.75">
      <c r="A843" s="8">
        <v>1</v>
      </c>
      <c r="B843" s="19" t="s">
        <v>92</v>
      </c>
      <c r="C843" s="108"/>
      <c r="D843" s="24" t="s">
        <v>735</v>
      </c>
      <c r="E843" s="115">
        <v>30</v>
      </c>
      <c r="F843" s="21">
        <v>70</v>
      </c>
      <c r="G843" s="21">
        <f t="shared" si="41"/>
        <v>40</v>
      </c>
      <c r="H843" s="8" t="s">
        <v>42</v>
      </c>
      <c r="I843" s="23"/>
      <c r="J843" s="81"/>
      <c r="K843" s="17"/>
    </row>
    <row r="844" spans="1:11" ht="15.75">
      <c r="A844" s="8">
        <v>1</v>
      </c>
      <c r="B844" s="19" t="s">
        <v>670</v>
      </c>
      <c r="C844" s="108"/>
      <c r="D844" s="24" t="s">
        <v>740</v>
      </c>
      <c r="E844" s="115">
        <v>12</v>
      </c>
      <c r="F844" s="21">
        <v>25</v>
      </c>
      <c r="G844" s="21">
        <f t="shared" si="41"/>
        <v>13</v>
      </c>
      <c r="H844" s="8" t="s">
        <v>240</v>
      </c>
      <c r="I844" s="23"/>
      <c r="J844" s="81"/>
      <c r="K844" s="17"/>
    </row>
    <row r="845" spans="1:11" ht="15.75">
      <c r="A845" s="8">
        <v>1</v>
      </c>
      <c r="B845" s="19" t="s">
        <v>670</v>
      </c>
      <c r="C845" s="108"/>
      <c r="D845" s="24" t="s">
        <v>740</v>
      </c>
      <c r="E845" s="115">
        <v>12</v>
      </c>
      <c r="F845" s="21">
        <v>25</v>
      </c>
      <c r="G845" s="21">
        <f t="shared" si="41"/>
        <v>13</v>
      </c>
      <c r="H845" s="8" t="s">
        <v>240</v>
      </c>
      <c r="I845" s="23"/>
      <c r="J845" s="81"/>
      <c r="K845" s="17"/>
    </row>
    <row r="846" spans="1:11" ht="15.75">
      <c r="A846" s="8">
        <v>1</v>
      </c>
      <c r="B846" s="19" t="s">
        <v>721</v>
      </c>
      <c r="C846" s="108" t="s">
        <v>733</v>
      </c>
      <c r="D846" s="24" t="s">
        <v>741</v>
      </c>
      <c r="E846" s="115">
        <v>35</v>
      </c>
      <c r="F846" s="21">
        <v>60</v>
      </c>
      <c r="G846" s="21">
        <f t="shared" si="41"/>
        <v>25</v>
      </c>
      <c r="H846" s="8" t="s">
        <v>240</v>
      </c>
      <c r="I846" s="23"/>
      <c r="J846" s="81"/>
      <c r="K846" s="17"/>
    </row>
    <row r="847" spans="1:11" ht="15.75">
      <c r="A847" s="8">
        <v>1</v>
      </c>
      <c r="B847" s="19" t="s">
        <v>92</v>
      </c>
      <c r="C847" s="108"/>
      <c r="D847" s="24" t="s">
        <v>743</v>
      </c>
      <c r="E847" s="115">
        <v>30</v>
      </c>
      <c r="F847" s="21">
        <v>90</v>
      </c>
      <c r="G847" s="21">
        <f t="shared" si="41"/>
        <v>60</v>
      </c>
      <c r="H847" s="8" t="s">
        <v>240</v>
      </c>
      <c r="I847" s="23"/>
      <c r="J847" s="81"/>
      <c r="K847" s="17"/>
    </row>
    <row r="848" spans="1:11" ht="15.75">
      <c r="A848" s="8">
        <v>1</v>
      </c>
      <c r="B848" s="19" t="s">
        <v>670</v>
      </c>
      <c r="C848" s="108"/>
      <c r="D848" s="24" t="s">
        <v>742</v>
      </c>
      <c r="E848" s="115">
        <v>12</v>
      </c>
      <c r="F848" s="21">
        <v>25</v>
      </c>
      <c r="G848" s="21">
        <f t="shared" si="41"/>
        <v>13</v>
      </c>
      <c r="H848" s="8" t="s">
        <v>240</v>
      </c>
      <c r="I848" s="23"/>
      <c r="J848" s="81"/>
      <c r="K848" s="17"/>
    </row>
    <row r="849" spans="1:13" ht="15.75">
      <c r="A849" s="8">
        <v>1</v>
      </c>
      <c r="B849" s="19" t="s">
        <v>750</v>
      </c>
      <c r="C849" s="108"/>
      <c r="D849" s="24" t="s">
        <v>745</v>
      </c>
      <c r="E849" s="115">
        <v>45</v>
      </c>
      <c r="F849" s="21">
        <v>60</v>
      </c>
      <c r="G849" s="21">
        <f t="shared" si="41"/>
        <v>15</v>
      </c>
      <c r="H849" s="8" t="s">
        <v>240</v>
      </c>
      <c r="I849" s="23"/>
      <c r="J849" s="81"/>
      <c r="K849" s="17"/>
    </row>
    <row r="850" spans="1:13" ht="15.75">
      <c r="A850" s="8">
        <v>1</v>
      </c>
      <c r="B850" s="19" t="s">
        <v>728</v>
      </c>
      <c r="C850" s="108" t="s">
        <v>630</v>
      </c>
      <c r="D850" s="24" t="s">
        <v>746</v>
      </c>
      <c r="E850" s="115">
        <v>30</v>
      </c>
      <c r="F850" s="21">
        <v>60</v>
      </c>
      <c r="G850" s="21">
        <f t="shared" si="41"/>
        <v>30</v>
      </c>
      <c r="H850" s="8" t="s">
        <v>240</v>
      </c>
      <c r="I850" s="23"/>
      <c r="J850" s="81"/>
      <c r="K850" s="17"/>
    </row>
    <row r="851" spans="1:13" ht="15.75">
      <c r="A851" s="8">
        <v>1</v>
      </c>
      <c r="B851" s="19" t="s">
        <v>747</v>
      </c>
      <c r="C851" s="108"/>
      <c r="D851" s="24" t="s">
        <v>748</v>
      </c>
      <c r="E851" s="115">
        <v>20</v>
      </c>
      <c r="F851" s="21">
        <v>30</v>
      </c>
      <c r="G851" s="21">
        <f t="shared" si="41"/>
        <v>10</v>
      </c>
      <c r="H851" s="8" t="s">
        <v>240</v>
      </c>
      <c r="I851" s="23"/>
      <c r="J851" s="81"/>
      <c r="K851" s="17"/>
    </row>
    <row r="852" spans="1:13" ht="15.75">
      <c r="A852" s="8">
        <v>1</v>
      </c>
      <c r="B852" s="19" t="s">
        <v>744</v>
      </c>
      <c r="C852" s="108"/>
      <c r="D852" s="24" t="s">
        <v>745</v>
      </c>
      <c r="E852" s="115">
        <v>45</v>
      </c>
      <c r="F852" s="21">
        <v>75</v>
      </c>
      <c r="G852" s="21">
        <f t="shared" si="41"/>
        <v>30</v>
      </c>
      <c r="H852" s="8" t="s">
        <v>240</v>
      </c>
      <c r="I852" s="23"/>
      <c r="J852" s="81"/>
      <c r="K852" s="17"/>
    </row>
    <row r="853" spans="1:13" ht="15.75" outlineLevel="1">
      <c r="A853" s="8">
        <v>1</v>
      </c>
      <c r="B853" s="19" t="s">
        <v>788</v>
      </c>
      <c r="C853" s="108"/>
      <c r="D853" s="24" t="s">
        <v>31</v>
      </c>
      <c r="E853" s="115">
        <v>24</v>
      </c>
      <c r="F853" s="21">
        <v>28</v>
      </c>
      <c r="G853" s="21">
        <f>F853-E853</f>
        <v>4</v>
      </c>
      <c r="H853" s="8" t="s">
        <v>490</v>
      </c>
      <c r="I853" s="23"/>
      <c r="J853" s="103"/>
      <c r="K853" s="74">
        <v>43791</v>
      </c>
    </row>
    <row r="854" spans="1:13" ht="15.75" outlineLevel="1">
      <c r="A854" s="8">
        <v>2</v>
      </c>
      <c r="B854" s="19" t="s">
        <v>788</v>
      </c>
      <c r="C854" s="108"/>
      <c r="D854" s="24" t="s">
        <v>31</v>
      </c>
      <c r="E854" s="115">
        <v>24</v>
      </c>
      <c r="F854" s="21">
        <v>28</v>
      </c>
      <c r="G854" s="21">
        <f>F854-E854</f>
        <v>4</v>
      </c>
      <c r="H854" s="8" t="s">
        <v>490</v>
      </c>
      <c r="I854" s="23"/>
      <c r="J854" s="103"/>
      <c r="K854" s="74">
        <v>43791</v>
      </c>
    </row>
    <row r="855" spans="1:13" ht="15.75" outlineLevel="1">
      <c r="A855" s="8">
        <v>84</v>
      </c>
      <c r="B855" s="19" t="s">
        <v>765</v>
      </c>
      <c r="C855" s="108" t="s">
        <v>805</v>
      </c>
      <c r="D855" s="24" t="s">
        <v>572</v>
      </c>
      <c r="E855" s="115">
        <v>12</v>
      </c>
      <c r="F855" s="21">
        <v>20</v>
      </c>
      <c r="G855" s="21">
        <f>SUM(F855-E855)</f>
        <v>8</v>
      </c>
      <c r="H855" s="46" t="s">
        <v>806</v>
      </c>
      <c r="I855" s="74">
        <v>43791</v>
      </c>
      <c r="J855" s="81"/>
      <c r="K855" s="17"/>
      <c r="M855" s="15"/>
    </row>
    <row r="856" spans="1:13" ht="15.75" outlineLevel="1">
      <c r="A856" s="8">
        <v>22</v>
      </c>
      <c r="B856" s="19" t="s">
        <v>808</v>
      </c>
      <c r="C856" s="108"/>
      <c r="D856" s="24" t="s">
        <v>809</v>
      </c>
      <c r="E856" s="115">
        <v>24</v>
      </c>
      <c r="F856" s="21">
        <v>40</v>
      </c>
      <c r="G856" s="21">
        <f>SUM(F856-E856)</f>
        <v>16</v>
      </c>
      <c r="H856" s="8" t="s">
        <v>240</v>
      </c>
      <c r="I856" s="17"/>
      <c r="J856" s="81"/>
      <c r="K856" s="74">
        <v>43795</v>
      </c>
      <c r="M856" s="15"/>
    </row>
    <row r="857" spans="1:13" ht="15.75" outlineLevel="1">
      <c r="A857" s="8">
        <v>69</v>
      </c>
      <c r="B857" s="19" t="s">
        <v>99</v>
      </c>
      <c r="C857" s="108"/>
      <c r="D857" s="24" t="s">
        <v>810</v>
      </c>
      <c r="E857" s="115">
        <v>17</v>
      </c>
      <c r="F857" s="21">
        <v>60</v>
      </c>
      <c r="G857" s="21">
        <f>SUM(F857-E857)</f>
        <v>43</v>
      </c>
      <c r="H857" s="8" t="s">
        <v>240</v>
      </c>
      <c r="I857" s="17"/>
      <c r="J857" s="81"/>
      <c r="K857" s="74">
        <v>43795</v>
      </c>
      <c r="M857" s="15"/>
    </row>
    <row r="858" spans="1:13" ht="15.75" outlineLevel="1">
      <c r="A858" s="8">
        <v>85</v>
      </c>
      <c r="B858" s="19" t="s">
        <v>670</v>
      </c>
      <c r="C858" s="108"/>
      <c r="D858" s="24" t="s">
        <v>754</v>
      </c>
      <c r="E858" s="115">
        <v>12</v>
      </c>
      <c r="F858" s="21">
        <v>35</v>
      </c>
      <c r="G858" s="21">
        <f t="shared" ref="G858:G889" si="42">F858-E858</f>
        <v>23</v>
      </c>
      <c r="H858" s="8" t="s">
        <v>240</v>
      </c>
      <c r="I858" s="17"/>
      <c r="J858" s="103"/>
      <c r="K858" s="74">
        <v>43770</v>
      </c>
      <c r="M858" s="15"/>
    </row>
    <row r="859" spans="1:13" ht="15.75" outlineLevel="1">
      <c r="A859" s="8">
        <v>86</v>
      </c>
      <c r="B859" s="47" t="s">
        <v>182</v>
      </c>
      <c r="C859" s="108"/>
      <c r="D859" s="24" t="s">
        <v>756</v>
      </c>
      <c r="E859" s="115">
        <v>25</v>
      </c>
      <c r="F859" s="21">
        <v>52.5</v>
      </c>
      <c r="G859" s="21">
        <f t="shared" si="42"/>
        <v>27.5</v>
      </c>
      <c r="H859" s="8" t="s">
        <v>240</v>
      </c>
      <c r="I859" s="23"/>
      <c r="J859" s="81"/>
      <c r="K859" s="74">
        <v>43770</v>
      </c>
      <c r="M859" s="15"/>
    </row>
    <row r="860" spans="1:13" ht="15.75" outlineLevel="1">
      <c r="A860" s="8">
        <v>87</v>
      </c>
      <c r="B860" s="47" t="s">
        <v>182</v>
      </c>
      <c r="C860" s="108"/>
      <c r="D860" s="24" t="s">
        <v>756</v>
      </c>
      <c r="E860" s="115">
        <v>25</v>
      </c>
      <c r="F860" s="21">
        <v>52.5</v>
      </c>
      <c r="G860" s="21">
        <f t="shared" si="42"/>
        <v>27.5</v>
      </c>
      <c r="H860" s="8" t="s">
        <v>240</v>
      </c>
      <c r="I860" s="23"/>
      <c r="J860" s="81"/>
      <c r="K860" s="74">
        <v>43770</v>
      </c>
    </row>
    <row r="861" spans="1:13" ht="15.75" outlineLevel="1">
      <c r="A861" s="8">
        <v>88</v>
      </c>
      <c r="B861" s="19" t="s">
        <v>92</v>
      </c>
      <c r="C861" s="108"/>
      <c r="D861" s="24" t="s">
        <v>753</v>
      </c>
      <c r="E861" s="115">
        <v>30</v>
      </c>
      <c r="F861" s="21">
        <v>80</v>
      </c>
      <c r="G861" s="21">
        <f t="shared" si="42"/>
        <v>50</v>
      </c>
      <c r="H861" s="8" t="s">
        <v>240</v>
      </c>
      <c r="I861" s="23"/>
      <c r="J861" s="103"/>
      <c r="K861" s="74">
        <v>43770</v>
      </c>
    </row>
    <row r="862" spans="1:13" ht="15.75" outlineLevel="1">
      <c r="A862" s="8">
        <v>89</v>
      </c>
      <c r="B862" s="142" t="s">
        <v>749</v>
      </c>
      <c r="C862" s="108"/>
      <c r="D862" s="24" t="s">
        <v>751</v>
      </c>
      <c r="E862" s="115">
        <v>12.5</v>
      </c>
      <c r="F862" s="21">
        <v>25</v>
      </c>
      <c r="G862" s="21">
        <f t="shared" si="42"/>
        <v>12.5</v>
      </c>
      <c r="H862" s="8" t="s">
        <v>240</v>
      </c>
      <c r="I862" s="23"/>
      <c r="J862" s="103"/>
      <c r="K862" s="74">
        <v>43771</v>
      </c>
    </row>
    <row r="863" spans="1:13" ht="15.75" outlineLevel="1">
      <c r="A863" s="8">
        <v>90</v>
      </c>
      <c r="B863" s="19" t="s">
        <v>636</v>
      </c>
      <c r="C863" s="108"/>
      <c r="D863" s="24" t="s">
        <v>755</v>
      </c>
      <c r="E863" s="115">
        <v>2.5</v>
      </c>
      <c r="F863" s="21">
        <v>10</v>
      </c>
      <c r="G863" s="21">
        <f t="shared" si="42"/>
        <v>7.5</v>
      </c>
      <c r="H863" s="8" t="s">
        <v>240</v>
      </c>
      <c r="I863" s="74">
        <v>43752</v>
      </c>
      <c r="J863" s="103"/>
      <c r="K863" s="74">
        <v>43772</v>
      </c>
    </row>
    <row r="864" spans="1:13" ht="15.75" outlineLevel="1">
      <c r="A864" s="8">
        <v>91</v>
      </c>
      <c r="B864" s="19" t="s">
        <v>636</v>
      </c>
      <c r="C864" s="108"/>
      <c r="D864" s="24" t="s">
        <v>755</v>
      </c>
      <c r="E864" s="115">
        <v>2.5</v>
      </c>
      <c r="F864" s="21">
        <v>10</v>
      </c>
      <c r="G864" s="21">
        <f t="shared" si="42"/>
        <v>7.5</v>
      </c>
      <c r="H864" s="8" t="s">
        <v>240</v>
      </c>
      <c r="I864" s="74">
        <v>43752</v>
      </c>
      <c r="J864" s="103"/>
      <c r="K864" s="74">
        <v>43772</v>
      </c>
    </row>
    <row r="865" spans="1:13" ht="15.75" outlineLevel="1">
      <c r="A865" s="8">
        <v>92</v>
      </c>
      <c r="B865" s="19" t="s">
        <v>92</v>
      </c>
      <c r="C865" s="108"/>
      <c r="D865" s="24" t="s">
        <v>752</v>
      </c>
      <c r="E865" s="115">
        <v>30</v>
      </c>
      <c r="F865" s="21">
        <v>80</v>
      </c>
      <c r="G865" s="21">
        <f t="shared" si="42"/>
        <v>50</v>
      </c>
      <c r="H865" s="8" t="s">
        <v>240</v>
      </c>
      <c r="I865" s="23"/>
      <c r="J865" s="103"/>
      <c r="K865" s="74">
        <v>43772</v>
      </c>
    </row>
    <row r="866" spans="1:13" ht="15.75" outlineLevel="1">
      <c r="A866" s="8">
        <v>93</v>
      </c>
      <c r="B866" s="19" t="s">
        <v>638</v>
      </c>
      <c r="C866" s="108"/>
      <c r="D866" s="24" t="s">
        <v>610</v>
      </c>
      <c r="E866" s="115">
        <v>21</v>
      </c>
      <c r="F866" s="21">
        <v>30</v>
      </c>
      <c r="G866" s="21">
        <f t="shared" si="42"/>
        <v>9</v>
      </c>
      <c r="H866" s="8" t="s">
        <v>240</v>
      </c>
      <c r="I866" s="23"/>
      <c r="J866" s="103"/>
      <c r="K866" s="74">
        <v>43772</v>
      </c>
    </row>
    <row r="867" spans="1:13" ht="15.75" outlineLevel="1">
      <c r="A867" s="8">
        <v>94</v>
      </c>
      <c r="B867" s="19" t="s">
        <v>638</v>
      </c>
      <c r="C867" s="108"/>
      <c r="D867" s="24" t="s">
        <v>572</v>
      </c>
      <c r="E867" s="115">
        <v>21</v>
      </c>
      <c r="F867" s="21">
        <v>25</v>
      </c>
      <c r="G867" s="21">
        <f t="shared" si="42"/>
        <v>4</v>
      </c>
      <c r="H867" s="8" t="s">
        <v>240</v>
      </c>
      <c r="I867" s="23"/>
      <c r="J867" s="103"/>
      <c r="K867" s="74">
        <v>43772</v>
      </c>
    </row>
    <row r="868" spans="1:13" ht="15.75" outlineLevel="1">
      <c r="A868" s="8">
        <v>95</v>
      </c>
      <c r="B868" s="19" t="s">
        <v>670</v>
      </c>
      <c r="C868" s="108"/>
      <c r="D868" s="24" t="s">
        <v>761</v>
      </c>
      <c r="E868" s="115">
        <v>12</v>
      </c>
      <c r="F868" s="21">
        <v>25</v>
      </c>
      <c r="G868" s="21">
        <f t="shared" si="42"/>
        <v>13</v>
      </c>
      <c r="H868" s="8" t="s">
        <v>240</v>
      </c>
      <c r="I868" s="17"/>
      <c r="J868" s="103"/>
      <c r="K868" s="74">
        <v>43773</v>
      </c>
    </row>
    <row r="869" spans="1:13" ht="15.75" outlineLevel="1">
      <c r="A869" s="8">
        <v>96</v>
      </c>
      <c r="B869" s="19" t="s">
        <v>728</v>
      </c>
      <c r="C869" s="108" t="s">
        <v>648</v>
      </c>
      <c r="D869" s="24" t="s">
        <v>760</v>
      </c>
      <c r="E869" s="115">
        <v>30</v>
      </c>
      <c r="F869" s="21">
        <v>60</v>
      </c>
      <c r="G869" s="21">
        <f t="shared" si="42"/>
        <v>30</v>
      </c>
      <c r="H869" s="8" t="s">
        <v>240</v>
      </c>
      <c r="I869" s="23"/>
      <c r="J869" s="103"/>
      <c r="K869" s="74">
        <v>43773</v>
      </c>
    </row>
    <row r="870" spans="1:13" ht="15.75" outlineLevel="1">
      <c r="A870" s="8">
        <v>97</v>
      </c>
      <c r="B870" s="19" t="s">
        <v>92</v>
      </c>
      <c r="C870" s="108"/>
      <c r="D870" s="24" t="s">
        <v>759</v>
      </c>
      <c r="E870" s="115">
        <v>30</v>
      </c>
      <c r="F870" s="21">
        <v>78.41</v>
      </c>
      <c r="G870" s="21">
        <f t="shared" si="42"/>
        <v>48.41</v>
      </c>
      <c r="H870" s="8" t="s">
        <v>240</v>
      </c>
      <c r="I870" s="23"/>
      <c r="J870" s="81"/>
      <c r="K870" s="74">
        <v>43773</v>
      </c>
    </row>
    <row r="871" spans="1:13" ht="15.75" outlineLevel="1">
      <c r="A871" s="8">
        <v>98</v>
      </c>
      <c r="B871" s="19" t="s">
        <v>762</v>
      </c>
      <c r="C871" s="108"/>
      <c r="D871" s="24" t="s">
        <v>272</v>
      </c>
      <c r="E871" s="115">
        <v>60</v>
      </c>
      <c r="F871" s="21">
        <v>100</v>
      </c>
      <c r="G871" s="21">
        <f t="shared" si="42"/>
        <v>40</v>
      </c>
      <c r="H871" s="8" t="s">
        <v>240</v>
      </c>
      <c r="I871" s="23"/>
      <c r="J871" s="103"/>
      <c r="K871" s="74">
        <v>43773</v>
      </c>
    </row>
    <row r="872" spans="1:13" ht="15.75" outlineLevel="1">
      <c r="A872" s="8">
        <v>99</v>
      </c>
      <c r="B872" s="19" t="s">
        <v>670</v>
      </c>
      <c r="C872" s="108"/>
      <c r="D872" s="24" t="s">
        <v>763</v>
      </c>
      <c r="E872" s="115">
        <v>12</v>
      </c>
      <c r="F872" s="21">
        <v>25</v>
      </c>
      <c r="G872" s="21">
        <f t="shared" si="42"/>
        <v>13</v>
      </c>
      <c r="H872" s="8" t="s">
        <v>240</v>
      </c>
      <c r="I872" s="17"/>
      <c r="J872" s="103"/>
      <c r="K872" s="74">
        <v>43774</v>
      </c>
    </row>
    <row r="873" spans="1:13" ht="15.75" outlineLevel="1">
      <c r="A873" s="8">
        <v>100</v>
      </c>
      <c r="B873" s="47" t="s">
        <v>182</v>
      </c>
      <c r="C873" s="108"/>
      <c r="D873" s="24"/>
      <c r="E873" s="115">
        <v>22</v>
      </c>
      <c r="F873" s="21">
        <v>55</v>
      </c>
      <c r="G873" s="21">
        <f t="shared" si="42"/>
        <v>33</v>
      </c>
      <c r="H873" s="8" t="s">
        <v>240</v>
      </c>
      <c r="I873" s="23"/>
      <c r="J873" s="81"/>
      <c r="K873" s="74">
        <v>43774</v>
      </c>
    </row>
    <row r="874" spans="1:13" ht="15.75" outlineLevel="1">
      <c r="A874" s="8">
        <v>101</v>
      </c>
      <c r="B874" s="47" t="s">
        <v>764</v>
      </c>
      <c r="C874" s="108"/>
      <c r="D874" s="24"/>
      <c r="E874" s="115">
        <v>18</v>
      </c>
      <c r="F874" s="21">
        <v>30</v>
      </c>
      <c r="G874" s="21">
        <f t="shared" si="42"/>
        <v>12</v>
      </c>
      <c r="H874" s="8" t="s">
        <v>240</v>
      </c>
      <c r="I874" s="23"/>
      <c r="J874" s="81"/>
      <c r="K874" s="74">
        <v>43775</v>
      </c>
    </row>
    <row r="875" spans="1:13" ht="15.75" outlineLevel="1">
      <c r="A875" s="8">
        <v>102</v>
      </c>
      <c r="B875" s="119" t="s">
        <v>767</v>
      </c>
      <c r="C875" s="23" t="s">
        <v>550</v>
      </c>
      <c r="D875" s="24" t="s">
        <v>766</v>
      </c>
      <c r="E875" s="118">
        <v>5</v>
      </c>
      <c r="F875" s="21">
        <v>10</v>
      </c>
      <c r="G875" s="21">
        <f t="shared" si="42"/>
        <v>5</v>
      </c>
      <c r="H875" s="46" t="s">
        <v>240</v>
      </c>
      <c r="I875" s="23"/>
      <c r="J875" s="103"/>
      <c r="K875" s="74">
        <v>43776</v>
      </c>
      <c r="L875" s="15"/>
      <c r="M875" s="86"/>
    </row>
    <row r="876" spans="1:13" ht="15.75" outlineLevel="1">
      <c r="A876" s="8">
        <v>103</v>
      </c>
      <c r="B876" s="19" t="s">
        <v>611</v>
      </c>
      <c r="C876" s="108"/>
      <c r="D876" s="24" t="s">
        <v>766</v>
      </c>
      <c r="E876" s="115">
        <v>0.75</v>
      </c>
      <c r="F876" s="21">
        <v>5</v>
      </c>
      <c r="G876" s="21">
        <f t="shared" si="42"/>
        <v>4.25</v>
      </c>
      <c r="H876" s="46" t="s">
        <v>240</v>
      </c>
      <c r="I876" s="23"/>
      <c r="J876" s="103"/>
      <c r="K876" s="74">
        <v>43776</v>
      </c>
    </row>
    <row r="877" spans="1:13" ht="15.75" outlineLevel="1">
      <c r="A877" s="8">
        <v>104</v>
      </c>
      <c r="B877" s="19" t="s">
        <v>771</v>
      </c>
      <c r="C877" s="108"/>
      <c r="D877" s="24" t="s">
        <v>610</v>
      </c>
      <c r="E877" s="115">
        <v>9</v>
      </c>
      <c r="F877" s="21">
        <v>15</v>
      </c>
      <c r="G877" s="21">
        <f t="shared" si="42"/>
        <v>6</v>
      </c>
      <c r="H877" s="8" t="s">
        <v>240</v>
      </c>
      <c r="I877" s="23"/>
      <c r="J877" s="103"/>
      <c r="K877" s="74">
        <v>43776</v>
      </c>
    </row>
    <row r="878" spans="1:13" ht="15.75" outlineLevel="1">
      <c r="A878" s="8">
        <v>105</v>
      </c>
      <c r="B878" s="19" t="s">
        <v>773</v>
      </c>
      <c r="C878" s="108" t="s">
        <v>775</v>
      </c>
      <c r="D878" s="24" t="s">
        <v>774</v>
      </c>
      <c r="E878" s="115">
        <v>2.5</v>
      </c>
      <c r="F878" s="21">
        <v>10</v>
      </c>
      <c r="G878" s="21">
        <f t="shared" si="42"/>
        <v>7.5</v>
      </c>
      <c r="H878" s="143" t="s">
        <v>240</v>
      </c>
      <c r="I878" s="23"/>
      <c r="J878" s="103"/>
      <c r="K878" s="74">
        <v>43776</v>
      </c>
    </row>
    <row r="879" spans="1:13" ht="15.75" outlineLevel="1">
      <c r="A879" s="8">
        <v>106</v>
      </c>
      <c r="B879" s="19" t="s">
        <v>768</v>
      </c>
      <c r="C879" s="108"/>
      <c r="D879" s="24" t="s">
        <v>567</v>
      </c>
      <c r="E879" s="115">
        <v>3.5</v>
      </c>
      <c r="F879" s="21">
        <v>7</v>
      </c>
      <c r="G879" s="21">
        <f t="shared" si="42"/>
        <v>3.5</v>
      </c>
      <c r="H879" s="8" t="s">
        <v>240</v>
      </c>
      <c r="I879" s="23"/>
      <c r="J879" s="103"/>
      <c r="K879" s="74">
        <v>43777</v>
      </c>
    </row>
    <row r="880" spans="1:13" ht="15.75" outlineLevel="1">
      <c r="A880" s="8">
        <v>107</v>
      </c>
      <c r="B880" s="19" t="s">
        <v>721</v>
      </c>
      <c r="C880" s="108" t="s">
        <v>733</v>
      </c>
      <c r="D880" s="24" t="s">
        <v>777</v>
      </c>
      <c r="E880" s="115">
        <v>30</v>
      </c>
      <c r="F880" s="21">
        <v>60</v>
      </c>
      <c r="G880" s="21">
        <f t="shared" si="42"/>
        <v>30</v>
      </c>
      <c r="H880" s="8" t="s">
        <v>240</v>
      </c>
      <c r="I880" s="23"/>
      <c r="J880" s="103"/>
      <c r="K880" s="74">
        <v>43777</v>
      </c>
    </row>
    <row r="881" spans="1:11" ht="15.75" outlineLevel="1">
      <c r="A881" s="8">
        <v>108</v>
      </c>
      <c r="B881" s="19" t="s">
        <v>178</v>
      </c>
      <c r="C881" s="108"/>
      <c r="D881" s="24" t="s">
        <v>533</v>
      </c>
      <c r="E881" s="115">
        <v>35</v>
      </c>
      <c r="F881" s="21">
        <v>55</v>
      </c>
      <c r="G881" s="21">
        <f t="shared" si="42"/>
        <v>20</v>
      </c>
      <c r="H881" s="8" t="s">
        <v>240</v>
      </c>
      <c r="I881" s="23"/>
      <c r="J881" s="103"/>
      <c r="K881" s="74">
        <v>43777</v>
      </c>
    </row>
    <row r="882" spans="1:11" ht="15.75" outlineLevel="1">
      <c r="A882" s="8">
        <v>109</v>
      </c>
      <c r="B882" s="19" t="s">
        <v>499</v>
      </c>
      <c r="C882" s="108"/>
      <c r="D882" s="24" t="s">
        <v>770</v>
      </c>
      <c r="E882" s="115">
        <v>19.989999999999998</v>
      </c>
      <c r="F882" s="21">
        <v>30</v>
      </c>
      <c r="G882" s="21">
        <f t="shared" si="42"/>
        <v>10.010000000000002</v>
      </c>
      <c r="H882" s="8" t="s">
        <v>240</v>
      </c>
      <c r="I882" s="23"/>
      <c r="J882" s="103"/>
      <c r="K882" s="74">
        <v>43777</v>
      </c>
    </row>
    <row r="883" spans="1:11" ht="15.75" outlineLevel="1">
      <c r="A883" s="8">
        <v>110</v>
      </c>
      <c r="B883" s="19" t="s">
        <v>772</v>
      </c>
      <c r="C883" s="108"/>
      <c r="D883" s="24" t="s">
        <v>533</v>
      </c>
      <c r="E883" s="115">
        <v>9.5</v>
      </c>
      <c r="F883" s="21">
        <v>20</v>
      </c>
      <c r="G883" s="21">
        <f t="shared" si="42"/>
        <v>10.5</v>
      </c>
      <c r="H883" s="8" t="s">
        <v>240</v>
      </c>
      <c r="I883" s="23"/>
      <c r="J883" s="103"/>
      <c r="K883" s="74">
        <v>43777</v>
      </c>
    </row>
    <row r="884" spans="1:11" ht="15.75" outlineLevel="1">
      <c r="A884" s="8">
        <v>111</v>
      </c>
      <c r="B884" s="19" t="s">
        <v>553</v>
      </c>
      <c r="C884" s="23" t="s">
        <v>550</v>
      </c>
      <c r="D884" s="24" t="s">
        <v>711</v>
      </c>
      <c r="E884" s="116">
        <v>23</v>
      </c>
      <c r="F884" s="21">
        <v>34</v>
      </c>
      <c r="G884" s="21">
        <f t="shared" si="42"/>
        <v>11</v>
      </c>
      <c r="H884" s="46" t="s">
        <v>240</v>
      </c>
      <c r="I884" s="23"/>
      <c r="J884" s="103"/>
      <c r="K884" s="74">
        <v>43777</v>
      </c>
    </row>
    <row r="885" spans="1:11" ht="15.75" outlineLevel="1">
      <c r="A885" s="8">
        <v>112</v>
      </c>
      <c r="B885" s="19" t="s">
        <v>92</v>
      </c>
      <c r="C885" s="108"/>
      <c r="D885" s="24" t="s">
        <v>778</v>
      </c>
      <c r="E885" s="115">
        <v>30</v>
      </c>
      <c r="F885" s="21">
        <v>80</v>
      </c>
      <c r="G885" s="21">
        <f t="shared" si="42"/>
        <v>50</v>
      </c>
      <c r="H885" s="8" t="s">
        <v>240</v>
      </c>
      <c r="I885" s="23"/>
      <c r="J885" s="81"/>
      <c r="K885" s="74">
        <v>43777</v>
      </c>
    </row>
    <row r="886" spans="1:11" ht="15.75" outlineLevel="1">
      <c r="A886" s="8">
        <v>113</v>
      </c>
      <c r="B886" s="19" t="s">
        <v>758</v>
      </c>
      <c r="C886" s="108"/>
      <c r="D886" s="24" t="s">
        <v>642</v>
      </c>
      <c r="E886" s="115">
        <v>25</v>
      </c>
      <c r="F886" s="21">
        <v>50</v>
      </c>
      <c r="G886" s="21">
        <f t="shared" si="42"/>
        <v>25</v>
      </c>
      <c r="H886" s="8" t="s">
        <v>240</v>
      </c>
      <c r="I886" s="23"/>
      <c r="J886" s="103"/>
      <c r="K886" s="74">
        <v>43777</v>
      </c>
    </row>
    <row r="887" spans="1:11" ht="15.75" outlineLevel="1">
      <c r="A887" s="8">
        <v>114</v>
      </c>
      <c r="B887" s="19" t="s">
        <v>758</v>
      </c>
      <c r="C887" s="108"/>
      <c r="D887" s="24" t="s">
        <v>779</v>
      </c>
      <c r="E887" s="115">
        <v>25</v>
      </c>
      <c r="F887" s="21">
        <v>50</v>
      </c>
      <c r="G887" s="21">
        <f t="shared" si="42"/>
        <v>25</v>
      </c>
      <c r="H887" s="8" t="s">
        <v>240</v>
      </c>
      <c r="I887" s="23"/>
      <c r="J887" s="103"/>
      <c r="K887" s="74">
        <v>43777</v>
      </c>
    </row>
    <row r="888" spans="1:11" ht="15.75" outlineLevel="1">
      <c r="A888" s="8">
        <v>115</v>
      </c>
      <c r="B888" s="142" t="s">
        <v>783</v>
      </c>
      <c r="C888" s="108"/>
      <c r="D888" s="144" t="s">
        <v>780</v>
      </c>
      <c r="E888" s="115">
        <v>60</v>
      </c>
      <c r="F888" s="21">
        <v>105</v>
      </c>
      <c r="G888" s="21">
        <f t="shared" si="42"/>
        <v>45</v>
      </c>
      <c r="H888" s="8" t="s">
        <v>240</v>
      </c>
      <c r="I888" s="23"/>
      <c r="J888" s="81"/>
      <c r="K888" s="74">
        <v>43778</v>
      </c>
    </row>
    <row r="889" spans="1:11" ht="15.75" outlineLevel="1">
      <c r="A889" s="8">
        <v>116</v>
      </c>
      <c r="B889" s="19" t="s">
        <v>636</v>
      </c>
      <c r="C889" s="108"/>
      <c r="D889" s="24" t="s">
        <v>781</v>
      </c>
      <c r="E889" s="115">
        <v>2.5</v>
      </c>
      <c r="F889" s="21">
        <v>10</v>
      </c>
      <c r="G889" s="21">
        <f t="shared" si="42"/>
        <v>7.5</v>
      </c>
      <c r="H889" s="8" t="s">
        <v>240</v>
      </c>
      <c r="I889" s="74">
        <v>43778</v>
      </c>
      <c r="J889" s="103"/>
      <c r="K889" s="74">
        <v>43778</v>
      </c>
    </row>
    <row r="890" spans="1:11" ht="15.75" outlineLevel="1">
      <c r="A890" s="8">
        <v>117</v>
      </c>
      <c r="B890" s="142" t="s">
        <v>749</v>
      </c>
      <c r="C890" s="108"/>
      <c r="D890" s="24" t="s">
        <v>780</v>
      </c>
      <c r="E890" s="115">
        <v>12.5</v>
      </c>
      <c r="F890" s="21">
        <v>25</v>
      </c>
      <c r="G890" s="21">
        <f t="shared" ref="G890:G921" si="43">F890-E890</f>
        <v>12.5</v>
      </c>
      <c r="H890" s="8" t="s">
        <v>240</v>
      </c>
      <c r="I890" s="23"/>
      <c r="J890" s="103"/>
      <c r="K890" s="74">
        <v>43778</v>
      </c>
    </row>
    <row r="891" spans="1:11" ht="15.75" outlineLevel="1">
      <c r="A891" s="8">
        <v>118</v>
      </c>
      <c r="B891" s="19" t="s">
        <v>776</v>
      </c>
      <c r="C891" s="108"/>
      <c r="D891" s="24" t="s">
        <v>259</v>
      </c>
      <c r="E891" s="115">
        <v>25</v>
      </c>
      <c r="F891" s="21">
        <v>50</v>
      </c>
      <c r="G891" s="21">
        <f t="shared" si="43"/>
        <v>25</v>
      </c>
      <c r="H891" s="8" t="s">
        <v>240</v>
      </c>
      <c r="I891" s="23"/>
      <c r="J891" s="103"/>
      <c r="K891" s="74">
        <v>43780</v>
      </c>
    </row>
    <row r="892" spans="1:11" ht="15.75" outlineLevel="1">
      <c r="A892" s="8">
        <v>119</v>
      </c>
      <c r="B892" s="19" t="s">
        <v>688</v>
      </c>
      <c r="C892" s="108"/>
      <c r="D892" s="24"/>
      <c r="E892" s="115">
        <v>35</v>
      </c>
      <c r="F892" s="21">
        <v>65</v>
      </c>
      <c r="G892" s="21">
        <f t="shared" si="43"/>
        <v>30</v>
      </c>
      <c r="H892" s="8" t="s">
        <v>240</v>
      </c>
      <c r="I892" s="23"/>
      <c r="J892" s="103"/>
      <c r="K892" s="74">
        <v>43780</v>
      </c>
    </row>
    <row r="893" spans="1:11" ht="15.75" outlineLevel="1">
      <c r="A893" s="8">
        <v>120</v>
      </c>
      <c r="B893" s="19" t="s">
        <v>765</v>
      </c>
      <c r="C893" s="108"/>
      <c r="D893" s="24" t="s">
        <v>259</v>
      </c>
      <c r="E893" s="115">
        <v>12</v>
      </c>
      <c r="F893" s="21">
        <v>30</v>
      </c>
      <c r="G893" s="21">
        <f t="shared" si="43"/>
        <v>18</v>
      </c>
      <c r="H893" s="8" t="s">
        <v>240</v>
      </c>
      <c r="I893" s="23"/>
      <c r="J893" s="81"/>
      <c r="K893" s="74">
        <v>43780</v>
      </c>
    </row>
    <row r="894" spans="1:11" ht="15.75" outlineLevel="1">
      <c r="A894" s="8">
        <v>121</v>
      </c>
      <c r="B894" s="19" t="s">
        <v>765</v>
      </c>
      <c r="C894" s="108"/>
      <c r="D894" s="24" t="s">
        <v>259</v>
      </c>
      <c r="E894" s="115">
        <v>12</v>
      </c>
      <c r="F894" s="21">
        <v>30</v>
      </c>
      <c r="G894" s="21">
        <f t="shared" si="43"/>
        <v>18</v>
      </c>
      <c r="H894" s="8" t="s">
        <v>240</v>
      </c>
      <c r="I894" s="23"/>
      <c r="J894" s="103"/>
      <c r="K894" s="74">
        <v>43780</v>
      </c>
    </row>
    <row r="895" spans="1:11" ht="15.75" outlineLevel="1">
      <c r="A895" s="8">
        <v>122</v>
      </c>
      <c r="B895" s="19" t="s">
        <v>765</v>
      </c>
      <c r="C895" s="108"/>
      <c r="D895" s="24" t="s">
        <v>259</v>
      </c>
      <c r="E895" s="115">
        <v>12</v>
      </c>
      <c r="F895" s="21">
        <v>30</v>
      </c>
      <c r="G895" s="21">
        <f t="shared" si="43"/>
        <v>18</v>
      </c>
      <c r="H895" s="8" t="s">
        <v>240</v>
      </c>
      <c r="I895" s="23"/>
      <c r="J895" s="81"/>
      <c r="K895" s="74">
        <v>43780</v>
      </c>
    </row>
    <row r="896" spans="1:11" ht="15.75" outlineLevel="1">
      <c r="A896" s="8">
        <v>123</v>
      </c>
      <c r="B896" s="19" t="s">
        <v>712</v>
      </c>
      <c r="C896" s="108"/>
      <c r="D896" s="24"/>
      <c r="E896" s="115">
        <v>13</v>
      </c>
      <c r="F896" s="21">
        <v>30</v>
      </c>
      <c r="G896" s="21">
        <f t="shared" si="43"/>
        <v>17</v>
      </c>
      <c r="H896" s="8" t="s">
        <v>240</v>
      </c>
      <c r="I896" s="23"/>
      <c r="J896" s="103"/>
      <c r="K896" s="74">
        <v>43781</v>
      </c>
    </row>
    <row r="897" spans="1:11" ht="15.75" outlineLevel="1">
      <c r="A897" s="8">
        <v>124</v>
      </c>
      <c r="B897" s="19" t="s">
        <v>768</v>
      </c>
      <c r="C897" s="108"/>
      <c r="D897" s="24" t="s">
        <v>784</v>
      </c>
      <c r="E897" s="115">
        <v>3.8</v>
      </c>
      <c r="F897" s="21">
        <v>7</v>
      </c>
      <c r="G897" s="21">
        <f t="shared" si="43"/>
        <v>3.2</v>
      </c>
      <c r="H897" s="8" t="s">
        <v>240</v>
      </c>
      <c r="I897" s="23"/>
      <c r="J897" s="103"/>
      <c r="K897" s="74">
        <v>43782</v>
      </c>
    </row>
    <row r="898" spans="1:11" ht="15.75" outlineLevel="1">
      <c r="A898" s="8">
        <v>125</v>
      </c>
      <c r="B898" s="19" t="s">
        <v>769</v>
      </c>
      <c r="C898" s="108"/>
      <c r="D898" s="24" t="s">
        <v>784</v>
      </c>
      <c r="E898" s="115">
        <v>3.8</v>
      </c>
      <c r="F898" s="21">
        <v>7</v>
      </c>
      <c r="G898" s="21">
        <f t="shared" si="43"/>
        <v>3.2</v>
      </c>
      <c r="H898" s="8" t="s">
        <v>240</v>
      </c>
      <c r="I898" s="23"/>
      <c r="J898" s="103"/>
      <c r="K898" s="74">
        <v>43782</v>
      </c>
    </row>
    <row r="899" spans="1:11" ht="15.75" outlineLevel="1">
      <c r="A899" s="8">
        <v>126</v>
      </c>
      <c r="B899" s="19" t="s">
        <v>609</v>
      </c>
      <c r="C899" s="108"/>
      <c r="D899" s="24" t="s">
        <v>784</v>
      </c>
      <c r="E899" s="115">
        <v>1.5</v>
      </c>
      <c r="F899" s="21">
        <v>7</v>
      </c>
      <c r="G899" s="21">
        <f t="shared" si="43"/>
        <v>5.5</v>
      </c>
      <c r="H899" s="46" t="s">
        <v>240</v>
      </c>
      <c r="I899" s="23"/>
      <c r="J899" s="103"/>
      <c r="K899" s="74">
        <v>43782</v>
      </c>
    </row>
    <row r="900" spans="1:11" ht="15.75" outlineLevel="1">
      <c r="A900" s="8">
        <v>127</v>
      </c>
      <c r="B900" s="19" t="s">
        <v>178</v>
      </c>
      <c r="C900" s="108"/>
      <c r="D900" s="24" t="s">
        <v>782</v>
      </c>
      <c r="E900" s="115">
        <v>35</v>
      </c>
      <c r="F900" s="21">
        <v>60</v>
      </c>
      <c r="G900" s="21">
        <f t="shared" si="43"/>
        <v>25</v>
      </c>
      <c r="H900" s="8" t="s">
        <v>240</v>
      </c>
      <c r="I900" s="23"/>
      <c r="J900" s="103"/>
      <c r="K900" s="74">
        <v>43783</v>
      </c>
    </row>
    <row r="901" spans="1:11" ht="15.75" outlineLevel="1">
      <c r="A901" s="8">
        <v>128</v>
      </c>
      <c r="B901" s="19" t="s">
        <v>178</v>
      </c>
      <c r="C901" s="108"/>
      <c r="D901" s="24" t="s">
        <v>782</v>
      </c>
      <c r="E901" s="115">
        <v>35</v>
      </c>
      <c r="F901" s="21">
        <v>60</v>
      </c>
      <c r="G901" s="21">
        <f t="shared" si="43"/>
        <v>25</v>
      </c>
      <c r="H901" s="8" t="s">
        <v>240</v>
      </c>
      <c r="I901" s="74"/>
      <c r="J901" s="8"/>
      <c r="K901" s="74">
        <v>43783</v>
      </c>
    </row>
    <row r="902" spans="1:11" ht="15.75" outlineLevel="1">
      <c r="A902" s="8">
        <v>129</v>
      </c>
      <c r="B902" s="19" t="s">
        <v>178</v>
      </c>
      <c r="C902" s="108"/>
      <c r="D902" s="24" t="s">
        <v>785</v>
      </c>
      <c r="E902" s="115">
        <v>35</v>
      </c>
      <c r="F902" s="21">
        <v>50</v>
      </c>
      <c r="G902" s="21">
        <f t="shared" si="43"/>
        <v>15</v>
      </c>
      <c r="H902" s="8" t="s">
        <v>240</v>
      </c>
      <c r="I902" s="17"/>
      <c r="J902" s="81"/>
      <c r="K902" s="74">
        <v>43783</v>
      </c>
    </row>
    <row r="903" spans="1:11" ht="15.75" outlineLevel="1">
      <c r="A903" s="8">
        <v>130</v>
      </c>
      <c r="B903" s="19" t="s">
        <v>670</v>
      </c>
      <c r="C903" s="108"/>
      <c r="D903" s="24" t="s">
        <v>572</v>
      </c>
      <c r="E903" s="115">
        <v>12</v>
      </c>
      <c r="F903" s="21">
        <v>15</v>
      </c>
      <c r="G903" s="21">
        <f t="shared" si="43"/>
        <v>3</v>
      </c>
      <c r="H903" s="8" t="s">
        <v>240</v>
      </c>
      <c r="I903" s="23"/>
      <c r="J903" s="103"/>
      <c r="K903" s="74">
        <v>43785</v>
      </c>
    </row>
    <row r="904" spans="1:11" ht="15.75" outlineLevel="1">
      <c r="A904" s="8">
        <v>131</v>
      </c>
      <c r="B904" s="19" t="s">
        <v>636</v>
      </c>
      <c r="C904" s="108"/>
      <c r="D904" s="24" t="s">
        <v>313</v>
      </c>
      <c r="E904" s="115">
        <v>3</v>
      </c>
      <c r="F904" s="21">
        <v>10</v>
      </c>
      <c r="G904" s="21">
        <f t="shared" si="43"/>
        <v>7</v>
      </c>
      <c r="H904" s="8" t="s">
        <v>240</v>
      </c>
      <c r="I904" s="23"/>
      <c r="J904" s="103"/>
      <c r="K904" s="74">
        <v>43785</v>
      </c>
    </row>
    <row r="905" spans="1:11" ht="15.75" outlineLevel="1">
      <c r="A905" s="8">
        <v>132</v>
      </c>
      <c r="B905" s="19" t="s">
        <v>714</v>
      </c>
      <c r="C905" s="108" t="s">
        <v>631</v>
      </c>
      <c r="D905" s="24" t="s">
        <v>572</v>
      </c>
      <c r="E905" s="115">
        <v>1.8</v>
      </c>
      <c r="F905" s="21">
        <v>5</v>
      </c>
      <c r="G905" s="21">
        <f t="shared" si="43"/>
        <v>3.2</v>
      </c>
      <c r="H905" s="8" t="s">
        <v>240</v>
      </c>
      <c r="I905" s="23"/>
      <c r="J905" s="103"/>
      <c r="K905" s="74">
        <v>43785</v>
      </c>
    </row>
    <row r="906" spans="1:11" ht="15.75" outlineLevel="1">
      <c r="A906" s="8">
        <v>133</v>
      </c>
      <c r="B906" s="19" t="s">
        <v>786</v>
      </c>
      <c r="C906" s="108"/>
      <c r="D906" s="24" t="s">
        <v>313</v>
      </c>
      <c r="E906" s="115">
        <v>12</v>
      </c>
      <c r="F906" s="21">
        <v>25</v>
      </c>
      <c r="G906" s="21">
        <f t="shared" si="43"/>
        <v>13</v>
      </c>
      <c r="H906" s="8" t="s">
        <v>240</v>
      </c>
      <c r="I906" s="23"/>
      <c r="J906" s="81"/>
      <c r="K906" s="74">
        <v>43787</v>
      </c>
    </row>
    <row r="907" spans="1:11" ht="15.75" outlineLevel="1">
      <c r="A907" s="8">
        <v>134</v>
      </c>
      <c r="B907" s="19" t="s">
        <v>728</v>
      </c>
      <c r="C907" s="108" t="s">
        <v>629</v>
      </c>
      <c r="D907" s="24" t="s">
        <v>787</v>
      </c>
      <c r="E907" s="115">
        <v>30</v>
      </c>
      <c r="F907" s="21">
        <v>50</v>
      </c>
      <c r="G907" s="21">
        <f t="shared" si="43"/>
        <v>20</v>
      </c>
      <c r="H907" s="8" t="s">
        <v>240</v>
      </c>
      <c r="I907" s="23"/>
      <c r="J907" s="103"/>
      <c r="K907" s="74">
        <v>43788</v>
      </c>
    </row>
    <row r="908" spans="1:11" ht="15.75" outlineLevel="1">
      <c r="A908" s="8">
        <v>135</v>
      </c>
      <c r="B908" s="19" t="s">
        <v>728</v>
      </c>
      <c r="C908" s="108" t="s">
        <v>629</v>
      </c>
      <c r="D908" s="24" t="s">
        <v>787</v>
      </c>
      <c r="E908" s="115">
        <v>30</v>
      </c>
      <c r="F908" s="21">
        <v>50</v>
      </c>
      <c r="G908" s="21">
        <f t="shared" si="43"/>
        <v>20</v>
      </c>
      <c r="H908" s="8" t="s">
        <v>240</v>
      </c>
      <c r="I908" s="23"/>
      <c r="J908" s="103"/>
      <c r="K908" s="74">
        <v>43788</v>
      </c>
    </row>
    <row r="909" spans="1:11" ht="15.75" outlineLevel="1">
      <c r="A909" s="8">
        <v>136</v>
      </c>
      <c r="B909" s="19" t="s">
        <v>728</v>
      </c>
      <c r="C909" s="108" t="s">
        <v>630</v>
      </c>
      <c r="D909" s="24" t="s">
        <v>787</v>
      </c>
      <c r="E909" s="115">
        <v>30</v>
      </c>
      <c r="F909" s="21">
        <v>50</v>
      </c>
      <c r="G909" s="21">
        <f t="shared" si="43"/>
        <v>20</v>
      </c>
      <c r="H909" s="8" t="s">
        <v>240</v>
      </c>
      <c r="I909" s="23"/>
      <c r="J909" s="103"/>
      <c r="K909" s="74">
        <v>43788</v>
      </c>
    </row>
    <row r="910" spans="1:11" ht="15.75" outlineLevel="1">
      <c r="A910" s="8">
        <v>137</v>
      </c>
      <c r="B910" s="19" t="s">
        <v>788</v>
      </c>
      <c r="C910" s="108"/>
      <c r="D910" s="24" t="s">
        <v>789</v>
      </c>
      <c r="E910" s="115">
        <v>24</v>
      </c>
      <c r="F910" s="21">
        <v>50</v>
      </c>
      <c r="G910" s="21">
        <f t="shared" si="43"/>
        <v>26</v>
      </c>
      <c r="H910" s="8" t="s">
        <v>240</v>
      </c>
      <c r="I910" s="23"/>
      <c r="J910" s="103"/>
      <c r="K910" s="74">
        <v>43788</v>
      </c>
    </row>
    <row r="911" spans="1:11" ht="15.75" outlineLevel="1">
      <c r="A911" s="8">
        <v>138</v>
      </c>
      <c r="B911" s="19" t="s">
        <v>712</v>
      </c>
      <c r="C911" s="108"/>
      <c r="D911" s="24" t="s">
        <v>313</v>
      </c>
      <c r="E911" s="115">
        <v>13</v>
      </c>
      <c r="F911" s="21">
        <v>25</v>
      </c>
      <c r="G911" s="21">
        <f t="shared" si="43"/>
        <v>12</v>
      </c>
      <c r="H911" s="8" t="s">
        <v>240</v>
      </c>
      <c r="I911" s="23"/>
      <c r="J911" s="103"/>
      <c r="K911" s="74">
        <v>43788</v>
      </c>
    </row>
    <row r="912" spans="1:11" ht="15.75" outlineLevel="1">
      <c r="A912" s="8">
        <v>139</v>
      </c>
      <c r="B912" s="19" t="s">
        <v>791</v>
      </c>
      <c r="C912" s="108"/>
      <c r="D912" s="24" t="s">
        <v>792</v>
      </c>
      <c r="E912" s="115">
        <v>5.8</v>
      </c>
      <c r="F912" s="21">
        <v>10</v>
      </c>
      <c r="G912" s="21">
        <f t="shared" si="43"/>
        <v>4.2</v>
      </c>
      <c r="H912" s="8" t="s">
        <v>240</v>
      </c>
      <c r="I912" s="74">
        <v>43788</v>
      </c>
      <c r="J912" s="103"/>
      <c r="K912" s="74">
        <v>43788</v>
      </c>
    </row>
    <row r="913" spans="1:13" ht="15.75" outlineLevel="1">
      <c r="A913" s="8">
        <v>140</v>
      </c>
      <c r="B913" s="19" t="s">
        <v>791</v>
      </c>
      <c r="C913" s="108"/>
      <c r="D913" s="24" t="s">
        <v>792</v>
      </c>
      <c r="E913" s="115">
        <v>5.8</v>
      </c>
      <c r="F913" s="21">
        <v>10</v>
      </c>
      <c r="G913" s="21">
        <f t="shared" si="43"/>
        <v>4.2</v>
      </c>
      <c r="H913" s="8" t="s">
        <v>240</v>
      </c>
      <c r="I913" s="74">
        <v>43788</v>
      </c>
      <c r="J913" s="81"/>
      <c r="K913" s="74">
        <v>43788</v>
      </c>
    </row>
    <row r="914" spans="1:13" ht="15.75" outlineLevel="1">
      <c r="A914" s="8">
        <v>141</v>
      </c>
      <c r="B914" s="19" t="s">
        <v>728</v>
      </c>
      <c r="C914" s="108" t="s">
        <v>629</v>
      </c>
      <c r="D914" s="24" t="s">
        <v>794</v>
      </c>
      <c r="E914" s="115">
        <v>30</v>
      </c>
      <c r="F914" s="21">
        <v>60</v>
      </c>
      <c r="G914" s="21">
        <f t="shared" si="43"/>
        <v>30</v>
      </c>
      <c r="H914" s="8" t="s">
        <v>240</v>
      </c>
      <c r="I914" s="23"/>
      <c r="J914" s="103"/>
      <c r="K914" s="74">
        <v>43789</v>
      </c>
    </row>
    <row r="915" spans="1:13" ht="15.75" outlineLevel="1">
      <c r="A915" s="8">
        <v>142</v>
      </c>
      <c r="B915" s="19" t="s">
        <v>796</v>
      </c>
      <c r="C915" s="108"/>
      <c r="D915" s="24" t="s">
        <v>797</v>
      </c>
      <c r="E915" s="115">
        <v>13.5</v>
      </c>
      <c r="F915" s="21">
        <v>20</v>
      </c>
      <c r="G915" s="21">
        <f t="shared" si="43"/>
        <v>6.5</v>
      </c>
      <c r="H915" s="8" t="s">
        <v>240</v>
      </c>
      <c r="I915" s="23"/>
      <c r="J915" s="103"/>
      <c r="K915" s="74">
        <v>43789</v>
      </c>
    </row>
    <row r="916" spans="1:13" ht="15.75" outlineLevel="1">
      <c r="A916" s="8">
        <v>143</v>
      </c>
      <c r="B916" s="19" t="s">
        <v>795</v>
      </c>
      <c r="C916" s="108"/>
      <c r="D916" s="24"/>
      <c r="E916" s="115">
        <v>0</v>
      </c>
      <c r="F916" s="21">
        <v>40</v>
      </c>
      <c r="G916" s="21">
        <f t="shared" si="43"/>
        <v>40</v>
      </c>
      <c r="H916" s="8" t="s">
        <v>240</v>
      </c>
      <c r="I916" s="23"/>
      <c r="J916" s="103"/>
      <c r="K916" s="74">
        <v>43789</v>
      </c>
    </row>
    <row r="917" spans="1:13" ht="15.75" outlineLevel="1">
      <c r="A917" s="8">
        <v>144</v>
      </c>
      <c r="B917" s="19" t="s">
        <v>614</v>
      </c>
      <c r="C917" s="108"/>
      <c r="D917" s="24" t="s">
        <v>793</v>
      </c>
      <c r="E917" s="115">
        <v>39</v>
      </c>
      <c r="F917" s="21">
        <v>50</v>
      </c>
      <c r="G917" s="21">
        <f t="shared" si="43"/>
        <v>11</v>
      </c>
      <c r="H917" s="8" t="s">
        <v>240</v>
      </c>
      <c r="I917" s="23"/>
      <c r="J917" s="103"/>
      <c r="K917" s="74">
        <v>43789</v>
      </c>
    </row>
    <row r="918" spans="1:13" ht="15.75" outlineLevel="1">
      <c r="A918" s="8">
        <v>145</v>
      </c>
      <c r="B918" s="19" t="s">
        <v>614</v>
      </c>
      <c r="C918" s="108"/>
      <c r="D918" s="24" t="s">
        <v>793</v>
      </c>
      <c r="E918" s="115">
        <v>39</v>
      </c>
      <c r="F918" s="21">
        <v>50</v>
      </c>
      <c r="G918" s="21">
        <f t="shared" si="43"/>
        <v>11</v>
      </c>
      <c r="H918" s="8" t="s">
        <v>240</v>
      </c>
      <c r="I918" s="74">
        <v>43789</v>
      </c>
      <c r="J918" s="103"/>
      <c r="K918" s="74">
        <v>43789</v>
      </c>
    </row>
    <row r="919" spans="1:13" ht="15.75" outlineLevel="1">
      <c r="A919" s="8">
        <v>146</v>
      </c>
      <c r="B919" s="19" t="s">
        <v>614</v>
      </c>
      <c r="C919" s="108"/>
      <c r="D919" s="24" t="s">
        <v>793</v>
      </c>
      <c r="E919" s="115">
        <v>39</v>
      </c>
      <c r="F919" s="21">
        <v>50</v>
      </c>
      <c r="G919" s="21">
        <f t="shared" si="43"/>
        <v>11</v>
      </c>
      <c r="H919" s="8" t="s">
        <v>240</v>
      </c>
      <c r="I919" s="74">
        <v>43789</v>
      </c>
      <c r="J919" s="103"/>
      <c r="K919" s="74">
        <v>43789</v>
      </c>
    </row>
    <row r="920" spans="1:13" ht="15.75" outlineLevel="1">
      <c r="A920" s="8">
        <v>147</v>
      </c>
      <c r="B920" s="19" t="s">
        <v>614</v>
      </c>
      <c r="C920" s="108"/>
      <c r="D920" s="24" t="s">
        <v>793</v>
      </c>
      <c r="E920" s="115">
        <v>39</v>
      </c>
      <c r="F920" s="21">
        <v>50</v>
      </c>
      <c r="G920" s="21">
        <f t="shared" si="43"/>
        <v>11</v>
      </c>
      <c r="H920" s="8" t="s">
        <v>240</v>
      </c>
      <c r="I920" s="74">
        <v>43789</v>
      </c>
      <c r="J920" s="103"/>
      <c r="K920" s="74">
        <v>43789</v>
      </c>
      <c r="L920" s="15"/>
      <c r="M920" s="86"/>
    </row>
    <row r="921" spans="1:13" ht="15.75" outlineLevel="1">
      <c r="A921" s="8">
        <v>148</v>
      </c>
      <c r="B921" s="19" t="s">
        <v>614</v>
      </c>
      <c r="C921" s="108"/>
      <c r="D921" s="24" t="s">
        <v>793</v>
      </c>
      <c r="E921" s="115">
        <v>39</v>
      </c>
      <c r="F921" s="21">
        <v>50</v>
      </c>
      <c r="G921" s="21">
        <f t="shared" si="43"/>
        <v>11</v>
      </c>
      <c r="H921" s="8" t="s">
        <v>240</v>
      </c>
      <c r="I921" s="74">
        <v>43789</v>
      </c>
      <c r="J921" s="103"/>
      <c r="K921" s="74">
        <v>43789</v>
      </c>
      <c r="L921" s="15"/>
      <c r="M921" s="86"/>
    </row>
    <row r="922" spans="1:13" ht="15.75" outlineLevel="1">
      <c r="A922" s="8">
        <v>149</v>
      </c>
      <c r="B922" s="19" t="s">
        <v>790</v>
      </c>
      <c r="C922" s="108"/>
      <c r="D922" s="24"/>
      <c r="E922" s="115">
        <v>35</v>
      </c>
      <c r="F922" s="21">
        <v>80</v>
      </c>
      <c r="G922" s="21">
        <f t="shared" ref="G922:G934" si="44">F922-E922</f>
        <v>45</v>
      </c>
      <c r="H922" s="8" t="s">
        <v>240</v>
      </c>
      <c r="I922" s="23"/>
      <c r="J922" s="103"/>
      <c r="K922" s="74">
        <v>43789</v>
      </c>
      <c r="L922" s="15"/>
      <c r="M922" s="86"/>
    </row>
    <row r="923" spans="1:13" ht="15.75" outlineLevel="1">
      <c r="A923" s="8">
        <v>150</v>
      </c>
      <c r="B923" s="19" t="s">
        <v>728</v>
      </c>
      <c r="C923" s="108" t="s">
        <v>630</v>
      </c>
      <c r="D923" s="24" t="s">
        <v>802</v>
      </c>
      <c r="E923" s="115">
        <v>30</v>
      </c>
      <c r="F923" s="21">
        <v>70</v>
      </c>
      <c r="G923" s="21">
        <f t="shared" si="44"/>
        <v>40</v>
      </c>
      <c r="H923" s="8" t="s">
        <v>240</v>
      </c>
      <c r="I923" s="23"/>
      <c r="J923" s="103"/>
      <c r="K923" s="74">
        <v>43790</v>
      </c>
      <c r="L923" s="15"/>
      <c r="M923" s="86"/>
    </row>
    <row r="924" spans="1:13" ht="15.75" outlineLevel="1">
      <c r="A924" s="8">
        <v>151</v>
      </c>
      <c r="B924" s="19" t="s">
        <v>728</v>
      </c>
      <c r="C924" s="108" t="s">
        <v>648</v>
      </c>
      <c r="D924" s="24" t="s">
        <v>800</v>
      </c>
      <c r="E924" s="115">
        <v>30</v>
      </c>
      <c r="F924" s="21">
        <v>60</v>
      </c>
      <c r="G924" s="21">
        <f t="shared" si="44"/>
        <v>30</v>
      </c>
      <c r="H924" s="8" t="s">
        <v>240</v>
      </c>
      <c r="I924" s="23"/>
      <c r="J924" s="103"/>
      <c r="K924" s="74">
        <v>43790</v>
      </c>
      <c r="L924" s="15"/>
      <c r="M924" s="86"/>
    </row>
    <row r="925" spans="1:13" ht="15.75" outlineLevel="1">
      <c r="A925" s="8">
        <v>152</v>
      </c>
      <c r="B925" s="19" t="s">
        <v>728</v>
      </c>
      <c r="C925" s="108" t="s">
        <v>648</v>
      </c>
      <c r="D925" s="24" t="s">
        <v>801</v>
      </c>
      <c r="E925" s="115">
        <v>30</v>
      </c>
      <c r="F925" s="21">
        <v>60</v>
      </c>
      <c r="G925" s="21">
        <f t="shared" si="44"/>
        <v>30</v>
      </c>
      <c r="H925" s="8" t="s">
        <v>240</v>
      </c>
      <c r="I925" s="23"/>
      <c r="J925" s="103"/>
      <c r="K925" s="74">
        <v>43790</v>
      </c>
      <c r="L925" s="15"/>
      <c r="M925" s="86"/>
    </row>
    <row r="926" spans="1:13" ht="15.75" outlineLevel="1">
      <c r="A926" s="8">
        <v>153</v>
      </c>
      <c r="B926" s="19" t="s">
        <v>728</v>
      </c>
      <c r="C926" s="108" t="s">
        <v>629</v>
      </c>
      <c r="D926" s="24"/>
      <c r="E926" s="115">
        <v>30</v>
      </c>
      <c r="F926" s="21">
        <v>60</v>
      </c>
      <c r="G926" s="21">
        <f t="shared" si="44"/>
        <v>30</v>
      </c>
      <c r="H926" s="8" t="s">
        <v>240</v>
      </c>
      <c r="I926" s="23"/>
      <c r="J926" s="103"/>
      <c r="K926" s="74">
        <v>43790</v>
      </c>
      <c r="L926" s="15"/>
      <c r="M926" s="86"/>
    </row>
    <row r="927" spans="1:13" ht="15.75" outlineLevel="1">
      <c r="A927" s="8">
        <v>154</v>
      </c>
      <c r="B927" s="19" t="s">
        <v>728</v>
      </c>
      <c r="C927" s="108" t="s">
        <v>630</v>
      </c>
      <c r="D927" s="24"/>
      <c r="E927" s="115">
        <v>30</v>
      </c>
      <c r="F927" s="21">
        <v>60</v>
      </c>
      <c r="G927" s="21">
        <f t="shared" si="44"/>
        <v>30</v>
      </c>
      <c r="H927" s="8" t="s">
        <v>240</v>
      </c>
      <c r="I927" s="23"/>
      <c r="J927" s="103"/>
      <c r="K927" s="74">
        <v>43790</v>
      </c>
      <c r="L927" s="15"/>
      <c r="M927" s="15"/>
    </row>
    <row r="928" spans="1:13" ht="15.75" outlineLevel="1">
      <c r="A928" s="8">
        <v>155</v>
      </c>
      <c r="B928" s="19" t="s">
        <v>788</v>
      </c>
      <c r="C928" s="108"/>
      <c r="D928" s="24" t="s">
        <v>799</v>
      </c>
      <c r="E928" s="115">
        <v>24</v>
      </c>
      <c r="F928" s="21">
        <v>50</v>
      </c>
      <c r="G928" s="21">
        <f t="shared" si="44"/>
        <v>26</v>
      </c>
      <c r="H928" s="8" t="s">
        <v>240</v>
      </c>
      <c r="I928" s="23"/>
      <c r="J928" s="81"/>
      <c r="K928" s="74">
        <v>43790</v>
      </c>
      <c r="L928" s="15"/>
      <c r="M928" s="15"/>
    </row>
    <row r="929" spans="1:13" s="130" customFormat="1" ht="15.75" outlineLevel="1">
      <c r="A929" s="8">
        <v>156</v>
      </c>
      <c r="B929" s="19" t="s">
        <v>636</v>
      </c>
      <c r="C929" s="108"/>
      <c r="D929" s="24" t="s">
        <v>798</v>
      </c>
      <c r="E929" s="115">
        <v>2.5</v>
      </c>
      <c r="F929" s="21">
        <v>10</v>
      </c>
      <c r="G929" s="21">
        <f t="shared" si="44"/>
        <v>7.5</v>
      </c>
      <c r="H929" s="8" t="s">
        <v>240</v>
      </c>
      <c r="I929" s="23"/>
      <c r="J929" s="103"/>
      <c r="K929" s="74">
        <v>43790</v>
      </c>
      <c r="L929" s="124"/>
      <c r="M929" s="124"/>
    </row>
    <row r="930" spans="1:13" ht="15.75" outlineLevel="1">
      <c r="A930" s="8">
        <v>157</v>
      </c>
      <c r="B930" s="19" t="s">
        <v>728</v>
      </c>
      <c r="C930" s="108" t="s">
        <v>629</v>
      </c>
      <c r="D930" s="24" t="s">
        <v>807</v>
      </c>
      <c r="E930" s="115">
        <v>30</v>
      </c>
      <c r="F930" s="21">
        <v>58</v>
      </c>
      <c r="G930" s="21">
        <f t="shared" si="44"/>
        <v>28</v>
      </c>
      <c r="H930" s="8" t="s">
        <v>240</v>
      </c>
      <c r="I930" s="17"/>
      <c r="J930" s="103"/>
      <c r="K930" s="74">
        <v>43791</v>
      </c>
      <c r="L930" s="15"/>
      <c r="M930" s="15"/>
    </row>
    <row r="931" spans="1:13" ht="15.75" outlineLevel="1">
      <c r="A931" s="8">
        <v>158</v>
      </c>
      <c r="B931" s="19" t="s">
        <v>728</v>
      </c>
      <c r="C931" s="108" t="s">
        <v>648</v>
      </c>
      <c r="D931" s="24" t="s">
        <v>803</v>
      </c>
      <c r="E931" s="115">
        <v>30</v>
      </c>
      <c r="F931" s="21">
        <v>60</v>
      </c>
      <c r="G931" s="21">
        <f t="shared" si="44"/>
        <v>30</v>
      </c>
      <c r="H931" s="8" t="s">
        <v>240</v>
      </c>
      <c r="I931" s="17"/>
      <c r="J931" s="103"/>
      <c r="K931" s="74">
        <v>43791</v>
      </c>
      <c r="L931" s="15"/>
      <c r="M931" s="15"/>
    </row>
    <row r="932" spans="1:13" ht="15.75" outlineLevel="1">
      <c r="A932" s="8">
        <v>159</v>
      </c>
      <c r="B932" s="19" t="s">
        <v>728</v>
      </c>
      <c r="C932" s="108" t="s">
        <v>630</v>
      </c>
      <c r="D932" s="24" t="s">
        <v>804</v>
      </c>
      <c r="E932" s="115">
        <v>30</v>
      </c>
      <c r="F932" s="21">
        <v>75</v>
      </c>
      <c r="G932" s="21">
        <f t="shared" si="44"/>
        <v>45</v>
      </c>
      <c r="H932" s="8" t="s">
        <v>240</v>
      </c>
      <c r="I932" s="17"/>
      <c r="J932" s="103"/>
      <c r="K932" s="74">
        <v>43791</v>
      </c>
      <c r="L932" s="15"/>
      <c r="M932" s="15"/>
    </row>
    <row r="933" spans="1:13" ht="15.75" outlineLevel="1">
      <c r="A933" s="8">
        <v>160</v>
      </c>
      <c r="B933" s="19" t="s">
        <v>765</v>
      </c>
      <c r="C933" s="108" t="s">
        <v>757</v>
      </c>
      <c r="D933" s="24" t="s">
        <v>804</v>
      </c>
      <c r="E933" s="115">
        <v>12</v>
      </c>
      <c r="F933" s="21">
        <v>30</v>
      </c>
      <c r="G933" s="21">
        <f t="shared" si="44"/>
        <v>18</v>
      </c>
      <c r="H933" s="8" t="s">
        <v>240</v>
      </c>
      <c r="I933" s="23"/>
      <c r="J933" s="81"/>
      <c r="K933" s="74">
        <v>43791</v>
      </c>
      <c r="L933" s="15"/>
      <c r="M933" s="15"/>
    </row>
    <row r="934" spans="1:13" ht="15.75" outlineLevel="1">
      <c r="A934" s="8">
        <v>161</v>
      </c>
      <c r="B934" s="19" t="s">
        <v>762</v>
      </c>
      <c r="C934" s="108"/>
      <c r="D934" s="24"/>
      <c r="E934" s="115">
        <v>50</v>
      </c>
      <c r="F934" s="21">
        <v>110</v>
      </c>
      <c r="G934" s="21">
        <f t="shared" si="44"/>
        <v>60</v>
      </c>
      <c r="H934" s="8" t="s">
        <v>240</v>
      </c>
      <c r="I934" s="74"/>
      <c r="J934" s="81"/>
      <c r="K934" s="74">
        <v>43791</v>
      </c>
      <c r="L934" s="15"/>
      <c r="M934" s="15"/>
    </row>
  </sheetData>
  <mergeCells count="7">
    <mergeCell ref="A1:D1"/>
    <mergeCell ref="A43:D43"/>
    <mergeCell ref="A683:D683"/>
    <mergeCell ref="A568:D568"/>
    <mergeCell ref="A111:D111"/>
    <mergeCell ref="A476:D476"/>
    <mergeCell ref="A323:D323"/>
  </mergeCells>
  <conditionalFormatting sqref="B1:B852">
    <cfRule type="expression" dxfId="55" priority="18">
      <formula>H1 = "Tem que compra"</formula>
    </cfRule>
    <cfRule type="expression" dxfId="54" priority="19">
      <formula>H1 = "Atacado"</formula>
    </cfRule>
  </conditionalFormatting>
  <conditionalFormatting sqref="B1:B934">
    <cfRule type="expression" dxfId="53" priority="10">
      <formula>H1 = "Vendido"</formula>
    </cfRule>
    <cfRule type="expression" dxfId="52" priority="11">
      <formula>H1 = "Estoque"</formula>
    </cfRule>
    <cfRule type="expression" dxfId="51" priority="12">
      <formula>H1 = "Pendente"</formula>
    </cfRule>
  </conditionalFormatting>
  <conditionalFormatting sqref="B853:B934">
    <cfRule type="expression" dxfId="50" priority="9">
      <formula>H853 = "Entregar"</formula>
    </cfRule>
    <cfRule type="expression" dxfId="49" priority="13">
      <formula>H853 = "Tem que compra"</formula>
    </cfRule>
    <cfRule type="expression" dxfId="48" priority="14">
      <formula>H853 = "Atacado"</formula>
    </cfRule>
  </conditionalFormatting>
  <conditionalFormatting sqref="H1:H852">
    <cfRule type="expression" dxfId="47" priority="20">
      <formula>H1 = "Tem que compra"</formula>
    </cfRule>
    <cfRule type="expression" dxfId="46" priority="21">
      <formula>H1 = "Atacado"</formula>
    </cfRule>
    <cfRule type="expression" dxfId="45" priority="22">
      <formula>H1 = "Pedidos"</formula>
    </cfRule>
    <cfRule type="expression" dxfId="44" priority="23">
      <formula>H1 = "Não tem!"</formula>
    </cfRule>
    <cfRule type="expression" dxfId="43" priority="24">
      <formula>H1 = "Estoque"</formula>
    </cfRule>
    <cfRule type="expression" dxfId="42" priority="25">
      <formula>H1 = "Pendente"</formula>
    </cfRule>
    <cfRule type="expression" dxfId="41" priority="26">
      <formula>H1 = "Vendido"</formula>
    </cfRule>
  </conditionalFormatting>
  <conditionalFormatting sqref="H853:H934">
    <cfRule type="expression" dxfId="40" priority="1">
      <formula>H853 ="Entregar"</formula>
    </cfRule>
    <cfRule type="expression" dxfId="39" priority="2">
      <formula>H853 = "Tem que compra"</formula>
    </cfRule>
    <cfRule type="expression" dxfId="38" priority="3">
      <formula>H853 = "Atacado"</formula>
    </cfRule>
    <cfRule type="expression" dxfId="37" priority="4">
      <formula>H853 = "Pedidos"</formula>
    </cfRule>
    <cfRule type="expression" dxfId="36" priority="5">
      <formula>H853 = "Não tem!"</formula>
    </cfRule>
    <cfRule type="expression" dxfId="35" priority="6">
      <formula>H853 = "Estoque"</formula>
    </cfRule>
    <cfRule type="expression" dxfId="34" priority="7">
      <formula>H853 = "Pendente"</formula>
    </cfRule>
    <cfRule type="expression" dxfId="33" priority="8">
      <formula>H853 = "Vendido"</formula>
    </cfRule>
  </conditionalFormatting>
  <pageMargins left="0.511811024" right="0.511811024" top="0.78740157499999996" bottom="0.78740157499999996" header="0.31496062000000002" footer="0.3149606200000000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G692"/>
  <sheetViews>
    <sheetView tabSelected="1" zoomScaleNormal="100" workbookViewId="0">
      <pane ySplit="1" topLeftCell="A607" activePane="bottomLeft" state="frozen"/>
      <selection activeCell="F699" sqref="F699"/>
      <selection pane="bottomLeft" activeCell="G607" sqref="G607"/>
    </sheetView>
  </sheetViews>
  <sheetFormatPr defaultRowHeight="18.75"/>
  <cols>
    <col min="1" max="1" width="4.7109375" bestFit="1" customWidth="1"/>
    <col min="2" max="2" width="43" style="13" customWidth="1"/>
    <col min="3" max="3" width="31" style="13" bestFit="1" customWidth="1"/>
    <col min="4" max="4" width="14.7109375" style="2" customWidth="1"/>
    <col min="5" max="5" width="13.140625" customWidth="1"/>
    <col min="6" max="6" width="14.7109375" customWidth="1"/>
    <col min="7" max="7" width="10.85546875" customWidth="1"/>
  </cols>
  <sheetData>
    <row r="1" spans="1:7" ht="15">
      <c r="A1" s="148" t="s">
        <v>816</v>
      </c>
      <c r="B1" s="148" t="s">
        <v>20</v>
      </c>
      <c r="C1" s="148" t="s">
        <v>35</v>
      </c>
      <c r="D1" s="149" t="s">
        <v>814</v>
      </c>
      <c r="E1" s="150" t="s">
        <v>813</v>
      </c>
      <c r="F1" s="150" t="s">
        <v>34</v>
      </c>
      <c r="G1" s="151" t="s">
        <v>21</v>
      </c>
    </row>
    <row r="2" spans="1:7" ht="15">
      <c r="A2" s="46">
        <v>1</v>
      </c>
      <c r="B2" s="152" t="s">
        <v>29</v>
      </c>
      <c r="C2" s="152"/>
      <c r="D2" s="145">
        <v>10</v>
      </c>
      <c r="E2" s="146">
        <v>0</v>
      </c>
      <c r="F2" s="146">
        <f>D2-E2</f>
        <v>10</v>
      </c>
      <c r="G2" s="147" t="s">
        <v>815</v>
      </c>
    </row>
    <row r="3" spans="1:7" ht="15">
      <c r="A3" s="46">
        <v>1</v>
      </c>
      <c r="B3" s="152" t="s">
        <v>30</v>
      </c>
      <c r="C3" s="152"/>
      <c r="D3" s="145">
        <v>300</v>
      </c>
      <c r="E3" s="146">
        <v>0</v>
      </c>
      <c r="F3" s="146">
        <f t="shared" ref="F3:F66" si="0">D3-E3</f>
        <v>300</v>
      </c>
      <c r="G3" s="147" t="s">
        <v>815</v>
      </c>
    </row>
    <row r="4" spans="1:7" ht="15">
      <c r="A4" s="46">
        <v>2</v>
      </c>
      <c r="B4" s="153" t="s">
        <v>354</v>
      </c>
      <c r="C4" s="153"/>
      <c r="D4" s="145">
        <v>15</v>
      </c>
      <c r="E4" s="146">
        <v>0</v>
      </c>
      <c r="F4" s="146">
        <f t="shared" si="0"/>
        <v>15</v>
      </c>
      <c r="G4" s="147" t="s">
        <v>815</v>
      </c>
    </row>
    <row r="5" spans="1:7" ht="15">
      <c r="A5" s="46">
        <v>2</v>
      </c>
      <c r="B5" s="153" t="s">
        <v>354</v>
      </c>
      <c r="C5" s="153"/>
      <c r="D5" s="145">
        <v>30</v>
      </c>
      <c r="E5" s="146">
        <v>0</v>
      </c>
      <c r="F5" s="146">
        <f t="shared" si="0"/>
        <v>30</v>
      </c>
      <c r="G5" s="147" t="s">
        <v>815</v>
      </c>
    </row>
    <row r="6" spans="1:7" ht="15">
      <c r="A6" s="46">
        <v>3</v>
      </c>
      <c r="B6" s="46" t="s">
        <v>78</v>
      </c>
      <c r="C6" s="40" t="s">
        <v>76</v>
      </c>
      <c r="D6" s="154">
        <v>10</v>
      </c>
      <c r="E6" s="155">
        <v>0</v>
      </c>
      <c r="F6" s="146">
        <f t="shared" si="0"/>
        <v>10</v>
      </c>
      <c r="G6" s="147" t="s">
        <v>815</v>
      </c>
    </row>
    <row r="7" spans="1:7" ht="15">
      <c r="A7" s="46">
        <v>3</v>
      </c>
      <c r="B7" s="46" t="s">
        <v>84</v>
      </c>
      <c r="C7" s="40" t="s">
        <v>76</v>
      </c>
      <c r="D7" s="154">
        <v>35</v>
      </c>
      <c r="E7" s="155">
        <v>17</v>
      </c>
      <c r="F7" s="146">
        <f t="shared" si="0"/>
        <v>18</v>
      </c>
      <c r="G7" s="147" t="s">
        <v>815</v>
      </c>
    </row>
    <row r="8" spans="1:7" ht="15">
      <c r="A8" s="46">
        <v>3</v>
      </c>
      <c r="B8" s="46" t="s">
        <v>68</v>
      </c>
      <c r="C8" s="40" t="s">
        <v>75</v>
      </c>
      <c r="D8" s="154">
        <v>100</v>
      </c>
      <c r="E8" s="155">
        <v>55</v>
      </c>
      <c r="F8" s="146">
        <f t="shared" si="0"/>
        <v>45</v>
      </c>
      <c r="G8" s="147" t="s">
        <v>815</v>
      </c>
    </row>
    <row r="9" spans="1:7" ht="15">
      <c r="A9" s="46">
        <v>3</v>
      </c>
      <c r="B9" s="46" t="s">
        <v>53</v>
      </c>
      <c r="C9" s="40" t="s">
        <v>41</v>
      </c>
      <c r="D9" s="154">
        <v>105</v>
      </c>
      <c r="E9" s="155">
        <v>55</v>
      </c>
      <c r="F9" s="146">
        <f t="shared" si="0"/>
        <v>50</v>
      </c>
      <c r="G9" s="147" t="s">
        <v>815</v>
      </c>
    </row>
    <row r="10" spans="1:7" ht="15">
      <c r="A10" s="46">
        <v>3</v>
      </c>
      <c r="B10" s="46" t="s">
        <v>73</v>
      </c>
      <c r="C10" s="40" t="s">
        <v>85</v>
      </c>
      <c r="D10" s="154">
        <v>115</v>
      </c>
      <c r="E10" s="155">
        <v>65</v>
      </c>
      <c r="F10" s="146">
        <f t="shared" si="0"/>
        <v>50</v>
      </c>
      <c r="G10" s="147" t="s">
        <v>815</v>
      </c>
    </row>
    <row r="11" spans="1:7" ht="15">
      <c r="A11" s="46">
        <v>3</v>
      </c>
      <c r="B11" s="46" t="s">
        <v>44</v>
      </c>
      <c r="C11" s="40" t="s">
        <v>77</v>
      </c>
      <c r="D11" s="154">
        <v>50</v>
      </c>
      <c r="E11" s="155">
        <v>30</v>
      </c>
      <c r="F11" s="146">
        <f t="shared" si="0"/>
        <v>20</v>
      </c>
      <c r="G11" s="147" t="s">
        <v>815</v>
      </c>
    </row>
    <row r="12" spans="1:7" ht="15">
      <c r="A12" s="46">
        <v>3</v>
      </c>
      <c r="B12" s="46" t="s">
        <v>51</v>
      </c>
      <c r="C12" s="40" t="s">
        <v>38</v>
      </c>
      <c r="D12" s="154">
        <v>10</v>
      </c>
      <c r="E12" s="155">
        <v>10</v>
      </c>
      <c r="F12" s="146">
        <f t="shared" si="0"/>
        <v>0</v>
      </c>
      <c r="G12" s="147" t="s">
        <v>815</v>
      </c>
    </row>
    <row r="13" spans="1:7" ht="15">
      <c r="A13" s="46">
        <v>3</v>
      </c>
      <c r="B13" s="46" t="s">
        <v>73</v>
      </c>
      <c r="C13" s="40" t="s">
        <v>41</v>
      </c>
      <c r="D13" s="154">
        <v>115</v>
      </c>
      <c r="E13" s="155">
        <v>65</v>
      </c>
      <c r="F13" s="146">
        <f t="shared" si="0"/>
        <v>50</v>
      </c>
      <c r="G13" s="147" t="s">
        <v>815</v>
      </c>
    </row>
    <row r="14" spans="1:7" ht="15">
      <c r="A14" s="46">
        <v>3</v>
      </c>
      <c r="B14" s="46" t="s">
        <v>48</v>
      </c>
      <c r="C14" s="40" t="s">
        <v>41</v>
      </c>
      <c r="D14" s="154">
        <v>65</v>
      </c>
      <c r="E14" s="155">
        <v>28</v>
      </c>
      <c r="F14" s="146">
        <f t="shared" si="0"/>
        <v>37</v>
      </c>
      <c r="G14" s="147" t="s">
        <v>815</v>
      </c>
    </row>
    <row r="15" spans="1:7" ht="15">
      <c r="A15" s="46">
        <v>3</v>
      </c>
      <c r="B15" s="46" t="s">
        <v>43</v>
      </c>
      <c r="C15" s="40" t="s">
        <v>38</v>
      </c>
      <c r="D15" s="154">
        <v>5</v>
      </c>
      <c r="E15" s="155">
        <v>2</v>
      </c>
      <c r="F15" s="146">
        <f t="shared" si="0"/>
        <v>3</v>
      </c>
      <c r="G15" s="147" t="s">
        <v>815</v>
      </c>
    </row>
    <row r="16" spans="1:7" ht="15">
      <c r="A16" s="46">
        <v>3</v>
      </c>
      <c r="B16" s="46" t="s">
        <v>48</v>
      </c>
      <c r="C16" s="40" t="s">
        <v>49</v>
      </c>
      <c r="D16" s="154">
        <v>30</v>
      </c>
      <c r="E16" s="155">
        <v>28</v>
      </c>
      <c r="F16" s="146">
        <f t="shared" si="0"/>
        <v>2</v>
      </c>
      <c r="G16" s="147" t="s">
        <v>815</v>
      </c>
    </row>
    <row r="17" spans="1:7" ht="15">
      <c r="A17" s="46">
        <v>3</v>
      </c>
      <c r="B17" s="46" t="s">
        <v>82</v>
      </c>
      <c r="C17" s="40" t="s">
        <v>38</v>
      </c>
      <c r="D17" s="154">
        <v>5</v>
      </c>
      <c r="E17" s="155">
        <v>3</v>
      </c>
      <c r="F17" s="146">
        <f t="shared" si="0"/>
        <v>2</v>
      </c>
      <c r="G17" s="147" t="s">
        <v>815</v>
      </c>
    </row>
    <row r="18" spans="1:7" ht="15">
      <c r="A18" s="46">
        <v>3</v>
      </c>
      <c r="B18" s="46" t="s">
        <v>83</v>
      </c>
      <c r="C18" s="40" t="s">
        <v>38</v>
      </c>
      <c r="D18" s="154">
        <v>10</v>
      </c>
      <c r="E18" s="155">
        <v>8</v>
      </c>
      <c r="F18" s="146">
        <f t="shared" si="0"/>
        <v>2</v>
      </c>
      <c r="G18" s="147" t="s">
        <v>815</v>
      </c>
    </row>
    <row r="19" spans="1:7" ht="15">
      <c r="A19" s="46">
        <v>3</v>
      </c>
      <c r="B19" s="46" t="s">
        <v>47</v>
      </c>
      <c r="C19" s="40" t="s">
        <v>55</v>
      </c>
      <c r="D19" s="154">
        <v>6</v>
      </c>
      <c r="E19" s="155">
        <v>3</v>
      </c>
      <c r="F19" s="146">
        <f t="shared" si="0"/>
        <v>3</v>
      </c>
      <c r="G19" s="147" t="s">
        <v>815</v>
      </c>
    </row>
    <row r="20" spans="1:7" ht="15">
      <c r="A20" s="46">
        <v>3</v>
      </c>
      <c r="B20" s="46" t="s">
        <v>33</v>
      </c>
      <c r="C20" s="40" t="s">
        <v>56</v>
      </c>
      <c r="D20" s="154">
        <v>20</v>
      </c>
      <c r="E20" s="155">
        <v>16</v>
      </c>
      <c r="F20" s="146">
        <f t="shared" si="0"/>
        <v>4</v>
      </c>
      <c r="G20" s="147" t="s">
        <v>815</v>
      </c>
    </row>
    <row r="21" spans="1:7" ht="15">
      <c r="A21" s="46">
        <v>3</v>
      </c>
      <c r="B21" s="46" t="s">
        <v>46</v>
      </c>
      <c r="C21" s="40" t="s">
        <v>37</v>
      </c>
      <c r="D21" s="154">
        <v>12</v>
      </c>
      <c r="E21" s="155">
        <v>6</v>
      </c>
      <c r="F21" s="146">
        <f t="shared" si="0"/>
        <v>6</v>
      </c>
      <c r="G21" s="147" t="s">
        <v>815</v>
      </c>
    </row>
    <row r="22" spans="1:7" ht="15">
      <c r="A22" s="46">
        <v>3</v>
      </c>
      <c r="B22" s="46" t="s">
        <v>47</v>
      </c>
      <c r="C22" s="40" t="s">
        <v>37</v>
      </c>
      <c r="D22" s="154">
        <v>18</v>
      </c>
      <c r="E22" s="155">
        <v>12</v>
      </c>
      <c r="F22" s="146">
        <f t="shared" si="0"/>
        <v>6</v>
      </c>
      <c r="G22" s="147" t="s">
        <v>815</v>
      </c>
    </row>
    <row r="23" spans="1:7" ht="15">
      <c r="A23" s="46">
        <v>3</v>
      </c>
      <c r="B23" s="46" t="s">
        <v>46</v>
      </c>
      <c r="C23" s="40" t="s">
        <v>55</v>
      </c>
      <c r="D23" s="154">
        <v>12</v>
      </c>
      <c r="E23" s="155">
        <v>6</v>
      </c>
      <c r="F23" s="146">
        <f t="shared" si="0"/>
        <v>6</v>
      </c>
      <c r="G23" s="147" t="s">
        <v>815</v>
      </c>
    </row>
    <row r="24" spans="1:7" ht="15">
      <c r="A24" s="46">
        <v>3</v>
      </c>
      <c r="B24" s="46" t="s">
        <v>32</v>
      </c>
      <c r="C24" s="40" t="s">
        <v>37</v>
      </c>
      <c r="D24" s="154">
        <v>20</v>
      </c>
      <c r="E24" s="155">
        <v>13</v>
      </c>
      <c r="F24" s="146">
        <f t="shared" si="0"/>
        <v>7</v>
      </c>
      <c r="G24" s="147" t="s">
        <v>815</v>
      </c>
    </row>
    <row r="25" spans="1:7" ht="15">
      <c r="A25" s="46">
        <v>3</v>
      </c>
      <c r="B25" s="46" t="s">
        <v>33</v>
      </c>
      <c r="C25" s="40" t="s">
        <v>67</v>
      </c>
      <c r="D25" s="154">
        <v>25</v>
      </c>
      <c r="E25" s="155">
        <v>16</v>
      </c>
      <c r="F25" s="146">
        <f t="shared" si="0"/>
        <v>9</v>
      </c>
      <c r="G25" s="147" t="s">
        <v>815</v>
      </c>
    </row>
    <row r="26" spans="1:7" ht="15">
      <c r="A26" s="46">
        <v>3</v>
      </c>
      <c r="B26" s="46" t="s">
        <v>33</v>
      </c>
      <c r="C26" s="40" t="s">
        <v>55</v>
      </c>
      <c r="D26" s="154">
        <v>25</v>
      </c>
      <c r="E26" s="155">
        <v>16</v>
      </c>
      <c r="F26" s="146">
        <f t="shared" si="0"/>
        <v>9</v>
      </c>
      <c r="G26" s="147" t="s">
        <v>815</v>
      </c>
    </row>
    <row r="27" spans="1:7" ht="15">
      <c r="A27" s="46">
        <v>3</v>
      </c>
      <c r="B27" s="46" t="s">
        <v>33</v>
      </c>
      <c r="C27" s="40" t="s">
        <v>62</v>
      </c>
      <c r="D27" s="154">
        <v>25</v>
      </c>
      <c r="E27" s="155">
        <v>16</v>
      </c>
      <c r="F27" s="146">
        <f t="shared" si="0"/>
        <v>9</v>
      </c>
      <c r="G27" s="147" t="s">
        <v>815</v>
      </c>
    </row>
    <row r="28" spans="1:7" ht="15">
      <c r="A28" s="46">
        <v>3</v>
      </c>
      <c r="B28" s="46" t="s">
        <v>32</v>
      </c>
      <c r="C28" s="40" t="s">
        <v>55</v>
      </c>
      <c r="D28" s="154">
        <v>20</v>
      </c>
      <c r="E28" s="155">
        <v>10</v>
      </c>
      <c r="F28" s="146">
        <f t="shared" si="0"/>
        <v>10</v>
      </c>
      <c r="G28" s="147" t="s">
        <v>815</v>
      </c>
    </row>
    <row r="29" spans="1:7" ht="15">
      <c r="A29" s="46">
        <v>3</v>
      </c>
      <c r="B29" s="46" t="s">
        <v>71</v>
      </c>
      <c r="C29" s="40" t="s">
        <v>36</v>
      </c>
      <c r="D29" s="154">
        <v>20</v>
      </c>
      <c r="E29" s="155">
        <v>10</v>
      </c>
      <c r="F29" s="146">
        <f t="shared" si="0"/>
        <v>10</v>
      </c>
      <c r="G29" s="147" t="s">
        <v>815</v>
      </c>
    </row>
    <row r="30" spans="1:7" ht="15">
      <c r="A30" s="46">
        <v>3</v>
      </c>
      <c r="B30" s="46" t="s">
        <v>79</v>
      </c>
      <c r="C30" s="40" t="s">
        <v>38</v>
      </c>
      <c r="D30" s="154">
        <v>20</v>
      </c>
      <c r="E30" s="155">
        <v>9</v>
      </c>
      <c r="F30" s="146">
        <f t="shared" si="0"/>
        <v>11</v>
      </c>
      <c r="G30" s="147" t="s">
        <v>815</v>
      </c>
    </row>
    <row r="31" spans="1:7" ht="15">
      <c r="A31" s="46">
        <v>3</v>
      </c>
      <c r="B31" s="46" t="s">
        <v>58</v>
      </c>
      <c r="C31" s="40" t="s">
        <v>59</v>
      </c>
      <c r="D31" s="154">
        <v>35</v>
      </c>
      <c r="E31" s="155">
        <v>22</v>
      </c>
      <c r="F31" s="146">
        <f t="shared" si="0"/>
        <v>13</v>
      </c>
      <c r="G31" s="147" t="s">
        <v>815</v>
      </c>
    </row>
    <row r="32" spans="1:7" ht="15">
      <c r="A32" s="46">
        <v>3</v>
      </c>
      <c r="B32" s="46" t="s">
        <v>65</v>
      </c>
      <c r="C32" s="40" t="s">
        <v>66</v>
      </c>
      <c r="D32" s="154">
        <v>30</v>
      </c>
      <c r="E32" s="155">
        <v>16</v>
      </c>
      <c r="F32" s="146">
        <f t="shared" si="0"/>
        <v>14</v>
      </c>
      <c r="G32" s="147" t="s">
        <v>815</v>
      </c>
    </row>
    <row r="33" spans="1:7" ht="15">
      <c r="A33" s="46">
        <v>3</v>
      </c>
      <c r="B33" s="46" t="s">
        <v>45</v>
      </c>
      <c r="C33" s="40" t="s">
        <v>52</v>
      </c>
      <c r="D33" s="154">
        <v>25</v>
      </c>
      <c r="E33" s="155">
        <v>6.8</v>
      </c>
      <c r="F33" s="146">
        <f t="shared" si="0"/>
        <v>18.2</v>
      </c>
      <c r="G33" s="147" t="s">
        <v>815</v>
      </c>
    </row>
    <row r="34" spans="1:7" ht="15">
      <c r="A34" s="46">
        <v>3</v>
      </c>
      <c r="B34" s="46" t="s">
        <v>45</v>
      </c>
      <c r="C34" s="40" t="s">
        <v>69</v>
      </c>
      <c r="D34" s="154">
        <v>25</v>
      </c>
      <c r="E34" s="155">
        <v>6.8</v>
      </c>
      <c r="F34" s="146">
        <f t="shared" si="0"/>
        <v>18.2</v>
      </c>
      <c r="G34" s="147" t="s">
        <v>815</v>
      </c>
    </row>
    <row r="35" spans="1:7" ht="15">
      <c r="A35" s="46">
        <v>3</v>
      </c>
      <c r="B35" s="46" t="s">
        <v>64</v>
      </c>
      <c r="C35" s="40" t="s">
        <v>63</v>
      </c>
      <c r="D35" s="154">
        <v>20</v>
      </c>
      <c r="E35" s="155"/>
      <c r="F35" s="146">
        <f t="shared" si="0"/>
        <v>20</v>
      </c>
      <c r="G35" s="147" t="s">
        <v>815</v>
      </c>
    </row>
    <row r="36" spans="1:7" ht="15">
      <c r="A36" s="46">
        <v>3</v>
      </c>
      <c r="B36" s="46" t="s">
        <v>50</v>
      </c>
      <c r="C36" s="40" t="s">
        <v>57</v>
      </c>
      <c r="D36" s="154">
        <v>50</v>
      </c>
      <c r="E36" s="155">
        <v>25</v>
      </c>
      <c r="F36" s="146">
        <f t="shared" si="0"/>
        <v>25</v>
      </c>
      <c r="G36" s="147" t="s">
        <v>815</v>
      </c>
    </row>
    <row r="37" spans="1:7" ht="15">
      <c r="A37" s="46">
        <v>3</v>
      </c>
      <c r="B37" s="46" t="s">
        <v>44</v>
      </c>
      <c r="C37" s="40" t="s">
        <v>57</v>
      </c>
      <c r="D37" s="154">
        <v>55</v>
      </c>
      <c r="E37" s="155">
        <v>30</v>
      </c>
      <c r="F37" s="146">
        <f t="shared" si="0"/>
        <v>25</v>
      </c>
      <c r="G37" s="147" t="s">
        <v>815</v>
      </c>
    </row>
    <row r="38" spans="1:7" ht="15">
      <c r="A38" s="46">
        <v>3</v>
      </c>
      <c r="B38" s="46" t="s">
        <v>50</v>
      </c>
      <c r="C38" s="40" t="s">
        <v>70</v>
      </c>
      <c r="D38" s="154">
        <v>50</v>
      </c>
      <c r="E38" s="155">
        <v>25</v>
      </c>
      <c r="F38" s="146">
        <f t="shared" si="0"/>
        <v>25</v>
      </c>
      <c r="G38" s="147" t="s">
        <v>815</v>
      </c>
    </row>
    <row r="39" spans="1:7" ht="15">
      <c r="A39" s="46">
        <v>3</v>
      </c>
      <c r="B39" s="46" t="s">
        <v>48</v>
      </c>
      <c r="C39" s="40" t="s">
        <v>60</v>
      </c>
      <c r="D39" s="154">
        <v>57</v>
      </c>
      <c r="E39" s="155">
        <v>28</v>
      </c>
      <c r="F39" s="146">
        <f t="shared" si="0"/>
        <v>29</v>
      </c>
      <c r="G39" s="147" t="s">
        <v>815</v>
      </c>
    </row>
    <row r="40" spans="1:7" ht="15">
      <c r="A40" s="46">
        <v>3</v>
      </c>
      <c r="B40" s="46" t="s">
        <v>72</v>
      </c>
      <c r="C40" s="40" t="s">
        <v>63</v>
      </c>
      <c r="D40" s="154">
        <v>30</v>
      </c>
      <c r="E40" s="155"/>
      <c r="F40" s="146">
        <f t="shared" si="0"/>
        <v>30</v>
      </c>
      <c r="G40" s="147" t="s">
        <v>815</v>
      </c>
    </row>
    <row r="41" spans="1:7" ht="15">
      <c r="A41" s="46">
        <v>3</v>
      </c>
      <c r="B41" s="46" t="s">
        <v>44</v>
      </c>
      <c r="C41" s="40" t="s">
        <v>61</v>
      </c>
      <c r="D41" s="154">
        <v>60</v>
      </c>
      <c r="E41" s="155">
        <v>30</v>
      </c>
      <c r="F41" s="146">
        <f t="shared" si="0"/>
        <v>30</v>
      </c>
      <c r="G41" s="147" t="s">
        <v>815</v>
      </c>
    </row>
    <row r="42" spans="1:7" ht="15">
      <c r="A42" s="46">
        <v>3</v>
      </c>
      <c r="B42" s="46" t="s">
        <v>54</v>
      </c>
      <c r="C42" s="40" t="s">
        <v>56</v>
      </c>
      <c r="D42" s="154">
        <v>80</v>
      </c>
      <c r="E42" s="155">
        <v>39</v>
      </c>
      <c r="F42" s="146">
        <f t="shared" si="0"/>
        <v>41</v>
      </c>
      <c r="G42" s="147" t="s">
        <v>815</v>
      </c>
    </row>
    <row r="43" spans="1:7" ht="15">
      <c r="A43" s="46">
        <v>3</v>
      </c>
      <c r="B43" s="46" t="s">
        <v>80</v>
      </c>
      <c r="C43" s="40" t="s">
        <v>81</v>
      </c>
      <c r="D43" s="154">
        <v>100</v>
      </c>
      <c r="E43" s="155">
        <v>55</v>
      </c>
      <c r="F43" s="146">
        <f t="shared" si="0"/>
        <v>45</v>
      </c>
      <c r="G43" s="147" t="s">
        <v>815</v>
      </c>
    </row>
    <row r="44" spans="1:7" ht="15">
      <c r="A44" s="46">
        <v>3</v>
      </c>
      <c r="B44" s="47" t="s">
        <v>121</v>
      </c>
      <c r="C44" s="40" t="s">
        <v>41</v>
      </c>
      <c r="D44" s="154">
        <v>110</v>
      </c>
      <c r="E44" s="155">
        <v>55</v>
      </c>
      <c r="F44" s="146">
        <f t="shared" si="0"/>
        <v>55</v>
      </c>
      <c r="G44" s="147" t="s">
        <v>815</v>
      </c>
    </row>
    <row r="45" spans="1:7" ht="15">
      <c r="A45" s="46">
        <v>3</v>
      </c>
      <c r="B45" s="46" t="s">
        <v>40</v>
      </c>
      <c r="C45" s="40" t="s">
        <v>63</v>
      </c>
      <c r="D45" s="154">
        <v>80</v>
      </c>
      <c r="E45" s="155">
        <v>55</v>
      </c>
      <c r="F45" s="146">
        <f t="shared" si="0"/>
        <v>25</v>
      </c>
      <c r="G45" s="147" t="s">
        <v>815</v>
      </c>
    </row>
    <row r="46" spans="1:7" ht="15">
      <c r="A46" s="46">
        <v>3</v>
      </c>
      <c r="B46" s="46" t="s">
        <v>53</v>
      </c>
      <c r="C46" s="40" t="s">
        <v>75</v>
      </c>
      <c r="D46" s="154">
        <v>100</v>
      </c>
      <c r="E46" s="155">
        <v>55</v>
      </c>
      <c r="F46" s="146">
        <f t="shared" si="0"/>
        <v>45</v>
      </c>
      <c r="G46" s="147" t="s">
        <v>815</v>
      </c>
    </row>
    <row r="47" spans="1:7" ht="15">
      <c r="A47" s="46">
        <v>3</v>
      </c>
      <c r="B47" s="46" t="s">
        <v>107</v>
      </c>
      <c r="C47" s="156" t="s">
        <v>86</v>
      </c>
      <c r="D47" s="154">
        <v>50</v>
      </c>
      <c r="E47" s="155">
        <v>29</v>
      </c>
      <c r="F47" s="146">
        <f t="shared" si="0"/>
        <v>21</v>
      </c>
      <c r="G47" s="147" t="s">
        <v>815</v>
      </c>
    </row>
    <row r="48" spans="1:7" ht="15">
      <c r="A48" s="46">
        <v>4</v>
      </c>
      <c r="B48" s="41" t="s">
        <v>87</v>
      </c>
      <c r="C48" s="40" t="s">
        <v>147</v>
      </c>
      <c r="D48" s="44">
        <v>100</v>
      </c>
      <c r="E48" s="44">
        <v>65</v>
      </c>
      <c r="F48" s="146">
        <f t="shared" si="0"/>
        <v>35</v>
      </c>
      <c r="G48" s="147" t="s">
        <v>815</v>
      </c>
    </row>
    <row r="49" spans="1:7" ht="15">
      <c r="A49" s="46">
        <v>4</v>
      </c>
      <c r="B49" s="47" t="s">
        <v>87</v>
      </c>
      <c r="C49" s="40" t="s">
        <v>88</v>
      </c>
      <c r="D49" s="44">
        <v>115</v>
      </c>
      <c r="E49" s="44">
        <v>65</v>
      </c>
      <c r="F49" s="146">
        <f t="shared" si="0"/>
        <v>50</v>
      </c>
      <c r="G49" s="147" t="s">
        <v>815</v>
      </c>
    </row>
    <row r="50" spans="1:7" ht="15">
      <c r="A50" s="46">
        <v>4</v>
      </c>
      <c r="B50" s="47" t="s">
        <v>87</v>
      </c>
      <c r="C50" s="40" t="s">
        <v>103</v>
      </c>
      <c r="D50" s="44">
        <v>120</v>
      </c>
      <c r="E50" s="44">
        <v>65</v>
      </c>
      <c r="F50" s="146">
        <f t="shared" si="0"/>
        <v>55</v>
      </c>
      <c r="G50" s="147" t="s">
        <v>815</v>
      </c>
    </row>
    <row r="51" spans="1:7" ht="15">
      <c r="A51" s="46">
        <v>4</v>
      </c>
      <c r="B51" s="47" t="s">
        <v>89</v>
      </c>
      <c r="C51" s="40" t="s">
        <v>126</v>
      </c>
      <c r="D51" s="44">
        <v>30</v>
      </c>
      <c r="E51" s="44">
        <v>14</v>
      </c>
      <c r="F51" s="146">
        <f t="shared" si="0"/>
        <v>16</v>
      </c>
      <c r="G51" s="147" t="s">
        <v>815</v>
      </c>
    </row>
    <row r="52" spans="1:7" ht="15">
      <c r="A52" s="46">
        <v>4</v>
      </c>
      <c r="B52" s="47" t="s">
        <v>90</v>
      </c>
      <c r="C52" s="40" t="s">
        <v>36</v>
      </c>
      <c r="D52" s="44">
        <v>50</v>
      </c>
      <c r="E52" s="44">
        <v>29</v>
      </c>
      <c r="F52" s="146">
        <f t="shared" si="0"/>
        <v>21</v>
      </c>
      <c r="G52" s="147" t="s">
        <v>815</v>
      </c>
    </row>
    <row r="53" spans="1:7" ht="15">
      <c r="A53" s="46">
        <v>4</v>
      </c>
      <c r="B53" s="47" t="s">
        <v>90</v>
      </c>
      <c r="C53" s="40" t="s">
        <v>123</v>
      </c>
      <c r="D53" s="44">
        <v>50</v>
      </c>
      <c r="E53" s="44">
        <v>29</v>
      </c>
      <c r="F53" s="146">
        <f t="shared" si="0"/>
        <v>21</v>
      </c>
      <c r="G53" s="147" t="s">
        <v>815</v>
      </c>
    </row>
    <row r="54" spans="1:7" ht="15">
      <c r="A54" s="46">
        <v>4</v>
      </c>
      <c r="B54" s="46" t="s">
        <v>178</v>
      </c>
      <c r="C54" s="40" t="s">
        <v>181</v>
      </c>
      <c r="D54" s="44">
        <v>70</v>
      </c>
      <c r="E54" s="157">
        <v>35</v>
      </c>
      <c r="F54" s="146">
        <f t="shared" si="0"/>
        <v>35</v>
      </c>
      <c r="G54" s="147" t="s">
        <v>815</v>
      </c>
    </row>
    <row r="55" spans="1:7" ht="15">
      <c r="A55" s="46">
        <v>4</v>
      </c>
      <c r="B55" s="46" t="s">
        <v>178</v>
      </c>
      <c r="C55" s="28" t="s">
        <v>177</v>
      </c>
      <c r="D55" s="44">
        <v>60</v>
      </c>
      <c r="E55" s="157">
        <v>35</v>
      </c>
      <c r="F55" s="146">
        <f t="shared" si="0"/>
        <v>25</v>
      </c>
      <c r="G55" s="147" t="s">
        <v>815</v>
      </c>
    </row>
    <row r="56" spans="1:7" ht="15">
      <c r="A56" s="46">
        <v>4</v>
      </c>
      <c r="B56" s="46" t="s">
        <v>178</v>
      </c>
      <c r="C56" s="28" t="s">
        <v>176</v>
      </c>
      <c r="D56" s="157">
        <v>70</v>
      </c>
      <c r="E56" s="157">
        <v>35</v>
      </c>
      <c r="F56" s="146">
        <f t="shared" si="0"/>
        <v>35</v>
      </c>
      <c r="G56" s="147" t="s">
        <v>815</v>
      </c>
    </row>
    <row r="57" spans="1:7" ht="15">
      <c r="A57" s="46">
        <v>4</v>
      </c>
      <c r="B57" s="47" t="s">
        <v>178</v>
      </c>
      <c r="C57" s="40" t="s">
        <v>185</v>
      </c>
      <c r="D57" s="44">
        <v>60</v>
      </c>
      <c r="E57" s="157">
        <v>35</v>
      </c>
      <c r="F57" s="146">
        <f t="shared" si="0"/>
        <v>25</v>
      </c>
      <c r="G57" s="147" t="s">
        <v>815</v>
      </c>
    </row>
    <row r="58" spans="1:7" ht="15">
      <c r="A58" s="46">
        <v>4</v>
      </c>
      <c r="B58" s="47" t="s">
        <v>156</v>
      </c>
      <c r="C58" s="28" t="s">
        <v>153</v>
      </c>
      <c r="D58" s="44">
        <v>100</v>
      </c>
      <c r="E58" s="44">
        <v>78</v>
      </c>
      <c r="F58" s="146">
        <f t="shared" si="0"/>
        <v>22</v>
      </c>
      <c r="G58" s="147" t="s">
        <v>815</v>
      </c>
    </row>
    <row r="59" spans="1:7" ht="15">
      <c r="A59" s="46">
        <v>4</v>
      </c>
      <c r="B59" s="47" t="s">
        <v>116</v>
      </c>
      <c r="C59" s="40" t="s">
        <v>111</v>
      </c>
      <c r="D59" s="44">
        <v>50</v>
      </c>
      <c r="E59" s="44">
        <v>28</v>
      </c>
      <c r="F59" s="146">
        <f t="shared" si="0"/>
        <v>22</v>
      </c>
      <c r="G59" s="147" t="s">
        <v>815</v>
      </c>
    </row>
    <row r="60" spans="1:7" ht="15">
      <c r="A60" s="46">
        <v>4</v>
      </c>
      <c r="B60" s="46" t="s">
        <v>115</v>
      </c>
      <c r="C60" s="40" t="s">
        <v>145</v>
      </c>
      <c r="D60" s="44">
        <v>50</v>
      </c>
      <c r="E60" s="44">
        <v>25</v>
      </c>
      <c r="F60" s="146">
        <f t="shared" si="0"/>
        <v>25</v>
      </c>
      <c r="G60" s="147" t="s">
        <v>815</v>
      </c>
    </row>
    <row r="61" spans="1:7" ht="15">
      <c r="A61" s="46">
        <v>4</v>
      </c>
      <c r="B61" s="47" t="s">
        <v>110</v>
      </c>
      <c r="C61" s="40" t="s">
        <v>38</v>
      </c>
      <c r="D61" s="44">
        <v>30</v>
      </c>
      <c r="E61" s="44">
        <v>18</v>
      </c>
      <c r="F61" s="146">
        <f t="shared" si="0"/>
        <v>12</v>
      </c>
      <c r="G61" s="147" t="s">
        <v>815</v>
      </c>
    </row>
    <row r="62" spans="1:7" ht="15">
      <c r="A62" s="46">
        <v>4</v>
      </c>
      <c r="B62" s="47" t="s">
        <v>182</v>
      </c>
      <c r="C62" s="40" t="s">
        <v>186</v>
      </c>
      <c r="D62" s="44">
        <v>50</v>
      </c>
      <c r="E62" s="157">
        <v>22</v>
      </c>
      <c r="F62" s="146">
        <f t="shared" si="0"/>
        <v>28</v>
      </c>
      <c r="G62" s="147" t="s">
        <v>815</v>
      </c>
    </row>
    <row r="63" spans="1:7" ht="15">
      <c r="A63" s="46">
        <v>4</v>
      </c>
      <c r="B63" s="46" t="s">
        <v>146</v>
      </c>
      <c r="C63" s="28" t="s">
        <v>175</v>
      </c>
      <c r="D63" s="44">
        <v>20</v>
      </c>
      <c r="E63" s="157">
        <v>11</v>
      </c>
      <c r="F63" s="146">
        <f t="shared" si="0"/>
        <v>9</v>
      </c>
      <c r="G63" s="147" t="s">
        <v>815</v>
      </c>
    </row>
    <row r="64" spans="1:7" ht="15">
      <c r="A64" s="46">
        <v>4</v>
      </c>
      <c r="B64" s="46" t="s">
        <v>143</v>
      </c>
      <c r="C64" s="28" t="s">
        <v>175</v>
      </c>
      <c r="D64" s="157">
        <v>35</v>
      </c>
      <c r="E64" s="157">
        <v>18</v>
      </c>
      <c r="F64" s="146">
        <f t="shared" si="0"/>
        <v>17</v>
      </c>
      <c r="G64" s="147" t="s">
        <v>815</v>
      </c>
    </row>
    <row r="65" spans="1:7" ht="15">
      <c r="A65" s="46">
        <v>4</v>
      </c>
      <c r="B65" s="46" t="s">
        <v>155</v>
      </c>
      <c r="C65" s="40" t="s">
        <v>139</v>
      </c>
      <c r="D65" s="44">
        <v>35</v>
      </c>
      <c r="E65" s="44">
        <v>16</v>
      </c>
      <c r="F65" s="146">
        <f t="shared" si="0"/>
        <v>19</v>
      </c>
      <c r="G65" s="147" t="s">
        <v>815</v>
      </c>
    </row>
    <row r="66" spans="1:7" ht="15">
      <c r="A66" s="46">
        <v>4</v>
      </c>
      <c r="B66" s="63" t="s">
        <v>155</v>
      </c>
      <c r="C66" s="28" t="s">
        <v>113</v>
      </c>
      <c r="D66" s="44">
        <v>35</v>
      </c>
      <c r="E66" s="157">
        <v>16</v>
      </c>
      <c r="F66" s="146">
        <f t="shared" si="0"/>
        <v>19</v>
      </c>
      <c r="G66" s="147" t="s">
        <v>815</v>
      </c>
    </row>
    <row r="67" spans="1:7" ht="15">
      <c r="A67" s="46">
        <v>4</v>
      </c>
      <c r="B67" s="63" t="s">
        <v>155</v>
      </c>
      <c r="C67" s="28" t="s">
        <v>179</v>
      </c>
      <c r="D67" s="44">
        <v>45</v>
      </c>
      <c r="E67" s="157">
        <v>16</v>
      </c>
      <c r="F67" s="146">
        <f t="shared" ref="F67:F129" si="1">D67-E67</f>
        <v>29</v>
      </c>
      <c r="G67" s="147" t="s">
        <v>815</v>
      </c>
    </row>
    <row r="68" spans="1:7" ht="15">
      <c r="A68" s="46">
        <v>4</v>
      </c>
      <c r="B68" s="47" t="s">
        <v>117</v>
      </c>
      <c r="C68" s="40" t="s">
        <v>38</v>
      </c>
      <c r="D68" s="44">
        <v>55</v>
      </c>
      <c r="E68" s="44">
        <v>26</v>
      </c>
      <c r="F68" s="146">
        <f t="shared" si="1"/>
        <v>29</v>
      </c>
      <c r="G68" s="147" t="s">
        <v>815</v>
      </c>
    </row>
    <row r="69" spans="1:7" ht="15">
      <c r="A69" s="46">
        <v>4</v>
      </c>
      <c r="B69" s="47" t="s">
        <v>117</v>
      </c>
      <c r="C69" s="40" t="s">
        <v>38</v>
      </c>
      <c r="D69" s="44">
        <v>50</v>
      </c>
      <c r="E69" s="44">
        <v>26</v>
      </c>
      <c r="F69" s="146">
        <f t="shared" si="1"/>
        <v>24</v>
      </c>
      <c r="G69" s="147" t="s">
        <v>815</v>
      </c>
    </row>
    <row r="70" spans="1:7" ht="15">
      <c r="A70" s="46">
        <v>4</v>
      </c>
      <c r="B70" s="41" t="s">
        <v>148</v>
      </c>
      <c r="C70" s="40" t="s">
        <v>149</v>
      </c>
      <c r="D70" s="44">
        <v>10</v>
      </c>
      <c r="E70" s="44">
        <v>0</v>
      </c>
      <c r="F70" s="146">
        <f t="shared" si="1"/>
        <v>10</v>
      </c>
      <c r="G70" s="147" t="s">
        <v>815</v>
      </c>
    </row>
    <row r="71" spans="1:7" ht="15">
      <c r="A71" s="46">
        <v>4</v>
      </c>
      <c r="B71" s="43" t="s">
        <v>151</v>
      </c>
      <c r="C71" s="43" t="s">
        <v>152</v>
      </c>
      <c r="D71" s="45">
        <v>2.5</v>
      </c>
      <c r="E71" s="50">
        <v>0.99</v>
      </c>
      <c r="F71" s="146">
        <f t="shared" si="1"/>
        <v>1.51</v>
      </c>
      <c r="G71" s="147" t="s">
        <v>815</v>
      </c>
    </row>
    <row r="72" spans="1:7" ht="15">
      <c r="A72" s="46">
        <v>4</v>
      </c>
      <c r="B72" s="46" t="s">
        <v>93</v>
      </c>
      <c r="C72" s="40" t="s">
        <v>163</v>
      </c>
      <c r="D72" s="44">
        <v>35</v>
      </c>
      <c r="E72" s="44">
        <v>22</v>
      </c>
      <c r="F72" s="146">
        <f t="shared" si="1"/>
        <v>13</v>
      </c>
      <c r="G72" s="147" t="s">
        <v>815</v>
      </c>
    </row>
    <row r="73" spans="1:7" ht="15">
      <c r="A73" s="46">
        <v>4</v>
      </c>
      <c r="B73" s="43" t="s">
        <v>157</v>
      </c>
      <c r="C73" s="28" t="s">
        <v>187</v>
      </c>
      <c r="D73" s="44">
        <v>45</v>
      </c>
      <c r="E73" s="157">
        <v>30</v>
      </c>
      <c r="F73" s="146">
        <f t="shared" si="1"/>
        <v>15</v>
      </c>
      <c r="G73" s="147" t="s">
        <v>815</v>
      </c>
    </row>
    <row r="74" spans="1:7" ht="15">
      <c r="A74" s="46">
        <v>4</v>
      </c>
      <c r="B74" s="46" t="s">
        <v>102</v>
      </c>
      <c r="C74" s="40" t="s">
        <v>125</v>
      </c>
      <c r="D74" s="44">
        <v>25</v>
      </c>
      <c r="E74" s="44">
        <v>14</v>
      </c>
      <c r="F74" s="146">
        <f t="shared" si="1"/>
        <v>11</v>
      </c>
      <c r="G74" s="147" t="s">
        <v>815</v>
      </c>
    </row>
    <row r="75" spans="1:7" ht="15">
      <c r="A75" s="46">
        <v>4</v>
      </c>
      <c r="B75" s="46" t="s">
        <v>102</v>
      </c>
      <c r="C75" s="40" t="s">
        <v>37</v>
      </c>
      <c r="D75" s="44">
        <v>25</v>
      </c>
      <c r="E75" s="44">
        <v>16</v>
      </c>
      <c r="F75" s="146">
        <f t="shared" si="1"/>
        <v>9</v>
      </c>
      <c r="G75" s="147" t="s">
        <v>815</v>
      </c>
    </row>
    <row r="76" spans="1:7" ht="15">
      <c r="A76" s="46">
        <v>4</v>
      </c>
      <c r="B76" s="46" t="s">
        <v>102</v>
      </c>
      <c r="C76" s="40" t="s">
        <v>122</v>
      </c>
      <c r="D76" s="44">
        <v>25</v>
      </c>
      <c r="E76" s="44">
        <v>14</v>
      </c>
      <c r="F76" s="146">
        <f t="shared" si="1"/>
        <v>11</v>
      </c>
      <c r="G76" s="147" t="s">
        <v>815</v>
      </c>
    </row>
    <row r="77" spans="1:7" ht="15">
      <c r="A77" s="46">
        <v>4</v>
      </c>
      <c r="B77" s="63" t="s">
        <v>102</v>
      </c>
      <c r="C77" s="28"/>
      <c r="D77" s="44">
        <v>20</v>
      </c>
      <c r="E77" s="157">
        <v>14</v>
      </c>
      <c r="F77" s="146">
        <f t="shared" si="1"/>
        <v>6</v>
      </c>
      <c r="G77" s="147" t="s">
        <v>815</v>
      </c>
    </row>
    <row r="78" spans="1:7" ht="15">
      <c r="A78" s="46">
        <v>4</v>
      </c>
      <c r="B78" s="46" t="s">
        <v>119</v>
      </c>
      <c r="C78" s="40"/>
      <c r="D78" s="44">
        <v>50</v>
      </c>
      <c r="E78" s="44">
        <v>30</v>
      </c>
      <c r="F78" s="146">
        <f t="shared" si="1"/>
        <v>20</v>
      </c>
      <c r="G78" s="147" t="s">
        <v>815</v>
      </c>
    </row>
    <row r="79" spans="1:7" ht="15">
      <c r="A79" s="46">
        <v>4</v>
      </c>
      <c r="B79" s="46" t="s">
        <v>119</v>
      </c>
      <c r="C79" s="40">
        <v>202</v>
      </c>
      <c r="D79" s="44">
        <v>65</v>
      </c>
      <c r="E79" s="44">
        <v>30</v>
      </c>
      <c r="F79" s="146">
        <f t="shared" si="1"/>
        <v>35</v>
      </c>
      <c r="G79" s="147" t="s">
        <v>815</v>
      </c>
    </row>
    <row r="80" spans="1:7" ht="15">
      <c r="A80" s="46">
        <v>4</v>
      </c>
      <c r="B80" s="46" t="s">
        <v>132</v>
      </c>
      <c r="C80" s="40" t="s">
        <v>154</v>
      </c>
      <c r="D80" s="44">
        <v>40</v>
      </c>
      <c r="E80" s="44">
        <v>20</v>
      </c>
      <c r="F80" s="146">
        <f t="shared" si="1"/>
        <v>20</v>
      </c>
      <c r="G80" s="147" t="s">
        <v>815</v>
      </c>
    </row>
    <row r="81" spans="1:7" ht="15">
      <c r="A81" s="46">
        <v>4</v>
      </c>
      <c r="B81" s="46" t="s">
        <v>132</v>
      </c>
      <c r="C81" s="40" t="s">
        <v>164</v>
      </c>
      <c r="D81" s="44">
        <v>40</v>
      </c>
      <c r="E81" s="44">
        <v>20</v>
      </c>
      <c r="F81" s="146">
        <f t="shared" si="1"/>
        <v>20</v>
      </c>
      <c r="G81" s="147" t="s">
        <v>815</v>
      </c>
    </row>
    <row r="82" spans="1:7" ht="15">
      <c r="A82" s="46">
        <v>4</v>
      </c>
      <c r="B82" s="46" t="s">
        <v>132</v>
      </c>
      <c r="C82" s="40">
        <v>408</v>
      </c>
      <c r="D82" s="44">
        <v>40</v>
      </c>
      <c r="E82" s="44">
        <v>20</v>
      </c>
      <c r="F82" s="146">
        <f t="shared" si="1"/>
        <v>20</v>
      </c>
      <c r="G82" s="147" t="s">
        <v>815</v>
      </c>
    </row>
    <row r="83" spans="1:7" ht="15">
      <c r="A83" s="46">
        <v>4</v>
      </c>
      <c r="B83" s="46" t="s">
        <v>132</v>
      </c>
      <c r="C83" s="40" t="s">
        <v>165</v>
      </c>
      <c r="D83" s="44">
        <v>30</v>
      </c>
      <c r="E83" s="44">
        <v>20</v>
      </c>
      <c r="F83" s="146">
        <f t="shared" si="1"/>
        <v>10</v>
      </c>
      <c r="G83" s="147" t="s">
        <v>815</v>
      </c>
    </row>
    <row r="84" spans="1:7" ht="15">
      <c r="A84" s="46">
        <v>4</v>
      </c>
      <c r="B84" s="46" t="s">
        <v>132</v>
      </c>
      <c r="C84" s="40" t="s">
        <v>166</v>
      </c>
      <c r="D84" s="44">
        <v>20</v>
      </c>
      <c r="E84" s="44">
        <v>20</v>
      </c>
      <c r="F84" s="146">
        <f t="shared" si="1"/>
        <v>0</v>
      </c>
      <c r="G84" s="147" t="s">
        <v>815</v>
      </c>
    </row>
    <row r="85" spans="1:7" ht="15">
      <c r="A85" s="46">
        <v>4</v>
      </c>
      <c r="B85" s="46" t="s">
        <v>132</v>
      </c>
      <c r="C85" s="40" t="s">
        <v>113</v>
      </c>
      <c r="D85" s="44">
        <v>60</v>
      </c>
      <c r="E85" s="44">
        <v>20</v>
      </c>
      <c r="F85" s="146">
        <f t="shared" si="1"/>
        <v>40</v>
      </c>
      <c r="G85" s="147" t="s">
        <v>815</v>
      </c>
    </row>
    <row r="86" spans="1:7" ht="15">
      <c r="A86" s="46">
        <v>4</v>
      </c>
      <c r="B86" s="46" t="s">
        <v>132</v>
      </c>
      <c r="C86" s="40" t="s">
        <v>36</v>
      </c>
      <c r="D86" s="44">
        <v>40</v>
      </c>
      <c r="E86" s="44">
        <v>20</v>
      </c>
      <c r="F86" s="146">
        <f t="shared" si="1"/>
        <v>20</v>
      </c>
      <c r="G86" s="147" t="s">
        <v>815</v>
      </c>
    </row>
    <row r="87" spans="1:7" ht="15">
      <c r="A87" s="46">
        <v>4</v>
      </c>
      <c r="B87" s="46" t="s">
        <v>132</v>
      </c>
      <c r="C87" s="40" t="s">
        <v>166</v>
      </c>
      <c r="D87" s="44">
        <v>40</v>
      </c>
      <c r="E87" s="44">
        <v>20</v>
      </c>
      <c r="F87" s="146">
        <f t="shared" si="1"/>
        <v>20</v>
      </c>
      <c r="G87" s="147" t="s">
        <v>815</v>
      </c>
    </row>
    <row r="88" spans="1:7" ht="15">
      <c r="A88" s="46">
        <v>4</v>
      </c>
      <c r="B88" s="46" t="s">
        <v>132</v>
      </c>
      <c r="C88" s="40" t="s">
        <v>166</v>
      </c>
      <c r="D88" s="44">
        <v>40</v>
      </c>
      <c r="E88" s="44">
        <v>20</v>
      </c>
      <c r="F88" s="146">
        <f t="shared" si="1"/>
        <v>20</v>
      </c>
      <c r="G88" s="147" t="s">
        <v>815</v>
      </c>
    </row>
    <row r="89" spans="1:7" ht="15">
      <c r="A89" s="46">
        <v>4</v>
      </c>
      <c r="B89" s="47" t="s">
        <v>91</v>
      </c>
      <c r="C89" s="40" t="s">
        <v>128</v>
      </c>
      <c r="D89" s="44">
        <v>5</v>
      </c>
      <c r="E89" s="44">
        <v>2</v>
      </c>
      <c r="F89" s="146">
        <f t="shared" si="1"/>
        <v>3</v>
      </c>
      <c r="G89" s="147" t="s">
        <v>815</v>
      </c>
    </row>
    <row r="90" spans="1:7" ht="15">
      <c r="A90" s="46">
        <v>4</v>
      </c>
      <c r="B90" s="47" t="s">
        <v>91</v>
      </c>
      <c r="C90" s="40"/>
      <c r="D90" s="44">
        <v>5</v>
      </c>
      <c r="E90" s="44">
        <v>2</v>
      </c>
      <c r="F90" s="146">
        <f t="shared" si="1"/>
        <v>3</v>
      </c>
      <c r="G90" s="147" t="s">
        <v>815</v>
      </c>
    </row>
    <row r="91" spans="1:7" ht="15">
      <c r="A91" s="46">
        <v>4</v>
      </c>
      <c r="B91" s="47" t="s">
        <v>105</v>
      </c>
      <c r="C91" s="40" t="s">
        <v>31</v>
      </c>
      <c r="D91" s="29">
        <v>5</v>
      </c>
      <c r="E91" s="29">
        <v>1.4</v>
      </c>
      <c r="F91" s="146">
        <f t="shared" si="1"/>
        <v>3.6</v>
      </c>
      <c r="G91" s="147" t="s">
        <v>815</v>
      </c>
    </row>
    <row r="92" spans="1:7" ht="15">
      <c r="A92" s="46">
        <v>4</v>
      </c>
      <c r="B92" s="47" t="s">
        <v>105</v>
      </c>
      <c r="C92" s="40" t="s">
        <v>31</v>
      </c>
      <c r="D92" s="29">
        <v>5</v>
      </c>
      <c r="E92" s="29">
        <v>1.4</v>
      </c>
      <c r="F92" s="146">
        <f t="shared" si="1"/>
        <v>3.6</v>
      </c>
      <c r="G92" s="147" t="s">
        <v>815</v>
      </c>
    </row>
    <row r="93" spans="1:7" ht="15">
      <c r="A93" s="46">
        <v>4</v>
      </c>
      <c r="B93" s="47" t="s">
        <v>105</v>
      </c>
      <c r="C93" s="40" t="s">
        <v>31</v>
      </c>
      <c r="D93" s="29">
        <v>5</v>
      </c>
      <c r="E93" s="29">
        <v>1.4</v>
      </c>
      <c r="F93" s="146">
        <f t="shared" si="1"/>
        <v>3.6</v>
      </c>
      <c r="G93" s="147" t="s">
        <v>815</v>
      </c>
    </row>
    <row r="94" spans="1:7" ht="15">
      <c r="A94" s="46">
        <v>4</v>
      </c>
      <c r="B94" s="47" t="s">
        <v>105</v>
      </c>
      <c r="C94" s="40" t="s">
        <v>31</v>
      </c>
      <c r="D94" s="29">
        <v>5</v>
      </c>
      <c r="E94" s="29">
        <v>1.4</v>
      </c>
      <c r="F94" s="146">
        <f t="shared" si="1"/>
        <v>3.6</v>
      </c>
      <c r="G94" s="147" t="s">
        <v>815</v>
      </c>
    </row>
    <row r="95" spans="1:7" ht="15">
      <c r="A95" s="46">
        <v>4</v>
      </c>
      <c r="B95" s="47" t="s">
        <v>105</v>
      </c>
      <c r="C95" s="40" t="s">
        <v>128</v>
      </c>
      <c r="D95" s="44">
        <v>5</v>
      </c>
      <c r="E95" s="44">
        <v>1.4</v>
      </c>
      <c r="F95" s="146">
        <f t="shared" si="1"/>
        <v>3.6</v>
      </c>
      <c r="G95" s="147" t="s">
        <v>815</v>
      </c>
    </row>
    <row r="96" spans="1:7" ht="15">
      <c r="A96" s="46">
        <v>4</v>
      </c>
      <c r="B96" s="47" t="s">
        <v>105</v>
      </c>
      <c r="C96" s="40" t="s">
        <v>128</v>
      </c>
      <c r="D96" s="44">
        <v>5</v>
      </c>
      <c r="E96" s="44">
        <v>1.4</v>
      </c>
      <c r="F96" s="146">
        <f t="shared" si="1"/>
        <v>3.6</v>
      </c>
      <c r="G96" s="147" t="s">
        <v>815</v>
      </c>
    </row>
    <row r="97" spans="1:7" ht="15">
      <c r="A97" s="46">
        <v>4</v>
      </c>
      <c r="B97" s="47" t="s">
        <v>105</v>
      </c>
      <c r="C97" s="40" t="s">
        <v>128</v>
      </c>
      <c r="D97" s="44">
        <v>5</v>
      </c>
      <c r="E97" s="44">
        <v>1.4</v>
      </c>
      <c r="F97" s="146">
        <f t="shared" si="1"/>
        <v>3.6</v>
      </c>
      <c r="G97" s="147" t="s">
        <v>815</v>
      </c>
    </row>
    <row r="98" spans="1:7" ht="15">
      <c r="A98" s="46">
        <v>4</v>
      </c>
      <c r="B98" s="47" t="s">
        <v>105</v>
      </c>
      <c r="C98" s="40" t="s">
        <v>128</v>
      </c>
      <c r="D98" s="44">
        <v>5</v>
      </c>
      <c r="E98" s="44">
        <v>1.4</v>
      </c>
      <c r="F98" s="146">
        <f t="shared" si="1"/>
        <v>3.6</v>
      </c>
      <c r="G98" s="147" t="s">
        <v>815</v>
      </c>
    </row>
    <row r="99" spans="1:7" ht="15">
      <c r="A99" s="46">
        <v>4</v>
      </c>
      <c r="B99" s="47" t="s">
        <v>105</v>
      </c>
      <c r="C99" s="40" t="s">
        <v>128</v>
      </c>
      <c r="D99" s="44">
        <v>5</v>
      </c>
      <c r="E99" s="44">
        <v>1.4</v>
      </c>
      <c r="F99" s="146">
        <f t="shared" si="1"/>
        <v>3.6</v>
      </c>
      <c r="G99" s="147" t="s">
        <v>815</v>
      </c>
    </row>
    <row r="100" spans="1:7" ht="15">
      <c r="A100" s="46">
        <v>4</v>
      </c>
      <c r="B100" s="47" t="s">
        <v>105</v>
      </c>
      <c r="C100" s="40"/>
      <c r="D100" s="44">
        <v>5</v>
      </c>
      <c r="E100" s="44">
        <v>1.4</v>
      </c>
      <c r="F100" s="146">
        <f t="shared" si="1"/>
        <v>3.6</v>
      </c>
      <c r="G100" s="147" t="s">
        <v>815</v>
      </c>
    </row>
    <row r="101" spans="1:7" ht="15">
      <c r="A101" s="46">
        <v>4</v>
      </c>
      <c r="B101" s="47" t="s">
        <v>105</v>
      </c>
      <c r="C101" s="40"/>
      <c r="D101" s="44">
        <v>5</v>
      </c>
      <c r="E101" s="44">
        <v>1.4</v>
      </c>
      <c r="F101" s="146">
        <f t="shared" si="1"/>
        <v>3.6</v>
      </c>
      <c r="G101" s="147" t="s">
        <v>815</v>
      </c>
    </row>
    <row r="102" spans="1:7" ht="15">
      <c r="A102" s="46">
        <v>4</v>
      </c>
      <c r="B102" s="46" t="s">
        <v>92</v>
      </c>
      <c r="C102" s="40" t="s">
        <v>144</v>
      </c>
      <c r="D102" s="44">
        <v>100</v>
      </c>
      <c r="E102" s="44">
        <v>55</v>
      </c>
      <c r="F102" s="146">
        <f t="shared" si="1"/>
        <v>45</v>
      </c>
      <c r="G102" s="147" t="s">
        <v>815</v>
      </c>
    </row>
    <row r="103" spans="1:7" ht="15">
      <c r="A103" s="46">
        <v>4</v>
      </c>
      <c r="B103" s="46" t="s">
        <v>127</v>
      </c>
      <c r="C103" s="40" t="s">
        <v>161</v>
      </c>
      <c r="D103" s="44">
        <v>100</v>
      </c>
      <c r="E103" s="44">
        <v>55</v>
      </c>
      <c r="F103" s="146">
        <f t="shared" si="1"/>
        <v>45</v>
      </c>
      <c r="G103" s="147" t="s">
        <v>815</v>
      </c>
    </row>
    <row r="104" spans="1:7" ht="15">
      <c r="A104" s="46">
        <v>4</v>
      </c>
      <c r="B104" s="47" t="s">
        <v>118</v>
      </c>
      <c r="C104" s="40" t="s">
        <v>31</v>
      </c>
      <c r="D104" s="44">
        <v>100</v>
      </c>
      <c r="E104" s="44">
        <v>55</v>
      </c>
      <c r="F104" s="146">
        <f t="shared" si="1"/>
        <v>45</v>
      </c>
      <c r="G104" s="147" t="s">
        <v>815</v>
      </c>
    </row>
    <row r="105" spans="1:7" ht="15">
      <c r="A105" s="46">
        <v>4</v>
      </c>
      <c r="B105" s="47" t="s">
        <v>118</v>
      </c>
      <c r="C105" s="40" t="s">
        <v>112</v>
      </c>
      <c r="D105" s="44">
        <v>100</v>
      </c>
      <c r="E105" s="44">
        <v>60</v>
      </c>
      <c r="F105" s="146">
        <f t="shared" si="1"/>
        <v>40</v>
      </c>
      <c r="G105" s="147" t="s">
        <v>815</v>
      </c>
    </row>
    <row r="106" spans="1:7" ht="15">
      <c r="A106" s="46">
        <v>4</v>
      </c>
      <c r="B106" s="47" t="s">
        <v>118</v>
      </c>
      <c r="C106" s="40" t="s">
        <v>112</v>
      </c>
      <c r="D106" s="44">
        <v>100</v>
      </c>
      <c r="E106" s="44">
        <v>60</v>
      </c>
      <c r="F106" s="146">
        <f t="shared" si="1"/>
        <v>40</v>
      </c>
      <c r="G106" s="147" t="s">
        <v>815</v>
      </c>
    </row>
    <row r="107" spans="1:7" ht="15">
      <c r="A107" s="46">
        <v>4</v>
      </c>
      <c r="B107" s="47" t="s">
        <v>118</v>
      </c>
      <c r="C107" s="40" t="s">
        <v>111</v>
      </c>
      <c r="D107" s="44">
        <v>100</v>
      </c>
      <c r="E107" s="44">
        <v>60</v>
      </c>
      <c r="F107" s="146">
        <f t="shared" si="1"/>
        <v>40</v>
      </c>
      <c r="G107" s="147" t="s">
        <v>815</v>
      </c>
    </row>
    <row r="108" spans="1:7" ht="15">
      <c r="A108" s="46">
        <v>4</v>
      </c>
      <c r="B108" s="47" t="s">
        <v>118</v>
      </c>
      <c r="C108" s="40" t="s">
        <v>113</v>
      </c>
      <c r="D108" s="44">
        <v>140</v>
      </c>
      <c r="E108" s="44">
        <v>60</v>
      </c>
      <c r="F108" s="146">
        <f t="shared" si="1"/>
        <v>80</v>
      </c>
      <c r="G108" s="147" t="s">
        <v>815</v>
      </c>
    </row>
    <row r="109" spans="1:7" ht="15">
      <c r="A109" s="46">
        <v>4</v>
      </c>
      <c r="B109" s="47" t="s">
        <v>118</v>
      </c>
      <c r="C109" s="40" t="s">
        <v>104</v>
      </c>
      <c r="D109" s="44">
        <v>100</v>
      </c>
      <c r="E109" s="44">
        <v>60</v>
      </c>
      <c r="F109" s="146">
        <f t="shared" si="1"/>
        <v>40</v>
      </c>
      <c r="G109" s="147" t="s">
        <v>815</v>
      </c>
    </row>
    <row r="110" spans="1:7" ht="15">
      <c r="A110" s="46">
        <v>4</v>
      </c>
      <c r="B110" s="47" t="s">
        <v>118</v>
      </c>
      <c r="C110" s="40" t="s">
        <v>167</v>
      </c>
      <c r="D110" s="44">
        <v>100</v>
      </c>
      <c r="E110" s="44">
        <v>60</v>
      </c>
      <c r="F110" s="146">
        <f t="shared" si="1"/>
        <v>40</v>
      </c>
      <c r="G110" s="147" t="s">
        <v>815</v>
      </c>
    </row>
    <row r="111" spans="1:7" ht="15">
      <c r="A111" s="46">
        <v>4</v>
      </c>
      <c r="B111" s="47" t="s">
        <v>118</v>
      </c>
      <c r="C111" s="40" t="s">
        <v>133</v>
      </c>
      <c r="D111" s="44">
        <v>100</v>
      </c>
      <c r="E111" s="44">
        <v>60</v>
      </c>
      <c r="F111" s="146">
        <f t="shared" si="1"/>
        <v>40</v>
      </c>
      <c r="G111" s="147" t="s">
        <v>815</v>
      </c>
    </row>
    <row r="112" spans="1:7" ht="15">
      <c r="A112" s="46">
        <v>4</v>
      </c>
      <c r="B112" s="47" t="s">
        <v>118</v>
      </c>
      <c r="C112" s="28" t="s">
        <v>134</v>
      </c>
      <c r="D112" s="44">
        <v>100</v>
      </c>
      <c r="E112" s="44">
        <v>60</v>
      </c>
      <c r="F112" s="146">
        <f t="shared" si="1"/>
        <v>40</v>
      </c>
      <c r="G112" s="147" t="s">
        <v>815</v>
      </c>
    </row>
    <row r="113" spans="1:7" ht="15">
      <c r="A113" s="46">
        <v>4</v>
      </c>
      <c r="B113" s="46" t="s">
        <v>72</v>
      </c>
      <c r="C113" s="40"/>
      <c r="D113" s="44">
        <v>20</v>
      </c>
      <c r="E113" s="157">
        <v>0</v>
      </c>
      <c r="F113" s="146">
        <f t="shared" si="1"/>
        <v>20</v>
      </c>
      <c r="G113" s="147" t="s">
        <v>815</v>
      </c>
    </row>
    <row r="114" spans="1:7" ht="15">
      <c r="A114" s="46">
        <v>4</v>
      </c>
      <c r="B114" s="47" t="s">
        <v>608</v>
      </c>
      <c r="C114" s="40">
        <v>302</v>
      </c>
      <c r="D114" s="44">
        <v>30</v>
      </c>
      <c r="E114" s="157">
        <v>24</v>
      </c>
      <c r="F114" s="146">
        <f t="shared" si="1"/>
        <v>6</v>
      </c>
      <c r="G114" s="147" t="s">
        <v>815</v>
      </c>
    </row>
    <row r="115" spans="1:7" ht="15">
      <c r="A115" s="46">
        <v>5</v>
      </c>
      <c r="B115" s="78" t="s">
        <v>155</v>
      </c>
      <c r="C115" s="79" t="s">
        <v>228</v>
      </c>
      <c r="D115" s="77">
        <v>30</v>
      </c>
      <c r="E115" s="158">
        <v>16</v>
      </c>
      <c r="F115" s="146">
        <f t="shared" si="1"/>
        <v>14</v>
      </c>
      <c r="G115" s="147" t="s">
        <v>815</v>
      </c>
    </row>
    <row r="116" spans="1:7" ht="15">
      <c r="A116" s="46">
        <v>5</v>
      </c>
      <c r="B116" s="78" t="s">
        <v>155</v>
      </c>
      <c r="C116" s="79" t="s">
        <v>179</v>
      </c>
      <c r="D116" s="77">
        <v>30</v>
      </c>
      <c r="E116" s="158">
        <v>16</v>
      </c>
      <c r="F116" s="146">
        <f t="shared" si="1"/>
        <v>14</v>
      </c>
      <c r="G116" s="147" t="s">
        <v>815</v>
      </c>
    </row>
    <row r="117" spans="1:7" ht="15">
      <c r="A117" s="46">
        <v>5</v>
      </c>
      <c r="B117" s="78" t="s">
        <v>155</v>
      </c>
      <c r="C117" s="79" t="s">
        <v>179</v>
      </c>
      <c r="D117" s="77">
        <v>30</v>
      </c>
      <c r="E117" s="158">
        <v>16</v>
      </c>
      <c r="F117" s="146">
        <f t="shared" si="1"/>
        <v>14</v>
      </c>
      <c r="G117" s="147" t="s">
        <v>815</v>
      </c>
    </row>
    <row r="118" spans="1:7" ht="15">
      <c r="A118" s="46">
        <v>5</v>
      </c>
      <c r="B118" s="78" t="s">
        <v>155</v>
      </c>
      <c r="C118" s="79" t="s">
        <v>179</v>
      </c>
      <c r="D118" s="77">
        <v>30</v>
      </c>
      <c r="E118" s="158">
        <v>16</v>
      </c>
      <c r="F118" s="146">
        <f t="shared" si="1"/>
        <v>14</v>
      </c>
      <c r="G118" s="147" t="s">
        <v>815</v>
      </c>
    </row>
    <row r="119" spans="1:7" ht="15">
      <c r="A119" s="46">
        <v>5</v>
      </c>
      <c r="B119" s="73" t="s">
        <v>184</v>
      </c>
      <c r="C119" s="79" t="s">
        <v>179</v>
      </c>
      <c r="D119" s="77">
        <v>15</v>
      </c>
      <c r="E119" s="158">
        <v>10</v>
      </c>
      <c r="F119" s="146">
        <f t="shared" si="1"/>
        <v>5</v>
      </c>
      <c r="G119" s="147" t="s">
        <v>815</v>
      </c>
    </row>
    <row r="120" spans="1:7" ht="15">
      <c r="A120" s="46">
        <v>5</v>
      </c>
      <c r="B120" s="85" t="s">
        <v>155</v>
      </c>
      <c r="C120" s="88" t="s">
        <v>189</v>
      </c>
      <c r="D120" s="77">
        <v>30</v>
      </c>
      <c r="E120" s="77">
        <v>16</v>
      </c>
      <c r="F120" s="146">
        <f t="shared" si="1"/>
        <v>14</v>
      </c>
      <c r="G120" s="147" t="s">
        <v>815</v>
      </c>
    </row>
    <row r="121" spans="1:7" ht="15">
      <c r="A121" s="46">
        <v>5</v>
      </c>
      <c r="B121" s="85" t="s">
        <v>155</v>
      </c>
      <c r="C121" s="88" t="s">
        <v>189</v>
      </c>
      <c r="D121" s="77">
        <v>30</v>
      </c>
      <c r="E121" s="77">
        <v>16</v>
      </c>
      <c r="F121" s="146">
        <f t="shared" si="1"/>
        <v>14</v>
      </c>
      <c r="G121" s="147" t="s">
        <v>815</v>
      </c>
    </row>
    <row r="122" spans="1:7" ht="15">
      <c r="A122" s="46">
        <v>5</v>
      </c>
      <c r="B122" s="85" t="s">
        <v>198</v>
      </c>
      <c r="C122" s="88">
        <v>92664554</v>
      </c>
      <c r="D122" s="77">
        <v>30</v>
      </c>
      <c r="E122" s="77">
        <v>16</v>
      </c>
      <c r="F122" s="146">
        <f t="shared" si="1"/>
        <v>14</v>
      </c>
      <c r="G122" s="147" t="s">
        <v>815</v>
      </c>
    </row>
    <row r="123" spans="1:7" ht="15">
      <c r="A123" s="46">
        <v>5</v>
      </c>
      <c r="B123" s="85" t="s">
        <v>199</v>
      </c>
      <c r="C123" s="88">
        <v>92664554</v>
      </c>
      <c r="D123" s="77">
        <v>50</v>
      </c>
      <c r="E123" s="77">
        <v>25</v>
      </c>
      <c r="F123" s="146">
        <f t="shared" si="1"/>
        <v>25</v>
      </c>
      <c r="G123" s="147" t="s">
        <v>815</v>
      </c>
    </row>
    <row r="124" spans="1:7" ht="15">
      <c r="A124" s="46">
        <v>5</v>
      </c>
      <c r="B124" s="47" t="s">
        <v>182</v>
      </c>
      <c r="C124" s="40" t="s">
        <v>201</v>
      </c>
      <c r="D124" s="44">
        <v>50</v>
      </c>
      <c r="E124" s="157">
        <v>22</v>
      </c>
      <c r="F124" s="146">
        <f t="shared" si="1"/>
        <v>28</v>
      </c>
      <c r="G124" s="147" t="s">
        <v>815</v>
      </c>
    </row>
    <row r="125" spans="1:7" ht="15">
      <c r="A125" s="46">
        <v>5</v>
      </c>
      <c r="B125" s="85" t="s">
        <v>155</v>
      </c>
      <c r="C125" s="88">
        <v>92664554</v>
      </c>
      <c r="D125" s="77">
        <v>35</v>
      </c>
      <c r="E125" s="77">
        <v>16</v>
      </c>
      <c r="F125" s="146">
        <f t="shared" si="1"/>
        <v>19</v>
      </c>
      <c r="G125" s="147" t="s">
        <v>815</v>
      </c>
    </row>
    <row r="126" spans="1:7" ht="15">
      <c r="A126" s="46">
        <v>5</v>
      </c>
      <c r="B126" s="43" t="s">
        <v>150</v>
      </c>
      <c r="C126" s="43" t="s">
        <v>192</v>
      </c>
      <c r="D126" s="45">
        <v>30</v>
      </c>
      <c r="E126" s="50">
        <v>11.8</v>
      </c>
      <c r="F126" s="146">
        <f t="shared" si="1"/>
        <v>18.2</v>
      </c>
      <c r="G126" s="147" t="s">
        <v>815</v>
      </c>
    </row>
    <row r="127" spans="1:7" ht="15">
      <c r="A127" s="46">
        <v>5</v>
      </c>
      <c r="B127" s="46" t="s">
        <v>178</v>
      </c>
      <c r="C127" s="40"/>
      <c r="D127" s="44">
        <v>65</v>
      </c>
      <c r="E127" s="44">
        <v>35</v>
      </c>
      <c r="F127" s="146">
        <f t="shared" si="1"/>
        <v>30</v>
      </c>
      <c r="G127" s="147" t="s">
        <v>815</v>
      </c>
    </row>
    <row r="128" spans="1:7" ht="15">
      <c r="A128" s="46">
        <v>5</v>
      </c>
      <c r="B128" s="47" t="s">
        <v>90</v>
      </c>
      <c r="C128" s="40" t="s">
        <v>191</v>
      </c>
      <c r="D128" s="44">
        <v>50</v>
      </c>
      <c r="E128" s="44">
        <v>27</v>
      </c>
      <c r="F128" s="146">
        <f t="shared" si="1"/>
        <v>23</v>
      </c>
      <c r="G128" s="147" t="s">
        <v>815</v>
      </c>
    </row>
    <row r="129" spans="1:7" ht="15">
      <c r="A129" s="46">
        <v>5</v>
      </c>
      <c r="B129" s="46" t="s">
        <v>178</v>
      </c>
      <c r="C129" s="40" t="s">
        <v>191</v>
      </c>
      <c r="D129" s="44">
        <v>60</v>
      </c>
      <c r="E129" s="44">
        <v>35</v>
      </c>
      <c r="F129" s="146">
        <f t="shared" si="1"/>
        <v>25</v>
      </c>
      <c r="G129" s="147" t="s">
        <v>815</v>
      </c>
    </row>
    <row r="130" spans="1:7" ht="15">
      <c r="A130" s="46">
        <v>5</v>
      </c>
      <c r="B130" s="47" t="s">
        <v>182</v>
      </c>
      <c r="C130" s="40" t="s">
        <v>200</v>
      </c>
      <c r="D130" s="44">
        <v>60</v>
      </c>
      <c r="E130" s="157">
        <v>22</v>
      </c>
      <c r="F130" s="146">
        <f t="shared" ref="F130:F193" si="2">D130-E130</f>
        <v>38</v>
      </c>
      <c r="G130" s="147" t="s">
        <v>815</v>
      </c>
    </row>
    <row r="131" spans="1:7" ht="15">
      <c r="A131" s="46">
        <v>5</v>
      </c>
      <c r="B131" s="47" t="s">
        <v>182</v>
      </c>
      <c r="C131" s="40" t="s">
        <v>193</v>
      </c>
      <c r="D131" s="44">
        <v>50</v>
      </c>
      <c r="E131" s="157">
        <v>22</v>
      </c>
      <c r="F131" s="146">
        <f t="shared" si="2"/>
        <v>28</v>
      </c>
      <c r="G131" s="147" t="s">
        <v>815</v>
      </c>
    </row>
    <row r="132" spans="1:7" ht="15">
      <c r="A132" s="46">
        <v>5</v>
      </c>
      <c r="B132" s="78" t="s">
        <v>155</v>
      </c>
      <c r="C132" s="40" t="s">
        <v>191</v>
      </c>
      <c r="D132" s="77">
        <v>30</v>
      </c>
      <c r="E132" s="77">
        <v>16</v>
      </c>
      <c r="F132" s="146">
        <f t="shared" si="2"/>
        <v>14</v>
      </c>
      <c r="G132" s="147" t="s">
        <v>815</v>
      </c>
    </row>
    <row r="133" spans="1:7" ht="15">
      <c r="A133" s="46">
        <v>5</v>
      </c>
      <c r="B133" s="47" t="s">
        <v>120</v>
      </c>
      <c r="C133" s="40" t="s">
        <v>191</v>
      </c>
      <c r="D133" s="44">
        <v>50</v>
      </c>
      <c r="E133" s="157">
        <v>28</v>
      </c>
      <c r="F133" s="146">
        <f t="shared" si="2"/>
        <v>22</v>
      </c>
      <c r="G133" s="147" t="s">
        <v>815</v>
      </c>
    </row>
    <row r="134" spans="1:7" ht="15">
      <c r="A134" s="46">
        <v>5</v>
      </c>
      <c r="B134" s="47" t="s">
        <v>202</v>
      </c>
      <c r="C134" s="40" t="s">
        <v>196</v>
      </c>
      <c r="D134" s="44">
        <v>22</v>
      </c>
      <c r="E134" s="44">
        <v>11</v>
      </c>
      <c r="F134" s="146">
        <f t="shared" si="2"/>
        <v>11</v>
      </c>
      <c r="G134" s="147" t="s">
        <v>815</v>
      </c>
    </row>
    <row r="135" spans="1:7" ht="15">
      <c r="A135" s="46">
        <v>5</v>
      </c>
      <c r="B135" s="73" t="s">
        <v>118</v>
      </c>
      <c r="C135" s="88" t="s">
        <v>190</v>
      </c>
      <c r="D135" s="77">
        <v>105</v>
      </c>
      <c r="E135" s="158">
        <v>60</v>
      </c>
      <c r="F135" s="146">
        <f t="shared" si="2"/>
        <v>45</v>
      </c>
      <c r="G135" s="147" t="s">
        <v>815</v>
      </c>
    </row>
    <row r="136" spans="1:7" ht="15">
      <c r="A136" s="46">
        <v>5</v>
      </c>
      <c r="B136" s="73" t="s">
        <v>180</v>
      </c>
      <c r="C136" s="40" t="s">
        <v>194</v>
      </c>
      <c r="D136" s="44">
        <v>100</v>
      </c>
      <c r="E136" s="44">
        <v>60</v>
      </c>
      <c r="F136" s="146">
        <f t="shared" si="2"/>
        <v>40</v>
      </c>
      <c r="G136" s="147" t="s">
        <v>815</v>
      </c>
    </row>
    <row r="137" spans="1:7" ht="15">
      <c r="A137" s="46">
        <v>5</v>
      </c>
      <c r="B137" s="47" t="s">
        <v>202</v>
      </c>
      <c r="C137" s="40" t="s">
        <v>207</v>
      </c>
      <c r="D137" s="44">
        <v>25</v>
      </c>
      <c r="E137" s="44">
        <v>11</v>
      </c>
      <c r="F137" s="146">
        <f t="shared" si="2"/>
        <v>14</v>
      </c>
      <c r="G137" s="147" t="s">
        <v>815</v>
      </c>
    </row>
    <row r="138" spans="1:7" ht="15">
      <c r="A138" s="46">
        <v>5</v>
      </c>
      <c r="B138" s="46" t="s">
        <v>156</v>
      </c>
      <c r="C138" s="28" t="s">
        <v>205</v>
      </c>
      <c r="D138" s="44">
        <v>110</v>
      </c>
      <c r="E138" s="157">
        <v>78</v>
      </c>
      <c r="F138" s="146">
        <f t="shared" si="2"/>
        <v>32</v>
      </c>
      <c r="G138" s="147" t="s">
        <v>815</v>
      </c>
    </row>
    <row r="139" spans="1:7" ht="15">
      <c r="A139" s="46">
        <v>5</v>
      </c>
      <c r="B139" s="46" t="s">
        <v>156</v>
      </c>
      <c r="C139" s="28" t="s">
        <v>205</v>
      </c>
      <c r="D139" s="44">
        <v>110</v>
      </c>
      <c r="E139" s="157">
        <v>78</v>
      </c>
      <c r="F139" s="146">
        <f t="shared" si="2"/>
        <v>32</v>
      </c>
      <c r="G139" s="147" t="s">
        <v>815</v>
      </c>
    </row>
    <row r="140" spans="1:7" ht="15">
      <c r="A140" s="46">
        <v>5</v>
      </c>
      <c r="B140" s="43" t="s">
        <v>157</v>
      </c>
      <c r="C140" s="28"/>
      <c r="D140" s="44">
        <v>50</v>
      </c>
      <c r="E140" s="157">
        <v>19.8</v>
      </c>
      <c r="F140" s="146">
        <f t="shared" si="2"/>
        <v>30.2</v>
      </c>
      <c r="G140" s="147" t="s">
        <v>815</v>
      </c>
    </row>
    <row r="141" spans="1:7" ht="15">
      <c r="A141" s="46">
        <v>5</v>
      </c>
      <c r="B141" s="73" t="s">
        <v>180</v>
      </c>
      <c r="C141" s="40" t="s">
        <v>194</v>
      </c>
      <c r="D141" s="44">
        <v>100</v>
      </c>
      <c r="E141" s="44">
        <v>60</v>
      </c>
      <c r="F141" s="146">
        <f t="shared" si="2"/>
        <v>40</v>
      </c>
      <c r="G141" s="147" t="s">
        <v>815</v>
      </c>
    </row>
    <row r="142" spans="1:7" ht="15">
      <c r="A142" s="46">
        <v>5</v>
      </c>
      <c r="B142" s="47" t="s">
        <v>132</v>
      </c>
      <c r="C142" s="40" t="s">
        <v>195</v>
      </c>
      <c r="D142" s="44">
        <v>33</v>
      </c>
      <c r="E142" s="44">
        <v>20</v>
      </c>
      <c r="F142" s="146">
        <f t="shared" si="2"/>
        <v>13</v>
      </c>
      <c r="G142" s="147" t="s">
        <v>815</v>
      </c>
    </row>
    <row r="143" spans="1:7" ht="15">
      <c r="A143" s="46">
        <v>5</v>
      </c>
      <c r="B143" s="47" t="s">
        <v>132</v>
      </c>
      <c r="C143" s="40" t="s">
        <v>195</v>
      </c>
      <c r="D143" s="44">
        <v>33</v>
      </c>
      <c r="E143" s="44">
        <v>20</v>
      </c>
      <c r="F143" s="146">
        <f t="shared" si="2"/>
        <v>13</v>
      </c>
      <c r="G143" s="147" t="s">
        <v>815</v>
      </c>
    </row>
    <row r="144" spans="1:7" ht="15">
      <c r="A144" s="46">
        <v>5</v>
      </c>
      <c r="B144" s="47" t="s">
        <v>132</v>
      </c>
      <c r="C144" s="40" t="s">
        <v>195</v>
      </c>
      <c r="D144" s="44">
        <v>33</v>
      </c>
      <c r="E144" s="44">
        <v>20</v>
      </c>
      <c r="F144" s="146">
        <f t="shared" si="2"/>
        <v>13</v>
      </c>
      <c r="G144" s="147" t="s">
        <v>815</v>
      </c>
    </row>
    <row r="145" spans="1:7" ht="15">
      <c r="A145" s="46">
        <v>5</v>
      </c>
      <c r="B145" s="73" t="s">
        <v>17</v>
      </c>
      <c r="C145" s="79"/>
      <c r="D145" s="77">
        <v>25</v>
      </c>
      <c r="E145" s="158">
        <v>0</v>
      </c>
      <c r="F145" s="146">
        <f t="shared" si="2"/>
        <v>25</v>
      </c>
      <c r="G145" s="147" t="s">
        <v>815</v>
      </c>
    </row>
    <row r="146" spans="1:7" ht="15">
      <c r="A146" s="46">
        <v>5</v>
      </c>
      <c r="B146" s="47" t="s">
        <v>127</v>
      </c>
      <c r="C146" s="40" t="s">
        <v>212</v>
      </c>
      <c r="D146" s="44">
        <v>100</v>
      </c>
      <c r="E146" s="44">
        <v>60</v>
      </c>
      <c r="F146" s="146">
        <f t="shared" si="2"/>
        <v>40</v>
      </c>
      <c r="G146" s="147" t="s">
        <v>815</v>
      </c>
    </row>
    <row r="147" spans="1:7" ht="15">
      <c r="A147" s="46">
        <v>5</v>
      </c>
      <c r="B147" s="47" t="s">
        <v>208</v>
      </c>
      <c r="C147" s="40" t="s">
        <v>209</v>
      </c>
      <c r="D147" s="44">
        <v>3</v>
      </c>
      <c r="E147" s="44">
        <v>1.5</v>
      </c>
      <c r="F147" s="146">
        <f t="shared" si="2"/>
        <v>1.5</v>
      </c>
      <c r="G147" s="147" t="s">
        <v>815</v>
      </c>
    </row>
    <row r="148" spans="1:7" ht="15">
      <c r="A148" s="46">
        <v>5</v>
      </c>
      <c r="B148" s="47" t="s">
        <v>116</v>
      </c>
      <c r="C148" s="79" t="s">
        <v>142</v>
      </c>
      <c r="D148" s="77">
        <v>50</v>
      </c>
      <c r="E148" s="158">
        <v>28</v>
      </c>
      <c r="F148" s="146">
        <f t="shared" si="2"/>
        <v>22</v>
      </c>
      <c r="G148" s="147" t="s">
        <v>815</v>
      </c>
    </row>
    <row r="149" spans="1:7" ht="15">
      <c r="A149" s="46">
        <v>5</v>
      </c>
      <c r="B149" s="47" t="s">
        <v>116</v>
      </c>
      <c r="C149" s="79" t="s">
        <v>214</v>
      </c>
      <c r="D149" s="77">
        <v>50</v>
      </c>
      <c r="E149" s="158">
        <v>28</v>
      </c>
      <c r="F149" s="146">
        <f t="shared" si="2"/>
        <v>22</v>
      </c>
      <c r="G149" s="147" t="s">
        <v>815</v>
      </c>
    </row>
    <row r="150" spans="1:7" ht="15">
      <c r="A150" s="46">
        <v>5</v>
      </c>
      <c r="B150" s="78" t="s">
        <v>155</v>
      </c>
      <c r="C150" s="40"/>
      <c r="D150" s="77">
        <v>35</v>
      </c>
      <c r="E150" s="77">
        <v>16</v>
      </c>
      <c r="F150" s="146">
        <f t="shared" si="2"/>
        <v>19</v>
      </c>
      <c r="G150" s="147" t="s">
        <v>815</v>
      </c>
    </row>
    <row r="151" spans="1:7" ht="15">
      <c r="A151" s="46">
        <v>5</v>
      </c>
      <c r="B151" s="85" t="s">
        <v>92</v>
      </c>
      <c r="C151" s="79" t="s">
        <v>213</v>
      </c>
      <c r="D151" s="77">
        <v>100</v>
      </c>
      <c r="E151" s="158">
        <v>60</v>
      </c>
      <c r="F151" s="146">
        <f t="shared" si="2"/>
        <v>40</v>
      </c>
      <c r="G151" s="147" t="s">
        <v>815</v>
      </c>
    </row>
    <row r="152" spans="1:7" s="130" customFormat="1" ht="15">
      <c r="A152" s="46">
        <v>5</v>
      </c>
      <c r="B152" s="133" t="s">
        <v>92</v>
      </c>
      <c r="C152" s="131"/>
      <c r="D152" s="127">
        <v>100</v>
      </c>
      <c r="E152" s="132">
        <v>60</v>
      </c>
      <c r="F152" s="146">
        <f t="shared" si="2"/>
        <v>40</v>
      </c>
      <c r="G152" s="147" t="s">
        <v>815</v>
      </c>
    </row>
    <row r="153" spans="1:7" ht="15">
      <c r="A153" s="46">
        <v>5</v>
      </c>
      <c r="B153" s="85" t="s">
        <v>92</v>
      </c>
      <c r="C153" s="79"/>
      <c r="D153" s="158">
        <v>100</v>
      </c>
      <c r="E153" s="158">
        <v>60</v>
      </c>
      <c r="F153" s="146">
        <f t="shared" si="2"/>
        <v>40</v>
      </c>
      <c r="G153" s="147" t="s">
        <v>815</v>
      </c>
    </row>
    <row r="154" spans="1:7" ht="15">
      <c r="A154" s="46">
        <v>5</v>
      </c>
      <c r="B154" s="47" t="s">
        <v>208</v>
      </c>
      <c r="C154" s="40" t="s">
        <v>211</v>
      </c>
      <c r="D154" s="44">
        <v>3</v>
      </c>
      <c r="E154" s="44">
        <v>1.5</v>
      </c>
      <c r="F154" s="146">
        <f t="shared" si="2"/>
        <v>1.5</v>
      </c>
      <c r="G154" s="147" t="s">
        <v>815</v>
      </c>
    </row>
    <row r="155" spans="1:7" ht="15">
      <c r="A155" s="46">
        <v>5</v>
      </c>
      <c r="B155" s="47" t="s">
        <v>536</v>
      </c>
      <c r="C155" s="40"/>
      <c r="D155" s="44">
        <v>6</v>
      </c>
      <c r="E155" s="157">
        <v>6</v>
      </c>
      <c r="F155" s="146">
        <f t="shared" si="2"/>
        <v>0</v>
      </c>
      <c r="G155" s="147" t="s">
        <v>815</v>
      </c>
    </row>
    <row r="156" spans="1:7" ht="15">
      <c r="A156" s="46">
        <v>5</v>
      </c>
      <c r="B156" s="85" t="s">
        <v>217</v>
      </c>
      <c r="C156" s="79"/>
      <c r="D156" s="77">
        <v>15</v>
      </c>
      <c r="E156" s="158">
        <v>4</v>
      </c>
      <c r="F156" s="146">
        <f t="shared" si="2"/>
        <v>11</v>
      </c>
      <c r="G156" s="147" t="s">
        <v>815</v>
      </c>
    </row>
    <row r="157" spans="1:7" ht="15">
      <c r="A157" s="46">
        <v>5</v>
      </c>
      <c r="B157" s="73" t="s">
        <v>216</v>
      </c>
      <c r="C157" s="79"/>
      <c r="D157" s="77">
        <v>70</v>
      </c>
      <c r="E157" s="158">
        <v>39</v>
      </c>
      <c r="F157" s="146">
        <f t="shared" si="2"/>
        <v>31</v>
      </c>
      <c r="G157" s="147" t="s">
        <v>815</v>
      </c>
    </row>
    <row r="158" spans="1:7" ht="15">
      <c r="A158" s="46">
        <v>5</v>
      </c>
      <c r="B158" s="73" t="s">
        <v>216</v>
      </c>
      <c r="C158" s="79" t="s">
        <v>212</v>
      </c>
      <c r="D158" s="77">
        <v>70</v>
      </c>
      <c r="E158" s="158">
        <v>39</v>
      </c>
      <c r="F158" s="146">
        <f t="shared" si="2"/>
        <v>31</v>
      </c>
      <c r="G158" s="147" t="s">
        <v>815</v>
      </c>
    </row>
    <row r="159" spans="1:7" ht="15">
      <c r="A159" s="46">
        <v>5</v>
      </c>
      <c r="B159" s="47" t="s">
        <v>202</v>
      </c>
      <c r="C159" s="40" t="s">
        <v>139</v>
      </c>
      <c r="D159" s="44">
        <v>25</v>
      </c>
      <c r="E159" s="44">
        <v>11</v>
      </c>
      <c r="F159" s="146">
        <f t="shared" si="2"/>
        <v>14</v>
      </c>
      <c r="G159" s="147" t="s">
        <v>815</v>
      </c>
    </row>
    <row r="160" spans="1:7" ht="15">
      <c r="A160" s="46">
        <v>5</v>
      </c>
      <c r="B160" s="47" t="s">
        <v>210</v>
      </c>
      <c r="C160" s="40"/>
      <c r="D160" s="44">
        <v>50</v>
      </c>
      <c r="E160" s="44">
        <v>22</v>
      </c>
      <c r="F160" s="146">
        <f t="shared" si="2"/>
        <v>28</v>
      </c>
      <c r="G160" s="147" t="s">
        <v>815</v>
      </c>
    </row>
    <row r="161" spans="1:7" ht="15">
      <c r="A161" s="46">
        <v>5</v>
      </c>
      <c r="B161" s="47" t="s">
        <v>210</v>
      </c>
      <c r="C161" s="40"/>
      <c r="D161" s="44">
        <v>50</v>
      </c>
      <c r="E161" s="44">
        <v>22</v>
      </c>
      <c r="F161" s="146">
        <f t="shared" si="2"/>
        <v>28</v>
      </c>
      <c r="G161" s="147" t="s">
        <v>815</v>
      </c>
    </row>
    <row r="162" spans="1:7" ht="15">
      <c r="A162" s="46">
        <v>5</v>
      </c>
      <c r="B162" s="85" t="s">
        <v>218</v>
      </c>
      <c r="C162" s="79"/>
      <c r="D162" s="77">
        <v>50</v>
      </c>
      <c r="E162" s="158">
        <v>0</v>
      </c>
      <c r="F162" s="146">
        <f t="shared" si="2"/>
        <v>50</v>
      </c>
      <c r="G162" s="147" t="s">
        <v>815</v>
      </c>
    </row>
    <row r="163" spans="1:7" ht="15">
      <c r="A163" s="46">
        <v>5</v>
      </c>
      <c r="B163" s="85" t="s">
        <v>141</v>
      </c>
      <c r="C163" s="88"/>
      <c r="D163" s="77">
        <v>30</v>
      </c>
      <c r="E163" s="158">
        <v>15</v>
      </c>
      <c r="F163" s="146">
        <f t="shared" si="2"/>
        <v>15</v>
      </c>
      <c r="G163" s="147" t="s">
        <v>815</v>
      </c>
    </row>
    <row r="164" spans="1:7" ht="15">
      <c r="A164" s="46">
        <v>5</v>
      </c>
      <c r="B164" s="47" t="s">
        <v>182</v>
      </c>
      <c r="C164" s="40"/>
      <c r="D164" s="44">
        <v>50</v>
      </c>
      <c r="E164" s="157">
        <v>23</v>
      </c>
      <c r="F164" s="146">
        <f t="shared" si="2"/>
        <v>27</v>
      </c>
      <c r="G164" s="147" t="s">
        <v>815</v>
      </c>
    </row>
    <row r="165" spans="1:7" ht="15">
      <c r="A165" s="46">
        <v>5</v>
      </c>
      <c r="B165" s="73" t="s">
        <v>222</v>
      </c>
      <c r="C165" s="79"/>
      <c r="D165" s="77">
        <v>80</v>
      </c>
      <c r="E165" s="158">
        <v>0</v>
      </c>
      <c r="F165" s="146">
        <f t="shared" si="2"/>
        <v>80</v>
      </c>
      <c r="G165" s="147" t="s">
        <v>815</v>
      </c>
    </row>
    <row r="166" spans="1:7" ht="15">
      <c r="A166" s="46">
        <v>5</v>
      </c>
      <c r="B166" s="46" t="s">
        <v>203</v>
      </c>
      <c r="C166" s="40" t="s">
        <v>38</v>
      </c>
      <c r="D166" s="44">
        <v>5</v>
      </c>
      <c r="E166" s="44">
        <v>3.5</v>
      </c>
      <c r="F166" s="146">
        <f t="shared" si="2"/>
        <v>1.5</v>
      </c>
      <c r="G166" s="147" t="s">
        <v>815</v>
      </c>
    </row>
    <row r="167" spans="1:7" ht="15">
      <c r="A167" s="46">
        <v>5</v>
      </c>
      <c r="B167" s="85" t="s">
        <v>140</v>
      </c>
      <c r="C167" s="88">
        <v>5</v>
      </c>
      <c r="D167" s="77">
        <v>14</v>
      </c>
      <c r="E167" s="158">
        <v>7</v>
      </c>
      <c r="F167" s="146">
        <f t="shared" si="2"/>
        <v>7</v>
      </c>
      <c r="G167" s="147" t="s">
        <v>815</v>
      </c>
    </row>
    <row r="168" spans="1:7" ht="15">
      <c r="A168" s="46">
        <v>5</v>
      </c>
      <c r="B168" s="78" t="s">
        <v>155</v>
      </c>
      <c r="C168" s="40">
        <v>18</v>
      </c>
      <c r="D168" s="77">
        <v>30</v>
      </c>
      <c r="E168" s="77">
        <v>16</v>
      </c>
      <c r="F168" s="146">
        <f t="shared" si="2"/>
        <v>14</v>
      </c>
      <c r="G168" s="147" t="s">
        <v>815</v>
      </c>
    </row>
    <row r="169" spans="1:7" ht="15">
      <c r="A169" s="46">
        <v>5</v>
      </c>
      <c r="B169" s="78" t="s">
        <v>155</v>
      </c>
      <c r="C169" s="40" t="s">
        <v>220</v>
      </c>
      <c r="D169" s="77">
        <v>35</v>
      </c>
      <c r="E169" s="77">
        <v>16</v>
      </c>
      <c r="F169" s="146">
        <f t="shared" si="2"/>
        <v>19</v>
      </c>
      <c r="G169" s="147" t="s">
        <v>815</v>
      </c>
    </row>
    <row r="170" spans="1:7" ht="15">
      <c r="A170" s="46">
        <v>5</v>
      </c>
      <c r="B170" s="78" t="s">
        <v>155</v>
      </c>
      <c r="C170" s="40"/>
      <c r="D170" s="77">
        <v>35</v>
      </c>
      <c r="E170" s="77">
        <v>16</v>
      </c>
      <c r="F170" s="146">
        <f t="shared" si="2"/>
        <v>19</v>
      </c>
      <c r="G170" s="147" t="s">
        <v>815</v>
      </c>
    </row>
    <row r="171" spans="1:7" ht="15">
      <c r="A171" s="46">
        <v>5</v>
      </c>
      <c r="B171" s="47" t="s">
        <v>608</v>
      </c>
      <c r="C171" s="40" t="s">
        <v>225</v>
      </c>
      <c r="D171" s="44">
        <v>35</v>
      </c>
      <c r="E171" s="157">
        <v>24</v>
      </c>
      <c r="F171" s="146">
        <f t="shared" si="2"/>
        <v>11</v>
      </c>
      <c r="G171" s="147" t="s">
        <v>815</v>
      </c>
    </row>
    <row r="172" spans="1:7" ht="15">
      <c r="A172" s="46">
        <v>5</v>
      </c>
      <c r="B172" s="73" t="s">
        <v>178</v>
      </c>
      <c r="C172" s="79"/>
      <c r="D172" s="77">
        <v>65</v>
      </c>
      <c r="E172" s="158">
        <v>35</v>
      </c>
      <c r="F172" s="146">
        <f t="shared" si="2"/>
        <v>30</v>
      </c>
      <c r="G172" s="147" t="s">
        <v>815</v>
      </c>
    </row>
    <row r="173" spans="1:7" ht="15">
      <c r="A173" s="46">
        <v>5</v>
      </c>
      <c r="B173" s="78" t="s">
        <v>155</v>
      </c>
      <c r="C173" s="79"/>
      <c r="D173" s="77">
        <v>30</v>
      </c>
      <c r="E173" s="158">
        <v>16</v>
      </c>
      <c r="F173" s="146">
        <f t="shared" si="2"/>
        <v>14</v>
      </c>
      <c r="G173" s="147" t="s">
        <v>815</v>
      </c>
    </row>
    <row r="174" spans="1:7" ht="15">
      <c r="A174" s="46">
        <v>5</v>
      </c>
      <c r="B174" s="78" t="s">
        <v>155</v>
      </c>
      <c r="C174" s="79"/>
      <c r="D174" s="77">
        <v>30</v>
      </c>
      <c r="E174" s="158">
        <v>16</v>
      </c>
      <c r="F174" s="146">
        <f t="shared" si="2"/>
        <v>14</v>
      </c>
      <c r="G174" s="147" t="s">
        <v>815</v>
      </c>
    </row>
    <row r="175" spans="1:7" ht="15">
      <c r="A175" s="46">
        <v>5</v>
      </c>
      <c r="B175" s="78" t="s">
        <v>155</v>
      </c>
      <c r="C175" s="79"/>
      <c r="D175" s="77">
        <v>30</v>
      </c>
      <c r="E175" s="158">
        <v>16</v>
      </c>
      <c r="F175" s="146">
        <f t="shared" si="2"/>
        <v>14</v>
      </c>
      <c r="G175" s="147" t="s">
        <v>815</v>
      </c>
    </row>
    <row r="176" spans="1:7" ht="15">
      <c r="A176" s="46">
        <v>5</v>
      </c>
      <c r="B176" s="85" t="s">
        <v>92</v>
      </c>
      <c r="C176" s="79" t="s">
        <v>36</v>
      </c>
      <c r="D176" s="77">
        <v>100</v>
      </c>
      <c r="E176" s="158">
        <v>60</v>
      </c>
      <c r="F176" s="146">
        <f t="shared" si="2"/>
        <v>40</v>
      </c>
      <c r="G176" s="147" t="s">
        <v>815</v>
      </c>
    </row>
    <row r="177" spans="1:7" ht="15">
      <c r="A177" s="46">
        <v>5</v>
      </c>
      <c r="B177" s="85" t="s">
        <v>226</v>
      </c>
      <c r="C177" s="79" t="s">
        <v>36</v>
      </c>
      <c r="D177" s="77">
        <v>170</v>
      </c>
      <c r="E177" s="158">
        <v>110</v>
      </c>
      <c r="F177" s="146">
        <f t="shared" si="2"/>
        <v>60</v>
      </c>
      <c r="G177" s="147" t="s">
        <v>815</v>
      </c>
    </row>
    <row r="178" spans="1:7" ht="15">
      <c r="A178" s="46">
        <v>5</v>
      </c>
      <c r="B178" s="47" t="s">
        <v>168</v>
      </c>
      <c r="C178" s="90"/>
      <c r="D178" s="44">
        <v>50</v>
      </c>
      <c r="E178" s="44">
        <v>20</v>
      </c>
      <c r="F178" s="146">
        <f t="shared" si="2"/>
        <v>30</v>
      </c>
      <c r="G178" s="147" t="s">
        <v>815</v>
      </c>
    </row>
    <row r="179" spans="1:7" ht="15">
      <c r="A179" s="46">
        <v>5</v>
      </c>
      <c r="B179" s="85" t="s">
        <v>529</v>
      </c>
      <c r="C179" s="79" t="s">
        <v>36</v>
      </c>
      <c r="D179" s="77">
        <v>30</v>
      </c>
      <c r="E179" s="158">
        <v>20</v>
      </c>
      <c r="F179" s="146">
        <f t="shared" si="2"/>
        <v>10</v>
      </c>
      <c r="G179" s="147" t="s">
        <v>815</v>
      </c>
    </row>
    <row r="180" spans="1:7" ht="15">
      <c r="A180" s="46">
        <v>5</v>
      </c>
      <c r="B180" s="47" t="s">
        <v>737</v>
      </c>
      <c r="C180" s="90" t="s">
        <v>231</v>
      </c>
      <c r="D180" s="44">
        <v>100</v>
      </c>
      <c r="E180" s="44">
        <v>65</v>
      </c>
      <c r="F180" s="146">
        <f t="shared" si="2"/>
        <v>35</v>
      </c>
      <c r="G180" s="147" t="s">
        <v>815</v>
      </c>
    </row>
    <row r="181" spans="1:7" ht="15">
      <c r="A181" s="46">
        <v>5</v>
      </c>
      <c r="B181" s="73" t="s">
        <v>529</v>
      </c>
      <c r="C181" s="79"/>
      <c r="D181" s="77">
        <v>65</v>
      </c>
      <c r="E181" s="158">
        <v>35</v>
      </c>
      <c r="F181" s="146">
        <f t="shared" si="2"/>
        <v>30</v>
      </c>
      <c r="G181" s="147" t="s">
        <v>815</v>
      </c>
    </row>
    <row r="182" spans="1:7" ht="15">
      <c r="A182" s="46">
        <v>5</v>
      </c>
      <c r="B182" s="85" t="s">
        <v>92</v>
      </c>
      <c r="C182" s="79" t="s">
        <v>233</v>
      </c>
      <c r="D182" s="77">
        <v>100</v>
      </c>
      <c r="E182" s="158">
        <v>60</v>
      </c>
      <c r="F182" s="146">
        <f t="shared" si="2"/>
        <v>40</v>
      </c>
      <c r="G182" s="147" t="s">
        <v>815</v>
      </c>
    </row>
    <row r="183" spans="1:7" ht="15">
      <c r="A183" s="46">
        <v>5</v>
      </c>
      <c r="B183" s="85" t="s">
        <v>156</v>
      </c>
      <c r="C183" s="79" t="s">
        <v>126</v>
      </c>
      <c r="D183" s="77">
        <v>120</v>
      </c>
      <c r="E183" s="158">
        <v>78</v>
      </c>
      <c r="F183" s="146">
        <f t="shared" si="2"/>
        <v>42</v>
      </c>
      <c r="G183" s="147" t="s">
        <v>815</v>
      </c>
    </row>
    <row r="184" spans="1:7" ht="15">
      <c r="A184" s="46">
        <v>5</v>
      </c>
      <c r="B184" s="85" t="s">
        <v>234</v>
      </c>
      <c r="C184" s="79" t="s">
        <v>235</v>
      </c>
      <c r="D184" s="77">
        <v>10</v>
      </c>
      <c r="E184" s="158">
        <v>5</v>
      </c>
      <c r="F184" s="146">
        <f t="shared" si="2"/>
        <v>5</v>
      </c>
      <c r="G184" s="147" t="s">
        <v>815</v>
      </c>
    </row>
    <row r="185" spans="1:7" ht="15">
      <c r="A185" s="46">
        <v>5</v>
      </c>
      <c r="B185" s="85" t="s">
        <v>236</v>
      </c>
      <c r="C185" s="79" t="s">
        <v>235</v>
      </c>
      <c r="D185" s="77">
        <v>10</v>
      </c>
      <c r="E185" s="158">
        <v>5</v>
      </c>
      <c r="F185" s="146">
        <f t="shared" si="2"/>
        <v>5</v>
      </c>
      <c r="G185" s="147" t="s">
        <v>815</v>
      </c>
    </row>
    <row r="186" spans="1:7" ht="15">
      <c r="A186" s="46">
        <v>5</v>
      </c>
      <c r="B186" s="85" t="s">
        <v>237</v>
      </c>
      <c r="C186" s="79" t="s">
        <v>238</v>
      </c>
      <c r="D186" s="77">
        <v>20</v>
      </c>
      <c r="E186" s="158">
        <v>15</v>
      </c>
      <c r="F186" s="146">
        <f t="shared" si="2"/>
        <v>5</v>
      </c>
      <c r="G186" s="147" t="s">
        <v>815</v>
      </c>
    </row>
    <row r="187" spans="1:7" ht="15">
      <c r="A187" s="46">
        <v>5</v>
      </c>
      <c r="B187" s="78" t="s">
        <v>155</v>
      </c>
      <c r="C187" s="40" t="s">
        <v>221</v>
      </c>
      <c r="D187" s="77">
        <v>35</v>
      </c>
      <c r="E187" s="77">
        <v>16</v>
      </c>
      <c r="F187" s="146">
        <f t="shared" si="2"/>
        <v>19</v>
      </c>
      <c r="G187" s="147" t="s">
        <v>815</v>
      </c>
    </row>
    <row r="188" spans="1:7" ht="15">
      <c r="A188" s="46">
        <v>5</v>
      </c>
      <c r="B188" s="85" t="s">
        <v>188</v>
      </c>
      <c r="C188" s="79" t="s">
        <v>239</v>
      </c>
      <c r="D188" s="77">
        <v>50</v>
      </c>
      <c r="E188" s="158">
        <v>30</v>
      </c>
      <c r="F188" s="146">
        <f t="shared" si="2"/>
        <v>20</v>
      </c>
      <c r="G188" s="147" t="s">
        <v>815</v>
      </c>
    </row>
    <row r="189" spans="1:7" ht="15">
      <c r="A189" s="46">
        <v>5</v>
      </c>
      <c r="B189" s="85" t="s">
        <v>127</v>
      </c>
      <c r="C189" s="79" t="s">
        <v>230</v>
      </c>
      <c r="D189" s="77">
        <v>100</v>
      </c>
      <c r="E189" s="158">
        <v>47</v>
      </c>
      <c r="F189" s="146">
        <f t="shared" si="2"/>
        <v>53</v>
      </c>
      <c r="G189" s="147" t="s">
        <v>815</v>
      </c>
    </row>
    <row r="190" spans="1:7" ht="15">
      <c r="A190" s="46">
        <v>6</v>
      </c>
      <c r="B190" s="85" t="s">
        <v>244</v>
      </c>
      <c r="C190" s="79" t="s">
        <v>242</v>
      </c>
      <c r="D190" s="77">
        <v>120</v>
      </c>
      <c r="E190" s="158">
        <v>24</v>
      </c>
      <c r="F190" s="146">
        <f t="shared" si="2"/>
        <v>96</v>
      </c>
      <c r="G190" s="147" t="s">
        <v>815</v>
      </c>
    </row>
    <row r="191" spans="1:7" ht="15">
      <c r="A191" s="46">
        <v>6</v>
      </c>
      <c r="B191" s="85" t="s">
        <v>244</v>
      </c>
      <c r="C191" s="40" t="s">
        <v>241</v>
      </c>
      <c r="D191" s="44">
        <v>40</v>
      </c>
      <c r="E191" s="158">
        <v>24</v>
      </c>
      <c r="F191" s="146">
        <f t="shared" si="2"/>
        <v>16</v>
      </c>
      <c r="G191" s="147" t="s">
        <v>815</v>
      </c>
    </row>
    <row r="192" spans="1:7" ht="15">
      <c r="A192" s="46">
        <v>6</v>
      </c>
      <c r="B192" s="85" t="s">
        <v>92</v>
      </c>
      <c r="C192" s="40" t="s">
        <v>243</v>
      </c>
      <c r="D192" s="44">
        <v>100</v>
      </c>
      <c r="E192" s="44">
        <v>60</v>
      </c>
      <c r="F192" s="146">
        <f t="shared" si="2"/>
        <v>40</v>
      </c>
      <c r="G192" s="147" t="s">
        <v>815</v>
      </c>
    </row>
    <row r="193" spans="1:7" ht="15">
      <c r="A193" s="46">
        <v>6</v>
      </c>
      <c r="B193" s="85" t="s">
        <v>92</v>
      </c>
      <c r="C193" s="40" t="s">
        <v>245</v>
      </c>
      <c r="D193" s="44">
        <v>100</v>
      </c>
      <c r="E193" s="44">
        <v>60</v>
      </c>
      <c r="F193" s="146">
        <f t="shared" si="2"/>
        <v>40</v>
      </c>
      <c r="G193" s="147" t="s">
        <v>815</v>
      </c>
    </row>
    <row r="194" spans="1:7" ht="15">
      <c r="A194" s="46">
        <v>6</v>
      </c>
      <c r="B194" s="85" t="s">
        <v>92</v>
      </c>
      <c r="C194" s="40" t="s">
        <v>246</v>
      </c>
      <c r="D194" s="44">
        <v>100</v>
      </c>
      <c r="E194" s="44">
        <v>60</v>
      </c>
      <c r="F194" s="146">
        <f t="shared" ref="F194:F257" si="3">D194-E194</f>
        <v>40</v>
      </c>
      <c r="G194" s="147" t="s">
        <v>815</v>
      </c>
    </row>
    <row r="195" spans="1:7" ht="15">
      <c r="A195" s="46">
        <v>6</v>
      </c>
      <c r="B195" s="85" t="s">
        <v>92</v>
      </c>
      <c r="C195" s="40" t="s">
        <v>247</v>
      </c>
      <c r="D195" s="44">
        <v>100</v>
      </c>
      <c r="E195" s="44">
        <v>60</v>
      </c>
      <c r="F195" s="146">
        <f t="shared" si="3"/>
        <v>40</v>
      </c>
      <c r="G195" s="147" t="s">
        <v>815</v>
      </c>
    </row>
    <row r="196" spans="1:7" ht="15">
      <c r="A196" s="46">
        <v>6</v>
      </c>
      <c r="B196" s="47" t="s">
        <v>90</v>
      </c>
      <c r="C196" s="40" t="s">
        <v>249</v>
      </c>
      <c r="D196" s="44">
        <v>50</v>
      </c>
      <c r="E196" s="44">
        <v>27</v>
      </c>
      <c r="F196" s="146">
        <f t="shared" si="3"/>
        <v>23</v>
      </c>
      <c r="G196" s="147" t="s">
        <v>815</v>
      </c>
    </row>
    <row r="197" spans="1:7" ht="15">
      <c r="A197" s="46">
        <v>6</v>
      </c>
      <c r="B197" s="85" t="s">
        <v>92</v>
      </c>
      <c r="C197" s="40" t="s">
        <v>248</v>
      </c>
      <c r="D197" s="44">
        <v>120</v>
      </c>
      <c r="E197" s="44">
        <v>60</v>
      </c>
      <c r="F197" s="146">
        <f t="shared" si="3"/>
        <v>60</v>
      </c>
      <c r="G197" s="147" t="s">
        <v>815</v>
      </c>
    </row>
    <row r="198" spans="1:7" ht="15">
      <c r="A198" s="46">
        <v>6</v>
      </c>
      <c r="B198" s="47" t="s">
        <v>253</v>
      </c>
      <c r="C198" s="40" t="s">
        <v>254</v>
      </c>
      <c r="D198" s="44">
        <v>30</v>
      </c>
      <c r="E198" s="44">
        <v>0</v>
      </c>
      <c r="F198" s="146">
        <f t="shared" si="3"/>
        <v>30</v>
      </c>
      <c r="G198" s="147" t="s">
        <v>815</v>
      </c>
    </row>
    <row r="199" spans="1:7" ht="15">
      <c r="A199" s="46">
        <v>6</v>
      </c>
      <c r="B199" s="47" t="s">
        <v>255</v>
      </c>
      <c r="C199" s="40"/>
      <c r="D199" s="44">
        <v>40</v>
      </c>
      <c r="E199" s="44">
        <v>0</v>
      </c>
      <c r="F199" s="146">
        <f t="shared" si="3"/>
        <v>40</v>
      </c>
      <c r="G199" s="147" t="s">
        <v>815</v>
      </c>
    </row>
    <row r="200" spans="1:7" ht="15">
      <c r="A200" s="46">
        <v>6</v>
      </c>
      <c r="B200" s="85" t="s">
        <v>250</v>
      </c>
      <c r="C200" s="40" t="s">
        <v>252</v>
      </c>
      <c r="D200" s="44">
        <v>45</v>
      </c>
      <c r="E200" s="44">
        <v>32</v>
      </c>
      <c r="F200" s="146">
        <f t="shared" si="3"/>
        <v>13</v>
      </c>
      <c r="G200" s="147" t="s">
        <v>815</v>
      </c>
    </row>
    <row r="201" spans="1:7" ht="15">
      <c r="A201" s="46">
        <v>6</v>
      </c>
      <c r="B201" s="85" t="s">
        <v>250</v>
      </c>
      <c r="C201" s="40" t="s">
        <v>252</v>
      </c>
      <c r="D201" s="44">
        <v>45</v>
      </c>
      <c r="E201" s="44">
        <v>32</v>
      </c>
      <c r="F201" s="146">
        <f t="shared" si="3"/>
        <v>13</v>
      </c>
      <c r="G201" s="147" t="s">
        <v>815</v>
      </c>
    </row>
    <row r="202" spans="1:7" ht="15">
      <c r="A202" s="46">
        <v>6</v>
      </c>
      <c r="B202" s="85" t="s">
        <v>92</v>
      </c>
      <c r="C202" s="40" t="s">
        <v>251</v>
      </c>
      <c r="D202" s="44">
        <v>120</v>
      </c>
      <c r="E202" s="44">
        <v>60</v>
      </c>
      <c r="F202" s="146">
        <f t="shared" si="3"/>
        <v>60</v>
      </c>
      <c r="G202" s="147" t="s">
        <v>815</v>
      </c>
    </row>
    <row r="203" spans="1:7" ht="15">
      <c r="A203" s="46">
        <v>6</v>
      </c>
      <c r="B203" s="47" t="s">
        <v>261</v>
      </c>
      <c r="C203" s="40"/>
      <c r="D203" s="44">
        <v>50</v>
      </c>
      <c r="E203" s="44">
        <v>25</v>
      </c>
      <c r="F203" s="146">
        <f t="shared" si="3"/>
        <v>25</v>
      </c>
      <c r="G203" s="147" t="s">
        <v>815</v>
      </c>
    </row>
    <row r="204" spans="1:7" ht="15">
      <c r="A204" s="46">
        <v>6</v>
      </c>
      <c r="B204" s="47" t="s">
        <v>261</v>
      </c>
      <c r="C204" s="40"/>
      <c r="D204" s="44">
        <v>50</v>
      </c>
      <c r="E204" s="44">
        <v>25</v>
      </c>
      <c r="F204" s="146">
        <f t="shared" si="3"/>
        <v>25</v>
      </c>
      <c r="G204" s="147" t="s">
        <v>815</v>
      </c>
    </row>
    <row r="205" spans="1:7" ht="15">
      <c r="A205" s="46">
        <v>6</v>
      </c>
      <c r="B205" s="85" t="s">
        <v>244</v>
      </c>
      <c r="C205" s="40" t="s">
        <v>263</v>
      </c>
      <c r="D205" s="44">
        <v>35</v>
      </c>
      <c r="E205" s="158">
        <v>24</v>
      </c>
      <c r="F205" s="146">
        <f t="shared" si="3"/>
        <v>11</v>
      </c>
      <c r="G205" s="147" t="s">
        <v>815</v>
      </c>
    </row>
    <row r="206" spans="1:7" ht="15">
      <c r="A206" s="46">
        <v>6</v>
      </c>
      <c r="B206" s="47" t="s">
        <v>90</v>
      </c>
      <c r="C206" s="40"/>
      <c r="D206" s="44">
        <v>50</v>
      </c>
      <c r="E206" s="44">
        <v>27</v>
      </c>
      <c r="F206" s="146">
        <f t="shared" si="3"/>
        <v>23</v>
      </c>
      <c r="G206" s="147" t="s">
        <v>815</v>
      </c>
    </row>
    <row r="207" spans="1:7" ht="15">
      <c r="A207" s="46">
        <v>6</v>
      </c>
      <c r="B207" s="63" t="s">
        <v>155</v>
      </c>
      <c r="C207" s="40" t="s">
        <v>262</v>
      </c>
      <c r="D207" s="44">
        <v>35</v>
      </c>
      <c r="E207" s="44">
        <v>16</v>
      </c>
      <c r="F207" s="146">
        <f t="shared" si="3"/>
        <v>19</v>
      </c>
      <c r="G207" s="147" t="s">
        <v>815</v>
      </c>
    </row>
    <row r="208" spans="1:7" ht="15">
      <c r="A208" s="46">
        <v>6</v>
      </c>
      <c r="B208" s="85" t="s">
        <v>92</v>
      </c>
      <c r="C208" s="40" t="s">
        <v>265</v>
      </c>
      <c r="D208" s="44">
        <v>35</v>
      </c>
      <c r="E208" s="44">
        <v>16</v>
      </c>
      <c r="F208" s="146">
        <f t="shared" si="3"/>
        <v>19</v>
      </c>
      <c r="G208" s="147" t="s">
        <v>815</v>
      </c>
    </row>
    <row r="209" spans="1:7" ht="15">
      <c r="A209" s="46">
        <v>6</v>
      </c>
      <c r="B209" s="47" t="s">
        <v>261</v>
      </c>
      <c r="C209" s="40" t="s">
        <v>263</v>
      </c>
      <c r="D209" s="44">
        <v>45</v>
      </c>
      <c r="E209" s="44">
        <v>25</v>
      </c>
      <c r="F209" s="146">
        <f t="shared" si="3"/>
        <v>20</v>
      </c>
      <c r="G209" s="147" t="s">
        <v>815</v>
      </c>
    </row>
    <row r="210" spans="1:7" ht="15">
      <c r="A210" s="46">
        <v>6</v>
      </c>
      <c r="B210" s="47" t="s">
        <v>737</v>
      </c>
      <c r="C210" s="79"/>
      <c r="D210" s="77">
        <v>100</v>
      </c>
      <c r="E210" s="158">
        <v>65</v>
      </c>
      <c r="F210" s="146">
        <f t="shared" si="3"/>
        <v>35</v>
      </c>
      <c r="G210" s="147" t="s">
        <v>815</v>
      </c>
    </row>
    <row r="211" spans="1:7" ht="15">
      <c r="A211" s="46">
        <v>6</v>
      </c>
      <c r="B211" s="47" t="s">
        <v>267</v>
      </c>
      <c r="C211" s="40" t="s">
        <v>268</v>
      </c>
      <c r="D211" s="44">
        <v>50</v>
      </c>
      <c r="E211" s="44">
        <v>23.5</v>
      </c>
      <c r="F211" s="146">
        <f t="shared" si="3"/>
        <v>26.5</v>
      </c>
      <c r="G211" s="147" t="s">
        <v>815</v>
      </c>
    </row>
    <row r="212" spans="1:7" ht="15">
      <c r="A212" s="46">
        <v>6</v>
      </c>
      <c r="B212" s="85" t="s">
        <v>92</v>
      </c>
      <c r="C212" s="40" t="s">
        <v>268</v>
      </c>
      <c r="D212" s="44">
        <v>90</v>
      </c>
      <c r="E212" s="44">
        <v>60</v>
      </c>
      <c r="F212" s="146">
        <f t="shared" si="3"/>
        <v>30</v>
      </c>
      <c r="G212" s="147" t="s">
        <v>815</v>
      </c>
    </row>
    <row r="213" spans="1:7" ht="15">
      <c r="A213" s="46">
        <v>6</v>
      </c>
      <c r="B213" s="47" t="s">
        <v>226</v>
      </c>
      <c r="C213" s="40" t="s">
        <v>259</v>
      </c>
      <c r="D213" s="44">
        <v>180</v>
      </c>
      <c r="E213" s="44">
        <v>110</v>
      </c>
      <c r="F213" s="146">
        <f t="shared" si="3"/>
        <v>70</v>
      </c>
      <c r="G213" s="147" t="s">
        <v>815</v>
      </c>
    </row>
    <row r="214" spans="1:7" ht="15">
      <c r="A214" s="46">
        <v>6</v>
      </c>
      <c r="B214" s="47" t="s">
        <v>267</v>
      </c>
      <c r="C214" s="40" t="s">
        <v>269</v>
      </c>
      <c r="D214" s="44">
        <v>40</v>
      </c>
      <c r="E214" s="44">
        <v>23.5</v>
      </c>
      <c r="F214" s="146">
        <f t="shared" si="3"/>
        <v>16.5</v>
      </c>
      <c r="G214" s="147" t="s">
        <v>815</v>
      </c>
    </row>
    <row r="215" spans="1:7" ht="15">
      <c r="A215" s="46">
        <v>6</v>
      </c>
      <c r="B215" s="47" t="s">
        <v>261</v>
      </c>
      <c r="C215" s="40" t="s">
        <v>270</v>
      </c>
      <c r="D215" s="44">
        <v>40</v>
      </c>
      <c r="E215" s="44">
        <v>25</v>
      </c>
      <c r="F215" s="146">
        <f t="shared" si="3"/>
        <v>15</v>
      </c>
      <c r="G215" s="147" t="s">
        <v>815</v>
      </c>
    </row>
    <row r="216" spans="1:7" ht="15">
      <c r="A216" s="46">
        <v>6</v>
      </c>
      <c r="B216" s="47" t="s">
        <v>226</v>
      </c>
      <c r="C216" s="40" t="s">
        <v>269</v>
      </c>
      <c r="D216" s="44">
        <v>150</v>
      </c>
      <c r="E216" s="44">
        <v>110</v>
      </c>
      <c r="F216" s="146">
        <f t="shared" si="3"/>
        <v>40</v>
      </c>
      <c r="G216" s="147" t="s">
        <v>815</v>
      </c>
    </row>
    <row r="217" spans="1:7" ht="15">
      <c r="A217" s="46">
        <v>6</v>
      </c>
      <c r="B217" s="73" t="s">
        <v>257</v>
      </c>
      <c r="C217" s="79" t="s">
        <v>225</v>
      </c>
      <c r="D217" s="77">
        <v>160</v>
      </c>
      <c r="E217" s="158">
        <v>94</v>
      </c>
      <c r="F217" s="146">
        <f t="shared" si="3"/>
        <v>66</v>
      </c>
      <c r="G217" s="147" t="s">
        <v>815</v>
      </c>
    </row>
    <row r="218" spans="1:7" ht="15">
      <c r="A218" s="46">
        <v>6</v>
      </c>
      <c r="B218" s="46" t="s">
        <v>102</v>
      </c>
      <c r="C218" s="40" t="s">
        <v>271</v>
      </c>
      <c r="D218" s="44">
        <v>20</v>
      </c>
      <c r="E218" s="44">
        <v>14</v>
      </c>
      <c r="F218" s="146">
        <f t="shared" si="3"/>
        <v>6</v>
      </c>
      <c r="G218" s="147" t="s">
        <v>815</v>
      </c>
    </row>
    <row r="219" spans="1:7" ht="15">
      <c r="A219" s="46">
        <v>6</v>
      </c>
      <c r="B219" s="47" t="s">
        <v>261</v>
      </c>
      <c r="C219" s="40" t="s">
        <v>55</v>
      </c>
      <c r="D219" s="44">
        <v>35</v>
      </c>
      <c r="E219" s="44">
        <v>25</v>
      </c>
      <c r="F219" s="146">
        <f t="shared" si="3"/>
        <v>10</v>
      </c>
      <c r="G219" s="147" t="s">
        <v>815</v>
      </c>
    </row>
    <row r="220" spans="1:7" ht="15">
      <c r="A220" s="46">
        <v>6</v>
      </c>
      <c r="B220" s="47" t="s">
        <v>258</v>
      </c>
      <c r="C220" s="40" t="s">
        <v>126</v>
      </c>
      <c r="D220" s="44">
        <v>40</v>
      </c>
      <c r="E220" s="44">
        <v>26.99</v>
      </c>
      <c r="F220" s="146">
        <f t="shared" si="3"/>
        <v>13.010000000000002</v>
      </c>
      <c r="G220" s="147" t="s">
        <v>815</v>
      </c>
    </row>
    <row r="221" spans="1:7" ht="15">
      <c r="A221" s="46">
        <v>6</v>
      </c>
      <c r="B221" s="47" t="s">
        <v>206</v>
      </c>
      <c r="C221" s="40" t="s">
        <v>274</v>
      </c>
      <c r="D221" s="44">
        <v>25</v>
      </c>
      <c r="E221" s="44">
        <v>12</v>
      </c>
      <c r="F221" s="146">
        <f t="shared" si="3"/>
        <v>13</v>
      </c>
      <c r="G221" s="147" t="s">
        <v>815</v>
      </c>
    </row>
    <row r="222" spans="1:7" ht="15">
      <c r="A222" s="46">
        <v>6</v>
      </c>
      <c r="B222" s="63" t="s">
        <v>155</v>
      </c>
      <c r="C222" s="40" t="s">
        <v>273</v>
      </c>
      <c r="D222" s="44">
        <v>30</v>
      </c>
      <c r="E222" s="44">
        <v>16</v>
      </c>
      <c r="F222" s="146">
        <f t="shared" si="3"/>
        <v>14</v>
      </c>
      <c r="G222" s="147" t="s">
        <v>815</v>
      </c>
    </row>
    <row r="223" spans="1:7" ht="15">
      <c r="A223" s="46">
        <v>6</v>
      </c>
      <c r="B223" s="47" t="s">
        <v>261</v>
      </c>
      <c r="C223" s="40" t="s">
        <v>126</v>
      </c>
      <c r="D223" s="44">
        <v>40</v>
      </c>
      <c r="E223" s="44">
        <v>25</v>
      </c>
      <c r="F223" s="146">
        <f t="shared" si="3"/>
        <v>15</v>
      </c>
      <c r="G223" s="147" t="s">
        <v>815</v>
      </c>
    </row>
    <row r="224" spans="1:7" ht="15">
      <c r="A224" s="46">
        <v>6</v>
      </c>
      <c r="B224" s="47" t="s">
        <v>529</v>
      </c>
      <c r="C224" s="40">
        <v>414</v>
      </c>
      <c r="D224" s="44">
        <v>40</v>
      </c>
      <c r="E224" s="44">
        <v>22.9</v>
      </c>
      <c r="F224" s="146">
        <f t="shared" si="3"/>
        <v>17.100000000000001</v>
      </c>
      <c r="G224" s="147" t="s">
        <v>815</v>
      </c>
    </row>
    <row r="225" spans="1:7" ht="15">
      <c r="A225" s="46">
        <v>6</v>
      </c>
      <c r="B225" s="85" t="s">
        <v>244</v>
      </c>
      <c r="C225" s="40" t="s">
        <v>276</v>
      </c>
      <c r="D225" s="44">
        <v>45</v>
      </c>
      <c r="E225" s="158">
        <v>24</v>
      </c>
      <c r="F225" s="146">
        <f t="shared" si="3"/>
        <v>21</v>
      </c>
      <c r="G225" s="147" t="s">
        <v>815</v>
      </c>
    </row>
    <row r="226" spans="1:7" ht="15">
      <c r="A226" s="46">
        <v>6</v>
      </c>
      <c r="B226" s="47" t="s">
        <v>229</v>
      </c>
      <c r="C226" s="40" t="s">
        <v>259</v>
      </c>
      <c r="D226" s="44">
        <v>20</v>
      </c>
      <c r="E226" s="44">
        <v>20</v>
      </c>
      <c r="F226" s="146">
        <f t="shared" si="3"/>
        <v>0</v>
      </c>
      <c r="G226" s="147" t="s">
        <v>815</v>
      </c>
    </row>
    <row r="227" spans="1:7" ht="15">
      <c r="A227" s="46">
        <v>6</v>
      </c>
      <c r="B227" s="47" t="s">
        <v>256</v>
      </c>
      <c r="C227" s="40"/>
      <c r="D227" s="44">
        <v>40</v>
      </c>
      <c r="E227" s="44">
        <v>22</v>
      </c>
      <c r="F227" s="146">
        <f t="shared" si="3"/>
        <v>18</v>
      </c>
      <c r="G227" s="147" t="s">
        <v>815</v>
      </c>
    </row>
    <row r="228" spans="1:7" ht="15">
      <c r="A228" s="46">
        <v>6</v>
      </c>
      <c r="B228" s="47" t="s">
        <v>529</v>
      </c>
      <c r="C228" s="40" t="s">
        <v>126</v>
      </c>
      <c r="D228" s="44">
        <v>40</v>
      </c>
      <c r="E228" s="44">
        <v>22.9</v>
      </c>
      <c r="F228" s="146">
        <f t="shared" si="3"/>
        <v>17.100000000000001</v>
      </c>
      <c r="G228" s="147" t="s">
        <v>815</v>
      </c>
    </row>
    <row r="229" spans="1:7" ht="15">
      <c r="A229" s="46">
        <v>6</v>
      </c>
      <c r="B229" s="47" t="s">
        <v>608</v>
      </c>
      <c r="C229" s="40"/>
      <c r="D229" s="44">
        <v>50</v>
      </c>
      <c r="E229" s="44">
        <v>24</v>
      </c>
      <c r="F229" s="146">
        <f t="shared" si="3"/>
        <v>26</v>
      </c>
      <c r="G229" s="147" t="s">
        <v>815</v>
      </c>
    </row>
    <row r="230" spans="1:7" ht="15">
      <c r="A230" s="46">
        <v>6</v>
      </c>
      <c r="B230" s="47" t="s">
        <v>267</v>
      </c>
      <c r="C230" s="40" t="s">
        <v>281</v>
      </c>
      <c r="D230" s="44">
        <v>50</v>
      </c>
      <c r="E230" s="44">
        <v>23.5</v>
      </c>
      <c r="F230" s="146">
        <f t="shared" si="3"/>
        <v>26.5</v>
      </c>
      <c r="G230" s="147" t="s">
        <v>815</v>
      </c>
    </row>
    <row r="231" spans="1:7" ht="15">
      <c r="A231" s="46">
        <v>6</v>
      </c>
      <c r="B231" s="47" t="s">
        <v>206</v>
      </c>
      <c r="C231" s="40" t="s">
        <v>280</v>
      </c>
      <c r="D231" s="44">
        <v>20</v>
      </c>
      <c r="E231" s="44">
        <v>12</v>
      </c>
      <c r="F231" s="146">
        <f t="shared" si="3"/>
        <v>8</v>
      </c>
      <c r="G231" s="147" t="s">
        <v>815</v>
      </c>
    </row>
    <row r="232" spans="1:7" ht="15">
      <c r="A232" s="46">
        <v>6</v>
      </c>
      <c r="B232" s="47" t="s">
        <v>132</v>
      </c>
      <c r="C232" s="40" t="s">
        <v>279</v>
      </c>
      <c r="D232" s="44">
        <v>40</v>
      </c>
      <c r="E232" s="44">
        <v>20</v>
      </c>
      <c r="F232" s="146">
        <f t="shared" si="3"/>
        <v>20</v>
      </c>
      <c r="G232" s="147" t="s">
        <v>815</v>
      </c>
    </row>
    <row r="233" spans="1:7" ht="15">
      <c r="A233" s="46">
        <v>6</v>
      </c>
      <c r="B233" s="47" t="s">
        <v>132</v>
      </c>
      <c r="C233" s="40" t="s">
        <v>279</v>
      </c>
      <c r="D233" s="44">
        <v>40</v>
      </c>
      <c r="E233" s="44">
        <v>20</v>
      </c>
      <c r="F233" s="146">
        <f t="shared" si="3"/>
        <v>20</v>
      </c>
      <c r="G233" s="147" t="s">
        <v>815</v>
      </c>
    </row>
    <row r="234" spans="1:7" ht="15">
      <c r="A234" s="46">
        <v>6</v>
      </c>
      <c r="B234" s="47" t="s">
        <v>132</v>
      </c>
      <c r="C234" s="40" t="s">
        <v>279</v>
      </c>
      <c r="D234" s="44">
        <v>40</v>
      </c>
      <c r="E234" s="44">
        <v>20</v>
      </c>
      <c r="F234" s="146">
        <f t="shared" si="3"/>
        <v>20</v>
      </c>
      <c r="G234" s="147" t="s">
        <v>815</v>
      </c>
    </row>
    <row r="235" spans="1:7" ht="15">
      <c r="A235" s="46">
        <v>6</v>
      </c>
      <c r="B235" s="47" t="s">
        <v>244</v>
      </c>
      <c r="C235" s="40" t="s">
        <v>285</v>
      </c>
      <c r="D235" s="44">
        <v>35</v>
      </c>
      <c r="E235" s="44">
        <v>24</v>
      </c>
      <c r="F235" s="146">
        <f t="shared" si="3"/>
        <v>11</v>
      </c>
      <c r="G235" s="147" t="s">
        <v>815</v>
      </c>
    </row>
    <row r="236" spans="1:7" ht="15">
      <c r="A236" s="46">
        <v>6</v>
      </c>
      <c r="B236" s="47" t="s">
        <v>267</v>
      </c>
      <c r="C236" s="40" t="s">
        <v>283</v>
      </c>
      <c r="D236" s="44">
        <v>50</v>
      </c>
      <c r="E236" s="44">
        <v>23.5</v>
      </c>
      <c r="F236" s="146">
        <f t="shared" si="3"/>
        <v>26.5</v>
      </c>
      <c r="G236" s="147" t="s">
        <v>815</v>
      </c>
    </row>
    <row r="237" spans="1:7" ht="15">
      <c r="A237" s="46">
        <v>6</v>
      </c>
      <c r="B237" s="47" t="s">
        <v>182</v>
      </c>
      <c r="C237" s="40" t="s">
        <v>284</v>
      </c>
      <c r="D237" s="44">
        <v>50</v>
      </c>
      <c r="E237" s="44">
        <v>25</v>
      </c>
      <c r="F237" s="146">
        <f t="shared" si="3"/>
        <v>25</v>
      </c>
      <c r="G237" s="147" t="s">
        <v>815</v>
      </c>
    </row>
    <row r="238" spans="1:7" ht="15">
      <c r="A238" s="46">
        <v>6</v>
      </c>
      <c r="B238" s="47" t="s">
        <v>132</v>
      </c>
      <c r="C238" s="40" t="s">
        <v>282</v>
      </c>
      <c r="D238" s="44">
        <v>40</v>
      </c>
      <c r="E238" s="44">
        <v>20</v>
      </c>
      <c r="F238" s="146">
        <f t="shared" si="3"/>
        <v>20</v>
      </c>
      <c r="G238" s="147" t="s">
        <v>815</v>
      </c>
    </row>
    <row r="239" spans="1:7" ht="15">
      <c r="A239" s="46">
        <v>6</v>
      </c>
      <c r="B239" s="47" t="s">
        <v>267</v>
      </c>
      <c r="C239" s="40" t="s">
        <v>286</v>
      </c>
      <c r="D239" s="44">
        <v>55</v>
      </c>
      <c r="E239" s="44">
        <v>23.5</v>
      </c>
      <c r="F239" s="146">
        <f t="shared" si="3"/>
        <v>31.5</v>
      </c>
      <c r="G239" s="147" t="s">
        <v>815</v>
      </c>
    </row>
    <row r="240" spans="1:7" ht="15">
      <c r="A240" s="46">
        <v>6</v>
      </c>
      <c r="B240" s="47" t="s">
        <v>289</v>
      </c>
      <c r="C240" s="40" t="s">
        <v>519</v>
      </c>
      <c r="D240" s="44">
        <v>35</v>
      </c>
      <c r="E240" s="44">
        <v>23.5</v>
      </c>
      <c r="F240" s="146">
        <f t="shared" si="3"/>
        <v>11.5</v>
      </c>
      <c r="G240" s="147" t="s">
        <v>815</v>
      </c>
    </row>
    <row r="241" spans="1:7" ht="15">
      <c r="A241" s="46">
        <v>6</v>
      </c>
      <c r="B241" s="47" t="s">
        <v>289</v>
      </c>
      <c r="C241" s="40" t="s">
        <v>519</v>
      </c>
      <c r="D241" s="44">
        <v>35</v>
      </c>
      <c r="E241" s="44">
        <v>23.5</v>
      </c>
      <c r="F241" s="146">
        <f t="shared" si="3"/>
        <v>11.5</v>
      </c>
      <c r="G241" s="147" t="s">
        <v>815</v>
      </c>
    </row>
    <row r="242" spans="1:7" ht="15">
      <c r="A242" s="46">
        <v>6</v>
      </c>
      <c r="B242" s="43" t="s">
        <v>157</v>
      </c>
      <c r="C242" s="43" t="s">
        <v>292</v>
      </c>
      <c r="D242" s="45">
        <v>50</v>
      </c>
      <c r="E242" s="157">
        <v>20</v>
      </c>
      <c r="F242" s="146">
        <f t="shared" si="3"/>
        <v>30</v>
      </c>
      <c r="G242" s="147" t="s">
        <v>815</v>
      </c>
    </row>
    <row r="243" spans="1:7" ht="15">
      <c r="A243" s="46">
        <v>6</v>
      </c>
      <c r="B243" s="73" t="s">
        <v>290</v>
      </c>
      <c r="C243" s="40" t="s">
        <v>519</v>
      </c>
      <c r="D243" s="44">
        <v>35</v>
      </c>
      <c r="E243" s="44">
        <v>20</v>
      </c>
      <c r="F243" s="146">
        <f t="shared" si="3"/>
        <v>15</v>
      </c>
      <c r="G243" s="147" t="s">
        <v>815</v>
      </c>
    </row>
    <row r="244" spans="1:7" ht="15">
      <c r="A244" s="46">
        <v>6</v>
      </c>
      <c r="B244" s="47" t="s">
        <v>261</v>
      </c>
      <c r="C244" s="40" t="s">
        <v>287</v>
      </c>
      <c r="D244" s="44">
        <v>40</v>
      </c>
      <c r="E244" s="44">
        <v>25</v>
      </c>
      <c r="F244" s="146">
        <f t="shared" si="3"/>
        <v>15</v>
      </c>
      <c r="G244" s="147" t="s">
        <v>815</v>
      </c>
    </row>
    <row r="245" spans="1:7" ht="15">
      <c r="A245" s="46">
        <v>6</v>
      </c>
      <c r="B245" s="47" t="s">
        <v>261</v>
      </c>
      <c r="C245" s="40" t="s">
        <v>287</v>
      </c>
      <c r="D245" s="44">
        <v>40</v>
      </c>
      <c r="E245" s="44">
        <v>25</v>
      </c>
      <c r="F245" s="146">
        <f t="shared" si="3"/>
        <v>15</v>
      </c>
      <c r="G245" s="147" t="s">
        <v>815</v>
      </c>
    </row>
    <row r="246" spans="1:7" ht="15">
      <c r="A246" s="46">
        <v>6</v>
      </c>
      <c r="B246" s="47" t="s">
        <v>261</v>
      </c>
      <c r="C246" s="40" t="s">
        <v>287</v>
      </c>
      <c r="D246" s="44">
        <v>40</v>
      </c>
      <c r="E246" s="44">
        <v>25</v>
      </c>
      <c r="F246" s="146">
        <f t="shared" si="3"/>
        <v>15</v>
      </c>
      <c r="G246" s="147" t="s">
        <v>815</v>
      </c>
    </row>
    <row r="247" spans="1:7" ht="15">
      <c r="A247" s="46">
        <v>6</v>
      </c>
      <c r="B247" s="47" t="s">
        <v>261</v>
      </c>
      <c r="C247" s="40" t="s">
        <v>287</v>
      </c>
      <c r="D247" s="44">
        <v>40</v>
      </c>
      <c r="E247" s="44">
        <v>25</v>
      </c>
      <c r="F247" s="146">
        <f t="shared" si="3"/>
        <v>15</v>
      </c>
      <c r="G247" s="147" t="s">
        <v>815</v>
      </c>
    </row>
    <row r="248" spans="1:7" ht="15">
      <c r="A248" s="46">
        <v>6</v>
      </c>
      <c r="B248" s="47" t="s">
        <v>261</v>
      </c>
      <c r="C248" s="40" t="s">
        <v>287</v>
      </c>
      <c r="D248" s="44">
        <v>40</v>
      </c>
      <c r="E248" s="44">
        <v>25</v>
      </c>
      <c r="F248" s="146">
        <f t="shared" si="3"/>
        <v>15</v>
      </c>
      <c r="G248" s="147" t="s">
        <v>815</v>
      </c>
    </row>
    <row r="249" spans="1:7" ht="15">
      <c r="A249" s="46">
        <v>6</v>
      </c>
      <c r="B249" s="47" t="s">
        <v>608</v>
      </c>
      <c r="C249" s="40" t="s">
        <v>287</v>
      </c>
      <c r="D249" s="44">
        <v>35</v>
      </c>
      <c r="E249" s="44">
        <v>24</v>
      </c>
      <c r="F249" s="146">
        <f t="shared" si="3"/>
        <v>11</v>
      </c>
      <c r="G249" s="147" t="s">
        <v>815</v>
      </c>
    </row>
    <row r="250" spans="1:7" ht="15">
      <c r="A250" s="46">
        <v>6</v>
      </c>
      <c r="B250" s="43" t="s">
        <v>157</v>
      </c>
      <c r="C250" s="28" t="s">
        <v>293</v>
      </c>
      <c r="D250" s="44">
        <v>50</v>
      </c>
      <c r="E250" s="157">
        <v>20</v>
      </c>
      <c r="F250" s="146">
        <f t="shared" si="3"/>
        <v>30</v>
      </c>
      <c r="G250" s="147" t="s">
        <v>815</v>
      </c>
    </row>
    <row r="251" spans="1:7" ht="15">
      <c r="A251" s="46">
        <v>6</v>
      </c>
      <c r="B251" s="47" t="s">
        <v>297</v>
      </c>
      <c r="C251" s="40"/>
      <c r="D251" s="44">
        <v>10</v>
      </c>
      <c r="E251" s="157">
        <v>6.5</v>
      </c>
      <c r="F251" s="146">
        <f t="shared" si="3"/>
        <v>3.5</v>
      </c>
      <c r="G251" s="147" t="s">
        <v>815</v>
      </c>
    </row>
    <row r="252" spans="1:7" ht="15">
      <c r="A252" s="46">
        <v>6</v>
      </c>
      <c r="B252" s="47" t="s">
        <v>278</v>
      </c>
      <c r="C252" s="40" t="s">
        <v>142</v>
      </c>
      <c r="D252" s="44">
        <v>50</v>
      </c>
      <c r="E252" s="44">
        <v>33</v>
      </c>
      <c r="F252" s="146">
        <f t="shared" si="3"/>
        <v>17</v>
      </c>
      <c r="G252" s="147" t="s">
        <v>815</v>
      </c>
    </row>
    <row r="253" spans="1:7" ht="15">
      <c r="A253" s="46">
        <v>6</v>
      </c>
      <c r="B253" s="47" t="s">
        <v>278</v>
      </c>
      <c r="C253" s="40" t="s">
        <v>142</v>
      </c>
      <c r="D253" s="44">
        <v>50</v>
      </c>
      <c r="E253" s="44">
        <v>33</v>
      </c>
      <c r="F253" s="146">
        <f t="shared" si="3"/>
        <v>17</v>
      </c>
      <c r="G253" s="147" t="s">
        <v>815</v>
      </c>
    </row>
    <row r="254" spans="1:7" ht="15">
      <c r="A254" s="46">
        <v>6</v>
      </c>
      <c r="B254" s="47" t="s">
        <v>294</v>
      </c>
      <c r="C254" s="40" t="s">
        <v>75</v>
      </c>
      <c r="D254" s="44">
        <v>100</v>
      </c>
      <c r="E254" s="44">
        <v>50</v>
      </c>
      <c r="F254" s="146">
        <f t="shared" si="3"/>
        <v>50</v>
      </c>
      <c r="G254" s="147" t="s">
        <v>815</v>
      </c>
    </row>
    <row r="255" spans="1:7" ht="15">
      <c r="A255" s="46">
        <v>6</v>
      </c>
      <c r="B255" s="47" t="s">
        <v>132</v>
      </c>
      <c r="C255" s="40" t="s">
        <v>302</v>
      </c>
      <c r="D255" s="44">
        <v>20</v>
      </c>
      <c r="E255" s="44">
        <v>20</v>
      </c>
      <c r="F255" s="146">
        <f t="shared" si="3"/>
        <v>0</v>
      </c>
      <c r="G255" s="147" t="s">
        <v>815</v>
      </c>
    </row>
    <row r="256" spans="1:7" ht="15">
      <c r="A256" s="46">
        <v>6</v>
      </c>
      <c r="B256" s="47" t="s">
        <v>132</v>
      </c>
      <c r="C256" s="40" t="s">
        <v>302</v>
      </c>
      <c r="D256" s="44">
        <v>40</v>
      </c>
      <c r="E256" s="44">
        <v>20</v>
      </c>
      <c r="F256" s="146">
        <f t="shared" si="3"/>
        <v>20</v>
      </c>
      <c r="G256" s="147" t="s">
        <v>815</v>
      </c>
    </row>
    <row r="257" spans="1:7" ht="15">
      <c r="A257" s="46">
        <v>6</v>
      </c>
      <c r="B257" s="47" t="s">
        <v>132</v>
      </c>
      <c r="C257" s="40" t="s">
        <v>302</v>
      </c>
      <c r="D257" s="44">
        <v>40</v>
      </c>
      <c r="E257" s="44">
        <v>20</v>
      </c>
      <c r="F257" s="146">
        <f t="shared" si="3"/>
        <v>20</v>
      </c>
      <c r="G257" s="147" t="s">
        <v>815</v>
      </c>
    </row>
    <row r="258" spans="1:7" ht="15">
      <c r="A258" s="46">
        <v>6</v>
      </c>
      <c r="B258" s="47" t="s">
        <v>303</v>
      </c>
      <c r="C258" s="40" t="s">
        <v>36</v>
      </c>
      <c r="D258" s="44">
        <v>15</v>
      </c>
      <c r="E258" s="44">
        <v>5</v>
      </c>
      <c r="F258" s="146">
        <f t="shared" ref="F258:F321" si="4">D258-E258</f>
        <v>10</v>
      </c>
      <c r="G258" s="147" t="s">
        <v>815</v>
      </c>
    </row>
    <row r="259" spans="1:7" ht="15">
      <c r="A259" s="46">
        <v>6</v>
      </c>
      <c r="B259" s="47" t="s">
        <v>301</v>
      </c>
      <c r="C259" s="40" t="s">
        <v>36</v>
      </c>
      <c r="D259" s="44">
        <v>15</v>
      </c>
      <c r="E259" s="44">
        <v>4.5</v>
      </c>
      <c r="F259" s="146">
        <f t="shared" si="4"/>
        <v>10.5</v>
      </c>
      <c r="G259" s="147" t="s">
        <v>815</v>
      </c>
    </row>
    <row r="260" spans="1:7" ht="15">
      <c r="A260" s="46">
        <v>6</v>
      </c>
      <c r="B260" s="47" t="s">
        <v>226</v>
      </c>
      <c r="C260" s="40" t="s">
        <v>75</v>
      </c>
      <c r="D260" s="44">
        <v>150</v>
      </c>
      <c r="E260" s="44">
        <v>110</v>
      </c>
      <c r="F260" s="146">
        <f t="shared" si="4"/>
        <v>40</v>
      </c>
      <c r="G260" s="147" t="s">
        <v>815</v>
      </c>
    </row>
    <row r="261" spans="1:7" ht="15">
      <c r="A261" s="46">
        <v>6</v>
      </c>
      <c r="B261" s="47" t="s">
        <v>297</v>
      </c>
      <c r="C261" s="40" t="s">
        <v>519</v>
      </c>
      <c r="D261" s="44">
        <v>10</v>
      </c>
      <c r="E261" s="44">
        <v>6.8</v>
      </c>
      <c r="F261" s="146">
        <f t="shared" si="4"/>
        <v>3.2</v>
      </c>
      <c r="G261" s="147" t="s">
        <v>815</v>
      </c>
    </row>
    <row r="262" spans="1:7" ht="15">
      <c r="A262" s="46">
        <v>6</v>
      </c>
      <c r="B262" s="47" t="s">
        <v>296</v>
      </c>
      <c r="C262" s="40" t="s">
        <v>519</v>
      </c>
      <c r="D262" s="44">
        <v>10</v>
      </c>
      <c r="E262" s="44">
        <v>7</v>
      </c>
      <c r="F262" s="146">
        <f t="shared" si="4"/>
        <v>3</v>
      </c>
      <c r="G262" s="147" t="s">
        <v>815</v>
      </c>
    </row>
    <row r="263" spans="1:7" ht="15">
      <c r="A263" s="46">
        <v>6</v>
      </c>
      <c r="B263" s="47" t="s">
        <v>296</v>
      </c>
      <c r="C263" s="40" t="s">
        <v>519</v>
      </c>
      <c r="D263" s="44">
        <v>10</v>
      </c>
      <c r="E263" s="44">
        <v>7</v>
      </c>
      <c r="F263" s="146">
        <f t="shared" si="4"/>
        <v>3</v>
      </c>
      <c r="G263" s="147" t="s">
        <v>815</v>
      </c>
    </row>
    <row r="264" spans="1:7" ht="15">
      <c r="A264" s="46">
        <v>6</v>
      </c>
      <c r="B264" s="47" t="s">
        <v>298</v>
      </c>
      <c r="C264" s="40" t="s">
        <v>519</v>
      </c>
      <c r="D264" s="44">
        <v>6</v>
      </c>
      <c r="E264" s="44">
        <v>4.5</v>
      </c>
      <c r="F264" s="146">
        <f t="shared" si="4"/>
        <v>1.5</v>
      </c>
      <c r="G264" s="147" t="s">
        <v>815</v>
      </c>
    </row>
    <row r="265" spans="1:7" ht="15">
      <c r="A265" s="46">
        <v>6</v>
      </c>
      <c r="B265" s="47" t="s">
        <v>298</v>
      </c>
      <c r="C265" s="40" t="s">
        <v>519</v>
      </c>
      <c r="D265" s="44">
        <v>6</v>
      </c>
      <c r="E265" s="44">
        <v>4.5</v>
      </c>
      <c r="F265" s="146">
        <f t="shared" si="4"/>
        <v>1.5</v>
      </c>
      <c r="G265" s="147" t="s">
        <v>815</v>
      </c>
    </row>
    <row r="266" spans="1:7" ht="15">
      <c r="A266" s="46">
        <v>6</v>
      </c>
      <c r="B266" s="47" t="s">
        <v>295</v>
      </c>
      <c r="C266" s="40" t="s">
        <v>519</v>
      </c>
      <c r="D266" s="44">
        <v>15</v>
      </c>
      <c r="E266" s="44">
        <v>11.5</v>
      </c>
      <c r="F266" s="146">
        <f t="shared" si="4"/>
        <v>3.5</v>
      </c>
      <c r="G266" s="147" t="s">
        <v>815</v>
      </c>
    </row>
    <row r="267" spans="1:7" ht="15">
      <c r="A267" s="46">
        <v>6</v>
      </c>
      <c r="B267" s="47" t="s">
        <v>295</v>
      </c>
      <c r="C267" s="40" t="s">
        <v>519</v>
      </c>
      <c r="D267" s="44">
        <v>15</v>
      </c>
      <c r="E267" s="44">
        <v>11.5</v>
      </c>
      <c r="F267" s="146">
        <f t="shared" si="4"/>
        <v>3.5</v>
      </c>
      <c r="G267" s="147" t="s">
        <v>815</v>
      </c>
    </row>
    <row r="268" spans="1:7" ht="15">
      <c r="A268" s="46">
        <v>6</v>
      </c>
      <c r="B268" s="47" t="s">
        <v>299</v>
      </c>
      <c r="C268" s="40" t="s">
        <v>519</v>
      </c>
      <c r="D268" s="44">
        <v>5</v>
      </c>
      <c r="E268" s="44">
        <v>3.5</v>
      </c>
      <c r="F268" s="146">
        <f t="shared" si="4"/>
        <v>1.5</v>
      </c>
      <c r="G268" s="147" t="s">
        <v>815</v>
      </c>
    </row>
    <row r="269" spans="1:7" ht="15">
      <c r="A269" s="46">
        <v>6</v>
      </c>
      <c r="B269" s="47" t="s">
        <v>300</v>
      </c>
      <c r="C269" s="40" t="s">
        <v>519</v>
      </c>
      <c r="D269" s="44">
        <v>7</v>
      </c>
      <c r="E269" s="44">
        <v>5</v>
      </c>
      <c r="F269" s="146">
        <f t="shared" si="4"/>
        <v>2</v>
      </c>
      <c r="G269" s="147" t="s">
        <v>815</v>
      </c>
    </row>
    <row r="270" spans="1:7" ht="15">
      <c r="A270" s="46">
        <v>6</v>
      </c>
      <c r="B270" s="47" t="s">
        <v>303</v>
      </c>
      <c r="C270" s="40" t="s">
        <v>519</v>
      </c>
      <c r="D270" s="44">
        <v>7</v>
      </c>
      <c r="E270" s="44">
        <v>5</v>
      </c>
      <c r="F270" s="146">
        <f t="shared" si="4"/>
        <v>2</v>
      </c>
      <c r="G270" s="147" t="s">
        <v>815</v>
      </c>
    </row>
    <row r="271" spans="1:7" ht="15">
      <c r="A271" s="46">
        <v>6</v>
      </c>
      <c r="B271" s="47" t="s">
        <v>301</v>
      </c>
      <c r="C271" s="40" t="s">
        <v>519</v>
      </c>
      <c r="D271" s="44">
        <v>6</v>
      </c>
      <c r="E271" s="44">
        <v>4.5</v>
      </c>
      <c r="F271" s="146">
        <f t="shared" si="4"/>
        <v>1.5</v>
      </c>
      <c r="G271" s="147" t="s">
        <v>815</v>
      </c>
    </row>
    <row r="272" spans="1:7" ht="15">
      <c r="A272" s="46">
        <v>6</v>
      </c>
      <c r="B272" s="47" t="s">
        <v>608</v>
      </c>
      <c r="C272" s="40" t="s">
        <v>519</v>
      </c>
      <c r="D272" s="44">
        <v>35</v>
      </c>
      <c r="E272" s="44">
        <v>24</v>
      </c>
      <c r="F272" s="146">
        <f t="shared" si="4"/>
        <v>11</v>
      </c>
      <c r="G272" s="147" t="s">
        <v>815</v>
      </c>
    </row>
    <row r="273" spans="1:7" ht="15">
      <c r="A273" s="46">
        <v>6</v>
      </c>
      <c r="B273" s="47" t="s">
        <v>608</v>
      </c>
      <c r="C273" s="40" t="s">
        <v>519</v>
      </c>
      <c r="D273" s="44">
        <v>35</v>
      </c>
      <c r="E273" s="44">
        <v>24</v>
      </c>
      <c r="F273" s="146">
        <f t="shared" si="4"/>
        <v>11</v>
      </c>
      <c r="G273" s="147" t="s">
        <v>815</v>
      </c>
    </row>
    <row r="274" spans="1:7" ht="15">
      <c r="A274" s="46">
        <v>6</v>
      </c>
      <c r="B274" s="47" t="s">
        <v>608</v>
      </c>
      <c r="C274" s="40" t="s">
        <v>519</v>
      </c>
      <c r="D274" s="44">
        <v>35</v>
      </c>
      <c r="E274" s="44">
        <v>24</v>
      </c>
      <c r="F274" s="146">
        <f t="shared" si="4"/>
        <v>11</v>
      </c>
      <c r="G274" s="147" t="s">
        <v>815</v>
      </c>
    </row>
    <row r="275" spans="1:7" ht="15">
      <c r="A275" s="46">
        <v>6</v>
      </c>
      <c r="B275" s="47" t="s">
        <v>267</v>
      </c>
      <c r="C275" s="40" t="s">
        <v>306</v>
      </c>
      <c r="D275" s="44">
        <v>70</v>
      </c>
      <c r="E275" s="44">
        <v>23.5</v>
      </c>
      <c r="F275" s="146">
        <f t="shared" si="4"/>
        <v>46.5</v>
      </c>
      <c r="G275" s="147" t="s">
        <v>815</v>
      </c>
    </row>
    <row r="276" spans="1:7" ht="15">
      <c r="A276" s="46">
        <v>6</v>
      </c>
      <c r="B276" s="47" t="s">
        <v>304</v>
      </c>
      <c r="C276" s="40" t="s">
        <v>305</v>
      </c>
      <c r="D276" s="44">
        <v>30</v>
      </c>
      <c r="E276" s="44">
        <v>15</v>
      </c>
      <c r="F276" s="146">
        <f t="shared" si="4"/>
        <v>15</v>
      </c>
      <c r="G276" s="147" t="s">
        <v>815</v>
      </c>
    </row>
    <row r="277" spans="1:7" ht="15">
      <c r="A277" s="46">
        <v>6</v>
      </c>
      <c r="B277" s="47" t="s">
        <v>256</v>
      </c>
      <c r="C277" s="40" t="s">
        <v>519</v>
      </c>
      <c r="D277" s="44">
        <v>40</v>
      </c>
      <c r="E277" s="44">
        <v>22</v>
      </c>
      <c r="F277" s="146">
        <f t="shared" si="4"/>
        <v>18</v>
      </c>
      <c r="G277" s="147" t="s">
        <v>815</v>
      </c>
    </row>
    <row r="278" spans="1:7" ht="15">
      <c r="A278" s="46">
        <v>6</v>
      </c>
      <c r="B278" s="47" t="s">
        <v>608</v>
      </c>
      <c r="C278" s="40" t="s">
        <v>519</v>
      </c>
      <c r="D278" s="44">
        <v>35</v>
      </c>
      <c r="E278" s="44">
        <v>24</v>
      </c>
      <c r="F278" s="146">
        <f t="shared" si="4"/>
        <v>11</v>
      </c>
      <c r="G278" s="147" t="s">
        <v>815</v>
      </c>
    </row>
    <row r="279" spans="1:7" ht="15">
      <c r="A279" s="46">
        <v>6</v>
      </c>
      <c r="B279" s="47" t="s">
        <v>267</v>
      </c>
      <c r="C279" s="40" t="s">
        <v>323</v>
      </c>
      <c r="D279" s="44">
        <v>60</v>
      </c>
      <c r="E279" s="44">
        <v>23.5</v>
      </c>
      <c r="F279" s="146">
        <f t="shared" si="4"/>
        <v>36.5</v>
      </c>
      <c r="G279" s="147" t="s">
        <v>815</v>
      </c>
    </row>
    <row r="280" spans="1:7" ht="15">
      <c r="A280" s="46">
        <v>6</v>
      </c>
      <c r="B280" s="47" t="s">
        <v>606</v>
      </c>
      <c r="C280" s="40" t="s">
        <v>322</v>
      </c>
      <c r="D280" s="44">
        <v>10</v>
      </c>
      <c r="E280" s="44">
        <v>2</v>
      </c>
      <c r="F280" s="146">
        <f t="shared" si="4"/>
        <v>8</v>
      </c>
      <c r="G280" s="147" t="s">
        <v>815</v>
      </c>
    </row>
    <row r="281" spans="1:7" ht="15">
      <c r="A281" s="46">
        <v>6</v>
      </c>
      <c r="B281" s="47" t="s">
        <v>607</v>
      </c>
      <c r="C281" s="40" t="s">
        <v>313</v>
      </c>
      <c r="D281" s="44">
        <v>15</v>
      </c>
      <c r="E281" s="44">
        <v>5</v>
      </c>
      <c r="F281" s="146">
        <f t="shared" si="4"/>
        <v>10</v>
      </c>
      <c r="G281" s="147" t="s">
        <v>815</v>
      </c>
    </row>
    <row r="282" spans="1:7" ht="15">
      <c r="A282" s="46">
        <v>6</v>
      </c>
      <c r="B282" s="47" t="s">
        <v>308</v>
      </c>
      <c r="C282" s="40" t="s">
        <v>320</v>
      </c>
      <c r="D282" s="44">
        <v>25</v>
      </c>
      <c r="E282" s="44">
        <v>15</v>
      </c>
      <c r="F282" s="146">
        <f t="shared" si="4"/>
        <v>10</v>
      </c>
      <c r="G282" s="147" t="s">
        <v>815</v>
      </c>
    </row>
    <row r="283" spans="1:7" ht="15">
      <c r="A283" s="46">
        <v>6</v>
      </c>
      <c r="B283" s="47" t="s">
        <v>308</v>
      </c>
      <c r="C283" s="40" t="s">
        <v>320</v>
      </c>
      <c r="D283" s="44">
        <v>25</v>
      </c>
      <c r="E283" s="44">
        <v>15</v>
      </c>
      <c r="F283" s="146">
        <f t="shared" si="4"/>
        <v>10</v>
      </c>
      <c r="G283" s="147" t="s">
        <v>815</v>
      </c>
    </row>
    <row r="284" spans="1:7" ht="15">
      <c r="A284" s="46">
        <v>6</v>
      </c>
      <c r="B284" s="63" t="s">
        <v>155</v>
      </c>
      <c r="C284" s="40" t="s">
        <v>339</v>
      </c>
      <c r="D284" s="44">
        <v>30</v>
      </c>
      <c r="E284" s="44">
        <v>16</v>
      </c>
      <c r="F284" s="146">
        <f t="shared" si="4"/>
        <v>14</v>
      </c>
      <c r="G284" s="147" t="s">
        <v>815</v>
      </c>
    </row>
    <row r="285" spans="1:7" ht="15">
      <c r="A285" s="46">
        <v>6</v>
      </c>
      <c r="B285" s="47" t="s">
        <v>607</v>
      </c>
      <c r="C285" s="40" t="s">
        <v>339</v>
      </c>
      <c r="D285" s="44">
        <v>20</v>
      </c>
      <c r="E285" s="44">
        <v>5</v>
      </c>
      <c r="F285" s="146">
        <f t="shared" si="4"/>
        <v>15</v>
      </c>
      <c r="G285" s="147" t="s">
        <v>815</v>
      </c>
    </row>
    <row r="286" spans="1:7" ht="15">
      <c r="A286" s="46">
        <v>6</v>
      </c>
      <c r="B286" s="47" t="s">
        <v>299</v>
      </c>
      <c r="C286" s="40" t="s">
        <v>519</v>
      </c>
      <c r="D286" s="44">
        <v>5</v>
      </c>
      <c r="E286" s="44">
        <v>3.5</v>
      </c>
      <c r="F286" s="146">
        <f t="shared" si="4"/>
        <v>1.5</v>
      </c>
      <c r="G286" s="147" t="s">
        <v>815</v>
      </c>
    </row>
    <row r="287" spans="1:7" ht="15">
      <c r="A287" s="46">
        <v>6</v>
      </c>
      <c r="B287" s="47" t="s">
        <v>608</v>
      </c>
      <c r="C287" s="40" t="s">
        <v>313</v>
      </c>
      <c r="D287" s="44">
        <v>35</v>
      </c>
      <c r="E287" s="44">
        <v>24</v>
      </c>
      <c r="F287" s="146">
        <f t="shared" si="4"/>
        <v>11</v>
      </c>
      <c r="G287" s="147" t="s">
        <v>815</v>
      </c>
    </row>
    <row r="288" spans="1:7" ht="15">
      <c r="A288" s="46">
        <v>6</v>
      </c>
      <c r="B288" s="47" t="s">
        <v>608</v>
      </c>
      <c r="C288" s="40" t="s">
        <v>519</v>
      </c>
      <c r="D288" s="44">
        <v>35</v>
      </c>
      <c r="E288" s="44">
        <v>24</v>
      </c>
      <c r="F288" s="146">
        <f t="shared" si="4"/>
        <v>11</v>
      </c>
      <c r="G288" s="147" t="s">
        <v>815</v>
      </c>
    </row>
    <row r="289" spans="1:7" ht="15">
      <c r="A289" s="46">
        <v>6</v>
      </c>
      <c r="B289" s="47" t="s">
        <v>608</v>
      </c>
      <c r="C289" s="40" t="s">
        <v>519</v>
      </c>
      <c r="D289" s="44">
        <v>35</v>
      </c>
      <c r="E289" s="44">
        <v>24</v>
      </c>
      <c r="F289" s="146">
        <f t="shared" si="4"/>
        <v>11</v>
      </c>
      <c r="G289" s="147" t="s">
        <v>815</v>
      </c>
    </row>
    <row r="290" spans="1:7" ht="15">
      <c r="A290" s="46">
        <v>6</v>
      </c>
      <c r="B290" s="47" t="s">
        <v>608</v>
      </c>
      <c r="C290" s="40" t="s">
        <v>519</v>
      </c>
      <c r="D290" s="44">
        <v>35</v>
      </c>
      <c r="E290" s="44">
        <v>24</v>
      </c>
      <c r="F290" s="146">
        <f t="shared" si="4"/>
        <v>11</v>
      </c>
      <c r="G290" s="147" t="s">
        <v>815</v>
      </c>
    </row>
    <row r="291" spans="1:7" ht="15">
      <c r="A291" s="46">
        <v>6</v>
      </c>
      <c r="B291" s="85" t="s">
        <v>311</v>
      </c>
      <c r="C291" s="40" t="s">
        <v>36</v>
      </c>
      <c r="D291" s="44">
        <v>100</v>
      </c>
      <c r="E291" s="44">
        <v>36.4</v>
      </c>
      <c r="F291" s="146">
        <f t="shared" si="4"/>
        <v>63.6</v>
      </c>
      <c r="G291" s="147" t="s">
        <v>815</v>
      </c>
    </row>
    <row r="292" spans="1:7" ht="15">
      <c r="A292" s="46">
        <v>6</v>
      </c>
      <c r="B292" s="85" t="s">
        <v>92</v>
      </c>
      <c r="C292" s="40" t="s">
        <v>319</v>
      </c>
      <c r="D292" s="44">
        <v>98.01</v>
      </c>
      <c r="E292" s="44">
        <v>23.13</v>
      </c>
      <c r="F292" s="146">
        <f t="shared" si="4"/>
        <v>74.88000000000001</v>
      </c>
      <c r="G292" s="147" t="s">
        <v>815</v>
      </c>
    </row>
    <row r="293" spans="1:7" ht="15">
      <c r="A293" s="46">
        <v>6</v>
      </c>
      <c r="B293" s="47" t="s">
        <v>608</v>
      </c>
      <c r="C293" s="40" t="s">
        <v>519</v>
      </c>
      <c r="D293" s="44">
        <v>35</v>
      </c>
      <c r="E293" s="44">
        <v>24</v>
      </c>
      <c r="F293" s="146">
        <f t="shared" si="4"/>
        <v>11</v>
      </c>
      <c r="G293" s="147" t="s">
        <v>815</v>
      </c>
    </row>
    <row r="294" spans="1:7" ht="15">
      <c r="A294" s="46">
        <v>6</v>
      </c>
      <c r="B294" s="47" t="s">
        <v>608</v>
      </c>
      <c r="C294" s="40" t="s">
        <v>519</v>
      </c>
      <c r="D294" s="44">
        <v>35</v>
      </c>
      <c r="E294" s="44">
        <v>24</v>
      </c>
      <c r="F294" s="146">
        <f t="shared" si="4"/>
        <v>11</v>
      </c>
      <c r="G294" s="147" t="s">
        <v>815</v>
      </c>
    </row>
    <row r="295" spans="1:7" ht="15">
      <c r="A295" s="46">
        <v>6</v>
      </c>
      <c r="B295" s="47" t="s">
        <v>608</v>
      </c>
      <c r="C295" s="40" t="s">
        <v>519</v>
      </c>
      <c r="D295" s="44">
        <v>35</v>
      </c>
      <c r="E295" s="44">
        <v>24</v>
      </c>
      <c r="F295" s="146">
        <f t="shared" si="4"/>
        <v>11</v>
      </c>
      <c r="G295" s="147" t="s">
        <v>815</v>
      </c>
    </row>
    <row r="296" spans="1:7" ht="15">
      <c r="A296" s="46">
        <v>6</v>
      </c>
      <c r="B296" s="47" t="s">
        <v>608</v>
      </c>
      <c r="C296" s="40" t="s">
        <v>313</v>
      </c>
      <c r="D296" s="44">
        <v>35</v>
      </c>
      <c r="E296" s="44">
        <v>24</v>
      </c>
      <c r="F296" s="146">
        <f t="shared" si="4"/>
        <v>11</v>
      </c>
      <c r="G296" s="147" t="s">
        <v>815</v>
      </c>
    </row>
    <row r="297" spans="1:7" ht="15">
      <c r="A297" s="46">
        <v>6</v>
      </c>
      <c r="B297" s="47" t="s">
        <v>605</v>
      </c>
      <c r="C297" s="40" t="s">
        <v>314</v>
      </c>
      <c r="D297" s="44">
        <v>15</v>
      </c>
      <c r="E297" s="44">
        <v>3.5</v>
      </c>
      <c r="F297" s="146">
        <f t="shared" si="4"/>
        <v>11.5</v>
      </c>
      <c r="G297" s="147" t="s">
        <v>815</v>
      </c>
    </row>
    <row r="298" spans="1:7" ht="15">
      <c r="A298" s="46">
        <v>6</v>
      </c>
      <c r="B298" s="47" t="s">
        <v>606</v>
      </c>
      <c r="C298" s="40" t="s">
        <v>314</v>
      </c>
      <c r="D298" s="44">
        <v>5</v>
      </c>
      <c r="E298" s="44">
        <v>1</v>
      </c>
      <c r="F298" s="146">
        <f t="shared" si="4"/>
        <v>4</v>
      </c>
      <c r="G298" s="147" t="s">
        <v>815</v>
      </c>
    </row>
    <row r="299" spans="1:7" ht="15">
      <c r="A299" s="46">
        <v>6</v>
      </c>
      <c r="B299" s="47" t="s">
        <v>606</v>
      </c>
      <c r="C299" s="40" t="s">
        <v>315</v>
      </c>
      <c r="D299" s="44">
        <v>7</v>
      </c>
      <c r="E299" s="44">
        <v>1</v>
      </c>
      <c r="F299" s="146">
        <f t="shared" si="4"/>
        <v>6</v>
      </c>
      <c r="G299" s="147" t="s">
        <v>815</v>
      </c>
    </row>
    <row r="300" spans="1:7" ht="15">
      <c r="A300" s="46">
        <v>6</v>
      </c>
      <c r="B300" s="47" t="s">
        <v>316</v>
      </c>
      <c r="C300" s="40" t="s">
        <v>519</v>
      </c>
      <c r="D300" s="44">
        <v>3</v>
      </c>
      <c r="E300" s="44">
        <v>1.5</v>
      </c>
      <c r="F300" s="146">
        <f t="shared" si="4"/>
        <v>1.5</v>
      </c>
      <c r="G300" s="147" t="s">
        <v>815</v>
      </c>
    </row>
    <row r="301" spans="1:7" ht="15">
      <c r="A301" s="46">
        <v>6</v>
      </c>
      <c r="B301" s="47" t="s">
        <v>316</v>
      </c>
      <c r="C301" s="40" t="s">
        <v>519</v>
      </c>
      <c r="D301" s="44">
        <v>3</v>
      </c>
      <c r="E301" s="44">
        <v>1.5</v>
      </c>
      <c r="F301" s="146">
        <f t="shared" si="4"/>
        <v>1.5</v>
      </c>
      <c r="G301" s="147" t="s">
        <v>815</v>
      </c>
    </row>
    <row r="302" spans="1:7" ht="15">
      <c r="A302" s="46">
        <v>6</v>
      </c>
      <c r="B302" s="47" t="s">
        <v>316</v>
      </c>
      <c r="C302" s="40" t="s">
        <v>519</v>
      </c>
      <c r="D302" s="44">
        <v>3</v>
      </c>
      <c r="E302" s="44">
        <v>1.5</v>
      </c>
      <c r="F302" s="146">
        <f t="shared" si="4"/>
        <v>1.5</v>
      </c>
      <c r="G302" s="147" t="s">
        <v>815</v>
      </c>
    </row>
    <row r="303" spans="1:7" ht="15">
      <c r="A303" s="46">
        <v>6</v>
      </c>
      <c r="B303" s="47" t="s">
        <v>316</v>
      </c>
      <c r="C303" s="40" t="s">
        <v>519</v>
      </c>
      <c r="D303" s="44">
        <v>3</v>
      </c>
      <c r="E303" s="44">
        <v>1.5</v>
      </c>
      <c r="F303" s="146">
        <f t="shared" si="4"/>
        <v>1.5</v>
      </c>
      <c r="G303" s="147" t="s">
        <v>815</v>
      </c>
    </row>
    <row r="304" spans="1:7" ht="15">
      <c r="A304" s="46">
        <v>6</v>
      </c>
      <c r="B304" s="47" t="s">
        <v>316</v>
      </c>
      <c r="C304" s="40" t="s">
        <v>313</v>
      </c>
      <c r="D304" s="44">
        <v>3</v>
      </c>
      <c r="E304" s="44">
        <v>1.5</v>
      </c>
      <c r="F304" s="146">
        <f t="shared" si="4"/>
        <v>1.5</v>
      </c>
      <c r="G304" s="147" t="s">
        <v>815</v>
      </c>
    </row>
    <row r="305" spans="1:7" ht="15">
      <c r="A305" s="46">
        <v>6</v>
      </c>
      <c r="B305" s="47" t="s">
        <v>316</v>
      </c>
      <c r="C305" s="40" t="s">
        <v>313</v>
      </c>
      <c r="D305" s="44">
        <v>3</v>
      </c>
      <c r="E305" s="44">
        <v>1.5</v>
      </c>
      <c r="F305" s="146">
        <f t="shared" si="4"/>
        <v>1.5</v>
      </c>
      <c r="G305" s="147" t="s">
        <v>815</v>
      </c>
    </row>
    <row r="306" spans="1:7" ht="15">
      <c r="A306" s="46">
        <v>6</v>
      </c>
      <c r="B306" s="47" t="s">
        <v>105</v>
      </c>
      <c r="C306" s="40" t="s">
        <v>519</v>
      </c>
      <c r="D306" s="44">
        <v>3</v>
      </c>
      <c r="E306" s="44">
        <v>1.4</v>
      </c>
      <c r="F306" s="146">
        <f t="shared" si="4"/>
        <v>1.6</v>
      </c>
      <c r="G306" s="147" t="s">
        <v>815</v>
      </c>
    </row>
    <row r="307" spans="1:7" ht="15">
      <c r="A307" s="46">
        <v>6</v>
      </c>
      <c r="B307" s="47" t="s">
        <v>105</v>
      </c>
      <c r="C307" s="40" t="s">
        <v>519</v>
      </c>
      <c r="D307" s="44">
        <v>3</v>
      </c>
      <c r="E307" s="44">
        <v>1.4</v>
      </c>
      <c r="F307" s="146">
        <f t="shared" si="4"/>
        <v>1.6</v>
      </c>
      <c r="G307" s="147" t="s">
        <v>815</v>
      </c>
    </row>
    <row r="308" spans="1:7" ht="15">
      <c r="A308" s="46">
        <v>6</v>
      </c>
      <c r="B308" s="47" t="s">
        <v>105</v>
      </c>
      <c r="C308" s="40" t="s">
        <v>519</v>
      </c>
      <c r="D308" s="44">
        <v>3</v>
      </c>
      <c r="E308" s="44">
        <v>1.4</v>
      </c>
      <c r="F308" s="146">
        <f t="shared" si="4"/>
        <v>1.6</v>
      </c>
      <c r="G308" s="147" t="s">
        <v>815</v>
      </c>
    </row>
    <row r="309" spans="1:7" ht="15">
      <c r="A309" s="46">
        <v>6</v>
      </c>
      <c r="B309" s="47" t="s">
        <v>317</v>
      </c>
      <c r="C309" s="40" t="s">
        <v>519</v>
      </c>
      <c r="D309" s="44">
        <v>7</v>
      </c>
      <c r="E309" s="44">
        <v>4.5</v>
      </c>
      <c r="F309" s="146">
        <f t="shared" si="4"/>
        <v>2.5</v>
      </c>
      <c r="G309" s="147" t="s">
        <v>815</v>
      </c>
    </row>
    <row r="310" spans="1:7" ht="15">
      <c r="A310" s="46">
        <v>6</v>
      </c>
      <c r="B310" s="47" t="s">
        <v>317</v>
      </c>
      <c r="C310" s="40" t="s">
        <v>519</v>
      </c>
      <c r="D310" s="44">
        <v>7</v>
      </c>
      <c r="E310" s="44">
        <v>4.5</v>
      </c>
      <c r="F310" s="146">
        <f t="shared" si="4"/>
        <v>2.5</v>
      </c>
      <c r="G310" s="147" t="s">
        <v>815</v>
      </c>
    </row>
    <row r="311" spans="1:7" ht="15">
      <c r="A311" s="46">
        <v>6</v>
      </c>
      <c r="B311" s="47" t="s">
        <v>318</v>
      </c>
      <c r="C311" s="40" t="s">
        <v>519</v>
      </c>
      <c r="D311" s="44">
        <v>3</v>
      </c>
      <c r="E311" s="44">
        <v>1.5</v>
      </c>
      <c r="F311" s="146">
        <f t="shared" si="4"/>
        <v>1.5</v>
      </c>
      <c r="G311" s="147" t="s">
        <v>815</v>
      </c>
    </row>
    <row r="312" spans="1:7" ht="15">
      <c r="A312" s="46">
        <v>6</v>
      </c>
      <c r="B312" s="47" t="s">
        <v>318</v>
      </c>
      <c r="C312" s="40" t="s">
        <v>519</v>
      </c>
      <c r="D312" s="44">
        <v>3</v>
      </c>
      <c r="E312" s="44">
        <v>1.5</v>
      </c>
      <c r="F312" s="146">
        <f t="shared" si="4"/>
        <v>1.5</v>
      </c>
      <c r="G312" s="147" t="s">
        <v>815</v>
      </c>
    </row>
    <row r="313" spans="1:7" ht="15">
      <c r="A313" s="46">
        <v>6</v>
      </c>
      <c r="B313" s="47" t="s">
        <v>321</v>
      </c>
      <c r="C313" s="40" t="s">
        <v>320</v>
      </c>
      <c r="D313" s="44">
        <v>13</v>
      </c>
      <c r="E313" s="44">
        <v>5</v>
      </c>
      <c r="F313" s="146">
        <f t="shared" si="4"/>
        <v>8</v>
      </c>
      <c r="G313" s="147" t="s">
        <v>815</v>
      </c>
    </row>
    <row r="314" spans="1:7" ht="15">
      <c r="A314" s="46">
        <v>6</v>
      </c>
      <c r="B314" s="47" t="s">
        <v>267</v>
      </c>
      <c r="C314" s="40" t="s">
        <v>314</v>
      </c>
      <c r="D314" s="44">
        <v>50</v>
      </c>
      <c r="E314" s="44">
        <v>23.5</v>
      </c>
      <c r="F314" s="146">
        <f t="shared" si="4"/>
        <v>26.5</v>
      </c>
      <c r="G314" s="147" t="s">
        <v>815</v>
      </c>
    </row>
    <row r="315" spans="1:7" ht="15">
      <c r="A315" s="46">
        <v>6</v>
      </c>
      <c r="B315" s="85" t="s">
        <v>260</v>
      </c>
      <c r="C315" s="40" t="s">
        <v>314</v>
      </c>
      <c r="D315" s="44">
        <v>80</v>
      </c>
      <c r="E315" s="44">
        <v>20</v>
      </c>
      <c r="F315" s="146">
        <f t="shared" si="4"/>
        <v>60</v>
      </c>
      <c r="G315" s="147" t="s">
        <v>815</v>
      </c>
    </row>
    <row r="316" spans="1:7" ht="15">
      <c r="A316" s="46">
        <v>6</v>
      </c>
      <c r="B316" s="47" t="s">
        <v>267</v>
      </c>
      <c r="C316" s="40" t="s">
        <v>324</v>
      </c>
      <c r="D316" s="44">
        <v>55</v>
      </c>
      <c r="E316" s="44">
        <v>23.5</v>
      </c>
      <c r="F316" s="146">
        <f t="shared" si="4"/>
        <v>31.5</v>
      </c>
      <c r="G316" s="147" t="s">
        <v>815</v>
      </c>
    </row>
    <row r="317" spans="1:7" ht="15">
      <c r="A317" s="46">
        <v>6</v>
      </c>
      <c r="B317" s="47" t="s">
        <v>267</v>
      </c>
      <c r="C317" s="40" t="s">
        <v>325</v>
      </c>
      <c r="D317" s="44">
        <v>50</v>
      </c>
      <c r="E317" s="44">
        <v>23.5</v>
      </c>
      <c r="F317" s="146">
        <f t="shared" si="4"/>
        <v>26.5</v>
      </c>
      <c r="G317" s="147" t="s">
        <v>815</v>
      </c>
    </row>
    <row r="318" spans="1:7" ht="15">
      <c r="A318" s="46">
        <v>6</v>
      </c>
      <c r="B318" s="47" t="s">
        <v>604</v>
      </c>
      <c r="C318" s="40" t="s">
        <v>272</v>
      </c>
      <c r="D318" s="44">
        <v>15</v>
      </c>
      <c r="E318" s="44">
        <v>5</v>
      </c>
      <c r="F318" s="146">
        <f t="shared" si="4"/>
        <v>10</v>
      </c>
      <c r="G318" s="147" t="s">
        <v>815</v>
      </c>
    </row>
    <row r="319" spans="1:7" ht="15">
      <c r="A319" s="46">
        <v>7</v>
      </c>
      <c r="B319" s="47" t="s">
        <v>289</v>
      </c>
      <c r="C319" s="41"/>
      <c r="D319" s="44">
        <v>35</v>
      </c>
      <c r="E319" s="102">
        <v>23.5</v>
      </c>
      <c r="F319" s="146">
        <f t="shared" si="4"/>
        <v>11.5</v>
      </c>
      <c r="G319" s="147" t="s">
        <v>815</v>
      </c>
    </row>
    <row r="320" spans="1:7" ht="15">
      <c r="A320" s="46">
        <v>7</v>
      </c>
      <c r="B320" s="47" t="s">
        <v>737</v>
      </c>
      <c r="C320" s="41" t="s">
        <v>458</v>
      </c>
      <c r="D320" s="44">
        <v>110</v>
      </c>
      <c r="E320" s="98">
        <v>65</v>
      </c>
      <c r="F320" s="146">
        <f t="shared" si="4"/>
        <v>45</v>
      </c>
      <c r="G320" s="147" t="s">
        <v>815</v>
      </c>
    </row>
    <row r="321" spans="1:7" ht="15">
      <c r="A321" s="46">
        <v>7</v>
      </c>
      <c r="B321" s="47" t="s">
        <v>529</v>
      </c>
      <c r="C321" s="100" t="s">
        <v>519</v>
      </c>
      <c r="D321" s="44">
        <v>35</v>
      </c>
      <c r="E321" s="102">
        <v>24</v>
      </c>
      <c r="F321" s="146">
        <f t="shared" si="4"/>
        <v>11</v>
      </c>
      <c r="G321" s="147" t="s">
        <v>815</v>
      </c>
    </row>
    <row r="322" spans="1:7" ht="15">
      <c r="A322" s="46">
        <v>7</v>
      </c>
      <c r="B322" s="47" t="s">
        <v>529</v>
      </c>
      <c r="C322" s="100" t="s">
        <v>519</v>
      </c>
      <c r="D322" s="44">
        <v>35</v>
      </c>
      <c r="E322" s="102">
        <v>24</v>
      </c>
      <c r="F322" s="146">
        <f t="shared" ref="F322:F385" si="5">D322-E322</f>
        <v>11</v>
      </c>
      <c r="G322" s="147" t="s">
        <v>815</v>
      </c>
    </row>
    <row r="323" spans="1:7" ht="15">
      <c r="A323" s="46">
        <v>7</v>
      </c>
      <c r="B323" s="47" t="s">
        <v>529</v>
      </c>
      <c r="C323" s="100" t="s">
        <v>519</v>
      </c>
      <c r="D323" s="44">
        <v>35</v>
      </c>
      <c r="E323" s="102">
        <v>24</v>
      </c>
      <c r="F323" s="146">
        <f t="shared" si="5"/>
        <v>11</v>
      </c>
      <c r="G323" s="147" t="s">
        <v>815</v>
      </c>
    </row>
    <row r="324" spans="1:7" ht="15">
      <c r="A324" s="46">
        <v>7</v>
      </c>
      <c r="B324" s="47" t="s">
        <v>529</v>
      </c>
      <c r="C324" s="100" t="s">
        <v>519</v>
      </c>
      <c r="D324" s="44">
        <v>35</v>
      </c>
      <c r="E324" s="102">
        <v>24</v>
      </c>
      <c r="F324" s="146">
        <f t="shared" si="5"/>
        <v>11</v>
      </c>
      <c r="G324" s="147" t="s">
        <v>815</v>
      </c>
    </row>
    <row r="325" spans="1:7" ht="15">
      <c r="A325" s="46">
        <v>7</v>
      </c>
      <c r="B325" s="47" t="s">
        <v>182</v>
      </c>
      <c r="C325" s="41" t="s">
        <v>460</v>
      </c>
      <c r="D325" s="44">
        <v>50</v>
      </c>
      <c r="E325" s="102">
        <v>22</v>
      </c>
      <c r="F325" s="146">
        <f t="shared" si="5"/>
        <v>28</v>
      </c>
      <c r="G325" s="147" t="s">
        <v>815</v>
      </c>
    </row>
    <row r="326" spans="1:7" ht="15">
      <c r="A326" s="46">
        <v>7</v>
      </c>
      <c r="B326" s="47" t="s">
        <v>606</v>
      </c>
      <c r="C326" s="100" t="s">
        <v>519</v>
      </c>
      <c r="D326" s="44">
        <f>15*2.5</f>
        <v>37.5</v>
      </c>
      <c r="E326" s="102">
        <v>15</v>
      </c>
      <c r="F326" s="146">
        <f t="shared" si="5"/>
        <v>22.5</v>
      </c>
      <c r="G326" s="147" t="s">
        <v>815</v>
      </c>
    </row>
    <row r="327" spans="1:7" ht="15">
      <c r="A327" s="46">
        <v>7</v>
      </c>
      <c r="B327" s="47" t="s">
        <v>529</v>
      </c>
      <c r="C327" s="41" t="s">
        <v>461</v>
      </c>
      <c r="D327" s="44">
        <v>55</v>
      </c>
      <c r="E327" s="102">
        <v>24</v>
      </c>
      <c r="F327" s="146">
        <f t="shared" si="5"/>
        <v>31</v>
      </c>
      <c r="G327" s="147" t="s">
        <v>815</v>
      </c>
    </row>
    <row r="328" spans="1:7" ht="15">
      <c r="A328" s="46">
        <v>7</v>
      </c>
      <c r="B328" s="47" t="s">
        <v>529</v>
      </c>
      <c r="C328" s="41" t="s">
        <v>461</v>
      </c>
      <c r="D328" s="44">
        <v>55</v>
      </c>
      <c r="E328" s="102">
        <v>24</v>
      </c>
      <c r="F328" s="146">
        <f t="shared" si="5"/>
        <v>31</v>
      </c>
      <c r="G328" s="147" t="s">
        <v>815</v>
      </c>
    </row>
    <row r="329" spans="1:7" ht="15">
      <c r="A329" s="46">
        <v>7</v>
      </c>
      <c r="B329" s="47" t="s">
        <v>608</v>
      </c>
      <c r="C329" s="100" t="s">
        <v>519</v>
      </c>
      <c r="D329" s="44">
        <v>35</v>
      </c>
      <c r="E329" s="102">
        <v>24</v>
      </c>
      <c r="F329" s="146">
        <f t="shared" si="5"/>
        <v>11</v>
      </c>
      <c r="G329" s="147" t="s">
        <v>815</v>
      </c>
    </row>
    <row r="330" spans="1:7" ht="15">
      <c r="A330" s="46">
        <v>7</v>
      </c>
      <c r="B330" s="47" t="s">
        <v>522</v>
      </c>
      <c r="C330" s="100" t="s">
        <v>519</v>
      </c>
      <c r="D330" s="44">
        <v>5</v>
      </c>
      <c r="E330" s="102">
        <v>3.5</v>
      </c>
      <c r="F330" s="146">
        <f t="shared" si="5"/>
        <v>1.5</v>
      </c>
      <c r="G330" s="147" t="s">
        <v>815</v>
      </c>
    </row>
    <row r="331" spans="1:7" ht="15">
      <c r="A331" s="46">
        <v>7</v>
      </c>
      <c r="B331" s="47" t="s">
        <v>606</v>
      </c>
      <c r="C331" s="100" t="s">
        <v>519</v>
      </c>
      <c r="D331" s="44">
        <v>2.5</v>
      </c>
      <c r="E331" s="102">
        <v>1</v>
      </c>
      <c r="F331" s="146">
        <f t="shared" si="5"/>
        <v>1.5</v>
      </c>
      <c r="G331" s="147" t="s">
        <v>815</v>
      </c>
    </row>
    <row r="332" spans="1:7" ht="15">
      <c r="A332" s="46">
        <v>7</v>
      </c>
      <c r="B332" s="47" t="s">
        <v>737</v>
      </c>
      <c r="C332" s="41" t="s">
        <v>333</v>
      </c>
      <c r="D332" s="44">
        <v>100</v>
      </c>
      <c r="E332" s="98">
        <v>65</v>
      </c>
      <c r="F332" s="146">
        <f t="shared" si="5"/>
        <v>35</v>
      </c>
      <c r="G332" s="147" t="s">
        <v>815</v>
      </c>
    </row>
    <row r="333" spans="1:7" ht="15">
      <c r="A333" s="46">
        <v>7</v>
      </c>
      <c r="B333" s="47" t="s">
        <v>529</v>
      </c>
      <c r="C333" s="100" t="s">
        <v>519</v>
      </c>
      <c r="D333" s="44">
        <v>35</v>
      </c>
      <c r="E333" s="99">
        <v>24</v>
      </c>
      <c r="F333" s="146">
        <f t="shared" si="5"/>
        <v>11</v>
      </c>
      <c r="G333" s="147" t="s">
        <v>815</v>
      </c>
    </row>
    <row r="334" spans="1:7" ht="15">
      <c r="A334" s="46">
        <v>7</v>
      </c>
      <c r="B334" s="93" t="s">
        <v>336</v>
      </c>
      <c r="C334" s="100" t="s">
        <v>519</v>
      </c>
      <c r="D334" s="44">
        <v>10</v>
      </c>
      <c r="E334" s="99">
        <v>4.99</v>
      </c>
      <c r="F334" s="146">
        <f t="shared" si="5"/>
        <v>5.01</v>
      </c>
      <c r="G334" s="147" t="s">
        <v>815</v>
      </c>
    </row>
    <row r="335" spans="1:7" ht="15">
      <c r="A335" s="46">
        <v>7</v>
      </c>
      <c r="B335" s="93" t="s">
        <v>336</v>
      </c>
      <c r="C335" s="100" t="s">
        <v>519</v>
      </c>
      <c r="D335" s="44">
        <v>10</v>
      </c>
      <c r="E335" s="99">
        <v>4.99</v>
      </c>
      <c r="F335" s="146">
        <f t="shared" si="5"/>
        <v>5.01</v>
      </c>
      <c r="G335" s="147" t="s">
        <v>815</v>
      </c>
    </row>
    <row r="336" spans="1:7" ht="15">
      <c r="A336" s="46">
        <v>7</v>
      </c>
      <c r="B336" s="47" t="s">
        <v>310</v>
      </c>
      <c r="C336" s="41" t="s">
        <v>339</v>
      </c>
      <c r="D336" s="44">
        <v>5</v>
      </c>
      <c r="E336" s="102">
        <v>2.5</v>
      </c>
      <c r="F336" s="146">
        <f t="shared" si="5"/>
        <v>2.5</v>
      </c>
      <c r="G336" s="147" t="s">
        <v>815</v>
      </c>
    </row>
    <row r="337" spans="1:7" ht="15">
      <c r="A337" s="46">
        <v>7</v>
      </c>
      <c r="B337" s="93" t="s">
        <v>331</v>
      </c>
      <c r="C337" s="100" t="s">
        <v>519</v>
      </c>
      <c r="D337" s="44">
        <v>18</v>
      </c>
      <c r="E337" s="99">
        <v>13.99</v>
      </c>
      <c r="F337" s="146">
        <f t="shared" si="5"/>
        <v>4.01</v>
      </c>
      <c r="G337" s="147" t="s">
        <v>815</v>
      </c>
    </row>
    <row r="338" spans="1:7" ht="15">
      <c r="A338" s="46">
        <v>7</v>
      </c>
      <c r="B338" s="93" t="s">
        <v>328</v>
      </c>
      <c r="C338" s="100" t="s">
        <v>519</v>
      </c>
      <c r="D338" s="44">
        <v>12.5</v>
      </c>
      <c r="E338" s="99">
        <v>10</v>
      </c>
      <c r="F338" s="146">
        <f t="shared" si="5"/>
        <v>2.5</v>
      </c>
      <c r="G338" s="147" t="s">
        <v>815</v>
      </c>
    </row>
    <row r="339" spans="1:7" ht="15">
      <c r="A339" s="46">
        <v>7</v>
      </c>
      <c r="B339" s="93" t="s">
        <v>329</v>
      </c>
      <c r="C339" s="100" t="s">
        <v>411</v>
      </c>
      <c r="D339" s="44">
        <v>20</v>
      </c>
      <c r="E339" s="99">
        <v>8.99</v>
      </c>
      <c r="F339" s="146">
        <f t="shared" si="5"/>
        <v>11.01</v>
      </c>
      <c r="G339" s="147" t="s">
        <v>815</v>
      </c>
    </row>
    <row r="340" spans="1:7" ht="15">
      <c r="A340" s="46">
        <v>7</v>
      </c>
      <c r="B340" s="93" t="s">
        <v>329</v>
      </c>
      <c r="C340" s="100" t="s">
        <v>519</v>
      </c>
      <c r="D340" s="44">
        <v>10</v>
      </c>
      <c r="E340" s="99">
        <v>8.99</v>
      </c>
      <c r="F340" s="146">
        <f t="shared" si="5"/>
        <v>1.0099999999999998</v>
      </c>
      <c r="G340" s="147" t="s">
        <v>815</v>
      </c>
    </row>
    <row r="341" spans="1:7" ht="15">
      <c r="A341" s="46">
        <v>7</v>
      </c>
      <c r="B341" s="47" t="s">
        <v>529</v>
      </c>
      <c r="C341" s="100" t="s">
        <v>339</v>
      </c>
      <c r="D341" s="44">
        <v>35</v>
      </c>
      <c r="E341" s="99">
        <v>24</v>
      </c>
      <c r="F341" s="146">
        <f t="shared" si="5"/>
        <v>11</v>
      </c>
      <c r="G341" s="147" t="s">
        <v>815</v>
      </c>
    </row>
    <row r="342" spans="1:7" ht="15">
      <c r="A342" s="46">
        <v>7</v>
      </c>
      <c r="B342" s="93" t="s">
        <v>336</v>
      </c>
      <c r="C342" s="100" t="s">
        <v>339</v>
      </c>
      <c r="D342" s="44">
        <v>15</v>
      </c>
      <c r="E342" s="99">
        <v>4.99</v>
      </c>
      <c r="F342" s="146">
        <f t="shared" si="5"/>
        <v>10.01</v>
      </c>
      <c r="G342" s="147" t="s">
        <v>815</v>
      </c>
    </row>
    <row r="343" spans="1:7" ht="15">
      <c r="A343" s="46">
        <v>7</v>
      </c>
      <c r="B343" s="93" t="s">
        <v>329</v>
      </c>
      <c r="C343" s="100" t="s">
        <v>339</v>
      </c>
      <c r="D343" s="44">
        <v>20</v>
      </c>
      <c r="E343" s="99">
        <v>8.99</v>
      </c>
      <c r="F343" s="146">
        <f t="shared" si="5"/>
        <v>11.01</v>
      </c>
      <c r="G343" s="147" t="s">
        <v>815</v>
      </c>
    </row>
    <row r="344" spans="1:7" ht="15">
      <c r="A344" s="46">
        <v>7</v>
      </c>
      <c r="B344" s="47" t="s">
        <v>452</v>
      </c>
      <c r="C344" s="41" t="s">
        <v>326</v>
      </c>
      <c r="D344" s="44">
        <v>100</v>
      </c>
      <c r="E344" s="102">
        <v>38.159999999999997</v>
      </c>
      <c r="F344" s="146">
        <f t="shared" si="5"/>
        <v>61.84</v>
      </c>
      <c r="G344" s="147" t="s">
        <v>815</v>
      </c>
    </row>
    <row r="345" spans="1:7" ht="15">
      <c r="A345" s="46">
        <v>7</v>
      </c>
      <c r="B345" s="85" t="s">
        <v>260</v>
      </c>
      <c r="C345" s="41" t="s">
        <v>326</v>
      </c>
      <c r="D345" s="44">
        <v>100</v>
      </c>
      <c r="E345" s="98">
        <v>60</v>
      </c>
      <c r="F345" s="146">
        <f t="shared" si="5"/>
        <v>40</v>
      </c>
      <c r="G345" s="147" t="s">
        <v>815</v>
      </c>
    </row>
    <row r="346" spans="1:7" ht="15">
      <c r="A346" s="46">
        <v>7</v>
      </c>
      <c r="B346" s="93" t="s">
        <v>327</v>
      </c>
      <c r="C346" s="100" t="s">
        <v>339</v>
      </c>
      <c r="D346" s="44">
        <v>65</v>
      </c>
      <c r="E346" s="99">
        <v>39.99</v>
      </c>
      <c r="F346" s="146">
        <f t="shared" si="5"/>
        <v>25.009999999999998</v>
      </c>
      <c r="G346" s="147" t="s">
        <v>815</v>
      </c>
    </row>
    <row r="347" spans="1:7" ht="15">
      <c r="A347" s="46">
        <v>7</v>
      </c>
      <c r="B347" s="93" t="s">
        <v>337</v>
      </c>
      <c r="C347" s="100" t="s">
        <v>463</v>
      </c>
      <c r="D347" s="44">
        <v>25</v>
      </c>
      <c r="E347" s="99">
        <v>11.8</v>
      </c>
      <c r="F347" s="146">
        <f t="shared" si="5"/>
        <v>13.2</v>
      </c>
      <c r="G347" s="147" t="s">
        <v>815</v>
      </c>
    </row>
    <row r="348" spans="1:7" ht="15">
      <c r="A348" s="46">
        <v>7</v>
      </c>
      <c r="B348" s="93" t="s">
        <v>337</v>
      </c>
      <c r="C348" s="100" t="s">
        <v>463</v>
      </c>
      <c r="D348" s="44">
        <v>25</v>
      </c>
      <c r="E348" s="99">
        <v>11.8</v>
      </c>
      <c r="F348" s="146">
        <f t="shared" si="5"/>
        <v>13.2</v>
      </c>
      <c r="G348" s="147" t="s">
        <v>815</v>
      </c>
    </row>
    <row r="349" spans="1:7" ht="15">
      <c r="A349" s="46">
        <v>7</v>
      </c>
      <c r="B349" s="93" t="s">
        <v>529</v>
      </c>
      <c r="C349" s="100" t="s">
        <v>339</v>
      </c>
      <c r="D349" s="44">
        <v>35</v>
      </c>
      <c r="E349" s="99">
        <v>22.99</v>
      </c>
      <c r="F349" s="146">
        <f t="shared" si="5"/>
        <v>12.010000000000002</v>
      </c>
      <c r="G349" s="147" t="s">
        <v>815</v>
      </c>
    </row>
    <row r="350" spans="1:7" ht="15">
      <c r="A350" s="46">
        <v>7</v>
      </c>
      <c r="B350" s="93" t="s">
        <v>529</v>
      </c>
      <c r="C350" s="100" t="s">
        <v>339</v>
      </c>
      <c r="D350" s="44">
        <v>35</v>
      </c>
      <c r="E350" s="99">
        <v>22.99</v>
      </c>
      <c r="F350" s="146">
        <f t="shared" si="5"/>
        <v>12.010000000000002</v>
      </c>
      <c r="G350" s="147" t="s">
        <v>815</v>
      </c>
    </row>
    <row r="351" spans="1:7" ht="15">
      <c r="A351" s="46">
        <v>7</v>
      </c>
      <c r="B351" s="93" t="s">
        <v>529</v>
      </c>
      <c r="C351" s="41" t="s">
        <v>338</v>
      </c>
      <c r="D351" s="44">
        <v>55</v>
      </c>
      <c r="E351" s="102">
        <v>24</v>
      </c>
      <c r="F351" s="146">
        <f t="shared" si="5"/>
        <v>31</v>
      </c>
      <c r="G351" s="147" t="s">
        <v>815</v>
      </c>
    </row>
    <row r="352" spans="1:7" ht="15">
      <c r="A352" s="46">
        <v>7</v>
      </c>
      <c r="B352" s="47" t="s">
        <v>344</v>
      </c>
      <c r="C352" s="100" t="s">
        <v>519</v>
      </c>
      <c r="D352" s="102">
        <v>15</v>
      </c>
      <c r="E352" s="102">
        <v>11</v>
      </c>
      <c r="F352" s="146">
        <f t="shared" si="5"/>
        <v>4</v>
      </c>
      <c r="G352" s="147" t="s">
        <v>815</v>
      </c>
    </row>
    <row r="353" spans="1:7" ht="15">
      <c r="A353" s="46">
        <v>7</v>
      </c>
      <c r="B353" s="47" t="s">
        <v>522</v>
      </c>
      <c r="C353" s="100" t="s">
        <v>519</v>
      </c>
      <c r="D353" s="44">
        <v>5</v>
      </c>
      <c r="E353" s="102">
        <v>3.5</v>
      </c>
      <c r="F353" s="146">
        <f t="shared" si="5"/>
        <v>1.5</v>
      </c>
      <c r="G353" s="147" t="s">
        <v>815</v>
      </c>
    </row>
    <row r="354" spans="1:7" ht="15">
      <c r="A354" s="46">
        <v>7</v>
      </c>
      <c r="B354" s="47" t="s">
        <v>341</v>
      </c>
      <c r="C354" s="100" t="s">
        <v>519</v>
      </c>
      <c r="D354" s="44">
        <v>8</v>
      </c>
      <c r="E354" s="102">
        <v>6</v>
      </c>
      <c r="F354" s="146">
        <f t="shared" si="5"/>
        <v>2</v>
      </c>
      <c r="G354" s="147" t="s">
        <v>815</v>
      </c>
    </row>
    <row r="355" spans="1:7" ht="15">
      <c r="A355" s="46">
        <v>7</v>
      </c>
      <c r="B355" s="47" t="s">
        <v>267</v>
      </c>
      <c r="C355" s="41" t="s">
        <v>343</v>
      </c>
      <c r="D355" s="44">
        <v>60</v>
      </c>
      <c r="E355" s="102">
        <v>23.5</v>
      </c>
      <c r="F355" s="146">
        <f t="shared" si="5"/>
        <v>36.5</v>
      </c>
      <c r="G355" s="147" t="s">
        <v>815</v>
      </c>
    </row>
    <row r="356" spans="1:7" ht="15">
      <c r="A356" s="46">
        <v>7</v>
      </c>
      <c r="B356" s="47" t="s">
        <v>465</v>
      </c>
      <c r="C356" s="100" t="s">
        <v>519</v>
      </c>
      <c r="D356" s="102">
        <v>16</v>
      </c>
      <c r="E356" s="102">
        <v>13</v>
      </c>
      <c r="F356" s="146">
        <f t="shared" si="5"/>
        <v>3</v>
      </c>
      <c r="G356" s="147" t="s">
        <v>815</v>
      </c>
    </row>
    <row r="357" spans="1:7" ht="15">
      <c r="A357" s="46">
        <v>7</v>
      </c>
      <c r="B357" s="47" t="s">
        <v>335</v>
      </c>
      <c r="C357" s="41" t="s">
        <v>519</v>
      </c>
      <c r="D357" s="44">
        <v>40</v>
      </c>
      <c r="E357" s="102">
        <v>32</v>
      </c>
      <c r="F357" s="146">
        <f t="shared" si="5"/>
        <v>8</v>
      </c>
      <c r="G357" s="147" t="s">
        <v>815</v>
      </c>
    </row>
    <row r="358" spans="1:7" ht="15">
      <c r="A358" s="46">
        <v>7</v>
      </c>
      <c r="B358" s="47" t="s">
        <v>340</v>
      </c>
      <c r="C358" s="100" t="s">
        <v>519</v>
      </c>
      <c r="D358" s="44">
        <v>10</v>
      </c>
      <c r="E358" s="102">
        <v>6</v>
      </c>
      <c r="F358" s="146">
        <f t="shared" si="5"/>
        <v>4</v>
      </c>
      <c r="G358" s="147" t="s">
        <v>815</v>
      </c>
    </row>
    <row r="359" spans="1:7" ht="15">
      <c r="A359" s="46">
        <v>7</v>
      </c>
      <c r="B359" s="47" t="s">
        <v>342</v>
      </c>
      <c r="C359" s="100" t="s">
        <v>519</v>
      </c>
      <c r="D359" s="44">
        <v>20</v>
      </c>
      <c r="E359" s="102">
        <v>14</v>
      </c>
      <c r="F359" s="146">
        <f t="shared" si="5"/>
        <v>6</v>
      </c>
      <c r="G359" s="147" t="s">
        <v>815</v>
      </c>
    </row>
    <row r="360" spans="1:7" ht="15">
      <c r="A360" s="46">
        <v>7</v>
      </c>
      <c r="B360" s="47" t="s">
        <v>342</v>
      </c>
      <c r="C360" s="100" t="s">
        <v>519</v>
      </c>
      <c r="D360" s="44">
        <v>20</v>
      </c>
      <c r="E360" s="102">
        <v>14</v>
      </c>
      <c r="F360" s="146">
        <f t="shared" si="5"/>
        <v>6</v>
      </c>
      <c r="G360" s="147" t="s">
        <v>815</v>
      </c>
    </row>
    <row r="361" spans="1:7" ht="15">
      <c r="A361" s="46">
        <v>7</v>
      </c>
      <c r="B361" s="47" t="s">
        <v>529</v>
      </c>
      <c r="C361" s="100" t="s">
        <v>346</v>
      </c>
      <c r="D361" s="44">
        <v>50</v>
      </c>
      <c r="E361" s="102">
        <v>24</v>
      </c>
      <c r="F361" s="146">
        <f t="shared" si="5"/>
        <v>26</v>
      </c>
      <c r="G361" s="147" t="s">
        <v>815</v>
      </c>
    </row>
    <row r="362" spans="1:7" ht="15">
      <c r="A362" s="46">
        <v>7</v>
      </c>
      <c r="B362" s="47" t="s">
        <v>529</v>
      </c>
      <c r="C362" s="100" t="s">
        <v>346</v>
      </c>
      <c r="D362" s="44">
        <v>50</v>
      </c>
      <c r="E362" s="102">
        <v>24</v>
      </c>
      <c r="F362" s="146">
        <f t="shared" si="5"/>
        <v>26</v>
      </c>
      <c r="G362" s="147" t="s">
        <v>815</v>
      </c>
    </row>
    <row r="363" spans="1:7" ht="15">
      <c r="A363" s="46">
        <v>7</v>
      </c>
      <c r="B363" s="47" t="s">
        <v>529</v>
      </c>
      <c r="C363" s="100" t="s">
        <v>346</v>
      </c>
      <c r="D363" s="44">
        <v>50</v>
      </c>
      <c r="E363" s="102">
        <v>24</v>
      </c>
      <c r="F363" s="146">
        <f t="shared" si="5"/>
        <v>26</v>
      </c>
      <c r="G363" s="147" t="s">
        <v>815</v>
      </c>
    </row>
    <row r="364" spans="1:7" ht="15">
      <c r="A364" s="46">
        <v>7</v>
      </c>
      <c r="B364" s="47" t="s">
        <v>335</v>
      </c>
      <c r="C364" s="41" t="s">
        <v>347</v>
      </c>
      <c r="D364" s="44">
        <v>57</v>
      </c>
      <c r="E364" s="102">
        <v>32</v>
      </c>
      <c r="F364" s="146">
        <f t="shared" si="5"/>
        <v>25</v>
      </c>
      <c r="G364" s="147" t="s">
        <v>815</v>
      </c>
    </row>
    <row r="365" spans="1:7" ht="15">
      <c r="A365" s="46">
        <v>7</v>
      </c>
      <c r="B365" s="47" t="s">
        <v>261</v>
      </c>
      <c r="C365" s="41" t="s">
        <v>348</v>
      </c>
      <c r="D365" s="44">
        <v>50</v>
      </c>
      <c r="E365" s="102">
        <v>25</v>
      </c>
      <c r="F365" s="146">
        <f t="shared" si="5"/>
        <v>25</v>
      </c>
      <c r="G365" s="147" t="s">
        <v>815</v>
      </c>
    </row>
    <row r="366" spans="1:7" ht="15">
      <c r="A366" s="46">
        <v>7</v>
      </c>
      <c r="B366" s="47" t="s">
        <v>261</v>
      </c>
      <c r="C366" s="41" t="s">
        <v>348</v>
      </c>
      <c r="D366" s="44">
        <v>50</v>
      </c>
      <c r="E366" s="102">
        <v>25</v>
      </c>
      <c r="F366" s="146">
        <f t="shared" si="5"/>
        <v>25</v>
      </c>
      <c r="G366" s="147" t="s">
        <v>815</v>
      </c>
    </row>
    <row r="367" spans="1:7" ht="15">
      <c r="A367" s="46">
        <v>7</v>
      </c>
      <c r="B367" s="47" t="s">
        <v>298</v>
      </c>
      <c r="C367" s="41" t="s">
        <v>466</v>
      </c>
      <c r="D367" s="44">
        <v>10</v>
      </c>
      <c r="E367" s="102">
        <v>4.5</v>
      </c>
      <c r="F367" s="146">
        <f t="shared" si="5"/>
        <v>5.5</v>
      </c>
      <c r="G367" s="147" t="s">
        <v>815</v>
      </c>
    </row>
    <row r="368" spans="1:7" ht="15">
      <c r="A368" s="46">
        <v>7</v>
      </c>
      <c r="B368" s="63" t="s">
        <v>155</v>
      </c>
      <c r="C368" s="41" t="s">
        <v>466</v>
      </c>
      <c r="D368" s="44">
        <v>35</v>
      </c>
      <c r="E368" s="102">
        <v>16</v>
      </c>
      <c r="F368" s="146">
        <f t="shared" si="5"/>
        <v>19</v>
      </c>
      <c r="G368" s="147" t="s">
        <v>815</v>
      </c>
    </row>
    <row r="369" spans="1:7" ht="15">
      <c r="A369" s="46">
        <v>7</v>
      </c>
      <c r="B369" s="47" t="s">
        <v>529</v>
      </c>
      <c r="C369" s="41" t="s">
        <v>466</v>
      </c>
      <c r="D369" s="44">
        <v>80</v>
      </c>
      <c r="E369" s="102">
        <v>24</v>
      </c>
      <c r="F369" s="146">
        <f t="shared" si="5"/>
        <v>56</v>
      </c>
      <c r="G369" s="147" t="s">
        <v>815</v>
      </c>
    </row>
    <row r="370" spans="1:7" ht="15">
      <c r="A370" s="46">
        <v>7</v>
      </c>
      <c r="B370" s="47" t="s">
        <v>529</v>
      </c>
      <c r="C370" s="41" t="s">
        <v>349</v>
      </c>
      <c r="D370" s="44">
        <v>50</v>
      </c>
      <c r="E370" s="102">
        <v>24</v>
      </c>
      <c r="F370" s="146">
        <f t="shared" si="5"/>
        <v>26</v>
      </c>
      <c r="G370" s="147" t="s">
        <v>815</v>
      </c>
    </row>
    <row r="371" spans="1:7" ht="15">
      <c r="A371" s="46">
        <v>7</v>
      </c>
      <c r="B371" s="47" t="s">
        <v>529</v>
      </c>
      <c r="C371" s="41" t="s">
        <v>349</v>
      </c>
      <c r="D371" s="44">
        <v>50</v>
      </c>
      <c r="E371" s="102">
        <v>24</v>
      </c>
      <c r="F371" s="146">
        <f t="shared" si="5"/>
        <v>26</v>
      </c>
      <c r="G371" s="147" t="s">
        <v>815</v>
      </c>
    </row>
    <row r="372" spans="1:7" ht="15">
      <c r="A372" s="46">
        <v>7</v>
      </c>
      <c r="B372" s="47" t="s">
        <v>321</v>
      </c>
      <c r="C372" s="41" t="s">
        <v>467</v>
      </c>
      <c r="D372" s="44">
        <v>15</v>
      </c>
      <c r="E372" s="102">
        <v>5</v>
      </c>
      <c r="F372" s="146">
        <f t="shared" si="5"/>
        <v>10</v>
      </c>
      <c r="G372" s="147" t="s">
        <v>815</v>
      </c>
    </row>
    <row r="373" spans="1:7" ht="15">
      <c r="A373" s="46">
        <v>7</v>
      </c>
      <c r="B373" s="47" t="s">
        <v>321</v>
      </c>
      <c r="C373" s="41" t="s">
        <v>467</v>
      </c>
      <c r="D373" s="44">
        <v>15</v>
      </c>
      <c r="E373" s="102">
        <v>5</v>
      </c>
      <c r="F373" s="146">
        <f t="shared" si="5"/>
        <v>10</v>
      </c>
      <c r="G373" s="147" t="s">
        <v>815</v>
      </c>
    </row>
    <row r="374" spans="1:7" ht="15">
      <c r="A374" s="46">
        <v>7</v>
      </c>
      <c r="B374" s="47" t="s">
        <v>261</v>
      </c>
      <c r="C374" s="41" t="s">
        <v>350</v>
      </c>
      <c r="D374" s="44">
        <v>45</v>
      </c>
      <c r="E374" s="102">
        <v>25</v>
      </c>
      <c r="F374" s="146">
        <f t="shared" si="5"/>
        <v>20</v>
      </c>
      <c r="G374" s="147" t="s">
        <v>815</v>
      </c>
    </row>
    <row r="375" spans="1:7" ht="15">
      <c r="A375" s="46">
        <v>7</v>
      </c>
      <c r="B375" s="47" t="s">
        <v>261</v>
      </c>
      <c r="C375" s="41" t="s">
        <v>350</v>
      </c>
      <c r="D375" s="44">
        <v>45</v>
      </c>
      <c r="E375" s="102">
        <v>25</v>
      </c>
      <c r="F375" s="146">
        <f t="shared" si="5"/>
        <v>20</v>
      </c>
      <c r="G375" s="147" t="s">
        <v>815</v>
      </c>
    </row>
    <row r="376" spans="1:7" ht="15">
      <c r="A376" s="46">
        <v>7</v>
      </c>
      <c r="B376" s="47" t="s">
        <v>261</v>
      </c>
      <c r="C376" s="41" t="s">
        <v>350</v>
      </c>
      <c r="D376" s="44">
        <v>45</v>
      </c>
      <c r="E376" s="102">
        <v>25</v>
      </c>
      <c r="F376" s="146">
        <f t="shared" si="5"/>
        <v>20</v>
      </c>
      <c r="G376" s="147" t="s">
        <v>815</v>
      </c>
    </row>
    <row r="377" spans="1:7" ht="15">
      <c r="A377" s="46">
        <v>7</v>
      </c>
      <c r="B377" s="47" t="s">
        <v>261</v>
      </c>
      <c r="C377" s="41" t="s">
        <v>350</v>
      </c>
      <c r="D377" s="44">
        <v>45</v>
      </c>
      <c r="E377" s="102">
        <v>25</v>
      </c>
      <c r="F377" s="146">
        <f t="shared" si="5"/>
        <v>20</v>
      </c>
      <c r="G377" s="147" t="s">
        <v>815</v>
      </c>
    </row>
    <row r="378" spans="1:7" ht="15">
      <c r="A378" s="46">
        <v>7</v>
      </c>
      <c r="B378" s="47" t="s">
        <v>468</v>
      </c>
      <c r="C378" s="41" t="s">
        <v>519</v>
      </c>
      <c r="D378" s="44">
        <v>27</v>
      </c>
      <c r="E378" s="102">
        <v>20</v>
      </c>
      <c r="F378" s="146">
        <f t="shared" si="5"/>
        <v>7</v>
      </c>
      <c r="G378" s="147" t="s">
        <v>815</v>
      </c>
    </row>
    <row r="379" spans="1:7" ht="15">
      <c r="A379" s="46">
        <v>7</v>
      </c>
      <c r="B379" s="47" t="s">
        <v>468</v>
      </c>
      <c r="C379" s="41" t="s">
        <v>519</v>
      </c>
      <c r="D379" s="44">
        <v>27</v>
      </c>
      <c r="E379" s="102">
        <v>20</v>
      </c>
      <c r="F379" s="146">
        <f t="shared" si="5"/>
        <v>7</v>
      </c>
      <c r="G379" s="147" t="s">
        <v>815</v>
      </c>
    </row>
    <row r="380" spans="1:7" ht="15">
      <c r="A380" s="46">
        <v>7</v>
      </c>
      <c r="B380" s="47" t="s">
        <v>469</v>
      </c>
      <c r="C380" s="41" t="s">
        <v>519</v>
      </c>
      <c r="D380" s="44">
        <v>15</v>
      </c>
      <c r="E380" s="102">
        <v>15</v>
      </c>
      <c r="F380" s="146">
        <f t="shared" si="5"/>
        <v>0</v>
      </c>
      <c r="G380" s="147" t="s">
        <v>815</v>
      </c>
    </row>
    <row r="381" spans="1:7" ht="15">
      <c r="A381" s="46">
        <v>7</v>
      </c>
      <c r="B381" s="47" t="s">
        <v>469</v>
      </c>
      <c r="C381" s="41" t="s">
        <v>519</v>
      </c>
      <c r="D381" s="44">
        <v>15</v>
      </c>
      <c r="E381" s="102">
        <v>15</v>
      </c>
      <c r="F381" s="146">
        <f t="shared" si="5"/>
        <v>0</v>
      </c>
      <c r="G381" s="147" t="s">
        <v>815</v>
      </c>
    </row>
    <row r="382" spans="1:7" ht="15">
      <c r="A382" s="46">
        <v>7</v>
      </c>
      <c r="B382" s="47" t="s">
        <v>604</v>
      </c>
      <c r="C382" s="41" t="s">
        <v>519</v>
      </c>
      <c r="D382" s="44">
        <v>7</v>
      </c>
      <c r="E382" s="102">
        <v>5</v>
      </c>
      <c r="F382" s="146">
        <f t="shared" si="5"/>
        <v>2</v>
      </c>
      <c r="G382" s="147" t="s">
        <v>815</v>
      </c>
    </row>
    <row r="383" spans="1:7" ht="15">
      <c r="A383" s="46">
        <v>7</v>
      </c>
      <c r="B383" s="47" t="s">
        <v>604</v>
      </c>
      <c r="C383" s="41" t="s">
        <v>519</v>
      </c>
      <c r="D383" s="44">
        <v>7</v>
      </c>
      <c r="E383" s="102">
        <v>5</v>
      </c>
      <c r="F383" s="146">
        <f t="shared" si="5"/>
        <v>2</v>
      </c>
      <c r="G383" s="147" t="s">
        <v>815</v>
      </c>
    </row>
    <row r="384" spans="1:7" ht="15">
      <c r="A384" s="46">
        <v>7</v>
      </c>
      <c r="B384" s="47" t="s">
        <v>352</v>
      </c>
      <c r="C384" s="41" t="s">
        <v>471</v>
      </c>
      <c r="D384" s="44">
        <v>10</v>
      </c>
      <c r="E384" s="102">
        <v>4.8</v>
      </c>
      <c r="F384" s="146">
        <f t="shared" si="5"/>
        <v>5.2</v>
      </c>
      <c r="G384" s="147" t="s">
        <v>815</v>
      </c>
    </row>
    <row r="385" spans="1:7" ht="15">
      <c r="A385" s="46">
        <v>7</v>
      </c>
      <c r="B385" s="47" t="s">
        <v>342</v>
      </c>
      <c r="C385" s="41" t="s">
        <v>471</v>
      </c>
      <c r="D385" s="44">
        <v>35</v>
      </c>
      <c r="E385" s="102">
        <v>14</v>
      </c>
      <c r="F385" s="146">
        <f t="shared" si="5"/>
        <v>21</v>
      </c>
      <c r="G385" s="147" t="s">
        <v>815</v>
      </c>
    </row>
    <row r="386" spans="1:7" ht="15">
      <c r="A386" s="46">
        <v>7</v>
      </c>
      <c r="B386" s="47" t="s">
        <v>606</v>
      </c>
      <c r="C386" s="41" t="s">
        <v>519</v>
      </c>
      <c r="D386" s="44">
        <v>2.5</v>
      </c>
      <c r="E386" s="102">
        <v>1</v>
      </c>
      <c r="F386" s="146">
        <f t="shared" ref="F386:F449" si="6">D386-E386</f>
        <v>1.5</v>
      </c>
      <c r="G386" s="147" t="s">
        <v>815</v>
      </c>
    </row>
    <row r="387" spans="1:7" ht="15">
      <c r="A387" s="46">
        <v>7</v>
      </c>
      <c r="B387" s="47" t="s">
        <v>267</v>
      </c>
      <c r="C387" s="41" t="s">
        <v>472</v>
      </c>
      <c r="D387" s="44">
        <v>55</v>
      </c>
      <c r="E387" s="102">
        <v>23.5</v>
      </c>
      <c r="F387" s="146">
        <f t="shared" si="6"/>
        <v>31.5</v>
      </c>
      <c r="G387" s="147" t="s">
        <v>815</v>
      </c>
    </row>
    <row r="388" spans="1:7" ht="15">
      <c r="A388" s="46">
        <v>7</v>
      </c>
      <c r="B388" s="47" t="s">
        <v>356</v>
      </c>
      <c r="C388" s="41" t="s">
        <v>426</v>
      </c>
      <c r="D388" s="44">
        <v>100</v>
      </c>
      <c r="E388" s="102">
        <v>50</v>
      </c>
      <c r="F388" s="146">
        <f t="shared" si="6"/>
        <v>50</v>
      </c>
      <c r="G388" s="147" t="s">
        <v>815</v>
      </c>
    </row>
    <row r="389" spans="1:7" ht="15">
      <c r="A389" s="46">
        <v>7</v>
      </c>
      <c r="B389" s="47" t="s">
        <v>362</v>
      </c>
      <c r="C389" s="41" t="s">
        <v>411</v>
      </c>
      <c r="D389" s="44">
        <v>20</v>
      </c>
      <c r="E389" s="102">
        <v>6.7</v>
      </c>
      <c r="F389" s="146">
        <f t="shared" si="6"/>
        <v>13.3</v>
      </c>
      <c r="G389" s="147" t="s">
        <v>815</v>
      </c>
    </row>
    <row r="390" spans="1:7" ht="15">
      <c r="A390" s="46">
        <v>7</v>
      </c>
      <c r="B390" s="47" t="s">
        <v>358</v>
      </c>
      <c r="C390" s="41" t="s">
        <v>519</v>
      </c>
      <c r="D390" s="44">
        <v>40</v>
      </c>
      <c r="E390" s="102">
        <v>35</v>
      </c>
      <c r="F390" s="146">
        <f t="shared" si="6"/>
        <v>5</v>
      </c>
      <c r="G390" s="147" t="s">
        <v>815</v>
      </c>
    </row>
    <row r="391" spans="1:7" ht="15">
      <c r="A391" s="46">
        <v>7</v>
      </c>
      <c r="B391" s="47" t="s">
        <v>182</v>
      </c>
      <c r="C391" s="41" t="s">
        <v>411</v>
      </c>
      <c r="D391" s="44">
        <v>40</v>
      </c>
      <c r="E391" s="102">
        <v>25</v>
      </c>
      <c r="F391" s="146">
        <f t="shared" si="6"/>
        <v>15</v>
      </c>
      <c r="G391" s="147" t="s">
        <v>815</v>
      </c>
    </row>
    <row r="392" spans="1:7" ht="15">
      <c r="A392" s="46">
        <v>7</v>
      </c>
      <c r="B392" s="47" t="s">
        <v>359</v>
      </c>
      <c r="C392" s="41" t="s">
        <v>519</v>
      </c>
      <c r="D392" s="44">
        <v>6</v>
      </c>
      <c r="E392" s="102">
        <v>4</v>
      </c>
      <c r="F392" s="146">
        <f t="shared" si="6"/>
        <v>2</v>
      </c>
      <c r="G392" s="147" t="s">
        <v>815</v>
      </c>
    </row>
    <row r="393" spans="1:7" ht="15">
      <c r="A393" s="46">
        <v>7</v>
      </c>
      <c r="B393" s="47" t="s">
        <v>387</v>
      </c>
      <c r="C393" s="41"/>
      <c r="D393" s="44">
        <v>100</v>
      </c>
      <c r="E393" s="102">
        <v>45</v>
      </c>
      <c r="F393" s="146">
        <f t="shared" si="6"/>
        <v>55</v>
      </c>
      <c r="G393" s="147" t="s">
        <v>815</v>
      </c>
    </row>
    <row r="394" spans="1:7" ht="15">
      <c r="A394" s="46">
        <v>7</v>
      </c>
      <c r="B394" s="63" t="s">
        <v>155</v>
      </c>
      <c r="C394" s="41"/>
      <c r="D394" s="44">
        <v>35</v>
      </c>
      <c r="E394" s="102">
        <v>16</v>
      </c>
      <c r="F394" s="146">
        <f t="shared" si="6"/>
        <v>19</v>
      </c>
      <c r="G394" s="147" t="s">
        <v>815</v>
      </c>
    </row>
    <row r="395" spans="1:7" ht="15">
      <c r="A395" s="46">
        <v>7</v>
      </c>
      <c r="B395" s="47" t="s">
        <v>387</v>
      </c>
      <c r="C395" s="41" t="s">
        <v>360</v>
      </c>
      <c r="D395" s="44">
        <v>100</v>
      </c>
      <c r="E395" s="102">
        <v>45</v>
      </c>
      <c r="F395" s="146">
        <f t="shared" si="6"/>
        <v>55</v>
      </c>
      <c r="G395" s="147" t="s">
        <v>815</v>
      </c>
    </row>
    <row r="396" spans="1:7" ht="15">
      <c r="A396" s="46">
        <v>7</v>
      </c>
      <c r="B396" s="47" t="s">
        <v>357</v>
      </c>
      <c r="C396" s="41" t="s">
        <v>360</v>
      </c>
      <c r="D396" s="44">
        <v>100</v>
      </c>
      <c r="E396" s="102">
        <v>45</v>
      </c>
      <c r="F396" s="146">
        <f t="shared" si="6"/>
        <v>55</v>
      </c>
      <c r="G396" s="147" t="s">
        <v>815</v>
      </c>
    </row>
    <row r="397" spans="1:7" ht="15">
      <c r="A397" s="46">
        <v>7</v>
      </c>
      <c r="B397" s="93" t="s">
        <v>337</v>
      </c>
      <c r="C397" s="100"/>
      <c r="D397" s="44">
        <v>20</v>
      </c>
      <c r="E397" s="99">
        <v>11.8</v>
      </c>
      <c r="F397" s="146">
        <f t="shared" si="6"/>
        <v>8.1999999999999993</v>
      </c>
      <c r="G397" s="147" t="s">
        <v>815</v>
      </c>
    </row>
    <row r="398" spans="1:7" ht="15">
      <c r="A398" s="46">
        <v>7</v>
      </c>
      <c r="B398" s="47" t="s">
        <v>764</v>
      </c>
      <c r="C398" s="41" t="s">
        <v>365</v>
      </c>
      <c r="D398" s="44">
        <v>35</v>
      </c>
      <c r="E398" s="102">
        <v>18</v>
      </c>
      <c r="F398" s="146">
        <f t="shared" si="6"/>
        <v>17</v>
      </c>
      <c r="G398" s="147" t="s">
        <v>815</v>
      </c>
    </row>
    <row r="399" spans="1:7" ht="15">
      <c r="A399" s="46">
        <v>7</v>
      </c>
      <c r="B399" s="47" t="s">
        <v>267</v>
      </c>
      <c r="C399" s="41" t="s">
        <v>364</v>
      </c>
      <c r="D399" s="44">
        <v>50</v>
      </c>
      <c r="E399" s="102">
        <v>23.5</v>
      </c>
      <c r="F399" s="146">
        <f t="shared" si="6"/>
        <v>26.5</v>
      </c>
      <c r="G399" s="147" t="s">
        <v>815</v>
      </c>
    </row>
    <row r="400" spans="1:7" ht="15">
      <c r="A400" s="46">
        <v>7</v>
      </c>
      <c r="B400" s="47" t="s">
        <v>606</v>
      </c>
      <c r="C400" s="41" t="s">
        <v>519</v>
      </c>
      <c r="D400" s="44">
        <v>2.5</v>
      </c>
      <c r="E400" s="102">
        <v>1</v>
      </c>
      <c r="F400" s="146">
        <f t="shared" si="6"/>
        <v>1.5</v>
      </c>
      <c r="G400" s="147" t="s">
        <v>815</v>
      </c>
    </row>
    <row r="401" spans="1:7" ht="15">
      <c r="A401" s="46">
        <v>7</v>
      </c>
      <c r="B401" s="47" t="s">
        <v>473</v>
      </c>
      <c r="C401" s="41" t="s">
        <v>474</v>
      </c>
      <c r="D401" s="44">
        <v>26</v>
      </c>
      <c r="E401" s="102">
        <v>12</v>
      </c>
      <c r="F401" s="146">
        <f t="shared" si="6"/>
        <v>14</v>
      </c>
      <c r="G401" s="147" t="s">
        <v>815</v>
      </c>
    </row>
    <row r="402" spans="1:7" ht="15">
      <c r="A402" s="46">
        <v>7</v>
      </c>
      <c r="B402" s="47" t="s">
        <v>266</v>
      </c>
      <c r="C402" s="41" t="s">
        <v>475</v>
      </c>
      <c r="D402" s="44">
        <v>25</v>
      </c>
      <c r="E402" s="102">
        <v>18</v>
      </c>
      <c r="F402" s="146">
        <f t="shared" si="6"/>
        <v>7</v>
      </c>
      <c r="G402" s="147" t="s">
        <v>815</v>
      </c>
    </row>
    <row r="403" spans="1:7" ht="15">
      <c r="A403" s="46">
        <v>7</v>
      </c>
      <c r="B403" s="47" t="s">
        <v>361</v>
      </c>
      <c r="C403" s="41" t="s">
        <v>36</v>
      </c>
      <c r="D403" s="44">
        <v>25</v>
      </c>
      <c r="E403" s="102">
        <v>16.5</v>
      </c>
      <c r="F403" s="146">
        <f t="shared" si="6"/>
        <v>8.5</v>
      </c>
      <c r="G403" s="147" t="s">
        <v>815</v>
      </c>
    </row>
    <row r="404" spans="1:7" ht="15">
      <c r="A404" s="46">
        <v>7</v>
      </c>
      <c r="B404" s="47" t="s">
        <v>477</v>
      </c>
      <c r="C404" s="41" t="s">
        <v>371</v>
      </c>
      <c r="D404" s="44">
        <v>50</v>
      </c>
      <c r="E404" s="102">
        <v>30</v>
      </c>
      <c r="F404" s="146">
        <f t="shared" si="6"/>
        <v>20</v>
      </c>
      <c r="G404" s="147" t="s">
        <v>815</v>
      </c>
    </row>
    <row r="405" spans="1:7" ht="15">
      <c r="A405" s="46">
        <v>7</v>
      </c>
      <c r="B405" s="47" t="s">
        <v>476</v>
      </c>
      <c r="C405" s="41" t="s">
        <v>36</v>
      </c>
      <c r="D405" s="44">
        <v>20</v>
      </c>
      <c r="E405" s="102">
        <v>9.99</v>
      </c>
      <c r="F405" s="146">
        <f t="shared" si="6"/>
        <v>10.01</v>
      </c>
      <c r="G405" s="147" t="s">
        <v>815</v>
      </c>
    </row>
    <row r="406" spans="1:7" ht="15">
      <c r="A406" s="46">
        <v>7</v>
      </c>
      <c r="B406" s="47" t="s">
        <v>476</v>
      </c>
      <c r="C406" s="41" t="s">
        <v>36</v>
      </c>
      <c r="D406" s="44">
        <v>20</v>
      </c>
      <c r="E406" s="102">
        <v>9.99</v>
      </c>
      <c r="F406" s="146">
        <f t="shared" si="6"/>
        <v>10.01</v>
      </c>
      <c r="G406" s="147" t="s">
        <v>815</v>
      </c>
    </row>
    <row r="407" spans="1:7" ht="15">
      <c r="A407" s="46">
        <v>7</v>
      </c>
      <c r="B407" s="47" t="s">
        <v>367</v>
      </c>
      <c r="C407" s="41" t="s">
        <v>369</v>
      </c>
      <c r="D407" s="44">
        <v>20</v>
      </c>
      <c r="E407" s="102">
        <v>8.5</v>
      </c>
      <c r="F407" s="146">
        <f t="shared" si="6"/>
        <v>11.5</v>
      </c>
      <c r="G407" s="147" t="s">
        <v>815</v>
      </c>
    </row>
    <row r="408" spans="1:7" ht="15">
      <c r="A408" s="46">
        <v>7</v>
      </c>
      <c r="B408" s="47" t="s">
        <v>367</v>
      </c>
      <c r="C408" s="41" t="s">
        <v>370</v>
      </c>
      <c r="D408" s="44">
        <v>20</v>
      </c>
      <c r="E408" s="102">
        <v>8.5</v>
      </c>
      <c r="F408" s="146">
        <f t="shared" si="6"/>
        <v>11.5</v>
      </c>
      <c r="G408" s="147" t="s">
        <v>815</v>
      </c>
    </row>
    <row r="409" spans="1:7" ht="15">
      <c r="A409" s="46">
        <v>7</v>
      </c>
      <c r="B409" s="47" t="s">
        <v>357</v>
      </c>
      <c r="C409" s="41" t="s">
        <v>36</v>
      </c>
      <c r="D409" s="44">
        <v>100</v>
      </c>
      <c r="E409" s="102">
        <v>45</v>
      </c>
      <c r="F409" s="146">
        <f t="shared" si="6"/>
        <v>55</v>
      </c>
      <c r="G409" s="147" t="s">
        <v>815</v>
      </c>
    </row>
    <row r="410" spans="1:7" ht="15">
      <c r="A410" s="46">
        <v>7</v>
      </c>
      <c r="B410" s="47" t="s">
        <v>368</v>
      </c>
      <c r="C410" s="41" t="s">
        <v>373</v>
      </c>
      <c r="D410" s="44">
        <v>40</v>
      </c>
      <c r="E410" s="102">
        <v>30</v>
      </c>
      <c r="F410" s="146">
        <f t="shared" si="6"/>
        <v>10</v>
      </c>
      <c r="G410" s="147" t="s">
        <v>815</v>
      </c>
    </row>
    <row r="411" spans="1:7" ht="15">
      <c r="A411" s="46">
        <v>7</v>
      </c>
      <c r="B411" s="47" t="s">
        <v>368</v>
      </c>
      <c r="C411" s="41"/>
      <c r="D411" s="44">
        <v>50</v>
      </c>
      <c r="E411" s="102">
        <v>30</v>
      </c>
      <c r="F411" s="146">
        <f t="shared" si="6"/>
        <v>20</v>
      </c>
      <c r="G411" s="147" t="s">
        <v>815</v>
      </c>
    </row>
    <row r="412" spans="1:7" ht="15">
      <c r="A412" s="46">
        <v>7</v>
      </c>
      <c r="B412" s="47" t="s">
        <v>182</v>
      </c>
      <c r="C412" s="41" t="s">
        <v>382</v>
      </c>
      <c r="D412" s="44">
        <v>40</v>
      </c>
      <c r="E412" s="102">
        <v>22</v>
      </c>
      <c r="F412" s="146">
        <f t="shared" si="6"/>
        <v>18</v>
      </c>
      <c r="G412" s="147" t="s">
        <v>815</v>
      </c>
    </row>
    <row r="413" spans="1:7" ht="15">
      <c r="A413" s="46">
        <v>7</v>
      </c>
      <c r="B413" s="47" t="s">
        <v>367</v>
      </c>
      <c r="C413" s="41" t="s">
        <v>375</v>
      </c>
      <c r="D413" s="44">
        <v>20</v>
      </c>
      <c r="E413" s="102">
        <v>8.5</v>
      </c>
      <c r="F413" s="146">
        <f t="shared" si="6"/>
        <v>11.5</v>
      </c>
      <c r="G413" s="147" t="s">
        <v>815</v>
      </c>
    </row>
    <row r="414" spans="1:7" ht="15">
      <c r="A414" s="46">
        <v>7</v>
      </c>
      <c r="B414" s="47" t="s">
        <v>367</v>
      </c>
      <c r="C414" s="41" t="s">
        <v>374</v>
      </c>
      <c r="D414" s="44">
        <v>25</v>
      </c>
      <c r="E414" s="102">
        <v>8.5</v>
      </c>
      <c r="F414" s="146">
        <f t="shared" si="6"/>
        <v>16.5</v>
      </c>
      <c r="G414" s="147" t="s">
        <v>815</v>
      </c>
    </row>
    <row r="415" spans="1:7" ht="15">
      <c r="A415" s="46">
        <v>7</v>
      </c>
      <c r="B415" s="47" t="s">
        <v>367</v>
      </c>
      <c r="C415" s="41" t="s">
        <v>376</v>
      </c>
      <c r="D415" s="44">
        <v>30</v>
      </c>
      <c r="E415" s="102">
        <v>8.5</v>
      </c>
      <c r="F415" s="146">
        <f t="shared" si="6"/>
        <v>21.5</v>
      </c>
      <c r="G415" s="147" t="s">
        <v>815</v>
      </c>
    </row>
    <row r="416" spans="1:7" ht="15">
      <c r="A416" s="46">
        <v>7</v>
      </c>
      <c r="B416" s="47" t="s">
        <v>367</v>
      </c>
      <c r="C416" s="41" t="s">
        <v>379</v>
      </c>
      <c r="D416" s="44">
        <v>20</v>
      </c>
      <c r="E416" s="102">
        <v>8.5</v>
      </c>
      <c r="F416" s="146">
        <f t="shared" si="6"/>
        <v>11.5</v>
      </c>
      <c r="G416" s="147" t="s">
        <v>815</v>
      </c>
    </row>
    <row r="417" spans="1:7" ht="15">
      <c r="A417" s="46">
        <v>7</v>
      </c>
      <c r="B417" s="47" t="s">
        <v>367</v>
      </c>
      <c r="C417" s="41" t="s">
        <v>380</v>
      </c>
      <c r="D417" s="44">
        <v>25</v>
      </c>
      <c r="E417" s="102">
        <v>8.5</v>
      </c>
      <c r="F417" s="146">
        <f t="shared" si="6"/>
        <v>16.5</v>
      </c>
      <c r="G417" s="147" t="s">
        <v>815</v>
      </c>
    </row>
    <row r="418" spans="1:7" ht="15">
      <c r="A418" s="46">
        <v>7</v>
      </c>
      <c r="B418" s="47" t="s">
        <v>367</v>
      </c>
      <c r="C418" s="41" t="s">
        <v>378</v>
      </c>
      <c r="D418" s="44">
        <v>20</v>
      </c>
      <c r="E418" s="102">
        <v>8.5</v>
      </c>
      <c r="F418" s="146">
        <f t="shared" si="6"/>
        <v>11.5</v>
      </c>
      <c r="G418" s="147" t="s">
        <v>815</v>
      </c>
    </row>
    <row r="419" spans="1:7" ht="15">
      <c r="A419" s="46">
        <v>7</v>
      </c>
      <c r="B419" s="47" t="s">
        <v>367</v>
      </c>
      <c r="C419" s="41" t="s">
        <v>381</v>
      </c>
      <c r="D419" s="44">
        <v>20</v>
      </c>
      <c r="E419" s="102">
        <v>8.5</v>
      </c>
      <c r="F419" s="146">
        <f t="shared" si="6"/>
        <v>11.5</v>
      </c>
      <c r="G419" s="147" t="s">
        <v>815</v>
      </c>
    </row>
    <row r="420" spans="1:7" ht="15">
      <c r="A420" s="46">
        <v>7</v>
      </c>
      <c r="B420" s="47" t="s">
        <v>367</v>
      </c>
      <c r="C420" s="41" t="s">
        <v>377</v>
      </c>
      <c r="D420" s="44">
        <v>20</v>
      </c>
      <c r="E420" s="102">
        <v>8.5</v>
      </c>
      <c r="F420" s="146">
        <f t="shared" si="6"/>
        <v>11.5</v>
      </c>
      <c r="G420" s="147" t="s">
        <v>815</v>
      </c>
    </row>
    <row r="421" spans="1:7" ht="15">
      <c r="A421" s="46">
        <v>7</v>
      </c>
      <c r="B421" s="47" t="s">
        <v>367</v>
      </c>
      <c r="C421" s="41" t="s">
        <v>372</v>
      </c>
      <c r="D421" s="44">
        <v>20</v>
      </c>
      <c r="E421" s="102">
        <v>8.5</v>
      </c>
      <c r="F421" s="146">
        <f t="shared" si="6"/>
        <v>11.5</v>
      </c>
      <c r="G421" s="147" t="s">
        <v>815</v>
      </c>
    </row>
    <row r="422" spans="1:7" ht="15">
      <c r="A422" s="46">
        <v>7</v>
      </c>
      <c r="B422" s="47" t="s">
        <v>367</v>
      </c>
      <c r="C422" s="41" t="s">
        <v>372</v>
      </c>
      <c r="D422" s="44">
        <v>20</v>
      </c>
      <c r="E422" s="102">
        <v>8.5</v>
      </c>
      <c r="F422" s="146">
        <f t="shared" si="6"/>
        <v>11.5</v>
      </c>
      <c r="G422" s="147" t="s">
        <v>815</v>
      </c>
    </row>
    <row r="423" spans="1:7" ht="15">
      <c r="A423" s="46">
        <v>7</v>
      </c>
      <c r="B423" s="47" t="s">
        <v>367</v>
      </c>
      <c r="C423" s="41"/>
      <c r="D423" s="44">
        <v>20</v>
      </c>
      <c r="E423" s="102">
        <v>8.5</v>
      </c>
      <c r="F423" s="146">
        <f t="shared" si="6"/>
        <v>11.5</v>
      </c>
      <c r="G423" s="147" t="s">
        <v>815</v>
      </c>
    </row>
    <row r="424" spans="1:7" ht="15">
      <c r="A424" s="46">
        <v>7</v>
      </c>
      <c r="B424" s="47" t="s">
        <v>178</v>
      </c>
      <c r="C424" s="41" t="s">
        <v>392</v>
      </c>
      <c r="D424" s="44">
        <v>45</v>
      </c>
      <c r="E424" s="102">
        <v>35</v>
      </c>
      <c r="F424" s="146">
        <f t="shared" si="6"/>
        <v>10</v>
      </c>
      <c r="G424" s="147" t="s">
        <v>815</v>
      </c>
    </row>
    <row r="425" spans="1:7" ht="15">
      <c r="A425" s="46">
        <v>7</v>
      </c>
      <c r="B425" s="47" t="s">
        <v>321</v>
      </c>
      <c r="C425" s="41" t="s">
        <v>383</v>
      </c>
      <c r="D425" s="44">
        <v>15</v>
      </c>
      <c r="E425" s="102">
        <v>5</v>
      </c>
      <c r="F425" s="146">
        <f t="shared" si="6"/>
        <v>10</v>
      </c>
      <c r="G425" s="147" t="s">
        <v>815</v>
      </c>
    </row>
    <row r="426" spans="1:7" ht="15">
      <c r="A426" s="46">
        <v>7</v>
      </c>
      <c r="B426" s="47" t="s">
        <v>367</v>
      </c>
      <c r="C426" s="41" t="s">
        <v>392</v>
      </c>
      <c r="D426" s="44">
        <v>10</v>
      </c>
      <c r="E426" s="102">
        <v>8.5</v>
      </c>
      <c r="F426" s="146">
        <f t="shared" si="6"/>
        <v>1.5</v>
      </c>
      <c r="G426" s="147" t="s">
        <v>815</v>
      </c>
    </row>
    <row r="427" spans="1:7" ht="15">
      <c r="A427" s="46">
        <v>7</v>
      </c>
      <c r="B427" s="47" t="s">
        <v>132</v>
      </c>
      <c r="C427" s="41" t="s">
        <v>384</v>
      </c>
      <c r="D427" s="44">
        <v>40</v>
      </c>
      <c r="E427" s="102">
        <v>20</v>
      </c>
      <c r="F427" s="146">
        <f t="shared" si="6"/>
        <v>20</v>
      </c>
      <c r="G427" s="147" t="s">
        <v>815</v>
      </c>
    </row>
    <row r="428" spans="1:7" ht="15">
      <c r="A428" s="46">
        <v>7</v>
      </c>
      <c r="B428" s="47" t="s">
        <v>385</v>
      </c>
      <c r="C428" s="41" t="s">
        <v>384</v>
      </c>
      <c r="D428" s="44">
        <v>120</v>
      </c>
      <c r="E428" s="102">
        <v>70</v>
      </c>
      <c r="F428" s="146">
        <f t="shared" si="6"/>
        <v>50</v>
      </c>
      <c r="G428" s="147" t="s">
        <v>815</v>
      </c>
    </row>
    <row r="429" spans="1:7" ht="15">
      <c r="A429" s="46">
        <v>7</v>
      </c>
      <c r="B429" s="93" t="s">
        <v>327</v>
      </c>
      <c r="C429" s="100" t="s">
        <v>384</v>
      </c>
      <c r="D429" s="44">
        <v>60</v>
      </c>
      <c r="E429" s="99">
        <v>39.99</v>
      </c>
      <c r="F429" s="146">
        <f t="shared" si="6"/>
        <v>20.009999999999998</v>
      </c>
      <c r="G429" s="147" t="s">
        <v>815</v>
      </c>
    </row>
    <row r="430" spans="1:7" ht="15">
      <c r="A430" s="46">
        <v>7</v>
      </c>
      <c r="B430" s="47" t="s">
        <v>367</v>
      </c>
      <c r="C430" s="41" t="s">
        <v>519</v>
      </c>
      <c r="D430" s="44">
        <v>10</v>
      </c>
      <c r="E430" s="102">
        <v>8.5</v>
      </c>
      <c r="F430" s="146">
        <f t="shared" si="6"/>
        <v>1.5</v>
      </c>
      <c r="G430" s="147" t="s">
        <v>815</v>
      </c>
    </row>
    <row r="431" spans="1:7" ht="15">
      <c r="A431" s="46">
        <v>7</v>
      </c>
      <c r="B431" s="47" t="s">
        <v>368</v>
      </c>
      <c r="C431" s="41"/>
      <c r="D431" s="44">
        <v>45</v>
      </c>
      <c r="E431" s="102">
        <v>30</v>
      </c>
      <c r="F431" s="146">
        <f t="shared" si="6"/>
        <v>15</v>
      </c>
      <c r="G431" s="147" t="s">
        <v>815</v>
      </c>
    </row>
    <row r="432" spans="1:7" ht="15">
      <c r="A432" s="46">
        <v>7</v>
      </c>
      <c r="B432" s="47" t="s">
        <v>367</v>
      </c>
      <c r="C432" s="41" t="s">
        <v>386</v>
      </c>
      <c r="D432" s="44">
        <v>30</v>
      </c>
      <c r="E432" s="102">
        <v>8.5</v>
      </c>
      <c r="F432" s="146">
        <f t="shared" si="6"/>
        <v>21.5</v>
      </c>
      <c r="G432" s="147" t="s">
        <v>815</v>
      </c>
    </row>
    <row r="433" spans="1:7" ht="15">
      <c r="A433" s="46">
        <v>7</v>
      </c>
      <c r="B433" s="85" t="s">
        <v>452</v>
      </c>
      <c r="C433" s="41" t="s">
        <v>407</v>
      </c>
      <c r="D433" s="44">
        <v>100</v>
      </c>
      <c r="E433" s="102">
        <v>34</v>
      </c>
      <c r="F433" s="146">
        <f t="shared" si="6"/>
        <v>66</v>
      </c>
      <c r="G433" s="147" t="s">
        <v>815</v>
      </c>
    </row>
    <row r="434" spans="1:7" ht="15">
      <c r="A434" s="46">
        <v>7</v>
      </c>
      <c r="B434" s="47" t="s">
        <v>478</v>
      </c>
      <c r="C434" s="41" t="s">
        <v>388</v>
      </c>
      <c r="D434" s="44">
        <v>30</v>
      </c>
      <c r="E434" s="102">
        <v>20</v>
      </c>
      <c r="F434" s="146">
        <f t="shared" si="6"/>
        <v>10</v>
      </c>
      <c r="G434" s="147" t="s">
        <v>815</v>
      </c>
    </row>
    <row r="435" spans="1:7" ht="15">
      <c r="A435" s="46">
        <v>7</v>
      </c>
      <c r="B435" s="47" t="s">
        <v>399</v>
      </c>
      <c r="C435" s="41" t="s">
        <v>36</v>
      </c>
      <c r="D435" s="44">
        <v>35</v>
      </c>
      <c r="E435" s="102">
        <v>24</v>
      </c>
      <c r="F435" s="146">
        <f t="shared" si="6"/>
        <v>11</v>
      </c>
      <c r="G435" s="147" t="s">
        <v>815</v>
      </c>
    </row>
    <row r="436" spans="1:7" ht="15">
      <c r="A436" s="46">
        <v>7</v>
      </c>
      <c r="B436" s="47" t="s">
        <v>178</v>
      </c>
      <c r="C436" s="41" t="s">
        <v>396</v>
      </c>
      <c r="D436" s="44">
        <v>70</v>
      </c>
      <c r="E436" s="102">
        <v>35</v>
      </c>
      <c r="F436" s="146">
        <f t="shared" si="6"/>
        <v>35</v>
      </c>
      <c r="G436" s="147" t="s">
        <v>815</v>
      </c>
    </row>
    <row r="437" spans="1:7" ht="15">
      <c r="A437" s="46">
        <v>7</v>
      </c>
      <c r="B437" s="47" t="s">
        <v>321</v>
      </c>
      <c r="C437" s="41"/>
      <c r="D437" s="44">
        <v>15</v>
      </c>
      <c r="E437" s="102">
        <v>5</v>
      </c>
      <c r="F437" s="146">
        <f t="shared" si="6"/>
        <v>10</v>
      </c>
      <c r="G437" s="147" t="s">
        <v>815</v>
      </c>
    </row>
    <row r="438" spans="1:7" ht="15">
      <c r="A438" s="46">
        <v>7</v>
      </c>
      <c r="B438" s="47" t="s">
        <v>389</v>
      </c>
      <c r="C438" s="41" t="s">
        <v>391</v>
      </c>
      <c r="D438" s="44">
        <v>5</v>
      </c>
      <c r="E438" s="102">
        <v>2</v>
      </c>
      <c r="F438" s="146">
        <f t="shared" si="6"/>
        <v>3</v>
      </c>
      <c r="G438" s="147" t="s">
        <v>815</v>
      </c>
    </row>
    <row r="439" spans="1:7" ht="15">
      <c r="A439" s="46">
        <v>7</v>
      </c>
      <c r="B439" s="47" t="s">
        <v>355</v>
      </c>
      <c r="C439" s="41" t="s">
        <v>398</v>
      </c>
      <c r="D439" s="44">
        <v>30</v>
      </c>
      <c r="E439" s="102">
        <v>13</v>
      </c>
      <c r="F439" s="146">
        <f t="shared" si="6"/>
        <v>17</v>
      </c>
      <c r="G439" s="147" t="s">
        <v>815</v>
      </c>
    </row>
    <row r="440" spans="1:7" ht="15">
      <c r="A440" s="46">
        <v>7</v>
      </c>
      <c r="B440" s="47" t="s">
        <v>484</v>
      </c>
      <c r="C440" s="41" t="s">
        <v>395</v>
      </c>
      <c r="D440" s="44">
        <v>230</v>
      </c>
      <c r="E440" s="102">
        <v>120.8</v>
      </c>
      <c r="F440" s="146">
        <f t="shared" si="6"/>
        <v>109.2</v>
      </c>
      <c r="G440" s="147" t="s">
        <v>815</v>
      </c>
    </row>
    <row r="441" spans="1:7" ht="15">
      <c r="A441" s="46">
        <v>7</v>
      </c>
      <c r="B441" s="47" t="s">
        <v>367</v>
      </c>
      <c r="C441" s="41" t="s">
        <v>397</v>
      </c>
      <c r="D441" s="44">
        <v>30</v>
      </c>
      <c r="E441" s="102">
        <v>8.5</v>
      </c>
      <c r="F441" s="146">
        <f t="shared" si="6"/>
        <v>21.5</v>
      </c>
      <c r="G441" s="147" t="s">
        <v>815</v>
      </c>
    </row>
    <row r="442" spans="1:7" ht="15">
      <c r="A442" s="46">
        <v>7</v>
      </c>
      <c r="B442" s="47" t="s">
        <v>367</v>
      </c>
      <c r="C442" s="41"/>
      <c r="D442" s="44">
        <v>17.5</v>
      </c>
      <c r="E442" s="102">
        <v>8.5</v>
      </c>
      <c r="F442" s="146">
        <f t="shared" si="6"/>
        <v>9</v>
      </c>
      <c r="G442" s="147" t="s">
        <v>815</v>
      </c>
    </row>
    <row r="443" spans="1:7" ht="15">
      <c r="A443" s="46">
        <v>7</v>
      </c>
      <c r="B443" s="47" t="s">
        <v>367</v>
      </c>
      <c r="C443" s="41"/>
      <c r="D443" s="44">
        <v>17.5</v>
      </c>
      <c r="E443" s="102">
        <v>8.5</v>
      </c>
      <c r="F443" s="146">
        <f t="shared" si="6"/>
        <v>9</v>
      </c>
      <c r="G443" s="147" t="s">
        <v>815</v>
      </c>
    </row>
    <row r="444" spans="1:7" ht="15">
      <c r="A444" s="46">
        <v>7</v>
      </c>
      <c r="B444" s="47" t="s">
        <v>390</v>
      </c>
      <c r="C444" s="41" t="s">
        <v>391</v>
      </c>
      <c r="D444" s="44">
        <v>25</v>
      </c>
      <c r="E444" s="102">
        <v>12</v>
      </c>
      <c r="F444" s="146">
        <f t="shared" si="6"/>
        <v>13</v>
      </c>
      <c r="G444" s="147" t="s">
        <v>815</v>
      </c>
    </row>
    <row r="445" spans="1:7" ht="15">
      <c r="A445" s="46">
        <v>7</v>
      </c>
      <c r="B445" s="47" t="s">
        <v>400</v>
      </c>
      <c r="C445" s="41"/>
      <c r="D445" s="44">
        <v>55</v>
      </c>
      <c r="E445" s="102">
        <v>30</v>
      </c>
      <c r="F445" s="146">
        <f t="shared" si="6"/>
        <v>25</v>
      </c>
      <c r="G445" s="147" t="s">
        <v>815</v>
      </c>
    </row>
    <row r="446" spans="1:7" ht="15">
      <c r="A446" s="46">
        <v>7</v>
      </c>
      <c r="B446" s="47" t="s">
        <v>401</v>
      </c>
      <c r="C446" s="41" t="s">
        <v>322</v>
      </c>
      <c r="D446" s="44">
        <v>10</v>
      </c>
      <c r="E446" s="102">
        <v>5</v>
      </c>
      <c r="F446" s="146">
        <f t="shared" si="6"/>
        <v>5</v>
      </c>
      <c r="G446" s="147" t="s">
        <v>815</v>
      </c>
    </row>
    <row r="447" spans="1:7" ht="15">
      <c r="A447" s="46">
        <v>7</v>
      </c>
      <c r="B447" s="47" t="s">
        <v>362</v>
      </c>
      <c r="C447" s="41" t="s">
        <v>457</v>
      </c>
      <c r="D447" s="44">
        <v>15</v>
      </c>
      <c r="E447" s="102">
        <v>6</v>
      </c>
      <c r="F447" s="146">
        <f t="shared" si="6"/>
        <v>9</v>
      </c>
      <c r="G447" s="147" t="s">
        <v>815</v>
      </c>
    </row>
    <row r="448" spans="1:7" ht="15">
      <c r="A448" s="46">
        <v>7</v>
      </c>
      <c r="B448" s="47" t="s">
        <v>403</v>
      </c>
      <c r="C448" s="41" t="s">
        <v>404</v>
      </c>
      <c r="D448" s="159">
        <v>30</v>
      </c>
      <c r="E448" s="159">
        <v>15</v>
      </c>
      <c r="F448" s="146">
        <f t="shared" si="6"/>
        <v>15</v>
      </c>
      <c r="G448" s="147" t="s">
        <v>815</v>
      </c>
    </row>
    <row r="449" spans="1:7" ht="15">
      <c r="A449" s="46">
        <v>7</v>
      </c>
      <c r="B449" s="47" t="s">
        <v>405</v>
      </c>
      <c r="C449" s="41" t="s">
        <v>406</v>
      </c>
      <c r="D449" s="44">
        <v>40</v>
      </c>
      <c r="E449" s="102">
        <v>23</v>
      </c>
      <c r="F449" s="146">
        <f t="shared" si="6"/>
        <v>17</v>
      </c>
      <c r="G449" s="147" t="s">
        <v>815</v>
      </c>
    </row>
    <row r="450" spans="1:7" ht="15">
      <c r="A450" s="46">
        <v>7</v>
      </c>
      <c r="B450" s="47" t="s">
        <v>182</v>
      </c>
      <c r="C450" s="41" t="s">
        <v>382</v>
      </c>
      <c r="D450" s="44">
        <v>40</v>
      </c>
      <c r="E450" s="102">
        <v>22</v>
      </c>
      <c r="F450" s="146">
        <f t="shared" ref="F450:F513" si="7">D450-E450</f>
        <v>18</v>
      </c>
      <c r="G450" s="147" t="s">
        <v>815</v>
      </c>
    </row>
    <row r="451" spans="1:7" ht="15">
      <c r="A451" s="46">
        <v>7</v>
      </c>
      <c r="B451" s="47" t="s">
        <v>393</v>
      </c>
      <c r="C451" s="41" t="s">
        <v>394</v>
      </c>
      <c r="D451" s="44">
        <v>25</v>
      </c>
      <c r="E451" s="102">
        <v>11.5</v>
      </c>
      <c r="F451" s="146">
        <f t="shared" si="7"/>
        <v>13.5</v>
      </c>
      <c r="G451" s="147" t="s">
        <v>815</v>
      </c>
    </row>
    <row r="452" spans="1:7" ht="15">
      <c r="A452" s="46">
        <v>7</v>
      </c>
      <c r="B452" s="47" t="s">
        <v>182</v>
      </c>
      <c r="C452" s="41" t="s">
        <v>402</v>
      </c>
      <c r="D452" s="44">
        <v>40</v>
      </c>
      <c r="E452" s="102">
        <v>22</v>
      </c>
      <c r="F452" s="146">
        <f t="shared" si="7"/>
        <v>18</v>
      </c>
      <c r="G452" s="147" t="s">
        <v>815</v>
      </c>
    </row>
    <row r="453" spans="1:7" ht="15">
      <c r="A453" s="46">
        <v>7</v>
      </c>
      <c r="B453" s="47" t="s">
        <v>480</v>
      </c>
      <c r="C453" s="41" t="s">
        <v>481</v>
      </c>
      <c r="D453" s="44">
        <v>30</v>
      </c>
      <c r="E453" s="102">
        <v>20</v>
      </c>
      <c r="F453" s="146">
        <f t="shared" si="7"/>
        <v>10</v>
      </c>
      <c r="G453" s="147" t="s">
        <v>815</v>
      </c>
    </row>
    <row r="454" spans="1:7" ht="15">
      <c r="A454" s="46">
        <v>7</v>
      </c>
      <c r="B454" s="47" t="s">
        <v>478</v>
      </c>
      <c r="C454" s="41" t="s">
        <v>36</v>
      </c>
      <c r="D454" s="44">
        <v>30</v>
      </c>
      <c r="E454" s="102">
        <v>20</v>
      </c>
      <c r="F454" s="146">
        <f t="shared" si="7"/>
        <v>10</v>
      </c>
      <c r="G454" s="147" t="s">
        <v>815</v>
      </c>
    </row>
    <row r="455" spans="1:7" ht="15">
      <c r="A455" s="46">
        <v>7</v>
      </c>
      <c r="B455" s="47" t="s">
        <v>478</v>
      </c>
      <c r="C455" s="41" t="s">
        <v>479</v>
      </c>
      <c r="D455" s="44">
        <v>30</v>
      </c>
      <c r="E455" s="102">
        <v>20</v>
      </c>
      <c r="F455" s="146">
        <f t="shared" si="7"/>
        <v>10</v>
      </c>
      <c r="G455" s="147" t="s">
        <v>815</v>
      </c>
    </row>
    <row r="456" spans="1:7" ht="15">
      <c r="A456" s="46">
        <v>7</v>
      </c>
      <c r="B456" s="47" t="s">
        <v>357</v>
      </c>
      <c r="C456" s="41" t="s">
        <v>482</v>
      </c>
      <c r="D456" s="44">
        <v>80</v>
      </c>
      <c r="E456" s="102">
        <v>45</v>
      </c>
      <c r="F456" s="146">
        <f t="shared" si="7"/>
        <v>35</v>
      </c>
      <c r="G456" s="147" t="s">
        <v>815</v>
      </c>
    </row>
    <row r="457" spans="1:7" ht="15">
      <c r="A457" s="46">
        <v>7</v>
      </c>
      <c r="B457" s="47" t="s">
        <v>529</v>
      </c>
      <c r="C457" s="41" t="s">
        <v>485</v>
      </c>
      <c r="D457" s="44">
        <v>50</v>
      </c>
      <c r="E457" s="102">
        <v>24</v>
      </c>
      <c r="F457" s="146">
        <f t="shared" si="7"/>
        <v>26</v>
      </c>
      <c r="G457" s="147" t="s">
        <v>815</v>
      </c>
    </row>
    <row r="458" spans="1:7" ht="15">
      <c r="A458" s="46">
        <v>7</v>
      </c>
      <c r="B458" s="47" t="s">
        <v>529</v>
      </c>
      <c r="C458" s="41" t="s">
        <v>485</v>
      </c>
      <c r="D458" s="44">
        <v>50</v>
      </c>
      <c r="E458" s="102">
        <v>24</v>
      </c>
      <c r="F458" s="146">
        <f t="shared" si="7"/>
        <v>26</v>
      </c>
      <c r="G458" s="147" t="s">
        <v>815</v>
      </c>
    </row>
    <row r="459" spans="1:7" ht="15">
      <c r="A459" s="46">
        <v>7</v>
      </c>
      <c r="B459" s="47" t="s">
        <v>520</v>
      </c>
      <c r="C459" s="41"/>
      <c r="D459" s="44">
        <v>50</v>
      </c>
      <c r="E459" s="102">
        <v>30</v>
      </c>
      <c r="F459" s="146">
        <f t="shared" si="7"/>
        <v>20</v>
      </c>
      <c r="G459" s="147" t="s">
        <v>815</v>
      </c>
    </row>
    <row r="460" spans="1:7" ht="15">
      <c r="A460" s="46">
        <v>7</v>
      </c>
      <c r="B460" s="47" t="s">
        <v>168</v>
      </c>
      <c r="C460" s="41" t="s">
        <v>492</v>
      </c>
      <c r="D460" s="44">
        <v>50</v>
      </c>
      <c r="E460" s="102">
        <v>20</v>
      </c>
      <c r="F460" s="146">
        <f t="shared" si="7"/>
        <v>30</v>
      </c>
      <c r="G460" s="147" t="s">
        <v>815</v>
      </c>
    </row>
    <row r="461" spans="1:7" ht="15">
      <c r="A461" s="46">
        <v>7</v>
      </c>
      <c r="B461" s="47" t="s">
        <v>321</v>
      </c>
      <c r="C461" s="41"/>
      <c r="D461" s="44">
        <v>20</v>
      </c>
      <c r="E461" s="102">
        <v>5</v>
      </c>
      <c r="F461" s="146">
        <f t="shared" si="7"/>
        <v>15</v>
      </c>
      <c r="G461" s="147" t="s">
        <v>815</v>
      </c>
    </row>
    <row r="462" spans="1:7" ht="15">
      <c r="A462" s="46">
        <v>7</v>
      </c>
      <c r="B462" s="47" t="s">
        <v>321</v>
      </c>
      <c r="C462" s="41" t="s">
        <v>491</v>
      </c>
      <c r="D462" s="44">
        <v>15</v>
      </c>
      <c r="E462" s="102">
        <v>5</v>
      </c>
      <c r="F462" s="146">
        <f t="shared" si="7"/>
        <v>10</v>
      </c>
      <c r="G462" s="147" t="s">
        <v>815</v>
      </c>
    </row>
    <row r="463" spans="1:7" ht="15">
      <c r="A463" s="46">
        <v>7</v>
      </c>
      <c r="B463" s="47" t="s">
        <v>478</v>
      </c>
      <c r="C463" s="41" t="s">
        <v>489</v>
      </c>
      <c r="D463" s="44">
        <v>30</v>
      </c>
      <c r="E463" s="102">
        <v>20</v>
      </c>
      <c r="F463" s="146">
        <f t="shared" si="7"/>
        <v>10</v>
      </c>
      <c r="G463" s="147" t="s">
        <v>815</v>
      </c>
    </row>
    <row r="464" spans="1:7" ht="15">
      <c r="A464" s="46">
        <v>7</v>
      </c>
      <c r="B464" s="47" t="s">
        <v>484</v>
      </c>
      <c r="C464" s="41"/>
      <c r="D464" s="44">
        <v>250</v>
      </c>
      <c r="E464" s="102">
        <v>145</v>
      </c>
      <c r="F464" s="146">
        <f t="shared" si="7"/>
        <v>105</v>
      </c>
      <c r="G464" s="147" t="s">
        <v>815</v>
      </c>
    </row>
    <row r="465" spans="1:7" ht="15">
      <c r="A465" s="46">
        <v>7</v>
      </c>
      <c r="B465" s="47" t="s">
        <v>483</v>
      </c>
      <c r="C465" s="41" t="s">
        <v>486</v>
      </c>
      <c r="D465" s="44">
        <v>15</v>
      </c>
      <c r="E465" s="102">
        <v>8.5</v>
      </c>
      <c r="F465" s="146">
        <f t="shared" si="7"/>
        <v>6.5</v>
      </c>
      <c r="G465" s="147" t="s">
        <v>815</v>
      </c>
    </row>
    <row r="466" spans="1:7" ht="15">
      <c r="A466" s="46">
        <v>7</v>
      </c>
      <c r="B466" s="47" t="s">
        <v>182</v>
      </c>
      <c r="C466" s="41" t="s">
        <v>486</v>
      </c>
      <c r="D466" s="44">
        <v>40</v>
      </c>
      <c r="E466" s="102">
        <v>22</v>
      </c>
      <c r="F466" s="146">
        <f t="shared" si="7"/>
        <v>18</v>
      </c>
      <c r="G466" s="147" t="s">
        <v>815</v>
      </c>
    </row>
    <row r="467" spans="1:7" ht="15">
      <c r="A467" s="46">
        <v>7</v>
      </c>
      <c r="B467" s="47" t="s">
        <v>367</v>
      </c>
      <c r="C467" s="41" t="s">
        <v>487</v>
      </c>
      <c r="D467" s="44">
        <v>25</v>
      </c>
      <c r="E467" s="102">
        <v>8.5</v>
      </c>
      <c r="F467" s="146">
        <f t="shared" si="7"/>
        <v>16.5</v>
      </c>
      <c r="G467" s="147" t="s">
        <v>815</v>
      </c>
    </row>
    <row r="468" spans="1:7" ht="15">
      <c r="A468" s="46">
        <v>7</v>
      </c>
      <c r="B468" s="47" t="s">
        <v>488</v>
      </c>
      <c r="C468" s="41"/>
      <c r="D468" s="44">
        <v>30</v>
      </c>
      <c r="E468" s="102">
        <v>18</v>
      </c>
      <c r="F468" s="146">
        <f t="shared" si="7"/>
        <v>12</v>
      </c>
      <c r="G468" s="147" t="s">
        <v>815</v>
      </c>
    </row>
    <row r="469" spans="1:7" ht="15">
      <c r="A469" s="46">
        <v>8</v>
      </c>
      <c r="B469" s="19" t="s">
        <v>522</v>
      </c>
      <c r="C469" s="92"/>
      <c r="D469" s="21">
        <v>5</v>
      </c>
      <c r="E469" s="94">
        <v>3.5</v>
      </c>
      <c r="F469" s="146">
        <f t="shared" si="7"/>
        <v>1.5</v>
      </c>
      <c r="G469" s="147" t="s">
        <v>815</v>
      </c>
    </row>
    <row r="470" spans="1:7" ht="15">
      <c r="A470" s="46">
        <v>8</v>
      </c>
      <c r="B470" s="19" t="s">
        <v>99</v>
      </c>
      <c r="C470" s="92"/>
      <c r="D470" s="21">
        <v>50</v>
      </c>
      <c r="E470" s="94">
        <v>35</v>
      </c>
      <c r="F470" s="146">
        <f t="shared" si="7"/>
        <v>15</v>
      </c>
      <c r="G470" s="147" t="s">
        <v>815</v>
      </c>
    </row>
    <row r="471" spans="1:7" ht="15">
      <c r="A471" s="46">
        <v>8</v>
      </c>
      <c r="B471" s="47" t="s">
        <v>261</v>
      </c>
      <c r="C471" s="41" t="s">
        <v>509</v>
      </c>
      <c r="D471" s="44">
        <v>47.5</v>
      </c>
      <c r="E471" s="102">
        <v>25</v>
      </c>
      <c r="F471" s="146">
        <f t="shared" si="7"/>
        <v>22.5</v>
      </c>
      <c r="G471" s="147" t="s">
        <v>815</v>
      </c>
    </row>
    <row r="472" spans="1:7" ht="15">
      <c r="A472" s="46">
        <v>8</v>
      </c>
      <c r="B472" s="19" t="s">
        <v>811</v>
      </c>
      <c r="C472" s="41" t="s">
        <v>490</v>
      </c>
      <c r="D472" s="21">
        <v>22</v>
      </c>
      <c r="E472" s="94">
        <v>18</v>
      </c>
      <c r="F472" s="146">
        <f t="shared" si="7"/>
        <v>4</v>
      </c>
      <c r="G472" s="147" t="s">
        <v>815</v>
      </c>
    </row>
    <row r="473" spans="1:7" ht="15">
      <c r="A473" s="46">
        <v>8</v>
      </c>
      <c r="B473" s="47" t="s">
        <v>387</v>
      </c>
      <c r="C473" s="41" t="s">
        <v>514</v>
      </c>
      <c r="D473" s="44">
        <v>70</v>
      </c>
      <c r="E473" s="102">
        <v>45</v>
      </c>
      <c r="F473" s="146">
        <f t="shared" si="7"/>
        <v>25</v>
      </c>
      <c r="G473" s="147" t="s">
        <v>815</v>
      </c>
    </row>
    <row r="474" spans="1:7" ht="15">
      <c r="A474" s="46">
        <v>8</v>
      </c>
      <c r="B474" s="47" t="s">
        <v>478</v>
      </c>
      <c r="C474" s="92"/>
      <c r="D474" s="21">
        <v>30</v>
      </c>
      <c r="E474" s="94">
        <v>20</v>
      </c>
      <c r="F474" s="146">
        <f t="shared" si="7"/>
        <v>10</v>
      </c>
      <c r="G474" s="147" t="s">
        <v>815</v>
      </c>
    </row>
    <row r="475" spans="1:7" ht="15">
      <c r="A475" s="46">
        <v>8</v>
      </c>
      <c r="B475" s="19" t="s">
        <v>518</v>
      </c>
      <c r="C475" s="92"/>
      <c r="D475" s="21">
        <v>30</v>
      </c>
      <c r="E475" s="94">
        <v>15</v>
      </c>
      <c r="F475" s="146">
        <f t="shared" si="7"/>
        <v>15</v>
      </c>
      <c r="G475" s="147" t="s">
        <v>815</v>
      </c>
    </row>
    <row r="476" spans="1:7" ht="15">
      <c r="A476" s="46">
        <v>8</v>
      </c>
      <c r="B476" s="19" t="s">
        <v>515</v>
      </c>
      <c r="C476" s="107" t="s">
        <v>75</v>
      </c>
      <c r="D476" s="21">
        <v>40</v>
      </c>
      <c r="E476" s="94">
        <v>26</v>
      </c>
      <c r="F476" s="146">
        <f t="shared" si="7"/>
        <v>14</v>
      </c>
      <c r="G476" s="147" t="s">
        <v>815</v>
      </c>
    </row>
    <row r="477" spans="1:7" ht="15">
      <c r="A477" s="46">
        <v>8</v>
      </c>
      <c r="B477" s="19" t="s">
        <v>516</v>
      </c>
      <c r="C477" s="92" t="s">
        <v>69</v>
      </c>
      <c r="D477" s="21">
        <v>160</v>
      </c>
      <c r="E477" s="94">
        <v>65</v>
      </c>
      <c r="F477" s="146">
        <f t="shared" si="7"/>
        <v>95</v>
      </c>
      <c r="G477" s="147" t="s">
        <v>815</v>
      </c>
    </row>
    <row r="478" spans="1:7" ht="15">
      <c r="A478" s="46">
        <v>8</v>
      </c>
      <c r="B478" s="19" t="s">
        <v>308</v>
      </c>
      <c r="C478" s="92" t="s">
        <v>519</v>
      </c>
      <c r="D478" s="21">
        <v>20</v>
      </c>
      <c r="E478" s="94">
        <v>12.5</v>
      </c>
      <c r="F478" s="146">
        <f t="shared" si="7"/>
        <v>7.5</v>
      </c>
      <c r="G478" s="147" t="s">
        <v>815</v>
      </c>
    </row>
    <row r="479" spans="1:7" ht="15">
      <c r="A479" s="46">
        <v>8</v>
      </c>
      <c r="B479" s="47" t="s">
        <v>387</v>
      </c>
      <c r="C479" s="92" t="s">
        <v>517</v>
      </c>
      <c r="D479" s="44">
        <v>70</v>
      </c>
      <c r="E479" s="102">
        <v>45</v>
      </c>
      <c r="F479" s="146">
        <f t="shared" si="7"/>
        <v>25</v>
      </c>
      <c r="G479" s="147" t="s">
        <v>815</v>
      </c>
    </row>
    <row r="480" spans="1:7" ht="15">
      <c r="A480" s="46">
        <v>8</v>
      </c>
      <c r="B480" s="47" t="s">
        <v>512</v>
      </c>
      <c r="C480" s="92" t="s">
        <v>517</v>
      </c>
      <c r="D480" s="21">
        <v>74</v>
      </c>
      <c r="E480" s="94">
        <v>45</v>
      </c>
      <c r="F480" s="146">
        <f t="shared" si="7"/>
        <v>29</v>
      </c>
      <c r="G480" s="147" t="s">
        <v>815</v>
      </c>
    </row>
    <row r="481" spans="1:7" ht="15">
      <c r="A481" s="46">
        <v>8</v>
      </c>
      <c r="B481" s="47" t="s">
        <v>478</v>
      </c>
      <c r="C481" s="92"/>
      <c r="D481" s="21">
        <v>30</v>
      </c>
      <c r="E481" s="94">
        <v>20</v>
      </c>
      <c r="F481" s="146">
        <f t="shared" si="7"/>
        <v>10</v>
      </c>
      <c r="G481" s="147" t="s">
        <v>815</v>
      </c>
    </row>
    <row r="482" spans="1:7" ht="15">
      <c r="A482" s="46">
        <v>8</v>
      </c>
      <c r="B482" s="47" t="s">
        <v>366</v>
      </c>
      <c r="C482" s="41" t="s">
        <v>519</v>
      </c>
      <c r="D482" s="44">
        <v>7.5</v>
      </c>
      <c r="E482" s="102">
        <v>5.5</v>
      </c>
      <c r="F482" s="146">
        <f t="shared" si="7"/>
        <v>2</v>
      </c>
      <c r="G482" s="147" t="s">
        <v>815</v>
      </c>
    </row>
    <row r="483" spans="1:7" ht="15">
      <c r="A483" s="46">
        <v>8</v>
      </c>
      <c r="B483" s="47" t="s">
        <v>182</v>
      </c>
      <c r="C483" s="41" t="s">
        <v>525</v>
      </c>
      <c r="D483" s="44">
        <v>45</v>
      </c>
      <c r="E483" s="102">
        <v>22</v>
      </c>
      <c r="F483" s="146">
        <f t="shared" si="7"/>
        <v>23</v>
      </c>
      <c r="G483" s="147" t="s">
        <v>815</v>
      </c>
    </row>
    <row r="484" spans="1:7" ht="15">
      <c r="A484" s="46">
        <v>8</v>
      </c>
      <c r="B484" s="19" t="s">
        <v>523</v>
      </c>
      <c r="C484" s="92" t="s">
        <v>528</v>
      </c>
      <c r="D484" s="21">
        <v>85</v>
      </c>
      <c r="E484" s="94">
        <v>55</v>
      </c>
      <c r="F484" s="146">
        <f t="shared" si="7"/>
        <v>30</v>
      </c>
      <c r="G484" s="147" t="s">
        <v>815</v>
      </c>
    </row>
    <row r="485" spans="1:7" ht="15">
      <c r="A485" s="46">
        <v>8</v>
      </c>
      <c r="B485" s="93" t="s">
        <v>330</v>
      </c>
      <c r="C485" s="100" t="s">
        <v>526</v>
      </c>
      <c r="D485" s="44">
        <v>30</v>
      </c>
      <c r="E485" s="99">
        <v>9.5</v>
      </c>
      <c r="F485" s="146">
        <f t="shared" si="7"/>
        <v>20.5</v>
      </c>
      <c r="G485" s="147" t="s">
        <v>815</v>
      </c>
    </row>
    <row r="486" spans="1:7" ht="15">
      <c r="A486" s="46">
        <v>8</v>
      </c>
      <c r="B486" s="47" t="s">
        <v>476</v>
      </c>
      <c r="C486" s="41" t="s">
        <v>527</v>
      </c>
      <c r="D486" s="44">
        <v>20</v>
      </c>
      <c r="E486" s="102">
        <v>9.99</v>
      </c>
      <c r="F486" s="146">
        <f t="shared" si="7"/>
        <v>10.01</v>
      </c>
      <c r="G486" s="147" t="s">
        <v>815</v>
      </c>
    </row>
    <row r="487" spans="1:7" ht="15">
      <c r="A487" s="46">
        <v>8</v>
      </c>
      <c r="B487" s="19" t="s">
        <v>530</v>
      </c>
      <c r="C487" s="92"/>
      <c r="D487" s="21">
        <v>15</v>
      </c>
      <c r="E487" s="94">
        <v>8.5</v>
      </c>
      <c r="F487" s="146">
        <f t="shared" si="7"/>
        <v>6.5</v>
      </c>
      <c r="G487" s="147" t="s">
        <v>815</v>
      </c>
    </row>
    <row r="488" spans="1:7" ht="15">
      <c r="A488" s="46">
        <v>8</v>
      </c>
      <c r="B488" s="19" t="s">
        <v>524</v>
      </c>
      <c r="C488" s="41" t="s">
        <v>527</v>
      </c>
      <c r="D488" s="21">
        <v>50</v>
      </c>
      <c r="E488" s="94">
        <v>25</v>
      </c>
      <c r="F488" s="146">
        <f t="shared" si="7"/>
        <v>25</v>
      </c>
      <c r="G488" s="147" t="s">
        <v>815</v>
      </c>
    </row>
    <row r="489" spans="1:7" ht="15">
      <c r="A489" s="46">
        <v>8</v>
      </c>
      <c r="B489" s="19" t="s">
        <v>608</v>
      </c>
      <c r="C489" s="41" t="s">
        <v>519</v>
      </c>
      <c r="D489" s="21">
        <v>35</v>
      </c>
      <c r="E489" s="94">
        <v>25</v>
      </c>
      <c r="F489" s="146">
        <f t="shared" si="7"/>
        <v>10</v>
      </c>
      <c r="G489" s="147" t="s">
        <v>815</v>
      </c>
    </row>
    <row r="490" spans="1:7" ht="15">
      <c r="A490" s="46">
        <v>8</v>
      </c>
      <c r="B490" s="19" t="s">
        <v>608</v>
      </c>
      <c r="C490" s="41" t="s">
        <v>519</v>
      </c>
      <c r="D490" s="21">
        <v>35</v>
      </c>
      <c r="E490" s="94">
        <v>25</v>
      </c>
      <c r="F490" s="146">
        <f t="shared" si="7"/>
        <v>10</v>
      </c>
      <c r="G490" s="147" t="s">
        <v>815</v>
      </c>
    </row>
    <row r="491" spans="1:7" ht="15">
      <c r="A491" s="46">
        <v>8</v>
      </c>
      <c r="B491" s="19" t="s">
        <v>522</v>
      </c>
      <c r="C491" s="92" t="s">
        <v>539</v>
      </c>
      <c r="D491" s="21">
        <v>10</v>
      </c>
      <c r="E491" s="94">
        <v>2.8</v>
      </c>
      <c r="F491" s="146">
        <f t="shared" si="7"/>
        <v>7.2</v>
      </c>
      <c r="G491" s="147" t="s">
        <v>815</v>
      </c>
    </row>
    <row r="492" spans="1:7" ht="15">
      <c r="A492" s="46">
        <v>8</v>
      </c>
      <c r="B492" s="19" t="s">
        <v>308</v>
      </c>
      <c r="C492" s="92" t="s">
        <v>519</v>
      </c>
      <c r="D492" s="21">
        <v>35</v>
      </c>
      <c r="E492" s="94">
        <v>12.5</v>
      </c>
      <c r="F492" s="146">
        <f t="shared" si="7"/>
        <v>22.5</v>
      </c>
      <c r="G492" s="147" t="s">
        <v>815</v>
      </c>
    </row>
    <row r="493" spans="1:7" ht="15">
      <c r="A493" s="46">
        <v>8</v>
      </c>
      <c r="B493" s="47" t="s">
        <v>182</v>
      </c>
      <c r="C493" s="41" t="s">
        <v>532</v>
      </c>
      <c r="D493" s="44">
        <v>55</v>
      </c>
      <c r="E493" s="102">
        <v>22</v>
      </c>
      <c r="F493" s="146">
        <f t="shared" si="7"/>
        <v>33</v>
      </c>
      <c r="G493" s="147" t="s">
        <v>815</v>
      </c>
    </row>
    <row r="494" spans="1:7" ht="15">
      <c r="A494" s="46">
        <v>8</v>
      </c>
      <c r="B494" s="85" t="s">
        <v>512</v>
      </c>
      <c r="C494" s="92" t="s">
        <v>531</v>
      </c>
      <c r="D494" s="21">
        <v>80</v>
      </c>
      <c r="E494" s="94">
        <v>45</v>
      </c>
      <c r="F494" s="146">
        <f t="shared" si="7"/>
        <v>35</v>
      </c>
      <c r="G494" s="147" t="s">
        <v>815</v>
      </c>
    </row>
    <row r="495" spans="1:7" ht="15">
      <c r="A495" s="46">
        <v>8</v>
      </c>
      <c r="B495" s="47" t="s">
        <v>182</v>
      </c>
      <c r="C495" s="41" t="s">
        <v>525</v>
      </c>
      <c r="D495" s="44">
        <v>47.5</v>
      </c>
      <c r="E495" s="102">
        <v>22</v>
      </c>
      <c r="F495" s="146">
        <f t="shared" si="7"/>
        <v>25.5</v>
      </c>
      <c r="G495" s="147" t="s">
        <v>815</v>
      </c>
    </row>
    <row r="496" spans="1:7" ht="15">
      <c r="A496" s="46">
        <v>8</v>
      </c>
      <c r="B496" s="47" t="s">
        <v>182</v>
      </c>
      <c r="C496" s="41" t="s">
        <v>525</v>
      </c>
      <c r="D496" s="44">
        <v>50</v>
      </c>
      <c r="E496" s="102">
        <v>22</v>
      </c>
      <c r="F496" s="146">
        <f t="shared" si="7"/>
        <v>28</v>
      </c>
      <c r="G496" s="147" t="s">
        <v>815</v>
      </c>
    </row>
    <row r="497" spans="1:7" ht="15">
      <c r="A497" s="46">
        <v>8</v>
      </c>
      <c r="B497" s="47" t="s">
        <v>182</v>
      </c>
      <c r="C497" s="41" t="s">
        <v>525</v>
      </c>
      <c r="D497" s="44">
        <v>45</v>
      </c>
      <c r="E497" s="102">
        <v>22</v>
      </c>
      <c r="F497" s="146">
        <f t="shared" si="7"/>
        <v>23</v>
      </c>
      <c r="G497" s="147" t="s">
        <v>815</v>
      </c>
    </row>
    <row r="498" spans="1:7" ht="15">
      <c r="A498" s="46">
        <v>8</v>
      </c>
      <c r="B498" s="47" t="s">
        <v>478</v>
      </c>
      <c r="C498" s="92" t="s">
        <v>540</v>
      </c>
      <c r="D498" s="21">
        <v>35</v>
      </c>
      <c r="E498" s="94">
        <v>20</v>
      </c>
      <c r="F498" s="146">
        <f t="shared" si="7"/>
        <v>15</v>
      </c>
      <c r="G498" s="147" t="s">
        <v>815</v>
      </c>
    </row>
    <row r="499" spans="1:7" ht="15">
      <c r="A499" s="46">
        <v>8</v>
      </c>
      <c r="B499" s="19" t="s">
        <v>608</v>
      </c>
      <c r="C499" s="41" t="s">
        <v>519</v>
      </c>
      <c r="D499" s="21">
        <v>35</v>
      </c>
      <c r="E499" s="94">
        <v>25</v>
      </c>
      <c r="F499" s="146">
        <f t="shared" si="7"/>
        <v>10</v>
      </c>
      <c r="G499" s="147" t="s">
        <v>815</v>
      </c>
    </row>
    <row r="500" spans="1:7" ht="15">
      <c r="A500" s="46">
        <v>8</v>
      </c>
      <c r="B500" s="19" t="s">
        <v>608</v>
      </c>
      <c r="C500" s="41" t="s">
        <v>519</v>
      </c>
      <c r="D500" s="21">
        <v>35</v>
      </c>
      <c r="E500" s="94">
        <v>25</v>
      </c>
      <c r="F500" s="146">
        <f t="shared" si="7"/>
        <v>10</v>
      </c>
      <c r="G500" s="147" t="s">
        <v>815</v>
      </c>
    </row>
    <row r="501" spans="1:7" ht="15">
      <c r="A501" s="46">
        <v>8</v>
      </c>
      <c r="B501" s="19" t="s">
        <v>541</v>
      </c>
      <c r="C501" s="92" t="s">
        <v>183</v>
      </c>
      <c r="D501" s="21">
        <v>25</v>
      </c>
      <c r="E501" s="94">
        <v>15</v>
      </c>
      <c r="F501" s="146">
        <f t="shared" si="7"/>
        <v>10</v>
      </c>
      <c r="G501" s="147" t="s">
        <v>815</v>
      </c>
    </row>
    <row r="502" spans="1:7" ht="15">
      <c r="A502" s="46">
        <v>8</v>
      </c>
      <c r="B502" s="47" t="s">
        <v>182</v>
      </c>
      <c r="C502" s="41"/>
      <c r="D502" s="44">
        <v>45</v>
      </c>
      <c r="E502" s="102">
        <v>22</v>
      </c>
      <c r="F502" s="146">
        <f t="shared" si="7"/>
        <v>23</v>
      </c>
      <c r="G502" s="147" t="s">
        <v>815</v>
      </c>
    </row>
    <row r="503" spans="1:7" ht="15">
      <c r="A503" s="46">
        <v>8</v>
      </c>
      <c r="B503" s="47" t="s">
        <v>182</v>
      </c>
      <c r="C503" s="41"/>
      <c r="D503" s="44">
        <v>45</v>
      </c>
      <c r="E503" s="102">
        <v>22</v>
      </c>
      <c r="F503" s="146">
        <f t="shared" si="7"/>
        <v>23</v>
      </c>
      <c r="G503" s="147" t="s">
        <v>815</v>
      </c>
    </row>
    <row r="504" spans="1:7" ht="15">
      <c r="A504" s="46">
        <v>8</v>
      </c>
      <c r="B504" s="19" t="s">
        <v>261</v>
      </c>
      <c r="C504" s="92"/>
      <c r="D504" s="21">
        <v>55</v>
      </c>
      <c r="E504" s="94">
        <v>25</v>
      </c>
      <c r="F504" s="146">
        <f t="shared" si="7"/>
        <v>30</v>
      </c>
      <c r="G504" s="147" t="s">
        <v>815</v>
      </c>
    </row>
    <row r="505" spans="1:7" ht="15">
      <c r="A505" s="46">
        <v>8</v>
      </c>
      <c r="B505" s="19" t="s">
        <v>261</v>
      </c>
      <c r="C505" s="92"/>
      <c r="D505" s="21">
        <v>55</v>
      </c>
      <c r="E505" s="94">
        <v>25</v>
      </c>
      <c r="F505" s="146">
        <f t="shared" si="7"/>
        <v>30</v>
      </c>
      <c r="G505" s="147" t="s">
        <v>815</v>
      </c>
    </row>
    <row r="506" spans="1:7" ht="15">
      <c r="A506" s="46">
        <v>8</v>
      </c>
      <c r="B506" s="47" t="s">
        <v>363</v>
      </c>
      <c r="C506" s="41" t="s">
        <v>543</v>
      </c>
      <c r="D506" s="44">
        <v>10</v>
      </c>
      <c r="E506" s="102">
        <v>5</v>
      </c>
      <c r="F506" s="146">
        <f t="shared" si="7"/>
        <v>5</v>
      </c>
      <c r="G506" s="147" t="s">
        <v>815</v>
      </c>
    </row>
    <row r="507" spans="1:7" ht="15">
      <c r="A507" s="46">
        <v>8</v>
      </c>
      <c r="B507" s="19" t="s">
        <v>405</v>
      </c>
      <c r="C507" s="92" t="s">
        <v>543</v>
      </c>
      <c r="D507" s="21">
        <v>40</v>
      </c>
      <c r="E507" s="94">
        <v>22</v>
      </c>
      <c r="F507" s="146">
        <f t="shared" si="7"/>
        <v>18</v>
      </c>
      <c r="G507" s="147" t="s">
        <v>815</v>
      </c>
    </row>
    <row r="508" spans="1:7" ht="15">
      <c r="A508" s="46">
        <v>8</v>
      </c>
      <c r="B508" s="85" t="s">
        <v>387</v>
      </c>
      <c r="C508" s="41" t="s">
        <v>531</v>
      </c>
      <c r="D508" s="21">
        <v>80</v>
      </c>
      <c r="E508" s="94">
        <v>45</v>
      </c>
      <c r="F508" s="146">
        <f t="shared" si="7"/>
        <v>35</v>
      </c>
      <c r="G508" s="147" t="s">
        <v>815</v>
      </c>
    </row>
    <row r="509" spans="1:7" ht="15">
      <c r="A509" s="46">
        <v>8</v>
      </c>
      <c r="B509" s="85" t="s">
        <v>387</v>
      </c>
      <c r="C509" s="41" t="s">
        <v>531</v>
      </c>
      <c r="D509" s="21">
        <v>80</v>
      </c>
      <c r="E509" s="94">
        <v>45</v>
      </c>
      <c r="F509" s="146">
        <f t="shared" si="7"/>
        <v>35</v>
      </c>
      <c r="G509" s="147" t="s">
        <v>815</v>
      </c>
    </row>
    <row r="510" spans="1:7" ht="15">
      <c r="A510" s="46">
        <v>8</v>
      </c>
      <c r="B510" s="47" t="s">
        <v>266</v>
      </c>
      <c r="C510" s="41"/>
      <c r="D510" s="44">
        <v>30</v>
      </c>
      <c r="E510" s="102">
        <v>18</v>
      </c>
      <c r="F510" s="146">
        <f t="shared" si="7"/>
        <v>12</v>
      </c>
      <c r="G510" s="147" t="s">
        <v>815</v>
      </c>
    </row>
    <row r="511" spans="1:7" ht="15">
      <c r="A511" s="46">
        <v>8</v>
      </c>
      <c r="B511" s="47" t="s">
        <v>478</v>
      </c>
      <c r="C511" s="92" t="s">
        <v>542</v>
      </c>
      <c r="D511" s="21">
        <v>30</v>
      </c>
      <c r="E511" s="94">
        <v>20</v>
      </c>
      <c r="F511" s="146">
        <f t="shared" si="7"/>
        <v>10</v>
      </c>
      <c r="G511" s="147" t="s">
        <v>815</v>
      </c>
    </row>
    <row r="512" spans="1:7" ht="15">
      <c r="A512" s="46">
        <v>8</v>
      </c>
      <c r="B512" s="19" t="s">
        <v>516</v>
      </c>
      <c r="C512" s="92"/>
      <c r="D512" s="21">
        <v>150</v>
      </c>
      <c r="E512" s="94">
        <v>63</v>
      </c>
      <c r="F512" s="146">
        <f t="shared" si="7"/>
        <v>87</v>
      </c>
      <c r="G512" s="147" t="s">
        <v>815</v>
      </c>
    </row>
    <row r="513" spans="1:7" ht="15">
      <c r="A513" s="46">
        <v>8</v>
      </c>
      <c r="B513" s="19" t="s">
        <v>352</v>
      </c>
      <c r="C513" s="92" t="s">
        <v>384</v>
      </c>
      <c r="D513" s="21">
        <v>20</v>
      </c>
      <c r="E513" s="94">
        <v>10</v>
      </c>
      <c r="F513" s="146">
        <f t="shared" si="7"/>
        <v>10</v>
      </c>
      <c r="G513" s="147" t="s">
        <v>815</v>
      </c>
    </row>
    <row r="514" spans="1:7" ht="15">
      <c r="A514" s="46">
        <v>8</v>
      </c>
      <c r="B514" s="47" t="s">
        <v>367</v>
      </c>
      <c r="C514" s="41"/>
      <c r="D514" s="44">
        <v>25</v>
      </c>
      <c r="E514" s="102">
        <v>8.5</v>
      </c>
      <c r="F514" s="146">
        <f t="shared" ref="F514:F577" si="8">D514-E514</f>
        <v>16.5</v>
      </c>
      <c r="G514" s="147" t="s">
        <v>815</v>
      </c>
    </row>
    <row r="515" spans="1:7" ht="15">
      <c r="A515" s="46">
        <v>8</v>
      </c>
      <c r="B515" s="47" t="s">
        <v>367</v>
      </c>
      <c r="C515" s="41" t="s">
        <v>384</v>
      </c>
      <c r="D515" s="44">
        <v>20</v>
      </c>
      <c r="E515" s="102">
        <v>8.5</v>
      </c>
      <c r="F515" s="146">
        <f t="shared" si="8"/>
        <v>11.5</v>
      </c>
      <c r="G515" s="147" t="s">
        <v>815</v>
      </c>
    </row>
    <row r="516" spans="1:7" ht="15">
      <c r="A516" s="46">
        <v>8</v>
      </c>
      <c r="B516" s="47" t="s">
        <v>367</v>
      </c>
      <c r="C516" s="41" t="s">
        <v>384</v>
      </c>
      <c r="D516" s="44">
        <v>20</v>
      </c>
      <c r="E516" s="102">
        <v>8.5</v>
      </c>
      <c r="F516" s="146">
        <f t="shared" si="8"/>
        <v>11.5</v>
      </c>
      <c r="G516" s="147" t="s">
        <v>815</v>
      </c>
    </row>
    <row r="517" spans="1:7" ht="15">
      <c r="A517" s="46">
        <v>8</v>
      </c>
      <c r="B517" s="19" t="s">
        <v>764</v>
      </c>
      <c r="C517" s="92"/>
      <c r="D517" s="21">
        <v>34</v>
      </c>
      <c r="E517" s="94">
        <v>18.5</v>
      </c>
      <c r="F517" s="146">
        <f t="shared" si="8"/>
        <v>15.5</v>
      </c>
      <c r="G517" s="147" t="s">
        <v>815</v>
      </c>
    </row>
    <row r="518" spans="1:7" ht="15">
      <c r="A518" s="46">
        <v>8</v>
      </c>
      <c r="B518" s="85" t="s">
        <v>512</v>
      </c>
      <c r="C518" s="92" t="s">
        <v>545</v>
      </c>
      <c r="D518" s="21">
        <v>85</v>
      </c>
      <c r="E518" s="94">
        <v>45</v>
      </c>
      <c r="F518" s="146">
        <f t="shared" si="8"/>
        <v>40</v>
      </c>
      <c r="G518" s="147" t="s">
        <v>815</v>
      </c>
    </row>
    <row r="519" spans="1:7" ht="15">
      <c r="A519" s="46">
        <v>8</v>
      </c>
      <c r="B519" s="19" t="s">
        <v>608</v>
      </c>
      <c r="C519" s="92" t="s">
        <v>519</v>
      </c>
      <c r="D519" s="21">
        <v>35</v>
      </c>
      <c r="E519" s="94">
        <v>25</v>
      </c>
      <c r="F519" s="146">
        <f t="shared" si="8"/>
        <v>10</v>
      </c>
      <c r="G519" s="147" t="s">
        <v>815</v>
      </c>
    </row>
    <row r="520" spans="1:7" ht="15">
      <c r="A520" s="46">
        <v>8</v>
      </c>
      <c r="B520" s="19" t="s">
        <v>812</v>
      </c>
      <c r="C520" s="92"/>
      <c r="D520" s="21">
        <v>50</v>
      </c>
      <c r="E520" s="94">
        <v>25</v>
      </c>
      <c r="F520" s="146">
        <f t="shared" si="8"/>
        <v>25</v>
      </c>
      <c r="G520" s="147" t="s">
        <v>815</v>
      </c>
    </row>
    <row r="521" spans="1:7" ht="15">
      <c r="A521" s="46">
        <v>8</v>
      </c>
      <c r="B521" s="47" t="s">
        <v>275</v>
      </c>
      <c r="C521" s="41" t="s">
        <v>31</v>
      </c>
      <c r="D521" s="44">
        <v>50</v>
      </c>
      <c r="E521" s="98">
        <v>50</v>
      </c>
      <c r="F521" s="146">
        <f t="shared" si="8"/>
        <v>0</v>
      </c>
      <c r="G521" s="147" t="s">
        <v>815</v>
      </c>
    </row>
    <row r="522" spans="1:7" ht="15">
      <c r="A522" s="46">
        <v>8</v>
      </c>
      <c r="B522" s="85" t="s">
        <v>260</v>
      </c>
      <c r="C522" s="41" t="s">
        <v>31</v>
      </c>
      <c r="D522" s="44">
        <v>50</v>
      </c>
      <c r="E522" s="44">
        <v>25</v>
      </c>
      <c r="F522" s="146">
        <f t="shared" si="8"/>
        <v>25</v>
      </c>
      <c r="G522" s="147" t="s">
        <v>815</v>
      </c>
    </row>
    <row r="523" spans="1:7" ht="15">
      <c r="A523" s="46">
        <v>8</v>
      </c>
      <c r="B523" s="19" t="s">
        <v>522</v>
      </c>
      <c r="C523" s="92" t="s">
        <v>519</v>
      </c>
      <c r="D523" s="21">
        <v>5</v>
      </c>
      <c r="E523" s="94">
        <v>3.5</v>
      </c>
      <c r="F523" s="146">
        <f t="shared" si="8"/>
        <v>1.5</v>
      </c>
      <c r="G523" s="147" t="s">
        <v>815</v>
      </c>
    </row>
    <row r="524" spans="1:7" ht="15">
      <c r="A524" s="46">
        <v>8</v>
      </c>
      <c r="B524" s="47" t="s">
        <v>264</v>
      </c>
      <c r="C524" s="41"/>
      <c r="D524" s="44">
        <v>30</v>
      </c>
      <c r="E524" s="102">
        <v>16</v>
      </c>
      <c r="F524" s="146">
        <f t="shared" si="8"/>
        <v>14</v>
      </c>
      <c r="G524" s="147" t="s">
        <v>815</v>
      </c>
    </row>
    <row r="525" spans="1:7" ht="15">
      <c r="A525" s="46">
        <v>8</v>
      </c>
      <c r="B525" s="19" t="s">
        <v>547</v>
      </c>
      <c r="C525" s="92" t="s">
        <v>550</v>
      </c>
      <c r="D525" s="21">
        <v>1</v>
      </c>
      <c r="E525" s="94">
        <v>1</v>
      </c>
      <c r="F525" s="146">
        <f t="shared" si="8"/>
        <v>0</v>
      </c>
      <c r="G525" s="147" t="s">
        <v>815</v>
      </c>
    </row>
    <row r="526" spans="1:7" ht="15">
      <c r="A526" s="46">
        <v>8</v>
      </c>
      <c r="B526" s="19" t="s">
        <v>552</v>
      </c>
      <c r="C526" s="19" t="s">
        <v>550</v>
      </c>
      <c r="D526" s="21">
        <v>50</v>
      </c>
      <c r="E526" s="94">
        <v>18</v>
      </c>
      <c r="F526" s="146">
        <f t="shared" si="8"/>
        <v>32</v>
      </c>
      <c r="G526" s="147" t="s">
        <v>815</v>
      </c>
    </row>
    <row r="527" spans="1:7" ht="15">
      <c r="A527" s="46">
        <v>8</v>
      </c>
      <c r="B527" s="19" t="s">
        <v>551</v>
      </c>
      <c r="C527" s="19"/>
      <c r="D527" s="21">
        <v>30</v>
      </c>
      <c r="E527" s="94">
        <v>18</v>
      </c>
      <c r="F527" s="146">
        <f t="shared" si="8"/>
        <v>12</v>
      </c>
      <c r="G527" s="147" t="s">
        <v>815</v>
      </c>
    </row>
    <row r="528" spans="1:7" ht="15">
      <c r="A528" s="46">
        <v>8</v>
      </c>
      <c r="B528" s="19" t="s">
        <v>301</v>
      </c>
      <c r="C528" s="92" t="s">
        <v>519</v>
      </c>
      <c r="D528" s="21">
        <v>5</v>
      </c>
      <c r="E528" s="94">
        <v>3.5</v>
      </c>
      <c r="F528" s="146">
        <f t="shared" si="8"/>
        <v>1.5</v>
      </c>
      <c r="G528" s="147" t="s">
        <v>815</v>
      </c>
    </row>
    <row r="529" spans="1:7" ht="15">
      <c r="A529" s="46">
        <v>8</v>
      </c>
      <c r="B529" s="19" t="s">
        <v>301</v>
      </c>
      <c r="C529" s="92" t="s">
        <v>519</v>
      </c>
      <c r="D529" s="21">
        <v>5</v>
      </c>
      <c r="E529" s="94">
        <v>3.5</v>
      </c>
      <c r="F529" s="146">
        <f t="shared" si="8"/>
        <v>1.5</v>
      </c>
      <c r="G529" s="147" t="s">
        <v>815</v>
      </c>
    </row>
    <row r="530" spans="1:7" ht="15">
      <c r="A530" s="46">
        <v>8</v>
      </c>
      <c r="B530" s="19" t="s">
        <v>608</v>
      </c>
      <c r="C530" s="19"/>
      <c r="D530" s="21">
        <v>55</v>
      </c>
      <c r="E530" s="94">
        <v>25</v>
      </c>
      <c r="F530" s="146">
        <f t="shared" si="8"/>
        <v>30</v>
      </c>
      <c r="G530" s="147" t="s">
        <v>815</v>
      </c>
    </row>
    <row r="531" spans="1:7" ht="15">
      <c r="A531" s="46">
        <v>8</v>
      </c>
      <c r="B531" s="19" t="s">
        <v>568</v>
      </c>
      <c r="C531" s="92" t="s">
        <v>31</v>
      </c>
      <c r="D531" s="21">
        <v>60</v>
      </c>
      <c r="E531" s="94">
        <v>35</v>
      </c>
      <c r="F531" s="146">
        <f t="shared" si="8"/>
        <v>25</v>
      </c>
      <c r="G531" s="147" t="s">
        <v>815</v>
      </c>
    </row>
    <row r="532" spans="1:7" ht="15">
      <c r="A532" s="46">
        <v>8</v>
      </c>
      <c r="B532" s="19" t="s">
        <v>568</v>
      </c>
      <c r="C532" s="92" t="s">
        <v>31</v>
      </c>
      <c r="D532" s="21">
        <v>60</v>
      </c>
      <c r="E532" s="94">
        <v>38</v>
      </c>
      <c r="F532" s="146">
        <f t="shared" si="8"/>
        <v>22</v>
      </c>
      <c r="G532" s="147" t="s">
        <v>815</v>
      </c>
    </row>
    <row r="533" spans="1:7" ht="15">
      <c r="A533" s="46">
        <v>8</v>
      </c>
      <c r="B533" s="85" t="s">
        <v>569</v>
      </c>
      <c r="C533" s="19"/>
      <c r="D533" s="21">
        <v>55</v>
      </c>
      <c r="E533" s="94">
        <v>40</v>
      </c>
      <c r="F533" s="146">
        <f t="shared" si="8"/>
        <v>15</v>
      </c>
      <c r="G533" s="147" t="s">
        <v>815</v>
      </c>
    </row>
    <row r="534" spans="1:7" ht="15">
      <c r="A534" s="46">
        <v>8</v>
      </c>
      <c r="B534" s="19" t="s">
        <v>156</v>
      </c>
      <c r="C534" s="19"/>
      <c r="D534" s="21">
        <v>120</v>
      </c>
      <c r="E534" s="94">
        <v>90</v>
      </c>
      <c r="F534" s="146">
        <f t="shared" si="8"/>
        <v>30</v>
      </c>
      <c r="G534" s="147" t="s">
        <v>815</v>
      </c>
    </row>
    <row r="535" spans="1:7" ht="15">
      <c r="A535" s="46">
        <v>8</v>
      </c>
      <c r="B535" s="19" t="s">
        <v>555</v>
      </c>
      <c r="C535" s="92" t="s">
        <v>185</v>
      </c>
      <c r="D535" s="21">
        <v>10</v>
      </c>
      <c r="E535" s="94">
        <v>5</v>
      </c>
      <c r="F535" s="146">
        <f t="shared" si="8"/>
        <v>5</v>
      </c>
      <c r="G535" s="147" t="s">
        <v>815</v>
      </c>
    </row>
    <row r="536" spans="1:7" ht="15">
      <c r="A536" s="46">
        <v>8</v>
      </c>
      <c r="B536" s="19" t="s">
        <v>308</v>
      </c>
      <c r="C536" s="41"/>
      <c r="D536" s="21">
        <v>30</v>
      </c>
      <c r="E536" s="94">
        <v>12.5</v>
      </c>
      <c r="F536" s="146">
        <f t="shared" si="8"/>
        <v>17.5</v>
      </c>
      <c r="G536" s="147" t="s">
        <v>815</v>
      </c>
    </row>
    <row r="537" spans="1:7" ht="15">
      <c r="A537" s="46">
        <v>8</v>
      </c>
      <c r="B537" s="47" t="s">
        <v>478</v>
      </c>
      <c r="C537" s="41"/>
      <c r="D537" s="44">
        <v>30</v>
      </c>
      <c r="E537" s="94">
        <v>20</v>
      </c>
      <c r="F537" s="146">
        <f t="shared" si="8"/>
        <v>10</v>
      </c>
      <c r="G537" s="147" t="s">
        <v>815</v>
      </c>
    </row>
    <row r="538" spans="1:7" ht="15">
      <c r="A538" s="46">
        <v>8</v>
      </c>
      <c r="B538" s="19" t="s">
        <v>561</v>
      </c>
      <c r="C538" s="92"/>
      <c r="D538" s="21">
        <v>90</v>
      </c>
      <c r="E538" s="94">
        <v>38</v>
      </c>
      <c r="F538" s="146">
        <f t="shared" si="8"/>
        <v>52</v>
      </c>
      <c r="G538" s="147" t="s">
        <v>815</v>
      </c>
    </row>
    <row r="539" spans="1:7" ht="15">
      <c r="A539" s="46">
        <v>8</v>
      </c>
      <c r="B539" s="19" t="s">
        <v>548</v>
      </c>
      <c r="C539" s="92" t="s">
        <v>550</v>
      </c>
      <c r="D539" s="21">
        <v>160</v>
      </c>
      <c r="E539" s="94">
        <v>75</v>
      </c>
      <c r="F539" s="146">
        <f t="shared" si="8"/>
        <v>85</v>
      </c>
      <c r="G539" s="147" t="s">
        <v>815</v>
      </c>
    </row>
    <row r="540" spans="1:7" ht="15">
      <c r="A540" s="46">
        <v>8</v>
      </c>
      <c r="B540" s="19" t="s">
        <v>329</v>
      </c>
      <c r="C540" s="92" t="s">
        <v>550</v>
      </c>
      <c r="D540" s="21">
        <v>20</v>
      </c>
      <c r="E540" s="94">
        <v>8</v>
      </c>
      <c r="F540" s="146">
        <f t="shared" si="8"/>
        <v>12</v>
      </c>
      <c r="G540" s="147" t="s">
        <v>815</v>
      </c>
    </row>
    <row r="541" spans="1:7" ht="15">
      <c r="A541" s="46">
        <v>8</v>
      </c>
      <c r="B541" s="19" t="s">
        <v>566</v>
      </c>
      <c r="C541" s="92" t="s">
        <v>567</v>
      </c>
      <c r="D541" s="21">
        <v>25</v>
      </c>
      <c r="E541" s="94">
        <v>15</v>
      </c>
      <c r="F541" s="146">
        <f t="shared" si="8"/>
        <v>10</v>
      </c>
      <c r="G541" s="147" t="s">
        <v>815</v>
      </c>
    </row>
    <row r="542" spans="1:7" ht="15">
      <c r="A542" s="46">
        <v>8</v>
      </c>
      <c r="B542" s="19" t="s">
        <v>331</v>
      </c>
      <c r="C542" s="92"/>
      <c r="D542" s="21">
        <v>30</v>
      </c>
      <c r="E542" s="94">
        <v>14</v>
      </c>
      <c r="F542" s="146">
        <f t="shared" si="8"/>
        <v>16</v>
      </c>
      <c r="G542" s="147" t="s">
        <v>815</v>
      </c>
    </row>
    <row r="543" spans="1:7" ht="15">
      <c r="A543" s="46">
        <v>8</v>
      </c>
      <c r="B543" s="19" t="s">
        <v>511</v>
      </c>
      <c r="C543" s="92" t="s">
        <v>565</v>
      </c>
      <c r="D543" s="21">
        <v>15</v>
      </c>
      <c r="E543" s="94">
        <v>5</v>
      </c>
      <c r="F543" s="146">
        <f t="shared" si="8"/>
        <v>10</v>
      </c>
      <c r="G543" s="147" t="s">
        <v>815</v>
      </c>
    </row>
    <row r="544" spans="1:7" ht="15">
      <c r="A544" s="46">
        <v>8</v>
      </c>
      <c r="B544" s="19" t="s">
        <v>261</v>
      </c>
      <c r="C544" s="92" t="s">
        <v>570</v>
      </c>
      <c r="D544" s="21">
        <v>40</v>
      </c>
      <c r="E544" s="94">
        <v>25</v>
      </c>
      <c r="F544" s="146">
        <f t="shared" si="8"/>
        <v>15</v>
      </c>
      <c r="G544" s="147" t="s">
        <v>815</v>
      </c>
    </row>
    <row r="545" spans="1:7" ht="15">
      <c r="A545" s="46">
        <v>8</v>
      </c>
      <c r="B545" s="19" t="s">
        <v>261</v>
      </c>
      <c r="C545" s="92" t="s">
        <v>571</v>
      </c>
      <c r="D545" s="21">
        <v>40</v>
      </c>
      <c r="E545" s="94">
        <v>25</v>
      </c>
      <c r="F545" s="146">
        <f t="shared" si="8"/>
        <v>15</v>
      </c>
      <c r="G545" s="147" t="s">
        <v>815</v>
      </c>
    </row>
    <row r="546" spans="1:7" ht="15">
      <c r="A546" s="46">
        <v>8</v>
      </c>
      <c r="B546" s="19" t="s">
        <v>556</v>
      </c>
      <c r="C546" s="92" t="s">
        <v>519</v>
      </c>
      <c r="D546" s="21">
        <v>4</v>
      </c>
      <c r="E546" s="94">
        <v>2.5</v>
      </c>
      <c r="F546" s="146">
        <f t="shared" si="8"/>
        <v>1.5</v>
      </c>
      <c r="G546" s="147" t="s">
        <v>815</v>
      </c>
    </row>
    <row r="547" spans="1:7" ht="15">
      <c r="A547" s="46">
        <v>8</v>
      </c>
      <c r="B547" s="47" t="s">
        <v>345</v>
      </c>
      <c r="C547" s="92" t="s">
        <v>519</v>
      </c>
      <c r="D547" s="44">
        <v>2.5</v>
      </c>
      <c r="E547" s="102">
        <v>1</v>
      </c>
      <c r="F547" s="146">
        <f t="shared" si="8"/>
        <v>1.5</v>
      </c>
      <c r="G547" s="147" t="s">
        <v>815</v>
      </c>
    </row>
    <row r="548" spans="1:7" ht="15">
      <c r="A548" s="46">
        <v>8</v>
      </c>
      <c r="B548" s="47" t="s">
        <v>345</v>
      </c>
      <c r="C548" s="92" t="s">
        <v>519</v>
      </c>
      <c r="D548" s="44">
        <v>2.5</v>
      </c>
      <c r="E548" s="102">
        <v>1</v>
      </c>
      <c r="F548" s="146">
        <f t="shared" si="8"/>
        <v>1.5</v>
      </c>
      <c r="G548" s="147" t="s">
        <v>815</v>
      </c>
    </row>
    <row r="549" spans="1:7" ht="15">
      <c r="A549" s="46">
        <v>8</v>
      </c>
      <c r="B549" s="47" t="s">
        <v>366</v>
      </c>
      <c r="C549" s="92" t="s">
        <v>519</v>
      </c>
      <c r="D549" s="21">
        <v>7.5</v>
      </c>
      <c r="E549" s="94">
        <v>5.5</v>
      </c>
      <c r="F549" s="146">
        <f t="shared" si="8"/>
        <v>2</v>
      </c>
      <c r="G549" s="147" t="s">
        <v>815</v>
      </c>
    </row>
    <row r="550" spans="1:7" ht="15">
      <c r="A550" s="46">
        <v>8</v>
      </c>
      <c r="B550" s="19" t="s">
        <v>563</v>
      </c>
      <c r="C550" s="92" t="s">
        <v>564</v>
      </c>
      <c r="D550" s="21">
        <v>10</v>
      </c>
      <c r="E550" s="94">
        <v>5</v>
      </c>
      <c r="F550" s="146">
        <f t="shared" si="8"/>
        <v>5</v>
      </c>
      <c r="G550" s="147" t="s">
        <v>815</v>
      </c>
    </row>
    <row r="551" spans="1:7" ht="15">
      <c r="A551" s="46">
        <v>8</v>
      </c>
      <c r="B551" s="19" t="s">
        <v>563</v>
      </c>
      <c r="C551" s="92" t="s">
        <v>564</v>
      </c>
      <c r="D551" s="21">
        <v>10</v>
      </c>
      <c r="E551" s="94">
        <v>5</v>
      </c>
      <c r="F551" s="146">
        <f t="shared" si="8"/>
        <v>5</v>
      </c>
      <c r="G551" s="147" t="s">
        <v>815</v>
      </c>
    </row>
    <row r="552" spans="1:7" ht="15">
      <c r="A552" s="46">
        <v>8</v>
      </c>
      <c r="B552" s="19" t="s">
        <v>558</v>
      </c>
      <c r="C552" s="92" t="s">
        <v>534</v>
      </c>
      <c r="D552" s="21">
        <v>50</v>
      </c>
      <c r="E552" s="49">
        <v>20</v>
      </c>
      <c r="F552" s="146">
        <f t="shared" si="8"/>
        <v>30</v>
      </c>
      <c r="G552" s="147" t="s">
        <v>815</v>
      </c>
    </row>
    <row r="553" spans="1:7" ht="15">
      <c r="A553" s="46">
        <v>8</v>
      </c>
      <c r="B553" s="19" t="s">
        <v>529</v>
      </c>
      <c r="C553" s="92" t="s">
        <v>519</v>
      </c>
      <c r="D553" s="21">
        <v>25</v>
      </c>
      <c r="E553" s="49">
        <v>25</v>
      </c>
      <c r="F553" s="146">
        <f t="shared" si="8"/>
        <v>0</v>
      </c>
      <c r="G553" s="147" t="s">
        <v>815</v>
      </c>
    </row>
    <row r="554" spans="1:7" ht="15">
      <c r="A554" s="46">
        <v>8</v>
      </c>
      <c r="B554" s="19" t="s">
        <v>516</v>
      </c>
      <c r="C554" s="92"/>
      <c r="D554" s="21">
        <v>100</v>
      </c>
      <c r="E554" s="49">
        <v>63</v>
      </c>
      <c r="F554" s="146">
        <f t="shared" si="8"/>
        <v>37</v>
      </c>
      <c r="G554" s="147" t="s">
        <v>815</v>
      </c>
    </row>
    <row r="555" spans="1:7" ht="15">
      <c r="A555" s="46">
        <v>8</v>
      </c>
      <c r="B555" s="19" t="s">
        <v>511</v>
      </c>
      <c r="C555" s="92"/>
      <c r="D555" s="21">
        <v>15</v>
      </c>
      <c r="E555" s="49">
        <v>5</v>
      </c>
      <c r="F555" s="146">
        <f t="shared" si="8"/>
        <v>10</v>
      </c>
      <c r="G555" s="147" t="s">
        <v>815</v>
      </c>
    </row>
    <row r="556" spans="1:7" ht="15">
      <c r="A556" s="46">
        <v>8</v>
      </c>
      <c r="B556" s="19" t="s">
        <v>549</v>
      </c>
      <c r="C556" s="92"/>
      <c r="D556" s="21">
        <v>100</v>
      </c>
      <c r="E556" s="49">
        <v>40</v>
      </c>
      <c r="F556" s="146">
        <f t="shared" si="8"/>
        <v>60</v>
      </c>
      <c r="G556" s="147" t="s">
        <v>815</v>
      </c>
    </row>
    <row r="557" spans="1:7" ht="15">
      <c r="A557" s="46">
        <v>8</v>
      </c>
      <c r="B557" s="19" t="s">
        <v>331</v>
      </c>
      <c r="C557" s="92"/>
      <c r="D557" s="21">
        <v>25</v>
      </c>
      <c r="E557" s="49">
        <v>14</v>
      </c>
      <c r="F557" s="146">
        <f t="shared" si="8"/>
        <v>11</v>
      </c>
      <c r="G557" s="147" t="s">
        <v>815</v>
      </c>
    </row>
    <row r="558" spans="1:7" ht="15">
      <c r="A558" s="46">
        <v>8</v>
      </c>
      <c r="B558" s="47" t="s">
        <v>297</v>
      </c>
      <c r="C558" s="41" t="s">
        <v>31</v>
      </c>
      <c r="D558" s="44">
        <v>6.8</v>
      </c>
      <c r="E558" s="102">
        <v>6.8</v>
      </c>
      <c r="F558" s="146">
        <f t="shared" si="8"/>
        <v>0</v>
      </c>
      <c r="G558" s="147" t="s">
        <v>815</v>
      </c>
    </row>
    <row r="559" spans="1:7" ht="15.75">
      <c r="A559" s="46">
        <v>9</v>
      </c>
      <c r="B559" s="19" t="s">
        <v>321</v>
      </c>
      <c r="C559" s="41" t="s">
        <v>618</v>
      </c>
      <c r="D559" s="21">
        <v>15</v>
      </c>
      <c r="E559" s="115">
        <v>5</v>
      </c>
      <c r="F559" s="146">
        <f t="shared" si="8"/>
        <v>10</v>
      </c>
      <c r="G559" s="147" t="s">
        <v>815</v>
      </c>
    </row>
    <row r="560" spans="1:7" ht="15.75">
      <c r="A560" s="46">
        <v>9</v>
      </c>
      <c r="B560" s="19" t="s">
        <v>99</v>
      </c>
      <c r="C560" s="19"/>
      <c r="D560" s="21">
        <v>70</v>
      </c>
      <c r="E560" s="115">
        <v>39</v>
      </c>
      <c r="F560" s="146">
        <f t="shared" si="8"/>
        <v>31</v>
      </c>
      <c r="G560" s="147" t="s">
        <v>815</v>
      </c>
    </row>
    <row r="561" spans="1:7" ht="15.75">
      <c r="A561" s="46">
        <v>9</v>
      </c>
      <c r="B561" s="47" t="s">
        <v>182</v>
      </c>
      <c r="C561" s="92" t="s">
        <v>616</v>
      </c>
      <c r="D561" s="21">
        <v>50</v>
      </c>
      <c r="E561" s="115">
        <v>22</v>
      </c>
      <c r="F561" s="146">
        <f t="shared" si="8"/>
        <v>28</v>
      </c>
      <c r="G561" s="147" t="s">
        <v>815</v>
      </c>
    </row>
    <row r="562" spans="1:7" ht="15.75">
      <c r="A562" s="46">
        <v>9</v>
      </c>
      <c r="B562" s="19" t="s">
        <v>99</v>
      </c>
      <c r="C562" s="92" t="s">
        <v>617</v>
      </c>
      <c r="D562" s="21">
        <v>70</v>
      </c>
      <c r="E562" s="115">
        <v>20</v>
      </c>
      <c r="F562" s="146">
        <f t="shared" si="8"/>
        <v>50</v>
      </c>
      <c r="G562" s="147" t="s">
        <v>815</v>
      </c>
    </row>
    <row r="563" spans="1:7" ht="15.75">
      <c r="A563" s="46">
        <v>9</v>
      </c>
      <c r="B563" s="19" t="s">
        <v>573</v>
      </c>
      <c r="C563" s="19"/>
      <c r="D563" s="21">
        <v>20</v>
      </c>
      <c r="E563" s="115">
        <v>10</v>
      </c>
      <c r="F563" s="146">
        <f t="shared" si="8"/>
        <v>10</v>
      </c>
      <c r="G563" s="147" t="s">
        <v>815</v>
      </c>
    </row>
    <row r="564" spans="1:7" ht="15.75">
      <c r="A564" s="46">
        <v>9</v>
      </c>
      <c r="B564" s="19" t="s">
        <v>573</v>
      </c>
      <c r="C564" s="19"/>
      <c r="D564" s="21">
        <v>20</v>
      </c>
      <c r="E564" s="115">
        <v>10</v>
      </c>
      <c r="F564" s="146">
        <f t="shared" si="8"/>
        <v>10</v>
      </c>
      <c r="G564" s="147" t="s">
        <v>815</v>
      </c>
    </row>
    <row r="565" spans="1:7" ht="15.75">
      <c r="A565" s="46">
        <v>9</v>
      </c>
      <c r="B565" s="19" t="s">
        <v>573</v>
      </c>
      <c r="C565" s="19"/>
      <c r="D565" s="21">
        <v>20</v>
      </c>
      <c r="E565" s="115">
        <v>10</v>
      </c>
      <c r="F565" s="146">
        <f t="shared" si="8"/>
        <v>10</v>
      </c>
      <c r="G565" s="147" t="s">
        <v>815</v>
      </c>
    </row>
    <row r="566" spans="1:7" ht="15.75">
      <c r="A566" s="46">
        <v>9</v>
      </c>
      <c r="B566" s="19" t="s">
        <v>573</v>
      </c>
      <c r="C566" s="19"/>
      <c r="D566" s="21">
        <v>20</v>
      </c>
      <c r="E566" s="115">
        <v>10</v>
      </c>
      <c r="F566" s="146">
        <f t="shared" si="8"/>
        <v>10</v>
      </c>
      <c r="G566" s="147" t="s">
        <v>815</v>
      </c>
    </row>
    <row r="567" spans="1:7" ht="15.75">
      <c r="A567" s="46">
        <v>9</v>
      </c>
      <c r="B567" s="19" t="s">
        <v>764</v>
      </c>
      <c r="C567" s="19"/>
      <c r="D567" s="21">
        <v>30</v>
      </c>
      <c r="E567" s="115">
        <v>18</v>
      </c>
      <c r="F567" s="146">
        <f t="shared" si="8"/>
        <v>12</v>
      </c>
      <c r="G567" s="147" t="s">
        <v>815</v>
      </c>
    </row>
    <row r="568" spans="1:7" ht="15.75">
      <c r="A568" s="46">
        <v>9</v>
      </c>
      <c r="B568" s="19" t="s">
        <v>556</v>
      </c>
      <c r="C568" s="19"/>
      <c r="D568" s="21">
        <v>4</v>
      </c>
      <c r="E568" s="115">
        <v>2.5</v>
      </c>
      <c r="F568" s="146">
        <f t="shared" si="8"/>
        <v>1.5</v>
      </c>
      <c r="G568" s="147" t="s">
        <v>815</v>
      </c>
    </row>
    <row r="569" spans="1:7" ht="15.75">
      <c r="A569" s="46">
        <v>9</v>
      </c>
      <c r="B569" s="19" t="s">
        <v>556</v>
      </c>
      <c r="C569" s="19"/>
      <c r="D569" s="21">
        <v>4</v>
      </c>
      <c r="E569" s="115">
        <v>2.5</v>
      </c>
      <c r="F569" s="146">
        <f t="shared" si="8"/>
        <v>1.5</v>
      </c>
      <c r="G569" s="147" t="s">
        <v>815</v>
      </c>
    </row>
    <row r="570" spans="1:7" ht="15.75">
      <c r="A570" s="46">
        <v>9</v>
      </c>
      <c r="B570" s="19" t="s">
        <v>577</v>
      </c>
      <c r="C570" s="19" t="s">
        <v>31</v>
      </c>
      <c r="D570" s="21">
        <v>6.8</v>
      </c>
      <c r="E570" s="115">
        <v>6.8</v>
      </c>
      <c r="F570" s="146">
        <f t="shared" si="8"/>
        <v>0</v>
      </c>
      <c r="G570" s="147" t="s">
        <v>815</v>
      </c>
    </row>
    <row r="571" spans="1:7" ht="15.75">
      <c r="A571" s="46">
        <v>9</v>
      </c>
      <c r="B571" s="47" t="s">
        <v>345</v>
      </c>
      <c r="C571" s="41"/>
      <c r="D571" s="44">
        <v>2.5</v>
      </c>
      <c r="E571" s="115">
        <v>1</v>
      </c>
      <c r="F571" s="146">
        <f t="shared" si="8"/>
        <v>1.5</v>
      </c>
      <c r="G571" s="147" t="s">
        <v>815</v>
      </c>
    </row>
    <row r="572" spans="1:7" ht="15.75">
      <c r="A572" s="46">
        <v>9</v>
      </c>
      <c r="B572" s="119" t="s">
        <v>594</v>
      </c>
      <c r="C572" s="19"/>
      <c r="D572" s="21">
        <v>50</v>
      </c>
      <c r="E572" s="118">
        <v>28</v>
      </c>
      <c r="F572" s="146">
        <f t="shared" si="8"/>
        <v>22</v>
      </c>
      <c r="G572" s="147" t="s">
        <v>815</v>
      </c>
    </row>
    <row r="573" spans="1:7" ht="15.75">
      <c r="A573" s="46">
        <v>9</v>
      </c>
      <c r="B573" s="19" t="s">
        <v>575</v>
      </c>
      <c r="C573" s="19"/>
      <c r="D573" s="21">
        <v>70</v>
      </c>
      <c r="E573" s="115">
        <v>40</v>
      </c>
      <c r="F573" s="146">
        <f t="shared" si="8"/>
        <v>30</v>
      </c>
      <c r="G573" s="147" t="s">
        <v>815</v>
      </c>
    </row>
    <row r="574" spans="1:7" ht="15.75">
      <c r="A574" s="46">
        <v>9</v>
      </c>
      <c r="B574" s="19" t="s">
        <v>575</v>
      </c>
      <c r="C574" s="19"/>
      <c r="D574" s="21">
        <v>90</v>
      </c>
      <c r="E574" s="115">
        <v>40</v>
      </c>
      <c r="F574" s="146">
        <f t="shared" si="8"/>
        <v>50</v>
      </c>
      <c r="G574" s="147" t="s">
        <v>815</v>
      </c>
    </row>
    <row r="575" spans="1:7" ht="15.75">
      <c r="A575" s="46">
        <v>9</v>
      </c>
      <c r="B575" s="19" t="s">
        <v>689</v>
      </c>
      <c r="C575" s="135" t="s">
        <v>610</v>
      </c>
      <c r="D575" s="21">
        <v>73</v>
      </c>
      <c r="E575" s="115">
        <v>57</v>
      </c>
      <c r="F575" s="146">
        <f t="shared" si="8"/>
        <v>16</v>
      </c>
      <c r="G575" s="147" t="s">
        <v>815</v>
      </c>
    </row>
    <row r="576" spans="1:7" ht="15.75">
      <c r="A576" s="46">
        <v>9</v>
      </c>
      <c r="B576" s="19" t="s">
        <v>574</v>
      </c>
      <c r="C576" s="19"/>
      <c r="D576" s="21">
        <v>10</v>
      </c>
      <c r="E576" s="115">
        <v>5</v>
      </c>
      <c r="F576" s="146">
        <f t="shared" si="8"/>
        <v>5</v>
      </c>
      <c r="G576" s="147" t="s">
        <v>815</v>
      </c>
    </row>
    <row r="577" spans="1:7" ht="15.75">
      <c r="A577" s="46">
        <v>9</v>
      </c>
      <c r="B577" s="19" t="s">
        <v>574</v>
      </c>
      <c r="C577" s="19"/>
      <c r="D577" s="21">
        <v>10</v>
      </c>
      <c r="E577" s="115">
        <v>5</v>
      </c>
      <c r="F577" s="146">
        <f t="shared" si="8"/>
        <v>5</v>
      </c>
      <c r="G577" s="147" t="s">
        <v>815</v>
      </c>
    </row>
    <row r="578" spans="1:7" ht="15.75">
      <c r="A578" s="46">
        <v>9</v>
      </c>
      <c r="B578" s="47" t="s">
        <v>366</v>
      </c>
      <c r="C578" s="41" t="s">
        <v>537</v>
      </c>
      <c r="D578" s="44">
        <v>15</v>
      </c>
      <c r="E578" s="115">
        <v>5.5</v>
      </c>
      <c r="F578" s="146">
        <f t="shared" ref="F578:F626" si="9">D578-E578</f>
        <v>9.5</v>
      </c>
      <c r="G578" s="147" t="s">
        <v>815</v>
      </c>
    </row>
    <row r="579" spans="1:7" ht="15.75">
      <c r="A579" s="46">
        <v>9</v>
      </c>
      <c r="B579" s="19" t="s">
        <v>578</v>
      </c>
      <c r="C579" s="19" t="s">
        <v>31</v>
      </c>
      <c r="D579" s="21">
        <v>15</v>
      </c>
      <c r="E579" s="115">
        <v>5.5</v>
      </c>
      <c r="F579" s="146">
        <f t="shared" si="9"/>
        <v>9.5</v>
      </c>
      <c r="G579" s="147" t="s">
        <v>815</v>
      </c>
    </row>
    <row r="580" spans="1:7" ht="15.75">
      <c r="A580" s="46">
        <v>9</v>
      </c>
      <c r="B580" s="19" t="s">
        <v>592</v>
      </c>
      <c r="C580" s="92" t="s">
        <v>550</v>
      </c>
      <c r="D580" s="21">
        <v>10</v>
      </c>
      <c r="E580" s="115">
        <v>5</v>
      </c>
      <c r="F580" s="146">
        <f t="shared" si="9"/>
        <v>5</v>
      </c>
      <c r="G580" s="147" t="s">
        <v>815</v>
      </c>
    </row>
    <row r="581" spans="1:7" ht="15.75">
      <c r="A581" s="46">
        <v>9</v>
      </c>
      <c r="B581" s="19" t="s">
        <v>592</v>
      </c>
      <c r="C581" s="92" t="s">
        <v>550</v>
      </c>
      <c r="D581" s="21">
        <v>10</v>
      </c>
      <c r="E581" s="115">
        <v>5</v>
      </c>
      <c r="F581" s="146">
        <f t="shared" si="9"/>
        <v>5</v>
      </c>
      <c r="G581" s="147" t="s">
        <v>815</v>
      </c>
    </row>
    <row r="582" spans="1:7" ht="15.75">
      <c r="A582" s="46">
        <v>9</v>
      </c>
      <c r="B582" s="19" t="s">
        <v>812</v>
      </c>
      <c r="C582" s="92" t="s">
        <v>550</v>
      </c>
      <c r="D582" s="21">
        <v>50</v>
      </c>
      <c r="E582" s="115">
        <v>25</v>
      </c>
      <c r="F582" s="146">
        <f t="shared" si="9"/>
        <v>25</v>
      </c>
      <c r="G582" s="147" t="s">
        <v>815</v>
      </c>
    </row>
    <row r="583" spans="1:7" ht="15.75">
      <c r="A583" s="46">
        <v>9</v>
      </c>
      <c r="B583" s="19" t="s">
        <v>579</v>
      </c>
      <c r="C583" s="41" t="s">
        <v>31</v>
      </c>
      <c r="D583" s="44">
        <v>16</v>
      </c>
      <c r="E583" s="115">
        <v>16</v>
      </c>
      <c r="F583" s="146">
        <f t="shared" si="9"/>
        <v>0</v>
      </c>
      <c r="G583" s="147" t="s">
        <v>815</v>
      </c>
    </row>
    <row r="584" spans="1:7" ht="15.75">
      <c r="A584" s="46">
        <v>9</v>
      </c>
      <c r="B584" s="19" t="s">
        <v>561</v>
      </c>
      <c r="C584" s="92" t="s">
        <v>550</v>
      </c>
      <c r="D584" s="21">
        <v>50</v>
      </c>
      <c r="E584" s="115">
        <v>38</v>
      </c>
      <c r="F584" s="146">
        <f t="shared" si="9"/>
        <v>12</v>
      </c>
      <c r="G584" s="147" t="s">
        <v>815</v>
      </c>
    </row>
    <row r="585" spans="1:7" ht="15.75">
      <c r="A585" s="46">
        <v>9</v>
      </c>
      <c r="B585" s="19" t="s">
        <v>561</v>
      </c>
      <c r="C585" s="92"/>
      <c r="D585" s="21">
        <v>80</v>
      </c>
      <c r="E585" s="115">
        <v>38</v>
      </c>
      <c r="F585" s="146">
        <f t="shared" si="9"/>
        <v>42</v>
      </c>
      <c r="G585" s="147" t="s">
        <v>815</v>
      </c>
    </row>
    <row r="586" spans="1:7" ht="15.75">
      <c r="A586" s="46">
        <v>9</v>
      </c>
      <c r="B586" s="19" t="s">
        <v>321</v>
      </c>
      <c r="C586" s="41" t="s">
        <v>537</v>
      </c>
      <c r="D586" s="21">
        <v>15</v>
      </c>
      <c r="E586" s="115">
        <v>5</v>
      </c>
      <c r="F586" s="146">
        <f t="shared" si="9"/>
        <v>10</v>
      </c>
      <c r="G586" s="147" t="s">
        <v>815</v>
      </c>
    </row>
    <row r="587" spans="1:7" ht="15.75">
      <c r="A587" s="46">
        <v>9</v>
      </c>
      <c r="B587" s="19" t="s">
        <v>511</v>
      </c>
      <c r="C587" s="92"/>
      <c r="D587" s="21">
        <v>15</v>
      </c>
      <c r="E587" s="115">
        <v>5</v>
      </c>
      <c r="F587" s="146">
        <f t="shared" si="9"/>
        <v>10</v>
      </c>
      <c r="G587" s="147" t="s">
        <v>815</v>
      </c>
    </row>
    <row r="588" spans="1:7" ht="15.75">
      <c r="A588" s="46">
        <v>9</v>
      </c>
      <c r="B588" s="47" t="s">
        <v>182</v>
      </c>
      <c r="C588" s="41"/>
      <c r="D588" s="44">
        <v>40</v>
      </c>
      <c r="E588" s="115">
        <v>22</v>
      </c>
      <c r="F588" s="146">
        <f t="shared" si="9"/>
        <v>18</v>
      </c>
      <c r="G588" s="147" t="s">
        <v>815</v>
      </c>
    </row>
    <row r="589" spans="1:7" ht="15.75">
      <c r="A589" s="46">
        <v>9</v>
      </c>
      <c r="B589" s="47" t="s">
        <v>182</v>
      </c>
      <c r="C589" s="41"/>
      <c r="D589" s="44">
        <v>45</v>
      </c>
      <c r="E589" s="115">
        <v>22</v>
      </c>
      <c r="F589" s="146">
        <f t="shared" si="9"/>
        <v>23</v>
      </c>
      <c r="G589" s="147" t="s">
        <v>815</v>
      </c>
    </row>
    <row r="590" spans="1:7" ht="15.75">
      <c r="A590" s="46">
        <v>9</v>
      </c>
      <c r="B590" s="47" t="s">
        <v>182</v>
      </c>
      <c r="C590" s="19"/>
      <c r="D590" s="21">
        <v>45</v>
      </c>
      <c r="E590" s="115">
        <v>22</v>
      </c>
      <c r="F590" s="146">
        <f t="shared" si="9"/>
        <v>23</v>
      </c>
      <c r="G590" s="147" t="s">
        <v>815</v>
      </c>
    </row>
    <row r="591" spans="1:7" ht="15.75">
      <c r="A591" s="46">
        <v>9</v>
      </c>
      <c r="B591" s="19" t="s">
        <v>580</v>
      </c>
      <c r="C591" s="92" t="s">
        <v>31</v>
      </c>
      <c r="D591" s="21">
        <v>26.4</v>
      </c>
      <c r="E591" s="115">
        <v>22</v>
      </c>
      <c r="F591" s="146">
        <f t="shared" si="9"/>
        <v>4.3999999999999986</v>
      </c>
      <c r="G591" s="147" t="s">
        <v>815</v>
      </c>
    </row>
    <row r="592" spans="1:7" ht="15.75">
      <c r="A592" s="46">
        <v>9</v>
      </c>
      <c r="B592" s="19" t="s">
        <v>581</v>
      </c>
      <c r="C592" s="19" t="s">
        <v>572</v>
      </c>
      <c r="D592" s="21">
        <v>30</v>
      </c>
      <c r="E592" s="115">
        <v>25</v>
      </c>
      <c r="F592" s="146">
        <f t="shared" si="9"/>
        <v>5</v>
      </c>
      <c r="G592" s="147" t="s">
        <v>815</v>
      </c>
    </row>
    <row r="593" spans="1:7" ht="15.75">
      <c r="A593" s="46">
        <v>9</v>
      </c>
      <c r="B593" s="19" t="s">
        <v>582</v>
      </c>
      <c r="C593" s="41" t="s">
        <v>31</v>
      </c>
      <c r="D593" s="21">
        <v>15.6</v>
      </c>
      <c r="E593" s="115">
        <v>13</v>
      </c>
      <c r="F593" s="146">
        <f t="shared" si="9"/>
        <v>2.5999999999999996</v>
      </c>
      <c r="G593" s="147" t="s">
        <v>815</v>
      </c>
    </row>
    <row r="594" spans="1:7" ht="15.75">
      <c r="A594" s="46">
        <v>9</v>
      </c>
      <c r="B594" s="25" t="s">
        <v>583</v>
      </c>
      <c r="C594" s="41" t="s">
        <v>31</v>
      </c>
      <c r="D594" s="21">
        <v>19.2</v>
      </c>
      <c r="E594" s="115">
        <v>16</v>
      </c>
      <c r="F594" s="146">
        <f t="shared" si="9"/>
        <v>3.1999999999999993</v>
      </c>
      <c r="G594" s="147" t="s">
        <v>815</v>
      </c>
    </row>
    <row r="595" spans="1:7" ht="15.75">
      <c r="A595" s="46">
        <v>9</v>
      </c>
      <c r="B595" s="19" t="s">
        <v>591</v>
      </c>
      <c r="C595" s="41" t="s">
        <v>537</v>
      </c>
      <c r="D595" s="44">
        <v>50</v>
      </c>
      <c r="E595" s="115">
        <v>25</v>
      </c>
      <c r="F595" s="146">
        <f t="shared" si="9"/>
        <v>25</v>
      </c>
      <c r="G595" s="147" t="s">
        <v>815</v>
      </c>
    </row>
    <row r="596" spans="1:7" ht="15.75">
      <c r="A596" s="46">
        <v>9</v>
      </c>
      <c r="B596" s="19" t="s">
        <v>591</v>
      </c>
      <c r="C596" s="41"/>
      <c r="D596" s="21">
        <v>50</v>
      </c>
      <c r="E596" s="115">
        <v>25</v>
      </c>
      <c r="F596" s="146">
        <f t="shared" si="9"/>
        <v>25</v>
      </c>
      <c r="G596" s="147" t="s">
        <v>815</v>
      </c>
    </row>
    <row r="597" spans="1:7" ht="15.75">
      <c r="A597" s="46">
        <v>9</v>
      </c>
      <c r="B597" s="19" t="s">
        <v>558</v>
      </c>
      <c r="C597" s="19"/>
      <c r="D597" s="21">
        <v>50</v>
      </c>
      <c r="E597" s="115">
        <v>20</v>
      </c>
      <c r="F597" s="146">
        <f t="shared" si="9"/>
        <v>30</v>
      </c>
      <c r="G597" s="147" t="s">
        <v>815</v>
      </c>
    </row>
    <row r="598" spans="1:7" ht="15.75">
      <c r="A598" s="46">
        <v>9</v>
      </c>
      <c r="B598" s="19" t="s">
        <v>584</v>
      </c>
      <c r="C598" s="19" t="s">
        <v>31</v>
      </c>
      <c r="D598" s="21">
        <v>39.6</v>
      </c>
      <c r="E598" s="115">
        <v>33</v>
      </c>
      <c r="F598" s="146">
        <f t="shared" si="9"/>
        <v>6.6000000000000014</v>
      </c>
      <c r="G598" s="147" t="s">
        <v>815</v>
      </c>
    </row>
    <row r="599" spans="1:7" ht="15.75">
      <c r="A599" s="46">
        <v>9</v>
      </c>
      <c r="B599" s="19" t="s">
        <v>584</v>
      </c>
      <c r="C599" s="19" t="s">
        <v>572</v>
      </c>
      <c r="D599" s="21">
        <v>37.200000000000003</v>
      </c>
      <c r="E599" s="115">
        <v>31</v>
      </c>
      <c r="F599" s="146">
        <f t="shared" si="9"/>
        <v>6.2000000000000028</v>
      </c>
      <c r="G599" s="147" t="s">
        <v>815</v>
      </c>
    </row>
    <row r="600" spans="1:7" ht="15.75">
      <c r="A600" s="46">
        <v>9</v>
      </c>
      <c r="B600" s="19" t="s">
        <v>587</v>
      </c>
      <c r="C600" s="19"/>
      <c r="D600" s="21">
        <v>40</v>
      </c>
      <c r="E600" s="115">
        <v>20</v>
      </c>
      <c r="F600" s="146">
        <f t="shared" si="9"/>
        <v>20</v>
      </c>
      <c r="G600" s="147" t="s">
        <v>815</v>
      </c>
    </row>
    <row r="601" spans="1:7" ht="15.75">
      <c r="A601" s="46">
        <v>9</v>
      </c>
      <c r="B601" s="19" t="s">
        <v>576</v>
      </c>
      <c r="C601" s="19" t="s">
        <v>572</v>
      </c>
      <c r="D601" s="21">
        <v>12</v>
      </c>
      <c r="E601" s="115">
        <v>10</v>
      </c>
      <c r="F601" s="146">
        <f t="shared" si="9"/>
        <v>2</v>
      </c>
      <c r="G601" s="147" t="s">
        <v>815</v>
      </c>
    </row>
    <row r="602" spans="1:7" ht="15.75">
      <c r="A602" s="46">
        <v>9</v>
      </c>
      <c r="B602" s="19" t="s">
        <v>554</v>
      </c>
      <c r="C602" s="92" t="s">
        <v>550</v>
      </c>
      <c r="D602" s="21">
        <v>70</v>
      </c>
      <c r="E602" s="116">
        <v>27</v>
      </c>
      <c r="F602" s="146">
        <f t="shared" si="9"/>
        <v>43</v>
      </c>
      <c r="G602" s="147" t="s">
        <v>815</v>
      </c>
    </row>
    <row r="603" spans="1:7" ht="15.75">
      <c r="A603" s="46">
        <v>9</v>
      </c>
      <c r="B603" s="19" t="s">
        <v>559</v>
      </c>
      <c r="C603" s="19" t="s">
        <v>572</v>
      </c>
      <c r="D603" s="21">
        <v>150</v>
      </c>
      <c r="E603" s="115">
        <v>119.69499999999999</v>
      </c>
      <c r="F603" s="146">
        <f t="shared" si="9"/>
        <v>30.305000000000007</v>
      </c>
      <c r="G603" s="147" t="s">
        <v>815</v>
      </c>
    </row>
    <row r="604" spans="1:7" ht="15.75">
      <c r="A604" s="46">
        <v>9</v>
      </c>
      <c r="B604" s="19" t="s">
        <v>606</v>
      </c>
      <c r="C604" s="108"/>
      <c r="D604" s="21">
        <v>5</v>
      </c>
      <c r="E604" s="115">
        <v>1</v>
      </c>
      <c r="F604" s="146">
        <f t="shared" si="9"/>
        <v>4</v>
      </c>
      <c r="G604" s="147" t="s">
        <v>815</v>
      </c>
    </row>
    <row r="605" spans="1:7" ht="15.75">
      <c r="A605" s="46">
        <v>9</v>
      </c>
      <c r="B605" s="19" t="s">
        <v>606</v>
      </c>
      <c r="C605" s="108"/>
      <c r="D605" s="21">
        <v>5</v>
      </c>
      <c r="E605" s="115">
        <v>1</v>
      </c>
      <c r="F605" s="146">
        <f t="shared" si="9"/>
        <v>4</v>
      </c>
      <c r="G605" s="147" t="s">
        <v>815</v>
      </c>
    </row>
    <row r="606" spans="1:7" ht="15.75">
      <c r="A606" s="46">
        <v>9</v>
      </c>
      <c r="B606" s="19" t="s">
        <v>606</v>
      </c>
      <c r="C606" s="108"/>
      <c r="D606" s="21">
        <v>5</v>
      </c>
      <c r="E606" s="115">
        <v>1</v>
      </c>
      <c r="F606" s="146">
        <f t="shared" si="9"/>
        <v>4</v>
      </c>
      <c r="G606" s="147" t="s">
        <v>815</v>
      </c>
    </row>
    <row r="607" spans="1:7" ht="15.75">
      <c r="A607" s="46">
        <v>9</v>
      </c>
      <c r="B607" s="19" t="s">
        <v>593</v>
      </c>
      <c r="C607" s="92" t="s">
        <v>550</v>
      </c>
      <c r="D607" s="21">
        <v>70</v>
      </c>
      <c r="E607" s="115">
        <v>43</v>
      </c>
      <c r="F607" s="146">
        <f t="shared" si="9"/>
        <v>27</v>
      </c>
      <c r="G607" s="147" t="s">
        <v>815</v>
      </c>
    </row>
    <row r="608" spans="1:7" ht="15.75">
      <c r="A608" s="46">
        <v>9</v>
      </c>
      <c r="B608" s="19" t="s">
        <v>588</v>
      </c>
      <c r="C608" s="19"/>
      <c r="D608" s="21">
        <v>10</v>
      </c>
      <c r="E608" s="115">
        <v>5</v>
      </c>
      <c r="F608" s="146">
        <f t="shared" si="9"/>
        <v>5</v>
      </c>
      <c r="G608" s="147" t="s">
        <v>815</v>
      </c>
    </row>
    <row r="609" spans="1:7" ht="15.75">
      <c r="A609" s="46">
        <v>9</v>
      </c>
      <c r="B609" s="19" t="s">
        <v>588</v>
      </c>
      <c r="C609" s="19"/>
      <c r="D609" s="21">
        <v>10</v>
      </c>
      <c r="E609" s="115">
        <v>5</v>
      </c>
      <c r="F609" s="146">
        <f t="shared" si="9"/>
        <v>5</v>
      </c>
      <c r="G609" s="147" t="s">
        <v>815</v>
      </c>
    </row>
    <row r="610" spans="1:7" ht="15.75">
      <c r="A610" s="46">
        <v>9</v>
      </c>
      <c r="B610" s="85" t="s">
        <v>99</v>
      </c>
      <c r="C610" s="19"/>
      <c r="D610" s="21">
        <v>50</v>
      </c>
      <c r="E610" s="115">
        <v>20</v>
      </c>
      <c r="F610" s="146">
        <f t="shared" si="9"/>
        <v>30</v>
      </c>
      <c r="G610" s="147" t="s">
        <v>815</v>
      </c>
    </row>
    <row r="611" spans="1:7" ht="15.75">
      <c r="A611" s="46">
        <v>9</v>
      </c>
      <c r="B611" s="85" t="s">
        <v>99</v>
      </c>
      <c r="C611" s="19"/>
      <c r="D611" s="21">
        <v>50</v>
      </c>
      <c r="E611" s="115">
        <v>20</v>
      </c>
      <c r="F611" s="146">
        <f t="shared" si="9"/>
        <v>30</v>
      </c>
      <c r="G611" s="147" t="s">
        <v>815</v>
      </c>
    </row>
    <row r="612" spans="1:7" ht="15.75">
      <c r="A612" s="46">
        <v>9</v>
      </c>
      <c r="B612" s="19" t="s">
        <v>99</v>
      </c>
      <c r="C612" s="92" t="s">
        <v>602</v>
      </c>
      <c r="D612" s="21">
        <v>50</v>
      </c>
      <c r="E612" s="115">
        <v>20</v>
      </c>
      <c r="F612" s="146">
        <f t="shared" si="9"/>
        <v>30</v>
      </c>
      <c r="G612" s="147" t="s">
        <v>815</v>
      </c>
    </row>
    <row r="613" spans="1:7" ht="15.75">
      <c r="A613" s="46">
        <v>9</v>
      </c>
      <c r="B613" s="19" t="s">
        <v>261</v>
      </c>
      <c r="C613" s="41"/>
      <c r="D613" s="21">
        <v>40</v>
      </c>
      <c r="E613" s="116">
        <v>25</v>
      </c>
      <c r="F613" s="146">
        <f t="shared" si="9"/>
        <v>15</v>
      </c>
      <c r="G613" s="147" t="s">
        <v>815</v>
      </c>
    </row>
    <row r="614" spans="1:7" ht="15.75">
      <c r="A614" s="46">
        <v>9</v>
      </c>
      <c r="B614" s="19" t="s">
        <v>261</v>
      </c>
      <c r="C614" s="41"/>
      <c r="D614" s="21">
        <v>40</v>
      </c>
      <c r="E614" s="116">
        <v>25</v>
      </c>
      <c r="F614" s="146">
        <f t="shared" si="9"/>
        <v>15</v>
      </c>
      <c r="G614" s="147" t="s">
        <v>815</v>
      </c>
    </row>
    <row r="615" spans="1:7" ht="15.75">
      <c r="A615" s="46">
        <v>9</v>
      </c>
      <c r="B615" s="119" t="s">
        <v>597</v>
      </c>
      <c r="C615" s="19"/>
      <c r="D615" s="21">
        <v>40</v>
      </c>
      <c r="E615" s="118">
        <v>19.989999999999998</v>
      </c>
      <c r="F615" s="146">
        <f t="shared" si="9"/>
        <v>20.010000000000002</v>
      </c>
      <c r="G615" s="147" t="s">
        <v>815</v>
      </c>
    </row>
    <row r="616" spans="1:7" ht="15.75">
      <c r="A616" s="46">
        <v>9</v>
      </c>
      <c r="B616" s="19" t="s">
        <v>585</v>
      </c>
      <c r="C616" s="19" t="s">
        <v>31</v>
      </c>
      <c r="D616" s="21">
        <v>21.6</v>
      </c>
      <c r="E616" s="115">
        <v>18</v>
      </c>
      <c r="F616" s="146">
        <f t="shared" si="9"/>
        <v>3.6000000000000014</v>
      </c>
      <c r="G616" s="147" t="s">
        <v>815</v>
      </c>
    </row>
    <row r="617" spans="1:7" ht="15.75">
      <c r="A617" s="46">
        <v>9</v>
      </c>
      <c r="B617" s="19" t="s">
        <v>586</v>
      </c>
      <c r="C617" s="19" t="s">
        <v>31</v>
      </c>
      <c r="D617" s="21">
        <v>6</v>
      </c>
      <c r="E617" s="115">
        <v>5</v>
      </c>
      <c r="F617" s="146">
        <f t="shared" si="9"/>
        <v>1</v>
      </c>
      <c r="G617" s="147" t="s">
        <v>815</v>
      </c>
    </row>
    <row r="618" spans="1:7" ht="15.75">
      <c r="A618" s="46">
        <v>9</v>
      </c>
      <c r="B618" s="19" t="s">
        <v>478</v>
      </c>
      <c r="C618" s="92" t="s">
        <v>550</v>
      </c>
      <c r="D618" s="21">
        <v>30</v>
      </c>
      <c r="E618" s="116">
        <v>15</v>
      </c>
      <c r="F618" s="146">
        <f t="shared" si="9"/>
        <v>15</v>
      </c>
      <c r="G618" s="147" t="s">
        <v>815</v>
      </c>
    </row>
    <row r="619" spans="1:7" ht="15.75">
      <c r="A619" s="46">
        <v>9</v>
      </c>
      <c r="B619" s="19" t="s">
        <v>478</v>
      </c>
      <c r="C619" s="92"/>
      <c r="D619" s="44">
        <v>30</v>
      </c>
      <c r="E619" s="117">
        <v>20</v>
      </c>
      <c r="F619" s="146">
        <f t="shared" si="9"/>
        <v>10</v>
      </c>
      <c r="G619" s="147" t="s">
        <v>815</v>
      </c>
    </row>
    <row r="620" spans="1:7" ht="15.75">
      <c r="A620" s="46">
        <v>9</v>
      </c>
      <c r="B620" s="19" t="s">
        <v>478</v>
      </c>
      <c r="C620" s="92"/>
      <c r="D620" s="44">
        <v>30</v>
      </c>
      <c r="E620" s="117">
        <v>20</v>
      </c>
      <c r="F620" s="146">
        <f t="shared" si="9"/>
        <v>10</v>
      </c>
      <c r="G620" s="147" t="s">
        <v>815</v>
      </c>
    </row>
    <row r="621" spans="1:7" ht="15.75">
      <c r="A621" s="46">
        <v>9</v>
      </c>
      <c r="B621" s="119" t="s">
        <v>596</v>
      </c>
      <c r="C621" s="19"/>
      <c r="D621" s="21">
        <v>35</v>
      </c>
      <c r="E621" s="118">
        <v>18.899999999999999</v>
      </c>
      <c r="F621" s="146">
        <f t="shared" si="9"/>
        <v>16.100000000000001</v>
      </c>
      <c r="G621" s="147" t="s">
        <v>815</v>
      </c>
    </row>
    <row r="622" spans="1:7" ht="15.75">
      <c r="A622" s="46">
        <v>9</v>
      </c>
      <c r="B622" s="19" t="s">
        <v>612</v>
      </c>
      <c r="C622" s="92" t="s">
        <v>615</v>
      </c>
      <c r="D622" s="21">
        <v>40</v>
      </c>
      <c r="E622" s="115">
        <v>18</v>
      </c>
      <c r="F622" s="146">
        <f t="shared" si="9"/>
        <v>22</v>
      </c>
      <c r="G622" s="147" t="s">
        <v>815</v>
      </c>
    </row>
    <row r="623" spans="1:7" ht="15.75">
      <c r="A623" s="46">
        <v>9</v>
      </c>
      <c r="B623" s="19" t="s">
        <v>613</v>
      </c>
      <c r="C623" s="92" t="s">
        <v>615</v>
      </c>
      <c r="D623" s="21">
        <v>35</v>
      </c>
      <c r="E623" s="115">
        <v>10</v>
      </c>
      <c r="F623" s="146">
        <f t="shared" si="9"/>
        <v>25</v>
      </c>
      <c r="G623" s="147" t="s">
        <v>815</v>
      </c>
    </row>
    <row r="624" spans="1:7" ht="15.75">
      <c r="A624" s="46">
        <v>9</v>
      </c>
      <c r="B624" s="19" t="s">
        <v>613</v>
      </c>
      <c r="C624" s="92" t="s">
        <v>615</v>
      </c>
      <c r="D624" s="21">
        <v>35</v>
      </c>
      <c r="E624" s="115">
        <v>10</v>
      </c>
      <c r="F624" s="146">
        <f t="shared" si="9"/>
        <v>25</v>
      </c>
      <c r="G624" s="147" t="s">
        <v>815</v>
      </c>
    </row>
    <row r="625" spans="1:7" ht="15.75">
      <c r="A625" s="46">
        <v>9</v>
      </c>
      <c r="B625" s="19" t="s">
        <v>614</v>
      </c>
      <c r="C625" s="92" t="s">
        <v>615</v>
      </c>
      <c r="D625" s="21">
        <v>80</v>
      </c>
      <c r="E625" s="115">
        <v>50</v>
      </c>
      <c r="F625" s="146">
        <f t="shared" si="9"/>
        <v>30</v>
      </c>
      <c r="G625" s="147" t="s">
        <v>815</v>
      </c>
    </row>
    <row r="626" spans="1:7" ht="15.75">
      <c r="A626" s="46">
        <v>9</v>
      </c>
      <c r="B626" s="19" t="s">
        <v>739</v>
      </c>
      <c r="C626" s="92"/>
      <c r="D626" s="21">
        <v>55</v>
      </c>
      <c r="E626" s="115">
        <v>30</v>
      </c>
      <c r="F626" s="146">
        <f t="shared" si="9"/>
        <v>25</v>
      </c>
      <c r="G626" s="147" t="s">
        <v>815</v>
      </c>
    </row>
    <row r="669" spans="5:7">
      <c r="E669" t="s">
        <v>519</v>
      </c>
      <c r="G669">
        <v>35</v>
      </c>
    </row>
    <row r="671" spans="5:7">
      <c r="G671">
        <v>50</v>
      </c>
    </row>
    <row r="677" spans="3:7">
      <c r="G677">
        <v>40</v>
      </c>
    </row>
    <row r="683" spans="3:7">
      <c r="G683">
        <v>45</v>
      </c>
    </row>
    <row r="686" spans="3:7">
      <c r="C686" s="13" t="s">
        <v>99</v>
      </c>
    </row>
    <row r="687" spans="3:7">
      <c r="C687" s="13" t="s">
        <v>99</v>
      </c>
    </row>
    <row r="689" spans="3:7">
      <c r="C689" s="13" t="s">
        <v>599</v>
      </c>
      <c r="F689">
        <v>16</v>
      </c>
    </row>
    <row r="690" spans="3:7">
      <c r="C690" s="13" t="s">
        <v>599</v>
      </c>
      <c r="D690"/>
      <c r="F690">
        <v>16</v>
      </c>
      <c r="G690">
        <f>F690*20%+F690</f>
        <v>19.2</v>
      </c>
    </row>
    <row r="691" spans="3:7">
      <c r="C691" s="13" t="s">
        <v>600</v>
      </c>
      <c r="F691">
        <v>35</v>
      </c>
      <c r="G691">
        <f>F691*20%+F691</f>
        <v>42</v>
      </c>
    </row>
    <row r="692" spans="3:7">
      <c r="C692" s="13" t="s">
        <v>601</v>
      </c>
      <c r="F692">
        <v>15</v>
      </c>
      <c r="G692">
        <f>F692*20%+F692</f>
        <v>18</v>
      </c>
    </row>
  </sheetData>
  <dataConsolidate/>
  <conditionalFormatting sqref="B559:B590">
    <cfRule type="expression" dxfId="32" priority="152">
      <formula>G559 ="Tem que compra"</formula>
    </cfRule>
    <cfRule type="expression" dxfId="31" priority="153">
      <formula>G559 = "Vendido"</formula>
    </cfRule>
    <cfRule type="expression" dxfId="30" priority="154">
      <formula>G559 = "Estoque"</formula>
    </cfRule>
    <cfRule type="expression" dxfId="29" priority="155">
      <formula>G559 = "Pendente"</formula>
    </cfRule>
    <cfRule type="expression" dxfId="28" priority="156">
      <formula>G559 = "Não tem!"</formula>
    </cfRule>
  </conditionalFormatting>
  <conditionalFormatting sqref="B581">
    <cfRule type="expression" dxfId="27" priority="102">
      <formula>#REF! ="Tem que compra"</formula>
    </cfRule>
    <cfRule type="expression" dxfId="26" priority="103">
      <formula>#REF! = "Vendido"</formula>
    </cfRule>
    <cfRule type="expression" dxfId="25" priority="104">
      <formula>#REF! = "Estoque"</formula>
    </cfRule>
    <cfRule type="expression" dxfId="24" priority="105">
      <formula>#REF! = "Pendente"</formula>
    </cfRule>
    <cfRule type="expression" dxfId="23" priority="106">
      <formula>#REF! = "Não tem!"</formula>
    </cfRule>
  </conditionalFormatting>
  <conditionalFormatting sqref="B591:B626">
    <cfRule type="expression" dxfId="22" priority="7">
      <formula>G591 ="Tem que compra"</formula>
    </cfRule>
    <cfRule type="expression" dxfId="21" priority="8">
      <formula>G591 = "Vendido"</formula>
    </cfRule>
    <cfRule type="expression" dxfId="20" priority="9">
      <formula>G591 = "Estoque"</formula>
    </cfRule>
    <cfRule type="expression" dxfId="19" priority="10">
      <formula>G591 = "Pendente"</formula>
    </cfRule>
    <cfRule type="expression" dxfId="18" priority="11">
      <formula>G591 = "Não tem!"</formula>
    </cfRule>
  </conditionalFormatting>
  <conditionalFormatting sqref="C559:C566">
    <cfRule type="expression" dxfId="17" priority="167">
      <formula>#REF! ="Tem que compra"</formula>
    </cfRule>
    <cfRule type="expression" dxfId="16" priority="180">
      <formula>#REF! = "Vendido"</formula>
    </cfRule>
    <cfRule type="expression" dxfId="15" priority="181">
      <formula>#REF! = "Estoque"</formula>
    </cfRule>
    <cfRule type="expression" dxfId="14" priority="182">
      <formula>#REF! = "Pendente"</formula>
    </cfRule>
    <cfRule type="expression" dxfId="13" priority="183">
      <formula>#REF! = "Não tem!"</formula>
    </cfRule>
  </conditionalFormatting>
  <conditionalFormatting sqref="C568:C626">
    <cfRule type="expression" dxfId="12" priority="158">
      <formula>#REF! ="Tem que compra"</formula>
    </cfRule>
    <cfRule type="expression" dxfId="11" priority="159">
      <formula>#REF! = "Vendido"</formula>
    </cfRule>
    <cfRule type="expression" dxfId="10" priority="160">
      <formula>#REF! = "Estoque"</formula>
    </cfRule>
    <cfRule type="expression" dxfId="9" priority="161">
      <formula>#REF! = "Pendente"</formula>
    </cfRule>
    <cfRule type="expression" dxfId="8" priority="162">
      <formula>#REF! = "Não tem!"</formula>
    </cfRule>
  </conditionalFormatting>
  <conditionalFormatting sqref="C594">
    <cfRule type="expression" dxfId="7" priority="169">
      <formula>#REF! ="Tem que compra"</formula>
    </cfRule>
    <cfRule type="expression" dxfId="6" priority="170">
      <formula>#REF! = "Vendido"</formula>
    </cfRule>
    <cfRule type="expression" dxfId="5" priority="171">
      <formula>#REF! = "Estoque"</formula>
    </cfRule>
    <cfRule type="expression" dxfId="4" priority="172">
      <formula>#REF! = "Pendente"</formula>
    </cfRule>
    <cfRule type="expression" dxfId="3" priority="173">
      <formula>#REF! = "Não tem!"</formula>
    </cfRule>
  </conditionalFormatting>
  <conditionalFormatting sqref="D469:D558 F1:F1048576">
    <cfRule type="cellIs" dxfId="2" priority="1" operator="lessThan">
      <formula>0</formula>
    </cfRule>
  </conditionalFormatting>
  <dataValidations xWindow="571" yWindow="369" count="1">
    <dataValidation allowBlank="1" showInputMessage="1" showErrorMessage="1" promptTitle="Referente" prompt="A Setembro" sqref="B461:E461" xr:uid="{00000000-0002-0000-0300-000000000000}"/>
  </dataValidations>
  <pageMargins left="0.511811024" right="0.511811024" top="0.78740157499999996" bottom="0.78740157499999996" header="0.31496062000000002" footer="0.31496062000000002"/>
  <pageSetup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 filterMode="1"/>
  <dimension ref="A1:Q18"/>
  <sheetViews>
    <sheetView zoomScale="108" zoomScaleNormal="85" workbookViewId="0">
      <selection activeCell="H26" sqref="H26"/>
    </sheetView>
  </sheetViews>
  <sheetFormatPr defaultRowHeight="18.75"/>
  <cols>
    <col min="1" max="1" width="19.5703125" bestFit="1" customWidth="1"/>
    <col min="2" max="2" width="28.28515625" bestFit="1" customWidth="1"/>
    <col min="3" max="3" width="3.42578125" bestFit="1" customWidth="1"/>
    <col min="4" max="4" width="2.5703125" bestFit="1" customWidth="1"/>
    <col min="5" max="6" width="3.140625" bestFit="1" customWidth="1"/>
    <col min="7" max="8" width="2.5703125" bestFit="1" customWidth="1"/>
    <col min="9" max="9" width="3" bestFit="1" customWidth="1"/>
    <col min="10" max="10" width="8.5703125" bestFit="1" customWidth="1"/>
    <col min="11" max="11" width="13.42578125" style="22" bestFit="1" customWidth="1"/>
    <col min="12" max="14" width="10.85546875" bestFit="1" customWidth="1"/>
    <col min="15" max="15" width="11.5703125" bestFit="1" customWidth="1"/>
    <col min="16" max="16" width="17.140625" style="13" bestFit="1" customWidth="1"/>
    <col min="17" max="17" width="19.140625" bestFit="1" customWidth="1"/>
  </cols>
  <sheetData>
    <row r="1" spans="1:17" s="53" customFormat="1">
      <c r="A1" s="3" t="s">
        <v>101</v>
      </c>
      <c r="B1" s="3" t="s">
        <v>74</v>
      </c>
      <c r="C1" s="3" t="s">
        <v>169</v>
      </c>
      <c r="D1" s="3" t="s">
        <v>170</v>
      </c>
      <c r="E1" s="3" t="s">
        <v>171</v>
      </c>
      <c r="F1" s="3" t="s">
        <v>171</v>
      </c>
      <c r="G1" s="3" t="s">
        <v>169</v>
      </c>
      <c r="H1" s="3" t="s">
        <v>169</v>
      </c>
      <c r="I1" s="3" t="s">
        <v>172</v>
      </c>
      <c r="J1" s="52" t="s">
        <v>173</v>
      </c>
      <c r="K1" s="52" t="s">
        <v>174</v>
      </c>
      <c r="L1" s="52" t="s">
        <v>137</v>
      </c>
      <c r="M1" s="52" t="s">
        <v>138</v>
      </c>
      <c r="N1" s="52" t="s">
        <v>34</v>
      </c>
      <c r="O1" s="52" t="s">
        <v>135</v>
      </c>
      <c r="P1" s="52" t="s">
        <v>136</v>
      </c>
      <c r="Q1" s="52" t="s">
        <v>39</v>
      </c>
    </row>
    <row r="2" spans="1:17">
      <c r="A2" s="54"/>
      <c r="B2" s="64"/>
      <c r="C2" s="55"/>
      <c r="D2" s="55"/>
      <c r="E2" s="55"/>
      <c r="F2" s="55"/>
      <c r="G2" s="55"/>
      <c r="H2" s="56"/>
      <c r="I2" s="57"/>
      <c r="J2" s="57"/>
      <c r="K2" s="58"/>
      <c r="L2" s="58"/>
      <c r="M2" s="58"/>
      <c r="N2" s="72"/>
      <c r="O2" s="56"/>
      <c r="P2" s="59"/>
      <c r="Q2" s="51"/>
    </row>
    <row r="3" spans="1:17">
      <c r="A3" s="8"/>
      <c r="B3" s="8"/>
      <c r="C3" s="17"/>
      <c r="D3" s="17"/>
      <c r="E3" s="17"/>
      <c r="F3" s="17"/>
      <c r="G3" s="17"/>
      <c r="H3" s="31"/>
      <c r="I3" s="31"/>
      <c r="J3" s="31"/>
      <c r="K3" s="72"/>
      <c r="L3" s="72"/>
      <c r="M3" s="72"/>
      <c r="N3" s="72"/>
      <c r="O3" s="31"/>
      <c r="P3" s="60"/>
      <c r="Q3" s="51"/>
    </row>
    <row r="4" spans="1:17">
      <c r="A4" s="65"/>
      <c r="B4" s="8"/>
      <c r="C4" s="66"/>
      <c r="D4" s="66"/>
      <c r="E4" s="66"/>
      <c r="F4" s="66"/>
      <c r="G4" s="66"/>
      <c r="H4" s="67"/>
      <c r="I4" s="67"/>
      <c r="J4" s="67"/>
      <c r="K4" s="68"/>
      <c r="L4" s="68"/>
      <c r="M4" s="68"/>
      <c r="N4" s="72"/>
      <c r="O4" s="67"/>
      <c r="P4" s="69"/>
      <c r="Q4" s="70"/>
    </row>
    <row r="5" spans="1:17">
      <c r="A5" s="8"/>
      <c r="B5" s="8"/>
      <c r="C5" s="17"/>
      <c r="D5" s="17"/>
      <c r="E5" s="17"/>
      <c r="F5" s="17"/>
      <c r="G5" s="17"/>
      <c r="H5" s="31"/>
      <c r="I5" s="31"/>
      <c r="J5" s="31"/>
      <c r="K5" s="72"/>
      <c r="L5" s="72"/>
      <c r="M5" s="72"/>
      <c r="N5" s="72"/>
      <c r="O5" s="31"/>
      <c r="P5" s="60"/>
      <c r="Q5" s="51"/>
    </row>
    <row r="6" spans="1:17">
      <c r="A6" s="8"/>
      <c r="B6" s="8"/>
      <c r="C6" s="17"/>
      <c r="D6" s="17"/>
      <c r="E6" s="17"/>
      <c r="F6" s="17"/>
      <c r="G6" s="17"/>
      <c r="H6" s="31"/>
      <c r="I6" s="31"/>
      <c r="J6" s="31"/>
      <c r="K6" s="72"/>
      <c r="L6" s="72"/>
      <c r="M6" s="72"/>
      <c r="N6" s="72"/>
      <c r="O6" s="31"/>
      <c r="P6" s="60"/>
      <c r="Q6" s="51"/>
    </row>
    <row r="7" spans="1:17">
      <c r="A7" s="8"/>
      <c r="B7" s="8"/>
      <c r="C7" s="17"/>
      <c r="D7" s="17"/>
      <c r="E7" s="17"/>
      <c r="F7" s="17"/>
      <c r="G7" s="17"/>
      <c r="H7" s="31"/>
      <c r="I7" s="31"/>
      <c r="J7" s="31"/>
      <c r="K7" s="72"/>
      <c r="L7" s="72"/>
      <c r="M7" s="72"/>
      <c r="N7" s="72"/>
      <c r="O7" s="31"/>
      <c r="P7" s="60"/>
      <c r="Q7" s="51"/>
    </row>
    <row r="8" spans="1:17">
      <c r="A8" s="8"/>
      <c r="B8" s="8"/>
      <c r="C8" s="17"/>
      <c r="D8" s="17"/>
      <c r="E8" s="17"/>
      <c r="F8" s="17"/>
      <c r="G8" s="17"/>
      <c r="H8" s="31"/>
      <c r="I8" s="31"/>
      <c r="J8" s="31"/>
      <c r="K8" s="72"/>
      <c r="L8" s="72"/>
      <c r="M8" s="72"/>
      <c r="N8" s="72"/>
      <c r="O8" s="31"/>
      <c r="P8" s="60"/>
      <c r="Q8" s="21"/>
    </row>
    <row r="9" spans="1:17">
      <c r="A9" s="8"/>
      <c r="B9" s="8"/>
      <c r="C9" s="17"/>
      <c r="D9" s="17"/>
      <c r="E9" s="17"/>
      <c r="F9" s="17"/>
      <c r="G9" s="17"/>
      <c r="H9" s="31"/>
      <c r="I9" s="31"/>
      <c r="J9" s="31"/>
      <c r="K9" s="72"/>
      <c r="L9" s="72"/>
      <c r="M9" s="72"/>
      <c r="N9" s="72"/>
      <c r="O9" s="31"/>
      <c r="P9" s="61"/>
      <c r="Q9" s="21"/>
    </row>
    <row r="10" spans="1:17">
      <c r="A10" s="8"/>
      <c r="B10" s="8"/>
      <c r="C10" s="17"/>
      <c r="D10" s="17"/>
      <c r="E10" s="17"/>
      <c r="F10" s="17"/>
      <c r="G10" s="17"/>
      <c r="H10" s="31"/>
      <c r="I10" s="31"/>
      <c r="J10" s="31"/>
      <c r="K10" s="72"/>
      <c r="L10" s="72"/>
      <c r="M10" s="72"/>
      <c r="N10" s="72"/>
      <c r="O10" s="31"/>
      <c r="P10" s="61"/>
      <c r="Q10" s="21"/>
    </row>
    <row r="11" spans="1:17">
      <c r="A11" s="8"/>
      <c r="B11" s="8"/>
      <c r="C11" s="17"/>
      <c r="D11" s="17"/>
      <c r="E11" s="17"/>
      <c r="F11" s="17"/>
      <c r="G11" s="17"/>
      <c r="H11" s="31"/>
      <c r="I11" s="31"/>
      <c r="J11" s="31"/>
      <c r="K11" s="72"/>
      <c r="L11" s="72"/>
      <c r="M11" s="72"/>
      <c r="N11" s="72"/>
      <c r="O11" s="31"/>
      <c r="P11" s="60"/>
      <c r="Q11" s="51"/>
    </row>
    <row r="12" spans="1:17">
      <c r="A12" s="8"/>
      <c r="B12" s="8"/>
      <c r="C12" s="17"/>
      <c r="D12" s="17"/>
      <c r="E12" s="17"/>
      <c r="F12" s="17"/>
      <c r="G12" s="17"/>
      <c r="H12" s="31"/>
      <c r="I12" s="31"/>
      <c r="J12" s="31"/>
      <c r="K12" s="48"/>
      <c r="L12" s="39"/>
      <c r="M12" s="39"/>
      <c r="N12" s="72"/>
      <c r="O12" s="31"/>
      <c r="P12" s="60"/>
      <c r="Q12" s="51"/>
    </row>
    <row r="13" spans="1:17">
      <c r="A13" s="8"/>
      <c r="B13" s="8"/>
      <c r="C13" s="17"/>
      <c r="D13" s="17"/>
      <c r="E13" s="17"/>
      <c r="F13" s="17"/>
      <c r="G13" s="17"/>
      <c r="H13" s="31"/>
      <c r="I13" s="31"/>
      <c r="J13" s="31"/>
      <c r="K13" s="48"/>
      <c r="L13" s="39"/>
      <c r="M13" s="39"/>
      <c r="N13" s="72"/>
      <c r="O13" s="31"/>
      <c r="P13" s="60"/>
      <c r="Q13" s="51"/>
    </row>
    <row r="14" spans="1:17">
      <c r="A14" s="8"/>
      <c r="B14" s="8"/>
      <c r="C14" s="17"/>
      <c r="D14" s="17"/>
      <c r="E14" s="17"/>
      <c r="F14" s="17"/>
      <c r="G14" s="17"/>
      <c r="H14" s="31"/>
      <c r="I14" s="31"/>
      <c r="J14" s="31"/>
      <c r="K14" s="48"/>
      <c r="L14" s="39"/>
      <c r="M14" s="39"/>
      <c r="N14" s="72"/>
      <c r="O14" s="31"/>
      <c r="P14" s="60"/>
      <c r="Q14" s="21"/>
    </row>
    <row r="15" spans="1:17">
      <c r="A15" s="8"/>
      <c r="B15" s="8"/>
      <c r="C15" s="17"/>
      <c r="D15" s="17"/>
      <c r="E15" s="17"/>
      <c r="F15" s="17"/>
      <c r="G15" s="17"/>
      <c r="H15" s="31"/>
      <c r="I15" s="31"/>
      <c r="J15" s="31"/>
      <c r="K15" s="48"/>
      <c r="L15" s="39"/>
      <c r="M15" s="39"/>
      <c r="N15" s="72"/>
      <c r="O15" s="31"/>
      <c r="P15" s="61"/>
      <c r="Q15" s="21"/>
    </row>
    <row r="16" spans="1:17">
      <c r="A16" s="8"/>
      <c r="B16" s="8"/>
      <c r="C16" s="17"/>
      <c r="D16" s="17"/>
      <c r="E16" s="17"/>
      <c r="F16" s="17"/>
      <c r="G16" s="17"/>
      <c r="H16" s="31"/>
      <c r="I16" s="31"/>
      <c r="J16" s="31"/>
      <c r="K16" s="48"/>
      <c r="L16" s="33"/>
      <c r="M16" s="33"/>
      <c r="N16" s="72"/>
      <c r="O16" s="31"/>
      <c r="P16" s="61"/>
      <c r="Q16" s="21"/>
    </row>
    <row r="17" spans="1:17">
      <c r="A17" s="8"/>
      <c r="B17" s="8"/>
      <c r="C17" s="17"/>
      <c r="D17" s="17"/>
      <c r="E17" s="17"/>
      <c r="F17" s="17"/>
      <c r="G17" s="17"/>
      <c r="H17" s="31"/>
      <c r="I17" s="31"/>
      <c r="J17" s="31"/>
      <c r="K17" s="48"/>
      <c r="L17" s="33"/>
      <c r="M17" s="33"/>
      <c r="N17" s="33"/>
      <c r="O17" s="31"/>
      <c r="P17" s="61"/>
      <c r="Q17" s="21"/>
    </row>
    <row r="18" spans="1:17">
      <c r="A18" s="36"/>
      <c r="B18" s="36"/>
      <c r="C18" s="38">
        <f t="shared" ref="C18:I18" si="0">COUNTA(C2:C17)</f>
        <v>0</v>
      </c>
      <c r="D18" s="38">
        <f t="shared" si="0"/>
        <v>0</v>
      </c>
      <c r="E18" s="38">
        <f t="shared" si="0"/>
        <v>0</v>
      </c>
      <c r="F18" s="38">
        <f t="shared" si="0"/>
        <v>0</v>
      </c>
      <c r="G18" s="38">
        <f t="shared" si="0"/>
        <v>0</v>
      </c>
      <c r="H18" s="38">
        <f t="shared" si="0"/>
        <v>0</v>
      </c>
      <c r="I18" s="38">
        <f t="shared" si="0"/>
        <v>0</v>
      </c>
      <c r="J18" s="38">
        <f>SUM(J2:J17)</f>
        <v>0</v>
      </c>
      <c r="K18" s="36"/>
      <c r="L18" s="36">
        <f>SUM(L2:L17)</f>
        <v>0</v>
      </c>
      <c r="M18" s="36">
        <f>SUM(M2:M17)</f>
        <v>0</v>
      </c>
      <c r="N18" s="36">
        <f>SUM(N2:N17)</f>
        <v>0</v>
      </c>
      <c r="O18" s="37"/>
      <c r="P18" s="62"/>
      <c r="Q18" s="37"/>
    </row>
  </sheetData>
  <autoFilter ref="A1:Q18" xr:uid="{00000000-0009-0000-0000-000004000000}">
    <filterColumn colId="16">
      <filters>
        <filter val="Confirmar"/>
      </filters>
    </filterColumn>
    <sortState xmlns:xlrd2="http://schemas.microsoft.com/office/spreadsheetml/2017/richdata2" ref="A2:Q24">
      <sortCondition ref="Q1:Q24"/>
    </sortState>
  </autoFilter>
  <conditionalFormatting sqref="A7">
    <cfRule type="expression" dxfId="1" priority="1">
      <formula>P7 = "Vendido"</formula>
    </cfRule>
  </conditionalFormatting>
  <conditionalFormatting sqref="B3:B11">
    <cfRule type="expression" dxfId="0" priority="2">
      <formula>Q3 = "Vendido"</formula>
    </cfRule>
  </conditionalFormatting>
  <pageMargins left="0.511811024" right="0.511811024" top="0.78740157499999996" bottom="0.78740157499999996" header="0.31496062000000002" footer="0.31496062000000002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4</vt:i4>
      </vt:variant>
    </vt:vector>
  </HeadingPairs>
  <TitlesOfParts>
    <vt:vector size="4" baseType="lpstr">
      <vt:lpstr>Gastos</vt:lpstr>
      <vt:lpstr>Relatorios 2019</vt:lpstr>
      <vt:lpstr>Vendas</vt:lpstr>
      <vt:lpstr>Controlde de entrega</vt:lpstr>
    </vt:vector>
  </TitlesOfParts>
  <Company>HOME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USERPROFILE</dc:creator>
  <cp:lastModifiedBy>leo</cp:lastModifiedBy>
  <cp:lastPrinted>2019-09-18T14:42:05Z</cp:lastPrinted>
  <dcterms:created xsi:type="dcterms:W3CDTF">2017-11-10T16:59:36Z</dcterms:created>
  <dcterms:modified xsi:type="dcterms:W3CDTF">2026-07-15T15:25:36Z</dcterms:modified>
</cp:coreProperties>
</file>