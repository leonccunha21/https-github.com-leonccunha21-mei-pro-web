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\Documents\https-github.com-leonccunha21-mei-pro-web\data\excel\Dados coletas\"/>
    </mc:Choice>
  </mc:AlternateContent>
  <xr:revisionPtr revIDLastSave="0" documentId="13_ncr:1_{D57994F4-7042-4254-8825-F66D8DFC4BB7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Gastos" sheetId="1" state="hidden" r:id="rId1"/>
    <sheet name="Controlde de entrega" sheetId="8" state="hidden" r:id="rId2"/>
    <sheet name="Vendas 20" sheetId="10" r:id="rId3"/>
    <sheet name="cha" sheetId="14" state="hidden" r:id="rId4"/>
  </sheets>
  <definedNames>
    <definedName name="_xlnm._FilterDatabase" localSheetId="1" hidden="1">'Controlde de entrega'!$A$1:$Q$18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41" i="10" l="1"/>
  <c r="F1340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394" i="10"/>
  <c r="F1272" i="10"/>
  <c r="F1271" i="10"/>
  <c r="F1270" i="10"/>
  <c r="F1269" i="10"/>
  <c r="F1344" i="10" l="1"/>
  <c r="F1220" i="10" l="1"/>
  <c r="F1226" i="10"/>
  <c r="F1287" i="10"/>
  <c r="F1288" i="10"/>
  <c r="F1289" i="10"/>
  <c r="F1290" i="10"/>
  <c r="F1291" i="10"/>
  <c r="F1283" i="10"/>
  <c r="F1284" i="10"/>
  <c r="F1285" i="10"/>
  <c r="F1286" i="10"/>
  <c r="F1331" i="10"/>
  <c r="F1334" i="10"/>
  <c r="F1335" i="10"/>
  <c r="F1292" i="10"/>
  <c r="F1227" i="10"/>
  <c r="F1422" i="10"/>
  <c r="F1423" i="10"/>
  <c r="F1296" i="10"/>
  <c r="F1432" i="10"/>
  <c r="F121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73" i="10"/>
  <c r="F1274" i="10"/>
  <c r="F1275" i="10"/>
  <c r="F1276" i="10"/>
  <c r="F1277" i="10"/>
  <c r="F1223" i="10"/>
  <c r="F1293" i="10"/>
  <c r="F1294" i="10"/>
  <c r="F1295" i="10"/>
  <c r="F1298" i="10"/>
  <c r="F1299" i="10"/>
  <c r="F1300" i="10"/>
  <c r="F1301" i="10"/>
  <c r="F1302" i="10"/>
  <c r="F1303" i="10"/>
  <c r="F1313" i="10"/>
  <c r="F1224" i="10"/>
  <c r="F1279" i="10"/>
  <c r="F1424" i="10"/>
  <c r="F1278" i="10"/>
  <c r="F1280" i="10"/>
  <c r="F1281" i="10"/>
  <c r="F1282" i="10"/>
  <c r="F1314" i="10"/>
  <c r="F1315" i="10"/>
  <c r="F1316" i="10"/>
  <c r="F1317" i="10"/>
  <c r="F1318" i="10"/>
  <c r="F1319" i="10"/>
  <c r="F1320" i="10"/>
  <c r="F1321" i="10"/>
  <c r="F1322" i="10"/>
  <c r="F1337" i="10"/>
  <c r="F1338" i="10"/>
  <c r="F1339" i="10"/>
  <c r="F1342" i="10"/>
  <c r="F1343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23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24" i="10"/>
  <c r="F1325" i="10"/>
  <c r="F1326" i="10"/>
  <c r="F1327" i="10"/>
  <c r="F1328" i="10"/>
  <c r="F1332" i="10"/>
  <c r="F1389" i="10"/>
  <c r="F1390" i="10"/>
  <c r="F1391" i="10"/>
  <c r="F1392" i="10"/>
  <c r="F1393" i="10"/>
  <c r="F1395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7" i="10"/>
  <c r="F1418" i="10"/>
  <c r="F1412" i="10"/>
  <c r="F1413" i="10"/>
  <c r="F1414" i="10"/>
  <c r="F1415" i="10"/>
  <c r="F1416" i="10"/>
  <c r="F1329" i="10"/>
  <c r="F1330" i="10"/>
  <c r="F1336" i="10"/>
  <c r="F1297" i="10"/>
  <c r="F1333" i="10"/>
  <c r="F1219" i="10"/>
  <c r="F1218" i="10"/>
  <c r="F1396" i="10"/>
  <c r="F1421" i="10"/>
  <c r="F1425" i="10"/>
  <c r="F1428" i="10"/>
  <c r="F1429" i="10"/>
  <c r="F1430" i="10"/>
  <c r="F1431" i="10"/>
  <c r="F1221" i="10"/>
  <c r="F1222" i="10"/>
  <c r="F1419" i="10"/>
  <c r="F1420" i="10"/>
  <c r="F1426" i="10"/>
  <c r="F1427" i="10"/>
  <c r="F1225" i="10"/>
  <c r="F1209" i="10" l="1"/>
  <c r="F1210" i="10"/>
  <c r="F1211" i="10"/>
  <c r="F1212" i="10"/>
  <c r="F1213" i="10"/>
  <c r="F1214" i="10"/>
  <c r="F1215" i="10"/>
  <c r="F1060" i="10" l="1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16" i="10"/>
  <c r="F1059" i="10" l="1"/>
  <c r="F1058" i="10" l="1"/>
  <c r="F1057" i="10"/>
  <c r="F1056" i="10" l="1"/>
  <c r="F1055" i="10" l="1"/>
  <c r="F1035" i="10" l="1"/>
  <c r="F1053" i="10"/>
  <c r="F1052" i="10"/>
  <c r="F1051" i="10"/>
  <c r="F1050" i="10"/>
  <c r="F1049" i="10"/>
  <c r="F1048" i="10"/>
  <c r="F1054" i="10"/>
  <c r="F1036" i="10" l="1"/>
  <c r="F1037" i="10"/>
  <c r="F1038" i="10"/>
  <c r="F1039" i="10"/>
  <c r="F1047" i="10"/>
  <c r="F1046" i="10" l="1"/>
  <c r="F1040" i="10"/>
  <c r="F1041" i="10"/>
  <c r="F1042" i="10"/>
  <c r="F1044" i="10"/>
  <c r="F1045" i="10"/>
  <c r="F1043" i="10" l="1"/>
  <c r="F1030" i="10"/>
  <c r="F1031" i="10"/>
  <c r="F1032" i="10"/>
  <c r="F1033" i="10"/>
  <c r="F1034" i="10"/>
  <c r="F1029" i="10"/>
  <c r="F992" i="10" l="1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991" i="10" l="1"/>
  <c r="F919" i="10" l="1"/>
  <c r="F920" i="10"/>
  <c r="F921" i="10" l="1"/>
  <c r="F923" i="10" l="1"/>
  <c r="F922" i="10"/>
  <c r="F989" i="10" l="1"/>
  <c r="F990" i="10"/>
  <c r="F924" i="10" l="1"/>
  <c r="F987" i="10"/>
  <c r="F986" i="10"/>
  <c r="F988" i="10"/>
  <c r="F985" i="10" l="1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25" i="10"/>
  <c r="F917" i="10" l="1"/>
  <c r="F918" i="10"/>
  <c r="F915" i="10" l="1"/>
  <c r="F916" i="10"/>
  <c r="F912" i="10" l="1"/>
  <c r="F913" i="10"/>
  <c r="F914" i="10"/>
  <c r="F911" i="10"/>
  <c r="F907" i="10" l="1"/>
  <c r="F908" i="10"/>
  <c r="F909" i="10"/>
  <c r="F910" i="10"/>
  <c r="F906" i="10" l="1"/>
  <c r="F905" i="10"/>
  <c r="F904" i="10"/>
  <c r="F842" i="10"/>
  <c r="F841" i="10"/>
  <c r="F844" i="10" l="1"/>
  <c r="F843" i="10"/>
  <c r="F845" i="10" l="1"/>
  <c r="F846" i="10"/>
  <c r="F848" i="10" l="1"/>
  <c r="F847" i="10"/>
  <c r="F902" i="10"/>
  <c r="F901" i="10"/>
  <c r="F900" i="10"/>
  <c r="F899" i="10"/>
  <c r="F898" i="10"/>
  <c r="F855" i="10"/>
  <c r="F854" i="10"/>
  <c r="F853" i="10"/>
  <c r="F852" i="10"/>
  <c r="F851" i="10"/>
  <c r="F850" i="10"/>
  <c r="F849" i="10"/>
  <c r="F903" i="10"/>
  <c r="F858" i="10" l="1"/>
  <c r="F857" i="10"/>
  <c r="F856" i="10"/>
  <c r="F884" i="10"/>
  <c r="F897" i="10"/>
  <c r="F896" i="10"/>
  <c r="F895" i="10"/>
  <c r="F885" i="10" l="1"/>
  <c r="F886" i="10" l="1"/>
  <c r="F887" i="10"/>
  <c r="F890" i="10" l="1"/>
  <c r="F892" i="10"/>
  <c r="F889" i="10" l="1"/>
  <c r="F893" i="10"/>
  <c r="F888" i="10"/>
  <c r="F894" i="10"/>
  <c r="F891" i="10"/>
  <c r="F869" i="10" l="1"/>
  <c r="F871" i="10" l="1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70" i="10"/>
  <c r="F859" i="10" l="1"/>
  <c r="F868" i="10" l="1"/>
  <c r="F867" i="10"/>
  <c r="F866" i="10"/>
  <c r="F861" i="10" l="1"/>
  <c r="F865" i="10"/>
  <c r="F860" i="10" l="1"/>
  <c r="F862" i="10"/>
  <c r="F863" i="10"/>
  <c r="F864" i="10"/>
  <c r="F738" i="10" l="1"/>
  <c r="F799" i="10"/>
  <c r="F800" i="10"/>
  <c r="F737" i="10"/>
  <c r="F826" i="10"/>
  <c r="F816" i="10"/>
  <c r="F806" i="10"/>
  <c r="F792" i="10" l="1"/>
  <c r="F825" i="10" l="1"/>
  <c r="F824" i="10"/>
  <c r="F830" i="10" l="1"/>
  <c r="F767" i="10"/>
  <c r="F766" i="10"/>
  <c r="F732" i="10"/>
  <c r="F755" i="10" l="1"/>
  <c r="F756" i="10"/>
  <c r="F757" i="10"/>
  <c r="F758" i="10"/>
  <c r="F836" i="10"/>
  <c r="F837" i="10"/>
  <c r="F759" i="10"/>
  <c r="F760" i="10"/>
  <c r="F784" i="10"/>
  <c r="F818" i="10"/>
  <c r="F838" i="10"/>
  <c r="F832" i="10"/>
  <c r="F761" i="10"/>
  <c r="F762" i="10" l="1"/>
  <c r="F763" i="10"/>
  <c r="F764" i="10"/>
  <c r="F823" i="10"/>
  <c r="F752" i="10" l="1"/>
  <c r="F802" i="10"/>
  <c r="F805" i="10"/>
  <c r="F803" i="10" l="1"/>
  <c r="F804" i="10"/>
  <c r="F835" i="10" l="1"/>
  <c r="F731" i="10"/>
  <c r="F829" i="10"/>
  <c r="F817" i="10"/>
  <c r="F754" i="10"/>
  <c r="F753" i="10"/>
  <c r="F769" i="10"/>
  <c r="F840" i="10" l="1"/>
  <c r="F751" i="10"/>
  <c r="F741" i="10"/>
  <c r="F768" i="10"/>
  <c r="F773" i="10" l="1"/>
  <c r="F750" i="10" l="1"/>
  <c r="F815" i="10"/>
  <c r="F781" i="10"/>
  <c r="F774" i="10"/>
  <c r="F765" i="10"/>
  <c r="F813" i="10" l="1"/>
  <c r="F819" i="10" l="1"/>
  <c r="F812" i="10" l="1"/>
  <c r="F730" i="10" l="1"/>
  <c r="F772" i="10" l="1"/>
  <c r="F749" i="10"/>
  <c r="F801" i="10"/>
  <c r="F811" i="10"/>
  <c r="F810" i="10"/>
  <c r="F770" i="10"/>
  <c r="F820" i="10"/>
  <c r="F783" i="10" l="1"/>
  <c r="F827" i="10" l="1"/>
  <c r="F789" i="10"/>
  <c r="F734" i="10"/>
  <c r="F748" i="10"/>
  <c r="F746" i="10" l="1"/>
  <c r="F794" i="10"/>
  <c r="F787" i="10"/>
  <c r="F788" i="10"/>
  <c r="F747" i="10"/>
  <c r="F742" i="10"/>
  <c r="F743" i="10"/>
  <c r="F744" i="10"/>
  <c r="F745" i="10"/>
  <c r="F821" i="10"/>
  <c r="F733" i="10"/>
  <c r="F809" i="10" l="1"/>
  <c r="F828" i="10"/>
  <c r="F839" i="10"/>
  <c r="F791" i="10"/>
  <c r="F790" i="10"/>
  <c r="F775" i="10"/>
  <c r="F740" i="10"/>
  <c r="F779" i="10" l="1"/>
  <c r="F780" i="10"/>
  <c r="F808" i="10"/>
  <c r="F778" i="10"/>
  <c r="F777" i="10"/>
  <c r="F833" i="10"/>
  <c r="F807" i="10"/>
  <c r="F735" i="10"/>
  <c r="F782" i="10"/>
  <c r="F785" i="10"/>
  <c r="F795" i="10"/>
  <c r="F822" i="10"/>
  <c r="F736" i="10"/>
  <c r="F776" i="10"/>
  <c r="F831" i="10"/>
  <c r="F786" i="10"/>
  <c r="F796" i="10"/>
  <c r="F797" i="10"/>
  <c r="F798" i="10"/>
  <c r="F793" i="10"/>
  <c r="F834" i="10"/>
  <c r="F771" i="10"/>
  <c r="F729" i="10"/>
  <c r="F814" i="10"/>
  <c r="F739" i="10" l="1"/>
  <c r="F728" i="10" l="1"/>
  <c r="F727" i="10"/>
  <c r="F726" i="10"/>
  <c r="F725" i="10" l="1"/>
  <c r="F724" i="10" l="1"/>
  <c r="F722" i="10" l="1"/>
  <c r="F723" i="10"/>
  <c r="F715" i="10" l="1"/>
  <c r="F716" i="10"/>
  <c r="F717" i="10"/>
  <c r="F718" i="10"/>
  <c r="F710" i="10" l="1"/>
  <c r="F677" i="10"/>
  <c r="F623" i="10"/>
  <c r="F643" i="10"/>
  <c r="F657" i="10"/>
  <c r="F650" i="10"/>
  <c r="F678" i="10"/>
  <c r="F666" i="10"/>
  <c r="F719" i="10"/>
  <c r="F644" i="10"/>
  <c r="F624" i="10"/>
  <c r="F658" i="10"/>
  <c r="F707" i="10"/>
  <c r="F667" i="10"/>
  <c r="F645" i="10"/>
  <c r="F652" i="10"/>
  <c r="F698" i="10"/>
  <c r="F681" i="10"/>
  <c r="F688" i="10"/>
  <c r="F699" i="10"/>
  <c r="F700" i="10"/>
  <c r="F711" i="10"/>
  <c r="F625" i="10"/>
  <c r="F626" i="10"/>
  <c r="F668" i="10"/>
  <c r="F689" i="10"/>
  <c r="F669" i="10"/>
  <c r="F670" i="10"/>
  <c r="F638" i="10"/>
  <c r="F639" i="10"/>
  <c r="F704" i="10"/>
  <c r="F701" i="10"/>
  <c r="F705" i="10"/>
  <c r="F615" i="10"/>
  <c r="F605" i="10"/>
  <c r="F702" i="10"/>
  <c r="F690" i="10"/>
  <c r="F682" i="10"/>
  <c r="F712" i="10"/>
  <c r="F683" i="10"/>
  <c r="F691" i="10"/>
  <c r="F671" i="10"/>
  <c r="F720" i="10"/>
  <c r="F692" i="10"/>
  <c r="F693" i="10"/>
  <c r="F694" i="10"/>
  <c r="F659" i="10"/>
  <c r="F672" i="10"/>
  <c r="F673" i="10"/>
  <c r="F606" i="10"/>
  <c r="F607" i="10"/>
  <c r="F674" i="10"/>
  <c r="F665" i="10"/>
  <c r="F695" i="10"/>
  <c r="F708" i="10"/>
  <c r="F618" i="10"/>
  <c r="F627" i="10"/>
  <c r="F632" i="10"/>
  <c r="F640" i="10"/>
  <c r="F646" i="10"/>
  <c r="F647" i="10"/>
  <c r="F655" i="10"/>
  <c r="F706" i="10"/>
  <c r="F679" i="10"/>
  <c r="F680" i="10"/>
  <c r="F703" i="10"/>
  <c r="F721" i="10"/>
  <c r="F684" i="10"/>
  <c r="F633" i="10"/>
  <c r="F641" i="10"/>
  <c r="F634" i="10"/>
  <c r="F660" i="10"/>
  <c r="F619" i="10"/>
  <c r="F620" i="10"/>
  <c r="F661" i="10"/>
  <c r="F628" i="10"/>
  <c r="F675" i="10"/>
  <c r="F608" i="10"/>
  <c r="F629" i="10"/>
  <c r="F656" i="10"/>
  <c r="F696" i="10"/>
  <c r="F697" i="10"/>
  <c r="F609" i="10"/>
  <c r="F621" i="10"/>
  <c r="F635" i="10"/>
  <c r="F636" i="10"/>
  <c r="F637" i="10"/>
  <c r="F653" i="10"/>
  <c r="F713" i="10"/>
  <c r="F714" i="10"/>
  <c r="F685" i="10"/>
  <c r="F686" i="10"/>
  <c r="F616" i="10"/>
  <c r="F709" i="10"/>
  <c r="F610" i="10"/>
  <c r="F611" i="10"/>
  <c r="F612" i="10"/>
  <c r="F617" i="10"/>
  <c r="F622" i="10"/>
  <c r="F662" i="10"/>
  <c r="F687" i="10"/>
  <c r="F676" i="10"/>
  <c r="F613" i="10"/>
  <c r="F630" i="10"/>
  <c r="F614" i="10"/>
  <c r="F642" i="10"/>
  <c r="F648" i="10"/>
  <c r="F649" i="10"/>
  <c r="F651" i="10"/>
  <c r="F654" i="10"/>
  <c r="F631" i="10"/>
  <c r="F663" i="10"/>
  <c r="F664" i="10"/>
  <c r="F604" i="10" l="1"/>
  <c r="F603" i="10"/>
  <c r="F602" i="10" l="1"/>
  <c r="F600" i="10" l="1"/>
  <c r="F601" i="10"/>
  <c r="F594" i="10" l="1"/>
  <c r="F595" i="10"/>
  <c r="F596" i="10"/>
  <c r="F597" i="10"/>
  <c r="F598" i="10"/>
  <c r="F599" i="10"/>
  <c r="F350" i="10" l="1"/>
  <c r="F354" i="10" l="1"/>
  <c r="F353" i="10"/>
  <c r="F352" i="10"/>
  <c r="F351" i="10"/>
  <c r="F593" i="10"/>
  <c r="F355" i="10"/>
  <c r="F356" i="10"/>
  <c r="F359" i="10" l="1"/>
  <c r="F358" i="10"/>
  <c r="F357" i="10"/>
  <c r="F592" i="10"/>
  <c r="F442" i="10" l="1"/>
  <c r="F488" i="10"/>
  <c r="F573" i="10"/>
  <c r="F377" i="10"/>
  <c r="F390" i="10"/>
  <c r="F419" i="10"/>
  <c r="F420" i="10"/>
  <c r="F456" i="10"/>
  <c r="F457" i="10"/>
  <c r="F544" i="10"/>
  <c r="F559" i="10"/>
  <c r="F560" i="10"/>
  <c r="F384" i="10"/>
  <c r="F489" i="10" l="1"/>
  <c r="F568" i="10"/>
  <c r="F511" i="10" l="1"/>
  <c r="F487" i="10"/>
  <c r="F415" i="10"/>
  <c r="F373" i="10"/>
  <c r="F486" i="10" l="1"/>
  <c r="F587" i="10"/>
  <c r="F414" i="10"/>
  <c r="F448" i="10" l="1"/>
  <c r="F449" i="10"/>
  <c r="F413" i="10"/>
  <c r="F494" i="10"/>
  <c r="F590" i="10"/>
  <c r="F538" i="10"/>
  <c r="F444" i="10" l="1"/>
  <c r="F443" i="10"/>
  <c r="F430" i="10"/>
  <c r="F374" i="10"/>
  <c r="F562" i="10"/>
  <c r="F563" i="10"/>
  <c r="F591" i="10"/>
  <c r="F537" i="10"/>
  <c r="F536" i="10"/>
  <c r="F490" i="10"/>
  <c r="F362" i="10"/>
  <c r="D2" i="14" l="1"/>
  <c r="C2" i="14"/>
  <c r="E13" i="14"/>
  <c r="E12" i="14"/>
  <c r="E11" i="14"/>
  <c r="E10" i="14"/>
  <c r="E9" i="14"/>
  <c r="E8" i="14"/>
  <c r="E7" i="14"/>
  <c r="E5" i="14"/>
  <c r="E6" i="14"/>
  <c r="E4" i="14"/>
  <c r="E2" i="14" s="1"/>
  <c r="F435" i="10" l="1"/>
  <c r="F391" i="10"/>
  <c r="F585" i="10"/>
  <c r="F418" i="10"/>
  <c r="F417" i="10"/>
  <c r="F416" i="10"/>
  <c r="F431" i="10"/>
  <c r="F372" i="10" l="1"/>
  <c r="F447" i="10" l="1"/>
  <c r="F409" i="10"/>
  <c r="F410" i="10"/>
  <c r="F584" i="10"/>
  <c r="F485" i="10"/>
  <c r="F411" i="10"/>
  <c r="F412" i="10"/>
  <c r="F424" i="10"/>
  <c r="F425" i="10"/>
  <c r="F371" i="10" l="1"/>
  <c r="F484" i="10"/>
  <c r="F558" i="10" l="1"/>
  <c r="F574" i="10"/>
  <c r="F543" i="10" l="1"/>
  <c r="F408" i="10"/>
  <c r="F491" i="10"/>
  <c r="F492" i="10" l="1"/>
  <c r="F375" i="10"/>
  <c r="F579" i="10" l="1"/>
  <c r="F542" i="10"/>
  <c r="F504" i="10"/>
  <c r="F503" i="10"/>
  <c r="F498" i="10"/>
  <c r="F429" i="10"/>
  <c r="F428" i="10"/>
  <c r="F427" i="10"/>
  <c r="F426" i="10"/>
  <c r="F423" i="10"/>
  <c r="F393" i="10"/>
  <c r="F383" i="10"/>
  <c r="F361" i="10"/>
  <c r="F360" i="10" l="1"/>
  <c r="F534" i="10" l="1"/>
  <c r="F535" i="10"/>
  <c r="F557" i="10"/>
  <c r="F422" i="10" l="1"/>
  <c r="F541" i="10"/>
  <c r="F407" i="10"/>
  <c r="F455" i="10" l="1"/>
  <c r="F468" i="10"/>
  <c r="F583" i="10"/>
  <c r="F483" i="10"/>
  <c r="F539" i="10"/>
  <c r="F540" i="10"/>
  <c r="F396" i="10"/>
  <c r="F493" i="10"/>
  <c r="F469" i="10"/>
  <c r="F578" i="10" l="1"/>
  <c r="F406" i="10"/>
  <c r="F405" i="10"/>
  <c r="F467" i="10"/>
  <c r="F582" i="10"/>
  <c r="F454" i="10"/>
  <c r="F586" i="10"/>
  <c r="F556" i="10"/>
  <c r="F466" i="10"/>
  <c r="F567" i="10" l="1"/>
  <c r="F446" i="10"/>
  <c r="F462" i="10"/>
  <c r="F463" i="10"/>
  <c r="F464" i="10"/>
  <c r="F465" i="10"/>
  <c r="F532" i="10"/>
  <c r="F533" i="10"/>
  <c r="F501" i="10"/>
  <c r="F502" i="10"/>
  <c r="F566" i="10" l="1"/>
  <c r="F508" i="10"/>
  <c r="F589" i="10"/>
  <c r="F369" i="10" l="1"/>
  <c r="F481" i="10"/>
  <c r="F554" i="10"/>
  <c r="F370" i="10" l="1"/>
  <c r="F461" i="10"/>
  <c r="F482" i="10"/>
  <c r="F531" i="10"/>
  <c r="F555" i="10"/>
  <c r="F403" i="10" l="1"/>
  <c r="F575" i="10"/>
  <c r="F530" i="10"/>
  <c r="F529" i="10"/>
  <c r="F438" i="10"/>
  <c r="F434" i="10"/>
  <c r="F497" i="10"/>
  <c r="F564" i="10"/>
  <c r="F569" i="10"/>
  <c r="F581" i="10"/>
  <c r="F499" i="10"/>
  <c r="F576" i="10"/>
  <c r="F553" i="10"/>
  <c r="F382" i="10"/>
  <c r="F500" i="10"/>
  <c r="F387" i="10"/>
  <c r="F388" i="10"/>
  <c r="F404" i="10"/>
  <c r="F385" i="10" l="1"/>
  <c r="F524" i="10"/>
  <c r="F522" i="10"/>
  <c r="F527" i="10"/>
  <c r="F523" i="10"/>
  <c r="F495" i="10"/>
  <c r="F381" i="10"/>
  <c r="F368" i="10"/>
  <c r="F364" i="10"/>
  <c r="F363" i="10"/>
  <c r="F386" i="10"/>
  <c r="F561" i="10"/>
  <c r="F552" i="10"/>
  <c r="F551" i="10"/>
  <c r="F525" i="10"/>
  <c r="F521" i="10"/>
  <c r="F526" i="10"/>
  <c r="F528" i="10"/>
  <c r="F577" i="10"/>
  <c r="F432" i="10" l="1"/>
  <c r="F496" i="10"/>
  <c r="F380" i="10"/>
  <c r="F507" i="10" l="1"/>
  <c r="F402" i="10" l="1"/>
  <c r="F433" i="10"/>
  <c r="F550" i="10"/>
  <c r="F379" i="10"/>
  <c r="F480" i="10" l="1"/>
  <c r="F580" i="10" l="1"/>
  <c r="F439" i="10"/>
  <c r="F512" i="10"/>
  <c r="F520" i="10"/>
  <c r="F588" i="10"/>
  <c r="F441" i="10"/>
  <c r="F440" i="10"/>
  <c r="F437" i="10"/>
  <c r="F436" i="10"/>
  <c r="F395" i="10"/>
  <c r="F394" i="10"/>
  <c r="F549" i="10"/>
  <c r="F478" i="10"/>
  <c r="F460" i="10"/>
  <c r="F367" i="10"/>
  <c r="F479" i="10" l="1"/>
  <c r="F378" i="10" l="1"/>
  <c r="F565" i="10" l="1"/>
  <c r="F400" i="10"/>
  <c r="F477" i="10"/>
  <c r="F459" i="10"/>
  <c r="F401" i="10"/>
  <c r="F475" i="10" l="1"/>
  <c r="F392" i="10"/>
  <c r="F572" i="10"/>
  <c r="F505" i="10"/>
  <c r="F399" i="10"/>
  <c r="F548" i="10"/>
  <c r="F547" i="10"/>
  <c r="F376" i="10"/>
  <c r="F476" i="10"/>
  <c r="F453" i="10"/>
  <c r="F571" i="10"/>
  <c r="F506" i="10"/>
  <c r="F519" i="10" l="1"/>
  <c r="F421" i="10"/>
  <c r="F451" i="10"/>
  <c r="F452" i="10"/>
  <c r="F474" i="10"/>
  <c r="F473" i="10"/>
  <c r="F510" i="10" l="1"/>
  <c r="F366" i="10" l="1"/>
  <c r="F509" i="10"/>
  <c r="F546" i="10" l="1"/>
  <c r="F470" i="10"/>
  <c r="F471" i="10"/>
  <c r="F472" i="10"/>
  <c r="F397" i="10"/>
  <c r="F389" i="10"/>
  <c r="F398" i="10"/>
  <c r="F545" i="10" l="1"/>
  <c r="F515" i="10"/>
  <c r="F516" i="10"/>
  <c r="F517" i="10"/>
  <c r="F518" i="10"/>
  <c r="F445" i="10"/>
  <c r="F365" i="10"/>
  <c r="F450" i="10"/>
  <c r="F570" i="10"/>
  <c r="F513" i="10"/>
  <c r="F514" i="10"/>
  <c r="F458" i="10"/>
  <c r="F349" i="10" l="1"/>
  <c r="F348" i="10"/>
  <c r="F338" i="10" l="1"/>
  <c r="F339" i="10"/>
  <c r="F340" i="10"/>
  <c r="F341" i="10"/>
  <c r="F342" i="10"/>
  <c r="F343" i="10"/>
  <c r="F344" i="10"/>
  <c r="F345" i="10"/>
  <c r="F346" i="10"/>
  <c r="F347" i="10"/>
  <c r="F337" i="10" l="1"/>
  <c r="F336" i="10" l="1"/>
  <c r="F335" i="10"/>
  <c r="F329" i="10" l="1"/>
  <c r="F330" i="10"/>
  <c r="F331" i="10"/>
  <c r="F332" i="10"/>
  <c r="F333" i="10"/>
  <c r="F334" i="10"/>
  <c r="F328" i="10" l="1"/>
  <c r="F327" i="10" l="1"/>
  <c r="F326" i="10"/>
  <c r="F322" i="10" l="1"/>
  <c r="F323" i="10"/>
  <c r="F324" i="10"/>
  <c r="F325" i="10"/>
  <c r="F321" i="10" l="1"/>
  <c r="F320" i="10" l="1"/>
  <c r="F319" i="10" l="1"/>
  <c r="F318" i="10"/>
  <c r="F317" i="10" l="1"/>
  <c r="F316" i="10"/>
  <c r="F315" i="10"/>
  <c r="F314" i="10"/>
  <c r="F313" i="10" l="1"/>
  <c r="F312" i="10"/>
  <c r="F311" i="10"/>
  <c r="F310" i="10"/>
  <c r="F309" i="10"/>
  <c r="F308" i="10"/>
  <c r="F304" i="10" l="1"/>
  <c r="F305" i="10"/>
  <c r="F306" i="10"/>
  <c r="F307" i="10"/>
  <c r="F295" i="10" l="1"/>
  <c r="F296" i="10"/>
  <c r="F297" i="10"/>
  <c r="F298" i="10"/>
  <c r="F299" i="10"/>
  <c r="F300" i="10" l="1"/>
  <c r="F301" i="10"/>
  <c r="F302" i="10"/>
  <c r="F303" i="10"/>
  <c r="F285" i="10" l="1"/>
  <c r="F286" i="10"/>
  <c r="F287" i="10" l="1"/>
  <c r="F288" i="10" l="1"/>
  <c r="F290" i="10"/>
  <c r="F289" i="10"/>
  <c r="F294" i="10" l="1"/>
  <c r="F291" i="10"/>
  <c r="F293" i="10"/>
  <c r="F292" i="10"/>
  <c r="F280" i="10" l="1"/>
  <c r="F282" i="10" l="1"/>
  <c r="F281" i="10"/>
  <c r="F283" i="10" l="1"/>
  <c r="F284" i="10"/>
  <c r="F279" i="10" l="1"/>
  <c r="F276" i="10" l="1"/>
  <c r="F277" i="10"/>
  <c r="F278" i="10"/>
  <c r="F268" i="10"/>
  <c r="F269" i="10"/>
  <c r="F267" i="10"/>
  <c r="F266" i="10"/>
  <c r="F262" i="10"/>
  <c r="F265" i="10"/>
  <c r="F263" i="10"/>
  <c r="F264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4" i="10"/>
  <c r="F220" i="10"/>
  <c r="F221" i="10"/>
  <c r="F222" i="10"/>
  <c r="F223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8" i="10"/>
  <c r="F237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3" i="10"/>
  <c r="F254" i="10"/>
  <c r="F252" i="10"/>
  <c r="F259" i="10"/>
  <c r="F257" i="10"/>
  <c r="F258" i="10"/>
  <c r="F255" i="10"/>
  <c r="F256" i="10"/>
  <c r="F261" i="10"/>
  <c r="F260" i="10"/>
  <c r="F272" i="10"/>
  <c r="F270" i="10"/>
  <c r="F271" i="10"/>
  <c r="F273" i="10"/>
  <c r="F274" i="10"/>
  <c r="F275" i="10"/>
  <c r="F201" i="10" l="1"/>
  <c r="F200" i="10" l="1"/>
  <c r="F199" i="10"/>
  <c r="F198" i="10" l="1"/>
  <c r="F193" i="10" l="1"/>
  <c r="F194" i="10"/>
  <c r="F195" i="10"/>
  <c r="F196" i="10"/>
  <c r="F197" i="10"/>
  <c r="F192" i="10" l="1"/>
  <c r="F189" i="10" l="1"/>
  <c r="F188" i="10"/>
  <c r="F187" i="10"/>
  <c r="F186" i="10"/>
  <c r="F185" i="10"/>
  <c r="F183" i="10"/>
  <c r="F184" i="10"/>
  <c r="F182" i="10"/>
  <c r="F178" i="10"/>
  <c r="F181" i="10"/>
  <c r="F179" i="10"/>
  <c r="F180" i="10"/>
  <c r="F177" i="10"/>
  <c r="F175" i="10"/>
  <c r="F176" i="10"/>
  <c r="F174" i="10"/>
  <c r="F173" i="10"/>
  <c r="F171" i="10"/>
  <c r="F172" i="10"/>
  <c r="F170" i="10"/>
  <c r="F169" i="10"/>
  <c r="F168" i="10"/>
  <c r="F167" i="10"/>
  <c r="F165" i="10"/>
  <c r="F166" i="10"/>
  <c r="F164" i="10"/>
  <c r="F163" i="10"/>
  <c r="F162" i="10"/>
  <c r="F161" i="10"/>
  <c r="F160" i="10"/>
  <c r="F158" i="10"/>
  <c r="F159" i="10"/>
  <c r="F156" i="10"/>
  <c r="F157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91" i="10"/>
  <c r="F190" i="10"/>
  <c r="F134" i="10"/>
  <c r="F137" i="10"/>
  <c r="F142" i="10"/>
  <c r="F141" i="10"/>
  <c r="F136" i="10"/>
  <c r="F138" i="10"/>
  <c r="F135" i="10"/>
  <c r="F140" i="10"/>
  <c r="F139" i="10"/>
  <c r="F133" i="10"/>
  <c r="F132" i="10"/>
  <c r="F131" i="10"/>
  <c r="F130" i="10"/>
  <c r="F129" i="10"/>
  <c r="F128" i="10"/>
  <c r="F127" i="10"/>
  <c r="F126" i="10"/>
  <c r="F125" i="10"/>
  <c r="F124" i="10"/>
  <c r="E119" i="10" l="1"/>
  <c r="F120" i="10"/>
  <c r="F119" i="10" l="1"/>
  <c r="F121" i="10"/>
  <c r="F118" i="10"/>
  <c r="F123" i="10" l="1"/>
  <c r="F117" i="10" l="1"/>
  <c r="F116" i="10"/>
  <c r="F115" i="10"/>
  <c r="F113" i="10" l="1"/>
  <c r="F112" i="10"/>
  <c r="F114" i="10" l="1"/>
  <c r="F111" i="10"/>
  <c r="F110" i="10"/>
  <c r="F109" i="10" l="1"/>
  <c r="F108" i="10"/>
  <c r="F107" i="10"/>
  <c r="F106" i="10"/>
  <c r="F83" i="10" l="1"/>
  <c r="F101" i="10" l="1"/>
  <c r="F103" i="10"/>
  <c r="F102" i="10"/>
  <c r="F105" i="10" l="1"/>
  <c r="F104" i="10"/>
  <c r="F100" i="10" l="1"/>
  <c r="F99" i="10"/>
  <c r="F96" i="10" l="1"/>
  <c r="F95" i="10" l="1"/>
  <c r="F94" i="10"/>
  <c r="F93" i="10" l="1"/>
  <c r="F91" i="10" l="1"/>
  <c r="F92" i="10"/>
  <c r="F90" i="10" l="1"/>
  <c r="F89" i="10" l="1"/>
  <c r="F87" i="10" l="1"/>
  <c r="F82" i="10"/>
  <c r="F81" i="10"/>
  <c r="F86" i="10"/>
  <c r="F85" i="10"/>
  <c r="F84" i="10"/>
  <c r="F88" i="10"/>
  <c r="F77" i="10" l="1"/>
  <c r="F78" i="10"/>
  <c r="F65" i="10"/>
  <c r="F66" i="10"/>
  <c r="F67" i="10"/>
  <c r="F79" i="10"/>
  <c r="F80" i="10"/>
  <c r="F72" i="10"/>
  <c r="F73" i="10"/>
  <c r="F74" i="10"/>
  <c r="F68" i="10"/>
  <c r="F75" i="10"/>
  <c r="F71" i="10"/>
  <c r="F76" i="10"/>
  <c r="F69" i="10"/>
  <c r="F70" i="10"/>
  <c r="F98" i="10"/>
  <c r="F97" i="10"/>
  <c r="F2" i="10" l="1"/>
  <c r="F3" i="10"/>
  <c r="F62" i="10"/>
  <c r="F64" i="10" l="1"/>
  <c r="F63" i="10"/>
  <c r="F57" i="10" l="1"/>
  <c r="F56" i="10"/>
  <c r="F55" i="10"/>
  <c r="F54" i="10"/>
  <c r="F60" i="10"/>
  <c r="F59" i="10"/>
  <c r="F58" i="10"/>
  <c r="F61" i="10"/>
  <c r="F53" i="10"/>
  <c r="F52" i="10"/>
  <c r="F51" i="10"/>
  <c r="F50" i="10"/>
  <c r="F49" i="10"/>
  <c r="F44" i="10"/>
  <c r="F43" i="10"/>
  <c r="F42" i="10"/>
  <c r="F47" i="10"/>
  <c r="F46" i="10"/>
  <c r="F38" i="10"/>
  <c r="F37" i="10"/>
  <c r="F36" i="10"/>
  <c r="F35" i="10"/>
  <c r="F31" i="10"/>
  <c r="F30" i="10"/>
  <c r="F29" i="10"/>
  <c r="F28" i="10"/>
  <c r="F27" i="10"/>
  <c r="F26" i="10"/>
  <c r="F25" i="10"/>
  <c r="F24" i="10"/>
  <c r="F23" i="10"/>
  <c r="F22" i="10"/>
  <c r="F21" i="10"/>
  <c r="F33" i="10"/>
  <c r="F32" i="10"/>
  <c r="F34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41" i="10"/>
  <c r="F40" i="10"/>
  <c r="F39" i="10"/>
  <c r="F45" i="10"/>
  <c r="F48" i="10"/>
  <c r="F20" i="10"/>
  <c r="J46" i="1" l="1"/>
  <c r="J51" i="1" l="1"/>
  <c r="I46" i="1" l="1"/>
  <c r="I51" i="1"/>
  <c r="H46" i="1" l="1"/>
  <c r="G46" i="1" l="1"/>
  <c r="G3" i="1" l="1"/>
  <c r="D46" i="1" l="1"/>
  <c r="E46" i="1" l="1"/>
  <c r="F51" i="1"/>
  <c r="F46" i="1" l="1"/>
  <c r="F13" i="1" l="1"/>
  <c r="F15" i="1" s="1"/>
  <c r="F54" i="1"/>
  <c r="J18" i="8" l="1"/>
  <c r="I18" i="8"/>
  <c r="H18" i="8"/>
  <c r="G18" i="8"/>
  <c r="F18" i="8"/>
  <c r="E18" i="8"/>
  <c r="D18" i="8"/>
  <c r="C18" i="8"/>
  <c r="L18" i="8"/>
  <c r="M18" i="8" l="1"/>
  <c r="E9" i="1" l="1"/>
  <c r="D49" i="1"/>
  <c r="J53" i="1"/>
  <c r="J13" i="1" s="1"/>
  <c r="J15" i="1" s="1"/>
  <c r="J16" i="1" s="1"/>
  <c r="K53" i="1"/>
  <c r="K13" i="1" s="1"/>
  <c r="K15" i="1" s="1"/>
  <c r="K16" i="1" s="1"/>
  <c r="L53" i="1"/>
  <c r="L13" i="1" s="1"/>
  <c r="L15" i="1" s="1"/>
  <c r="L16" i="1" s="1"/>
  <c r="M53" i="1"/>
  <c r="M13" i="1" s="1"/>
  <c r="M15" i="1" s="1"/>
  <c r="M16" i="1" s="1"/>
  <c r="M49" i="1"/>
  <c r="L49" i="1"/>
  <c r="K49" i="1"/>
  <c r="J49" i="1"/>
  <c r="I49" i="1"/>
  <c r="H49" i="1"/>
  <c r="G49" i="1"/>
  <c r="C49" i="1"/>
  <c r="B49" i="1"/>
  <c r="B14" i="1"/>
  <c r="I53" i="1"/>
  <c r="M9" i="1"/>
  <c r="F9" i="1"/>
  <c r="G9" i="1"/>
  <c r="H9" i="1"/>
  <c r="I9" i="1"/>
  <c r="J9" i="1"/>
  <c r="K9" i="1"/>
  <c r="L9" i="1"/>
  <c r="B12" i="1"/>
  <c r="D9" i="1"/>
  <c r="C9" i="1"/>
  <c r="B9" i="1"/>
  <c r="J17" i="1" l="1"/>
  <c r="I13" i="1"/>
  <c r="I15" i="1" s="1"/>
  <c r="H51" i="1"/>
  <c r="H53" i="1" s="1"/>
  <c r="L17" i="1"/>
  <c r="K17" i="1"/>
  <c r="G51" i="1"/>
  <c r="G53" i="1" s="1"/>
  <c r="M17" i="1"/>
  <c r="B51" i="1"/>
  <c r="B53" i="1" s="1"/>
  <c r="C51" i="1"/>
  <c r="C53" i="1" s="1"/>
  <c r="L54" i="1"/>
  <c r="K54" i="1"/>
  <c r="J54" i="1"/>
  <c r="I54" i="1"/>
  <c r="M54" i="1"/>
  <c r="F53" i="1"/>
  <c r="E51" i="1"/>
  <c r="E53" i="1" s="1"/>
  <c r="D51" i="1"/>
  <c r="D53" i="1" s="1"/>
  <c r="E49" i="1"/>
  <c r="H13" i="1" l="1"/>
  <c r="H15" i="1" s="1"/>
  <c r="I16" i="1"/>
  <c r="I17" i="1"/>
  <c r="H54" i="1"/>
  <c r="G13" i="1"/>
  <c r="G15" i="1" s="1"/>
  <c r="G54" i="1"/>
  <c r="D54" i="1"/>
  <c r="E13" i="1"/>
  <c r="E15" i="1" s="1"/>
  <c r="E16" i="1" s="1"/>
  <c r="E54" i="1"/>
  <c r="D13" i="1"/>
  <c r="D15" i="1" s="1"/>
  <c r="D17" i="1" s="1"/>
  <c r="C54" i="1"/>
  <c r="C13" i="1"/>
  <c r="C15" i="1" s="1"/>
  <c r="C17" i="1" s="1"/>
  <c r="B54" i="1"/>
  <c r="B13" i="1"/>
  <c r="B15" i="1" s="1"/>
  <c r="B17" i="1" s="1"/>
  <c r="F49" i="1"/>
  <c r="N18" i="8"/>
  <c r="H16" i="1" l="1"/>
  <c r="H17" i="1"/>
  <c r="G16" i="1"/>
  <c r="G17" i="1"/>
  <c r="E17" i="1"/>
  <c r="B16" i="1"/>
  <c r="D16" i="1"/>
  <c r="C16" i="1"/>
  <c r="F17" i="1"/>
  <c r="F16" i="1"/>
</calcChain>
</file>

<file path=xl/sharedStrings.xml><?xml version="1.0" encoding="utf-8"?>
<sst xmlns="http://schemas.openxmlformats.org/spreadsheetml/2006/main" count="4558" uniqueCount="485">
  <si>
    <t>Gastos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</si>
  <si>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</si>
  <si>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</si>
  <si>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</si>
  <si>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</si>
  <si>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</si>
  <si>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</si>
  <si>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</si>
  <si>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</si>
  <si>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</si>
  <si>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</si>
  <si>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</si>
  <si>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</si>
  <si>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Cartao</t>
  </si>
  <si>
    <t>-</t>
  </si>
  <si>
    <t>Renda</t>
  </si>
  <si>
    <t>Sobrando</t>
  </si>
  <si>
    <t>Tenebrio</t>
  </si>
  <si>
    <t>Vendas</t>
  </si>
  <si>
    <t>APP</t>
  </si>
  <si>
    <t>Agua</t>
  </si>
  <si>
    <t>Equi. Carro</t>
  </si>
  <si>
    <t>Total Ganho</t>
  </si>
  <si>
    <t>Total Gasto</t>
  </si>
  <si>
    <t>Outros Gastos</t>
  </si>
  <si>
    <t>Aparelho</t>
  </si>
  <si>
    <t>IPVA</t>
  </si>
  <si>
    <t>Pago</t>
  </si>
  <si>
    <t>Lucro</t>
  </si>
  <si>
    <t>Produto</t>
  </si>
  <si>
    <t>Situação</t>
  </si>
  <si>
    <t>Vendido</t>
  </si>
  <si>
    <t>Cliente</t>
  </si>
  <si>
    <t>Produtos</t>
  </si>
  <si>
    <t>Cartao Nu</t>
  </si>
  <si>
    <t>Cartao Inter</t>
  </si>
  <si>
    <t>Horario</t>
  </si>
  <si>
    <t>Lugar</t>
  </si>
  <si>
    <t>V.V</t>
  </si>
  <si>
    <t>V.P</t>
  </si>
  <si>
    <t>S</t>
  </si>
  <si>
    <t>T</t>
  </si>
  <si>
    <t>Q</t>
  </si>
  <si>
    <t>D</t>
  </si>
  <si>
    <t>Quat</t>
  </si>
  <si>
    <t>Frete</t>
  </si>
  <si>
    <t>Salario</t>
  </si>
  <si>
    <t>=</t>
  </si>
  <si>
    <t>Umidificador</t>
  </si>
  <si>
    <t>Total</t>
  </si>
  <si>
    <t xml:space="preserve">Umidificador </t>
  </si>
  <si>
    <t>Umidificador  Atacado</t>
  </si>
  <si>
    <t>Aspirador veicular vermelho</t>
  </si>
  <si>
    <t>Balança sf-400</t>
  </si>
  <si>
    <t>Barbeador simples</t>
  </si>
  <si>
    <t>cabo 3m</t>
  </si>
  <si>
    <t>Cabo de Dados USB  SJX-V8</t>
  </si>
  <si>
    <t>Câmera Lâmpada Led Panorâmica 360º Kp-CA155 - Knup</t>
  </si>
  <si>
    <t>Capa de chuva moto</t>
  </si>
  <si>
    <t xml:space="preserve">Carregador 10W QI </t>
  </si>
  <si>
    <t>Carregador al-9006 V8 2A</t>
  </si>
  <si>
    <t>Gatilho Free fire preto</t>
  </si>
  <si>
    <t>Lâmpada Giratória WM-998</t>
  </si>
  <si>
    <t>Lanterna x900</t>
  </si>
  <si>
    <t>Luminária Ring Light P</t>
  </si>
  <si>
    <t>Massageador Corporal Luminoso AM-002 - Aiker</t>
  </si>
  <si>
    <t>mini speaker ws-887</t>
  </si>
  <si>
    <t xml:space="preserve">Olim mini speaker </t>
  </si>
  <si>
    <t>Película de celular - Vidro</t>
  </si>
  <si>
    <t>Protoboard MB-102</t>
  </si>
  <si>
    <t xml:space="preserve">Smartwatch Iwo 8 </t>
  </si>
  <si>
    <t>Suporte Ar carmount</t>
  </si>
  <si>
    <t>Transmissor de FM radio X6</t>
  </si>
  <si>
    <t xml:space="preserve">Smartwatch m2 </t>
  </si>
  <si>
    <t>Kit manicure luatek</t>
  </si>
  <si>
    <t>Data</t>
  </si>
  <si>
    <t>banda 1600</t>
  </si>
  <si>
    <t>Tiger 600</t>
  </si>
  <si>
    <t>Game boy + joystik</t>
  </si>
  <si>
    <t>TV box pro</t>
  </si>
  <si>
    <t>Soquete universal chave magica</t>
  </si>
  <si>
    <t>Uzina</t>
  </si>
  <si>
    <t>Tenebra GG</t>
  </si>
  <si>
    <t xml:space="preserve">Formatação </t>
  </si>
  <si>
    <t>Mini depilador</t>
  </si>
  <si>
    <t>Bateria portatil piooner</t>
  </si>
  <si>
    <t>Placa uber</t>
  </si>
  <si>
    <t>Smartwatch dz09</t>
  </si>
  <si>
    <t xml:space="preserve">Cliente </t>
  </si>
  <si>
    <t>Taser Grande</t>
  </si>
  <si>
    <t>Depilador Yes</t>
  </si>
  <si>
    <t>Xiaomi Redmi AirDots</t>
  </si>
  <si>
    <t>Cheirinho carro</t>
  </si>
  <si>
    <t xml:space="preserve">Lampiao 6x1 </t>
  </si>
  <si>
    <t>Tenebrio GG</t>
  </si>
  <si>
    <t>Smart fits Barriga</t>
  </si>
  <si>
    <t>Caixa de som jbl mini charge 3</t>
  </si>
  <si>
    <t>Sup 400 in 1</t>
  </si>
  <si>
    <t>Fone i11</t>
  </si>
  <si>
    <t xml:space="preserve">antena diigital </t>
  </si>
  <si>
    <t xml:space="preserve">Cabo HDMI - V8 </t>
  </si>
  <si>
    <t>Adaptador Tipo C</t>
  </si>
  <si>
    <t>Cortador de alimentos manual</t>
  </si>
  <si>
    <t>Bomba bola</t>
  </si>
  <si>
    <t>Cabo Tipo C Kingo</t>
  </si>
  <si>
    <t xml:space="preserve">Almofada pescoço </t>
  </si>
  <si>
    <t>Lampada Giratoria</t>
  </si>
  <si>
    <t>TV box mxq pro</t>
  </si>
  <si>
    <t>Plano TV Box 1mes</t>
  </si>
  <si>
    <t>Mini refrigerador Tomate</t>
  </si>
  <si>
    <t>Multimetro digital amarelo</t>
  </si>
  <si>
    <t>Teclado TVBox</t>
  </si>
  <si>
    <t xml:space="preserve">Maaquina de cabelo Cadense </t>
  </si>
  <si>
    <t>Triper</t>
  </si>
  <si>
    <t>Mini liguidificador</t>
  </si>
  <si>
    <t>Fone xioamo</t>
  </si>
  <si>
    <t>fone i7</t>
  </si>
  <si>
    <t>Mini churrasqueira portatil</t>
  </si>
  <si>
    <t>Kit ferramente luatek</t>
  </si>
  <si>
    <t>Cabo kingo Iphone</t>
  </si>
  <si>
    <t>Cabo kingo V8</t>
  </si>
  <si>
    <t>Carregador Samsung</t>
  </si>
  <si>
    <t>Compressor veicular</t>
  </si>
  <si>
    <t>Gamepad 5 in 1</t>
  </si>
  <si>
    <t>Mouse sem fio</t>
  </si>
  <si>
    <t>Smartwatch m4</t>
  </si>
  <si>
    <t>Suporte de celular</t>
  </si>
  <si>
    <t>Caneta tensao</t>
  </si>
  <si>
    <t xml:space="preserve">Capa de Chuva </t>
  </si>
  <si>
    <t>Cadeira campin</t>
  </si>
  <si>
    <t xml:space="preserve">Estilingue </t>
  </si>
  <si>
    <t xml:space="preserve">Controle 3 in 1 </t>
  </si>
  <si>
    <t>Mata mosquito</t>
  </si>
  <si>
    <t xml:space="preserve">Controle 5 in 1 </t>
  </si>
  <si>
    <t>Transmissor de FM radio g7</t>
  </si>
  <si>
    <t>luminaria giratoria</t>
  </si>
  <si>
    <t>Tenis Allstar</t>
  </si>
  <si>
    <t>Esfoliador de pe</t>
  </si>
  <si>
    <t>Drone mavic pro clone</t>
  </si>
  <si>
    <t>Organizador 16 gavetas</t>
  </si>
  <si>
    <t>Conversor tv car</t>
  </si>
  <si>
    <t>Led T10</t>
  </si>
  <si>
    <t>Led T10 reta</t>
  </si>
  <si>
    <t>Ventilador 4 pol</t>
  </si>
  <si>
    <t>Fita led</t>
  </si>
  <si>
    <t>Pelicula</t>
  </si>
  <si>
    <t>Kit ferramenta</t>
  </si>
  <si>
    <t>Cabo 3 metros iphone</t>
  </si>
  <si>
    <t>Cabo 3 metros v8</t>
  </si>
  <si>
    <t>Transmissor veicular</t>
  </si>
  <si>
    <t>Led teto</t>
  </si>
  <si>
    <t>Carregador iphone or Cabeça</t>
  </si>
  <si>
    <t>Carregador rapido al-9006-v8</t>
  </si>
  <si>
    <t>Carregador h'maston 4.8A</t>
  </si>
  <si>
    <t>Wifi LV-UW06</t>
  </si>
  <si>
    <t>Mini Ventilador USB</t>
  </si>
  <si>
    <t>Chave universal</t>
  </si>
  <si>
    <t>Fone fon-22262d</t>
  </si>
  <si>
    <t xml:space="preserve">formatação </t>
  </si>
  <si>
    <t xml:space="preserve">Capa de chuva </t>
  </si>
  <si>
    <t xml:space="preserve">chave universal </t>
  </si>
  <si>
    <t>Plano de tv mês</t>
  </si>
  <si>
    <t>Cabo kingo type-C</t>
  </si>
  <si>
    <t>heatset mb tech</t>
  </si>
  <si>
    <t>Caixa de som rad-8537</t>
  </si>
  <si>
    <t>Suporte de moto SP-CA35L</t>
  </si>
  <si>
    <t>Gatilhos free fire preto</t>
  </si>
  <si>
    <t xml:space="preserve">Carregador Universal p/ Notebook </t>
  </si>
  <si>
    <t>Gatilho AK-66 PUBG</t>
  </si>
  <si>
    <t>Smartband M2</t>
  </si>
  <si>
    <t>Beg ifood</t>
  </si>
  <si>
    <t>Cabo v3</t>
  </si>
  <si>
    <t xml:space="preserve">Caixa de som jbl charg2 </t>
  </si>
  <si>
    <t>Formataçao</t>
  </si>
  <si>
    <t>Carregador acer</t>
  </si>
  <si>
    <t>Teclado para TV box</t>
  </si>
  <si>
    <t>Carregador Acer</t>
  </si>
  <si>
    <t>Carregador Positivo 5v</t>
  </si>
  <si>
    <t>TV box MXQ PRO</t>
  </si>
  <si>
    <t>Carregador asus</t>
  </si>
  <si>
    <t xml:space="preserve">Teiser pequena </t>
  </si>
  <si>
    <t>Barbeador Nhc-3780</t>
  </si>
  <si>
    <t>Fone H'maston ly-102</t>
  </si>
  <si>
    <t>Fonte de notebook</t>
  </si>
  <si>
    <t>Capa de chuva motomoto</t>
  </si>
  <si>
    <t>Carregador de Notebook</t>
  </si>
  <si>
    <t>Chave catraca universal</t>
  </si>
  <si>
    <t xml:space="preserve">Chave catraca universal </t>
  </si>
  <si>
    <t>Maquina de cabelo Cadense</t>
  </si>
  <si>
    <t>Carregador de notebook</t>
  </si>
  <si>
    <t>Umidificador veicular</t>
  </si>
  <si>
    <t>Caneta de dinheiro</t>
  </si>
  <si>
    <t>Lanterna usb</t>
  </si>
  <si>
    <t>Game boy 400 i n1 + controle</t>
  </si>
  <si>
    <t>Gamepad simples</t>
  </si>
  <si>
    <t>Kit ferramenta 40pç</t>
  </si>
  <si>
    <t>Smartwatch W5</t>
  </si>
  <si>
    <t>Máscara de neoprene</t>
  </si>
  <si>
    <t>Led de teto</t>
  </si>
  <si>
    <t>Bomba de pneus</t>
  </si>
  <si>
    <t>Game boy 400 i n1</t>
  </si>
  <si>
    <t>Pendrive home de ferro</t>
  </si>
  <si>
    <t>Mini maquina de costura</t>
  </si>
  <si>
    <t>Aspirador veicular</t>
  </si>
  <si>
    <t>Cabo kingo Type C</t>
  </si>
  <si>
    <t>Lampada Balada</t>
  </si>
  <si>
    <t>Alcool em Gel 500ml</t>
  </si>
  <si>
    <t>Carregador notebook</t>
  </si>
  <si>
    <t>Removedor de rachaduras</t>
  </si>
  <si>
    <t>Mini Compressor</t>
  </si>
  <si>
    <t>Antena interna de tv</t>
  </si>
  <si>
    <t>Tripe simples</t>
  </si>
  <si>
    <t>Chave catraca grande</t>
  </si>
  <si>
    <t>Teclado para TV box led</t>
  </si>
  <si>
    <t>Suporte de celula c/ carregador</t>
  </si>
  <si>
    <t>Carregador bateria xbox</t>
  </si>
  <si>
    <t>Tripe tomate</t>
  </si>
  <si>
    <t xml:space="preserve">Fita led </t>
  </si>
  <si>
    <t>Fonte fita led</t>
  </si>
  <si>
    <t>kit ferramenta</t>
  </si>
  <si>
    <t>Lampiao 6x1 Grande</t>
  </si>
  <si>
    <t xml:space="preserve">Led T10 </t>
  </si>
  <si>
    <t xml:space="preserve">Transmissor veicular </t>
  </si>
  <si>
    <t>Controle Ipega</t>
  </si>
  <si>
    <t>Lampada Bluetooth</t>
  </si>
  <si>
    <t>Triper medio</t>
  </si>
  <si>
    <t>mouse pad</t>
  </si>
  <si>
    <t xml:space="preserve">fone de ouvido </t>
  </si>
  <si>
    <t>Espelho retrovisor lcd</t>
  </si>
  <si>
    <t>Camera de re</t>
  </si>
  <si>
    <t>Taise Grande</t>
  </si>
  <si>
    <t>Cabo de chupeta</t>
  </si>
  <si>
    <t>Cabo de força</t>
  </si>
  <si>
    <t>Kit Ferramenta</t>
  </si>
  <si>
    <t>Kit Ferramenta Grande</t>
  </si>
  <si>
    <t>Chave roda L</t>
  </si>
  <si>
    <t>Chave simples kit</t>
  </si>
  <si>
    <t>Microfone pequeno</t>
  </si>
  <si>
    <t>Cabo novo V8</t>
  </si>
  <si>
    <t>Cabo nova Type C</t>
  </si>
  <si>
    <t>Smartwatch m3</t>
  </si>
  <si>
    <t xml:space="preserve">Gatilhos 5 in 1 </t>
  </si>
  <si>
    <t>Tripe 1,2m</t>
  </si>
  <si>
    <t>Fone para PS4</t>
  </si>
  <si>
    <t>Teiser Grande</t>
  </si>
  <si>
    <t xml:space="preserve">Gatilho simples </t>
  </si>
  <si>
    <t>Mini Depilador</t>
  </si>
  <si>
    <t>Mascara simples</t>
  </si>
  <si>
    <t>Kit Ferramenta simples</t>
  </si>
  <si>
    <t>Gatilho 5 in 1</t>
  </si>
  <si>
    <t>Tenis 180</t>
  </si>
  <si>
    <t>Adaptador bluetooth</t>
  </si>
  <si>
    <t>lampiao</t>
  </si>
  <si>
    <t xml:space="preserve">Chinelo Oakley </t>
  </si>
  <si>
    <t>Aparelho de CD</t>
  </si>
  <si>
    <t>Mini charge jbl</t>
  </si>
  <si>
    <t xml:space="preserve">kit ferramenta </t>
  </si>
  <si>
    <t xml:space="preserve">Chinela </t>
  </si>
  <si>
    <t>mouse simples</t>
  </si>
  <si>
    <t>Mouse pad</t>
  </si>
  <si>
    <t>Adaptador wifi</t>
  </si>
  <si>
    <t>Tripe 3110</t>
  </si>
  <si>
    <t>Listra de espera</t>
  </si>
  <si>
    <t>data</t>
  </si>
  <si>
    <t>Cliente Bomba Gol G3</t>
  </si>
  <si>
    <t>pacote 3</t>
  </si>
  <si>
    <t>pacote 1</t>
  </si>
  <si>
    <t>pacote 2</t>
  </si>
  <si>
    <t>V. V</t>
  </si>
  <si>
    <t>Cliente Antena Espera 0011</t>
  </si>
  <si>
    <t>Cliente Mini Depilador Regilene</t>
  </si>
  <si>
    <t>Glycontrol</t>
  </si>
  <si>
    <t>Kit ferramente simples conju</t>
  </si>
  <si>
    <t>chave mini catraca</t>
  </si>
  <si>
    <t xml:space="preserve">Chave universal </t>
  </si>
  <si>
    <t>Kit ferramente simples conju pequeno</t>
  </si>
  <si>
    <t>Medidor laiser</t>
  </si>
  <si>
    <t>Mini liquidificador</t>
  </si>
  <si>
    <t>Mini teclado led</t>
  </si>
  <si>
    <t>Mini teclado</t>
  </si>
  <si>
    <t>Smartband M4</t>
  </si>
  <si>
    <t>Smartband 116 plus</t>
  </si>
  <si>
    <t>Fone pcell</t>
  </si>
  <si>
    <t>Char SD</t>
  </si>
  <si>
    <t>Cabo auxilar p2</t>
  </si>
  <si>
    <t>Cha SD</t>
  </si>
  <si>
    <t>Gamepad + controle</t>
  </si>
  <si>
    <t>Lampiao pequeno</t>
  </si>
  <si>
    <t>Carregador veicular kingo</t>
  </si>
  <si>
    <t xml:space="preserve">Carregador veicular </t>
  </si>
  <si>
    <t xml:space="preserve">Pote de alcool em gel </t>
  </si>
  <si>
    <t xml:space="preserve">Led t10 </t>
  </si>
  <si>
    <t xml:space="preserve">Tenis </t>
  </si>
  <si>
    <t>Smartband m2</t>
  </si>
  <si>
    <t>Carregador Hmaston</t>
  </si>
  <si>
    <t>Mini charge+3</t>
  </si>
  <si>
    <t xml:space="preserve">Plano de TV </t>
  </si>
  <si>
    <t>Antena de TV interna</t>
  </si>
  <si>
    <t>Fone sem fio pmcell</t>
  </si>
  <si>
    <t>Esfoliador de Pe</t>
  </si>
  <si>
    <t>Tenis 41</t>
  </si>
  <si>
    <t xml:space="preserve">barbeador 7 in 1 </t>
  </si>
  <si>
    <t>caixinha de som jbl</t>
  </si>
  <si>
    <t xml:space="preserve">cha SD </t>
  </si>
  <si>
    <t>Fone pcell pequeno</t>
  </si>
  <si>
    <t>Caixa de som k4+</t>
  </si>
  <si>
    <t>Smartband M3</t>
  </si>
  <si>
    <t>Chave de rodas L</t>
  </si>
  <si>
    <t>Mouse sem fio gamer</t>
  </si>
  <si>
    <t>Microfone caixa</t>
  </si>
  <si>
    <t>Depilador laiser</t>
  </si>
  <si>
    <t>Gamepad ipega</t>
  </si>
  <si>
    <t xml:space="preserve">Oculos VR </t>
  </si>
  <si>
    <t>kit ferramenta  41 Peças</t>
  </si>
  <si>
    <t>Kit chaves celular</t>
  </si>
  <si>
    <t>Suporte de celular parede</t>
  </si>
  <si>
    <t>luz de self</t>
  </si>
  <si>
    <t>Gatilho w10</t>
  </si>
  <si>
    <t>Formatação</t>
  </si>
  <si>
    <t>Caixa BoomBox</t>
  </si>
  <si>
    <t>Gameboy + controle</t>
  </si>
  <si>
    <t>Gamepad w10</t>
  </si>
  <si>
    <t>Plano de TV</t>
  </si>
  <si>
    <t>caixa jbl pequena</t>
  </si>
  <si>
    <t>formataçao</t>
  </si>
  <si>
    <t>Kit ferra copo 6</t>
  </si>
  <si>
    <t xml:space="preserve">Lampada bluetooth </t>
  </si>
  <si>
    <t>Smartband d20</t>
  </si>
  <si>
    <t>Smartband m4</t>
  </si>
  <si>
    <t xml:space="preserve">Fone i7 mini </t>
  </si>
  <si>
    <t>Chave teste voltagem</t>
  </si>
  <si>
    <t>Chave Tok Grande</t>
  </si>
  <si>
    <t>Pistola Cola quente</t>
  </si>
  <si>
    <t>Bastao cola quente</t>
  </si>
  <si>
    <t xml:space="preserve">Bota </t>
  </si>
  <si>
    <t>palheta parabrisa</t>
  </si>
  <si>
    <t>Depilador lithium</t>
  </si>
  <si>
    <t>Carregador veicular pmcell</t>
  </si>
  <si>
    <t>Adaptador iphone</t>
  </si>
  <si>
    <t>Chave tok kit p</t>
  </si>
  <si>
    <t>Chave alen kitp</t>
  </si>
  <si>
    <t xml:space="preserve">Adaptador wifi </t>
  </si>
  <si>
    <t>canivete multiuso</t>
  </si>
  <si>
    <t>case hd 3.0</t>
  </si>
  <si>
    <t>balança 10kg</t>
  </si>
  <si>
    <t>Derma roller x10</t>
  </si>
  <si>
    <t>Derma roller</t>
  </si>
  <si>
    <t>Chave simples celular</t>
  </si>
  <si>
    <t>expremedor pasta</t>
  </si>
  <si>
    <t>Suporte celular bike</t>
  </si>
  <si>
    <t>Gamepad w11+</t>
  </si>
  <si>
    <t>Massageador facial</t>
  </si>
  <si>
    <t>Luminaria bike laser</t>
  </si>
  <si>
    <t>Led T10 RGB</t>
  </si>
  <si>
    <t xml:space="preserve">Bomba pneu </t>
  </si>
  <si>
    <t>Smartband m3</t>
  </si>
  <si>
    <t>Suporte celular braço</t>
  </si>
  <si>
    <t>Baralho dolar</t>
  </si>
  <si>
    <t>Espremedor pasta</t>
  </si>
  <si>
    <t>Ring light Led</t>
  </si>
  <si>
    <t xml:space="preserve">Lanterna x900 </t>
  </si>
  <si>
    <t>Lanterna police</t>
  </si>
  <si>
    <t xml:space="preserve">Suporte de TV </t>
  </si>
  <si>
    <t>Ring light</t>
  </si>
  <si>
    <t>Caixa mini charge +3</t>
  </si>
  <si>
    <t>Espremedor de pasta</t>
  </si>
  <si>
    <t>chave kit pequeno</t>
  </si>
  <si>
    <t>Tripe 1,5</t>
  </si>
  <si>
    <t>Lampiao led</t>
  </si>
  <si>
    <t>SSD 120gb</t>
  </si>
  <si>
    <t xml:space="preserve">Formataçao </t>
  </si>
  <si>
    <t>Montagem</t>
  </si>
  <si>
    <t>ring light</t>
  </si>
  <si>
    <t>kit reparo pneu</t>
  </si>
  <si>
    <t xml:space="preserve">Kit chave celular </t>
  </si>
  <si>
    <t>Fone b8</t>
  </si>
  <si>
    <t>Hub USB 3 portas</t>
  </si>
  <si>
    <t xml:space="preserve">Fone inova </t>
  </si>
  <si>
    <t xml:space="preserve">Tv box </t>
  </si>
  <si>
    <t>Plano de tv</t>
  </si>
  <si>
    <t>Smartband x6</t>
  </si>
  <si>
    <t xml:space="preserve">Lampiao </t>
  </si>
  <si>
    <t>Barbeador 3in 1</t>
  </si>
  <si>
    <t>Compressor de ar</t>
  </si>
  <si>
    <t>Água Viva Artificia</t>
  </si>
  <si>
    <t>Fone Sem Fio TWS BTH-I30</t>
  </si>
  <si>
    <t>Smartband 119 pro</t>
  </si>
  <si>
    <t>Smartband mi band 5</t>
  </si>
  <si>
    <t>ring light 8 polegas + tripe</t>
  </si>
  <si>
    <t>Camera 380 v</t>
  </si>
  <si>
    <t>Chromecast replica v2</t>
  </si>
  <si>
    <t xml:space="preserve">hub 2,0 7usb </t>
  </si>
  <si>
    <t xml:space="preserve">espremedor de alho </t>
  </si>
  <si>
    <t>Adaptador de redes</t>
  </si>
  <si>
    <t>porta cartao</t>
  </si>
  <si>
    <t>kit pedicure 5 em 1</t>
  </si>
  <si>
    <t>mouse classic preto</t>
  </si>
  <si>
    <t>Cabo king 2 m tipo v8</t>
  </si>
  <si>
    <t>Gatilhos simples</t>
  </si>
  <si>
    <t>Gamepad w10+</t>
  </si>
  <si>
    <t>Gamepad w11 +</t>
  </si>
  <si>
    <t>Tomada usb moto</t>
  </si>
  <si>
    <t>Organizador 16 ga</t>
  </si>
  <si>
    <t xml:space="preserve">Sonoff Mini </t>
  </si>
  <si>
    <t>microSD 128gm</t>
  </si>
  <si>
    <t>Led car RGB</t>
  </si>
  <si>
    <t>Smartband w4</t>
  </si>
  <si>
    <t>Smartband w16</t>
  </si>
  <si>
    <t>Balança pendurar</t>
  </si>
  <si>
    <t>Fone y30</t>
  </si>
  <si>
    <t>Maquina de costura</t>
  </si>
  <si>
    <t>Barbeador azul</t>
  </si>
  <si>
    <t>ring light 4 polegas</t>
  </si>
  <si>
    <t>Tv Box</t>
  </si>
  <si>
    <t>Caixa de som charge 3</t>
  </si>
  <si>
    <t>Cabo king 2 m v8</t>
  </si>
  <si>
    <t>kit fusivel</t>
  </si>
  <si>
    <t>Caixa de som pc</t>
  </si>
  <si>
    <t>Carregador kingo completo iphone</t>
  </si>
  <si>
    <t>Carregador completo v8</t>
  </si>
  <si>
    <t>Multimetro digital</t>
  </si>
  <si>
    <t>Fita led 5050</t>
  </si>
  <si>
    <t>pochete grande</t>
  </si>
  <si>
    <t>fone stereo earphone</t>
  </si>
  <si>
    <t>mouse gamer</t>
  </si>
  <si>
    <t>Carregador simples</t>
  </si>
  <si>
    <t>Mini teclado tv box</t>
  </si>
  <si>
    <t>shopee</t>
  </si>
  <si>
    <t>teclado bing</t>
  </si>
  <si>
    <t>mouse multilaser</t>
  </si>
  <si>
    <t>otg v8</t>
  </si>
  <si>
    <t>hub usb</t>
  </si>
  <si>
    <t>Barbeador inova 3780</t>
  </si>
  <si>
    <t>Powerbank 10k</t>
  </si>
  <si>
    <t>kit reparo bike</t>
  </si>
  <si>
    <t>Aparador pelo nariz</t>
  </si>
  <si>
    <t>organizador 16 gavetas</t>
  </si>
  <si>
    <t xml:space="preserve">Taeser pequena </t>
  </si>
  <si>
    <t>Luz traseira bike</t>
  </si>
  <si>
    <t>manta de trabalho pequena</t>
  </si>
  <si>
    <t>kit reparo pneus</t>
  </si>
  <si>
    <t>reparo pneu macarrao</t>
  </si>
  <si>
    <t>Kit botoes</t>
  </si>
  <si>
    <t>Cabo 2m iphone</t>
  </si>
  <si>
    <t>Instagram</t>
  </si>
  <si>
    <t>Kit chave celular</t>
  </si>
  <si>
    <t>Mni fusivel</t>
  </si>
  <si>
    <t>mini maquina de costura</t>
  </si>
  <si>
    <t>Bomba filtro galao</t>
  </si>
  <si>
    <t>Hbu 4 usb</t>
  </si>
  <si>
    <t>amolador de faca</t>
  </si>
  <si>
    <t>cola super bonde</t>
  </si>
  <si>
    <t>Gamepad A66</t>
  </si>
  <si>
    <t xml:space="preserve">Super bonde </t>
  </si>
  <si>
    <t>Carteira Cartao</t>
  </si>
  <si>
    <t>kit mini fusivel</t>
  </si>
  <si>
    <t>Kit reparo bike</t>
  </si>
  <si>
    <t>mini taiser</t>
  </si>
  <si>
    <t xml:space="preserve">Jogo de chaves 31pçs </t>
  </si>
  <si>
    <t xml:space="preserve">Macarrao reparo </t>
  </si>
  <si>
    <t>taise pequena</t>
  </si>
  <si>
    <t>Lampiao</t>
  </si>
  <si>
    <t>Cola super bonde</t>
  </si>
  <si>
    <t>Smartband x7</t>
  </si>
  <si>
    <t>jogo de chaves 31pçs</t>
  </si>
  <si>
    <t>Gatilho simples</t>
  </si>
  <si>
    <t>Fone de ouvido unicornio</t>
  </si>
  <si>
    <t>Relogio parede rosa</t>
  </si>
  <si>
    <t>Organizador</t>
  </si>
  <si>
    <t>Manta de trabalho</t>
  </si>
  <si>
    <t>Kit Reparo Para Pneu Sem Câmara</t>
  </si>
  <si>
    <t>macarrao reparo</t>
  </si>
  <si>
    <t>plano de tv</t>
  </si>
  <si>
    <t>Smartband m5</t>
  </si>
  <si>
    <t>Antena interna</t>
  </si>
  <si>
    <t>Caixa trio</t>
  </si>
  <si>
    <t>globo de luz pequeno</t>
  </si>
  <si>
    <t>globo de luz grande</t>
  </si>
  <si>
    <t>lampada giratoria</t>
  </si>
  <si>
    <t>Kit reparo de pneu bicicleta</t>
  </si>
  <si>
    <t>kit peraro pneu carro</t>
  </si>
  <si>
    <t>Local de venda</t>
  </si>
  <si>
    <t>Fisica</t>
  </si>
  <si>
    <t>Quantidade</t>
  </si>
  <si>
    <t>Concluido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</si>
</sst>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rgb="FF333333"/>
      <name val="Arial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Inherit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4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44" fontId="5" fillId="4" borderId="1" xfId="1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44" fontId="6" fillId="2" borderId="1" xfId="1" applyFont="1" applyFill="1" applyBorder="1" applyAlignment="1">
      <alignment horizontal="center" vertical="center"/>
    </xf>
    <xf numFmtId="0" fontId="3" fillId="0" borderId="0" xfId="0" applyFont="1"/>
    <xf numFmtId="44" fontId="7" fillId="4" borderId="1" xfId="1" applyFont="1" applyFill="1" applyBorder="1" applyAlignment="1">
      <alignment horizontal="center" vertical="center"/>
    </xf>
    <xf numFmtId="44" fontId="8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44" fontId="2" fillId="3" borderId="1" xfId="1" applyFont="1" applyFill="1" applyBorder="1"/>
    <xf numFmtId="44" fontId="8" fillId="4" borderId="1" xfId="1" applyFont="1" applyFill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/>
    <xf numFmtId="44" fontId="10" fillId="3" borderId="1" xfId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" xfId="1" applyNumberFormat="1" applyFont="1" applyFill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0" fontId="14" fillId="0" borderId="0" xfId="0" applyFont="1"/>
    <xf numFmtId="0" fontId="0" fillId="5" borderId="1" xfId="0" applyFont="1" applyFill="1" applyBorder="1"/>
    <xf numFmtId="0" fontId="0" fillId="5" borderId="1" xfId="0" applyFont="1" applyFill="1" applyBorder="1" applyAlignment="1">
      <alignment horizontal="center" vertical="center"/>
    </xf>
    <xf numFmtId="20" fontId="0" fillId="5" borderId="1" xfId="2" applyNumberFormat="1" applyFont="1" applyFill="1" applyBorder="1" applyAlignment="1">
      <alignment horizontal="center" vertical="center"/>
    </xf>
    <xf numFmtId="0" fontId="0" fillId="5" borderId="1" xfId="2" applyNumberFormat="1" applyFont="1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44" fontId="3" fillId="0" borderId="1" xfId="1" applyFont="1" applyBorder="1" applyAlignment="1">
      <alignment horizontal="center"/>
    </xf>
    <xf numFmtId="44" fontId="3" fillId="0" borderId="1" xfId="1" applyFont="1" applyBorder="1"/>
    <xf numFmtId="0" fontId="4" fillId="3" borderId="1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/>
    </xf>
    <xf numFmtId="44" fontId="5" fillId="0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17" fillId="0" borderId="1" xfId="1" applyFont="1" applyBorder="1" applyAlignment="1"/>
    <xf numFmtId="44" fontId="17" fillId="0" borderId="1" xfId="1" applyFont="1" applyBorder="1" applyAlignment="1">
      <alignment horizontal="center"/>
    </xf>
    <xf numFmtId="44" fontId="16" fillId="0" borderId="1" xfId="1" applyFont="1" applyBorder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7" fillId="0" borderId="1" xfId="2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44" fontId="17" fillId="0" borderId="1" xfId="1" applyFont="1" applyBorder="1" applyAlignment="1">
      <alignment horizontal="left"/>
    </xf>
    <xf numFmtId="44" fontId="17" fillId="0" borderId="0" xfId="0" applyNumberFormat="1" applyFont="1"/>
    <xf numFmtId="44" fontId="17" fillId="0" borderId="1" xfId="1" applyFont="1" applyBorder="1"/>
    <xf numFmtId="44" fontId="18" fillId="0" borderId="1" xfId="1" applyFont="1" applyBorder="1" applyAlignment="1">
      <alignment horizontal="left"/>
    </xf>
    <xf numFmtId="44" fontId="17" fillId="0" borderId="0" xfId="1" applyFont="1"/>
    <xf numFmtId="0" fontId="9" fillId="3" borderId="1" xfId="0" applyFont="1" applyFill="1" applyBorder="1" applyAlignment="1">
      <alignment horizontal="center" vertical="center"/>
    </xf>
    <xf numFmtId="44" fontId="9" fillId="3" borderId="1" xfId="1" applyFont="1" applyFill="1" applyBorder="1" applyAlignment="1">
      <alignment horizontal="center" vertical="center"/>
    </xf>
    <xf numFmtId="44" fontId="17" fillId="0" borderId="1" xfId="1" applyFont="1" applyFill="1" applyBorder="1"/>
    <xf numFmtId="0" fontId="17" fillId="0" borderId="1" xfId="0" applyFont="1" applyBorder="1" applyAlignment="1">
      <alignment wrapText="1"/>
    </xf>
    <xf numFmtId="0" fontId="9" fillId="3" borderId="1" xfId="2" applyNumberFormat="1" applyFont="1" applyFill="1" applyBorder="1" applyAlignment="1">
      <alignment horizontal="left" vertical="center"/>
    </xf>
    <xf numFmtId="0" fontId="17" fillId="0" borderId="0" xfId="2" applyNumberFormat="1" applyFont="1" applyAlignment="1">
      <alignment horizontal="left"/>
    </xf>
    <xf numFmtId="44" fontId="17" fillId="0" borderId="1" xfId="1" quotePrefix="1" applyFont="1" applyBorder="1"/>
    <xf numFmtId="44" fontId="17" fillId="0" borderId="1" xfId="1" applyFont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3100"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theme="9" tint="-0.24994659260841701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F000F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F000F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F000F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F000F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F000F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9" tint="-0.24994659260841701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F000F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theme="9" tint="-0.24994659260841701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theme="8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9" tint="-0.24994659260841701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BE0CC2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BE0CC2"/>
      </font>
    </dxf>
    <dxf>
      <font>
        <b/>
        <i/>
        <color rgb="FFF000F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C0000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FF0000"/>
      </font>
    </dxf>
  </dxfs>
  <tableStyles count="0" defaultTableStyle="TableStyleMedium2" defaultPivotStyle="PivotStyleLight16"/>
  <colors>
    <mruColors>
      <color rgb="FFF00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Grafico de Gastos pessoais </a:t>
            </a:r>
            <a:endParaRPr lang="en-US" baseline="0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Gastos!$A$9</c:f>
              <c:strCache>
                <c:ptCount val="1"/>
                <c:pt idx="0">
                  <c:v>Total Gasto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Gastos!$B$1:$L$1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Gastos!$B$9:$M$9</c:f>
              <c:numCache>
                <c:formatCode>_("R$"* #,##0.00_);_("R$"* \(#,##0.00\);_("R$"* "-"??_);_(@_)</c:formatCode>
                <c:ptCount val="12"/>
                <c:pt idx="0">
                  <c:v>828</c:v>
                </c:pt>
                <c:pt idx="1">
                  <c:v>821.2</c:v>
                </c:pt>
                <c:pt idx="2">
                  <c:v>911.11</c:v>
                </c:pt>
                <c:pt idx="3">
                  <c:v>154.99</c:v>
                </c:pt>
                <c:pt idx="4">
                  <c:v>2833.1499999999996</c:v>
                </c:pt>
                <c:pt idx="5">
                  <c:v>3087.07</c:v>
                </c:pt>
                <c:pt idx="6">
                  <c:v>651.08999999999992</c:v>
                </c:pt>
                <c:pt idx="7">
                  <c:v>499.77</c:v>
                </c:pt>
                <c:pt idx="8">
                  <c:v>499.77</c:v>
                </c:pt>
                <c:pt idx="9">
                  <c:v>499.77</c:v>
                </c:pt>
                <c:pt idx="10">
                  <c:v>499.77</c:v>
                </c:pt>
                <c:pt idx="11">
                  <c:v>481.9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D-4D1B-BD34-B5015DC7A371}"/>
            </c:ext>
          </c:extLst>
        </c:ser>
        <c:ser>
          <c:idx val="1"/>
          <c:order val="1"/>
          <c:tx>
            <c:strRef>
              <c:f>Gastos!$A$15</c:f>
              <c:strCache>
                <c:ptCount val="1"/>
                <c:pt idx="0">
                  <c:v>Total Ganho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Gastos!$B$1:$L$1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Gastos!$B$15:$M$15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914</c:v>
                </c:pt>
                <c:pt idx="10">
                  <c:v>914</c:v>
                </c:pt>
                <c:pt idx="11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D-4D1B-BD34-B5015DC7A371}"/>
            </c:ext>
          </c:extLst>
        </c:ser>
        <c:ser>
          <c:idx val="2"/>
          <c:order val="2"/>
          <c:tx>
            <c:strRef>
              <c:f>Gastos!$A$17</c:f>
              <c:strCache>
                <c:ptCount val="1"/>
                <c:pt idx="0">
                  <c:v>Sobrando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Gastos!$B$1:$L$1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Gastos!$B$17:$M$17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414.23</c:v>
                </c:pt>
                <c:pt idx="10">
                  <c:v>414.23</c:v>
                </c:pt>
                <c:pt idx="11">
                  <c:v>432.1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D-4D1B-BD34-B5015DC7A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486208"/>
        <c:axId val="65496192"/>
        <c:axId val="0"/>
      </c:bar3DChart>
      <c:catAx>
        <c:axId val="65486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5496192"/>
        <c:crosses val="autoZero"/>
        <c:auto val="1"/>
        <c:lblAlgn val="ctr"/>
        <c:lblOffset val="100"/>
        <c:noMultiLvlLbl val="0"/>
      </c:catAx>
      <c:valAx>
        <c:axId val="65496192"/>
        <c:scaling>
          <c:orientation val="minMax"/>
        </c:scaling>
        <c:delete val="0"/>
        <c:axPos val="l"/>
        <c:majorGridlines/>
        <c:title>
          <c:overlay val="0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548620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34" footer="0.314960620000013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Grafico receita LC</a:t>
            </a:r>
          </a:p>
        </c:rich>
      </c:tx>
      <c:layout>
        <c:manualLayout>
          <c:xMode val="edge"/>
          <c:yMode val="edge"/>
          <c:x val="0.42097971575519288"/>
          <c:y val="2.777777777777968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Gastos!$A$49</c:f>
              <c:strCache>
                <c:ptCount val="1"/>
                <c:pt idx="0">
                  <c:v>Total Gasto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Gastos!$B$45:$M$45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Gastos!$B$49:$M$49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0-42DB-BD50-79C89B497994}"/>
            </c:ext>
          </c:extLst>
        </c:ser>
        <c:ser>
          <c:idx val="1"/>
          <c:order val="1"/>
          <c:tx>
            <c:strRef>
              <c:f>Gastos!$A$53</c:f>
              <c:strCache>
                <c:ptCount val="1"/>
                <c:pt idx="0">
                  <c:v>Total Ganho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Gastos!$B$45:$M$45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Gastos!$B$53:$M$53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0-42DB-BD50-79C89B497994}"/>
            </c:ext>
          </c:extLst>
        </c:ser>
        <c:ser>
          <c:idx val="2"/>
          <c:order val="2"/>
          <c:tx>
            <c:strRef>
              <c:f>Gastos!$A$54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Gastos!$B$45:$M$45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Gastos!$B$54:$M$54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C0-42DB-BD50-79C89B497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30112"/>
        <c:axId val="69353472"/>
      </c:barChart>
      <c:catAx>
        <c:axId val="6553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9353472"/>
        <c:crosses val="autoZero"/>
        <c:auto val="1"/>
        <c:lblAlgn val="ctr"/>
        <c:lblOffset val="100"/>
        <c:noMultiLvlLbl val="0"/>
      </c:catAx>
      <c:valAx>
        <c:axId val="69353472"/>
        <c:scaling>
          <c:orientation val="minMax"/>
        </c:scaling>
        <c:delete val="0"/>
        <c:axPos val="l"/>
        <c:majorGridlines/>
        <c:title>
          <c:overlay val="0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553011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057" footer="0.3149606200000105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142875</xdr:rowOff>
    </xdr:from>
    <xdr:to>
      <xdr:col>12</xdr:col>
      <xdr:colOff>866774</xdr:colOff>
      <xdr:row>42</xdr:row>
      <xdr:rowOff>108137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38099</xdr:rowOff>
    </xdr:from>
    <xdr:to>
      <xdr:col>13</xdr:col>
      <xdr:colOff>19049</xdr:colOff>
      <xdr:row>72</xdr:row>
      <xdr:rowOff>47624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"/>
  <sheetViews>
    <sheetView zoomScaleNormal="100" workbookViewId="0">
      <selection activeCell="R235" sqref="R235"/>
    </sheetView>
  </sheetViews>
  <sheetFormatPr defaultRowHeight="15"/>
  <cols>
    <col min="1" max="1" width="13.5703125" style="2" bestFit="1" customWidth="1"/>
    <col min="2" max="2" width="12.140625" bestFit="1" customWidth="1"/>
    <col min="3" max="3" width="12.28515625" bestFit="1" customWidth="1"/>
    <col min="4" max="4" width="12.140625" bestFit="1" customWidth="1"/>
    <col min="5" max="5" width="13.28515625" bestFit="1" customWidth="1"/>
    <col min="6" max="9" width="12.140625" bestFit="1" customWidth="1"/>
    <col min="10" max="10" width="12.42578125" bestFit="1" customWidth="1"/>
    <col min="11" max="11" width="12.140625" bestFit="1" customWidth="1"/>
    <col min="12" max="13" width="13.42578125" bestFit="1" customWidth="1"/>
    <col min="14" max="14" width="9.7109375" customWidth="1"/>
  </cols>
  <sheetData>
    <row r="1" spans="1:13" s="1" customFormat="1" ht="18.7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</v>
      </c>
    </row>
    <row r="2" spans="1:13">
      <c r="A2" s="7" t="s">
        <v>34</v>
      </c>
      <c r="B2" s="14">
        <v>769</v>
      </c>
      <c r="C2" s="14">
        <v>580</v>
      </c>
      <c r="D2" s="14">
        <v>696.12</v>
      </c>
      <c r="E2" s="14">
        <v>1562.09</v>
      </c>
      <c r="F2" s="14">
        <v>1541.83</v>
      </c>
      <c r="G2" s="9">
        <v>2329.0700000000002</v>
      </c>
      <c r="H2" s="9">
        <v>472.09</v>
      </c>
      <c r="I2" s="9">
        <v>320.77</v>
      </c>
      <c r="J2" s="9">
        <v>320.77</v>
      </c>
      <c r="K2" s="9">
        <v>320.77</v>
      </c>
      <c r="L2" s="9">
        <v>320.77</v>
      </c>
      <c r="M2" s="9">
        <v>302.89999999999998</v>
      </c>
    </row>
    <row r="3" spans="1:13">
      <c r="A3" s="7" t="s">
        <v>35</v>
      </c>
      <c r="B3" s="14"/>
      <c r="C3" s="14"/>
      <c r="D3" s="14"/>
      <c r="E3" s="14"/>
      <c r="F3" s="14">
        <v>993.48</v>
      </c>
      <c r="G3" s="9">
        <f>353+226</f>
        <v>579</v>
      </c>
      <c r="H3" s="9"/>
      <c r="I3" s="9"/>
      <c r="J3" s="9"/>
      <c r="K3" s="9"/>
      <c r="L3" s="9"/>
      <c r="M3" s="9"/>
    </row>
    <row r="4" spans="1:13">
      <c r="A4" s="7" t="s">
        <v>25</v>
      </c>
      <c r="B4" s="14" t="s">
        <v>14</v>
      </c>
      <c r="C4" s="14">
        <v>70</v>
      </c>
      <c r="D4" s="14">
        <v>60</v>
      </c>
      <c r="E4" s="14">
        <v>70</v>
      </c>
      <c r="F4" s="14">
        <v>70</v>
      </c>
      <c r="G4" s="9">
        <v>70</v>
      </c>
      <c r="H4" s="9">
        <v>70</v>
      </c>
      <c r="I4" s="9">
        <v>70</v>
      </c>
      <c r="J4" s="9">
        <v>70</v>
      </c>
      <c r="K4" s="9">
        <v>70</v>
      </c>
      <c r="L4" s="9">
        <v>70</v>
      </c>
      <c r="M4" s="9">
        <v>70</v>
      </c>
    </row>
    <row r="5" spans="1:13">
      <c r="A5" s="7" t="s">
        <v>26</v>
      </c>
      <c r="B5" s="14" t="s">
        <v>14</v>
      </c>
      <c r="C5" s="14">
        <v>95.99</v>
      </c>
      <c r="D5" s="14">
        <v>95.99</v>
      </c>
      <c r="E5" s="14">
        <v>95.99</v>
      </c>
      <c r="F5" s="14">
        <v>95.99</v>
      </c>
      <c r="G5" s="9" t="s">
        <v>14</v>
      </c>
      <c r="H5" s="9" t="s">
        <v>14</v>
      </c>
      <c r="I5" s="9" t="s">
        <v>14</v>
      </c>
      <c r="J5" s="9" t="s">
        <v>14</v>
      </c>
      <c r="K5" s="9" t="s">
        <v>14</v>
      </c>
      <c r="L5" s="9" t="s">
        <v>14</v>
      </c>
      <c r="M5" s="9" t="s">
        <v>14</v>
      </c>
    </row>
    <row r="6" spans="1:13">
      <c r="A6" s="7" t="s">
        <v>20</v>
      </c>
      <c r="B6" s="14">
        <v>59</v>
      </c>
      <c r="C6" s="14">
        <v>59</v>
      </c>
      <c r="D6" s="14">
        <v>59</v>
      </c>
      <c r="E6" s="14">
        <v>59</v>
      </c>
      <c r="F6" s="14">
        <v>59</v>
      </c>
      <c r="G6" s="9">
        <v>59</v>
      </c>
      <c r="H6" s="9">
        <v>59</v>
      </c>
      <c r="I6" s="9">
        <v>59</v>
      </c>
      <c r="J6" s="9">
        <v>59</v>
      </c>
      <c r="K6" s="9">
        <v>59</v>
      </c>
      <c r="L6" s="9">
        <v>59</v>
      </c>
      <c r="M6" s="9">
        <v>59</v>
      </c>
    </row>
    <row r="7" spans="1:13">
      <c r="A7" s="7" t="s">
        <v>21</v>
      </c>
      <c r="B7" s="14" t="s">
        <v>14</v>
      </c>
      <c r="C7" s="14">
        <v>16.21</v>
      </c>
      <c r="D7" s="14" t="s">
        <v>14</v>
      </c>
      <c r="E7" s="20" t="s">
        <v>14</v>
      </c>
      <c r="F7" s="14">
        <v>72.849999999999994</v>
      </c>
      <c r="G7" s="9" t="s">
        <v>14</v>
      </c>
      <c r="H7" s="9" t="s">
        <v>14</v>
      </c>
      <c r="I7" s="9" t="s">
        <v>14</v>
      </c>
      <c r="J7" s="9" t="s">
        <v>14</v>
      </c>
      <c r="K7" s="9" t="s">
        <v>14</v>
      </c>
      <c r="L7" s="9" t="s">
        <v>14</v>
      </c>
      <c r="M7" s="9" t="s">
        <v>14</v>
      </c>
    </row>
    <row r="8" spans="1:13">
      <c r="A8" s="7" t="s">
        <v>24</v>
      </c>
      <c r="B8" s="14" t="s">
        <v>14</v>
      </c>
      <c r="C8" s="14" t="s">
        <v>14</v>
      </c>
      <c r="D8" s="14"/>
      <c r="E8" s="14"/>
      <c r="F8" s="9"/>
      <c r="G8" s="9">
        <v>50</v>
      </c>
      <c r="H8" s="9">
        <v>50</v>
      </c>
      <c r="I8" s="9">
        <v>50</v>
      </c>
      <c r="J8" s="9">
        <v>50</v>
      </c>
      <c r="K8" s="9">
        <v>50</v>
      </c>
      <c r="L8" s="9">
        <v>50</v>
      </c>
      <c r="M8" s="9">
        <v>50</v>
      </c>
    </row>
    <row r="9" spans="1:13">
      <c r="A9" s="6" t="s">
        <v>23</v>
      </c>
      <c r="B9" s="4">
        <f t="shared" ref="B9:L9" si="0">SUM(B2:B8)</f>
        <v>828</v>
      </c>
      <c r="C9" s="4">
        <f t="shared" si="0"/>
        <v>821.2</v>
      </c>
      <c r="D9" s="4">
        <f t="shared" si="0"/>
        <v>911.11</v>
      </c>
      <c r="E9" s="4">
        <f>SUM(E5:E8)</f>
        <v>154.99</v>
      </c>
      <c r="F9" s="4">
        <f t="shared" si="0"/>
        <v>2833.1499999999996</v>
      </c>
      <c r="G9" s="4">
        <f t="shared" si="0"/>
        <v>3087.07</v>
      </c>
      <c r="H9" s="4">
        <f t="shared" si="0"/>
        <v>651.08999999999992</v>
      </c>
      <c r="I9" s="4">
        <f t="shared" si="0"/>
        <v>499.77</v>
      </c>
      <c r="J9" s="4">
        <f t="shared" si="0"/>
        <v>499.77</v>
      </c>
      <c r="K9" s="4">
        <f t="shared" si="0"/>
        <v>499.77</v>
      </c>
      <c r="L9" s="4">
        <f t="shared" si="0"/>
        <v>499.77</v>
      </c>
      <c r="M9" s="4">
        <f>SUM(M2:M8)</f>
        <v>481.9</v>
      </c>
    </row>
    <row r="10" spans="1:13" ht="18.75">
      <c r="A10" s="11" t="s">
        <v>15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</v>
      </c>
    </row>
    <row r="11" spans="1:13">
      <c r="A11" s="7" t="s">
        <v>46</v>
      </c>
      <c r="B11" s="10">
        <v>443</v>
      </c>
      <c r="C11" s="10">
        <v>365</v>
      </c>
      <c r="D11" s="10">
        <v>812</v>
      </c>
      <c r="E11" s="10">
        <v>815</v>
      </c>
      <c r="F11" s="10">
        <v>815</v>
      </c>
      <c r="G11" s="10">
        <v>914</v>
      </c>
      <c r="H11" s="10">
        <v>914</v>
      </c>
      <c r="I11" s="10">
        <v>914</v>
      </c>
      <c r="J11" s="10">
        <v>914</v>
      </c>
      <c r="K11" s="10">
        <v>914</v>
      </c>
      <c r="L11" s="10">
        <v>914</v>
      </c>
      <c r="M11" s="10">
        <v>914</v>
      </c>
    </row>
    <row r="12" spans="1:13">
      <c r="A12" s="7" t="s">
        <v>17</v>
      </c>
      <c r="B12" s="15" t="e">
        <f>#REF!</f>
        <v>#REF!</v>
      </c>
      <c r="C12" s="15">
        <v>310</v>
      </c>
      <c r="D12" s="15"/>
      <c r="E12" s="15"/>
      <c r="F12" s="15">
        <v>400</v>
      </c>
      <c r="G12" s="15">
        <v>400</v>
      </c>
      <c r="H12" s="15"/>
      <c r="I12" s="15"/>
      <c r="J12" s="15"/>
      <c r="K12" s="15"/>
      <c r="L12" s="15"/>
      <c r="M12" s="15"/>
    </row>
    <row r="13" spans="1:13">
      <c r="A13" s="7" t="s">
        <v>18</v>
      </c>
      <c r="B13" s="15" t="e">
        <f>B53</f>
        <v>#REF!</v>
      </c>
      <c r="C13" s="15" t="e">
        <f t="shared" ref="C13:M13" si="1">C53</f>
        <v>#REF!</v>
      </c>
      <c r="D13" s="15" t="e">
        <f>#REF!</f>
        <v>#REF!</v>
      </c>
      <c r="E13" s="15" t="e">
        <f>#REF!</f>
        <v>#REF!</v>
      </c>
      <c r="F13" s="15" t="e">
        <f>#REF!</f>
        <v>#REF!</v>
      </c>
      <c r="G13" s="15" t="e">
        <f>G53</f>
        <v>#REF!</v>
      </c>
      <c r="H13" s="15" t="e">
        <f>H53</f>
        <v>#REF!</v>
      </c>
      <c r="I13" s="15" t="e">
        <f>I53</f>
        <v>#REF!</v>
      </c>
      <c r="J13" s="15" t="e">
        <f t="shared" si="1"/>
        <v>#REF!</v>
      </c>
      <c r="K13" s="15">
        <f t="shared" si="1"/>
        <v>0</v>
      </c>
      <c r="L13" s="15">
        <f t="shared" si="1"/>
        <v>0</v>
      </c>
      <c r="M13" s="15">
        <f t="shared" si="1"/>
        <v>0</v>
      </c>
    </row>
    <row r="14" spans="1:13">
      <c r="A14" s="7" t="s">
        <v>19</v>
      </c>
      <c r="B14" s="12" t="e">
        <f>#REF!</f>
        <v>#REF!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>
      <c r="A15" s="6" t="s">
        <v>22</v>
      </c>
      <c r="B15" s="10" t="e">
        <f>SUM(B11:B14)</f>
        <v>#REF!</v>
      </c>
      <c r="C15" s="10" t="e">
        <f>SUM(C11:C14)</f>
        <v>#REF!</v>
      </c>
      <c r="D15" s="10" t="e">
        <f>SUM(D11:D14)</f>
        <v>#REF!</v>
      </c>
      <c r="E15" s="10" t="e">
        <f>SUM(E11:E14)</f>
        <v>#REF!</v>
      </c>
      <c r="F15" s="10" t="e">
        <f>SUM(F11:F14)</f>
        <v>#REF!</v>
      </c>
      <c r="G15" s="10" t="e">
        <f t="shared" ref="G15:M15" si="2">SUM(G11:G14)</f>
        <v>#REF!</v>
      </c>
      <c r="H15" s="10" t="e">
        <f t="shared" si="2"/>
        <v>#REF!</v>
      </c>
      <c r="I15" s="10" t="e">
        <f t="shared" si="2"/>
        <v>#REF!</v>
      </c>
      <c r="J15" s="10" t="e">
        <f t="shared" si="2"/>
        <v>#REF!</v>
      </c>
      <c r="K15" s="10">
        <f t="shared" si="2"/>
        <v>914</v>
      </c>
      <c r="L15" s="10">
        <f t="shared" si="2"/>
        <v>914</v>
      </c>
      <c r="M15" s="10">
        <f t="shared" si="2"/>
        <v>914</v>
      </c>
    </row>
    <row r="16" spans="1:13">
      <c r="A16" s="23"/>
      <c r="B16" s="4" t="e">
        <f>B15-2000</f>
        <v>#REF!</v>
      </c>
      <c r="C16" s="4" t="e">
        <f t="shared" ref="C16:M16" si="3">C15-2000</f>
        <v>#REF!</v>
      </c>
      <c r="D16" s="4" t="e">
        <f t="shared" si="3"/>
        <v>#REF!</v>
      </c>
      <c r="E16" s="4" t="e">
        <f t="shared" si="3"/>
        <v>#REF!</v>
      </c>
      <c r="F16" s="4" t="e">
        <f t="shared" si="3"/>
        <v>#REF!</v>
      </c>
      <c r="G16" s="4" t="e">
        <f t="shared" si="3"/>
        <v>#REF!</v>
      </c>
      <c r="H16" s="4" t="e">
        <f t="shared" si="3"/>
        <v>#REF!</v>
      </c>
      <c r="I16" s="4" t="e">
        <f t="shared" si="3"/>
        <v>#REF!</v>
      </c>
      <c r="J16" s="4" t="e">
        <f t="shared" si="3"/>
        <v>#REF!</v>
      </c>
      <c r="K16" s="4">
        <f t="shared" si="3"/>
        <v>-1086</v>
      </c>
      <c r="L16" s="4">
        <f t="shared" si="3"/>
        <v>-1086</v>
      </c>
      <c r="M16" s="4">
        <f t="shared" si="3"/>
        <v>-1086</v>
      </c>
    </row>
    <row r="17" spans="1:13">
      <c r="A17" s="6" t="s">
        <v>16</v>
      </c>
      <c r="B17" s="5" t="e">
        <f t="shared" ref="B17:M17" si="4">SUM(B15-B9)</f>
        <v>#REF!</v>
      </c>
      <c r="C17" s="5" t="e">
        <f t="shared" si="4"/>
        <v>#REF!</v>
      </c>
      <c r="D17" s="5" t="e">
        <f t="shared" si="4"/>
        <v>#REF!</v>
      </c>
      <c r="E17" s="5" t="e">
        <f>SUM(E15-E9)</f>
        <v>#REF!</v>
      </c>
      <c r="F17" s="5" t="e">
        <f t="shared" si="4"/>
        <v>#REF!</v>
      </c>
      <c r="G17" s="5" t="e">
        <f t="shared" si="4"/>
        <v>#REF!</v>
      </c>
      <c r="H17" s="5" t="e">
        <f t="shared" si="4"/>
        <v>#REF!</v>
      </c>
      <c r="I17" s="5" t="e">
        <f t="shared" si="4"/>
        <v>#REF!</v>
      </c>
      <c r="J17" s="5" t="e">
        <f t="shared" si="4"/>
        <v>#REF!</v>
      </c>
      <c r="K17" s="5">
        <f t="shared" si="4"/>
        <v>414.23</v>
      </c>
      <c r="L17" s="5">
        <f t="shared" si="4"/>
        <v>414.23</v>
      </c>
      <c r="M17" s="5">
        <f t="shared" si="4"/>
        <v>432.1</v>
      </c>
    </row>
    <row r="19" spans="1:13">
      <c r="A19"/>
    </row>
    <row r="20" spans="1:13">
      <c r="A20"/>
    </row>
    <row r="21" spans="1:13">
      <c r="A21"/>
    </row>
    <row r="22" spans="1:13">
      <c r="A22"/>
    </row>
    <row r="23" spans="1:13">
      <c r="A23"/>
    </row>
    <row r="24" spans="1:13">
      <c r="A24"/>
    </row>
    <row r="25" spans="1:13">
      <c r="A25"/>
    </row>
    <row r="26" spans="1:13" ht="19.5" customHeight="1">
      <c r="A26"/>
    </row>
    <row r="27" spans="1:13">
      <c r="A27"/>
    </row>
    <row r="28" spans="1:13">
      <c r="A28"/>
    </row>
    <row r="29" spans="1:13">
      <c r="A29"/>
    </row>
    <row r="30" spans="1:13">
      <c r="A30"/>
    </row>
    <row r="45" spans="1:13" s="1" customFormat="1" ht="18.75">
      <c r="A45" s="3" t="s">
        <v>0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6</v>
      </c>
      <c r="G45" s="3" t="s">
        <v>7</v>
      </c>
      <c r="H45" s="3" t="s">
        <v>8</v>
      </c>
      <c r="I45" s="3" t="s">
        <v>9</v>
      </c>
      <c r="J45" s="3" t="s">
        <v>10</v>
      </c>
      <c r="K45" s="3" t="s">
        <v>11</v>
      </c>
      <c r="L45" s="3" t="s">
        <v>12</v>
      </c>
      <c r="M45" s="3" t="s">
        <v>1</v>
      </c>
    </row>
    <row r="46" spans="1:13">
      <c r="A46" s="7" t="s">
        <v>13</v>
      </c>
      <c r="B46" s="14">
        <v>0</v>
      </c>
      <c r="C46" s="14">
        <v>0</v>
      </c>
      <c r="D46" s="14" t="e">
        <f>SUM(#REF!)</f>
        <v>#REF!</v>
      </c>
      <c r="E46" s="9" t="e">
        <f>#REF!</f>
        <v>#REF!</v>
      </c>
      <c r="F46" s="9" t="e">
        <f>#REF!</f>
        <v>#REF!</v>
      </c>
      <c r="G46" s="9" t="e">
        <f>#REF!</f>
        <v>#REF!</v>
      </c>
      <c r="H46" s="9" t="e">
        <f>#REF!</f>
        <v>#REF!</v>
      </c>
      <c r="I46" s="9" t="e">
        <f>#REF!</f>
        <v>#REF!</v>
      </c>
      <c r="J46" s="9" t="e">
        <f>#REF!</f>
        <v>#REF!</v>
      </c>
      <c r="K46" s="9"/>
      <c r="L46" s="9"/>
      <c r="M46" s="9"/>
    </row>
    <row r="47" spans="1:13">
      <c r="A47" s="7"/>
      <c r="B47" s="14"/>
      <c r="C47" s="14"/>
      <c r="D47" s="14"/>
      <c r="E47" s="9"/>
      <c r="F47" s="9"/>
      <c r="G47" s="9"/>
      <c r="H47" s="9"/>
      <c r="I47" s="9"/>
      <c r="J47" s="9"/>
      <c r="K47" s="9"/>
      <c r="L47" s="9"/>
      <c r="M47" s="9"/>
    </row>
    <row r="48" spans="1:13">
      <c r="A48" s="7"/>
      <c r="B48" s="14"/>
      <c r="C48" s="14"/>
      <c r="D48" s="14"/>
      <c r="E48" s="9"/>
      <c r="F48" s="9"/>
      <c r="G48" s="9"/>
      <c r="H48" s="9"/>
      <c r="I48" s="9"/>
      <c r="J48" s="9"/>
      <c r="K48" s="9"/>
      <c r="L48" s="9"/>
      <c r="M48" s="9"/>
    </row>
    <row r="49" spans="1:13">
      <c r="A49" s="6" t="s">
        <v>23</v>
      </c>
      <c r="B49" s="4">
        <f t="shared" ref="B49:M49" si="5">SUM(B46:B48)</f>
        <v>0</v>
      </c>
      <c r="C49" s="4">
        <f t="shared" si="5"/>
        <v>0</v>
      </c>
      <c r="D49" s="4" t="e">
        <f t="shared" si="5"/>
        <v>#REF!</v>
      </c>
      <c r="E49" s="4" t="e">
        <f t="shared" si="5"/>
        <v>#REF!</v>
      </c>
      <c r="F49" s="4" t="e">
        <f t="shared" si="5"/>
        <v>#REF!</v>
      </c>
      <c r="G49" s="4" t="e">
        <f t="shared" si="5"/>
        <v>#REF!</v>
      </c>
      <c r="H49" s="4" t="e">
        <f t="shared" si="5"/>
        <v>#REF!</v>
      </c>
      <c r="I49" s="4" t="e">
        <f t="shared" si="5"/>
        <v>#REF!</v>
      </c>
      <c r="J49" s="4" t="e">
        <f t="shared" si="5"/>
        <v>#REF!</v>
      </c>
      <c r="K49" s="4">
        <f t="shared" si="5"/>
        <v>0</v>
      </c>
      <c r="L49" s="4">
        <f t="shared" si="5"/>
        <v>0</v>
      </c>
      <c r="M49" s="4">
        <f t="shared" si="5"/>
        <v>0</v>
      </c>
    </row>
    <row r="50" spans="1:13" ht="18.75">
      <c r="A50" s="11" t="s">
        <v>15</v>
      </c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3" t="s">
        <v>9</v>
      </c>
      <c r="J50" s="3" t="s">
        <v>10</v>
      </c>
      <c r="K50" s="3" t="s">
        <v>11</v>
      </c>
      <c r="L50" s="3" t="s">
        <v>12</v>
      </c>
      <c r="M50" s="3" t="s">
        <v>1</v>
      </c>
    </row>
    <row r="51" spans="1:13">
      <c r="A51" s="7" t="s">
        <v>18</v>
      </c>
      <c r="B51" s="10" t="e">
        <f>#REF!</f>
        <v>#REF!</v>
      </c>
      <c r="C51" s="10" t="e">
        <f>#REF!</f>
        <v>#REF!</v>
      </c>
      <c r="D51" s="10" t="e">
        <f>#REF!</f>
        <v>#REF!</v>
      </c>
      <c r="E51" s="10" t="e">
        <f>#REF!</f>
        <v>#REF!</v>
      </c>
      <c r="F51" s="10" t="e">
        <f>#REF!</f>
        <v>#REF!</v>
      </c>
      <c r="G51" s="10" t="e">
        <f>#REF!</f>
        <v>#REF!</v>
      </c>
      <c r="H51" s="10" t="e">
        <f>#REF!</f>
        <v>#REF!</v>
      </c>
      <c r="I51" s="10" t="e">
        <f>#REF!</f>
        <v>#REF!</v>
      </c>
      <c r="J51" s="10" t="e">
        <f>#REF!</f>
        <v>#REF!</v>
      </c>
      <c r="K51" s="10"/>
      <c r="L51" s="10"/>
      <c r="M51" s="10"/>
    </row>
    <row r="52" spans="1:13">
      <c r="A52" s="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>
      <c r="A53" s="6" t="s">
        <v>22</v>
      </c>
      <c r="B53" s="10" t="e">
        <f>SUM(B51:B52)</f>
        <v>#REF!</v>
      </c>
      <c r="C53" s="10" t="e">
        <f t="shared" ref="C53:M53" si="6">SUM(C51:C52)</f>
        <v>#REF!</v>
      </c>
      <c r="D53" s="10" t="e">
        <f t="shared" si="6"/>
        <v>#REF!</v>
      </c>
      <c r="E53" s="10" t="e">
        <f>SUM(E51:E52)</f>
        <v>#REF!</v>
      </c>
      <c r="F53" s="10" t="e">
        <f t="shared" si="6"/>
        <v>#REF!</v>
      </c>
      <c r="G53" s="10" t="e">
        <f t="shared" si="6"/>
        <v>#REF!</v>
      </c>
      <c r="H53" s="10" t="e">
        <f t="shared" si="6"/>
        <v>#REF!</v>
      </c>
      <c r="I53" s="10" t="e">
        <f t="shared" si="6"/>
        <v>#REF!</v>
      </c>
      <c r="J53" s="10" t="e">
        <f t="shared" si="6"/>
        <v>#REF!</v>
      </c>
      <c r="K53" s="10">
        <f t="shared" si="6"/>
        <v>0</v>
      </c>
      <c r="L53" s="10">
        <f t="shared" si="6"/>
        <v>0</v>
      </c>
      <c r="M53" s="10">
        <f t="shared" si="6"/>
        <v>0</v>
      </c>
    </row>
    <row r="54" spans="1:13">
      <c r="A54" s="6" t="s">
        <v>28</v>
      </c>
      <c r="B54" s="19" t="e">
        <f>SUM(B53-B49)</f>
        <v>#REF!</v>
      </c>
      <c r="C54" s="19" t="e">
        <f t="shared" ref="C54:M54" si="7">SUM(C53-C49)</f>
        <v>#REF!</v>
      </c>
      <c r="D54" s="19" t="e">
        <f>#REF!</f>
        <v>#REF!</v>
      </c>
      <c r="E54" s="19" t="e">
        <f>#REF!</f>
        <v>#REF!</v>
      </c>
      <c r="F54" s="19" t="e">
        <f>#REF!</f>
        <v>#REF!</v>
      </c>
      <c r="G54" s="19" t="e">
        <f t="shared" si="7"/>
        <v>#REF!</v>
      </c>
      <c r="H54" s="19" t="e">
        <f t="shared" si="7"/>
        <v>#REF!</v>
      </c>
      <c r="I54" s="19" t="e">
        <f t="shared" si="7"/>
        <v>#REF!</v>
      </c>
      <c r="J54" s="19" t="e">
        <f t="shared" si="7"/>
        <v>#REF!</v>
      </c>
      <c r="K54" s="19">
        <f t="shared" si="7"/>
        <v>0</v>
      </c>
      <c r="L54" s="19">
        <f t="shared" si="7"/>
        <v>0</v>
      </c>
      <c r="M54" s="19">
        <f t="shared" si="7"/>
        <v>0</v>
      </c>
    </row>
    <row r="55" spans="1:13">
      <c r="D55" t="s">
        <v>47</v>
      </c>
    </row>
    <row r="82" spans="4:4">
      <c r="D82" s="24"/>
    </row>
    <row r="84" spans="4:4">
      <c r="D84" s="24"/>
    </row>
    <row r="86" spans="4:4">
      <c r="D86" s="24"/>
    </row>
    <row r="88" spans="4:4">
      <c r="D88" s="24"/>
    </row>
    <row r="90" spans="4:4">
      <c r="D90" s="24"/>
    </row>
    <row r="92" spans="4:4">
      <c r="D92" s="24"/>
    </row>
    <row r="94" spans="4:4">
      <c r="D94" s="24"/>
    </row>
    <row r="96" spans="4:4">
      <c r="D96" s="24"/>
    </row>
    <row r="98" spans="4:4">
      <c r="D98" s="24"/>
    </row>
    <row r="100" spans="4:4">
      <c r="D100" s="24"/>
    </row>
    <row r="102" spans="4:4">
      <c r="D102" s="24"/>
    </row>
    <row r="104" spans="4:4">
      <c r="D104" s="24"/>
    </row>
    <row r="106" spans="4:4">
      <c r="D106" s="24"/>
    </row>
    <row r="108" spans="4:4">
      <c r="D108" s="24"/>
    </row>
    <row r="110" spans="4:4">
      <c r="D110" s="24"/>
    </row>
    <row r="112" spans="4:4">
      <c r="D112" s="24"/>
    </row>
    <row r="114" spans="4:4">
      <c r="D114" s="24"/>
    </row>
    <row r="116" spans="4:4">
      <c r="D116" s="24"/>
    </row>
    <row r="118" spans="4:4">
      <c r="D118" s="24"/>
    </row>
    <row r="120" spans="4:4">
      <c r="D120" s="24"/>
    </row>
    <row r="122" spans="4:4">
      <c r="D122" s="24"/>
    </row>
    <row r="124" spans="4:4">
      <c r="D124" s="24"/>
    </row>
    <row r="126" spans="4:4">
      <c r="D126" s="24"/>
    </row>
    <row r="128" spans="4:4">
      <c r="D128" s="24"/>
    </row>
    <row r="130" spans="4:4">
      <c r="D130" s="24"/>
    </row>
    <row r="132" spans="4:4">
      <c r="D132" s="24"/>
    </row>
    <row r="134" spans="4:4">
      <c r="D134" s="24"/>
    </row>
    <row r="136" spans="4:4">
      <c r="D136" s="24"/>
    </row>
    <row r="138" spans="4:4">
      <c r="D138" s="24"/>
    </row>
    <row r="140" spans="4:4">
      <c r="D140" s="24"/>
    </row>
    <row r="142" spans="4:4">
      <c r="D142" s="24"/>
    </row>
    <row r="144" spans="4:4">
      <c r="D144" s="24"/>
    </row>
    <row r="146" spans="2:6">
      <c r="D146" s="24"/>
    </row>
    <row r="148" spans="2:6">
      <c r="D148" s="24"/>
    </row>
    <row r="150" spans="2:6">
      <c r="D150" s="24"/>
    </row>
    <row r="151" spans="2:6">
      <c r="D151" s="24"/>
    </row>
    <row r="152" spans="2:6">
      <c r="D152" s="24"/>
    </row>
    <row r="155" spans="2:6">
      <c r="B155">
        <v>35</v>
      </c>
      <c r="F155">
        <v>60</v>
      </c>
    </row>
    <row r="167" spans="1:6" s="53" customFormat="1">
      <c r="A167" s="54"/>
      <c r="B167" s="53">
        <v>25</v>
      </c>
      <c r="F167" s="53">
        <v>50</v>
      </c>
    </row>
    <row r="168" spans="1:6">
      <c r="B168">
        <v>40</v>
      </c>
      <c r="F168">
        <v>60</v>
      </c>
    </row>
    <row r="170" spans="1:6">
      <c r="B170">
        <v>5</v>
      </c>
      <c r="F170">
        <v>10</v>
      </c>
    </row>
    <row r="171" spans="1:6">
      <c r="B171">
        <v>3</v>
      </c>
      <c r="F171">
        <v>5</v>
      </c>
    </row>
    <row r="172" spans="1:6">
      <c r="B172">
        <v>2.5</v>
      </c>
    </row>
    <row r="175" spans="1:6">
      <c r="B175">
        <v>19</v>
      </c>
      <c r="F175">
        <v>45</v>
      </c>
    </row>
    <row r="176" spans="1:6">
      <c r="B176">
        <v>10</v>
      </c>
      <c r="F176">
        <v>25</v>
      </c>
    </row>
    <row r="177" spans="2:6">
      <c r="B177">
        <v>2</v>
      </c>
      <c r="F177">
        <v>4</v>
      </c>
    </row>
    <row r="178" spans="2:6">
      <c r="B178">
        <v>10</v>
      </c>
      <c r="F178">
        <v>15</v>
      </c>
    </row>
    <row r="179" spans="2:6">
      <c r="B179">
        <v>18</v>
      </c>
      <c r="F179">
        <v>35</v>
      </c>
    </row>
    <row r="180" spans="2:6">
      <c r="B180">
        <v>18</v>
      </c>
      <c r="F180">
        <v>22</v>
      </c>
    </row>
    <row r="181" spans="2:6">
      <c r="F181">
        <v>20</v>
      </c>
    </row>
    <row r="182" spans="2:6">
      <c r="B182">
        <v>5</v>
      </c>
      <c r="F182">
        <v>10</v>
      </c>
    </row>
    <row r="183" spans="2:6">
      <c r="B183">
        <v>18</v>
      </c>
      <c r="F183">
        <v>35</v>
      </c>
    </row>
    <row r="185" spans="2:6">
      <c r="B185">
        <v>25</v>
      </c>
      <c r="F185">
        <v>50</v>
      </c>
    </row>
    <row r="186" spans="2:6">
      <c r="F186">
        <v>15</v>
      </c>
    </row>
    <row r="187" spans="2:6">
      <c r="B187">
        <v>65</v>
      </c>
      <c r="F187">
        <v>110</v>
      </c>
    </row>
    <row r="188" spans="2:6">
      <c r="B188">
        <v>20</v>
      </c>
      <c r="F188">
        <v>35</v>
      </c>
    </row>
    <row r="189" spans="2:6">
      <c r="B189">
        <v>4.5</v>
      </c>
      <c r="F189">
        <v>7</v>
      </c>
    </row>
    <row r="190" spans="2:6">
      <c r="B190">
        <v>4.5</v>
      </c>
    </row>
    <row r="193" spans="1:6">
      <c r="B193">
        <v>110</v>
      </c>
      <c r="F193">
        <v>160</v>
      </c>
    </row>
    <row r="194" spans="1:6">
      <c r="A194" s="2" t="s">
        <v>50</v>
      </c>
    </row>
    <row r="196" spans="1:6">
      <c r="A196" s="2" t="s">
        <v>50</v>
      </c>
      <c r="B196">
        <v>22</v>
      </c>
      <c r="F196">
        <v>35</v>
      </c>
    </row>
    <row r="248" spans="18:18">
      <c r="R248" t="s">
        <v>51</v>
      </c>
    </row>
    <row r="249" spans="18:18">
      <c r="R249" t="s">
        <v>51</v>
      </c>
    </row>
    <row r="250" spans="18:18">
      <c r="R250" t="s">
        <v>51</v>
      </c>
    </row>
  </sheetData>
  <conditionalFormatting sqref="B17:M17 B54:M54">
    <cfRule type="expression" dxfId="3099" priority="2">
      <formula>B17 &lt;= 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18"/>
  <sheetViews>
    <sheetView zoomScale="108" zoomScaleNormal="85" workbookViewId="0">
      <selection activeCell="H26" sqref="H26"/>
    </sheetView>
  </sheetViews>
  <sheetFormatPr defaultRowHeight="18.75"/>
  <cols>
    <col min="1" max="1" width="19.5703125" bestFit="1" customWidth="1"/>
    <col min="2" max="2" width="28.28515625" bestFit="1" customWidth="1"/>
    <col min="3" max="3" width="3.42578125" bestFit="1" customWidth="1"/>
    <col min="4" max="4" width="2.5703125" bestFit="1" customWidth="1"/>
    <col min="5" max="6" width="3.140625" bestFit="1" customWidth="1"/>
    <col min="7" max="8" width="2.5703125" bestFit="1" customWidth="1"/>
    <col min="9" max="9" width="3" bestFit="1" customWidth="1"/>
    <col min="10" max="10" width="8.5703125" bestFit="1" customWidth="1"/>
    <col min="11" max="11" width="13.42578125" style="18" bestFit="1" customWidth="1"/>
    <col min="12" max="14" width="10.85546875" bestFit="1" customWidth="1"/>
    <col min="15" max="15" width="11.5703125" bestFit="1" customWidth="1"/>
    <col min="16" max="16" width="17.140625" style="13" bestFit="1" customWidth="1"/>
    <col min="17" max="17" width="19.140625" bestFit="1" customWidth="1"/>
  </cols>
  <sheetData>
    <row r="1" spans="1:17" s="32" customFormat="1">
      <c r="A1" s="3" t="s">
        <v>33</v>
      </c>
      <c r="B1" s="3" t="s">
        <v>32</v>
      </c>
      <c r="C1" s="3" t="s">
        <v>40</v>
      </c>
      <c r="D1" s="3" t="s">
        <v>41</v>
      </c>
      <c r="E1" s="3" t="s">
        <v>42</v>
      </c>
      <c r="F1" s="3" t="s">
        <v>42</v>
      </c>
      <c r="G1" s="3" t="s">
        <v>40</v>
      </c>
      <c r="H1" s="3" t="s">
        <v>40</v>
      </c>
      <c r="I1" s="3" t="s">
        <v>43</v>
      </c>
      <c r="J1" s="31" t="s">
        <v>44</v>
      </c>
      <c r="K1" s="31" t="s">
        <v>45</v>
      </c>
      <c r="L1" s="31" t="s">
        <v>38</v>
      </c>
      <c r="M1" s="31" t="s">
        <v>39</v>
      </c>
      <c r="N1" s="31" t="s">
        <v>28</v>
      </c>
      <c r="O1" s="31" t="s">
        <v>36</v>
      </c>
      <c r="P1" s="31" t="s">
        <v>37</v>
      </c>
      <c r="Q1" s="31" t="s">
        <v>30</v>
      </c>
    </row>
    <row r="2" spans="1:17">
      <c r="A2" s="33"/>
      <c r="B2" s="42"/>
      <c r="C2" s="34"/>
      <c r="D2" s="34"/>
      <c r="E2" s="34"/>
      <c r="F2" s="34"/>
      <c r="G2" s="34"/>
      <c r="H2" s="35"/>
      <c r="I2" s="36"/>
      <c r="J2" s="36"/>
      <c r="K2" s="37"/>
      <c r="L2" s="37"/>
      <c r="M2" s="37"/>
      <c r="N2" s="49"/>
      <c r="O2" s="35"/>
      <c r="P2" s="38"/>
      <c r="Q2" s="30"/>
    </row>
    <row r="3" spans="1:17">
      <c r="A3" s="8"/>
      <c r="B3" s="8"/>
      <c r="C3" s="16"/>
      <c r="D3" s="16"/>
      <c r="E3" s="16"/>
      <c r="F3" s="16"/>
      <c r="G3" s="16"/>
      <c r="H3" s="21"/>
      <c r="I3" s="21"/>
      <c r="J3" s="21"/>
      <c r="K3" s="49"/>
      <c r="L3" s="49"/>
      <c r="M3" s="49"/>
      <c r="N3" s="49"/>
      <c r="O3" s="21"/>
      <c r="P3" s="39"/>
      <c r="Q3" s="30"/>
    </row>
    <row r="4" spans="1:17">
      <c r="A4" s="43"/>
      <c r="B4" s="8"/>
      <c r="C4" s="44"/>
      <c r="D4" s="44"/>
      <c r="E4" s="44"/>
      <c r="F4" s="44"/>
      <c r="G4" s="44"/>
      <c r="H4" s="45"/>
      <c r="I4" s="45"/>
      <c r="J4" s="45"/>
      <c r="K4" s="46"/>
      <c r="L4" s="46"/>
      <c r="M4" s="46"/>
      <c r="N4" s="49"/>
      <c r="O4" s="45"/>
      <c r="P4" s="47"/>
      <c r="Q4" s="48"/>
    </row>
    <row r="5" spans="1:17">
      <c r="A5" s="8"/>
      <c r="B5" s="8"/>
      <c r="C5" s="16"/>
      <c r="D5" s="16"/>
      <c r="E5" s="16"/>
      <c r="F5" s="16"/>
      <c r="G5" s="16"/>
      <c r="H5" s="21"/>
      <c r="I5" s="21"/>
      <c r="J5" s="21"/>
      <c r="K5" s="49"/>
      <c r="L5" s="49"/>
      <c r="M5" s="49"/>
      <c r="N5" s="49"/>
      <c r="O5" s="21"/>
      <c r="P5" s="39"/>
      <c r="Q5" s="30"/>
    </row>
    <row r="6" spans="1:17">
      <c r="A6" s="8"/>
      <c r="B6" s="8"/>
      <c r="C6" s="16"/>
      <c r="D6" s="16"/>
      <c r="E6" s="16"/>
      <c r="F6" s="16"/>
      <c r="G6" s="16"/>
      <c r="H6" s="21"/>
      <c r="I6" s="21"/>
      <c r="J6" s="21"/>
      <c r="K6" s="49"/>
      <c r="L6" s="49"/>
      <c r="M6" s="49"/>
      <c r="N6" s="49"/>
      <c r="O6" s="21"/>
      <c r="P6" s="39"/>
      <c r="Q6" s="30"/>
    </row>
    <row r="7" spans="1:17">
      <c r="A7" s="8"/>
      <c r="B7" s="8"/>
      <c r="C7" s="16"/>
      <c r="D7" s="16"/>
      <c r="E7" s="16"/>
      <c r="F7" s="16"/>
      <c r="G7" s="16"/>
      <c r="H7" s="21"/>
      <c r="I7" s="21"/>
      <c r="J7" s="21"/>
      <c r="K7" s="49"/>
      <c r="L7" s="49"/>
      <c r="M7" s="49"/>
      <c r="N7" s="49"/>
      <c r="O7" s="21"/>
      <c r="P7" s="39"/>
      <c r="Q7" s="30"/>
    </row>
    <row r="8" spans="1:17">
      <c r="A8" s="8"/>
      <c r="B8" s="8"/>
      <c r="C8" s="16"/>
      <c r="D8" s="16"/>
      <c r="E8" s="16"/>
      <c r="F8" s="16"/>
      <c r="G8" s="16"/>
      <c r="H8" s="21"/>
      <c r="I8" s="21"/>
      <c r="J8" s="21"/>
      <c r="K8" s="49"/>
      <c r="L8" s="49"/>
      <c r="M8" s="49"/>
      <c r="N8" s="49"/>
      <c r="O8" s="21"/>
      <c r="P8" s="39"/>
      <c r="Q8" s="17"/>
    </row>
    <row r="9" spans="1:17">
      <c r="A9" s="8"/>
      <c r="B9" s="8"/>
      <c r="C9" s="16"/>
      <c r="D9" s="16"/>
      <c r="E9" s="16"/>
      <c r="F9" s="16"/>
      <c r="G9" s="16"/>
      <c r="H9" s="21"/>
      <c r="I9" s="21"/>
      <c r="J9" s="21"/>
      <c r="K9" s="49"/>
      <c r="L9" s="49"/>
      <c r="M9" s="49"/>
      <c r="N9" s="49"/>
      <c r="O9" s="21"/>
      <c r="P9" s="40"/>
      <c r="Q9" s="17"/>
    </row>
    <row r="10" spans="1:17">
      <c r="A10" s="8"/>
      <c r="B10" s="8"/>
      <c r="C10" s="16"/>
      <c r="D10" s="16"/>
      <c r="E10" s="16"/>
      <c r="F10" s="16"/>
      <c r="G10" s="16"/>
      <c r="H10" s="21"/>
      <c r="I10" s="21"/>
      <c r="J10" s="21"/>
      <c r="K10" s="49"/>
      <c r="L10" s="49"/>
      <c r="M10" s="49"/>
      <c r="N10" s="49"/>
      <c r="O10" s="21"/>
      <c r="P10" s="40"/>
      <c r="Q10" s="17"/>
    </row>
    <row r="11" spans="1:17">
      <c r="A11" s="8"/>
      <c r="B11" s="8"/>
      <c r="C11" s="16"/>
      <c r="D11" s="16"/>
      <c r="E11" s="16"/>
      <c r="F11" s="16"/>
      <c r="G11" s="16"/>
      <c r="H11" s="21"/>
      <c r="I11" s="21"/>
      <c r="J11" s="21"/>
      <c r="K11" s="49"/>
      <c r="L11" s="49"/>
      <c r="M11" s="49"/>
      <c r="N11" s="49"/>
      <c r="O11" s="21"/>
      <c r="P11" s="39"/>
      <c r="Q11" s="30"/>
    </row>
    <row r="12" spans="1:17">
      <c r="A12" s="8"/>
      <c r="B12" s="8"/>
      <c r="C12" s="16"/>
      <c r="D12" s="16"/>
      <c r="E12" s="16"/>
      <c r="F12" s="16"/>
      <c r="G12" s="16"/>
      <c r="H12" s="21"/>
      <c r="I12" s="21"/>
      <c r="J12" s="21"/>
      <c r="K12" s="29"/>
      <c r="L12" s="28"/>
      <c r="M12" s="28"/>
      <c r="N12" s="49"/>
      <c r="O12" s="21"/>
      <c r="P12" s="39"/>
      <c r="Q12" s="30"/>
    </row>
    <row r="13" spans="1:17">
      <c r="A13" s="8"/>
      <c r="B13" s="8"/>
      <c r="C13" s="16"/>
      <c r="D13" s="16"/>
      <c r="E13" s="16"/>
      <c r="F13" s="16"/>
      <c r="G13" s="16"/>
      <c r="H13" s="21"/>
      <c r="I13" s="21"/>
      <c r="J13" s="21"/>
      <c r="K13" s="29"/>
      <c r="L13" s="28"/>
      <c r="M13" s="28"/>
      <c r="N13" s="49"/>
      <c r="O13" s="21"/>
      <c r="P13" s="39"/>
      <c r="Q13" s="30"/>
    </row>
    <row r="14" spans="1:17">
      <c r="A14" s="8"/>
      <c r="B14" s="8"/>
      <c r="C14" s="16"/>
      <c r="D14" s="16"/>
      <c r="E14" s="16"/>
      <c r="F14" s="16"/>
      <c r="G14" s="16"/>
      <c r="H14" s="21"/>
      <c r="I14" s="21"/>
      <c r="J14" s="21"/>
      <c r="K14" s="29"/>
      <c r="L14" s="28"/>
      <c r="M14" s="28"/>
      <c r="N14" s="49"/>
      <c r="O14" s="21"/>
      <c r="P14" s="39"/>
      <c r="Q14" s="17"/>
    </row>
    <row r="15" spans="1:17">
      <c r="A15" s="8"/>
      <c r="B15" s="8"/>
      <c r="C15" s="16"/>
      <c r="D15" s="16"/>
      <c r="E15" s="16"/>
      <c r="F15" s="16"/>
      <c r="G15" s="16"/>
      <c r="H15" s="21"/>
      <c r="I15" s="21"/>
      <c r="J15" s="21"/>
      <c r="K15" s="29"/>
      <c r="L15" s="28"/>
      <c r="M15" s="28"/>
      <c r="N15" s="49"/>
      <c r="O15" s="21"/>
      <c r="P15" s="40"/>
      <c r="Q15" s="17"/>
    </row>
    <row r="16" spans="1:17">
      <c r="A16" s="8"/>
      <c r="B16" s="8"/>
      <c r="C16" s="16"/>
      <c r="D16" s="16"/>
      <c r="E16" s="16"/>
      <c r="F16" s="16"/>
      <c r="G16" s="16"/>
      <c r="H16" s="21"/>
      <c r="I16" s="21"/>
      <c r="J16" s="21"/>
      <c r="K16" s="29"/>
      <c r="L16" s="22"/>
      <c r="M16" s="22"/>
      <c r="N16" s="49"/>
      <c r="O16" s="21"/>
      <c r="P16" s="40"/>
      <c r="Q16" s="17"/>
    </row>
    <row r="17" spans="1:17">
      <c r="A17" s="8"/>
      <c r="B17" s="8"/>
      <c r="C17" s="16"/>
      <c r="D17" s="16"/>
      <c r="E17" s="16"/>
      <c r="F17" s="16"/>
      <c r="G17" s="16"/>
      <c r="H17" s="21"/>
      <c r="I17" s="21"/>
      <c r="J17" s="21"/>
      <c r="K17" s="29"/>
      <c r="L17" s="22"/>
      <c r="M17" s="22"/>
      <c r="N17" s="22"/>
      <c r="O17" s="21"/>
      <c r="P17" s="40"/>
      <c r="Q17" s="17"/>
    </row>
    <row r="18" spans="1:17">
      <c r="A18" s="25"/>
      <c r="B18" s="25"/>
      <c r="C18" s="27">
        <f t="shared" ref="C18:I18" si="0">COUNTA(C2:C17)</f>
        <v>0</v>
      </c>
      <c r="D18" s="27">
        <f t="shared" si="0"/>
        <v>0</v>
      </c>
      <c r="E18" s="27">
        <f t="shared" si="0"/>
        <v>0</v>
      </c>
      <c r="F18" s="27">
        <f t="shared" si="0"/>
        <v>0</v>
      </c>
      <c r="G18" s="27">
        <f t="shared" si="0"/>
        <v>0</v>
      </c>
      <c r="H18" s="27">
        <f t="shared" si="0"/>
        <v>0</v>
      </c>
      <c r="I18" s="27">
        <f t="shared" si="0"/>
        <v>0</v>
      </c>
      <c r="J18" s="27">
        <f>SUM(J2:J17)</f>
        <v>0</v>
      </c>
      <c r="K18" s="25"/>
      <c r="L18" s="25">
        <f>SUM(L2:L17)</f>
        <v>0</v>
      </c>
      <c r="M18" s="25">
        <f>SUM(M2:M17)</f>
        <v>0</v>
      </c>
      <c r="N18" s="25">
        <f>SUM(N2:N17)</f>
        <v>0</v>
      </c>
      <c r="O18" s="26"/>
      <c r="P18" s="41"/>
      <c r="Q18" s="26"/>
    </row>
  </sheetData>
  <autoFilter ref="A1:Q18" xr:uid="{00000000-0009-0000-0000-000002000000}">
    <filterColumn colId="16">
      <filters>
        <filter val="Confirmar"/>
      </filters>
    </filterColumn>
    <sortState xmlns:xlrd2="http://schemas.microsoft.com/office/spreadsheetml/2017/richdata2" ref="A2:Q24">
      <sortCondition ref="Q1:Q24"/>
    </sortState>
  </autoFilter>
  <conditionalFormatting sqref="A7">
    <cfRule type="expression" dxfId="3098" priority="1">
      <formula>P7 = "Vendido"</formula>
    </cfRule>
  </conditionalFormatting>
  <conditionalFormatting sqref="B3:B11">
    <cfRule type="expression" dxfId="3097" priority="2">
      <formula>Q3 = "Vendido"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48339"/>
  <sheetViews>
    <sheetView tabSelected="1" topLeftCell="A1456" zoomScale="130" zoomScaleNormal="130" workbookViewId="0">
      <selection activeCell="G1471" sqref="G1471"/>
    </sheetView>
  </sheetViews>
  <sheetFormatPr defaultRowHeight="15.75"/>
  <cols>
    <col min="1" max="1" width="16.7109375" style="78" bestFit="1" customWidth="1"/>
    <col min="2" max="2" width="25.42578125" style="61" customWidth="1"/>
    <col min="3" max="3" width="7.5703125" style="73" customWidth="1"/>
    <col min="4" max="6" width="18.140625" style="67" bestFit="1" customWidth="1"/>
    <col min="7" max="7" width="12.140625" style="62" bestFit="1" customWidth="1"/>
    <col min="8" max="8" width="13.5703125" style="61" bestFit="1" customWidth="1"/>
    <col min="9" max="10" width="11.7109375" style="61" bestFit="1" customWidth="1"/>
    <col min="11" max="11" width="27.7109375" style="61" bestFit="1" customWidth="1"/>
    <col min="12" max="12" width="11" style="61" bestFit="1" customWidth="1"/>
    <col min="13" max="16384" width="9.140625" style="61"/>
  </cols>
  <sheetData>
    <row r="1" spans="1:8" s="62" customFormat="1" ht="21">
      <c r="A1" s="76" t="s">
        <v>75</v>
      </c>
      <c r="B1" s="68" t="s">
        <v>18</v>
      </c>
      <c r="C1" s="72" t="s">
        <v>483</v>
      </c>
      <c r="D1" s="69" t="s">
        <v>27</v>
      </c>
      <c r="E1" s="69" t="s">
        <v>31</v>
      </c>
      <c r="F1" s="69" t="s">
        <v>28</v>
      </c>
      <c r="G1" s="68" t="s">
        <v>30</v>
      </c>
      <c r="H1" s="76" t="s">
        <v>481</v>
      </c>
    </row>
    <row r="2" spans="1:8">
      <c r="A2" s="77">
        <v>43831</v>
      </c>
      <c r="B2" s="59" t="s">
        <v>76</v>
      </c>
      <c r="C2" s="58">
        <v>1</v>
      </c>
      <c r="D2" s="63">
        <v>0</v>
      </c>
      <c r="E2" s="63">
        <v>300</v>
      </c>
      <c r="F2" s="63">
        <f>E2-D2</f>
        <v>300</v>
      </c>
      <c r="G2" s="57" t="s">
        <v>484</v>
      </c>
      <c r="H2" s="55" t="s">
        <v>482</v>
      </c>
    </row>
    <row r="3" spans="1:8">
      <c r="A3" s="77">
        <v>43831</v>
      </c>
      <c r="B3" s="59" t="s">
        <v>77</v>
      </c>
      <c r="C3" s="58">
        <v>1</v>
      </c>
      <c r="D3" s="63">
        <v>0</v>
      </c>
      <c r="E3" s="63">
        <v>450</v>
      </c>
      <c r="F3" s="63">
        <f>E3-D3</f>
        <v>450</v>
      </c>
      <c r="G3" s="57" t="s">
        <v>484</v>
      </c>
      <c r="H3" s="55" t="s">
        <v>482</v>
      </c>
    </row>
    <row r="4" spans="1:8">
      <c r="A4" s="77">
        <v>43835</v>
      </c>
      <c r="B4" s="56" t="s">
        <v>58</v>
      </c>
      <c r="C4" s="58">
        <v>1</v>
      </c>
      <c r="D4" s="50">
        <v>30</v>
      </c>
      <c r="E4" s="63">
        <v>60</v>
      </c>
      <c r="F4" s="63">
        <f t="shared" ref="F4:F35" si="0">E4-D4</f>
        <v>30</v>
      </c>
      <c r="G4" s="57" t="s">
        <v>484</v>
      </c>
      <c r="H4" s="55" t="s">
        <v>482</v>
      </c>
    </row>
    <row r="5" spans="1:8">
      <c r="A5" s="77">
        <v>43835</v>
      </c>
      <c r="B5" s="56" t="s">
        <v>58</v>
      </c>
      <c r="C5" s="58">
        <v>1</v>
      </c>
      <c r="D5" s="50">
        <v>30</v>
      </c>
      <c r="E5" s="63">
        <v>60</v>
      </c>
      <c r="F5" s="63">
        <f t="shared" si="0"/>
        <v>30</v>
      </c>
      <c r="G5" s="57" t="s">
        <v>484</v>
      </c>
      <c r="H5" s="55" t="s">
        <v>482</v>
      </c>
    </row>
    <row r="6" spans="1:8">
      <c r="A6" s="77">
        <v>43835</v>
      </c>
      <c r="B6" s="56" t="s">
        <v>61</v>
      </c>
      <c r="C6" s="58">
        <v>1</v>
      </c>
      <c r="D6" s="50">
        <v>3</v>
      </c>
      <c r="E6" s="63">
        <v>11</v>
      </c>
      <c r="F6" s="63">
        <f t="shared" si="0"/>
        <v>8</v>
      </c>
      <c r="G6" s="57" t="s">
        <v>484</v>
      </c>
      <c r="H6" s="55" t="s">
        <v>482</v>
      </c>
    </row>
    <row r="7" spans="1:8">
      <c r="A7" s="77">
        <v>43836</v>
      </c>
      <c r="B7" s="56" t="s">
        <v>58</v>
      </c>
      <c r="C7" s="58">
        <v>1</v>
      </c>
      <c r="D7" s="50">
        <v>30</v>
      </c>
      <c r="E7" s="63">
        <v>65</v>
      </c>
      <c r="F7" s="63">
        <f t="shared" si="0"/>
        <v>35</v>
      </c>
      <c r="G7" s="57" t="s">
        <v>484</v>
      </c>
      <c r="H7" s="55" t="s">
        <v>482</v>
      </c>
    </row>
    <row r="8" spans="1:8">
      <c r="A8" s="77">
        <v>43836</v>
      </c>
      <c r="B8" s="59" t="s">
        <v>78</v>
      </c>
      <c r="C8" s="58">
        <v>1</v>
      </c>
      <c r="D8" s="63">
        <v>50</v>
      </c>
      <c r="E8" s="63">
        <v>100</v>
      </c>
      <c r="F8" s="63">
        <f t="shared" si="0"/>
        <v>50</v>
      </c>
      <c r="G8" s="57" t="s">
        <v>484</v>
      </c>
      <c r="H8" s="55" t="s">
        <v>482</v>
      </c>
    </row>
    <row r="9" spans="1:8">
      <c r="A9" s="77">
        <v>43837</v>
      </c>
      <c r="B9" s="56" t="s">
        <v>54</v>
      </c>
      <c r="C9" s="58">
        <v>1</v>
      </c>
      <c r="D9" s="50">
        <v>12</v>
      </c>
      <c r="E9" s="63">
        <v>30</v>
      </c>
      <c r="F9" s="63">
        <f t="shared" si="0"/>
        <v>18</v>
      </c>
      <c r="G9" s="57" t="s">
        <v>484</v>
      </c>
      <c r="H9" s="55" t="s">
        <v>482</v>
      </c>
    </row>
    <row r="10" spans="1:8">
      <c r="A10" s="77">
        <v>43838</v>
      </c>
      <c r="B10" s="56" t="s">
        <v>58</v>
      </c>
      <c r="C10" s="58">
        <v>1</v>
      </c>
      <c r="D10" s="50">
        <v>30</v>
      </c>
      <c r="E10" s="63">
        <v>70</v>
      </c>
      <c r="F10" s="63">
        <f t="shared" si="0"/>
        <v>40</v>
      </c>
      <c r="G10" s="57" t="s">
        <v>484</v>
      </c>
      <c r="H10" s="55" t="s">
        <v>482</v>
      </c>
    </row>
    <row r="11" spans="1:8">
      <c r="A11" s="77">
        <v>43838</v>
      </c>
      <c r="B11" s="59" t="s">
        <v>79</v>
      </c>
      <c r="C11" s="58">
        <v>1</v>
      </c>
      <c r="D11" s="63">
        <v>105</v>
      </c>
      <c r="E11" s="63">
        <v>150</v>
      </c>
      <c r="F11" s="63">
        <f t="shared" si="0"/>
        <v>45</v>
      </c>
      <c r="G11" s="57" t="s">
        <v>484</v>
      </c>
      <c r="H11" s="55" t="s">
        <v>482</v>
      </c>
    </row>
    <row r="12" spans="1:8">
      <c r="A12" s="77">
        <v>43838</v>
      </c>
      <c r="B12" s="59" t="s">
        <v>79</v>
      </c>
      <c r="C12" s="58">
        <v>1</v>
      </c>
      <c r="D12" s="63">
        <v>105</v>
      </c>
      <c r="E12" s="63">
        <v>160</v>
      </c>
      <c r="F12" s="63">
        <f t="shared" si="0"/>
        <v>55</v>
      </c>
      <c r="G12" s="57" t="s">
        <v>484</v>
      </c>
      <c r="H12" s="55" t="s">
        <v>482</v>
      </c>
    </row>
    <row r="13" spans="1:8">
      <c r="A13" s="77">
        <v>43838</v>
      </c>
      <c r="B13" s="59" t="s">
        <v>81</v>
      </c>
      <c r="C13" s="58">
        <v>1</v>
      </c>
      <c r="D13" s="63">
        <v>0</v>
      </c>
      <c r="E13" s="63">
        <v>300</v>
      </c>
      <c r="F13" s="63">
        <f t="shared" si="0"/>
        <v>300</v>
      </c>
      <c r="G13" s="57" t="s">
        <v>484</v>
      </c>
      <c r="H13" s="55" t="s">
        <v>482</v>
      </c>
    </row>
    <row r="14" spans="1:8">
      <c r="A14" s="77">
        <v>43838</v>
      </c>
      <c r="B14" s="59" t="s">
        <v>82</v>
      </c>
      <c r="C14" s="58">
        <v>1</v>
      </c>
      <c r="D14" s="63">
        <v>0</v>
      </c>
      <c r="E14" s="63">
        <v>40</v>
      </c>
      <c r="F14" s="63">
        <f t="shared" si="0"/>
        <v>40</v>
      </c>
      <c r="G14" s="57" t="s">
        <v>484</v>
      </c>
      <c r="H14" s="55" t="s">
        <v>482</v>
      </c>
    </row>
    <row r="15" spans="1:8">
      <c r="A15" s="77">
        <v>43838</v>
      </c>
      <c r="B15" s="59" t="s">
        <v>57</v>
      </c>
      <c r="C15" s="58">
        <v>1</v>
      </c>
      <c r="D15" s="52">
        <v>87</v>
      </c>
      <c r="E15" s="63">
        <v>140</v>
      </c>
      <c r="F15" s="63">
        <f t="shared" si="0"/>
        <v>53</v>
      </c>
      <c r="G15" s="57" t="s">
        <v>484</v>
      </c>
      <c r="H15" s="55" t="s">
        <v>482</v>
      </c>
    </row>
    <row r="16" spans="1:8">
      <c r="A16" s="77">
        <v>43838</v>
      </c>
      <c r="B16" s="56" t="s">
        <v>71</v>
      </c>
      <c r="C16" s="58">
        <v>1</v>
      </c>
      <c r="D16" s="51">
        <v>2.5</v>
      </c>
      <c r="E16" s="63">
        <v>7</v>
      </c>
      <c r="F16" s="63">
        <f t="shared" si="0"/>
        <v>4.5</v>
      </c>
      <c r="G16" s="57" t="s">
        <v>484</v>
      </c>
      <c r="H16" s="55" t="s">
        <v>482</v>
      </c>
    </row>
    <row r="17" spans="1:8">
      <c r="A17" s="77">
        <v>43838</v>
      </c>
      <c r="B17" s="56" t="s">
        <v>71</v>
      </c>
      <c r="C17" s="58">
        <v>1</v>
      </c>
      <c r="D17" s="51">
        <v>2.5</v>
      </c>
      <c r="E17" s="63">
        <v>7</v>
      </c>
      <c r="F17" s="63">
        <f t="shared" si="0"/>
        <v>4.5</v>
      </c>
      <c r="G17" s="57" t="s">
        <v>484</v>
      </c>
      <c r="H17" s="55" t="s">
        <v>482</v>
      </c>
    </row>
    <row r="18" spans="1:8">
      <c r="A18" s="77">
        <v>43839</v>
      </c>
      <c r="B18" s="56" t="s">
        <v>70</v>
      </c>
      <c r="C18" s="58">
        <v>1</v>
      </c>
      <c r="D18" s="50">
        <v>78</v>
      </c>
      <c r="E18" s="63">
        <v>200</v>
      </c>
      <c r="F18" s="63">
        <f t="shared" si="0"/>
        <v>122</v>
      </c>
      <c r="G18" s="57" t="s">
        <v>484</v>
      </c>
      <c r="H18" s="55" t="s">
        <v>482</v>
      </c>
    </row>
    <row r="19" spans="1:8">
      <c r="A19" s="77">
        <v>43839</v>
      </c>
      <c r="B19" s="59" t="s">
        <v>83</v>
      </c>
      <c r="C19" s="58">
        <v>1</v>
      </c>
      <c r="D19" s="63">
        <v>0</v>
      </c>
      <c r="E19" s="63">
        <v>35</v>
      </c>
      <c r="F19" s="63">
        <f t="shared" si="0"/>
        <v>35</v>
      </c>
      <c r="G19" s="57" t="s">
        <v>484</v>
      </c>
      <c r="H19" s="55" t="s">
        <v>482</v>
      </c>
    </row>
    <row r="20" spans="1:8">
      <c r="A20" s="77">
        <v>43840</v>
      </c>
      <c r="B20" s="56" t="s">
        <v>52</v>
      </c>
      <c r="C20" s="58">
        <v>1</v>
      </c>
      <c r="D20" s="50">
        <v>28</v>
      </c>
      <c r="E20" s="63">
        <v>50</v>
      </c>
      <c r="F20" s="63">
        <f t="shared" si="0"/>
        <v>22</v>
      </c>
      <c r="G20" s="57" t="s">
        <v>484</v>
      </c>
      <c r="H20" s="55" t="s">
        <v>482</v>
      </c>
    </row>
    <row r="21" spans="1:8">
      <c r="A21" s="77">
        <v>43840</v>
      </c>
      <c r="B21" s="56" t="s">
        <v>58</v>
      </c>
      <c r="C21" s="58">
        <v>1</v>
      </c>
      <c r="D21" s="50">
        <v>30</v>
      </c>
      <c r="E21" s="63">
        <v>50</v>
      </c>
      <c r="F21" s="63">
        <f t="shared" si="0"/>
        <v>20</v>
      </c>
      <c r="G21" s="57" t="s">
        <v>484</v>
      </c>
      <c r="H21" s="55" t="s">
        <v>482</v>
      </c>
    </row>
    <row r="22" spans="1:8">
      <c r="A22" s="77">
        <v>43840</v>
      </c>
      <c r="B22" s="56" t="s">
        <v>58</v>
      </c>
      <c r="C22" s="58">
        <v>1</v>
      </c>
      <c r="D22" s="50">
        <v>30</v>
      </c>
      <c r="E22" s="63">
        <v>50</v>
      </c>
      <c r="F22" s="63">
        <f t="shared" si="0"/>
        <v>20</v>
      </c>
      <c r="G22" s="57" t="s">
        <v>484</v>
      </c>
      <c r="H22" s="55" t="s">
        <v>482</v>
      </c>
    </row>
    <row r="23" spans="1:8">
      <c r="A23" s="77">
        <v>43840</v>
      </c>
      <c r="B23" s="59" t="s">
        <v>80</v>
      </c>
      <c r="C23" s="58">
        <v>1</v>
      </c>
      <c r="D23" s="63">
        <v>24</v>
      </c>
      <c r="E23" s="63">
        <v>45</v>
      </c>
      <c r="F23" s="63">
        <f t="shared" si="0"/>
        <v>21</v>
      </c>
      <c r="G23" s="57" t="s">
        <v>484</v>
      </c>
      <c r="H23" s="55" t="s">
        <v>482</v>
      </c>
    </row>
    <row r="24" spans="1:8">
      <c r="A24" s="77">
        <v>43840</v>
      </c>
      <c r="B24" s="59" t="s">
        <v>83</v>
      </c>
      <c r="C24" s="58">
        <v>1</v>
      </c>
      <c r="D24" s="63">
        <v>0</v>
      </c>
      <c r="E24" s="63">
        <v>35</v>
      </c>
      <c r="F24" s="63">
        <f t="shared" si="0"/>
        <v>35</v>
      </c>
      <c r="G24" s="57" t="s">
        <v>484</v>
      </c>
      <c r="H24" s="55" t="s">
        <v>482</v>
      </c>
    </row>
    <row r="25" spans="1:8">
      <c r="A25" s="77">
        <v>43840</v>
      </c>
      <c r="B25" s="59" t="s">
        <v>85</v>
      </c>
      <c r="C25" s="58">
        <v>1</v>
      </c>
      <c r="D25" s="63">
        <v>47</v>
      </c>
      <c r="E25" s="63">
        <v>88</v>
      </c>
      <c r="F25" s="63">
        <f t="shared" si="0"/>
        <v>41</v>
      </c>
      <c r="G25" s="57" t="s">
        <v>484</v>
      </c>
      <c r="H25" s="55" t="s">
        <v>482</v>
      </c>
    </row>
    <row r="26" spans="1:8">
      <c r="A26" s="77">
        <v>43840</v>
      </c>
      <c r="B26" s="56" t="s">
        <v>87</v>
      </c>
      <c r="C26" s="58">
        <v>1</v>
      </c>
      <c r="D26" s="63">
        <v>35</v>
      </c>
      <c r="E26" s="63">
        <v>95</v>
      </c>
      <c r="F26" s="63">
        <f t="shared" si="0"/>
        <v>60</v>
      </c>
      <c r="G26" s="57" t="s">
        <v>484</v>
      </c>
      <c r="H26" s="55" t="s">
        <v>482</v>
      </c>
    </row>
    <row r="27" spans="1:8">
      <c r="A27" s="77">
        <v>43840</v>
      </c>
      <c r="B27" s="59" t="s">
        <v>84</v>
      </c>
      <c r="C27" s="58">
        <v>1</v>
      </c>
      <c r="D27" s="63">
        <v>9.5</v>
      </c>
      <c r="E27" s="63">
        <v>25</v>
      </c>
      <c r="F27" s="63">
        <f t="shared" si="0"/>
        <v>15.5</v>
      </c>
      <c r="G27" s="57" t="s">
        <v>484</v>
      </c>
      <c r="H27" s="55" t="s">
        <v>482</v>
      </c>
    </row>
    <row r="28" spans="1:8">
      <c r="A28" s="77">
        <v>43840</v>
      </c>
      <c r="B28" s="59" t="s">
        <v>86</v>
      </c>
      <c r="C28" s="58">
        <v>1</v>
      </c>
      <c r="D28" s="63">
        <v>20</v>
      </c>
      <c r="E28" s="63">
        <v>40</v>
      </c>
      <c r="F28" s="63">
        <f t="shared" si="0"/>
        <v>20</v>
      </c>
      <c r="G28" s="57" t="s">
        <v>484</v>
      </c>
      <c r="H28" s="55" t="s">
        <v>482</v>
      </c>
    </row>
    <row r="29" spans="1:8">
      <c r="A29" s="77">
        <v>43840</v>
      </c>
      <c r="B29" s="59" t="s">
        <v>62</v>
      </c>
      <c r="C29" s="58">
        <v>1</v>
      </c>
      <c r="D29" s="63">
        <v>9.5</v>
      </c>
      <c r="E29" s="63">
        <v>25</v>
      </c>
      <c r="F29" s="63">
        <f t="shared" si="0"/>
        <v>15.5</v>
      </c>
      <c r="G29" s="57" t="s">
        <v>484</v>
      </c>
      <c r="H29" s="55" t="s">
        <v>482</v>
      </c>
    </row>
    <row r="30" spans="1:8">
      <c r="A30" s="77">
        <v>43840</v>
      </c>
      <c r="B30" s="59" t="s">
        <v>62</v>
      </c>
      <c r="C30" s="58">
        <v>1</v>
      </c>
      <c r="D30" s="63">
        <v>9.5</v>
      </c>
      <c r="E30" s="63">
        <v>25</v>
      </c>
      <c r="F30" s="63">
        <f t="shared" si="0"/>
        <v>15.5</v>
      </c>
      <c r="G30" s="57" t="s">
        <v>484</v>
      </c>
      <c r="H30" s="55" t="s">
        <v>482</v>
      </c>
    </row>
    <row r="31" spans="1:8">
      <c r="A31" s="77">
        <v>43842</v>
      </c>
      <c r="B31" s="59" t="s">
        <v>89</v>
      </c>
      <c r="C31" s="58">
        <v>1</v>
      </c>
      <c r="D31" s="63">
        <v>25</v>
      </c>
      <c r="E31" s="63">
        <v>40</v>
      </c>
      <c r="F31" s="63">
        <f t="shared" si="0"/>
        <v>15</v>
      </c>
      <c r="G31" s="57" t="s">
        <v>484</v>
      </c>
      <c r="H31" s="55" t="s">
        <v>482</v>
      </c>
    </row>
    <row r="32" spans="1:8">
      <c r="A32" s="77">
        <v>43843</v>
      </c>
      <c r="B32" s="56" t="s">
        <v>54</v>
      </c>
      <c r="C32" s="58">
        <v>1</v>
      </c>
      <c r="D32" s="50">
        <v>12</v>
      </c>
      <c r="E32" s="63">
        <v>30</v>
      </c>
      <c r="F32" s="63">
        <f t="shared" si="0"/>
        <v>18</v>
      </c>
      <c r="G32" s="57" t="s">
        <v>484</v>
      </c>
      <c r="H32" s="55" t="s">
        <v>482</v>
      </c>
    </row>
    <row r="33" spans="1:8">
      <c r="A33" s="77">
        <v>43843</v>
      </c>
      <c r="B33" s="56" t="s">
        <v>73</v>
      </c>
      <c r="C33" s="58">
        <v>1</v>
      </c>
      <c r="D33" s="50">
        <v>17</v>
      </c>
      <c r="E33" s="63">
        <v>40</v>
      </c>
      <c r="F33" s="63">
        <f t="shared" si="0"/>
        <v>23</v>
      </c>
      <c r="G33" s="57" t="s">
        <v>484</v>
      </c>
      <c r="H33" s="55" t="s">
        <v>482</v>
      </c>
    </row>
    <row r="34" spans="1:8">
      <c r="A34" s="77">
        <v>43844</v>
      </c>
      <c r="B34" s="56" t="s">
        <v>53</v>
      </c>
      <c r="C34" s="58">
        <v>1</v>
      </c>
      <c r="D34" s="50">
        <v>18</v>
      </c>
      <c r="E34" s="63">
        <v>30</v>
      </c>
      <c r="F34" s="63">
        <f t="shared" si="0"/>
        <v>12</v>
      </c>
      <c r="G34" s="57" t="s">
        <v>484</v>
      </c>
      <c r="H34" s="55" t="s">
        <v>482</v>
      </c>
    </row>
    <row r="35" spans="1:8">
      <c r="A35" s="77">
        <v>43844</v>
      </c>
      <c r="B35" s="56" t="s">
        <v>58</v>
      </c>
      <c r="C35" s="58">
        <v>1</v>
      </c>
      <c r="D35" s="50">
        <v>30</v>
      </c>
      <c r="E35" s="63">
        <v>50</v>
      </c>
      <c r="F35" s="63">
        <f t="shared" si="0"/>
        <v>20</v>
      </c>
      <c r="G35" s="57" t="s">
        <v>484</v>
      </c>
      <c r="H35" s="55" t="s">
        <v>482</v>
      </c>
    </row>
    <row r="36" spans="1:8">
      <c r="A36" s="77">
        <v>43844</v>
      </c>
      <c r="B36" s="56" t="s">
        <v>58</v>
      </c>
      <c r="C36" s="58">
        <v>1</v>
      </c>
      <c r="D36" s="50">
        <v>30</v>
      </c>
      <c r="E36" s="63">
        <v>50</v>
      </c>
      <c r="F36" s="63">
        <f t="shared" ref="F36:F64" si="1">E36-D36</f>
        <v>20</v>
      </c>
      <c r="G36" s="57" t="s">
        <v>484</v>
      </c>
      <c r="H36" s="55" t="s">
        <v>482</v>
      </c>
    </row>
    <row r="37" spans="1:8">
      <c r="A37" s="77">
        <v>43845</v>
      </c>
      <c r="B37" s="59" t="s">
        <v>90</v>
      </c>
      <c r="C37" s="58">
        <v>1</v>
      </c>
      <c r="D37" s="63">
        <v>35</v>
      </c>
      <c r="E37" s="63">
        <v>50</v>
      </c>
      <c r="F37" s="63">
        <f t="shared" si="1"/>
        <v>15</v>
      </c>
      <c r="G37" s="57" t="s">
        <v>484</v>
      </c>
      <c r="H37" s="55" t="s">
        <v>482</v>
      </c>
    </row>
    <row r="38" spans="1:8">
      <c r="A38" s="77">
        <v>43845</v>
      </c>
      <c r="B38" s="59" t="s">
        <v>52</v>
      </c>
      <c r="C38" s="58">
        <v>1</v>
      </c>
      <c r="D38" s="63">
        <v>28</v>
      </c>
      <c r="E38" s="63">
        <v>50</v>
      </c>
      <c r="F38" s="63">
        <f t="shared" si="1"/>
        <v>22</v>
      </c>
      <c r="G38" s="57" t="s">
        <v>484</v>
      </c>
      <c r="H38" s="55" t="s">
        <v>482</v>
      </c>
    </row>
    <row r="39" spans="1:8">
      <c r="A39" s="77">
        <v>43848</v>
      </c>
      <c r="B39" s="56" t="s">
        <v>54</v>
      </c>
      <c r="C39" s="58">
        <v>1</v>
      </c>
      <c r="D39" s="50">
        <v>12</v>
      </c>
      <c r="E39" s="63">
        <v>25</v>
      </c>
      <c r="F39" s="63">
        <f t="shared" si="1"/>
        <v>13</v>
      </c>
      <c r="G39" s="57" t="s">
        <v>484</v>
      </c>
      <c r="H39" s="55" t="s">
        <v>482</v>
      </c>
    </row>
    <row r="40" spans="1:8">
      <c r="A40" s="77">
        <v>43848</v>
      </c>
      <c r="B40" s="56" t="s">
        <v>66</v>
      </c>
      <c r="C40" s="58">
        <v>1</v>
      </c>
      <c r="D40" s="50">
        <v>11</v>
      </c>
      <c r="E40" s="63">
        <v>20</v>
      </c>
      <c r="F40" s="63">
        <f t="shared" si="1"/>
        <v>9</v>
      </c>
      <c r="G40" s="57" t="s">
        <v>484</v>
      </c>
      <c r="H40" s="55" t="s">
        <v>482</v>
      </c>
    </row>
    <row r="41" spans="1:8">
      <c r="A41" s="77">
        <v>43848</v>
      </c>
      <c r="B41" s="56" t="s">
        <v>72</v>
      </c>
      <c r="C41" s="58">
        <v>1</v>
      </c>
      <c r="D41" s="50">
        <v>20</v>
      </c>
      <c r="E41" s="63">
        <v>30</v>
      </c>
      <c r="F41" s="63">
        <f t="shared" si="1"/>
        <v>10</v>
      </c>
      <c r="G41" s="57" t="s">
        <v>484</v>
      </c>
      <c r="H41" s="55" t="s">
        <v>482</v>
      </c>
    </row>
    <row r="42" spans="1:8">
      <c r="A42" s="77">
        <v>43848</v>
      </c>
      <c r="B42" s="59" t="s">
        <v>104</v>
      </c>
      <c r="C42" s="58">
        <v>1</v>
      </c>
      <c r="D42" s="63">
        <v>2.8</v>
      </c>
      <c r="E42" s="63">
        <v>6.6</v>
      </c>
      <c r="F42" s="63">
        <f t="shared" si="1"/>
        <v>3.8</v>
      </c>
      <c r="G42" s="57" t="s">
        <v>484</v>
      </c>
      <c r="H42" s="55" t="s">
        <v>482</v>
      </c>
    </row>
    <row r="43" spans="1:8">
      <c r="A43" s="77">
        <v>43848</v>
      </c>
      <c r="B43" s="59" t="s">
        <v>92</v>
      </c>
      <c r="C43" s="58">
        <v>1</v>
      </c>
      <c r="D43" s="63">
        <v>2.8</v>
      </c>
      <c r="E43" s="63">
        <v>6.6</v>
      </c>
      <c r="F43" s="63">
        <f t="shared" si="1"/>
        <v>3.8</v>
      </c>
      <c r="G43" s="57" t="s">
        <v>484</v>
      </c>
      <c r="H43" s="55" t="s">
        <v>482</v>
      </c>
    </row>
    <row r="44" spans="1:8">
      <c r="A44" s="77">
        <v>43848</v>
      </c>
      <c r="B44" s="59" t="s">
        <v>92</v>
      </c>
      <c r="C44" s="58">
        <v>1</v>
      </c>
      <c r="D44" s="63">
        <v>2.8</v>
      </c>
      <c r="E44" s="63">
        <v>6.6</v>
      </c>
      <c r="F44" s="63">
        <f t="shared" si="1"/>
        <v>3.8</v>
      </c>
      <c r="G44" s="57" t="s">
        <v>484</v>
      </c>
      <c r="H44" s="55" t="s">
        <v>482</v>
      </c>
    </row>
    <row r="45" spans="1:8">
      <c r="A45" s="77">
        <v>43851</v>
      </c>
      <c r="B45" s="59" t="s">
        <v>80</v>
      </c>
      <c r="C45" s="58">
        <v>1</v>
      </c>
      <c r="D45" s="63">
        <v>24</v>
      </c>
      <c r="E45" s="63">
        <v>50</v>
      </c>
      <c r="F45" s="63">
        <f t="shared" si="1"/>
        <v>26</v>
      </c>
      <c r="G45" s="57" t="s">
        <v>484</v>
      </c>
      <c r="H45" s="55" t="s">
        <v>482</v>
      </c>
    </row>
    <row r="46" spans="1:8">
      <c r="A46" s="77">
        <v>43851</v>
      </c>
      <c r="B46" s="56" t="s">
        <v>58</v>
      </c>
      <c r="C46" s="58">
        <v>1</v>
      </c>
      <c r="D46" s="50">
        <v>30</v>
      </c>
      <c r="E46" s="63">
        <v>50</v>
      </c>
      <c r="F46" s="63">
        <f t="shared" si="1"/>
        <v>20</v>
      </c>
      <c r="G46" s="57" t="s">
        <v>484</v>
      </c>
      <c r="H46" s="55" t="s">
        <v>482</v>
      </c>
    </row>
    <row r="47" spans="1:8">
      <c r="A47" s="77">
        <v>43851</v>
      </c>
      <c r="B47" s="59" t="s">
        <v>62</v>
      </c>
      <c r="C47" s="58">
        <v>1</v>
      </c>
      <c r="D47" s="50">
        <v>9.5</v>
      </c>
      <c r="E47" s="63">
        <v>25</v>
      </c>
      <c r="F47" s="63">
        <f t="shared" si="1"/>
        <v>15.5</v>
      </c>
      <c r="G47" s="57" t="s">
        <v>484</v>
      </c>
      <c r="H47" s="55" t="s">
        <v>482</v>
      </c>
    </row>
    <row r="48" spans="1:8">
      <c r="A48" s="77">
        <v>43852</v>
      </c>
      <c r="B48" s="56" t="s">
        <v>74</v>
      </c>
      <c r="C48" s="58">
        <v>1</v>
      </c>
      <c r="D48" s="50">
        <v>13</v>
      </c>
      <c r="E48" s="63">
        <v>20</v>
      </c>
      <c r="F48" s="63">
        <f t="shared" si="1"/>
        <v>7</v>
      </c>
      <c r="G48" s="57" t="s">
        <v>484</v>
      </c>
      <c r="H48" s="55" t="s">
        <v>482</v>
      </c>
    </row>
    <row r="49" spans="1:8">
      <c r="A49" s="77">
        <v>43852</v>
      </c>
      <c r="B49" s="59" t="s">
        <v>93</v>
      </c>
      <c r="C49" s="58">
        <v>1</v>
      </c>
      <c r="D49" s="63">
        <v>14</v>
      </c>
      <c r="E49" s="63">
        <v>30</v>
      </c>
      <c r="F49" s="63">
        <f t="shared" si="1"/>
        <v>16</v>
      </c>
      <c r="G49" s="57" t="s">
        <v>484</v>
      </c>
      <c r="H49" s="55" t="s">
        <v>482</v>
      </c>
    </row>
    <row r="50" spans="1:8">
      <c r="A50" s="77">
        <v>43852</v>
      </c>
      <c r="B50" s="59" t="s">
        <v>80</v>
      </c>
      <c r="C50" s="58">
        <v>1</v>
      </c>
      <c r="D50" s="63">
        <v>24</v>
      </c>
      <c r="E50" s="63">
        <v>60</v>
      </c>
      <c r="F50" s="63">
        <f t="shared" si="1"/>
        <v>36</v>
      </c>
      <c r="G50" s="57" t="s">
        <v>484</v>
      </c>
      <c r="H50" s="55" t="s">
        <v>482</v>
      </c>
    </row>
    <row r="51" spans="1:8">
      <c r="A51" s="77">
        <v>43852</v>
      </c>
      <c r="B51" s="59" t="s">
        <v>90</v>
      </c>
      <c r="C51" s="58">
        <v>1</v>
      </c>
      <c r="D51" s="63">
        <v>35</v>
      </c>
      <c r="E51" s="63">
        <v>70</v>
      </c>
      <c r="F51" s="63">
        <f t="shared" si="1"/>
        <v>35</v>
      </c>
      <c r="G51" s="57" t="s">
        <v>484</v>
      </c>
      <c r="H51" s="55" t="s">
        <v>482</v>
      </c>
    </row>
    <row r="52" spans="1:8">
      <c r="A52" s="77">
        <v>43852</v>
      </c>
      <c r="B52" s="59" t="s">
        <v>94</v>
      </c>
      <c r="C52" s="58">
        <v>1</v>
      </c>
      <c r="D52" s="63">
        <v>0</v>
      </c>
      <c r="E52" s="63">
        <v>33</v>
      </c>
      <c r="F52" s="63">
        <f t="shared" si="1"/>
        <v>33</v>
      </c>
      <c r="G52" s="57" t="s">
        <v>484</v>
      </c>
      <c r="H52" s="55" t="s">
        <v>482</v>
      </c>
    </row>
    <row r="53" spans="1:8">
      <c r="A53" s="77">
        <v>43853</v>
      </c>
      <c r="B53" s="59" t="s">
        <v>90</v>
      </c>
      <c r="C53" s="58">
        <v>1</v>
      </c>
      <c r="D53" s="63">
        <v>35</v>
      </c>
      <c r="E53" s="63">
        <v>60</v>
      </c>
      <c r="F53" s="63">
        <f t="shared" si="1"/>
        <v>25</v>
      </c>
      <c r="G53" s="57" t="s">
        <v>484</v>
      </c>
      <c r="H53" s="55" t="s">
        <v>482</v>
      </c>
    </row>
    <row r="54" spans="1:8">
      <c r="A54" s="77">
        <v>43853</v>
      </c>
      <c r="B54" s="59" t="s">
        <v>95</v>
      </c>
      <c r="C54" s="58">
        <v>1</v>
      </c>
      <c r="D54" s="63">
        <v>40</v>
      </c>
      <c r="E54" s="63">
        <v>80</v>
      </c>
      <c r="F54" s="63">
        <f t="shared" si="1"/>
        <v>40</v>
      </c>
      <c r="G54" s="57" t="s">
        <v>484</v>
      </c>
      <c r="H54" s="55" t="s">
        <v>482</v>
      </c>
    </row>
    <row r="55" spans="1:8">
      <c r="A55" s="77">
        <v>43853</v>
      </c>
      <c r="B55" s="59" t="s">
        <v>96</v>
      </c>
      <c r="C55" s="58">
        <v>1</v>
      </c>
      <c r="D55" s="63">
        <v>47</v>
      </c>
      <c r="E55" s="63">
        <v>90</v>
      </c>
      <c r="F55" s="63">
        <f t="shared" si="1"/>
        <v>43</v>
      </c>
      <c r="G55" s="57" t="s">
        <v>484</v>
      </c>
      <c r="H55" s="55" t="s">
        <v>482</v>
      </c>
    </row>
    <row r="56" spans="1:8">
      <c r="A56" s="77">
        <v>43853</v>
      </c>
      <c r="B56" s="56" t="s">
        <v>68</v>
      </c>
      <c r="C56" s="58">
        <v>1</v>
      </c>
      <c r="D56" s="50">
        <v>1</v>
      </c>
      <c r="E56" s="63">
        <v>2.5</v>
      </c>
      <c r="F56" s="63">
        <f t="shared" si="1"/>
        <v>1.5</v>
      </c>
      <c r="G56" s="57" t="s">
        <v>484</v>
      </c>
      <c r="H56" s="55" t="s">
        <v>482</v>
      </c>
    </row>
    <row r="57" spans="1:8">
      <c r="A57" s="77">
        <v>43853</v>
      </c>
      <c r="B57" s="59" t="s">
        <v>80</v>
      </c>
      <c r="C57" s="58">
        <v>1</v>
      </c>
      <c r="D57" s="63">
        <v>24</v>
      </c>
      <c r="E57" s="63">
        <v>60</v>
      </c>
      <c r="F57" s="63">
        <f t="shared" si="1"/>
        <v>36</v>
      </c>
      <c r="G57" s="57" t="s">
        <v>484</v>
      </c>
      <c r="H57" s="55" t="s">
        <v>482</v>
      </c>
    </row>
    <row r="58" spans="1:8">
      <c r="A58" s="77">
        <v>43854</v>
      </c>
      <c r="B58" s="59" t="s">
        <v>99</v>
      </c>
      <c r="C58" s="58">
        <v>1</v>
      </c>
      <c r="D58" s="63">
        <v>16</v>
      </c>
      <c r="E58" s="63">
        <v>35</v>
      </c>
      <c r="F58" s="63">
        <f t="shared" si="1"/>
        <v>19</v>
      </c>
      <c r="G58" s="57" t="s">
        <v>484</v>
      </c>
      <c r="H58" s="55" t="s">
        <v>482</v>
      </c>
    </row>
    <row r="59" spans="1:8">
      <c r="A59" s="77">
        <v>43854</v>
      </c>
      <c r="B59" s="59" t="s">
        <v>100</v>
      </c>
      <c r="C59" s="58">
        <v>1</v>
      </c>
      <c r="D59" s="63">
        <v>11</v>
      </c>
      <c r="E59" s="63">
        <v>20</v>
      </c>
      <c r="F59" s="63">
        <f t="shared" si="1"/>
        <v>9</v>
      </c>
      <c r="G59" s="57" t="s">
        <v>484</v>
      </c>
      <c r="H59" s="55" t="s">
        <v>482</v>
      </c>
    </row>
    <row r="60" spans="1:8">
      <c r="A60" s="77">
        <v>43854</v>
      </c>
      <c r="B60" s="59" t="s">
        <v>101</v>
      </c>
      <c r="C60" s="58">
        <v>1</v>
      </c>
      <c r="D60" s="63">
        <v>2</v>
      </c>
      <c r="E60" s="63">
        <v>4</v>
      </c>
      <c r="F60" s="63">
        <f t="shared" si="1"/>
        <v>2</v>
      </c>
      <c r="G60" s="57" t="s">
        <v>484</v>
      </c>
      <c r="H60" s="55" t="s">
        <v>482</v>
      </c>
    </row>
    <row r="61" spans="1:8">
      <c r="A61" s="77">
        <v>43855</v>
      </c>
      <c r="B61" s="59" t="s">
        <v>98</v>
      </c>
      <c r="C61" s="58">
        <v>1</v>
      </c>
      <c r="D61" s="63">
        <v>45</v>
      </c>
      <c r="E61" s="63">
        <v>100</v>
      </c>
      <c r="F61" s="63">
        <f t="shared" si="1"/>
        <v>55</v>
      </c>
      <c r="G61" s="57" t="s">
        <v>484</v>
      </c>
      <c r="H61" s="55" t="s">
        <v>482</v>
      </c>
    </row>
    <row r="62" spans="1:8">
      <c r="A62" s="77">
        <v>43861</v>
      </c>
      <c r="B62" s="59" t="s">
        <v>91</v>
      </c>
      <c r="C62" s="58">
        <v>1</v>
      </c>
      <c r="D62" s="63">
        <v>47.5</v>
      </c>
      <c r="E62" s="63">
        <v>160</v>
      </c>
      <c r="F62" s="63">
        <f t="shared" si="1"/>
        <v>112.5</v>
      </c>
      <c r="G62" s="57" t="s">
        <v>484</v>
      </c>
      <c r="H62" s="55" t="s">
        <v>482</v>
      </c>
    </row>
    <row r="63" spans="1:8">
      <c r="A63" s="77">
        <v>43858</v>
      </c>
      <c r="B63" s="59" t="s">
        <v>103</v>
      </c>
      <c r="C63" s="58">
        <v>1</v>
      </c>
      <c r="D63" s="63">
        <v>4</v>
      </c>
      <c r="E63" s="63">
        <v>10</v>
      </c>
      <c r="F63" s="63">
        <f t="shared" si="1"/>
        <v>6</v>
      </c>
      <c r="G63" s="57" t="s">
        <v>484</v>
      </c>
      <c r="H63" s="55" t="s">
        <v>482</v>
      </c>
    </row>
    <row r="64" spans="1:8">
      <c r="A64" s="77">
        <v>43860</v>
      </c>
      <c r="B64" s="59" t="s">
        <v>58</v>
      </c>
      <c r="C64" s="58">
        <v>1</v>
      </c>
      <c r="D64" s="63">
        <v>6.5</v>
      </c>
      <c r="E64" s="63">
        <v>15</v>
      </c>
      <c r="F64" s="63">
        <f t="shared" si="1"/>
        <v>8.5</v>
      </c>
      <c r="G64" s="57" t="s">
        <v>484</v>
      </c>
      <c r="H64" s="55" t="s">
        <v>482</v>
      </c>
    </row>
    <row r="65" spans="1:11">
      <c r="A65" s="77">
        <v>43862</v>
      </c>
      <c r="B65" s="59" t="s">
        <v>105</v>
      </c>
      <c r="C65" s="58">
        <v>1</v>
      </c>
      <c r="D65" s="63">
        <v>12</v>
      </c>
      <c r="E65" s="63">
        <v>25</v>
      </c>
      <c r="F65" s="65">
        <f t="shared" ref="F65:F112" si="2">E65-D65</f>
        <v>13</v>
      </c>
      <c r="G65" s="57" t="s">
        <v>484</v>
      </c>
      <c r="H65" s="55" t="s">
        <v>482</v>
      </c>
      <c r="K65" s="56"/>
    </row>
    <row r="66" spans="1:11">
      <c r="A66" s="77">
        <v>43862</v>
      </c>
      <c r="B66" s="59" t="s">
        <v>105</v>
      </c>
      <c r="C66" s="58">
        <v>1</v>
      </c>
      <c r="D66" s="63">
        <v>12</v>
      </c>
      <c r="E66" s="63">
        <v>25</v>
      </c>
      <c r="F66" s="65">
        <f t="shared" si="2"/>
        <v>13</v>
      </c>
      <c r="G66" s="57" t="s">
        <v>484</v>
      </c>
      <c r="H66" s="55" t="s">
        <v>482</v>
      </c>
    </row>
    <row r="67" spans="1:11">
      <c r="A67" s="77">
        <v>43862</v>
      </c>
      <c r="B67" s="55" t="s">
        <v>106</v>
      </c>
      <c r="C67" s="58">
        <v>1</v>
      </c>
      <c r="D67" s="65">
        <v>9.5</v>
      </c>
      <c r="E67" s="65">
        <v>25</v>
      </c>
      <c r="F67" s="65">
        <f t="shared" si="2"/>
        <v>15.5</v>
      </c>
      <c r="G67" s="57" t="s">
        <v>484</v>
      </c>
      <c r="H67" s="55" t="s">
        <v>482</v>
      </c>
    </row>
    <row r="68" spans="1:11">
      <c r="A68" s="77">
        <v>43862</v>
      </c>
      <c r="B68" s="55" t="s">
        <v>159</v>
      </c>
      <c r="C68" s="58">
        <v>1</v>
      </c>
      <c r="D68" s="65">
        <v>15</v>
      </c>
      <c r="E68" s="65">
        <v>30</v>
      </c>
      <c r="F68" s="65">
        <f t="shared" si="2"/>
        <v>15</v>
      </c>
      <c r="G68" s="57" t="s">
        <v>484</v>
      </c>
      <c r="H68" s="55" t="s">
        <v>482</v>
      </c>
    </row>
    <row r="69" spans="1:11">
      <c r="A69" s="77">
        <v>43862</v>
      </c>
      <c r="B69" s="59" t="s">
        <v>107</v>
      </c>
      <c r="C69" s="58">
        <v>1</v>
      </c>
      <c r="D69" s="65">
        <v>90</v>
      </c>
      <c r="E69" s="65">
        <v>160</v>
      </c>
      <c r="F69" s="65">
        <f t="shared" si="2"/>
        <v>70</v>
      </c>
      <c r="G69" s="57" t="s">
        <v>484</v>
      </c>
      <c r="H69" s="55" t="s">
        <v>482</v>
      </c>
    </row>
    <row r="70" spans="1:11">
      <c r="A70" s="77">
        <v>43862</v>
      </c>
      <c r="B70" s="59" t="s">
        <v>91</v>
      </c>
      <c r="C70" s="58">
        <v>1</v>
      </c>
      <c r="D70" s="65">
        <v>70</v>
      </c>
      <c r="E70" s="65">
        <v>140</v>
      </c>
      <c r="F70" s="65">
        <f t="shared" si="2"/>
        <v>70</v>
      </c>
      <c r="G70" s="57" t="s">
        <v>484</v>
      </c>
      <c r="H70" s="55" t="s">
        <v>482</v>
      </c>
    </row>
    <row r="71" spans="1:11">
      <c r="A71" s="77">
        <v>43864</v>
      </c>
      <c r="B71" s="59" t="s">
        <v>80</v>
      </c>
      <c r="C71" s="58">
        <v>1</v>
      </c>
      <c r="D71" s="63">
        <v>24</v>
      </c>
      <c r="E71" s="63">
        <v>50</v>
      </c>
      <c r="F71" s="65">
        <f t="shared" si="2"/>
        <v>26</v>
      </c>
      <c r="G71" s="57" t="s">
        <v>484</v>
      </c>
      <c r="H71" s="55" t="s">
        <v>482</v>
      </c>
    </row>
    <row r="72" spans="1:11">
      <c r="A72" s="77">
        <v>43865</v>
      </c>
      <c r="B72" s="55" t="s">
        <v>109</v>
      </c>
      <c r="C72" s="58">
        <v>1</v>
      </c>
      <c r="D72" s="65">
        <v>70</v>
      </c>
      <c r="E72" s="65">
        <v>117</v>
      </c>
      <c r="F72" s="65">
        <f t="shared" si="2"/>
        <v>47</v>
      </c>
      <c r="G72" s="57" t="s">
        <v>484</v>
      </c>
      <c r="H72" s="55" t="s">
        <v>482</v>
      </c>
    </row>
    <row r="73" spans="1:11">
      <c r="A73" s="77">
        <v>43865</v>
      </c>
      <c r="B73" s="55" t="s">
        <v>184</v>
      </c>
      <c r="C73" s="58">
        <v>1</v>
      </c>
      <c r="D73" s="65">
        <v>70</v>
      </c>
      <c r="E73" s="65">
        <v>130</v>
      </c>
      <c r="F73" s="65">
        <f t="shared" si="2"/>
        <v>60</v>
      </c>
      <c r="G73" s="57" t="s">
        <v>484</v>
      </c>
      <c r="H73" s="55" t="s">
        <v>482</v>
      </c>
    </row>
    <row r="74" spans="1:11">
      <c r="A74" s="77">
        <v>43865</v>
      </c>
      <c r="B74" s="55" t="s">
        <v>110</v>
      </c>
      <c r="C74" s="58">
        <v>1</v>
      </c>
      <c r="D74" s="65">
        <v>15</v>
      </c>
      <c r="E74" s="65">
        <v>25</v>
      </c>
      <c r="F74" s="65">
        <f t="shared" si="2"/>
        <v>10</v>
      </c>
      <c r="G74" s="57" t="s">
        <v>484</v>
      </c>
      <c r="H74" s="55" t="s">
        <v>482</v>
      </c>
    </row>
    <row r="75" spans="1:11">
      <c r="A75" s="77">
        <v>43865</v>
      </c>
      <c r="B75" s="55" t="s">
        <v>108</v>
      </c>
      <c r="C75" s="58">
        <v>1</v>
      </c>
      <c r="D75" s="65">
        <v>15</v>
      </c>
      <c r="E75" s="65">
        <v>25</v>
      </c>
      <c r="F75" s="65">
        <f t="shared" si="2"/>
        <v>10</v>
      </c>
      <c r="G75" s="57" t="s">
        <v>484</v>
      </c>
      <c r="H75" s="55" t="s">
        <v>482</v>
      </c>
    </row>
    <row r="76" spans="1:11">
      <c r="A76" s="77">
        <v>43865</v>
      </c>
      <c r="B76" s="55" t="s">
        <v>111</v>
      </c>
      <c r="C76" s="58">
        <v>1</v>
      </c>
      <c r="D76" s="65">
        <v>25</v>
      </c>
      <c r="E76" s="65">
        <v>50</v>
      </c>
      <c r="F76" s="65">
        <f t="shared" si="2"/>
        <v>25</v>
      </c>
      <c r="G76" s="57" t="s">
        <v>484</v>
      </c>
      <c r="H76" s="55" t="s">
        <v>482</v>
      </c>
    </row>
    <row r="77" spans="1:11">
      <c r="A77" s="77">
        <v>43866</v>
      </c>
      <c r="B77" s="56" t="s">
        <v>61</v>
      </c>
      <c r="C77" s="58">
        <v>1</v>
      </c>
      <c r="D77" s="50">
        <v>3</v>
      </c>
      <c r="E77" s="63">
        <v>5</v>
      </c>
      <c r="F77" s="65">
        <f t="shared" si="2"/>
        <v>2</v>
      </c>
      <c r="G77" s="57" t="s">
        <v>484</v>
      </c>
      <c r="H77" s="55" t="s">
        <v>482</v>
      </c>
    </row>
    <row r="78" spans="1:11">
      <c r="A78" s="77">
        <v>43866</v>
      </c>
      <c r="B78" s="56" t="s">
        <v>70</v>
      </c>
      <c r="C78" s="58">
        <v>1</v>
      </c>
      <c r="D78" s="50">
        <v>88</v>
      </c>
      <c r="E78" s="63">
        <v>210</v>
      </c>
      <c r="F78" s="65">
        <f t="shared" si="2"/>
        <v>122</v>
      </c>
      <c r="G78" s="57" t="s">
        <v>484</v>
      </c>
      <c r="H78" s="55" t="s">
        <v>482</v>
      </c>
    </row>
    <row r="79" spans="1:11">
      <c r="A79" s="77">
        <v>43866</v>
      </c>
      <c r="B79" s="55" t="s">
        <v>109</v>
      </c>
      <c r="C79" s="58">
        <v>1</v>
      </c>
      <c r="D79" s="65">
        <v>70</v>
      </c>
      <c r="E79" s="65">
        <v>120</v>
      </c>
      <c r="F79" s="65">
        <f t="shared" si="2"/>
        <v>50</v>
      </c>
      <c r="G79" s="57" t="s">
        <v>484</v>
      </c>
      <c r="H79" s="55" t="s">
        <v>482</v>
      </c>
    </row>
    <row r="80" spans="1:11">
      <c r="A80" s="77">
        <v>43866</v>
      </c>
      <c r="B80" s="55" t="s">
        <v>109</v>
      </c>
      <c r="C80" s="58">
        <v>1</v>
      </c>
      <c r="D80" s="65">
        <v>70</v>
      </c>
      <c r="E80" s="65">
        <v>100</v>
      </c>
      <c r="F80" s="65">
        <f t="shared" si="2"/>
        <v>30</v>
      </c>
      <c r="G80" s="57" t="s">
        <v>484</v>
      </c>
      <c r="H80" s="55" t="s">
        <v>482</v>
      </c>
    </row>
    <row r="81" spans="1:8">
      <c r="A81" s="77">
        <v>43870</v>
      </c>
      <c r="B81" s="56" t="s">
        <v>60</v>
      </c>
      <c r="C81" s="58">
        <v>1</v>
      </c>
      <c r="D81" s="50">
        <v>3.5</v>
      </c>
      <c r="E81" s="63">
        <v>5</v>
      </c>
      <c r="F81" s="65">
        <f t="shared" si="2"/>
        <v>1.5</v>
      </c>
      <c r="G81" s="57" t="s">
        <v>484</v>
      </c>
      <c r="H81" s="55" t="s">
        <v>482</v>
      </c>
    </row>
    <row r="82" spans="1:8">
      <c r="A82" s="77">
        <v>43870</v>
      </c>
      <c r="B82" s="56" t="s">
        <v>61</v>
      </c>
      <c r="C82" s="58">
        <v>1</v>
      </c>
      <c r="D82" s="50">
        <v>3</v>
      </c>
      <c r="E82" s="63">
        <v>5</v>
      </c>
      <c r="F82" s="65">
        <f t="shared" si="2"/>
        <v>2</v>
      </c>
      <c r="G82" s="57" t="s">
        <v>484</v>
      </c>
      <c r="H82" s="55" t="s">
        <v>482</v>
      </c>
    </row>
    <row r="83" spans="1:8">
      <c r="A83" s="77">
        <v>43871</v>
      </c>
      <c r="B83" s="55" t="s">
        <v>111</v>
      </c>
      <c r="C83" s="58">
        <v>1</v>
      </c>
      <c r="D83" s="65">
        <v>25</v>
      </c>
      <c r="E83" s="65">
        <v>50</v>
      </c>
      <c r="F83" s="65">
        <f t="shared" si="2"/>
        <v>25</v>
      </c>
      <c r="G83" s="57" t="s">
        <v>484</v>
      </c>
      <c r="H83" s="55" t="s">
        <v>482</v>
      </c>
    </row>
    <row r="84" spans="1:8">
      <c r="A84" s="77">
        <v>43871</v>
      </c>
      <c r="B84" s="59" t="s">
        <v>93</v>
      </c>
      <c r="C84" s="58">
        <v>1</v>
      </c>
      <c r="D84" s="63">
        <v>14</v>
      </c>
      <c r="E84" s="63">
        <v>35</v>
      </c>
      <c r="F84" s="65">
        <f t="shared" si="2"/>
        <v>21</v>
      </c>
      <c r="G84" s="57" t="s">
        <v>484</v>
      </c>
      <c r="H84" s="55" t="s">
        <v>482</v>
      </c>
    </row>
    <row r="85" spans="1:8">
      <c r="A85" s="77">
        <v>43872</v>
      </c>
      <c r="B85" s="59" t="s">
        <v>80</v>
      </c>
      <c r="C85" s="58">
        <v>1</v>
      </c>
      <c r="D85" s="63">
        <v>24</v>
      </c>
      <c r="E85" s="63">
        <v>50</v>
      </c>
      <c r="F85" s="65">
        <f t="shared" si="2"/>
        <v>26</v>
      </c>
      <c r="G85" s="57" t="s">
        <v>484</v>
      </c>
      <c r="H85" s="55" t="s">
        <v>482</v>
      </c>
    </row>
    <row r="86" spans="1:8">
      <c r="A86" s="77">
        <v>43872</v>
      </c>
      <c r="B86" s="55" t="s">
        <v>72</v>
      </c>
      <c r="C86" s="58">
        <v>1</v>
      </c>
      <c r="D86" s="65">
        <v>20</v>
      </c>
      <c r="E86" s="65">
        <v>35</v>
      </c>
      <c r="F86" s="65">
        <f t="shared" si="2"/>
        <v>15</v>
      </c>
      <c r="G86" s="57" t="s">
        <v>484</v>
      </c>
      <c r="H86" s="55" t="s">
        <v>482</v>
      </c>
    </row>
    <row r="87" spans="1:8">
      <c r="A87" s="77">
        <v>43872</v>
      </c>
      <c r="B87" s="55" t="s">
        <v>94</v>
      </c>
      <c r="C87" s="58">
        <v>1</v>
      </c>
      <c r="D87" s="65">
        <v>0</v>
      </c>
      <c r="E87" s="65">
        <v>35</v>
      </c>
      <c r="F87" s="65">
        <f t="shared" si="2"/>
        <v>35</v>
      </c>
      <c r="G87" s="57" t="s">
        <v>484</v>
      </c>
      <c r="H87" s="55" t="s">
        <v>482</v>
      </c>
    </row>
    <row r="88" spans="1:8">
      <c r="A88" s="77">
        <v>43872</v>
      </c>
      <c r="B88" s="55" t="s">
        <v>94</v>
      </c>
      <c r="C88" s="58">
        <v>1</v>
      </c>
      <c r="D88" s="65">
        <v>0</v>
      </c>
      <c r="E88" s="65">
        <v>35</v>
      </c>
      <c r="F88" s="65">
        <f t="shared" si="2"/>
        <v>35</v>
      </c>
      <c r="G88" s="57" t="s">
        <v>484</v>
      </c>
      <c r="H88" s="55" t="s">
        <v>482</v>
      </c>
    </row>
    <row r="89" spans="1:8">
      <c r="A89" s="77">
        <v>43873</v>
      </c>
      <c r="B89" s="55" t="s">
        <v>89</v>
      </c>
      <c r="C89" s="58">
        <v>1</v>
      </c>
      <c r="D89" s="65">
        <v>26</v>
      </c>
      <c r="E89" s="65">
        <v>50</v>
      </c>
      <c r="F89" s="65">
        <f t="shared" si="2"/>
        <v>24</v>
      </c>
      <c r="G89" s="57" t="s">
        <v>484</v>
      </c>
      <c r="H89" s="55" t="s">
        <v>482</v>
      </c>
    </row>
    <row r="90" spans="1:8">
      <c r="A90" s="77">
        <v>43875</v>
      </c>
      <c r="B90" s="59" t="s">
        <v>53</v>
      </c>
      <c r="C90" s="58">
        <v>1</v>
      </c>
      <c r="D90" s="63">
        <v>17</v>
      </c>
      <c r="E90" s="63">
        <v>35</v>
      </c>
      <c r="F90" s="65">
        <f t="shared" si="2"/>
        <v>18</v>
      </c>
      <c r="G90" s="57" t="s">
        <v>484</v>
      </c>
      <c r="H90" s="55" t="s">
        <v>482</v>
      </c>
    </row>
    <row r="91" spans="1:8">
      <c r="A91" s="77">
        <v>43877</v>
      </c>
      <c r="B91" s="59" t="s">
        <v>80</v>
      </c>
      <c r="C91" s="58">
        <v>1</v>
      </c>
      <c r="D91" s="63">
        <v>24</v>
      </c>
      <c r="E91" s="63">
        <v>50</v>
      </c>
      <c r="F91" s="65">
        <f t="shared" si="2"/>
        <v>26</v>
      </c>
      <c r="G91" s="57" t="s">
        <v>484</v>
      </c>
      <c r="H91" s="55" t="s">
        <v>482</v>
      </c>
    </row>
    <row r="92" spans="1:8">
      <c r="A92" s="77">
        <v>43877</v>
      </c>
      <c r="B92" s="59" t="s">
        <v>80</v>
      </c>
      <c r="C92" s="58">
        <v>1</v>
      </c>
      <c r="D92" s="63">
        <v>24</v>
      </c>
      <c r="E92" s="63">
        <v>50</v>
      </c>
      <c r="F92" s="65">
        <f t="shared" si="2"/>
        <v>26</v>
      </c>
      <c r="G92" s="57" t="s">
        <v>484</v>
      </c>
      <c r="H92" s="55" t="s">
        <v>482</v>
      </c>
    </row>
    <row r="93" spans="1:8">
      <c r="A93" s="77">
        <v>43879</v>
      </c>
      <c r="B93" s="55" t="s">
        <v>110</v>
      </c>
      <c r="C93" s="58">
        <v>1</v>
      </c>
      <c r="D93" s="65">
        <v>14</v>
      </c>
      <c r="E93" s="65">
        <v>30</v>
      </c>
      <c r="F93" s="65">
        <f t="shared" si="2"/>
        <v>16</v>
      </c>
      <c r="G93" s="57" t="s">
        <v>484</v>
      </c>
      <c r="H93" s="55" t="s">
        <v>482</v>
      </c>
    </row>
    <row r="94" spans="1:8">
      <c r="A94" s="77">
        <v>43880</v>
      </c>
      <c r="B94" s="55" t="s">
        <v>72</v>
      </c>
      <c r="C94" s="58">
        <v>1</v>
      </c>
      <c r="D94" s="65">
        <v>20</v>
      </c>
      <c r="E94" s="65">
        <v>35</v>
      </c>
      <c r="F94" s="65">
        <f t="shared" si="2"/>
        <v>15</v>
      </c>
      <c r="G94" s="57" t="s">
        <v>484</v>
      </c>
      <c r="H94" s="55" t="s">
        <v>482</v>
      </c>
    </row>
    <row r="95" spans="1:8">
      <c r="A95" s="77">
        <v>43880</v>
      </c>
      <c r="B95" s="55" t="s">
        <v>114</v>
      </c>
      <c r="C95" s="58">
        <v>1</v>
      </c>
      <c r="D95" s="65">
        <v>45</v>
      </c>
      <c r="E95" s="65">
        <v>80</v>
      </c>
      <c r="F95" s="65">
        <f t="shared" si="2"/>
        <v>35</v>
      </c>
      <c r="G95" s="57" t="s">
        <v>484</v>
      </c>
      <c r="H95" s="55" t="s">
        <v>482</v>
      </c>
    </row>
    <row r="96" spans="1:8">
      <c r="A96" s="77">
        <v>43881</v>
      </c>
      <c r="B96" s="55" t="s">
        <v>108</v>
      </c>
      <c r="C96" s="58">
        <v>1</v>
      </c>
      <c r="D96" s="65">
        <v>15</v>
      </c>
      <c r="E96" s="65">
        <v>30</v>
      </c>
      <c r="F96" s="65">
        <f t="shared" si="2"/>
        <v>15</v>
      </c>
      <c r="G96" s="57" t="s">
        <v>484</v>
      </c>
      <c r="H96" s="55" t="s">
        <v>482</v>
      </c>
    </row>
    <row r="97" spans="1:8">
      <c r="A97" s="77">
        <v>43881</v>
      </c>
      <c r="B97" s="55" t="s">
        <v>112</v>
      </c>
      <c r="C97" s="58">
        <v>1</v>
      </c>
      <c r="D97" s="65">
        <v>35</v>
      </c>
      <c r="E97" s="65">
        <v>55</v>
      </c>
      <c r="F97" s="65">
        <f t="shared" si="2"/>
        <v>20</v>
      </c>
      <c r="G97" s="57" t="s">
        <v>484</v>
      </c>
      <c r="H97" s="55" t="s">
        <v>482</v>
      </c>
    </row>
    <row r="98" spans="1:8">
      <c r="A98" s="77">
        <v>43881</v>
      </c>
      <c r="B98" s="55" t="s">
        <v>112</v>
      </c>
      <c r="C98" s="58">
        <v>1</v>
      </c>
      <c r="D98" s="65">
        <v>35</v>
      </c>
      <c r="E98" s="65">
        <v>55</v>
      </c>
      <c r="F98" s="65">
        <f t="shared" si="2"/>
        <v>20</v>
      </c>
      <c r="G98" s="57" t="s">
        <v>484</v>
      </c>
      <c r="H98" s="55" t="s">
        <v>482</v>
      </c>
    </row>
    <row r="99" spans="1:8">
      <c r="A99" s="77">
        <v>43885</v>
      </c>
      <c r="B99" s="55" t="s">
        <v>186</v>
      </c>
      <c r="C99" s="58">
        <v>1</v>
      </c>
      <c r="D99" s="65">
        <v>14</v>
      </c>
      <c r="E99" s="65">
        <v>25</v>
      </c>
      <c r="F99" s="65">
        <f t="shared" si="2"/>
        <v>11</v>
      </c>
      <c r="G99" s="57" t="s">
        <v>484</v>
      </c>
      <c r="H99" s="55" t="s">
        <v>482</v>
      </c>
    </row>
    <row r="100" spans="1:8">
      <c r="A100" s="77">
        <v>43886</v>
      </c>
      <c r="B100" s="55" t="s">
        <v>58</v>
      </c>
      <c r="C100" s="58">
        <v>1</v>
      </c>
      <c r="D100" s="65">
        <v>30</v>
      </c>
      <c r="E100" s="65">
        <v>65</v>
      </c>
      <c r="F100" s="65">
        <f t="shared" si="2"/>
        <v>35</v>
      </c>
      <c r="G100" s="57" t="s">
        <v>484</v>
      </c>
      <c r="H100" s="55" t="s">
        <v>482</v>
      </c>
    </row>
    <row r="101" spans="1:8">
      <c r="A101" s="77">
        <v>43887</v>
      </c>
      <c r="B101" s="55" t="s">
        <v>187</v>
      </c>
      <c r="C101" s="58">
        <v>1</v>
      </c>
      <c r="D101" s="65">
        <v>30</v>
      </c>
      <c r="E101" s="65">
        <v>60</v>
      </c>
      <c r="F101" s="65">
        <f t="shared" si="2"/>
        <v>30</v>
      </c>
      <c r="G101" s="57" t="s">
        <v>484</v>
      </c>
      <c r="H101" s="55" t="s">
        <v>482</v>
      </c>
    </row>
    <row r="102" spans="1:8">
      <c r="A102" s="77">
        <v>43887</v>
      </c>
      <c r="B102" s="55" t="s">
        <v>105</v>
      </c>
      <c r="C102" s="58">
        <v>1</v>
      </c>
      <c r="D102" s="65">
        <v>12</v>
      </c>
      <c r="E102" s="65">
        <v>25</v>
      </c>
      <c r="F102" s="65">
        <f t="shared" si="2"/>
        <v>13</v>
      </c>
      <c r="G102" s="57" t="s">
        <v>484</v>
      </c>
      <c r="H102" s="55" t="s">
        <v>482</v>
      </c>
    </row>
    <row r="103" spans="1:8">
      <c r="A103" s="77">
        <v>43887</v>
      </c>
      <c r="B103" s="55" t="s">
        <v>105</v>
      </c>
      <c r="C103" s="58">
        <v>1</v>
      </c>
      <c r="D103" s="65">
        <v>12</v>
      </c>
      <c r="E103" s="65">
        <v>25</v>
      </c>
      <c r="F103" s="65">
        <f t="shared" si="2"/>
        <v>13</v>
      </c>
      <c r="G103" s="57" t="s">
        <v>484</v>
      </c>
      <c r="H103" s="55" t="s">
        <v>482</v>
      </c>
    </row>
    <row r="104" spans="1:8">
      <c r="A104" s="77">
        <v>43887</v>
      </c>
      <c r="B104" s="55" t="s">
        <v>116</v>
      </c>
      <c r="C104" s="58">
        <v>1</v>
      </c>
      <c r="D104" s="65">
        <v>25</v>
      </c>
      <c r="E104" s="65">
        <v>50</v>
      </c>
      <c r="F104" s="65">
        <f t="shared" si="2"/>
        <v>25</v>
      </c>
      <c r="G104" s="57" t="s">
        <v>484</v>
      </c>
      <c r="H104" s="55" t="s">
        <v>482</v>
      </c>
    </row>
    <row r="105" spans="1:8">
      <c r="A105" s="77">
        <v>43887</v>
      </c>
      <c r="B105" s="55" t="s">
        <v>105</v>
      </c>
      <c r="C105" s="58">
        <v>1</v>
      </c>
      <c r="D105" s="65">
        <v>12</v>
      </c>
      <c r="E105" s="65">
        <v>20</v>
      </c>
      <c r="F105" s="65">
        <f t="shared" si="2"/>
        <v>8</v>
      </c>
      <c r="G105" s="57" t="s">
        <v>484</v>
      </c>
      <c r="H105" s="55" t="s">
        <v>482</v>
      </c>
    </row>
    <row r="106" spans="1:8">
      <c r="A106" s="77">
        <v>43888</v>
      </c>
      <c r="B106" s="55" t="s">
        <v>118</v>
      </c>
      <c r="C106" s="58">
        <v>1</v>
      </c>
      <c r="D106" s="65">
        <v>36.5</v>
      </c>
      <c r="E106" s="65">
        <v>60</v>
      </c>
      <c r="F106" s="65">
        <f t="shared" si="2"/>
        <v>23.5</v>
      </c>
      <c r="G106" s="57" t="s">
        <v>484</v>
      </c>
      <c r="H106" s="55" t="s">
        <v>482</v>
      </c>
    </row>
    <row r="107" spans="1:8">
      <c r="A107" s="77">
        <v>43888</v>
      </c>
      <c r="B107" s="56" t="s">
        <v>59</v>
      </c>
      <c r="C107" s="58">
        <v>1</v>
      </c>
      <c r="D107" s="50">
        <v>11.39</v>
      </c>
      <c r="E107" s="63">
        <v>30</v>
      </c>
      <c r="F107" s="65">
        <f t="shared" si="2"/>
        <v>18.61</v>
      </c>
      <c r="G107" s="57" t="s">
        <v>484</v>
      </c>
      <c r="H107" s="55" t="s">
        <v>482</v>
      </c>
    </row>
    <row r="108" spans="1:8">
      <c r="A108" s="77">
        <v>43888</v>
      </c>
      <c r="B108" s="55" t="s">
        <v>58</v>
      </c>
      <c r="C108" s="58">
        <v>1</v>
      </c>
      <c r="D108" s="65">
        <v>30</v>
      </c>
      <c r="E108" s="65">
        <v>50</v>
      </c>
      <c r="F108" s="65">
        <f t="shared" si="2"/>
        <v>20</v>
      </c>
      <c r="G108" s="57" t="s">
        <v>484</v>
      </c>
      <c r="H108" s="55" t="s">
        <v>482</v>
      </c>
    </row>
    <row r="109" spans="1:8">
      <c r="A109" s="77">
        <v>43888</v>
      </c>
      <c r="B109" s="55" t="s">
        <v>58</v>
      </c>
      <c r="C109" s="58">
        <v>1</v>
      </c>
      <c r="D109" s="65">
        <v>30</v>
      </c>
      <c r="E109" s="65">
        <v>50</v>
      </c>
      <c r="F109" s="65">
        <f t="shared" si="2"/>
        <v>20</v>
      </c>
      <c r="G109" s="57" t="s">
        <v>484</v>
      </c>
      <c r="H109" s="55" t="s">
        <v>482</v>
      </c>
    </row>
    <row r="110" spans="1:8">
      <c r="A110" s="77">
        <v>43889</v>
      </c>
      <c r="B110" s="56" t="s">
        <v>55</v>
      </c>
      <c r="C110" s="58">
        <v>1</v>
      </c>
      <c r="D110" s="50">
        <v>3.8</v>
      </c>
      <c r="E110" s="63">
        <v>10</v>
      </c>
      <c r="F110" s="63">
        <f t="shared" si="2"/>
        <v>6.2</v>
      </c>
      <c r="G110" s="57" t="s">
        <v>484</v>
      </c>
      <c r="H110" s="55" t="s">
        <v>482</v>
      </c>
    </row>
    <row r="111" spans="1:8">
      <c r="A111" s="77">
        <v>43889</v>
      </c>
      <c r="B111" s="55" t="s">
        <v>127</v>
      </c>
      <c r="C111" s="58">
        <v>1</v>
      </c>
      <c r="D111" s="65">
        <v>13.5</v>
      </c>
      <c r="E111" s="65">
        <v>20</v>
      </c>
      <c r="F111" s="65">
        <f t="shared" si="2"/>
        <v>6.5</v>
      </c>
      <c r="G111" s="57" t="s">
        <v>484</v>
      </c>
      <c r="H111" s="55" t="s">
        <v>482</v>
      </c>
    </row>
    <row r="112" spans="1:8">
      <c r="A112" s="77">
        <v>43890</v>
      </c>
      <c r="B112" s="55" t="s">
        <v>53</v>
      </c>
      <c r="C112" s="58">
        <v>1</v>
      </c>
      <c r="D112" s="65">
        <v>17</v>
      </c>
      <c r="E112" s="65">
        <v>30</v>
      </c>
      <c r="F112" s="65">
        <f t="shared" si="2"/>
        <v>13</v>
      </c>
      <c r="G112" s="57" t="s">
        <v>484</v>
      </c>
      <c r="H112" s="55" t="s">
        <v>482</v>
      </c>
    </row>
    <row r="113" spans="1:11">
      <c r="A113" s="77">
        <v>43890</v>
      </c>
      <c r="B113" s="55" t="s">
        <v>54</v>
      </c>
      <c r="C113" s="58">
        <v>1</v>
      </c>
      <c r="D113" s="65">
        <v>14</v>
      </c>
      <c r="E113" s="65">
        <v>30</v>
      </c>
      <c r="F113" s="65">
        <f t="shared" ref="F113:F121" si="3">E113-D113</f>
        <v>16</v>
      </c>
      <c r="G113" s="57" t="s">
        <v>484</v>
      </c>
      <c r="H113" s="55" t="s">
        <v>482</v>
      </c>
    </row>
    <row r="114" spans="1:11">
      <c r="A114" s="77">
        <v>43889</v>
      </c>
      <c r="B114" s="55" t="s">
        <v>127</v>
      </c>
      <c r="C114" s="58">
        <v>1</v>
      </c>
      <c r="D114" s="65">
        <v>13.5</v>
      </c>
      <c r="E114" s="65">
        <v>20</v>
      </c>
      <c r="F114" s="65">
        <f t="shared" si="3"/>
        <v>6.5</v>
      </c>
      <c r="G114" s="57" t="s">
        <v>484</v>
      </c>
      <c r="H114" s="55" t="s">
        <v>482</v>
      </c>
    </row>
    <row r="115" spans="1:11">
      <c r="A115" s="77">
        <v>43890</v>
      </c>
      <c r="B115" s="55" t="s">
        <v>129</v>
      </c>
      <c r="C115" s="58">
        <v>1</v>
      </c>
      <c r="D115" s="65">
        <v>13.5</v>
      </c>
      <c r="E115" s="65">
        <v>30</v>
      </c>
      <c r="F115" s="65">
        <f t="shared" si="3"/>
        <v>16.5</v>
      </c>
      <c r="G115" s="57" t="s">
        <v>484</v>
      </c>
      <c r="H115" s="55" t="s">
        <v>482</v>
      </c>
    </row>
    <row r="116" spans="1:11">
      <c r="A116" s="77">
        <v>43890</v>
      </c>
      <c r="B116" s="55" t="s">
        <v>129</v>
      </c>
      <c r="C116" s="58">
        <v>1</v>
      </c>
      <c r="D116" s="65">
        <v>13.5</v>
      </c>
      <c r="E116" s="65">
        <v>30</v>
      </c>
      <c r="F116" s="65">
        <f t="shared" si="3"/>
        <v>16.5</v>
      </c>
      <c r="G116" s="57" t="s">
        <v>484</v>
      </c>
      <c r="H116" s="55" t="s">
        <v>482</v>
      </c>
    </row>
    <row r="117" spans="1:11">
      <c r="A117" s="77">
        <v>43890</v>
      </c>
      <c r="B117" s="55" t="s">
        <v>129</v>
      </c>
      <c r="C117" s="58">
        <v>1</v>
      </c>
      <c r="D117" s="65">
        <v>13.5</v>
      </c>
      <c r="E117" s="65">
        <v>30</v>
      </c>
      <c r="F117" s="65">
        <f t="shared" si="3"/>
        <v>16.5</v>
      </c>
      <c r="G117" s="57" t="s">
        <v>484</v>
      </c>
      <c r="H117" s="55" t="s">
        <v>482</v>
      </c>
    </row>
    <row r="118" spans="1:11">
      <c r="A118" s="77">
        <v>43904</v>
      </c>
      <c r="B118" s="56" t="s">
        <v>144</v>
      </c>
      <c r="C118" s="58">
        <v>1</v>
      </c>
      <c r="D118" s="50">
        <v>53</v>
      </c>
      <c r="E118" s="63">
        <v>60</v>
      </c>
      <c r="F118" s="63">
        <f t="shared" si="3"/>
        <v>7</v>
      </c>
      <c r="G118" s="57" t="s">
        <v>484</v>
      </c>
      <c r="H118" s="55" t="s">
        <v>482</v>
      </c>
      <c r="K118" s="59"/>
    </row>
    <row r="119" spans="1:11">
      <c r="A119" s="77">
        <v>43906</v>
      </c>
      <c r="B119" s="56" t="s">
        <v>183</v>
      </c>
      <c r="C119" s="58">
        <v>1</v>
      </c>
      <c r="D119" s="50">
        <v>5</v>
      </c>
      <c r="E119" s="63">
        <f>3.5*2</f>
        <v>7</v>
      </c>
      <c r="F119" s="63">
        <f t="shared" si="3"/>
        <v>2</v>
      </c>
      <c r="G119" s="57" t="s">
        <v>484</v>
      </c>
      <c r="H119" s="55" t="s">
        <v>482</v>
      </c>
      <c r="K119" s="59"/>
    </row>
    <row r="120" spans="1:11">
      <c r="A120" s="77">
        <v>43904</v>
      </c>
      <c r="B120" s="56" t="s">
        <v>145</v>
      </c>
      <c r="C120" s="58">
        <v>1</v>
      </c>
      <c r="D120" s="50">
        <v>5</v>
      </c>
      <c r="E120" s="63">
        <v>10</v>
      </c>
      <c r="F120" s="63">
        <f t="shared" si="3"/>
        <v>5</v>
      </c>
      <c r="G120" s="57" t="s">
        <v>484</v>
      </c>
      <c r="H120" s="55" t="s">
        <v>482</v>
      </c>
      <c r="K120" s="59"/>
    </row>
    <row r="121" spans="1:11">
      <c r="A121" s="77">
        <v>43904</v>
      </c>
      <c r="B121" s="59" t="s">
        <v>105</v>
      </c>
      <c r="C121" s="58">
        <v>1</v>
      </c>
      <c r="D121" s="50">
        <v>1.2</v>
      </c>
      <c r="E121" s="63">
        <v>2.5</v>
      </c>
      <c r="F121" s="63">
        <f t="shared" si="3"/>
        <v>1.3</v>
      </c>
      <c r="G121" s="57" t="s">
        <v>484</v>
      </c>
      <c r="H121" s="55" t="s">
        <v>482</v>
      </c>
      <c r="K121" s="59"/>
    </row>
    <row r="122" spans="1:11">
      <c r="A122" s="77">
        <v>43918</v>
      </c>
      <c r="B122" s="59" t="s">
        <v>105</v>
      </c>
      <c r="C122" s="58">
        <v>1</v>
      </c>
      <c r="D122" s="50">
        <v>0</v>
      </c>
      <c r="E122" s="63">
        <v>20</v>
      </c>
      <c r="F122" s="65">
        <v>20</v>
      </c>
      <c r="G122" s="57" t="s">
        <v>484</v>
      </c>
      <c r="H122" s="55" t="s">
        <v>482</v>
      </c>
    </row>
    <row r="123" spans="1:11">
      <c r="A123" s="77">
        <v>43902</v>
      </c>
      <c r="B123" s="59" t="s">
        <v>105</v>
      </c>
      <c r="C123" s="58">
        <v>1</v>
      </c>
      <c r="D123" s="65">
        <v>12</v>
      </c>
      <c r="E123" s="65">
        <v>20</v>
      </c>
      <c r="F123" s="65">
        <f t="shared" ref="F123:F154" si="4">E123-D123</f>
        <v>8</v>
      </c>
      <c r="G123" s="57" t="s">
        <v>484</v>
      </c>
      <c r="H123" s="55" t="s">
        <v>482</v>
      </c>
    </row>
    <row r="124" spans="1:11">
      <c r="A124" s="77">
        <v>43904</v>
      </c>
      <c r="B124" s="59" t="s">
        <v>105</v>
      </c>
      <c r="C124" s="58">
        <v>1</v>
      </c>
      <c r="D124" s="65">
        <v>12</v>
      </c>
      <c r="E124" s="65">
        <v>20</v>
      </c>
      <c r="F124" s="65">
        <f t="shared" si="4"/>
        <v>8</v>
      </c>
      <c r="G124" s="57" t="s">
        <v>484</v>
      </c>
      <c r="H124" s="55" t="s">
        <v>482</v>
      </c>
    </row>
    <row r="125" spans="1:11">
      <c r="A125" s="77">
        <v>43904</v>
      </c>
      <c r="B125" s="59" t="s">
        <v>105</v>
      </c>
      <c r="C125" s="58">
        <v>1</v>
      </c>
      <c r="D125" s="65">
        <v>12</v>
      </c>
      <c r="E125" s="65">
        <v>20</v>
      </c>
      <c r="F125" s="65">
        <f t="shared" si="4"/>
        <v>8</v>
      </c>
      <c r="G125" s="57" t="s">
        <v>484</v>
      </c>
      <c r="H125" s="55" t="s">
        <v>482</v>
      </c>
    </row>
    <row r="126" spans="1:11">
      <c r="A126" s="77">
        <v>43904</v>
      </c>
      <c r="B126" s="59" t="s">
        <v>105</v>
      </c>
      <c r="C126" s="58">
        <v>1</v>
      </c>
      <c r="D126" s="65">
        <v>12</v>
      </c>
      <c r="E126" s="65">
        <v>20</v>
      </c>
      <c r="F126" s="65">
        <f t="shared" si="4"/>
        <v>8</v>
      </c>
      <c r="G126" s="57" t="s">
        <v>484</v>
      </c>
      <c r="H126" s="55" t="s">
        <v>482</v>
      </c>
    </row>
    <row r="127" spans="1:11">
      <c r="A127" s="77">
        <v>43903</v>
      </c>
      <c r="B127" s="60" t="s">
        <v>52</v>
      </c>
      <c r="C127" s="58">
        <v>1</v>
      </c>
      <c r="D127" s="66">
        <v>28</v>
      </c>
      <c r="E127" s="63">
        <v>50</v>
      </c>
      <c r="F127" s="65">
        <f t="shared" si="4"/>
        <v>22</v>
      </c>
      <c r="G127" s="57" t="s">
        <v>484</v>
      </c>
      <c r="H127" s="55" t="s">
        <v>482</v>
      </c>
    </row>
    <row r="128" spans="1:11">
      <c r="A128" s="77">
        <v>43900</v>
      </c>
      <c r="B128" s="55" t="s">
        <v>53</v>
      </c>
      <c r="C128" s="58">
        <v>1</v>
      </c>
      <c r="D128" s="65">
        <v>18</v>
      </c>
      <c r="E128" s="65">
        <v>55</v>
      </c>
      <c r="F128" s="65">
        <f t="shared" si="4"/>
        <v>37</v>
      </c>
      <c r="G128" s="57" t="s">
        <v>484</v>
      </c>
      <c r="H128" s="55" t="s">
        <v>482</v>
      </c>
    </row>
    <row r="129" spans="1:8">
      <c r="A129" s="77">
        <v>43906</v>
      </c>
      <c r="B129" s="55" t="s">
        <v>53</v>
      </c>
      <c r="C129" s="58">
        <v>1</v>
      </c>
      <c r="D129" s="65">
        <v>18</v>
      </c>
      <c r="E129" s="65">
        <v>35</v>
      </c>
      <c r="F129" s="65">
        <f t="shared" si="4"/>
        <v>17</v>
      </c>
      <c r="G129" s="57" t="s">
        <v>484</v>
      </c>
      <c r="H129" s="55" t="s">
        <v>482</v>
      </c>
    </row>
    <row r="130" spans="1:8">
      <c r="A130" s="77">
        <v>43910</v>
      </c>
      <c r="B130" s="56" t="s">
        <v>148</v>
      </c>
      <c r="C130" s="58">
        <v>1</v>
      </c>
      <c r="D130" s="50">
        <v>3.5</v>
      </c>
      <c r="E130" s="63">
        <v>10</v>
      </c>
      <c r="F130" s="65">
        <f t="shared" si="4"/>
        <v>6.5</v>
      </c>
      <c r="G130" s="57" t="s">
        <v>484</v>
      </c>
      <c r="H130" s="55" t="s">
        <v>482</v>
      </c>
    </row>
    <row r="131" spans="1:8">
      <c r="A131" s="77">
        <v>43910</v>
      </c>
      <c r="B131" s="56" t="s">
        <v>148</v>
      </c>
      <c r="C131" s="58">
        <v>1</v>
      </c>
      <c r="D131" s="50">
        <v>3.5</v>
      </c>
      <c r="E131" s="63">
        <v>10</v>
      </c>
      <c r="F131" s="65">
        <f t="shared" si="4"/>
        <v>6.5</v>
      </c>
      <c r="G131" s="57" t="s">
        <v>484</v>
      </c>
      <c r="H131" s="55" t="s">
        <v>482</v>
      </c>
    </row>
    <row r="132" spans="1:8">
      <c r="A132" s="77">
        <v>43903</v>
      </c>
      <c r="B132" s="56" t="s">
        <v>56</v>
      </c>
      <c r="C132" s="58">
        <v>1</v>
      </c>
      <c r="D132" s="50">
        <v>0.75</v>
      </c>
      <c r="E132" s="63">
        <v>5</v>
      </c>
      <c r="F132" s="65">
        <f t="shared" si="4"/>
        <v>4.25</v>
      </c>
      <c r="G132" s="57" t="s">
        <v>484</v>
      </c>
      <c r="H132" s="55" t="s">
        <v>482</v>
      </c>
    </row>
    <row r="133" spans="1:8">
      <c r="A133" s="77">
        <v>43903</v>
      </c>
      <c r="B133" s="56" t="s">
        <v>56</v>
      </c>
      <c r="C133" s="58">
        <v>1</v>
      </c>
      <c r="D133" s="50">
        <v>0.75</v>
      </c>
      <c r="E133" s="63">
        <v>5</v>
      </c>
      <c r="F133" s="65">
        <f t="shared" si="4"/>
        <v>4.25</v>
      </c>
      <c r="G133" s="57" t="s">
        <v>484</v>
      </c>
      <c r="H133" s="55" t="s">
        <v>482</v>
      </c>
    </row>
    <row r="134" spans="1:8">
      <c r="A134" s="77">
        <v>43914</v>
      </c>
      <c r="B134" s="56" t="s">
        <v>128</v>
      </c>
      <c r="C134" s="58">
        <v>1</v>
      </c>
      <c r="D134" s="50">
        <v>30</v>
      </c>
      <c r="E134" s="63">
        <v>58</v>
      </c>
      <c r="F134" s="65">
        <f t="shared" si="4"/>
        <v>28</v>
      </c>
      <c r="G134" s="57" t="s">
        <v>484</v>
      </c>
      <c r="H134" s="55" t="s">
        <v>482</v>
      </c>
    </row>
    <row r="135" spans="1:8">
      <c r="A135" s="77">
        <v>43895</v>
      </c>
      <c r="B135" s="56" t="s">
        <v>128</v>
      </c>
      <c r="C135" s="58">
        <v>1</v>
      </c>
      <c r="D135" s="50">
        <v>30</v>
      </c>
      <c r="E135" s="63">
        <v>60</v>
      </c>
      <c r="F135" s="65">
        <f t="shared" si="4"/>
        <v>30</v>
      </c>
      <c r="G135" s="57" t="s">
        <v>484</v>
      </c>
      <c r="H135" s="55" t="s">
        <v>482</v>
      </c>
    </row>
    <row r="136" spans="1:8">
      <c r="A136" s="77">
        <v>43896</v>
      </c>
      <c r="B136" s="56" t="s">
        <v>128</v>
      </c>
      <c r="C136" s="58">
        <v>1</v>
      </c>
      <c r="D136" s="50">
        <v>30</v>
      </c>
      <c r="E136" s="63">
        <v>60</v>
      </c>
      <c r="F136" s="65">
        <f t="shared" si="4"/>
        <v>30</v>
      </c>
      <c r="G136" s="57" t="s">
        <v>484</v>
      </c>
      <c r="H136" s="55" t="s">
        <v>482</v>
      </c>
    </row>
    <row r="137" spans="1:8">
      <c r="A137" s="77">
        <v>43910</v>
      </c>
      <c r="B137" s="56" t="s">
        <v>128</v>
      </c>
      <c r="C137" s="58">
        <v>1</v>
      </c>
      <c r="D137" s="50">
        <v>30</v>
      </c>
      <c r="E137" s="63">
        <v>60</v>
      </c>
      <c r="F137" s="65">
        <f t="shared" si="4"/>
        <v>30</v>
      </c>
      <c r="G137" s="57" t="s">
        <v>484</v>
      </c>
      <c r="H137" s="55" t="s">
        <v>482</v>
      </c>
    </row>
    <row r="138" spans="1:8">
      <c r="A138" s="77">
        <v>43896</v>
      </c>
      <c r="B138" s="56" t="s">
        <v>128</v>
      </c>
      <c r="C138" s="58">
        <v>1</v>
      </c>
      <c r="D138" s="50">
        <v>30</v>
      </c>
      <c r="E138" s="63">
        <v>75</v>
      </c>
      <c r="F138" s="65">
        <f t="shared" si="4"/>
        <v>45</v>
      </c>
      <c r="G138" s="57" t="s">
        <v>484</v>
      </c>
      <c r="H138" s="55" t="s">
        <v>482</v>
      </c>
    </row>
    <row r="139" spans="1:8">
      <c r="A139" s="77">
        <v>43893</v>
      </c>
      <c r="B139" s="56" t="s">
        <v>128</v>
      </c>
      <c r="C139" s="58">
        <v>1</v>
      </c>
      <c r="D139" s="50">
        <v>30</v>
      </c>
      <c r="E139" s="63">
        <v>50</v>
      </c>
      <c r="F139" s="65">
        <f t="shared" si="4"/>
        <v>20</v>
      </c>
      <c r="G139" s="57" t="s">
        <v>484</v>
      </c>
      <c r="H139" s="55" t="s">
        <v>482</v>
      </c>
    </row>
    <row r="140" spans="1:8">
      <c r="A140" s="77">
        <v>43893</v>
      </c>
      <c r="B140" s="56" t="s">
        <v>128</v>
      </c>
      <c r="C140" s="58">
        <v>1</v>
      </c>
      <c r="D140" s="50">
        <v>30</v>
      </c>
      <c r="E140" s="63">
        <v>50</v>
      </c>
      <c r="F140" s="65">
        <f t="shared" si="4"/>
        <v>20</v>
      </c>
      <c r="G140" s="57" t="s">
        <v>484</v>
      </c>
      <c r="H140" s="55" t="s">
        <v>482</v>
      </c>
    </row>
    <row r="141" spans="1:8">
      <c r="A141" s="77">
        <v>43899</v>
      </c>
      <c r="B141" s="56" t="s">
        <v>128</v>
      </c>
      <c r="C141" s="58">
        <v>1</v>
      </c>
      <c r="D141" s="50">
        <v>30</v>
      </c>
      <c r="E141" s="63">
        <v>61.25</v>
      </c>
      <c r="F141" s="65">
        <f t="shared" si="4"/>
        <v>31.25</v>
      </c>
      <c r="G141" s="57" t="s">
        <v>484</v>
      </c>
      <c r="H141" s="55" t="s">
        <v>482</v>
      </c>
    </row>
    <row r="142" spans="1:8">
      <c r="A142" s="77">
        <v>43899</v>
      </c>
      <c r="B142" s="56" t="s">
        <v>128</v>
      </c>
      <c r="C142" s="58">
        <v>1</v>
      </c>
      <c r="D142" s="50">
        <v>30</v>
      </c>
      <c r="E142" s="63">
        <v>60</v>
      </c>
      <c r="F142" s="65">
        <f t="shared" si="4"/>
        <v>30</v>
      </c>
      <c r="G142" s="57" t="s">
        <v>484</v>
      </c>
      <c r="H142" s="55" t="s">
        <v>482</v>
      </c>
    </row>
    <row r="143" spans="1:8">
      <c r="A143" s="77">
        <v>43894</v>
      </c>
      <c r="B143" s="56" t="s">
        <v>131</v>
      </c>
      <c r="C143" s="58">
        <v>1</v>
      </c>
      <c r="D143" s="50">
        <v>10</v>
      </c>
      <c r="E143" s="63">
        <v>17</v>
      </c>
      <c r="F143" s="65">
        <f t="shared" si="4"/>
        <v>7</v>
      </c>
      <c r="G143" s="57" t="s">
        <v>484</v>
      </c>
      <c r="H143" s="55" t="s">
        <v>482</v>
      </c>
    </row>
    <row r="144" spans="1:8">
      <c r="A144" s="77">
        <v>43895</v>
      </c>
      <c r="B144" s="56" t="s">
        <v>133</v>
      </c>
      <c r="C144" s="58">
        <v>1</v>
      </c>
      <c r="D144" s="63">
        <v>12</v>
      </c>
      <c r="E144" s="63">
        <v>20</v>
      </c>
      <c r="F144" s="65">
        <f t="shared" si="4"/>
        <v>8</v>
      </c>
      <c r="G144" s="57" t="s">
        <v>484</v>
      </c>
      <c r="H144" s="55" t="s">
        <v>482</v>
      </c>
    </row>
    <row r="145" spans="1:8">
      <c r="A145" s="77">
        <v>43902</v>
      </c>
      <c r="B145" s="55" t="s">
        <v>140</v>
      </c>
      <c r="C145" s="58">
        <v>1</v>
      </c>
      <c r="D145" s="65">
        <v>0</v>
      </c>
      <c r="E145" s="65">
        <v>50</v>
      </c>
      <c r="F145" s="65">
        <f t="shared" si="4"/>
        <v>50</v>
      </c>
      <c r="G145" s="57" t="s">
        <v>484</v>
      </c>
      <c r="H145" s="55" t="s">
        <v>482</v>
      </c>
    </row>
    <row r="146" spans="1:8">
      <c r="A146" s="77">
        <v>43912</v>
      </c>
      <c r="B146" s="55" t="s">
        <v>138</v>
      </c>
      <c r="C146" s="58">
        <v>1</v>
      </c>
      <c r="D146" s="65">
        <v>0</v>
      </c>
      <c r="E146" s="65">
        <v>120</v>
      </c>
      <c r="F146" s="65">
        <f t="shared" si="4"/>
        <v>120</v>
      </c>
      <c r="G146" s="57" t="s">
        <v>484</v>
      </c>
      <c r="H146" s="55" t="s">
        <v>482</v>
      </c>
    </row>
    <row r="147" spans="1:8">
      <c r="A147" s="77">
        <v>43900</v>
      </c>
      <c r="B147" s="55" t="s">
        <v>137</v>
      </c>
      <c r="C147" s="58">
        <v>1</v>
      </c>
      <c r="D147" s="65">
        <v>25</v>
      </c>
      <c r="E147" s="65">
        <v>50</v>
      </c>
      <c r="F147" s="65">
        <f t="shared" si="4"/>
        <v>25</v>
      </c>
      <c r="G147" s="57" t="s">
        <v>484</v>
      </c>
      <c r="H147" s="55" t="s">
        <v>482</v>
      </c>
    </row>
    <row r="148" spans="1:8">
      <c r="A148" s="77">
        <v>43900</v>
      </c>
      <c r="B148" s="55" t="s">
        <v>137</v>
      </c>
      <c r="C148" s="58">
        <v>1</v>
      </c>
      <c r="D148" s="65">
        <v>25</v>
      </c>
      <c r="E148" s="65">
        <v>50</v>
      </c>
      <c r="F148" s="65">
        <f t="shared" si="4"/>
        <v>25</v>
      </c>
      <c r="G148" s="57" t="s">
        <v>484</v>
      </c>
      <c r="H148" s="55" t="s">
        <v>482</v>
      </c>
    </row>
    <row r="149" spans="1:8">
      <c r="A149" s="77">
        <v>43904</v>
      </c>
      <c r="B149" s="56" t="s">
        <v>137</v>
      </c>
      <c r="C149" s="58">
        <v>1</v>
      </c>
      <c r="D149" s="50">
        <v>25</v>
      </c>
      <c r="E149" s="63">
        <v>50</v>
      </c>
      <c r="F149" s="65">
        <f t="shared" si="4"/>
        <v>25</v>
      </c>
      <c r="G149" s="57" t="s">
        <v>484</v>
      </c>
      <c r="H149" s="55" t="s">
        <v>482</v>
      </c>
    </row>
    <row r="150" spans="1:8">
      <c r="A150" s="77">
        <v>43892</v>
      </c>
      <c r="B150" s="56" t="s">
        <v>130</v>
      </c>
      <c r="C150" s="58">
        <v>1</v>
      </c>
      <c r="D150" s="50">
        <v>7</v>
      </c>
      <c r="E150" s="63">
        <v>15</v>
      </c>
      <c r="F150" s="65">
        <f t="shared" si="4"/>
        <v>8</v>
      </c>
      <c r="G150" s="57" t="s">
        <v>484</v>
      </c>
      <c r="H150" s="55" t="s">
        <v>482</v>
      </c>
    </row>
    <row r="151" spans="1:8">
      <c r="A151" s="77">
        <v>43913</v>
      </c>
      <c r="B151" s="56" t="s">
        <v>61</v>
      </c>
      <c r="C151" s="58">
        <v>1</v>
      </c>
      <c r="D151" s="50">
        <v>3</v>
      </c>
      <c r="E151" s="63">
        <v>10</v>
      </c>
      <c r="F151" s="65">
        <f t="shared" si="4"/>
        <v>7</v>
      </c>
      <c r="G151" s="57" t="s">
        <v>484</v>
      </c>
      <c r="H151" s="55" t="s">
        <v>482</v>
      </c>
    </row>
    <row r="152" spans="1:8">
      <c r="A152" s="77">
        <v>43913</v>
      </c>
      <c r="B152" s="56" t="s">
        <v>61</v>
      </c>
      <c r="C152" s="58">
        <v>1</v>
      </c>
      <c r="D152" s="50">
        <v>3</v>
      </c>
      <c r="E152" s="63">
        <v>10</v>
      </c>
      <c r="F152" s="65">
        <f t="shared" si="4"/>
        <v>7</v>
      </c>
      <c r="G152" s="57" t="s">
        <v>484</v>
      </c>
      <c r="H152" s="55" t="s">
        <v>482</v>
      </c>
    </row>
    <row r="153" spans="1:8">
      <c r="A153" s="77">
        <v>43913</v>
      </c>
      <c r="B153" s="56" t="s">
        <v>61</v>
      </c>
      <c r="C153" s="58">
        <v>1</v>
      </c>
      <c r="D153" s="50">
        <v>3</v>
      </c>
      <c r="E153" s="63">
        <v>10</v>
      </c>
      <c r="F153" s="65">
        <f t="shared" si="4"/>
        <v>7</v>
      </c>
      <c r="G153" s="57" t="s">
        <v>484</v>
      </c>
      <c r="H153" s="55" t="s">
        <v>482</v>
      </c>
    </row>
    <row r="154" spans="1:8">
      <c r="A154" s="77">
        <v>43904</v>
      </c>
      <c r="B154" s="56" t="s">
        <v>106</v>
      </c>
      <c r="C154" s="58">
        <v>1</v>
      </c>
      <c r="D154" s="50">
        <v>22</v>
      </c>
      <c r="E154" s="63">
        <v>40</v>
      </c>
      <c r="F154" s="65">
        <f t="shared" si="4"/>
        <v>18</v>
      </c>
      <c r="G154" s="57" t="s">
        <v>484</v>
      </c>
      <c r="H154" s="55" t="s">
        <v>482</v>
      </c>
    </row>
    <row r="155" spans="1:8">
      <c r="A155" s="77">
        <v>43904</v>
      </c>
      <c r="B155" s="55" t="s">
        <v>106</v>
      </c>
      <c r="C155" s="58">
        <v>1</v>
      </c>
      <c r="D155" s="65">
        <v>12</v>
      </c>
      <c r="E155" s="65">
        <v>40</v>
      </c>
      <c r="F155" s="65">
        <f t="shared" ref="F155:F186" si="5">E155-D155</f>
        <v>28</v>
      </c>
      <c r="G155" s="57" t="s">
        <v>484</v>
      </c>
      <c r="H155" s="55" t="s">
        <v>482</v>
      </c>
    </row>
    <row r="156" spans="1:8">
      <c r="A156" s="77">
        <v>43900</v>
      </c>
      <c r="B156" s="55" t="s">
        <v>93</v>
      </c>
      <c r="C156" s="58">
        <v>1</v>
      </c>
      <c r="D156" s="65">
        <v>14</v>
      </c>
      <c r="E156" s="65">
        <v>35</v>
      </c>
      <c r="F156" s="65">
        <f t="shared" si="5"/>
        <v>21</v>
      </c>
      <c r="G156" s="57" t="s">
        <v>484</v>
      </c>
      <c r="H156" s="55" t="s">
        <v>482</v>
      </c>
    </row>
    <row r="157" spans="1:8">
      <c r="A157" s="77">
        <v>43898</v>
      </c>
      <c r="B157" s="55" t="s">
        <v>93</v>
      </c>
      <c r="C157" s="58">
        <v>1</v>
      </c>
      <c r="D157" s="65">
        <v>14</v>
      </c>
      <c r="E157" s="65">
        <v>35</v>
      </c>
      <c r="F157" s="65">
        <f t="shared" si="5"/>
        <v>21</v>
      </c>
      <c r="G157" s="57" t="s">
        <v>484</v>
      </c>
      <c r="H157" s="55" t="s">
        <v>482</v>
      </c>
    </row>
    <row r="158" spans="1:8">
      <c r="A158" s="77">
        <v>43902</v>
      </c>
      <c r="B158" s="56" t="s">
        <v>63</v>
      </c>
      <c r="C158" s="58">
        <v>1</v>
      </c>
      <c r="D158" s="50">
        <v>30</v>
      </c>
      <c r="E158" s="63">
        <v>50</v>
      </c>
      <c r="F158" s="65">
        <f t="shared" si="5"/>
        <v>20</v>
      </c>
      <c r="G158" s="57" t="s">
        <v>484</v>
      </c>
      <c r="H158" s="55" t="s">
        <v>482</v>
      </c>
    </row>
    <row r="159" spans="1:8">
      <c r="A159" s="77">
        <v>43900</v>
      </c>
      <c r="B159" s="56" t="s">
        <v>63</v>
      </c>
      <c r="C159" s="58">
        <v>1</v>
      </c>
      <c r="D159" s="50">
        <v>30</v>
      </c>
      <c r="E159" s="63">
        <v>50</v>
      </c>
      <c r="F159" s="65">
        <f t="shared" si="5"/>
        <v>20</v>
      </c>
      <c r="G159" s="57" t="s">
        <v>484</v>
      </c>
      <c r="H159" s="55" t="s">
        <v>482</v>
      </c>
    </row>
    <row r="160" spans="1:8">
      <c r="A160" s="77">
        <v>43904</v>
      </c>
      <c r="B160" s="55" t="s">
        <v>141</v>
      </c>
      <c r="C160" s="58">
        <v>1</v>
      </c>
      <c r="D160" s="65">
        <v>0.95</v>
      </c>
      <c r="E160" s="65">
        <v>20</v>
      </c>
      <c r="F160" s="65">
        <f t="shared" si="5"/>
        <v>19.05</v>
      </c>
      <c r="G160" s="57" t="s">
        <v>484</v>
      </c>
      <c r="H160" s="55" t="s">
        <v>482</v>
      </c>
    </row>
    <row r="161" spans="1:8">
      <c r="A161" s="77">
        <v>43914</v>
      </c>
      <c r="B161" s="55" t="s">
        <v>142</v>
      </c>
      <c r="C161" s="58">
        <v>1</v>
      </c>
      <c r="D161" s="65">
        <v>2.36</v>
      </c>
      <c r="E161" s="65">
        <v>10</v>
      </c>
      <c r="F161" s="65">
        <f t="shared" si="5"/>
        <v>7.6400000000000006</v>
      </c>
      <c r="G161" s="57" t="s">
        <v>484</v>
      </c>
      <c r="H161" s="55" t="s">
        <v>482</v>
      </c>
    </row>
    <row r="162" spans="1:8">
      <c r="A162" s="77">
        <v>43914</v>
      </c>
      <c r="B162" s="55" t="s">
        <v>142</v>
      </c>
      <c r="C162" s="58">
        <v>1</v>
      </c>
      <c r="D162" s="65">
        <v>2.36</v>
      </c>
      <c r="E162" s="65">
        <v>10</v>
      </c>
      <c r="F162" s="65">
        <f t="shared" si="5"/>
        <v>7.6400000000000006</v>
      </c>
      <c r="G162" s="57" t="s">
        <v>484</v>
      </c>
      <c r="H162" s="55" t="s">
        <v>482</v>
      </c>
    </row>
    <row r="163" spans="1:8">
      <c r="A163" s="77">
        <v>43910</v>
      </c>
      <c r="B163" s="56" t="s">
        <v>150</v>
      </c>
      <c r="C163" s="58">
        <v>1</v>
      </c>
      <c r="D163" s="50">
        <v>0</v>
      </c>
      <c r="E163" s="63">
        <v>5</v>
      </c>
      <c r="F163" s="65">
        <f t="shared" si="5"/>
        <v>5</v>
      </c>
      <c r="G163" s="57" t="s">
        <v>484</v>
      </c>
      <c r="H163" s="55" t="s">
        <v>482</v>
      </c>
    </row>
    <row r="164" spans="1:8">
      <c r="A164" s="77">
        <v>43914</v>
      </c>
      <c r="B164" s="56" t="s">
        <v>150</v>
      </c>
      <c r="C164" s="58">
        <v>1</v>
      </c>
      <c r="D164" s="50">
        <v>0</v>
      </c>
      <c r="E164" s="63">
        <v>5</v>
      </c>
      <c r="F164" s="65">
        <f t="shared" si="5"/>
        <v>5</v>
      </c>
      <c r="G164" s="57" t="s">
        <v>484</v>
      </c>
      <c r="H164" s="55" t="s">
        <v>482</v>
      </c>
    </row>
    <row r="165" spans="1:8">
      <c r="A165" s="77">
        <v>43896</v>
      </c>
      <c r="B165" s="55" t="s">
        <v>135</v>
      </c>
      <c r="C165" s="58">
        <v>1</v>
      </c>
      <c r="D165" s="65">
        <v>9.5</v>
      </c>
      <c r="E165" s="65">
        <v>25</v>
      </c>
      <c r="F165" s="65">
        <f t="shared" si="5"/>
        <v>15.5</v>
      </c>
      <c r="G165" s="57" t="s">
        <v>484</v>
      </c>
      <c r="H165" s="55" t="s">
        <v>482</v>
      </c>
    </row>
    <row r="166" spans="1:8">
      <c r="A166" s="77">
        <v>43896</v>
      </c>
      <c r="B166" s="55" t="s">
        <v>135</v>
      </c>
      <c r="C166" s="58">
        <v>1</v>
      </c>
      <c r="D166" s="65">
        <v>9.5</v>
      </c>
      <c r="E166" s="63">
        <v>40</v>
      </c>
      <c r="F166" s="65">
        <f t="shared" si="5"/>
        <v>30.5</v>
      </c>
      <c r="G166" s="57" t="s">
        <v>484</v>
      </c>
      <c r="H166" s="55" t="s">
        <v>482</v>
      </c>
    </row>
    <row r="167" spans="1:8">
      <c r="A167" s="77">
        <v>43894</v>
      </c>
      <c r="B167" s="56" t="s">
        <v>64</v>
      </c>
      <c r="C167" s="58">
        <v>1</v>
      </c>
      <c r="D167" s="50">
        <v>30</v>
      </c>
      <c r="E167" s="63">
        <v>50</v>
      </c>
      <c r="F167" s="65">
        <f t="shared" si="5"/>
        <v>20</v>
      </c>
      <c r="G167" s="57" t="s">
        <v>484</v>
      </c>
      <c r="H167" s="55" t="s">
        <v>482</v>
      </c>
    </row>
    <row r="168" spans="1:8">
      <c r="A168" s="77">
        <v>43900</v>
      </c>
      <c r="B168" s="55" t="s">
        <v>109</v>
      </c>
      <c r="C168" s="58">
        <v>1</v>
      </c>
      <c r="D168" s="65">
        <v>70</v>
      </c>
      <c r="E168" s="65">
        <v>100</v>
      </c>
      <c r="F168" s="65">
        <f t="shared" si="5"/>
        <v>30</v>
      </c>
      <c r="G168" s="57" t="s">
        <v>484</v>
      </c>
      <c r="H168" s="55" t="s">
        <v>482</v>
      </c>
    </row>
    <row r="169" spans="1:8">
      <c r="A169" s="77">
        <v>43903</v>
      </c>
      <c r="B169" s="56" t="s">
        <v>135</v>
      </c>
      <c r="C169" s="58">
        <v>1</v>
      </c>
      <c r="D169" s="50">
        <v>22</v>
      </c>
      <c r="E169" s="63">
        <v>30</v>
      </c>
      <c r="F169" s="65">
        <f t="shared" si="5"/>
        <v>8</v>
      </c>
      <c r="G169" s="57" t="s">
        <v>484</v>
      </c>
      <c r="H169" s="55" t="s">
        <v>482</v>
      </c>
    </row>
    <row r="170" spans="1:8">
      <c r="A170" s="77">
        <v>43904</v>
      </c>
      <c r="B170" s="55" t="s">
        <v>124</v>
      </c>
      <c r="C170" s="58">
        <v>1</v>
      </c>
      <c r="D170" s="65">
        <v>15</v>
      </c>
      <c r="E170" s="65">
        <v>30</v>
      </c>
      <c r="F170" s="65">
        <f t="shared" si="5"/>
        <v>15</v>
      </c>
      <c r="G170" s="57" t="s">
        <v>484</v>
      </c>
      <c r="H170" s="55" t="s">
        <v>482</v>
      </c>
    </row>
    <row r="171" spans="1:8">
      <c r="A171" s="77">
        <v>43912</v>
      </c>
      <c r="B171" s="55" t="s">
        <v>139</v>
      </c>
      <c r="C171" s="58">
        <v>1</v>
      </c>
      <c r="D171" s="65">
        <v>20</v>
      </c>
      <c r="E171" s="65">
        <v>30</v>
      </c>
      <c r="F171" s="65">
        <f t="shared" si="5"/>
        <v>10</v>
      </c>
      <c r="G171" s="57" t="s">
        <v>484</v>
      </c>
      <c r="H171" s="55" t="s">
        <v>482</v>
      </c>
    </row>
    <row r="172" spans="1:8">
      <c r="A172" s="77">
        <v>43900</v>
      </c>
      <c r="B172" s="55" t="s">
        <v>139</v>
      </c>
      <c r="C172" s="58">
        <v>1</v>
      </c>
      <c r="D172" s="65">
        <v>20</v>
      </c>
      <c r="E172" s="65">
        <v>40</v>
      </c>
      <c r="F172" s="65">
        <f t="shared" si="5"/>
        <v>20</v>
      </c>
      <c r="G172" s="57" t="s">
        <v>484</v>
      </c>
      <c r="H172" s="55" t="s">
        <v>482</v>
      </c>
    </row>
    <row r="173" spans="1:8">
      <c r="A173" s="77">
        <v>43910</v>
      </c>
      <c r="B173" s="56" t="s">
        <v>188</v>
      </c>
      <c r="C173" s="58">
        <v>1</v>
      </c>
      <c r="D173" s="50">
        <v>1</v>
      </c>
      <c r="E173" s="63">
        <v>5</v>
      </c>
      <c r="F173" s="65">
        <f t="shared" si="5"/>
        <v>4</v>
      </c>
      <c r="G173" s="57" t="s">
        <v>484</v>
      </c>
      <c r="H173" s="55" t="s">
        <v>482</v>
      </c>
    </row>
    <row r="174" spans="1:8">
      <c r="A174" s="77">
        <v>43892</v>
      </c>
      <c r="B174" s="56" t="s">
        <v>108</v>
      </c>
      <c r="C174" s="58">
        <v>1</v>
      </c>
      <c r="D174" s="50">
        <v>15</v>
      </c>
      <c r="E174" s="63">
        <v>25</v>
      </c>
      <c r="F174" s="65">
        <f t="shared" si="5"/>
        <v>10</v>
      </c>
      <c r="G174" s="57" t="s">
        <v>484</v>
      </c>
      <c r="H174" s="55" t="s">
        <v>482</v>
      </c>
    </row>
    <row r="175" spans="1:8">
      <c r="A175" s="77">
        <v>43915</v>
      </c>
      <c r="B175" s="56" t="s">
        <v>108</v>
      </c>
      <c r="C175" s="58">
        <v>1</v>
      </c>
      <c r="D175" s="50">
        <v>15</v>
      </c>
      <c r="E175" s="63">
        <v>35</v>
      </c>
      <c r="F175" s="65">
        <f t="shared" si="5"/>
        <v>20</v>
      </c>
      <c r="G175" s="57" t="s">
        <v>484</v>
      </c>
      <c r="H175" s="55" t="s">
        <v>482</v>
      </c>
    </row>
    <row r="176" spans="1:8">
      <c r="A176" s="77">
        <v>43903</v>
      </c>
      <c r="B176" s="56" t="s">
        <v>108</v>
      </c>
      <c r="C176" s="58">
        <v>1</v>
      </c>
      <c r="D176" s="50">
        <v>15</v>
      </c>
      <c r="E176" s="63">
        <v>30</v>
      </c>
      <c r="F176" s="65">
        <f t="shared" si="5"/>
        <v>15</v>
      </c>
      <c r="G176" s="57" t="s">
        <v>484</v>
      </c>
      <c r="H176" s="55" t="s">
        <v>482</v>
      </c>
    </row>
    <row r="177" spans="1:8">
      <c r="A177" s="77">
        <v>43891</v>
      </c>
      <c r="B177" s="56" t="s">
        <v>87</v>
      </c>
      <c r="C177" s="58">
        <v>1</v>
      </c>
      <c r="D177" s="63">
        <v>35</v>
      </c>
      <c r="E177" s="63">
        <v>90</v>
      </c>
      <c r="F177" s="65">
        <f t="shared" si="5"/>
        <v>55</v>
      </c>
      <c r="G177" s="57" t="s">
        <v>484</v>
      </c>
      <c r="H177" s="55" t="s">
        <v>482</v>
      </c>
    </row>
    <row r="178" spans="1:8">
      <c r="A178" s="77">
        <v>43908</v>
      </c>
      <c r="B178" s="56" t="s">
        <v>73</v>
      </c>
      <c r="C178" s="58">
        <v>1</v>
      </c>
      <c r="D178" s="50">
        <v>17</v>
      </c>
      <c r="E178" s="63">
        <v>50</v>
      </c>
      <c r="F178" s="65">
        <f t="shared" si="5"/>
        <v>33</v>
      </c>
      <c r="G178" s="57" t="s">
        <v>484</v>
      </c>
      <c r="H178" s="55" t="s">
        <v>482</v>
      </c>
    </row>
    <row r="179" spans="1:8">
      <c r="A179" s="77">
        <v>43903</v>
      </c>
      <c r="B179" s="56" t="s">
        <v>73</v>
      </c>
      <c r="C179" s="58">
        <v>1</v>
      </c>
      <c r="D179" s="50">
        <v>17</v>
      </c>
      <c r="E179" s="63">
        <v>40</v>
      </c>
      <c r="F179" s="65">
        <f t="shared" si="5"/>
        <v>23</v>
      </c>
      <c r="G179" s="57" t="s">
        <v>484</v>
      </c>
      <c r="H179" s="55" t="s">
        <v>482</v>
      </c>
    </row>
    <row r="180" spans="1:8">
      <c r="A180" s="77">
        <v>43901</v>
      </c>
      <c r="B180" s="56" t="s">
        <v>73</v>
      </c>
      <c r="C180" s="58">
        <v>1</v>
      </c>
      <c r="D180" s="50">
        <v>17</v>
      </c>
      <c r="E180" s="63">
        <v>42</v>
      </c>
      <c r="F180" s="65">
        <f t="shared" si="5"/>
        <v>25</v>
      </c>
      <c r="G180" s="57" t="s">
        <v>484</v>
      </c>
      <c r="H180" s="55" t="s">
        <v>482</v>
      </c>
    </row>
    <row r="181" spans="1:8">
      <c r="A181" s="77">
        <v>43904</v>
      </c>
      <c r="B181" s="56" t="s">
        <v>73</v>
      </c>
      <c r="C181" s="58">
        <v>1</v>
      </c>
      <c r="D181" s="50">
        <v>17</v>
      </c>
      <c r="E181" s="63">
        <v>40</v>
      </c>
      <c r="F181" s="65">
        <f t="shared" si="5"/>
        <v>23</v>
      </c>
      <c r="G181" s="57" t="s">
        <v>484</v>
      </c>
      <c r="H181" s="55" t="s">
        <v>482</v>
      </c>
    </row>
    <row r="182" spans="1:8">
      <c r="A182" s="77">
        <v>43908</v>
      </c>
      <c r="B182" s="56" t="s">
        <v>125</v>
      </c>
      <c r="C182" s="58">
        <v>1</v>
      </c>
      <c r="D182" s="50">
        <v>30</v>
      </c>
      <c r="E182" s="63">
        <v>80</v>
      </c>
      <c r="F182" s="65">
        <f t="shared" si="5"/>
        <v>50</v>
      </c>
      <c r="G182" s="57" t="s">
        <v>484</v>
      </c>
      <c r="H182" s="55" t="s">
        <v>482</v>
      </c>
    </row>
    <row r="183" spans="1:8">
      <c r="A183" s="77">
        <v>43902</v>
      </c>
      <c r="B183" s="59" t="s">
        <v>97</v>
      </c>
      <c r="C183" s="58">
        <v>1</v>
      </c>
      <c r="D183" s="63">
        <v>35</v>
      </c>
      <c r="E183" s="63">
        <v>70</v>
      </c>
      <c r="F183" s="65">
        <f t="shared" si="5"/>
        <v>35</v>
      </c>
      <c r="G183" s="57" t="s">
        <v>484</v>
      </c>
      <c r="H183" s="55" t="s">
        <v>482</v>
      </c>
    </row>
    <row r="184" spans="1:8">
      <c r="A184" s="77">
        <v>43894</v>
      </c>
      <c r="B184" s="59" t="s">
        <v>97</v>
      </c>
      <c r="C184" s="58">
        <v>1</v>
      </c>
      <c r="D184" s="63">
        <v>35</v>
      </c>
      <c r="E184" s="63">
        <v>65</v>
      </c>
      <c r="F184" s="65">
        <f t="shared" si="5"/>
        <v>30</v>
      </c>
      <c r="G184" s="57" t="s">
        <v>484</v>
      </c>
      <c r="H184" s="55" t="s">
        <v>482</v>
      </c>
    </row>
    <row r="185" spans="1:8">
      <c r="A185" s="77">
        <v>43897</v>
      </c>
      <c r="B185" s="55" t="s">
        <v>136</v>
      </c>
      <c r="C185" s="58">
        <v>1</v>
      </c>
      <c r="D185" s="65">
        <v>60</v>
      </c>
      <c r="E185" s="65">
        <v>100</v>
      </c>
      <c r="F185" s="65">
        <f t="shared" si="5"/>
        <v>40</v>
      </c>
      <c r="G185" s="57" t="s">
        <v>484</v>
      </c>
      <c r="H185" s="55" t="s">
        <v>482</v>
      </c>
    </row>
    <row r="186" spans="1:8">
      <c r="A186" s="77">
        <v>43897</v>
      </c>
      <c r="B186" s="55" t="s">
        <v>136</v>
      </c>
      <c r="C186" s="58">
        <v>1</v>
      </c>
      <c r="D186" s="65">
        <v>60</v>
      </c>
      <c r="E186" s="65">
        <v>100</v>
      </c>
      <c r="F186" s="65">
        <f t="shared" si="5"/>
        <v>40</v>
      </c>
      <c r="G186" s="57" t="s">
        <v>484</v>
      </c>
      <c r="H186" s="55" t="s">
        <v>482</v>
      </c>
    </row>
    <row r="187" spans="1:8">
      <c r="A187" s="77">
        <v>43895</v>
      </c>
      <c r="B187" s="56" t="s">
        <v>134</v>
      </c>
      <c r="C187" s="58">
        <v>1</v>
      </c>
      <c r="D187" s="50">
        <v>15</v>
      </c>
      <c r="E187" s="63">
        <v>30</v>
      </c>
      <c r="F187" s="65">
        <f t="shared" ref="F187:F199" si="6">E187-D187</f>
        <v>15</v>
      </c>
      <c r="G187" s="57" t="s">
        <v>484</v>
      </c>
      <c r="H187" s="55" t="s">
        <v>482</v>
      </c>
    </row>
    <row r="188" spans="1:8">
      <c r="A188" s="77">
        <v>43912</v>
      </c>
      <c r="B188" s="56" t="s">
        <v>149</v>
      </c>
      <c r="C188" s="58">
        <v>1</v>
      </c>
      <c r="D188" s="50">
        <v>15</v>
      </c>
      <c r="E188" s="63">
        <v>30</v>
      </c>
      <c r="F188" s="65">
        <f t="shared" si="6"/>
        <v>15</v>
      </c>
      <c r="G188" s="57" t="s">
        <v>484</v>
      </c>
      <c r="H188" s="55" t="s">
        <v>482</v>
      </c>
    </row>
    <row r="189" spans="1:8">
      <c r="A189" s="77">
        <v>43903</v>
      </c>
      <c r="B189" s="55" t="s">
        <v>143</v>
      </c>
      <c r="C189" s="58">
        <v>1</v>
      </c>
      <c r="D189" s="65">
        <v>14</v>
      </c>
      <c r="E189" s="65">
        <v>25</v>
      </c>
      <c r="F189" s="65">
        <f t="shared" si="6"/>
        <v>11</v>
      </c>
      <c r="G189" s="57" t="s">
        <v>484</v>
      </c>
      <c r="H189" s="55" t="s">
        <v>482</v>
      </c>
    </row>
    <row r="190" spans="1:8">
      <c r="A190" s="77">
        <v>43892</v>
      </c>
      <c r="B190" s="56" t="s">
        <v>154</v>
      </c>
      <c r="C190" s="58">
        <v>1</v>
      </c>
      <c r="D190" s="50">
        <v>10</v>
      </c>
      <c r="E190" s="63">
        <v>35</v>
      </c>
      <c r="F190" s="65">
        <f t="shared" si="6"/>
        <v>25</v>
      </c>
      <c r="G190" s="57" t="s">
        <v>484</v>
      </c>
      <c r="H190" s="55" t="s">
        <v>482</v>
      </c>
    </row>
    <row r="191" spans="1:8">
      <c r="A191" s="77">
        <v>43893</v>
      </c>
      <c r="B191" s="56" t="s">
        <v>154</v>
      </c>
      <c r="C191" s="58">
        <v>1</v>
      </c>
      <c r="D191" s="50">
        <v>10</v>
      </c>
      <c r="E191" s="63">
        <v>25</v>
      </c>
      <c r="F191" s="65">
        <f t="shared" si="6"/>
        <v>15</v>
      </c>
      <c r="G191" s="57" t="s">
        <v>484</v>
      </c>
      <c r="H191" s="55" t="s">
        <v>482</v>
      </c>
    </row>
    <row r="192" spans="1:8">
      <c r="A192" s="77">
        <v>43916</v>
      </c>
      <c r="B192" s="55" t="s">
        <v>158</v>
      </c>
      <c r="C192" s="58">
        <v>1</v>
      </c>
      <c r="D192" s="65">
        <v>0</v>
      </c>
      <c r="E192" s="65">
        <v>30</v>
      </c>
      <c r="F192" s="65">
        <f t="shared" si="6"/>
        <v>30</v>
      </c>
      <c r="G192" s="57" t="s">
        <v>484</v>
      </c>
      <c r="H192" s="55" t="s">
        <v>482</v>
      </c>
    </row>
    <row r="193" spans="1:8">
      <c r="A193" s="77">
        <v>43918</v>
      </c>
      <c r="B193" s="56" t="s">
        <v>156</v>
      </c>
      <c r="C193" s="58">
        <v>1</v>
      </c>
      <c r="D193" s="50">
        <v>24</v>
      </c>
      <c r="E193" s="63">
        <v>50</v>
      </c>
      <c r="F193" s="65">
        <f t="shared" si="6"/>
        <v>26</v>
      </c>
      <c r="G193" s="57" t="s">
        <v>484</v>
      </c>
      <c r="H193" s="55" t="s">
        <v>482</v>
      </c>
    </row>
    <row r="194" spans="1:8">
      <c r="A194" s="77">
        <v>43917</v>
      </c>
      <c r="B194" s="56" t="s">
        <v>154</v>
      </c>
      <c r="C194" s="58">
        <v>1</v>
      </c>
      <c r="D194" s="50">
        <v>13</v>
      </c>
      <c r="E194" s="63">
        <v>45</v>
      </c>
      <c r="F194" s="65">
        <f t="shared" si="6"/>
        <v>32</v>
      </c>
      <c r="G194" s="57" t="s">
        <v>484</v>
      </c>
      <c r="H194" s="55" t="s">
        <v>482</v>
      </c>
    </row>
    <row r="195" spans="1:8">
      <c r="A195" s="77">
        <v>43917</v>
      </c>
      <c r="B195" s="55" t="s">
        <v>159</v>
      </c>
      <c r="C195" s="58">
        <v>1</v>
      </c>
      <c r="D195" s="65">
        <v>30</v>
      </c>
      <c r="E195" s="65">
        <v>60</v>
      </c>
      <c r="F195" s="65">
        <f t="shared" si="6"/>
        <v>30</v>
      </c>
      <c r="G195" s="57" t="s">
        <v>484</v>
      </c>
      <c r="H195" s="55" t="s">
        <v>482</v>
      </c>
    </row>
    <row r="196" spans="1:8">
      <c r="A196" s="77">
        <v>43917</v>
      </c>
      <c r="B196" s="55" t="s">
        <v>159</v>
      </c>
      <c r="C196" s="58">
        <v>1</v>
      </c>
      <c r="D196" s="65">
        <v>30</v>
      </c>
      <c r="E196" s="65">
        <v>60</v>
      </c>
      <c r="F196" s="65">
        <f t="shared" si="6"/>
        <v>30</v>
      </c>
      <c r="G196" s="57" t="s">
        <v>484</v>
      </c>
      <c r="H196" s="55" t="s">
        <v>482</v>
      </c>
    </row>
    <row r="197" spans="1:8">
      <c r="A197" s="77">
        <v>43917</v>
      </c>
      <c r="B197" s="55" t="s">
        <v>145</v>
      </c>
      <c r="C197" s="58">
        <v>1</v>
      </c>
      <c r="D197" s="65">
        <v>2</v>
      </c>
      <c r="E197" s="65">
        <v>5</v>
      </c>
      <c r="F197" s="65">
        <f t="shared" si="6"/>
        <v>3</v>
      </c>
      <c r="G197" s="57" t="s">
        <v>484</v>
      </c>
      <c r="H197" s="55" t="s">
        <v>482</v>
      </c>
    </row>
    <row r="198" spans="1:8">
      <c r="A198" s="77">
        <v>43920</v>
      </c>
      <c r="B198" s="55" t="s">
        <v>159</v>
      </c>
      <c r="C198" s="58">
        <v>1</v>
      </c>
      <c r="D198" s="65">
        <v>30</v>
      </c>
      <c r="E198" s="65">
        <v>60</v>
      </c>
      <c r="F198" s="65">
        <f t="shared" si="6"/>
        <v>30</v>
      </c>
      <c r="G198" s="57" t="s">
        <v>484</v>
      </c>
      <c r="H198" s="55" t="s">
        <v>482</v>
      </c>
    </row>
    <row r="199" spans="1:8">
      <c r="A199" s="77">
        <v>43920</v>
      </c>
      <c r="B199" s="55" t="s">
        <v>160</v>
      </c>
      <c r="C199" s="58">
        <v>1</v>
      </c>
      <c r="D199" s="65">
        <v>24</v>
      </c>
      <c r="E199" s="65">
        <v>50</v>
      </c>
      <c r="F199" s="65">
        <f t="shared" si="6"/>
        <v>26</v>
      </c>
      <c r="G199" s="57" t="s">
        <v>484</v>
      </c>
      <c r="H199" s="55" t="s">
        <v>482</v>
      </c>
    </row>
    <row r="200" spans="1:8">
      <c r="A200" s="77">
        <v>43920</v>
      </c>
      <c r="B200" s="55" t="s">
        <v>160</v>
      </c>
      <c r="C200" s="58">
        <v>1</v>
      </c>
      <c r="D200" s="65">
        <v>24</v>
      </c>
      <c r="E200" s="65">
        <v>50</v>
      </c>
      <c r="F200" s="65">
        <f>E200-D200</f>
        <v>26</v>
      </c>
      <c r="G200" s="57" t="s">
        <v>484</v>
      </c>
      <c r="H200" s="55" t="s">
        <v>482</v>
      </c>
    </row>
    <row r="201" spans="1:8">
      <c r="A201" s="77">
        <v>43922</v>
      </c>
      <c r="B201" s="55" t="s">
        <v>53</v>
      </c>
      <c r="C201" s="58">
        <v>1</v>
      </c>
      <c r="D201" s="65">
        <v>19</v>
      </c>
      <c r="E201" s="65">
        <v>20</v>
      </c>
      <c r="F201" s="65">
        <f t="shared" ref="F201:F232" si="7">E201-D201</f>
        <v>1</v>
      </c>
      <c r="G201" s="57" t="s">
        <v>484</v>
      </c>
      <c r="H201" s="55" t="s">
        <v>482</v>
      </c>
    </row>
    <row r="202" spans="1:8">
      <c r="A202" s="77">
        <v>43922</v>
      </c>
      <c r="B202" s="56" t="s">
        <v>157</v>
      </c>
      <c r="C202" s="58">
        <v>1</v>
      </c>
      <c r="D202" s="50">
        <v>30</v>
      </c>
      <c r="E202" s="63">
        <v>50</v>
      </c>
      <c r="F202" s="65">
        <f t="shared" si="7"/>
        <v>20</v>
      </c>
      <c r="G202" s="57" t="s">
        <v>484</v>
      </c>
      <c r="H202" s="55" t="s">
        <v>482</v>
      </c>
    </row>
    <row r="203" spans="1:8">
      <c r="A203" s="77">
        <v>43922</v>
      </c>
      <c r="B203" s="55" t="s">
        <v>161</v>
      </c>
      <c r="C203" s="58">
        <v>1</v>
      </c>
      <c r="D203" s="65">
        <v>15</v>
      </c>
      <c r="E203" s="65">
        <v>30</v>
      </c>
      <c r="F203" s="65">
        <f t="shared" si="7"/>
        <v>15</v>
      </c>
      <c r="G203" s="57" t="s">
        <v>484</v>
      </c>
      <c r="H203" s="55" t="s">
        <v>482</v>
      </c>
    </row>
    <row r="204" spans="1:8">
      <c r="A204" s="77">
        <v>43923</v>
      </c>
      <c r="B204" s="55" t="s">
        <v>162</v>
      </c>
      <c r="C204" s="58">
        <v>1</v>
      </c>
      <c r="D204" s="65">
        <v>7.5</v>
      </c>
      <c r="E204" s="65">
        <v>15</v>
      </c>
      <c r="F204" s="65">
        <f t="shared" si="7"/>
        <v>7.5</v>
      </c>
      <c r="G204" s="57" t="s">
        <v>484</v>
      </c>
      <c r="H204" s="55" t="s">
        <v>482</v>
      </c>
    </row>
    <row r="205" spans="1:8">
      <c r="A205" s="77">
        <v>43923</v>
      </c>
      <c r="B205" s="55" t="s">
        <v>164</v>
      </c>
      <c r="C205" s="58">
        <v>1</v>
      </c>
      <c r="D205" s="65">
        <v>120</v>
      </c>
      <c r="E205" s="65">
        <v>194</v>
      </c>
      <c r="F205" s="65">
        <f t="shared" si="7"/>
        <v>74</v>
      </c>
      <c r="G205" s="57" t="s">
        <v>484</v>
      </c>
      <c r="H205" s="55" t="s">
        <v>482</v>
      </c>
    </row>
    <row r="206" spans="1:8">
      <c r="A206" s="77">
        <v>43923</v>
      </c>
      <c r="B206" s="55" t="s">
        <v>166</v>
      </c>
      <c r="C206" s="58">
        <v>1</v>
      </c>
      <c r="D206" s="65">
        <v>3</v>
      </c>
      <c r="E206" s="65">
        <v>15</v>
      </c>
      <c r="F206" s="65">
        <f t="shared" si="7"/>
        <v>12</v>
      </c>
      <c r="G206" s="57" t="s">
        <v>484</v>
      </c>
      <c r="H206" s="55" t="s">
        <v>482</v>
      </c>
    </row>
    <row r="207" spans="1:8">
      <c r="A207" s="77">
        <v>43923</v>
      </c>
      <c r="B207" s="55" t="s">
        <v>163</v>
      </c>
      <c r="C207" s="58">
        <v>1</v>
      </c>
      <c r="D207" s="65">
        <v>20</v>
      </c>
      <c r="E207" s="65">
        <v>40</v>
      </c>
      <c r="F207" s="65">
        <f t="shared" si="7"/>
        <v>20</v>
      </c>
      <c r="G207" s="57" t="s">
        <v>484</v>
      </c>
      <c r="H207" s="55" t="s">
        <v>482</v>
      </c>
    </row>
    <row r="208" spans="1:8">
      <c r="A208" s="77">
        <v>43923</v>
      </c>
      <c r="B208" s="55" t="s">
        <v>117</v>
      </c>
      <c r="C208" s="58">
        <v>1</v>
      </c>
      <c r="D208" s="65">
        <v>30</v>
      </c>
      <c r="E208" s="65">
        <v>50</v>
      </c>
      <c r="F208" s="65">
        <f t="shared" si="7"/>
        <v>20</v>
      </c>
      <c r="G208" s="57" t="s">
        <v>484</v>
      </c>
      <c r="H208" s="55" t="s">
        <v>482</v>
      </c>
    </row>
    <row r="209" spans="1:8">
      <c r="A209" s="77">
        <v>43923</v>
      </c>
      <c r="B209" s="55" t="s">
        <v>165</v>
      </c>
      <c r="C209" s="58">
        <v>1</v>
      </c>
      <c r="D209" s="65">
        <v>30</v>
      </c>
      <c r="E209" s="65">
        <v>45</v>
      </c>
      <c r="F209" s="65">
        <f t="shared" si="7"/>
        <v>15</v>
      </c>
      <c r="G209" s="57" t="s">
        <v>484</v>
      </c>
      <c r="H209" s="55" t="s">
        <v>482</v>
      </c>
    </row>
    <row r="210" spans="1:8">
      <c r="A210" s="77">
        <v>43924</v>
      </c>
      <c r="B210" s="55" t="s">
        <v>53</v>
      </c>
      <c r="C210" s="58">
        <v>1</v>
      </c>
      <c r="D210" s="65">
        <v>20</v>
      </c>
      <c r="E210" s="65">
        <v>35</v>
      </c>
      <c r="F210" s="65">
        <f t="shared" si="7"/>
        <v>15</v>
      </c>
      <c r="G210" s="57" t="s">
        <v>484</v>
      </c>
      <c r="H210" s="55" t="s">
        <v>482</v>
      </c>
    </row>
    <row r="211" spans="1:8">
      <c r="A211" s="77">
        <v>43924</v>
      </c>
      <c r="B211" s="55" t="s">
        <v>170</v>
      </c>
      <c r="C211" s="58">
        <v>1</v>
      </c>
      <c r="D211" s="65">
        <v>0</v>
      </c>
      <c r="E211" s="65">
        <v>90</v>
      </c>
      <c r="F211" s="65">
        <f t="shared" si="7"/>
        <v>90</v>
      </c>
      <c r="G211" s="57" t="s">
        <v>484</v>
      </c>
      <c r="H211" s="55" t="s">
        <v>482</v>
      </c>
    </row>
    <row r="212" spans="1:8">
      <c r="A212" s="77">
        <v>43924</v>
      </c>
      <c r="B212" s="55" t="s">
        <v>58</v>
      </c>
      <c r="C212" s="58">
        <v>1</v>
      </c>
      <c r="D212" s="65">
        <v>30</v>
      </c>
      <c r="E212" s="65">
        <v>55</v>
      </c>
      <c r="F212" s="65">
        <f t="shared" si="7"/>
        <v>25</v>
      </c>
      <c r="G212" s="57" t="s">
        <v>484</v>
      </c>
      <c r="H212" s="55" t="s">
        <v>482</v>
      </c>
    </row>
    <row r="213" spans="1:8">
      <c r="A213" s="77">
        <v>43924</v>
      </c>
      <c r="B213" s="55" t="s">
        <v>165</v>
      </c>
      <c r="C213" s="58">
        <v>1</v>
      </c>
      <c r="D213" s="65">
        <v>30</v>
      </c>
      <c r="E213" s="65">
        <v>50</v>
      </c>
      <c r="F213" s="65">
        <f t="shared" si="7"/>
        <v>20</v>
      </c>
      <c r="G213" s="57" t="s">
        <v>484</v>
      </c>
      <c r="H213" s="55" t="s">
        <v>482</v>
      </c>
    </row>
    <row r="214" spans="1:8">
      <c r="A214" s="77">
        <v>43925</v>
      </c>
      <c r="B214" s="55" t="s">
        <v>167</v>
      </c>
      <c r="C214" s="58">
        <v>1</v>
      </c>
      <c r="D214" s="65">
        <v>26</v>
      </c>
      <c r="E214" s="65">
        <v>65</v>
      </c>
      <c r="F214" s="65">
        <f t="shared" si="7"/>
        <v>39</v>
      </c>
      <c r="G214" s="57" t="s">
        <v>484</v>
      </c>
      <c r="H214" s="55" t="s">
        <v>482</v>
      </c>
    </row>
    <row r="215" spans="1:8">
      <c r="A215" s="77">
        <v>43925</v>
      </c>
      <c r="B215" s="59" t="s">
        <v>102</v>
      </c>
      <c r="C215" s="58">
        <v>1</v>
      </c>
      <c r="D215" s="63">
        <v>24</v>
      </c>
      <c r="E215" s="63">
        <v>30</v>
      </c>
      <c r="F215" s="65">
        <f t="shared" si="7"/>
        <v>6</v>
      </c>
      <c r="G215" s="57" t="s">
        <v>484</v>
      </c>
      <c r="H215" s="55" t="s">
        <v>482</v>
      </c>
    </row>
    <row r="216" spans="1:8">
      <c r="A216" s="77">
        <v>43925</v>
      </c>
      <c r="B216" s="56" t="s">
        <v>62</v>
      </c>
      <c r="C216" s="58">
        <v>1</v>
      </c>
      <c r="D216" s="50">
        <v>12</v>
      </c>
      <c r="E216" s="63">
        <v>30</v>
      </c>
      <c r="F216" s="65">
        <f t="shared" si="7"/>
        <v>18</v>
      </c>
      <c r="G216" s="57" t="s">
        <v>484</v>
      </c>
      <c r="H216" s="55" t="s">
        <v>482</v>
      </c>
    </row>
    <row r="217" spans="1:8">
      <c r="A217" s="77">
        <v>43925</v>
      </c>
      <c r="B217" s="56" t="s">
        <v>62</v>
      </c>
      <c r="C217" s="58">
        <v>1</v>
      </c>
      <c r="D217" s="50">
        <v>12</v>
      </c>
      <c r="E217" s="63">
        <v>30</v>
      </c>
      <c r="F217" s="65">
        <f t="shared" si="7"/>
        <v>18</v>
      </c>
      <c r="G217" s="57" t="s">
        <v>484</v>
      </c>
      <c r="H217" s="55" t="s">
        <v>482</v>
      </c>
    </row>
    <row r="218" spans="1:8">
      <c r="A218" s="77">
        <v>43925</v>
      </c>
      <c r="B218" s="55" t="s">
        <v>113</v>
      </c>
      <c r="C218" s="58">
        <v>1</v>
      </c>
      <c r="D218" s="65">
        <v>3.5</v>
      </c>
      <c r="E218" s="65">
        <v>15</v>
      </c>
      <c r="F218" s="65">
        <f t="shared" si="7"/>
        <v>11.5</v>
      </c>
      <c r="G218" s="57" t="s">
        <v>484</v>
      </c>
      <c r="H218" s="55" t="s">
        <v>482</v>
      </c>
    </row>
    <row r="219" spans="1:8">
      <c r="A219" s="77">
        <v>43926</v>
      </c>
      <c r="B219" s="56" t="s">
        <v>48</v>
      </c>
      <c r="C219" s="58">
        <v>1</v>
      </c>
      <c r="D219" s="50">
        <v>24</v>
      </c>
      <c r="E219" s="63">
        <v>40</v>
      </c>
      <c r="F219" s="65">
        <f t="shared" si="7"/>
        <v>16</v>
      </c>
      <c r="G219" s="57" t="s">
        <v>484</v>
      </c>
      <c r="H219" s="55" t="s">
        <v>482</v>
      </c>
    </row>
    <row r="220" spans="1:8">
      <c r="A220" s="77">
        <v>43927</v>
      </c>
      <c r="B220" s="55" t="s">
        <v>171</v>
      </c>
      <c r="C220" s="58">
        <v>1</v>
      </c>
      <c r="D220" s="65">
        <v>3.5</v>
      </c>
      <c r="E220" s="65">
        <v>10</v>
      </c>
      <c r="F220" s="65">
        <f t="shared" si="7"/>
        <v>6.5</v>
      </c>
      <c r="G220" s="57" t="s">
        <v>484</v>
      </c>
      <c r="H220" s="55" t="s">
        <v>482</v>
      </c>
    </row>
    <row r="221" spans="1:8">
      <c r="A221" s="77">
        <v>43927</v>
      </c>
      <c r="B221" s="55" t="s">
        <v>172</v>
      </c>
      <c r="C221" s="58">
        <v>1</v>
      </c>
      <c r="D221" s="65">
        <v>43</v>
      </c>
      <c r="E221" s="65">
        <v>70</v>
      </c>
      <c r="F221" s="65">
        <f t="shared" si="7"/>
        <v>27</v>
      </c>
      <c r="G221" s="57" t="s">
        <v>484</v>
      </c>
      <c r="H221" s="55" t="s">
        <v>482</v>
      </c>
    </row>
    <row r="222" spans="1:8">
      <c r="A222" s="77">
        <v>43927</v>
      </c>
      <c r="B222" s="55" t="s">
        <v>58</v>
      </c>
      <c r="C222" s="58">
        <v>1</v>
      </c>
      <c r="D222" s="65">
        <v>30</v>
      </c>
      <c r="E222" s="65">
        <v>60</v>
      </c>
      <c r="F222" s="65">
        <f t="shared" si="7"/>
        <v>30</v>
      </c>
      <c r="G222" s="57" t="s">
        <v>484</v>
      </c>
      <c r="H222" s="55" t="s">
        <v>482</v>
      </c>
    </row>
    <row r="223" spans="1:8">
      <c r="A223" s="77">
        <v>43927</v>
      </c>
      <c r="B223" s="56" t="s">
        <v>176</v>
      </c>
      <c r="C223" s="58">
        <v>1</v>
      </c>
      <c r="D223" s="65">
        <v>28</v>
      </c>
      <c r="E223" s="65">
        <v>60</v>
      </c>
      <c r="F223" s="65">
        <f t="shared" si="7"/>
        <v>32</v>
      </c>
      <c r="G223" s="57" t="s">
        <v>484</v>
      </c>
      <c r="H223" s="55" t="s">
        <v>482</v>
      </c>
    </row>
    <row r="224" spans="1:8">
      <c r="A224" s="77">
        <v>43927</v>
      </c>
      <c r="B224" s="55" t="s">
        <v>189</v>
      </c>
      <c r="C224" s="58">
        <v>1</v>
      </c>
      <c r="D224" s="65">
        <v>0</v>
      </c>
      <c r="E224" s="65">
        <v>15</v>
      </c>
      <c r="F224" s="65">
        <f t="shared" si="7"/>
        <v>15</v>
      </c>
      <c r="G224" s="57" t="s">
        <v>484</v>
      </c>
      <c r="H224" s="55" t="s">
        <v>482</v>
      </c>
    </row>
    <row r="225" spans="1:8">
      <c r="A225" s="77">
        <v>43928</v>
      </c>
      <c r="B225" s="55" t="s">
        <v>58</v>
      </c>
      <c r="C225" s="58">
        <v>1</v>
      </c>
      <c r="D225" s="65">
        <v>30</v>
      </c>
      <c r="E225" s="65">
        <v>60</v>
      </c>
      <c r="F225" s="65">
        <f t="shared" si="7"/>
        <v>30</v>
      </c>
      <c r="G225" s="57" t="s">
        <v>484</v>
      </c>
      <c r="H225" s="55" t="s">
        <v>482</v>
      </c>
    </row>
    <row r="226" spans="1:8">
      <c r="A226" s="77">
        <v>43928</v>
      </c>
      <c r="B226" s="55" t="s">
        <v>173</v>
      </c>
      <c r="C226" s="58">
        <v>1</v>
      </c>
      <c r="D226" s="65">
        <v>0</v>
      </c>
      <c r="E226" s="65">
        <v>50</v>
      </c>
      <c r="F226" s="65">
        <f t="shared" si="7"/>
        <v>50</v>
      </c>
      <c r="G226" s="57" t="s">
        <v>484</v>
      </c>
      <c r="H226" s="55" t="s">
        <v>482</v>
      </c>
    </row>
    <row r="227" spans="1:8">
      <c r="A227" s="77">
        <v>43929</v>
      </c>
      <c r="B227" s="55" t="s">
        <v>174</v>
      </c>
      <c r="C227" s="58">
        <v>1</v>
      </c>
      <c r="D227" s="65">
        <v>28</v>
      </c>
      <c r="E227" s="65">
        <v>60</v>
      </c>
      <c r="F227" s="65">
        <f t="shared" si="7"/>
        <v>32</v>
      </c>
      <c r="G227" s="57" t="s">
        <v>484</v>
      </c>
      <c r="H227" s="55" t="s">
        <v>482</v>
      </c>
    </row>
    <row r="228" spans="1:8">
      <c r="A228" s="77">
        <v>43929</v>
      </c>
      <c r="B228" s="56" t="s">
        <v>152</v>
      </c>
      <c r="C228" s="58">
        <v>1</v>
      </c>
      <c r="D228" s="50">
        <v>3.5</v>
      </c>
      <c r="E228" s="63">
        <v>10</v>
      </c>
      <c r="F228" s="65">
        <f t="shared" si="7"/>
        <v>6.5</v>
      </c>
      <c r="G228" s="57" t="s">
        <v>484</v>
      </c>
      <c r="H228" s="55" t="s">
        <v>482</v>
      </c>
    </row>
    <row r="229" spans="1:8">
      <c r="A229" s="77">
        <v>43929</v>
      </c>
      <c r="B229" s="55" t="s">
        <v>121</v>
      </c>
      <c r="C229" s="58">
        <v>1</v>
      </c>
      <c r="D229" s="65">
        <v>32</v>
      </c>
      <c r="E229" s="65">
        <v>60</v>
      </c>
      <c r="F229" s="65">
        <f t="shared" si="7"/>
        <v>28</v>
      </c>
      <c r="G229" s="57" t="s">
        <v>484</v>
      </c>
      <c r="H229" s="55" t="s">
        <v>482</v>
      </c>
    </row>
    <row r="230" spans="1:8">
      <c r="A230" s="77">
        <v>43929</v>
      </c>
      <c r="B230" s="55" t="s">
        <v>168</v>
      </c>
      <c r="C230" s="58">
        <v>1</v>
      </c>
      <c r="D230" s="65">
        <v>12</v>
      </c>
      <c r="E230" s="65">
        <v>30</v>
      </c>
      <c r="F230" s="65">
        <f t="shared" si="7"/>
        <v>18</v>
      </c>
      <c r="G230" s="57" t="s">
        <v>484</v>
      </c>
      <c r="H230" s="55" t="s">
        <v>482</v>
      </c>
    </row>
    <row r="231" spans="1:8">
      <c r="A231" s="77">
        <v>43929</v>
      </c>
      <c r="B231" s="55" t="s">
        <v>166</v>
      </c>
      <c r="C231" s="58">
        <v>1</v>
      </c>
      <c r="D231" s="65">
        <v>3</v>
      </c>
      <c r="E231" s="51">
        <v>10</v>
      </c>
      <c r="F231" s="65">
        <f t="shared" si="7"/>
        <v>7</v>
      </c>
      <c r="G231" s="57" t="s">
        <v>484</v>
      </c>
      <c r="H231" s="55" t="s">
        <v>482</v>
      </c>
    </row>
    <row r="232" spans="1:8">
      <c r="A232" s="77">
        <v>43929</v>
      </c>
      <c r="B232" s="55" t="s">
        <v>166</v>
      </c>
      <c r="C232" s="58">
        <v>1</v>
      </c>
      <c r="D232" s="65">
        <v>3</v>
      </c>
      <c r="E232" s="65">
        <v>10</v>
      </c>
      <c r="F232" s="65">
        <f t="shared" si="7"/>
        <v>7</v>
      </c>
      <c r="G232" s="57" t="s">
        <v>484</v>
      </c>
      <c r="H232" s="55" t="s">
        <v>482</v>
      </c>
    </row>
    <row r="233" spans="1:8">
      <c r="A233" s="77">
        <v>43929</v>
      </c>
      <c r="B233" s="55" t="s">
        <v>169</v>
      </c>
      <c r="C233" s="58">
        <v>1</v>
      </c>
      <c r="D233" s="65">
        <v>17</v>
      </c>
      <c r="E233" s="65">
        <v>40</v>
      </c>
      <c r="F233" s="65">
        <f t="shared" ref="F233:F264" si="8">E233-D233</f>
        <v>23</v>
      </c>
      <c r="G233" s="57" t="s">
        <v>484</v>
      </c>
      <c r="H233" s="55" t="s">
        <v>482</v>
      </c>
    </row>
    <row r="234" spans="1:8">
      <c r="A234" s="77">
        <v>43930</v>
      </c>
      <c r="B234" s="56" t="s">
        <v>185</v>
      </c>
      <c r="C234" s="58">
        <v>1</v>
      </c>
      <c r="D234" s="50">
        <v>28</v>
      </c>
      <c r="E234" s="63">
        <v>50</v>
      </c>
      <c r="F234" s="65">
        <f t="shared" si="8"/>
        <v>22</v>
      </c>
      <c r="G234" s="57" t="s">
        <v>484</v>
      </c>
      <c r="H234" s="55" t="s">
        <v>482</v>
      </c>
    </row>
    <row r="235" spans="1:8">
      <c r="A235" s="77">
        <v>43930</v>
      </c>
      <c r="B235" s="55" t="s">
        <v>165</v>
      </c>
      <c r="C235" s="58">
        <v>1</v>
      </c>
      <c r="D235" s="65">
        <v>30</v>
      </c>
      <c r="E235" s="65">
        <v>50</v>
      </c>
      <c r="F235" s="65">
        <f t="shared" si="8"/>
        <v>20</v>
      </c>
      <c r="G235" s="57" t="s">
        <v>484</v>
      </c>
      <c r="H235" s="55" t="s">
        <v>482</v>
      </c>
    </row>
    <row r="236" spans="1:8">
      <c r="A236" s="77">
        <v>43931</v>
      </c>
      <c r="B236" s="55" t="s">
        <v>166</v>
      </c>
      <c r="C236" s="58">
        <v>1</v>
      </c>
      <c r="D236" s="65">
        <v>3</v>
      </c>
      <c r="E236" s="65">
        <v>15</v>
      </c>
      <c r="F236" s="65">
        <f t="shared" si="8"/>
        <v>12</v>
      </c>
      <c r="G236" s="57" t="s">
        <v>484</v>
      </c>
      <c r="H236" s="55" t="s">
        <v>482</v>
      </c>
    </row>
    <row r="237" spans="1:8">
      <c r="A237" s="77">
        <v>43931</v>
      </c>
      <c r="B237" s="55" t="s">
        <v>166</v>
      </c>
      <c r="C237" s="58">
        <v>1</v>
      </c>
      <c r="D237" s="65">
        <v>3</v>
      </c>
      <c r="E237" s="65">
        <v>10</v>
      </c>
      <c r="F237" s="65">
        <f t="shared" si="8"/>
        <v>7</v>
      </c>
      <c r="G237" s="57" t="s">
        <v>484</v>
      </c>
      <c r="H237" s="55" t="s">
        <v>482</v>
      </c>
    </row>
    <row r="238" spans="1:8">
      <c r="A238" s="77">
        <v>43931</v>
      </c>
      <c r="B238" s="56" t="s">
        <v>62</v>
      </c>
      <c r="C238" s="58">
        <v>1</v>
      </c>
      <c r="D238" s="50">
        <v>12</v>
      </c>
      <c r="E238" s="63">
        <v>25</v>
      </c>
      <c r="F238" s="65">
        <f t="shared" si="8"/>
        <v>13</v>
      </c>
      <c r="G238" s="57" t="s">
        <v>484</v>
      </c>
      <c r="H238" s="55" t="s">
        <v>482</v>
      </c>
    </row>
    <row r="239" spans="1:8">
      <c r="A239" s="77">
        <v>43931</v>
      </c>
      <c r="B239" s="55" t="s">
        <v>169</v>
      </c>
      <c r="C239" s="58">
        <v>1</v>
      </c>
      <c r="D239" s="65">
        <v>17</v>
      </c>
      <c r="E239" s="65">
        <v>50</v>
      </c>
      <c r="F239" s="65">
        <f t="shared" si="8"/>
        <v>33</v>
      </c>
      <c r="G239" s="57" t="s">
        <v>484</v>
      </c>
      <c r="H239" s="55" t="s">
        <v>482</v>
      </c>
    </row>
    <row r="240" spans="1:8">
      <c r="A240" s="77">
        <v>43931</v>
      </c>
      <c r="B240" s="55" t="s">
        <v>175</v>
      </c>
      <c r="C240" s="58">
        <v>1</v>
      </c>
      <c r="D240" s="65">
        <v>20</v>
      </c>
      <c r="E240" s="65">
        <v>40</v>
      </c>
      <c r="F240" s="65">
        <f t="shared" si="8"/>
        <v>20</v>
      </c>
      <c r="G240" s="57" t="s">
        <v>484</v>
      </c>
      <c r="H240" s="55" t="s">
        <v>482</v>
      </c>
    </row>
    <row r="241" spans="1:8">
      <c r="A241" s="77">
        <v>43931</v>
      </c>
      <c r="B241" s="56" t="s">
        <v>178</v>
      </c>
      <c r="C241" s="58">
        <v>1</v>
      </c>
      <c r="D241" s="65">
        <v>100</v>
      </c>
      <c r="E241" s="65">
        <v>180</v>
      </c>
      <c r="F241" s="65">
        <f t="shared" si="8"/>
        <v>80</v>
      </c>
      <c r="G241" s="57" t="s">
        <v>484</v>
      </c>
      <c r="H241" s="55" t="s">
        <v>482</v>
      </c>
    </row>
    <row r="242" spans="1:8">
      <c r="A242" s="77">
        <v>43931</v>
      </c>
      <c r="B242" s="55" t="s">
        <v>154</v>
      </c>
      <c r="C242" s="58">
        <v>1</v>
      </c>
      <c r="D242" s="65">
        <v>10</v>
      </c>
      <c r="E242" s="65">
        <v>30</v>
      </c>
      <c r="F242" s="65">
        <f t="shared" si="8"/>
        <v>20</v>
      </c>
      <c r="G242" s="57" t="s">
        <v>484</v>
      </c>
      <c r="H242" s="55" t="s">
        <v>482</v>
      </c>
    </row>
    <row r="243" spans="1:8">
      <c r="A243" s="77">
        <v>43932</v>
      </c>
      <c r="B243" s="56" t="s">
        <v>161</v>
      </c>
      <c r="C243" s="58">
        <v>1</v>
      </c>
      <c r="D243" s="50">
        <v>15</v>
      </c>
      <c r="E243" s="63">
        <v>35</v>
      </c>
      <c r="F243" s="65">
        <f t="shared" si="8"/>
        <v>20</v>
      </c>
      <c r="G243" s="57" t="s">
        <v>484</v>
      </c>
      <c r="H243" s="55" t="s">
        <v>482</v>
      </c>
    </row>
    <row r="244" spans="1:8">
      <c r="A244" s="77">
        <v>43933</v>
      </c>
      <c r="B244" s="56" t="s">
        <v>177</v>
      </c>
      <c r="C244" s="58">
        <v>1</v>
      </c>
      <c r="D244" s="50">
        <v>28</v>
      </c>
      <c r="E244" s="63">
        <v>50</v>
      </c>
      <c r="F244" s="65">
        <f t="shared" si="8"/>
        <v>22</v>
      </c>
      <c r="G244" s="57" t="s">
        <v>484</v>
      </c>
      <c r="H244" s="55" t="s">
        <v>482</v>
      </c>
    </row>
    <row r="245" spans="1:8">
      <c r="A245" s="77">
        <v>43933</v>
      </c>
      <c r="B245" s="55" t="s">
        <v>115</v>
      </c>
      <c r="C245" s="58">
        <v>1</v>
      </c>
      <c r="D245" s="65">
        <v>70</v>
      </c>
      <c r="E245" s="65">
        <v>100</v>
      </c>
      <c r="F245" s="65">
        <f t="shared" si="8"/>
        <v>30</v>
      </c>
      <c r="G245" s="57" t="s">
        <v>484</v>
      </c>
      <c r="H245" s="55" t="s">
        <v>482</v>
      </c>
    </row>
    <row r="246" spans="1:8">
      <c r="A246" s="77">
        <v>43934</v>
      </c>
      <c r="B246" s="56" t="s">
        <v>176</v>
      </c>
      <c r="C246" s="58">
        <v>1</v>
      </c>
      <c r="D246" s="50">
        <v>28</v>
      </c>
      <c r="E246" s="63">
        <v>66</v>
      </c>
      <c r="F246" s="65">
        <f t="shared" si="8"/>
        <v>38</v>
      </c>
      <c r="G246" s="57" t="s">
        <v>484</v>
      </c>
      <c r="H246" s="55" t="s">
        <v>482</v>
      </c>
    </row>
    <row r="247" spans="1:8">
      <c r="A247" s="77">
        <v>43934</v>
      </c>
      <c r="B247" s="55" t="s">
        <v>175</v>
      </c>
      <c r="C247" s="58">
        <v>1</v>
      </c>
      <c r="D247" s="65">
        <v>20</v>
      </c>
      <c r="E247" s="65">
        <v>50</v>
      </c>
      <c r="F247" s="65">
        <f t="shared" si="8"/>
        <v>30</v>
      </c>
      <c r="G247" s="57" t="s">
        <v>484</v>
      </c>
      <c r="H247" s="55" t="s">
        <v>482</v>
      </c>
    </row>
    <row r="248" spans="1:8">
      <c r="A248" s="77">
        <v>43934</v>
      </c>
      <c r="B248" s="56" t="s">
        <v>178</v>
      </c>
      <c r="C248" s="58">
        <v>1</v>
      </c>
      <c r="D248" s="50">
        <v>105</v>
      </c>
      <c r="E248" s="63">
        <v>180</v>
      </c>
      <c r="F248" s="65">
        <f t="shared" si="8"/>
        <v>75</v>
      </c>
      <c r="G248" s="57" t="s">
        <v>484</v>
      </c>
      <c r="H248" s="55" t="s">
        <v>482</v>
      </c>
    </row>
    <row r="249" spans="1:8">
      <c r="A249" s="77">
        <v>43936</v>
      </c>
      <c r="B249" s="56" t="s">
        <v>173</v>
      </c>
      <c r="C249" s="58">
        <v>1</v>
      </c>
      <c r="D249" s="50">
        <v>0</v>
      </c>
      <c r="E249" s="63">
        <v>30</v>
      </c>
      <c r="F249" s="65">
        <f t="shared" si="8"/>
        <v>30</v>
      </c>
      <c r="G249" s="57" t="s">
        <v>484</v>
      </c>
      <c r="H249" s="55" t="s">
        <v>482</v>
      </c>
    </row>
    <row r="250" spans="1:8">
      <c r="A250" s="77">
        <v>43936</v>
      </c>
      <c r="B250" s="55" t="s">
        <v>168</v>
      </c>
      <c r="C250" s="58">
        <v>1</v>
      </c>
      <c r="D250" s="50">
        <v>12</v>
      </c>
      <c r="E250" s="63">
        <v>40</v>
      </c>
      <c r="F250" s="65">
        <f t="shared" si="8"/>
        <v>28</v>
      </c>
      <c r="G250" s="57" t="s">
        <v>484</v>
      </c>
      <c r="H250" s="55" t="s">
        <v>482</v>
      </c>
    </row>
    <row r="251" spans="1:8">
      <c r="A251" s="77">
        <v>43937</v>
      </c>
      <c r="B251" s="55" t="s">
        <v>58</v>
      </c>
      <c r="C251" s="58">
        <v>1</v>
      </c>
      <c r="D251" s="65">
        <v>30</v>
      </c>
      <c r="E251" s="65">
        <v>60</v>
      </c>
      <c r="F251" s="65">
        <f t="shared" si="8"/>
        <v>30</v>
      </c>
      <c r="G251" s="57" t="s">
        <v>484</v>
      </c>
      <c r="H251" s="55" t="s">
        <v>482</v>
      </c>
    </row>
    <row r="252" spans="1:8">
      <c r="A252" s="77">
        <v>43937</v>
      </c>
      <c r="B252" s="55" t="s">
        <v>58</v>
      </c>
      <c r="C252" s="58">
        <v>1</v>
      </c>
      <c r="D252" s="65">
        <v>30</v>
      </c>
      <c r="E252" s="65">
        <v>61</v>
      </c>
      <c r="F252" s="65">
        <f t="shared" si="8"/>
        <v>31</v>
      </c>
      <c r="G252" s="57" t="s">
        <v>484</v>
      </c>
      <c r="H252" s="55" t="s">
        <v>482</v>
      </c>
    </row>
    <row r="253" spans="1:8">
      <c r="A253" s="77">
        <v>43937</v>
      </c>
      <c r="B253" s="56" t="s">
        <v>179</v>
      </c>
      <c r="C253" s="58">
        <v>1</v>
      </c>
      <c r="D253" s="50">
        <v>28</v>
      </c>
      <c r="E253" s="63">
        <v>60</v>
      </c>
      <c r="F253" s="65">
        <f t="shared" si="8"/>
        <v>32</v>
      </c>
      <c r="G253" s="57" t="s">
        <v>484</v>
      </c>
      <c r="H253" s="55" t="s">
        <v>482</v>
      </c>
    </row>
    <row r="254" spans="1:8">
      <c r="A254" s="77">
        <v>43937</v>
      </c>
      <c r="B254" s="55" t="s">
        <v>166</v>
      </c>
      <c r="C254" s="58">
        <v>1</v>
      </c>
      <c r="D254" s="65">
        <v>3</v>
      </c>
      <c r="E254" s="65">
        <v>15</v>
      </c>
      <c r="F254" s="65">
        <f t="shared" si="8"/>
        <v>12</v>
      </c>
      <c r="G254" s="57" t="s">
        <v>484</v>
      </c>
      <c r="H254" s="55" t="s">
        <v>482</v>
      </c>
    </row>
    <row r="255" spans="1:8">
      <c r="A255" s="77">
        <v>43938</v>
      </c>
      <c r="B255" s="55" t="s">
        <v>58</v>
      </c>
      <c r="C255" s="58">
        <v>1</v>
      </c>
      <c r="D255" s="65">
        <v>30</v>
      </c>
      <c r="E255" s="65">
        <v>60</v>
      </c>
      <c r="F255" s="65">
        <f t="shared" si="8"/>
        <v>30</v>
      </c>
      <c r="G255" s="57" t="s">
        <v>484</v>
      </c>
      <c r="H255" s="55" t="s">
        <v>482</v>
      </c>
    </row>
    <row r="256" spans="1:8">
      <c r="A256" s="77">
        <v>43938</v>
      </c>
      <c r="B256" s="55" t="s">
        <v>58</v>
      </c>
      <c r="C256" s="58">
        <v>1</v>
      </c>
      <c r="D256" s="65">
        <v>30</v>
      </c>
      <c r="E256" s="65">
        <v>60</v>
      </c>
      <c r="F256" s="65">
        <f t="shared" si="8"/>
        <v>30</v>
      </c>
      <c r="G256" s="57" t="s">
        <v>484</v>
      </c>
      <c r="H256" s="55" t="s">
        <v>482</v>
      </c>
    </row>
    <row r="257" spans="1:8">
      <c r="A257" s="77">
        <v>43938</v>
      </c>
      <c r="B257" s="56" t="s">
        <v>179</v>
      </c>
      <c r="C257" s="58">
        <v>1</v>
      </c>
      <c r="D257" s="50">
        <v>28</v>
      </c>
      <c r="E257" s="63">
        <v>60</v>
      </c>
      <c r="F257" s="65">
        <f t="shared" si="8"/>
        <v>32</v>
      </c>
      <c r="G257" s="57" t="s">
        <v>484</v>
      </c>
      <c r="H257" s="55" t="s">
        <v>482</v>
      </c>
    </row>
    <row r="258" spans="1:8">
      <c r="A258" s="77">
        <v>43938</v>
      </c>
      <c r="B258" s="55" t="s">
        <v>168</v>
      </c>
      <c r="C258" s="58">
        <v>1</v>
      </c>
      <c r="D258" s="50">
        <v>12</v>
      </c>
      <c r="E258" s="63">
        <v>35</v>
      </c>
      <c r="F258" s="65">
        <f t="shared" si="8"/>
        <v>23</v>
      </c>
      <c r="G258" s="57" t="s">
        <v>484</v>
      </c>
      <c r="H258" s="55" t="s">
        <v>482</v>
      </c>
    </row>
    <row r="259" spans="1:8">
      <c r="A259" s="77">
        <v>43938</v>
      </c>
      <c r="B259" s="56" t="s">
        <v>132</v>
      </c>
      <c r="C259" s="58">
        <v>1</v>
      </c>
      <c r="D259" s="50">
        <v>20</v>
      </c>
      <c r="E259" s="63">
        <v>40</v>
      </c>
      <c r="F259" s="65">
        <f t="shared" si="8"/>
        <v>20</v>
      </c>
      <c r="G259" s="57" t="s">
        <v>484</v>
      </c>
      <c r="H259" s="55" t="s">
        <v>482</v>
      </c>
    </row>
    <row r="260" spans="1:8">
      <c r="A260" s="77">
        <v>43938</v>
      </c>
      <c r="B260" s="56" t="s">
        <v>169</v>
      </c>
      <c r="C260" s="58">
        <v>1</v>
      </c>
      <c r="D260" s="50">
        <v>17</v>
      </c>
      <c r="E260" s="63">
        <v>50</v>
      </c>
      <c r="F260" s="65">
        <f t="shared" si="8"/>
        <v>33</v>
      </c>
      <c r="G260" s="57" t="s">
        <v>484</v>
      </c>
      <c r="H260" s="55" t="s">
        <v>482</v>
      </c>
    </row>
    <row r="261" spans="1:8">
      <c r="A261" s="77">
        <v>43938</v>
      </c>
      <c r="B261" s="56" t="s">
        <v>180</v>
      </c>
      <c r="C261" s="58">
        <v>1</v>
      </c>
      <c r="D261" s="50">
        <v>20</v>
      </c>
      <c r="E261" s="63">
        <v>40</v>
      </c>
      <c r="F261" s="65">
        <f t="shared" si="8"/>
        <v>20</v>
      </c>
      <c r="G261" s="57" t="s">
        <v>484</v>
      </c>
      <c r="H261" s="55" t="s">
        <v>482</v>
      </c>
    </row>
    <row r="262" spans="1:8">
      <c r="A262" s="77">
        <v>43939</v>
      </c>
      <c r="B262" s="55" t="s">
        <v>58</v>
      </c>
      <c r="C262" s="58">
        <v>1</v>
      </c>
      <c r="D262" s="65">
        <v>30</v>
      </c>
      <c r="E262" s="65">
        <v>60</v>
      </c>
      <c r="F262" s="65">
        <f t="shared" si="8"/>
        <v>30</v>
      </c>
      <c r="G262" s="57" t="s">
        <v>484</v>
      </c>
      <c r="H262" s="55" t="s">
        <v>482</v>
      </c>
    </row>
    <row r="263" spans="1:8">
      <c r="A263" s="77">
        <v>43939</v>
      </c>
      <c r="B263" s="55" t="s">
        <v>58</v>
      </c>
      <c r="C263" s="58">
        <v>1</v>
      </c>
      <c r="D263" s="65">
        <v>30</v>
      </c>
      <c r="E263" s="65">
        <v>60</v>
      </c>
      <c r="F263" s="65">
        <f t="shared" si="8"/>
        <v>30</v>
      </c>
      <c r="G263" s="57" t="s">
        <v>484</v>
      </c>
      <c r="H263" s="55" t="s">
        <v>482</v>
      </c>
    </row>
    <row r="264" spans="1:8">
      <c r="A264" s="77">
        <v>43939</v>
      </c>
      <c r="B264" s="55" t="s">
        <v>58</v>
      </c>
      <c r="C264" s="58">
        <v>1</v>
      </c>
      <c r="D264" s="65">
        <v>30</v>
      </c>
      <c r="E264" s="65">
        <v>60</v>
      </c>
      <c r="F264" s="65">
        <f t="shared" si="8"/>
        <v>30</v>
      </c>
      <c r="G264" s="57" t="s">
        <v>484</v>
      </c>
      <c r="H264" s="55" t="s">
        <v>482</v>
      </c>
    </row>
    <row r="265" spans="1:8">
      <c r="A265" s="77">
        <v>43939</v>
      </c>
      <c r="B265" s="55" t="s">
        <v>168</v>
      </c>
      <c r="C265" s="58">
        <v>1</v>
      </c>
      <c r="D265" s="50">
        <v>12</v>
      </c>
      <c r="E265" s="63">
        <v>50</v>
      </c>
      <c r="F265" s="65">
        <f t="shared" ref="F265:F296" si="9">E265-D265</f>
        <v>38</v>
      </c>
      <c r="G265" s="57" t="s">
        <v>484</v>
      </c>
      <c r="H265" s="55" t="s">
        <v>482</v>
      </c>
    </row>
    <row r="266" spans="1:8">
      <c r="A266" s="77">
        <v>43940</v>
      </c>
      <c r="B266" s="55" t="s">
        <v>166</v>
      </c>
      <c r="C266" s="58">
        <v>1</v>
      </c>
      <c r="D266" s="65">
        <v>3</v>
      </c>
      <c r="E266" s="65">
        <v>15</v>
      </c>
      <c r="F266" s="65">
        <f t="shared" si="9"/>
        <v>12</v>
      </c>
      <c r="G266" s="57" t="s">
        <v>484</v>
      </c>
      <c r="H266" s="55" t="s">
        <v>482</v>
      </c>
    </row>
    <row r="267" spans="1:8">
      <c r="A267" s="77">
        <v>43941</v>
      </c>
      <c r="B267" s="55" t="s">
        <v>80</v>
      </c>
      <c r="C267" s="58">
        <v>1</v>
      </c>
      <c r="D267" s="65">
        <v>24</v>
      </c>
      <c r="E267" s="65">
        <v>50</v>
      </c>
      <c r="F267" s="65">
        <f t="shared" si="9"/>
        <v>26</v>
      </c>
      <c r="G267" s="57" t="s">
        <v>484</v>
      </c>
      <c r="H267" s="55" t="s">
        <v>482</v>
      </c>
    </row>
    <row r="268" spans="1:8">
      <c r="A268" s="77">
        <v>43942</v>
      </c>
      <c r="B268" s="56" t="s">
        <v>147</v>
      </c>
      <c r="C268" s="58">
        <v>1</v>
      </c>
      <c r="D268" s="50">
        <v>4</v>
      </c>
      <c r="E268" s="63">
        <v>15</v>
      </c>
      <c r="F268" s="65">
        <f t="shared" si="9"/>
        <v>11</v>
      </c>
      <c r="G268" s="57" t="s">
        <v>484</v>
      </c>
      <c r="H268" s="55" t="s">
        <v>482</v>
      </c>
    </row>
    <row r="269" spans="1:8">
      <c r="A269" s="77">
        <v>43942</v>
      </c>
      <c r="B269" s="56" t="s">
        <v>148</v>
      </c>
      <c r="C269" s="58">
        <v>1</v>
      </c>
      <c r="D269" s="50">
        <v>3.5</v>
      </c>
      <c r="E269" s="63">
        <v>10</v>
      </c>
      <c r="F269" s="65">
        <f t="shared" si="9"/>
        <v>6.5</v>
      </c>
      <c r="G269" s="57" t="s">
        <v>484</v>
      </c>
      <c r="H269" s="55" t="s">
        <v>482</v>
      </c>
    </row>
    <row r="270" spans="1:8">
      <c r="A270" s="77">
        <v>43942</v>
      </c>
      <c r="B270" s="56" t="s">
        <v>185</v>
      </c>
      <c r="C270" s="58">
        <v>1</v>
      </c>
      <c r="D270" s="50">
        <v>32</v>
      </c>
      <c r="E270" s="63">
        <v>70</v>
      </c>
      <c r="F270" s="65">
        <f t="shared" si="9"/>
        <v>38</v>
      </c>
      <c r="G270" s="57" t="s">
        <v>484</v>
      </c>
      <c r="H270" s="55" t="s">
        <v>482</v>
      </c>
    </row>
    <row r="271" spans="1:8">
      <c r="A271" s="77">
        <v>43942</v>
      </c>
      <c r="B271" s="56" t="s">
        <v>185</v>
      </c>
      <c r="C271" s="58">
        <v>1</v>
      </c>
      <c r="D271" s="50">
        <v>38</v>
      </c>
      <c r="E271" s="63">
        <v>70</v>
      </c>
      <c r="F271" s="65">
        <f t="shared" si="9"/>
        <v>32</v>
      </c>
      <c r="G271" s="57" t="s">
        <v>484</v>
      </c>
      <c r="H271" s="55" t="s">
        <v>482</v>
      </c>
    </row>
    <row r="272" spans="1:8">
      <c r="A272" s="77">
        <v>43942</v>
      </c>
      <c r="B272" s="56" t="s">
        <v>182</v>
      </c>
      <c r="C272" s="58">
        <v>1</v>
      </c>
      <c r="D272" s="50">
        <v>65</v>
      </c>
      <c r="E272" s="63">
        <v>110</v>
      </c>
      <c r="F272" s="65">
        <f t="shared" si="9"/>
        <v>45</v>
      </c>
      <c r="G272" s="57" t="s">
        <v>484</v>
      </c>
      <c r="H272" s="55" t="s">
        <v>482</v>
      </c>
    </row>
    <row r="273" spans="1:8">
      <c r="A273" s="77">
        <v>43942</v>
      </c>
      <c r="B273" s="55" t="s">
        <v>168</v>
      </c>
      <c r="C273" s="58">
        <v>1</v>
      </c>
      <c r="D273" s="50">
        <v>12</v>
      </c>
      <c r="E273" s="63">
        <v>35</v>
      </c>
      <c r="F273" s="65">
        <f t="shared" si="9"/>
        <v>23</v>
      </c>
      <c r="G273" s="57" t="s">
        <v>484</v>
      </c>
      <c r="H273" s="55" t="s">
        <v>482</v>
      </c>
    </row>
    <row r="274" spans="1:8">
      <c r="A274" s="77">
        <v>43942</v>
      </c>
      <c r="B274" s="55" t="s">
        <v>168</v>
      </c>
      <c r="C274" s="58">
        <v>1</v>
      </c>
      <c r="D274" s="50">
        <v>12</v>
      </c>
      <c r="E274" s="63">
        <v>40</v>
      </c>
      <c r="F274" s="65">
        <f t="shared" si="9"/>
        <v>28</v>
      </c>
      <c r="G274" s="57" t="s">
        <v>484</v>
      </c>
      <c r="H274" s="55" t="s">
        <v>482</v>
      </c>
    </row>
    <row r="275" spans="1:8">
      <c r="A275" s="77">
        <v>43942</v>
      </c>
      <c r="B275" s="55" t="s">
        <v>165</v>
      </c>
      <c r="C275" s="58">
        <v>1</v>
      </c>
      <c r="D275" s="65">
        <v>30</v>
      </c>
      <c r="E275" s="65">
        <v>50</v>
      </c>
      <c r="F275" s="65">
        <f t="shared" si="9"/>
        <v>20</v>
      </c>
      <c r="G275" s="57" t="s">
        <v>484</v>
      </c>
      <c r="H275" s="55" t="s">
        <v>482</v>
      </c>
    </row>
    <row r="276" spans="1:8">
      <c r="A276" s="77">
        <v>43943</v>
      </c>
      <c r="B276" s="56" t="s">
        <v>181</v>
      </c>
      <c r="C276" s="58">
        <v>1</v>
      </c>
      <c r="D276" s="50">
        <v>18</v>
      </c>
      <c r="E276" s="63">
        <v>30</v>
      </c>
      <c r="F276" s="65">
        <f t="shared" si="9"/>
        <v>12</v>
      </c>
      <c r="G276" s="57" t="s">
        <v>484</v>
      </c>
      <c r="H276" s="55" t="s">
        <v>482</v>
      </c>
    </row>
    <row r="277" spans="1:8">
      <c r="A277" s="77">
        <v>43943</v>
      </c>
      <c r="B277" s="56" t="s">
        <v>181</v>
      </c>
      <c r="C277" s="58">
        <v>1</v>
      </c>
      <c r="D277" s="50">
        <v>18</v>
      </c>
      <c r="E277" s="63">
        <v>30</v>
      </c>
      <c r="F277" s="65">
        <f t="shared" si="9"/>
        <v>12</v>
      </c>
      <c r="G277" s="57" t="s">
        <v>484</v>
      </c>
      <c r="H277" s="55" t="s">
        <v>482</v>
      </c>
    </row>
    <row r="278" spans="1:8">
      <c r="A278" s="77">
        <v>43943</v>
      </c>
      <c r="B278" s="55" t="s">
        <v>58</v>
      </c>
      <c r="C278" s="58">
        <v>1</v>
      </c>
      <c r="D278" s="65">
        <v>30</v>
      </c>
      <c r="E278" s="65">
        <v>60</v>
      </c>
      <c r="F278" s="65">
        <f t="shared" si="9"/>
        <v>30</v>
      </c>
      <c r="G278" s="57" t="s">
        <v>484</v>
      </c>
      <c r="H278" s="55" t="s">
        <v>482</v>
      </c>
    </row>
    <row r="279" spans="1:8">
      <c r="A279" s="77">
        <v>43943</v>
      </c>
      <c r="B279" s="55" t="s">
        <v>58</v>
      </c>
      <c r="C279" s="58">
        <v>1</v>
      </c>
      <c r="D279" s="65">
        <v>30</v>
      </c>
      <c r="E279" s="65">
        <v>60</v>
      </c>
      <c r="F279" s="65">
        <f t="shared" si="9"/>
        <v>30</v>
      </c>
      <c r="G279" s="57" t="s">
        <v>484</v>
      </c>
      <c r="H279" s="55" t="s">
        <v>482</v>
      </c>
    </row>
    <row r="280" spans="1:8">
      <c r="A280" s="77">
        <v>43944</v>
      </c>
      <c r="B280" s="55" t="s">
        <v>58</v>
      </c>
      <c r="C280" s="58">
        <v>1</v>
      </c>
      <c r="D280" s="65">
        <v>30</v>
      </c>
      <c r="E280" s="65">
        <v>60</v>
      </c>
      <c r="F280" s="65">
        <f t="shared" si="9"/>
        <v>30</v>
      </c>
      <c r="G280" s="57" t="s">
        <v>484</v>
      </c>
      <c r="H280" s="55" t="s">
        <v>482</v>
      </c>
    </row>
    <row r="281" spans="1:8">
      <c r="A281" s="77">
        <v>43944</v>
      </c>
      <c r="B281" s="55" t="s">
        <v>58</v>
      </c>
      <c r="C281" s="58">
        <v>1</v>
      </c>
      <c r="D281" s="65">
        <v>30</v>
      </c>
      <c r="E281" s="65">
        <v>60</v>
      </c>
      <c r="F281" s="65">
        <f t="shared" si="9"/>
        <v>30</v>
      </c>
      <c r="G281" s="57" t="s">
        <v>484</v>
      </c>
      <c r="H281" s="55" t="s">
        <v>482</v>
      </c>
    </row>
    <row r="282" spans="1:8">
      <c r="A282" s="77">
        <v>43944</v>
      </c>
      <c r="B282" s="55" t="s">
        <v>58</v>
      </c>
      <c r="C282" s="58">
        <v>1</v>
      </c>
      <c r="D282" s="65">
        <v>30</v>
      </c>
      <c r="E282" s="65">
        <v>60</v>
      </c>
      <c r="F282" s="65">
        <f t="shared" si="9"/>
        <v>30</v>
      </c>
      <c r="G282" s="57" t="s">
        <v>484</v>
      </c>
      <c r="H282" s="55" t="s">
        <v>482</v>
      </c>
    </row>
    <row r="283" spans="1:8">
      <c r="A283" s="77">
        <v>43944</v>
      </c>
      <c r="B283" s="56" t="s">
        <v>190</v>
      </c>
      <c r="C283" s="58">
        <v>1</v>
      </c>
      <c r="D283" s="50">
        <v>22</v>
      </c>
      <c r="E283" s="63">
        <v>40</v>
      </c>
      <c r="F283" s="65">
        <f t="shared" si="9"/>
        <v>18</v>
      </c>
      <c r="G283" s="57" t="s">
        <v>484</v>
      </c>
      <c r="H283" s="55" t="s">
        <v>482</v>
      </c>
    </row>
    <row r="284" spans="1:8">
      <c r="A284" s="77">
        <v>43944</v>
      </c>
      <c r="B284" s="55" t="s">
        <v>139</v>
      </c>
      <c r="C284" s="58">
        <v>1</v>
      </c>
      <c r="D284" s="50">
        <v>20</v>
      </c>
      <c r="E284" s="63">
        <v>40</v>
      </c>
      <c r="F284" s="65">
        <f t="shared" si="9"/>
        <v>20</v>
      </c>
      <c r="G284" s="57" t="s">
        <v>484</v>
      </c>
      <c r="H284" s="55" t="s">
        <v>482</v>
      </c>
    </row>
    <row r="285" spans="1:8">
      <c r="A285" s="77">
        <v>43945</v>
      </c>
      <c r="B285" s="55" t="s">
        <v>168</v>
      </c>
      <c r="C285" s="58">
        <v>1</v>
      </c>
      <c r="D285" s="50">
        <v>12</v>
      </c>
      <c r="E285" s="63">
        <v>40</v>
      </c>
      <c r="F285" s="65">
        <f t="shared" si="9"/>
        <v>28</v>
      </c>
      <c r="G285" s="57" t="s">
        <v>484</v>
      </c>
      <c r="H285" s="55" t="s">
        <v>482</v>
      </c>
    </row>
    <row r="286" spans="1:8">
      <c r="A286" s="77">
        <v>43945</v>
      </c>
      <c r="B286" s="55" t="s">
        <v>168</v>
      </c>
      <c r="C286" s="58">
        <v>1</v>
      </c>
      <c r="D286" s="50">
        <v>12</v>
      </c>
      <c r="E286" s="63">
        <v>35</v>
      </c>
      <c r="F286" s="65">
        <f t="shared" si="9"/>
        <v>23</v>
      </c>
      <c r="G286" s="57" t="s">
        <v>484</v>
      </c>
      <c r="H286" s="55" t="s">
        <v>482</v>
      </c>
    </row>
    <row r="287" spans="1:8">
      <c r="A287" s="77">
        <v>43945</v>
      </c>
      <c r="B287" s="55" t="s">
        <v>166</v>
      </c>
      <c r="C287" s="58">
        <v>1</v>
      </c>
      <c r="D287" s="65">
        <v>3</v>
      </c>
      <c r="E287" s="65">
        <v>15</v>
      </c>
      <c r="F287" s="65">
        <f t="shared" si="9"/>
        <v>12</v>
      </c>
      <c r="G287" s="57" t="s">
        <v>484</v>
      </c>
      <c r="H287" s="55" t="s">
        <v>482</v>
      </c>
    </row>
    <row r="288" spans="1:8">
      <c r="A288" s="77">
        <v>43945</v>
      </c>
      <c r="B288" s="55" t="s">
        <v>58</v>
      </c>
      <c r="C288" s="58">
        <v>1</v>
      </c>
      <c r="D288" s="65">
        <v>30</v>
      </c>
      <c r="E288" s="65">
        <v>60</v>
      </c>
      <c r="F288" s="65">
        <f t="shared" si="9"/>
        <v>30</v>
      </c>
      <c r="G288" s="57" t="s">
        <v>484</v>
      </c>
      <c r="H288" s="55" t="s">
        <v>482</v>
      </c>
    </row>
    <row r="289" spans="1:8">
      <c r="A289" s="77">
        <v>43945</v>
      </c>
      <c r="B289" s="55" t="s">
        <v>58</v>
      </c>
      <c r="C289" s="58">
        <v>1</v>
      </c>
      <c r="D289" s="65">
        <v>30</v>
      </c>
      <c r="E289" s="65">
        <v>60</v>
      </c>
      <c r="F289" s="65">
        <f t="shared" si="9"/>
        <v>30</v>
      </c>
      <c r="G289" s="57" t="s">
        <v>484</v>
      </c>
      <c r="H289" s="55" t="s">
        <v>482</v>
      </c>
    </row>
    <row r="290" spans="1:8">
      <c r="A290" s="77">
        <v>43945</v>
      </c>
      <c r="B290" s="55" t="s">
        <v>58</v>
      </c>
      <c r="C290" s="58">
        <v>1</v>
      </c>
      <c r="D290" s="65">
        <v>30</v>
      </c>
      <c r="E290" s="65">
        <v>60</v>
      </c>
      <c r="F290" s="65">
        <f t="shared" si="9"/>
        <v>30</v>
      </c>
      <c r="G290" s="57" t="s">
        <v>484</v>
      </c>
      <c r="H290" s="55" t="s">
        <v>482</v>
      </c>
    </row>
    <row r="291" spans="1:8">
      <c r="A291" s="77">
        <v>43945</v>
      </c>
      <c r="B291" s="55" t="s">
        <v>58</v>
      </c>
      <c r="C291" s="58">
        <v>1</v>
      </c>
      <c r="D291" s="65">
        <v>30</v>
      </c>
      <c r="E291" s="65">
        <v>65</v>
      </c>
      <c r="F291" s="65">
        <f t="shared" si="9"/>
        <v>35</v>
      </c>
      <c r="G291" s="57" t="s">
        <v>484</v>
      </c>
      <c r="H291" s="55" t="s">
        <v>482</v>
      </c>
    </row>
    <row r="292" spans="1:8">
      <c r="A292" s="77">
        <v>43945</v>
      </c>
      <c r="B292" s="55" t="s">
        <v>192</v>
      </c>
      <c r="C292" s="58">
        <v>1</v>
      </c>
      <c r="D292" s="65">
        <v>15</v>
      </c>
      <c r="E292" s="65">
        <v>25</v>
      </c>
      <c r="F292" s="65">
        <f t="shared" si="9"/>
        <v>10</v>
      </c>
      <c r="G292" s="57" t="s">
        <v>484</v>
      </c>
      <c r="H292" s="55" t="s">
        <v>482</v>
      </c>
    </row>
    <row r="293" spans="1:8">
      <c r="A293" s="77">
        <v>43945</v>
      </c>
      <c r="B293" s="55" t="s">
        <v>192</v>
      </c>
      <c r="C293" s="58">
        <v>1</v>
      </c>
      <c r="D293" s="65">
        <v>15</v>
      </c>
      <c r="E293" s="65">
        <v>25</v>
      </c>
      <c r="F293" s="65">
        <f t="shared" si="9"/>
        <v>10</v>
      </c>
      <c r="G293" s="57" t="s">
        <v>484</v>
      </c>
      <c r="H293" s="55" t="s">
        <v>482</v>
      </c>
    </row>
    <row r="294" spans="1:8">
      <c r="A294" s="77">
        <v>43945</v>
      </c>
      <c r="B294" s="56" t="s">
        <v>80</v>
      </c>
      <c r="C294" s="58">
        <v>1</v>
      </c>
      <c r="D294" s="50">
        <v>24</v>
      </c>
      <c r="E294" s="63">
        <v>50</v>
      </c>
      <c r="F294" s="65">
        <f t="shared" si="9"/>
        <v>26</v>
      </c>
      <c r="G294" s="57" t="s">
        <v>484</v>
      </c>
      <c r="H294" s="55" t="s">
        <v>482</v>
      </c>
    </row>
    <row r="295" spans="1:8">
      <c r="A295" s="77">
        <v>43946</v>
      </c>
      <c r="B295" s="55" t="s">
        <v>197</v>
      </c>
      <c r="C295" s="58">
        <v>1</v>
      </c>
      <c r="D295" s="65">
        <v>6.5</v>
      </c>
      <c r="E295" s="65">
        <v>13</v>
      </c>
      <c r="F295" s="65">
        <f t="shared" si="9"/>
        <v>6.5</v>
      </c>
      <c r="G295" s="57" t="s">
        <v>484</v>
      </c>
      <c r="H295" s="55" t="s">
        <v>482</v>
      </c>
    </row>
    <row r="296" spans="1:8">
      <c r="A296" s="77">
        <v>43946</v>
      </c>
      <c r="B296" s="55" t="s">
        <v>197</v>
      </c>
      <c r="C296" s="58">
        <v>1</v>
      </c>
      <c r="D296" s="65">
        <v>6.5</v>
      </c>
      <c r="E296" s="65">
        <v>13</v>
      </c>
      <c r="F296" s="65">
        <f t="shared" si="9"/>
        <v>6.5</v>
      </c>
      <c r="G296" s="57" t="s">
        <v>484</v>
      </c>
      <c r="H296" s="55" t="s">
        <v>482</v>
      </c>
    </row>
    <row r="297" spans="1:8">
      <c r="A297" s="77">
        <v>43946</v>
      </c>
      <c r="B297" s="56" t="s">
        <v>62</v>
      </c>
      <c r="C297" s="58">
        <v>1</v>
      </c>
      <c r="D297" s="50">
        <v>12</v>
      </c>
      <c r="E297" s="63">
        <v>25</v>
      </c>
      <c r="F297" s="65">
        <f t="shared" ref="F297:F307" si="10">E297-D297</f>
        <v>13</v>
      </c>
      <c r="G297" s="57" t="s">
        <v>484</v>
      </c>
      <c r="H297" s="55" t="s">
        <v>482</v>
      </c>
    </row>
    <row r="298" spans="1:8">
      <c r="A298" s="77">
        <v>43946</v>
      </c>
      <c r="B298" s="55" t="s">
        <v>141</v>
      </c>
      <c r="C298" s="58">
        <v>1</v>
      </c>
      <c r="D298" s="65">
        <v>0.95</v>
      </c>
      <c r="E298" s="65">
        <v>15</v>
      </c>
      <c r="F298" s="65">
        <f t="shared" si="10"/>
        <v>14.05</v>
      </c>
      <c r="G298" s="57" t="s">
        <v>484</v>
      </c>
      <c r="H298" s="55" t="s">
        <v>482</v>
      </c>
    </row>
    <row r="299" spans="1:8">
      <c r="A299" s="77">
        <v>43946</v>
      </c>
      <c r="B299" s="55" t="s">
        <v>198</v>
      </c>
      <c r="C299" s="58">
        <v>1</v>
      </c>
      <c r="D299" s="65">
        <v>2.36</v>
      </c>
      <c r="E299" s="65">
        <v>15</v>
      </c>
      <c r="F299" s="65">
        <f t="shared" si="10"/>
        <v>12.64</v>
      </c>
      <c r="G299" s="57" t="s">
        <v>484</v>
      </c>
      <c r="H299" s="55" t="s">
        <v>482</v>
      </c>
    </row>
    <row r="300" spans="1:8">
      <c r="A300" s="77">
        <v>43946</v>
      </c>
      <c r="B300" s="55" t="s">
        <v>181</v>
      </c>
      <c r="C300" s="58">
        <v>1</v>
      </c>
      <c r="D300" s="50">
        <v>18</v>
      </c>
      <c r="E300" s="63">
        <v>40</v>
      </c>
      <c r="F300" s="65">
        <f t="shared" si="10"/>
        <v>22</v>
      </c>
      <c r="G300" s="57" t="s">
        <v>484</v>
      </c>
      <c r="H300" s="55" t="s">
        <v>482</v>
      </c>
    </row>
    <row r="301" spans="1:8">
      <c r="A301" s="77">
        <v>43946</v>
      </c>
      <c r="B301" s="56" t="s">
        <v>194</v>
      </c>
      <c r="C301" s="58">
        <v>1</v>
      </c>
      <c r="D301" s="50">
        <v>6</v>
      </c>
      <c r="E301" s="63">
        <v>13</v>
      </c>
      <c r="F301" s="65">
        <f t="shared" si="10"/>
        <v>7</v>
      </c>
      <c r="G301" s="57" t="s">
        <v>484</v>
      </c>
      <c r="H301" s="55" t="s">
        <v>482</v>
      </c>
    </row>
    <row r="302" spans="1:8">
      <c r="A302" s="77">
        <v>43946</v>
      </c>
      <c r="B302" s="55" t="s">
        <v>197</v>
      </c>
      <c r="C302" s="58">
        <v>1</v>
      </c>
      <c r="D302" s="65">
        <v>6.5</v>
      </c>
      <c r="E302" s="65">
        <v>12</v>
      </c>
      <c r="F302" s="65">
        <f t="shared" si="10"/>
        <v>5.5</v>
      </c>
      <c r="G302" s="57" t="s">
        <v>484</v>
      </c>
      <c r="H302" s="55" t="s">
        <v>482</v>
      </c>
    </row>
    <row r="303" spans="1:8">
      <c r="A303" s="77">
        <v>43946</v>
      </c>
      <c r="B303" s="55" t="s">
        <v>197</v>
      </c>
      <c r="C303" s="58">
        <v>1</v>
      </c>
      <c r="D303" s="65">
        <v>6.5</v>
      </c>
      <c r="E303" s="65">
        <v>12</v>
      </c>
      <c r="F303" s="65">
        <f t="shared" si="10"/>
        <v>5.5</v>
      </c>
      <c r="G303" s="57" t="s">
        <v>484</v>
      </c>
      <c r="H303" s="55" t="s">
        <v>482</v>
      </c>
    </row>
    <row r="304" spans="1:8">
      <c r="A304" s="77">
        <v>43947</v>
      </c>
      <c r="B304" s="55" t="s">
        <v>58</v>
      </c>
      <c r="C304" s="58">
        <v>1</v>
      </c>
      <c r="D304" s="65">
        <v>30</v>
      </c>
      <c r="E304" s="65">
        <v>60</v>
      </c>
      <c r="F304" s="65">
        <f t="shared" si="10"/>
        <v>30</v>
      </c>
      <c r="G304" s="57" t="s">
        <v>484</v>
      </c>
      <c r="H304" s="55" t="s">
        <v>482</v>
      </c>
    </row>
    <row r="305" spans="1:8">
      <c r="A305" s="77">
        <v>43947</v>
      </c>
      <c r="B305" s="55" t="s">
        <v>168</v>
      </c>
      <c r="C305" s="58">
        <v>1</v>
      </c>
      <c r="D305" s="50">
        <v>12</v>
      </c>
      <c r="E305" s="63">
        <v>40</v>
      </c>
      <c r="F305" s="65">
        <f t="shared" si="10"/>
        <v>28</v>
      </c>
      <c r="G305" s="57" t="s">
        <v>484</v>
      </c>
      <c r="H305" s="55" t="s">
        <v>482</v>
      </c>
    </row>
    <row r="306" spans="1:8">
      <c r="A306" s="77">
        <v>43947</v>
      </c>
      <c r="B306" s="56" t="s">
        <v>195</v>
      </c>
      <c r="C306" s="58">
        <v>1</v>
      </c>
      <c r="D306" s="50">
        <v>24</v>
      </c>
      <c r="E306" s="63">
        <v>50</v>
      </c>
      <c r="F306" s="65">
        <f t="shared" si="10"/>
        <v>26</v>
      </c>
      <c r="G306" s="57" t="s">
        <v>484</v>
      </c>
      <c r="H306" s="55" t="s">
        <v>482</v>
      </c>
    </row>
    <row r="307" spans="1:8">
      <c r="A307" s="77">
        <v>43947</v>
      </c>
      <c r="B307" s="55" t="s">
        <v>196</v>
      </c>
      <c r="C307" s="58">
        <v>1</v>
      </c>
      <c r="D307" s="65">
        <v>100</v>
      </c>
      <c r="E307" s="65">
        <v>180</v>
      </c>
      <c r="F307" s="65">
        <f t="shared" si="10"/>
        <v>80</v>
      </c>
      <c r="G307" s="57" t="s">
        <v>484</v>
      </c>
      <c r="H307" s="55" t="s">
        <v>482</v>
      </c>
    </row>
    <row r="308" spans="1:8">
      <c r="A308" s="77">
        <v>43948</v>
      </c>
      <c r="B308" s="55" t="s">
        <v>197</v>
      </c>
      <c r="C308" s="58">
        <v>1</v>
      </c>
      <c r="D308" s="65">
        <v>7</v>
      </c>
      <c r="E308" s="65">
        <v>13</v>
      </c>
      <c r="F308" s="65">
        <f t="shared" ref="F308:F313" si="11">E308-D308</f>
        <v>6</v>
      </c>
      <c r="G308" s="57" t="s">
        <v>484</v>
      </c>
      <c r="H308" s="55" t="s">
        <v>482</v>
      </c>
    </row>
    <row r="309" spans="1:8">
      <c r="A309" s="77">
        <v>43948</v>
      </c>
      <c r="B309" s="55" t="s">
        <v>197</v>
      </c>
      <c r="C309" s="58">
        <v>1</v>
      </c>
      <c r="D309" s="65">
        <v>7</v>
      </c>
      <c r="E309" s="65">
        <v>13</v>
      </c>
      <c r="F309" s="65">
        <f t="shared" si="11"/>
        <v>6</v>
      </c>
      <c r="G309" s="57" t="s">
        <v>484</v>
      </c>
      <c r="H309" s="55" t="s">
        <v>482</v>
      </c>
    </row>
    <row r="310" spans="1:8">
      <c r="A310" s="77">
        <v>43948</v>
      </c>
      <c r="B310" s="55" t="s">
        <v>197</v>
      </c>
      <c r="C310" s="58">
        <v>1</v>
      </c>
      <c r="D310" s="65">
        <v>7</v>
      </c>
      <c r="E310" s="65">
        <v>13</v>
      </c>
      <c r="F310" s="65">
        <f t="shared" si="11"/>
        <v>6</v>
      </c>
      <c r="G310" s="57" t="s">
        <v>484</v>
      </c>
      <c r="H310" s="55" t="s">
        <v>482</v>
      </c>
    </row>
    <row r="311" spans="1:8">
      <c r="A311" s="77">
        <v>43948</v>
      </c>
      <c r="B311" s="55" t="s">
        <v>197</v>
      </c>
      <c r="C311" s="58">
        <v>1</v>
      </c>
      <c r="D311" s="65">
        <v>7</v>
      </c>
      <c r="E311" s="65">
        <v>13</v>
      </c>
      <c r="F311" s="65">
        <f t="shared" si="11"/>
        <v>6</v>
      </c>
      <c r="G311" s="57" t="s">
        <v>484</v>
      </c>
      <c r="H311" s="55" t="s">
        <v>482</v>
      </c>
    </row>
    <row r="312" spans="1:8">
      <c r="A312" s="77">
        <v>43948</v>
      </c>
      <c r="B312" s="55" t="s">
        <v>197</v>
      </c>
      <c r="C312" s="58">
        <v>1</v>
      </c>
      <c r="D312" s="65">
        <v>7</v>
      </c>
      <c r="E312" s="65">
        <v>12</v>
      </c>
      <c r="F312" s="65">
        <f t="shared" si="11"/>
        <v>5</v>
      </c>
      <c r="G312" s="57" t="s">
        <v>484</v>
      </c>
      <c r="H312" s="55" t="s">
        <v>482</v>
      </c>
    </row>
    <row r="313" spans="1:8">
      <c r="A313" s="77">
        <v>43948</v>
      </c>
      <c r="B313" s="55" t="s">
        <v>197</v>
      </c>
      <c r="C313" s="58">
        <v>1</v>
      </c>
      <c r="D313" s="65">
        <v>7</v>
      </c>
      <c r="E313" s="65">
        <v>12</v>
      </c>
      <c r="F313" s="65">
        <f t="shared" si="11"/>
        <v>5</v>
      </c>
      <c r="G313" s="57" t="s">
        <v>484</v>
      </c>
      <c r="H313" s="55" t="s">
        <v>482</v>
      </c>
    </row>
    <row r="314" spans="1:8">
      <c r="A314" s="77">
        <v>43948</v>
      </c>
      <c r="B314" s="55" t="s">
        <v>199</v>
      </c>
      <c r="C314" s="58">
        <v>1</v>
      </c>
      <c r="D314" s="65">
        <v>26</v>
      </c>
      <c r="E314" s="65">
        <v>60</v>
      </c>
      <c r="F314" s="65">
        <f t="shared" ref="F314:F336" si="12">E314-D314</f>
        <v>34</v>
      </c>
      <c r="G314" s="57" t="s">
        <v>484</v>
      </c>
      <c r="H314" s="55" t="s">
        <v>482</v>
      </c>
    </row>
    <row r="315" spans="1:8">
      <c r="A315" s="77">
        <v>43948</v>
      </c>
      <c r="B315" s="56" t="s">
        <v>193</v>
      </c>
      <c r="C315" s="58">
        <v>1</v>
      </c>
      <c r="D315" s="50">
        <v>43</v>
      </c>
      <c r="E315" s="63">
        <v>70</v>
      </c>
      <c r="F315" s="65">
        <f t="shared" si="12"/>
        <v>27</v>
      </c>
      <c r="G315" s="57" t="s">
        <v>484</v>
      </c>
      <c r="H315" s="55" t="s">
        <v>482</v>
      </c>
    </row>
    <row r="316" spans="1:8">
      <c r="A316" s="77">
        <v>43948</v>
      </c>
      <c r="B316" s="56" t="s">
        <v>200</v>
      </c>
      <c r="C316" s="58">
        <v>1</v>
      </c>
      <c r="D316" s="65">
        <v>35</v>
      </c>
      <c r="E316" s="65">
        <v>60</v>
      </c>
      <c r="F316" s="65">
        <f t="shared" si="12"/>
        <v>25</v>
      </c>
      <c r="G316" s="57" t="s">
        <v>484</v>
      </c>
      <c r="H316" s="55" t="s">
        <v>482</v>
      </c>
    </row>
    <row r="317" spans="1:8">
      <c r="A317" s="77">
        <v>43948</v>
      </c>
      <c r="B317" s="55" t="s">
        <v>139</v>
      </c>
      <c r="C317" s="58">
        <v>1</v>
      </c>
      <c r="D317" s="65">
        <v>20</v>
      </c>
      <c r="E317" s="65">
        <v>40</v>
      </c>
      <c r="F317" s="65">
        <f t="shared" si="12"/>
        <v>20</v>
      </c>
      <c r="G317" s="57" t="s">
        <v>484</v>
      </c>
      <c r="H317" s="55" t="s">
        <v>482</v>
      </c>
    </row>
    <row r="318" spans="1:8">
      <c r="A318" s="77">
        <v>43948</v>
      </c>
      <c r="B318" s="55" t="s">
        <v>166</v>
      </c>
      <c r="C318" s="58">
        <v>1</v>
      </c>
      <c r="D318" s="65">
        <v>3</v>
      </c>
      <c r="E318" s="65">
        <v>15</v>
      </c>
      <c r="F318" s="65">
        <f t="shared" si="12"/>
        <v>12</v>
      </c>
      <c r="G318" s="57" t="s">
        <v>484</v>
      </c>
      <c r="H318" s="55" t="s">
        <v>482</v>
      </c>
    </row>
    <row r="319" spans="1:8">
      <c r="A319" s="77">
        <v>43948</v>
      </c>
      <c r="B319" s="55" t="s">
        <v>166</v>
      </c>
      <c r="C319" s="58">
        <v>1</v>
      </c>
      <c r="D319" s="50">
        <v>3</v>
      </c>
      <c r="E319" s="63">
        <v>15</v>
      </c>
      <c r="F319" s="65">
        <f t="shared" si="12"/>
        <v>12</v>
      </c>
      <c r="G319" s="57" t="s">
        <v>484</v>
      </c>
      <c r="H319" s="55" t="s">
        <v>482</v>
      </c>
    </row>
    <row r="320" spans="1:8">
      <c r="A320" s="77">
        <v>43948</v>
      </c>
      <c r="B320" s="55" t="s">
        <v>161</v>
      </c>
      <c r="C320" s="58">
        <v>1</v>
      </c>
      <c r="D320" s="50">
        <v>15</v>
      </c>
      <c r="E320" s="63">
        <v>35</v>
      </c>
      <c r="F320" s="65">
        <f t="shared" si="12"/>
        <v>20</v>
      </c>
      <c r="G320" s="57" t="s">
        <v>484</v>
      </c>
      <c r="H320" s="55" t="s">
        <v>482</v>
      </c>
    </row>
    <row r="321" spans="1:8">
      <c r="A321" s="77">
        <v>43948</v>
      </c>
      <c r="B321" s="55" t="s">
        <v>201</v>
      </c>
      <c r="C321" s="58">
        <v>1</v>
      </c>
      <c r="D321" s="50">
        <v>0</v>
      </c>
      <c r="E321" s="63">
        <v>40</v>
      </c>
      <c r="F321" s="65">
        <f t="shared" si="12"/>
        <v>40</v>
      </c>
      <c r="G321" s="57" t="s">
        <v>484</v>
      </c>
      <c r="H321" s="55" t="s">
        <v>482</v>
      </c>
    </row>
    <row r="322" spans="1:8">
      <c r="A322" s="77">
        <v>43949</v>
      </c>
      <c r="B322" s="55" t="s">
        <v>146</v>
      </c>
      <c r="C322" s="58">
        <v>1</v>
      </c>
      <c r="D322" s="65">
        <v>24</v>
      </c>
      <c r="E322" s="65">
        <v>50</v>
      </c>
      <c r="F322" s="65">
        <f t="shared" si="12"/>
        <v>26</v>
      </c>
      <c r="G322" s="57" t="s">
        <v>484</v>
      </c>
      <c r="H322" s="55" t="s">
        <v>482</v>
      </c>
    </row>
    <row r="323" spans="1:8">
      <c r="A323" s="77">
        <v>43949</v>
      </c>
      <c r="B323" s="55" t="s">
        <v>146</v>
      </c>
      <c r="C323" s="58">
        <v>1</v>
      </c>
      <c r="D323" s="65">
        <v>24</v>
      </c>
      <c r="E323" s="65">
        <v>50</v>
      </c>
      <c r="F323" s="65">
        <f t="shared" si="12"/>
        <v>26</v>
      </c>
      <c r="G323" s="57" t="s">
        <v>484</v>
      </c>
      <c r="H323" s="55" t="s">
        <v>482</v>
      </c>
    </row>
    <row r="324" spans="1:8">
      <c r="A324" s="77">
        <v>43949</v>
      </c>
      <c r="B324" s="55" t="s">
        <v>126</v>
      </c>
      <c r="C324" s="58">
        <v>1</v>
      </c>
      <c r="D324" s="65">
        <v>30</v>
      </c>
      <c r="E324" s="65">
        <v>50</v>
      </c>
      <c r="F324" s="65">
        <f t="shared" si="12"/>
        <v>20</v>
      </c>
      <c r="G324" s="57" t="s">
        <v>484</v>
      </c>
      <c r="H324" s="55" t="s">
        <v>482</v>
      </c>
    </row>
    <row r="325" spans="1:8">
      <c r="A325" s="77">
        <v>43949</v>
      </c>
      <c r="B325" s="55" t="s">
        <v>181</v>
      </c>
      <c r="C325" s="58">
        <v>1</v>
      </c>
      <c r="D325" s="50">
        <v>18</v>
      </c>
      <c r="E325" s="63">
        <v>35</v>
      </c>
      <c r="F325" s="65">
        <f t="shared" si="12"/>
        <v>17</v>
      </c>
      <c r="G325" s="57" t="s">
        <v>484</v>
      </c>
      <c r="H325" s="55" t="s">
        <v>482</v>
      </c>
    </row>
    <row r="326" spans="1:8">
      <c r="A326" s="77">
        <v>43949</v>
      </c>
      <c r="B326" s="55" t="s">
        <v>197</v>
      </c>
      <c r="C326" s="58">
        <v>1</v>
      </c>
      <c r="D326" s="65">
        <v>7</v>
      </c>
      <c r="E326" s="65">
        <v>15</v>
      </c>
      <c r="F326" s="65">
        <f t="shared" si="12"/>
        <v>8</v>
      </c>
      <c r="G326" s="57" t="s">
        <v>484</v>
      </c>
      <c r="H326" s="55" t="s">
        <v>482</v>
      </c>
    </row>
    <row r="327" spans="1:8">
      <c r="A327" s="77">
        <v>43949</v>
      </c>
      <c r="B327" s="55" t="s">
        <v>197</v>
      </c>
      <c r="C327" s="58">
        <v>1</v>
      </c>
      <c r="D327" s="70">
        <v>7</v>
      </c>
      <c r="E327" s="65">
        <v>15</v>
      </c>
      <c r="F327" s="65">
        <f t="shared" si="12"/>
        <v>8</v>
      </c>
      <c r="G327" s="57" t="s">
        <v>484</v>
      </c>
      <c r="H327" s="55" t="s">
        <v>482</v>
      </c>
    </row>
    <row r="328" spans="1:8">
      <c r="A328" s="77">
        <v>43950</v>
      </c>
      <c r="B328" s="55" t="s">
        <v>202</v>
      </c>
      <c r="C328" s="58">
        <v>1</v>
      </c>
      <c r="D328" s="65">
        <v>5</v>
      </c>
      <c r="E328" s="65">
        <v>15</v>
      </c>
      <c r="F328" s="65">
        <f t="shared" si="12"/>
        <v>10</v>
      </c>
      <c r="G328" s="57" t="s">
        <v>484</v>
      </c>
      <c r="H328" s="55" t="s">
        <v>482</v>
      </c>
    </row>
    <row r="329" spans="1:8">
      <c r="A329" s="77">
        <v>43950</v>
      </c>
      <c r="B329" s="55" t="s">
        <v>197</v>
      </c>
      <c r="C329" s="58">
        <v>1</v>
      </c>
      <c r="D329" s="65">
        <v>7</v>
      </c>
      <c r="E329" s="65">
        <v>11</v>
      </c>
      <c r="F329" s="65">
        <f t="shared" si="12"/>
        <v>4</v>
      </c>
      <c r="G329" s="57" t="s">
        <v>484</v>
      </c>
      <c r="H329" s="55" t="s">
        <v>482</v>
      </c>
    </row>
    <row r="330" spans="1:8">
      <c r="A330" s="77">
        <v>43950</v>
      </c>
      <c r="B330" s="55" t="s">
        <v>197</v>
      </c>
      <c r="C330" s="58">
        <v>1</v>
      </c>
      <c r="D330" s="65">
        <v>7</v>
      </c>
      <c r="E330" s="65">
        <v>11</v>
      </c>
      <c r="F330" s="65">
        <f t="shared" si="12"/>
        <v>4</v>
      </c>
      <c r="G330" s="57" t="s">
        <v>484</v>
      </c>
      <c r="H330" s="55" t="s">
        <v>482</v>
      </c>
    </row>
    <row r="331" spans="1:8">
      <c r="A331" s="77">
        <v>43950</v>
      </c>
      <c r="B331" s="55" t="s">
        <v>197</v>
      </c>
      <c r="C331" s="58">
        <v>1</v>
      </c>
      <c r="D331" s="65">
        <v>7</v>
      </c>
      <c r="E331" s="65">
        <v>11</v>
      </c>
      <c r="F331" s="65">
        <f t="shared" si="12"/>
        <v>4</v>
      </c>
      <c r="G331" s="57" t="s">
        <v>484</v>
      </c>
      <c r="H331" s="55" t="s">
        <v>482</v>
      </c>
    </row>
    <row r="332" spans="1:8">
      <c r="A332" s="77">
        <v>43950</v>
      </c>
      <c r="B332" s="55" t="s">
        <v>203</v>
      </c>
      <c r="C332" s="58">
        <v>1</v>
      </c>
      <c r="D332" s="65">
        <v>28</v>
      </c>
      <c r="E332" s="65">
        <v>70</v>
      </c>
      <c r="F332" s="65">
        <f t="shared" si="12"/>
        <v>42</v>
      </c>
      <c r="G332" s="57" t="s">
        <v>484</v>
      </c>
      <c r="H332" s="55" t="s">
        <v>482</v>
      </c>
    </row>
    <row r="333" spans="1:8">
      <c r="A333" s="77">
        <v>43950</v>
      </c>
      <c r="B333" s="55" t="s">
        <v>54</v>
      </c>
      <c r="C333" s="58">
        <v>1</v>
      </c>
      <c r="D333" s="65">
        <v>18</v>
      </c>
      <c r="E333" s="65">
        <v>40</v>
      </c>
      <c r="F333" s="65">
        <f t="shared" si="12"/>
        <v>22</v>
      </c>
      <c r="G333" s="57" t="s">
        <v>484</v>
      </c>
      <c r="H333" s="55" t="s">
        <v>482</v>
      </c>
    </row>
    <row r="334" spans="1:8">
      <c r="A334" s="77">
        <v>43950</v>
      </c>
      <c r="B334" s="56" t="s">
        <v>195</v>
      </c>
      <c r="C334" s="58">
        <v>1</v>
      </c>
      <c r="D334" s="50">
        <v>24</v>
      </c>
      <c r="E334" s="63">
        <v>60</v>
      </c>
      <c r="F334" s="65">
        <f t="shared" si="12"/>
        <v>36</v>
      </c>
      <c r="G334" s="57" t="s">
        <v>484</v>
      </c>
      <c r="H334" s="55" t="s">
        <v>482</v>
      </c>
    </row>
    <row r="335" spans="1:8">
      <c r="A335" s="77">
        <v>43950</v>
      </c>
      <c r="B335" s="55" t="s">
        <v>168</v>
      </c>
      <c r="C335" s="58">
        <v>1</v>
      </c>
      <c r="D335" s="50">
        <v>12</v>
      </c>
      <c r="E335" s="63">
        <v>35</v>
      </c>
      <c r="F335" s="65">
        <f t="shared" si="12"/>
        <v>23</v>
      </c>
      <c r="G335" s="57" t="s">
        <v>484</v>
      </c>
      <c r="H335" s="55" t="s">
        <v>482</v>
      </c>
    </row>
    <row r="336" spans="1:8">
      <c r="A336" s="77">
        <v>43950</v>
      </c>
      <c r="B336" s="55" t="s">
        <v>205</v>
      </c>
      <c r="C336" s="58">
        <v>1</v>
      </c>
      <c r="D336" s="65">
        <v>12</v>
      </c>
      <c r="E336" s="65">
        <v>30</v>
      </c>
      <c r="F336" s="65">
        <f t="shared" si="12"/>
        <v>18</v>
      </c>
      <c r="G336" s="57" t="s">
        <v>484</v>
      </c>
      <c r="H336" s="55" t="s">
        <v>482</v>
      </c>
    </row>
    <row r="337" spans="1:8">
      <c r="A337" s="77">
        <v>43950</v>
      </c>
      <c r="B337" s="55" t="s">
        <v>202</v>
      </c>
      <c r="C337" s="58">
        <v>1</v>
      </c>
      <c r="D337" s="65">
        <v>5</v>
      </c>
      <c r="E337" s="65">
        <v>20</v>
      </c>
      <c r="F337" s="65">
        <f t="shared" ref="F337:F349" si="13">E337-D337</f>
        <v>15</v>
      </c>
      <c r="G337" s="57" t="s">
        <v>484</v>
      </c>
      <c r="H337" s="55" t="s">
        <v>482</v>
      </c>
    </row>
    <row r="338" spans="1:8">
      <c r="A338" s="77">
        <v>43951</v>
      </c>
      <c r="B338" s="55" t="s">
        <v>209</v>
      </c>
      <c r="C338" s="58">
        <v>1</v>
      </c>
      <c r="D338" s="65">
        <v>31</v>
      </c>
      <c r="E338" s="65">
        <v>60</v>
      </c>
      <c r="F338" s="65">
        <f t="shared" si="13"/>
        <v>29</v>
      </c>
      <c r="G338" s="57" t="s">
        <v>484</v>
      </c>
      <c r="H338" s="55" t="s">
        <v>482</v>
      </c>
    </row>
    <row r="339" spans="1:8">
      <c r="A339" s="77">
        <v>43951</v>
      </c>
      <c r="B339" s="55" t="s">
        <v>202</v>
      </c>
      <c r="C339" s="58">
        <v>1</v>
      </c>
      <c r="D339" s="65">
        <v>5</v>
      </c>
      <c r="E339" s="65">
        <v>20</v>
      </c>
      <c r="F339" s="65">
        <f t="shared" si="13"/>
        <v>15</v>
      </c>
      <c r="G339" s="57" t="s">
        <v>484</v>
      </c>
      <c r="H339" s="55" t="s">
        <v>482</v>
      </c>
    </row>
    <row r="340" spans="1:8">
      <c r="A340" s="77">
        <v>43951</v>
      </c>
      <c r="B340" s="55" t="s">
        <v>208</v>
      </c>
      <c r="C340" s="58">
        <v>1</v>
      </c>
      <c r="D340" s="65">
        <v>25</v>
      </c>
      <c r="E340" s="65">
        <v>40</v>
      </c>
      <c r="F340" s="65">
        <f t="shared" si="13"/>
        <v>15</v>
      </c>
      <c r="G340" s="57" t="s">
        <v>484</v>
      </c>
      <c r="H340" s="55" t="s">
        <v>482</v>
      </c>
    </row>
    <row r="341" spans="1:8">
      <c r="A341" s="77">
        <v>43951</v>
      </c>
      <c r="B341" s="55" t="s">
        <v>208</v>
      </c>
      <c r="C341" s="58">
        <v>1</v>
      </c>
      <c r="D341" s="65">
        <v>25</v>
      </c>
      <c r="E341" s="65">
        <v>40</v>
      </c>
      <c r="F341" s="65">
        <f t="shared" si="13"/>
        <v>15</v>
      </c>
      <c r="G341" s="57" t="s">
        <v>484</v>
      </c>
      <c r="H341" s="55" t="s">
        <v>482</v>
      </c>
    </row>
    <row r="342" spans="1:8">
      <c r="A342" s="77">
        <v>43951</v>
      </c>
      <c r="B342" s="55" t="s">
        <v>175</v>
      </c>
      <c r="C342" s="58">
        <v>1</v>
      </c>
      <c r="D342" s="65">
        <v>23</v>
      </c>
      <c r="E342" s="65">
        <v>40</v>
      </c>
      <c r="F342" s="65">
        <f t="shared" si="13"/>
        <v>17</v>
      </c>
      <c r="G342" s="57" t="s">
        <v>484</v>
      </c>
      <c r="H342" s="55" t="s">
        <v>482</v>
      </c>
    </row>
    <row r="343" spans="1:8">
      <c r="A343" s="77">
        <v>43951</v>
      </c>
      <c r="B343" s="55" t="s">
        <v>175</v>
      </c>
      <c r="C343" s="58">
        <v>1</v>
      </c>
      <c r="D343" s="65">
        <v>23</v>
      </c>
      <c r="E343" s="65">
        <v>40</v>
      </c>
      <c r="F343" s="65">
        <f t="shared" si="13"/>
        <v>17</v>
      </c>
      <c r="G343" s="57" t="s">
        <v>484</v>
      </c>
      <c r="H343" s="55" t="s">
        <v>482</v>
      </c>
    </row>
    <row r="344" spans="1:8">
      <c r="A344" s="77">
        <v>43951</v>
      </c>
      <c r="B344" s="55" t="s">
        <v>175</v>
      </c>
      <c r="C344" s="58">
        <v>1</v>
      </c>
      <c r="D344" s="65">
        <v>23</v>
      </c>
      <c r="E344" s="65">
        <v>40</v>
      </c>
      <c r="F344" s="65">
        <f t="shared" si="13"/>
        <v>17</v>
      </c>
      <c r="G344" s="57" t="s">
        <v>484</v>
      </c>
      <c r="H344" s="55" t="s">
        <v>482</v>
      </c>
    </row>
    <row r="345" spans="1:8">
      <c r="A345" s="77">
        <v>43951</v>
      </c>
      <c r="B345" s="55" t="s">
        <v>210</v>
      </c>
      <c r="C345" s="58">
        <v>1</v>
      </c>
      <c r="D345" s="65">
        <v>17</v>
      </c>
      <c r="E345" s="65">
        <v>30</v>
      </c>
      <c r="F345" s="65">
        <f t="shared" si="13"/>
        <v>13</v>
      </c>
      <c r="G345" s="57" t="s">
        <v>484</v>
      </c>
      <c r="H345" s="55" t="s">
        <v>482</v>
      </c>
    </row>
    <row r="346" spans="1:8">
      <c r="A346" s="77">
        <v>43951</v>
      </c>
      <c r="B346" s="55" t="s">
        <v>211</v>
      </c>
      <c r="C346" s="58">
        <v>1</v>
      </c>
      <c r="D346" s="65">
        <v>5</v>
      </c>
      <c r="E346" s="65">
        <v>15</v>
      </c>
      <c r="F346" s="65">
        <f t="shared" si="13"/>
        <v>10</v>
      </c>
      <c r="G346" s="57" t="s">
        <v>484</v>
      </c>
      <c r="H346" s="55" t="s">
        <v>482</v>
      </c>
    </row>
    <row r="347" spans="1:8">
      <c r="A347" s="77">
        <v>43951</v>
      </c>
      <c r="B347" s="56" t="s">
        <v>182</v>
      </c>
      <c r="C347" s="58">
        <v>1</v>
      </c>
      <c r="D347" s="50">
        <v>65</v>
      </c>
      <c r="E347" s="63">
        <v>130</v>
      </c>
      <c r="F347" s="65">
        <f t="shared" si="13"/>
        <v>65</v>
      </c>
      <c r="G347" s="57" t="s">
        <v>484</v>
      </c>
      <c r="H347" s="55" t="s">
        <v>482</v>
      </c>
    </row>
    <row r="348" spans="1:8">
      <c r="A348" s="77">
        <v>43951</v>
      </c>
      <c r="B348" s="55" t="s">
        <v>204</v>
      </c>
      <c r="C348" s="58">
        <v>1</v>
      </c>
      <c r="D348" s="65">
        <v>7.5</v>
      </c>
      <c r="E348" s="65">
        <v>10</v>
      </c>
      <c r="F348" s="65">
        <f t="shared" si="13"/>
        <v>2.5</v>
      </c>
      <c r="G348" s="57" t="s">
        <v>484</v>
      </c>
      <c r="H348" s="55" t="s">
        <v>482</v>
      </c>
    </row>
    <row r="349" spans="1:8">
      <c r="A349" s="77">
        <v>43951</v>
      </c>
      <c r="B349" s="55" t="s">
        <v>207</v>
      </c>
      <c r="C349" s="58">
        <v>1</v>
      </c>
      <c r="D349" s="65">
        <v>28</v>
      </c>
      <c r="E349" s="65">
        <v>60</v>
      </c>
      <c r="F349" s="65">
        <f t="shared" si="13"/>
        <v>32</v>
      </c>
      <c r="G349" s="57" t="s">
        <v>484</v>
      </c>
      <c r="H349" s="55" t="s">
        <v>482</v>
      </c>
    </row>
    <row r="350" spans="1:8">
      <c r="A350" s="77">
        <v>43979</v>
      </c>
      <c r="B350" s="55" t="s">
        <v>219</v>
      </c>
      <c r="C350" s="58">
        <v>1</v>
      </c>
      <c r="D350" s="65">
        <v>26</v>
      </c>
      <c r="E350" s="65">
        <v>50</v>
      </c>
      <c r="F350" s="74">
        <f t="shared" ref="F350:F413" si="14">E350-D350</f>
        <v>24</v>
      </c>
      <c r="G350" s="57" t="s">
        <v>484</v>
      </c>
      <c r="H350" s="55" t="s">
        <v>482</v>
      </c>
    </row>
    <row r="351" spans="1:8">
      <c r="A351" s="77">
        <v>43979</v>
      </c>
      <c r="B351" s="55" t="s">
        <v>239</v>
      </c>
      <c r="C351" s="58">
        <v>1</v>
      </c>
      <c r="D351" s="65">
        <v>4</v>
      </c>
      <c r="E351" s="65">
        <v>15</v>
      </c>
      <c r="F351" s="74">
        <f t="shared" si="14"/>
        <v>11</v>
      </c>
      <c r="G351" s="57" t="s">
        <v>484</v>
      </c>
      <c r="H351" s="55" t="s">
        <v>482</v>
      </c>
    </row>
    <row r="352" spans="1:8">
      <c r="A352" s="77">
        <v>43979</v>
      </c>
      <c r="B352" s="55" t="s">
        <v>207</v>
      </c>
      <c r="C352" s="58">
        <v>1</v>
      </c>
      <c r="D352" s="65">
        <v>31</v>
      </c>
      <c r="E352" s="65">
        <v>80</v>
      </c>
      <c r="F352" s="74">
        <f t="shared" si="14"/>
        <v>49</v>
      </c>
      <c r="G352" s="57" t="s">
        <v>484</v>
      </c>
      <c r="H352" s="55" t="s">
        <v>482</v>
      </c>
    </row>
    <row r="353" spans="1:8">
      <c r="A353" s="77">
        <v>43979</v>
      </c>
      <c r="B353" s="55" t="s">
        <v>283</v>
      </c>
      <c r="C353" s="58">
        <v>1</v>
      </c>
      <c r="D353" s="65">
        <v>20</v>
      </c>
      <c r="E353" s="65">
        <v>40</v>
      </c>
      <c r="F353" s="74">
        <f t="shared" si="14"/>
        <v>20</v>
      </c>
      <c r="G353" s="57" t="s">
        <v>484</v>
      </c>
      <c r="H353" s="55" t="s">
        <v>482</v>
      </c>
    </row>
    <row r="354" spans="1:8">
      <c r="A354" s="77">
        <v>43979</v>
      </c>
      <c r="B354" s="55" t="s">
        <v>169</v>
      </c>
      <c r="C354" s="58">
        <v>1</v>
      </c>
      <c r="D354" s="65">
        <v>20</v>
      </c>
      <c r="E354" s="65">
        <v>60</v>
      </c>
      <c r="F354" s="74">
        <f t="shared" si="14"/>
        <v>40</v>
      </c>
      <c r="G354" s="57" t="s">
        <v>484</v>
      </c>
      <c r="H354" s="55" t="s">
        <v>482</v>
      </c>
    </row>
    <row r="355" spans="1:8">
      <c r="A355" s="77">
        <v>43978</v>
      </c>
      <c r="B355" s="55" t="s">
        <v>241</v>
      </c>
      <c r="C355" s="58">
        <v>1</v>
      </c>
      <c r="D355" s="65">
        <v>15</v>
      </c>
      <c r="E355" s="65">
        <v>40</v>
      </c>
      <c r="F355" s="65">
        <f t="shared" si="14"/>
        <v>25</v>
      </c>
      <c r="G355" s="57" t="s">
        <v>484</v>
      </c>
      <c r="H355" s="55" t="s">
        <v>482</v>
      </c>
    </row>
    <row r="356" spans="1:8">
      <c r="A356" s="77">
        <v>43978</v>
      </c>
      <c r="B356" s="55" t="s">
        <v>166</v>
      </c>
      <c r="C356" s="58">
        <v>1</v>
      </c>
      <c r="D356" s="65">
        <v>2.64</v>
      </c>
      <c r="E356" s="65">
        <v>20</v>
      </c>
      <c r="F356" s="65">
        <f t="shared" si="14"/>
        <v>17.36</v>
      </c>
      <c r="G356" s="57" t="s">
        <v>484</v>
      </c>
      <c r="H356" s="55" t="s">
        <v>482</v>
      </c>
    </row>
    <row r="357" spans="1:8">
      <c r="A357" s="77">
        <v>43978</v>
      </c>
      <c r="B357" s="55" t="s">
        <v>219</v>
      </c>
      <c r="C357" s="58">
        <v>1</v>
      </c>
      <c r="D357" s="65">
        <v>26</v>
      </c>
      <c r="E357" s="65">
        <v>70</v>
      </c>
      <c r="F357" s="65">
        <f t="shared" si="14"/>
        <v>44</v>
      </c>
      <c r="G357" s="57" t="s">
        <v>484</v>
      </c>
      <c r="H357" s="55" t="s">
        <v>482</v>
      </c>
    </row>
    <row r="358" spans="1:8">
      <c r="A358" s="77">
        <v>43978</v>
      </c>
      <c r="B358" s="55" t="s">
        <v>202</v>
      </c>
      <c r="C358" s="58">
        <v>1</v>
      </c>
      <c r="D358" s="65">
        <v>5</v>
      </c>
      <c r="E358" s="65">
        <v>30</v>
      </c>
      <c r="F358" s="65">
        <f t="shared" si="14"/>
        <v>25</v>
      </c>
      <c r="G358" s="57" t="s">
        <v>484</v>
      </c>
      <c r="H358" s="55" t="s">
        <v>482</v>
      </c>
    </row>
    <row r="359" spans="1:8">
      <c r="A359" s="77">
        <v>43978</v>
      </c>
      <c r="B359" s="55" t="s">
        <v>281</v>
      </c>
      <c r="C359" s="58">
        <v>1</v>
      </c>
      <c r="D359" s="65">
        <v>16.920000000000002</v>
      </c>
      <c r="E359" s="65">
        <v>110</v>
      </c>
      <c r="F359" s="65">
        <f t="shared" si="14"/>
        <v>93.08</v>
      </c>
      <c r="G359" s="57" t="s">
        <v>484</v>
      </c>
      <c r="H359" s="55" t="s">
        <v>482</v>
      </c>
    </row>
    <row r="360" spans="1:8">
      <c r="A360" s="77">
        <v>43966</v>
      </c>
      <c r="B360" s="55" t="s">
        <v>251</v>
      </c>
      <c r="C360" s="58">
        <v>1</v>
      </c>
      <c r="D360" s="65">
        <v>6.5</v>
      </c>
      <c r="E360" s="65">
        <v>10</v>
      </c>
      <c r="F360" s="65">
        <f t="shared" si="14"/>
        <v>3.5</v>
      </c>
      <c r="G360" s="57" t="s">
        <v>484</v>
      </c>
      <c r="H360" s="55" t="s">
        <v>482</v>
      </c>
    </row>
    <row r="361" spans="1:8">
      <c r="A361" s="77">
        <v>43966</v>
      </c>
      <c r="B361" s="55" t="s">
        <v>251</v>
      </c>
      <c r="C361" s="58">
        <v>1</v>
      </c>
      <c r="D361" s="65">
        <v>6.5</v>
      </c>
      <c r="E361" s="65">
        <v>10</v>
      </c>
      <c r="F361" s="65">
        <f t="shared" si="14"/>
        <v>3.5</v>
      </c>
      <c r="G361" s="57" t="s">
        <v>484</v>
      </c>
      <c r="H361" s="55" t="s">
        <v>482</v>
      </c>
    </row>
    <row r="362" spans="1:8">
      <c r="A362" s="77">
        <v>43966</v>
      </c>
      <c r="B362" s="55" t="s">
        <v>260</v>
      </c>
      <c r="C362" s="58">
        <v>1</v>
      </c>
      <c r="D362" s="65">
        <v>15</v>
      </c>
      <c r="E362" s="65">
        <v>30</v>
      </c>
      <c r="F362" s="65">
        <f t="shared" si="14"/>
        <v>15</v>
      </c>
      <c r="G362" s="57" t="s">
        <v>484</v>
      </c>
      <c r="H362" s="55" t="s">
        <v>482</v>
      </c>
    </row>
    <row r="363" spans="1:8">
      <c r="A363" s="77">
        <v>43959</v>
      </c>
      <c r="B363" s="55" t="s">
        <v>206</v>
      </c>
      <c r="C363" s="58">
        <v>1</v>
      </c>
      <c r="D363" s="65">
        <v>10</v>
      </c>
      <c r="E363" s="65">
        <v>15</v>
      </c>
      <c r="F363" s="65">
        <f t="shared" si="14"/>
        <v>5</v>
      </c>
      <c r="G363" s="57" t="s">
        <v>484</v>
      </c>
      <c r="H363" s="55" t="s">
        <v>482</v>
      </c>
    </row>
    <row r="364" spans="1:8">
      <c r="A364" s="77">
        <v>43959</v>
      </c>
      <c r="B364" s="55" t="s">
        <v>206</v>
      </c>
      <c r="C364" s="58">
        <v>1</v>
      </c>
      <c r="D364" s="65">
        <v>10</v>
      </c>
      <c r="E364" s="65">
        <v>15</v>
      </c>
      <c r="F364" s="65">
        <f t="shared" si="14"/>
        <v>5</v>
      </c>
      <c r="G364" s="57" t="s">
        <v>484</v>
      </c>
      <c r="H364" s="55" t="s">
        <v>482</v>
      </c>
    </row>
    <row r="365" spans="1:8">
      <c r="A365" s="77">
        <v>43953</v>
      </c>
      <c r="B365" s="55" t="s">
        <v>210</v>
      </c>
      <c r="C365" s="58">
        <v>1</v>
      </c>
      <c r="D365" s="65">
        <v>17</v>
      </c>
      <c r="E365" s="65">
        <v>40</v>
      </c>
      <c r="F365" s="65">
        <f t="shared" si="14"/>
        <v>23</v>
      </c>
      <c r="G365" s="57" t="s">
        <v>484</v>
      </c>
      <c r="H365" s="55" t="s">
        <v>482</v>
      </c>
    </row>
    <row r="366" spans="1:8">
      <c r="A366" s="77">
        <v>43954</v>
      </c>
      <c r="B366" s="55" t="s">
        <v>210</v>
      </c>
      <c r="C366" s="58">
        <v>1</v>
      </c>
      <c r="D366" s="65">
        <v>17</v>
      </c>
      <c r="E366" s="65">
        <v>30</v>
      </c>
      <c r="F366" s="65">
        <f t="shared" si="14"/>
        <v>13</v>
      </c>
      <c r="G366" s="57" t="s">
        <v>484</v>
      </c>
      <c r="H366" s="55" t="s">
        <v>482</v>
      </c>
    </row>
    <row r="367" spans="1:8">
      <c r="A367" s="77">
        <v>43957</v>
      </c>
      <c r="B367" s="55" t="s">
        <v>210</v>
      </c>
      <c r="C367" s="58">
        <v>1</v>
      </c>
      <c r="D367" s="65">
        <v>17</v>
      </c>
      <c r="E367" s="65">
        <v>30</v>
      </c>
      <c r="F367" s="65">
        <f t="shared" si="14"/>
        <v>13</v>
      </c>
      <c r="G367" s="57" t="s">
        <v>484</v>
      </c>
      <c r="H367" s="55" t="s">
        <v>482</v>
      </c>
    </row>
    <row r="368" spans="1:8">
      <c r="A368" s="77">
        <v>43959</v>
      </c>
      <c r="B368" s="55" t="s">
        <v>210</v>
      </c>
      <c r="C368" s="58">
        <v>1</v>
      </c>
      <c r="D368" s="65">
        <v>17</v>
      </c>
      <c r="E368" s="65">
        <v>30</v>
      </c>
      <c r="F368" s="65">
        <f t="shared" si="14"/>
        <v>13</v>
      </c>
      <c r="G368" s="57" t="s">
        <v>484</v>
      </c>
      <c r="H368" s="55" t="s">
        <v>482</v>
      </c>
    </row>
    <row r="369" spans="1:8">
      <c r="A369" s="77">
        <v>43961</v>
      </c>
      <c r="B369" s="55" t="s">
        <v>210</v>
      </c>
      <c r="C369" s="58">
        <v>1</v>
      </c>
      <c r="D369" s="65">
        <v>17</v>
      </c>
      <c r="E369" s="65">
        <v>30</v>
      </c>
      <c r="F369" s="65">
        <f t="shared" si="14"/>
        <v>13</v>
      </c>
      <c r="G369" s="57" t="s">
        <v>484</v>
      </c>
      <c r="H369" s="55" t="s">
        <v>482</v>
      </c>
    </row>
    <row r="370" spans="1:8">
      <c r="A370" s="77">
        <v>43961</v>
      </c>
      <c r="B370" s="55" t="s">
        <v>210</v>
      </c>
      <c r="C370" s="58">
        <v>1</v>
      </c>
      <c r="D370" s="65">
        <v>17</v>
      </c>
      <c r="E370" s="65">
        <v>35</v>
      </c>
      <c r="F370" s="65">
        <f t="shared" si="14"/>
        <v>18</v>
      </c>
      <c r="G370" s="57" t="s">
        <v>484</v>
      </c>
      <c r="H370" s="55" t="s">
        <v>482</v>
      </c>
    </row>
    <row r="371" spans="1:8">
      <c r="A371" s="77">
        <v>43968</v>
      </c>
      <c r="B371" s="55" t="s">
        <v>210</v>
      </c>
      <c r="C371" s="58">
        <v>1</v>
      </c>
      <c r="D371" s="65">
        <v>17</v>
      </c>
      <c r="E371" s="65">
        <v>30</v>
      </c>
      <c r="F371" s="65">
        <f t="shared" si="14"/>
        <v>13</v>
      </c>
      <c r="G371" s="57" t="s">
        <v>484</v>
      </c>
      <c r="H371" s="55" t="s">
        <v>482</v>
      </c>
    </row>
    <row r="372" spans="1:8">
      <c r="A372" s="77">
        <v>43969</v>
      </c>
      <c r="B372" s="55" t="s">
        <v>210</v>
      </c>
      <c r="C372" s="58">
        <v>1</v>
      </c>
      <c r="D372" s="65">
        <v>17</v>
      </c>
      <c r="E372" s="65">
        <v>30</v>
      </c>
      <c r="F372" s="65">
        <f t="shared" si="14"/>
        <v>13</v>
      </c>
      <c r="G372" s="57" t="s">
        <v>484</v>
      </c>
      <c r="H372" s="55" t="s">
        <v>482</v>
      </c>
    </row>
    <row r="373" spans="1:8">
      <c r="A373" s="77">
        <v>43974</v>
      </c>
      <c r="B373" s="55" t="s">
        <v>210</v>
      </c>
      <c r="C373" s="58">
        <v>1</v>
      </c>
      <c r="D373" s="65">
        <v>17</v>
      </c>
      <c r="E373" s="65">
        <v>40</v>
      </c>
      <c r="F373" s="65">
        <f t="shared" si="14"/>
        <v>23</v>
      </c>
      <c r="G373" s="57" t="s">
        <v>484</v>
      </c>
      <c r="H373" s="55" t="s">
        <v>482</v>
      </c>
    </row>
    <row r="374" spans="1:8">
      <c r="A374" s="77">
        <v>43974</v>
      </c>
      <c r="B374" s="55" t="s">
        <v>210</v>
      </c>
      <c r="C374" s="58">
        <v>1</v>
      </c>
      <c r="D374" s="65">
        <v>17</v>
      </c>
      <c r="E374" s="65">
        <v>30</v>
      </c>
      <c r="F374" s="65">
        <f t="shared" si="14"/>
        <v>13</v>
      </c>
      <c r="G374" s="57" t="s">
        <v>484</v>
      </c>
      <c r="H374" s="55" t="s">
        <v>482</v>
      </c>
    </row>
    <row r="375" spans="1:8">
      <c r="A375" s="77">
        <v>43966</v>
      </c>
      <c r="B375" s="55" t="s">
        <v>254</v>
      </c>
      <c r="C375" s="58">
        <v>1</v>
      </c>
      <c r="D375" s="65">
        <v>0</v>
      </c>
      <c r="E375" s="65">
        <v>80</v>
      </c>
      <c r="F375" s="65">
        <f t="shared" si="14"/>
        <v>80</v>
      </c>
      <c r="G375" s="57" t="s">
        <v>484</v>
      </c>
      <c r="H375" s="55" t="s">
        <v>482</v>
      </c>
    </row>
    <row r="376" spans="1:8">
      <c r="A376" s="77">
        <v>43955</v>
      </c>
      <c r="B376" s="55" t="s">
        <v>203</v>
      </c>
      <c r="C376" s="58">
        <v>1</v>
      </c>
      <c r="D376" s="65">
        <v>28</v>
      </c>
      <c r="E376" s="65">
        <v>70</v>
      </c>
      <c r="F376" s="65">
        <f t="shared" si="14"/>
        <v>42</v>
      </c>
      <c r="G376" s="57" t="s">
        <v>484</v>
      </c>
      <c r="H376" s="55" t="s">
        <v>482</v>
      </c>
    </row>
    <row r="377" spans="1:8">
      <c r="A377" s="77">
        <v>43955</v>
      </c>
      <c r="B377" s="55" t="s">
        <v>203</v>
      </c>
      <c r="C377" s="58">
        <v>1</v>
      </c>
      <c r="D377" s="65">
        <v>28</v>
      </c>
      <c r="E377" s="65">
        <v>50</v>
      </c>
      <c r="F377" s="65">
        <f t="shared" si="14"/>
        <v>22</v>
      </c>
      <c r="G377" s="57" t="s">
        <v>484</v>
      </c>
      <c r="H377" s="55" t="s">
        <v>482</v>
      </c>
    </row>
    <row r="378" spans="1:8">
      <c r="A378" s="77">
        <v>43956</v>
      </c>
      <c r="B378" s="55" t="s">
        <v>54</v>
      </c>
      <c r="C378" s="58">
        <v>1</v>
      </c>
      <c r="D378" s="65">
        <v>18</v>
      </c>
      <c r="E378" s="65">
        <v>45</v>
      </c>
      <c r="F378" s="65">
        <f t="shared" si="14"/>
        <v>27</v>
      </c>
      <c r="G378" s="57" t="s">
        <v>484</v>
      </c>
      <c r="H378" s="55" t="s">
        <v>482</v>
      </c>
    </row>
    <row r="379" spans="1:8">
      <c r="A379" s="77">
        <v>43958</v>
      </c>
      <c r="B379" s="55" t="s">
        <v>54</v>
      </c>
      <c r="C379" s="58">
        <v>1</v>
      </c>
      <c r="D379" s="65">
        <v>18</v>
      </c>
      <c r="E379" s="65">
        <v>40</v>
      </c>
      <c r="F379" s="65">
        <f t="shared" si="14"/>
        <v>22</v>
      </c>
      <c r="G379" s="57" t="s">
        <v>484</v>
      </c>
      <c r="H379" s="55" t="s">
        <v>482</v>
      </c>
    </row>
    <row r="380" spans="1:8">
      <c r="A380" s="77">
        <v>43958</v>
      </c>
      <c r="B380" s="55" t="s">
        <v>54</v>
      </c>
      <c r="C380" s="58">
        <v>1</v>
      </c>
      <c r="D380" s="65">
        <v>18</v>
      </c>
      <c r="E380" s="65">
        <v>40</v>
      </c>
      <c r="F380" s="65">
        <f t="shared" si="14"/>
        <v>22</v>
      </c>
      <c r="G380" s="57" t="s">
        <v>484</v>
      </c>
      <c r="H380" s="55" t="s">
        <v>482</v>
      </c>
    </row>
    <row r="381" spans="1:8">
      <c r="A381" s="77">
        <v>43959</v>
      </c>
      <c r="B381" s="55" t="s">
        <v>54</v>
      </c>
      <c r="C381" s="58">
        <v>1</v>
      </c>
      <c r="D381" s="65">
        <v>18</v>
      </c>
      <c r="E381" s="65">
        <v>40</v>
      </c>
      <c r="F381" s="65">
        <f t="shared" si="14"/>
        <v>22</v>
      </c>
      <c r="G381" s="57" t="s">
        <v>484</v>
      </c>
      <c r="H381" s="55" t="s">
        <v>482</v>
      </c>
    </row>
    <row r="382" spans="1:8">
      <c r="A382" s="77">
        <v>43960</v>
      </c>
      <c r="B382" s="55" t="s">
        <v>54</v>
      </c>
      <c r="C382" s="58">
        <v>1</v>
      </c>
      <c r="D382" s="65">
        <v>18</v>
      </c>
      <c r="E382" s="65">
        <v>40</v>
      </c>
      <c r="F382" s="65">
        <f t="shared" si="14"/>
        <v>22</v>
      </c>
      <c r="G382" s="57" t="s">
        <v>484</v>
      </c>
      <c r="H382" s="55" t="s">
        <v>482</v>
      </c>
    </row>
    <row r="383" spans="1:8">
      <c r="A383" s="77">
        <v>43966</v>
      </c>
      <c r="B383" s="55" t="s">
        <v>54</v>
      </c>
      <c r="C383" s="58">
        <v>1</v>
      </c>
      <c r="D383" s="65">
        <v>18</v>
      </c>
      <c r="E383" s="65">
        <v>35</v>
      </c>
      <c r="F383" s="65">
        <f t="shared" si="14"/>
        <v>17</v>
      </c>
      <c r="G383" s="57" t="s">
        <v>484</v>
      </c>
      <c r="H383" s="55" t="s">
        <v>482</v>
      </c>
    </row>
    <row r="384" spans="1:8">
      <c r="A384" s="77">
        <v>43966</v>
      </c>
      <c r="B384" s="55" t="s">
        <v>54</v>
      </c>
      <c r="C384" s="58">
        <v>1</v>
      </c>
      <c r="D384" s="65">
        <v>18</v>
      </c>
      <c r="E384" s="65">
        <v>40</v>
      </c>
      <c r="F384" s="65">
        <f t="shared" si="14"/>
        <v>22</v>
      </c>
      <c r="G384" s="57" t="s">
        <v>484</v>
      </c>
      <c r="H384" s="55" t="s">
        <v>482</v>
      </c>
    </row>
    <row r="385" spans="1:8">
      <c r="A385" s="77">
        <v>43959</v>
      </c>
      <c r="B385" s="55" t="s">
        <v>199</v>
      </c>
      <c r="C385" s="58">
        <v>1</v>
      </c>
      <c r="D385" s="65">
        <v>34</v>
      </c>
      <c r="E385" s="65">
        <v>60</v>
      </c>
      <c r="F385" s="65">
        <f t="shared" si="14"/>
        <v>26</v>
      </c>
      <c r="G385" s="57" t="s">
        <v>484</v>
      </c>
      <c r="H385" s="55" t="s">
        <v>482</v>
      </c>
    </row>
    <row r="386" spans="1:8">
      <c r="A386" s="77">
        <v>43959</v>
      </c>
      <c r="B386" s="55" t="s">
        <v>199</v>
      </c>
      <c r="C386" s="58">
        <v>1</v>
      </c>
      <c r="D386" s="65">
        <v>34</v>
      </c>
      <c r="E386" s="65">
        <v>60</v>
      </c>
      <c r="F386" s="65">
        <f t="shared" si="14"/>
        <v>26</v>
      </c>
      <c r="G386" s="57" t="s">
        <v>484</v>
      </c>
      <c r="H386" s="55" t="s">
        <v>482</v>
      </c>
    </row>
    <row r="387" spans="1:8">
      <c r="A387" s="77">
        <v>43960</v>
      </c>
      <c r="B387" s="55" t="s">
        <v>231</v>
      </c>
      <c r="C387" s="58">
        <v>1</v>
      </c>
      <c r="D387" s="65">
        <v>20</v>
      </c>
      <c r="E387" s="65">
        <v>35</v>
      </c>
      <c r="F387" s="65">
        <f t="shared" si="14"/>
        <v>15</v>
      </c>
      <c r="G387" s="57" t="s">
        <v>484</v>
      </c>
      <c r="H387" s="55" t="s">
        <v>482</v>
      </c>
    </row>
    <row r="388" spans="1:8">
      <c r="A388" s="77">
        <v>43960</v>
      </c>
      <c r="B388" s="55" t="s">
        <v>232</v>
      </c>
      <c r="C388" s="58">
        <v>1</v>
      </c>
      <c r="D388" s="65">
        <v>4</v>
      </c>
      <c r="E388" s="65">
        <v>15</v>
      </c>
      <c r="F388" s="65">
        <f t="shared" si="14"/>
        <v>11</v>
      </c>
      <c r="G388" s="57" t="s">
        <v>484</v>
      </c>
      <c r="H388" s="55" t="s">
        <v>482</v>
      </c>
    </row>
    <row r="389" spans="1:8">
      <c r="A389" s="77">
        <v>43953</v>
      </c>
      <c r="B389" s="55" t="s">
        <v>119</v>
      </c>
      <c r="C389" s="58">
        <v>1</v>
      </c>
      <c r="D389" s="65">
        <v>7.5</v>
      </c>
      <c r="E389" s="65">
        <v>20</v>
      </c>
      <c r="F389" s="65">
        <f t="shared" si="14"/>
        <v>12.5</v>
      </c>
      <c r="G389" s="57" t="s">
        <v>484</v>
      </c>
      <c r="H389" s="55" t="s">
        <v>482</v>
      </c>
    </row>
    <row r="390" spans="1:8">
      <c r="A390" s="77">
        <v>43954</v>
      </c>
      <c r="B390" s="55" t="s">
        <v>120</v>
      </c>
      <c r="C390" s="58">
        <v>1</v>
      </c>
      <c r="D390" s="65">
        <v>5</v>
      </c>
      <c r="E390" s="65">
        <v>15</v>
      </c>
      <c r="F390" s="65">
        <f t="shared" si="14"/>
        <v>10</v>
      </c>
      <c r="G390" s="57" t="s">
        <v>484</v>
      </c>
      <c r="H390" s="55" t="s">
        <v>482</v>
      </c>
    </row>
    <row r="391" spans="1:8">
      <c r="A391" s="77">
        <v>43955</v>
      </c>
      <c r="B391" s="55" t="s">
        <v>229</v>
      </c>
      <c r="C391" s="58">
        <v>1</v>
      </c>
      <c r="D391" s="65">
        <v>25</v>
      </c>
      <c r="E391" s="65">
        <v>45</v>
      </c>
      <c r="F391" s="65">
        <f t="shared" si="14"/>
        <v>20</v>
      </c>
      <c r="G391" s="57" t="s">
        <v>484</v>
      </c>
      <c r="H391" s="55" t="s">
        <v>482</v>
      </c>
    </row>
    <row r="392" spans="1:8">
      <c r="A392" s="77">
        <v>43955</v>
      </c>
      <c r="B392" s="55" t="s">
        <v>191</v>
      </c>
      <c r="C392" s="58">
        <v>1</v>
      </c>
      <c r="D392" s="65">
        <v>4</v>
      </c>
      <c r="E392" s="65">
        <v>15</v>
      </c>
      <c r="F392" s="65">
        <f t="shared" si="14"/>
        <v>11</v>
      </c>
      <c r="G392" s="57" t="s">
        <v>484</v>
      </c>
      <c r="H392" s="55" t="s">
        <v>482</v>
      </c>
    </row>
    <row r="393" spans="1:8">
      <c r="A393" s="77">
        <v>43966</v>
      </c>
      <c r="B393" s="55" t="s">
        <v>58</v>
      </c>
      <c r="C393" s="58">
        <v>1</v>
      </c>
      <c r="D393" s="65">
        <v>30</v>
      </c>
      <c r="E393" s="65">
        <v>50</v>
      </c>
      <c r="F393" s="65">
        <f t="shared" si="14"/>
        <v>20</v>
      </c>
      <c r="G393" s="57" t="s">
        <v>484</v>
      </c>
      <c r="H393" s="55" t="s">
        <v>482</v>
      </c>
    </row>
    <row r="394" spans="1:8">
      <c r="A394" s="77">
        <v>43957</v>
      </c>
      <c r="B394" s="55" t="s">
        <v>215</v>
      </c>
      <c r="C394" s="58">
        <v>1</v>
      </c>
      <c r="D394" s="65">
        <v>17</v>
      </c>
      <c r="E394" s="65">
        <v>25</v>
      </c>
      <c r="F394" s="65">
        <f t="shared" si="14"/>
        <v>8</v>
      </c>
      <c r="G394" s="57" t="s">
        <v>484</v>
      </c>
      <c r="H394" s="55" t="s">
        <v>482</v>
      </c>
    </row>
    <row r="395" spans="1:8">
      <c r="A395" s="77">
        <v>43957</v>
      </c>
      <c r="B395" s="55" t="s">
        <v>215</v>
      </c>
      <c r="C395" s="58">
        <v>1</v>
      </c>
      <c r="D395" s="65">
        <v>17</v>
      </c>
      <c r="E395" s="65">
        <v>25</v>
      </c>
      <c r="F395" s="65">
        <f t="shared" si="14"/>
        <v>8</v>
      </c>
      <c r="G395" s="57" t="s">
        <v>484</v>
      </c>
      <c r="H395" s="55" t="s">
        <v>482</v>
      </c>
    </row>
    <row r="396" spans="1:8">
      <c r="A396" s="77">
        <v>43964</v>
      </c>
      <c r="B396" s="55" t="s">
        <v>185</v>
      </c>
      <c r="C396" s="58">
        <v>1</v>
      </c>
      <c r="D396" s="65">
        <v>34</v>
      </c>
      <c r="E396" s="65">
        <v>70</v>
      </c>
      <c r="F396" s="65">
        <f t="shared" si="14"/>
        <v>36</v>
      </c>
      <c r="G396" s="57" t="s">
        <v>484</v>
      </c>
      <c r="H396" s="55" t="s">
        <v>482</v>
      </c>
    </row>
    <row r="397" spans="1:8">
      <c r="A397" s="77">
        <v>43953</v>
      </c>
      <c r="B397" s="56" t="s">
        <v>151</v>
      </c>
      <c r="C397" s="58">
        <v>1</v>
      </c>
      <c r="D397" s="50">
        <v>6</v>
      </c>
      <c r="E397" s="63">
        <v>20</v>
      </c>
      <c r="F397" s="65">
        <f t="shared" si="14"/>
        <v>14</v>
      </c>
      <c r="G397" s="57" t="s">
        <v>484</v>
      </c>
      <c r="H397" s="55" t="s">
        <v>482</v>
      </c>
    </row>
    <row r="398" spans="1:8">
      <c r="A398" s="77">
        <v>43953</v>
      </c>
      <c r="B398" s="55" t="s">
        <v>207</v>
      </c>
      <c r="C398" s="58">
        <v>1</v>
      </c>
      <c r="D398" s="65">
        <v>28</v>
      </c>
      <c r="E398" s="65">
        <v>80</v>
      </c>
      <c r="F398" s="65">
        <f t="shared" si="14"/>
        <v>52</v>
      </c>
      <c r="G398" s="57" t="s">
        <v>484</v>
      </c>
      <c r="H398" s="55" t="s">
        <v>482</v>
      </c>
    </row>
    <row r="399" spans="1:8">
      <c r="A399" s="77">
        <v>43955</v>
      </c>
      <c r="B399" s="55" t="s">
        <v>207</v>
      </c>
      <c r="C399" s="58">
        <v>1</v>
      </c>
      <c r="D399" s="65">
        <v>28</v>
      </c>
      <c r="E399" s="65">
        <v>70</v>
      </c>
      <c r="F399" s="65">
        <f t="shared" si="14"/>
        <v>42</v>
      </c>
      <c r="G399" s="57" t="s">
        <v>484</v>
      </c>
      <c r="H399" s="55" t="s">
        <v>482</v>
      </c>
    </row>
    <row r="400" spans="1:8">
      <c r="A400" s="77">
        <v>43956</v>
      </c>
      <c r="B400" s="55" t="s">
        <v>207</v>
      </c>
      <c r="C400" s="58">
        <v>1</v>
      </c>
      <c r="D400" s="65">
        <v>28</v>
      </c>
      <c r="E400" s="65">
        <v>60</v>
      </c>
      <c r="F400" s="65">
        <f t="shared" si="14"/>
        <v>32</v>
      </c>
      <c r="G400" s="57" t="s">
        <v>484</v>
      </c>
      <c r="H400" s="55" t="s">
        <v>482</v>
      </c>
    </row>
    <row r="401" spans="1:8">
      <c r="A401" s="77">
        <v>43956</v>
      </c>
      <c r="B401" s="55" t="s">
        <v>207</v>
      </c>
      <c r="C401" s="58">
        <v>1</v>
      </c>
      <c r="D401" s="65">
        <v>28</v>
      </c>
      <c r="E401" s="65">
        <v>60</v>
      </c>
      <c r="F401" s="65">
        <f t="shared" si="14"/>
        <v>32</v>
      </c>
      <c r="G401" s="57" t="s">
        <v>484</v>
      </c>
      <c r="H401" s="55" t="s">
        <v>482</v>
      </c>
    </row>
    <row r="402" spans="1:8">
      <c r="A402" s="77">
        <v>43958</v>
      </c>
      <c r="B402" s="55" t="s">
        <v>207</v>
      </c>
      <c r="C402" s="58">
        <v>1</v>
      </c>
      <c r="D402" s="65">
        <v>28</v>
      </c>
      <c r="E402" s="65">
        <v>70</v>
      </c>
      <c r="F402" s="65">
        <f t="shared" si="14"/>
        <v>42</v>
      </c>
      <c r="G402" s="57" t="s">
        <v>484</v>
      </c>
      <c r="H402" s="55" t="s">
        <v>482</v>
      </c>
    </row>
    <row r="403" spans="1:8">
      <c r="A403" s="77">
        <v>43960</v>
      </c>
      <c r="B403" s="55" t="s">
        <v>207</v>
      </c>
      <c r="C403" s="58">
        <v>1</v>
      </c>
      <c r="D403" s="65">
        <v>32</v>
      </c>
      <c r="E403" s="65">
        <v>70</v>
      </c>
      <c r="F403" s="65">
        <f t="shared" si="14"/>
        <v>38</v>
      </c>
      <c r="G403" s="57" t="s">
        <v>484</v>
      </c>
      <c r="H403" s="55" t="s">
        <v>482</v>
      </c>
    </row>
    <row r="404" spans="1:8">
      <c r="A404" s="77">
        <v>43960</v>
      </c>
      <c r="B404" s="55" t="s">
        <v>207</v>
      </c>
      <c r="C404" s="58">
        <v>1</v>
      </c>
      <c r="D404" s="65">
        <v>38</v>
      </c>
      <c r="E404" s="65">
        <v>80</v>
      </c>
      <c r="F404" s="65">
        <f t="shared" si="14"/>
        <v>42</v>
      </c>
      <c r="G404" s="57" t="s">
        <v>484</v>
      </c>
      <c r="H404" s="55" t="s">
        <v>482</v>
      </c>
    </row>
    <row r="405" spans="1:8">
      <c r="A405" s="77">
        <v>43963</v>
      </c>
      <c r="B405" s="55" t="s">
        <v>207</v>
      </c>
      <c r="C405" s="58">
        <v>1</v>
      </c>
      <c r="D405" s="65">
        <v>60</v>
      </c>
      <c r="E405" s="65">
        <v>105</v>
      </c>
      <c r="F405" s="65">
        <f t="shared" si="14"/>
        <v>45</v>
      </c>
      <c r="G405" s="57" t="s">
        <v>484</v>
      </c>
      <c r="H405" s="55" t="s">
        <v>482</v>
      </c>
    </row>
    <row r="406" spans="1:8">
      <c r="A406" s="77">
        <v>43963</v>
      </c>
      <c r="B406" s="55" t="s">
        <v>207</v>
      </c>
      <c r="C406" s="58">
        <v>1</v>
      </c>
      <c r="D406" s="65">
        <v>28</v>
      </c>
      <c r="E406" s="65">
        <v>50</v>
      </c>
      <c r="F406" s="65">
        <f t="shared" si="14"/>
        <v>22</v>
      </c>
      <c r="G406" s="57" t="s">
        <v>484</v>
      </c>
      <c r="H406" s="55" t="s">
        <v>482</v>
      </c>
    </row>
    <row r="407" spans="1:8">
      <c r="A407" s="77">
        <v>43965</v>
      </c>
      <c r="B407" s="55" t="s">
        <v>207</v>
      </c>
      <c r="C407" s="58">
        <v>1</v>
      </c>
      <c r="D407" s="65">
        <v>42</v>
      </c>
      <c r="E407" s="65">
        <v>90</v>
      </c>
      <c r="F407" s="65">
        <f t="shared" si="14"/>
        <v>48</v>
      </c>
      <c r="G407" s="57" t="s">
        <v>484</v>
      </c>
      <c r="H407" s="55" t="s">
        <v>482</v>
      </c>
    </row>
    <row r="408" spans="1:8">
      <c r="A408" s="77">
        <v>43967</v>
      </c>
      <c r="B408" s="55" t="s">
        <v>207</v>
      </c>
      <c r="C408" s="58">
        <v>1</v>
      </c>
      <c r="D408" s="65">
        <v>30</v>
      </c>
      <c r="E408" s="65">
        <v>70</v>
      </c>
      <c r="F408" s="65">
        <f t="shared" si="14"/>
        <v>40</v>
      </c>
      <c r="G408" s="57" t="s">
        <v>484</v>
      </c>
      <c r="H408" s="55" t="s">
        <v>482</v>
      </c>
    </row>
    <row r="409" spans="1:8">
      <c r="A409" s="77">
        <v>43969</v>
      </c>
      <c r="B409" s="55" t="s">
        <v>207</v>
      </c>
      <c r="C409" s="58">
        <v>1</v>
      </c>
      <c r="D409" s="65">
        <v>30</v>
      </c>
      <c r="E409" s="65">
        <v>70</v>
      </c>
      <c r="F409" s="65">
        <f t="shared" si="14"/>
        <v>40</v>
      </c>
      <c r="G409" s="57" t="s">
        <v>484</v>
      </c>
      <c r="H409" s="55" t="s">
        <v>482</v>
      </c>
    </row>
    <row r="410" spans="1:8">
      <c r="A410" s="77">
        <v>43969</v>
      </c>
      <c r="B410" s="55" t="s">
        <v>207</v>
      </c>
      <c r="C410" s="58">
        <v>1</v>
      </c>
      <c r="D410" s="65">
        <v>30</v>
      </c>
      <c r="E410" s="65">
        <v>60</v>
      </c>
      <c r="F410" s="65">
        <f t="shared" si="14"/>
        <v>30</v>
      </c>
      <c r="G410" s="57" t="s">
        <v>484</v>
      </c>
      <c r="H410" s="55" t="s">
        <v>482</v>
      </c>
    </row>
    <row r="411" spans="1:8">
      <c r="A411" s="77">
        <v>43969</v>
      </c>
      <c r="B411" s="55" t="s">
        <v>207</v>
      </c>
      <c r="C411" s="58">
        <v>1</v>
      </c>
      <c r="D411" s="65">
        <v>30</v>
      </c>
      <c r="E411" s="65">
        <v>60</v>
      </c>
      <c r="F411" s="65">
        <f t="shared" si="14"/>
        <v>30</v>
      </c>
      <c r="G411" s="57" t="s">
        <v>484</v>
      </c>
      <c r="H411" s="55" t="s">
        <v>482</v>
      </c>
    </row>
    <row r="412" spans="1:8">
      <c r="A412" s="77">
        <v>43969</v>
      </c>
      <c r="B412" s="55" t="s">
        <v>207</v>
      </c>
      <c r="C412" s="58">
        <v>1</v>
      </c>
      <c r="D412" s="65">
        <v>42</v>
      </c>
      <c r="E412" s="65">
        <v>80</v>
      </c>
      <c r="F412" s="65">
        <f t="shared" si="14"/>
        <v>38</v>
      </c>
      <c r="G412" s="57" t="s">
        <v>484</v>
      </c>
      <c r="H412" s="55" t="s">
        <v>482</v>
      </c>
    </row>
    <row r="413" spans="1:8">
      <c r="A413" s="77">
        <v>43972</v>
      </c>
      <c r="B413" s="55" t="s">
        <v>207</v>
      </c>
      <c r="C413" s="58">
        <v>1</v>
      </c>
      <c r="D413" s="65">
        <v>30</v>
      </c>
      <c r="E413" s="65">
        <v>70</v>
      </c>
      <c r="F413" s="65">
        <f t="shared" si="14"/>
        <v>40</v>
      </c>
      <c r="G413" s="57" t="s">
        <v>484</v>
      </c>
      <c r="H413" s="55" t="s">
        <v>482</v>
      </c>
    </row>
    <row r="414" spans="1:8">
      <c r="A414" s="77">
        <v>43973</v>
      </c>
      <c r="B414" s="55" t="s">
        <v>207</v>
      </c>
      <c r="C414" s="58">
        <v>1</v>
      </c>
      <c r="D414" s="65">
        <v>40</v>
      </c>
      <c r="E414" s="65">
        <v>90</v>
      </c>
      <c r="F414" s="65">
        <f t="shared" ref="F414:F477" si="15">E414-D414</f>
        <v>50</v>
      </c>
      <c r="G414" s="57" t="s">
        <v>484</v>
      </c>
      <c r="H414" s="55" t="s">
        <v>482</v>
      </c>
    </row>
    <row r="415" spans="1:8">
      <c r="A415" s="77">
        <v>43974</v>
      </c>
      <c r="B415" s="55" t="s">
        <v>207</v>
      </c>
      <c r="C415" s="58">
        <v>1</v>
      </c>
      <c r="D415" s="65">
        <v>33</v>
      </c>
      <c r="E415" s="65">
        <v>70</v>
      </c>
      <c r="F415" s="65">
        <f t="shared" si="15"/>
        <v>37</v>
      </c>
      <c r="G415" s="57" t="s">
        <v>484</v>
      </c>
      <c r="H415" s="55" t="s">
        <v>482</v>
      </c>
    </row>
    <row r="416" spans="1:8">
      <c r="A416" s="77">
        <v>43975</v>
      </c>
      <c r="B416" s="55" t="s">
        <v>207</v>
      </c>
      <c r="C416" s="58">
        <v>1</v>
      </c>
      <c r="D416" s="65">
        <v>30</v>
      </c>
      <c r="E416" s="65">
        <v>60</v>
      </c>
      <c r="F416" s="65">
        <f t="shared" si="15"/>
        <v>30</v>
      </c>
      <c r="G416" s="57" t="s">
        <v>484</v>
      </c>
      <c r="H416" s="55" t="s">
        <v>482</v>
      </c>
    </row>
    <row r="417" spans="1:8">
      <c r="A417" s="77">
        <v>43976</v>
      </c>
      <c r="B417" s="55" t="s">
        <v>207</v>
      </c>
      <c r="C417" s="58">
        <v>1</v>
      </c>
      <c r="D417" s="65">
        <v>34</v>
      </c>
      <c r="E417" s="65">
        <v>70</v>
      </c>
      <c r="F417" s="65">
        <f t="shared" si="15"/>
        <v>36</v>
      </c>
      <c r="G417" s="57" t="s">
        <v>484</v>
      </c>
      <c r="H417" s="55" t="s">
        <v>482</v>
      </c>
    </row>
    <row r="418" spans="1:8">
      <c r="A418" s="77">
        <v>43977</v>
      </c>
      <c r="B418" s="55" t="s">
        <v>207</v>
      </c>
      <c r="C418" s="58">
        <v>1</v>
      </c>
      <c r="D418" s="65">
        <v>30</v>
      </c>
      <c r="E418" s="65">
        <v>70</v>
      </c>
      <c r="F418" s="65">
        <f t="shared" si="15"/>
        <v>40</v>
      </c>
      <c r="G418" s="57" t="s">
        <v>484</v>
      </c>
      <c r="H418" s="55" t="s">
        <v>482</v>
      </c>
    </row>
    <row r="419" spans="1:8">
      <c r="A419" s="77">
        <v>43978</v>
      </c>
      <c r="B419" s="55" t="s">
        <v>207</v>
      </c>
      <c r="C419" s="58">
        <v>1</v>
      </c>
      <c r="D419" s="65">
        <v>33</v>
      </c>
      <c r="E419" s="65">
        <v>60</v>
      </c>
      <c r="F419" s="65">
        <f t="shared" si="15"/>
        <v>27</v>
      </c>
      <c r="G419" s="57" t="s">
        <v>484</v>
      </c>
      <c r="H419" s="55" t="s">
        <v>482</v>
      </c>
    </row>
    <row r="420" spans="1:8">
      <c r="A420" s="77">
        <v>43979</v>
      </c>
      <c r="B420" s="55" t="s">
        <v>207</v>
      </c>
      <c r="C420" s="58">
        <v>1</v>
      </c>
      <c r="D420" s="65">
        <v>35</v>
      </c>
      <c r="E420" s="65">
        <v>80</v>
      </c>
      <c r="F420" s="65">
        <f t="shared" si="15"/>
        <v>45</v>
      </c>
      <c r="G420" s="57" t="s">
        <v>484</v>
      </c>
      <c r="H420" s="55" t="s">
        <v>482</v>
      </c>
    </row>
    <row r="421" spans="1:8">
      <c r="A421" s="77">
        <v>43954</v>
      </c>
      <c r="B421" s="55" t="s">
        <v>212</v>
      </c>
      <c r="C421" s="58">
        <v>1</v>
      </c>
      <c r="D421" s="65">
        <v>19</v>
      </c>
      <c r="E421" s="65">
        <v>40</v>
      </c>
      <c r="F421" s="65">
        <f t="shared" si="15"/>
        <v>21</v>
      </c>
      <c r="G421" s="57" t="s">
        <v>484</v>
      </c>
      <c r="H421" s="55" t="s">
        <v>482</v>
      </c>
    </row>
    <row r="422" spans="1:8">
      <c r="A422" s="77">
        <v>43965</v>
      </c>
      <c r="B422" s="55" t="s">
        <v>235</v>
      </c>
      <c r="C422" s="58">
        <v>1</v>
      </c>
      <c r="D422" s="65">
        <v>29</v>
      </c>
      <c r="E422" s="65">
        <v>50</v>
      </c>
      <c r="F422" s="65">
        <f t="shared" si="15"/>
        <v>21</v>
      </c>
      <c r="G422" s="57" t="s">
        <v>484</v>
      </c>
      <c r="H422" s="55" t="s">
        <v>482</v>
      </c>
    </row>
    <row r="423" spans="1:8">
      <c r="A423" s="77">
        <v>43966</v>
      </c>
      <c r="B423" s="55" t="s">
        <v>236</v>
      </c>
      <c r="C423" s="58">
        <v>1</v>
      </c>
      <c r="D423" s="65">
        <v>11</v>
      </c>
      <c r="E423" s="65">
        <v>20</v>
      </c>
      <c r="F423" s="65">
        <f t="shared" si="15"/>
        <v>9</v>
      </c>
      <c r="G423" s="57" t="s">
        <v>484</v>
      </c>
      <c r="H423" s="55" t="s">
        <v>482</v>
      </c>
    </row>
    <row r="424" spans="1:8">
      <c r="A424" s="77">
        <v>43969</v>
      </c>
      <c r="B424" s="55" t="s">
        <v>257</v>
      </c>
      <c r="C424" s="58">
        <v>1</v>
      </c>
      <c r="D424" s="65">
        <v>25</v>
      </c>
      <c r="E424" s="65">
        <v>50</v>
      </c>
      <c r="F424" s="65">
        <f t="shared" si="15"/>
        <v>25</v>
      </c>
      <c r="G424" s="57" t="s">
        <v>484</v>
      </c>
      <c r="H424" s="55" t="s">
        <v>482</v>
      </c>
    </row>
    <row r="425" spans="1:8">
      <c r="A425" s="77">
        <v>43969</v>
      </c>
      <c r="B425" s="55" t="s">
        <v>257</v>
      </c>
      <c r="C425" s="58">
        <v>1</v>
      </c>
      <c r="D425" s="65">
        <v>25</v>
      </c>
      <c r="E425" s="65">
        <v>50</v>
      </c>
      <c r="F425" s="65">
        <f t="shared" si="15"/>
        <v>25</v>
      </c>
      <c r="G425" s="57" t="s">
        <v>484</v>
      </c>
      <c r="H425" s="55" t="s">
        <v>482</v>
      </c>
    </row>
    <row r="426" spans="1:8">
      <c r="A426" s="77">
        <v>43966</v>
      </c>
      <c r="B426" s="55" t="s">
        <v>253</v>
      </c>
      <c r="C426" s="58">
        <v>1</v>
      </c>
      <c r="D426" s="65">
        <v>25</v>
      </c>
      <c r="E426" s="65">
        <v>50</v>
      </c>
      <c r="F426" s="65">
        <f t="shared" si="15"/>
        <v>25</v>
      </c>
      <c r="G426" s="57" t="s">
        <v>484</v>
      </c>
      <c r="H426" s="55" t="s">
        <v>482</v>
      </c>
    </row>
    <row r="427" spans="1:8">
      <c r="A427" s="77">
        <v>43966</v>
      </c>
      <c r="B427" s="55" t="s">
        <v>253</v>
      </c>
      <c r="C427" s="58">
        <v>1</v>
      </c>
      <c r="D427" s="65">
        <v>25</v>
      </c>
      <c r="E427" s="65">
        <v>50</v>
      </c>
      <c r="F427" s="65">
        <f t="shared" si="15"/>
        <v>25</v>
      </c>
      <c r="G427" s="57" t="s">
        <v>484</v>
      </c>
      <c r="H427" s="55" t="s">
        <v>482</v>
      </c>
    </row>
    <row r="428" spans="1:8">
      <c r="A428" s="77">
        <v>43966</v>
      </c>
      <c r="B428" s="55" t="s">
        <v>253</v>
      </c>
      <c r="C428" s="58">
        <v>1</v>
      </c>
      <c r="D428" s="65">
        <v>25</v>
      </c>
      <c r="E428" s="65">
        <v>50</v>
      </c>
      <c r="F428" s="65">
        <f t="shared" si="15"/>
        <v>25</v>
      </c>
      <c r="G428" s="57" t="s">
        <v>484</v>
      </c>
      <c r="H428" s="55" t="s">
        <v>482</v>
      </c>
    </row>
    <row r="429" spans="1:8">
      <c r="A429" s="77">
        <v>43966</v>
      </c>
      <c r="B429" s="55" t="s">
        <v>253</v>
      </c>
      <c r="C429" s="58">
        <v>1</v>
      </c>
      <c r="D429" s="65">
        <v>25</v>
      </c>
      <c r="E429" s="65">
        <v>50</v>
      </c>
      <c r="F429" s="65">
        <f t="shared" si="15"/>
        <v>25</v>
      </c>
      <c r="G429" s="57" t="s">
        <v>484</v>
      </c>
      <c r="H429" s="55" t="s">
        <v>482</v>
      </c>
    </row>
    <row r="430" spans="1:8">
      <c r="A430" s="77">
        <v>43967</v>
      </c>
      <c r="B430" s="55" t="s">
        <v>253</v>
      </c>
      <c r="C430" s="58">
        <v>1</v>
      </c>
      <c r="D430" s="65">
        <v>25</v>
      </c>
      <c r="E430" s="65">
        <v>40</v>
      </c>
      <c r="F430" s="65">
        <f t="shared" si="15"/>
        <v>15</v>
      </c>
      <c r="G430" s="57" t="s">
        <v>484</v>
      </c>
      <c r="H430" s="55" t="s">
        <v>482</v>
      </c>
    </row>
    <row r="431" spans="1:8">
      <c r="A431" s="77">
        <v>43968</v>
      </c>
      <c r="B431" s="55" t="s">
        <v>253</v>
      </c>
      <c r="C431" s="58">
        <v>1</v>
      </c>
      <c r="D431" s="65">
        <v>25</v>
      </c>
      <c r="E431" s="65">
        <v>60</v>
      </c>
      <c r="F431" s="65">
        <f t="shared" si="15"/>
        <v>35</v>
      </c>
      <c r="G431" s="57" t="s">
        <v>484</v>
      </c>
      <c r="H431" s="55" t="s">
        <v>482</v>
      </c>
    </row>
    <row r="432" spans="1:8">
      <c r="A432" s="77">
        <v>43958</v>
      </c>
      <c r="B432" s="55" t="s">
        <v>223</v>
      </c>
      <c r="C432" s="58">
        <v>1</v>
      </c>
      <c r="D432" s="65">
        <v>55</v>
      </c>
      <c r="E432" s="65">
        <v>100</v>
      </c>
      <c r="F432" s="65">
        <f t="shared" si="15"/>
        <v>45</v>
      </c>
      <c r="G432" s="57" t="s">
        <v>484</v>
      </c>
      <c r="H432" s="55" t="s">
        <v>482</v>
      </c>
    </row>
    <row r="433" spans="1:8">
      <c r="A433" s="77">
        <v>43958</v>
      </c>
      <c r="B433" s="55" t="s">
        <v>90</v>
      </c>
      <c r="C433" s="58">
        <v>1</v>
      </c>
      <c r="D433" s="65">
        <v>30</v>
      </c>
      <c r="E433" s="65">
        <v>50</v>
      </c>
      <c r="F433" s="65">
        <f t="shared" si="15"/>
        <v>20</v>
      </c>
      <c r="G433" s="57" t="s">
        <v>484</v>
      </c>
      <c r="H433" s="55" t="s">
        <v>482</v>
      </c>
    </row>
    <row r="434" spans="1:8">
      <c r="A434" s="77">
        <v>43960</v>
      </c>
      <c r="B434" s="55" t="s">
        <v>90</v>
      </c>
      <c r="C434" s="58">
        <v>1</v>
      </c>
      <c r="D434" s="65">
        <v>30</v>
      </c>
      <c r="E434" s="65">
        <v>50</v>
      </c>
      <c r="F434" s="65">
        <f t="shared" si="15"/>
        <v>20</v>
      </c>
      <c r="G434" s="57" t="s">
        <v>484</v>
      </c>
      <c r="H434" s="55" t="s">
        <v>482</v>
      </c>
    </row>
    <row r="435" spans="1:8">
      <c r="A435" s="77">
        <v>43961</v>
      </c>
      <c r="B435" s="55" t="s">
        <v>228</v>
      </c>
      <c r="C435" s="58">
        <v>1</v>
      </c>
      <c r="D435" s="65">
        <v>58</v>
      </c>
      <c r="E435" s="65">
        <v>100</v>
      </c>
      <c r="F435" s="65">
        <f t="shared" si="15"/>
        <v>42</v>
      </c>
      <c r="G435" s="57" t="s">
        <v>484</v>
      </c>
      <c r="H435" s="55" t="s">
        <v>482</v>
      </c>
    </row>
    <row r="436" spans="1:8">
      <c r="A436" s="77">
        <v>43957</v>
      </c>
      <c r="B436" s="55" t="s">
        <v>217</v>
      </c>
      <c r="C436" s="58">
        <v>1</v>
      </c>
      <c r="D436" s="65">
        <v>17</v>
      </c>
      <c r="E436" s="65">
        <v>30</v>
      </c>
      <c r="F436" s="65">
        <f t="shared" si="15"/>
        <v>13</v>
      </c>
      <c r="G436" s="57" t="s">
        <v>484</v>
      </c>
      <c r="H436" s="55" t="s">
        <v>482</v>
      </c>
    </row>
    <row r="437" spans="1:8">
      <c r="A437" s="77">
        <v>43957</v>
      </c>
      <c r="B437" s="55" t="s">
        <v>217</v>
      </c>
      <c r="C437" s="58">
        <v>1</v>
      </c>
      <c r="D437" s="65">
        <v>17</v>
      </c>
      <c r="E437" s="65">
        <v>30</v>
      </c>
      <c r="F437" s="65">
        <f t="shared" si="15"/>
        <v>13</v>
      </c>
      <c r="G437" s="57" t="s">
        <v>484</v>
      </c>
      <c r="H437" s="55" t="s">
        <v>482</v>
      </c>
    </row>
    <row r="438" spans="1:8">
      <c r="A438" s="77">
        <v>43960</v>
      </c>
      <c r="B438" s="55" t="s">
        <v>227</v>
      </c>
      <c r="C438" s="58">
        <v>1</v>
      </c>
      <c r="D438" s="65">
        <v>58</v>
      </c>
      <c r="E438" s="65">
        <v>80</v>
      </c>
      <c r="F438" s="65">
        <f t="shared" si="15"/>
        <v>22</v>
      </c>
      <c r="G438" s="57" t="s">
        <v>484</v>
      </c>
      <c r="H438" s="55" t="s">
        <v>482</v>
      </c>
    </row>
    <row r="439" spans="1:8">
      <c r="A439" s="77">
        <v>43957</v>
      </c>
      <c r="B439" s="55" t="s">
        <v>183</v>
      </c>
      <c r="C439" s="58">
        <v>1</v>
      </c>
      <c r="D439" s="65">
        <v>28</v>
      </c>
      <c r="E439" s="65">
        <v>60</v>
      </c>
      <c r="F439" s="65">
        <f t="shared" si="15"/>
        <v>32</v>
      </c>
      <c r="G439" s="57" t="s">
        <v>484</v>
      </c>
      <c r="H439" s="55" t="s">
        <v>482</v>
      </c>
    </row>
    <row r="440" spans="1:8">
      <c r="A440" s="77">
        <v>43957</v>
      </c>
      <c r="B440" s="55" t="s">
        <v>218</v>
      </c>
      <c r="C440" s="58">
        <v>1</v>
      </c>
      <c r="D440" s="65">
        <v>7.5</v>
      </c>
      <c r="E440" s="65">
        <v>10</v>
      </c>
      <c r="F440" s="65">
        <f t="shared" si="15"/>
        <v>2.5</v>
      </c>
      <c r="G440" s="57" t="s">
        <v>484</v>
      </c>
      <c r="H440" s="55" t="s">
        <v>482</v>
      </c>
    </row>
    <row r="441" spans="1:8">
      <c r="A441" s="77">
        <v>43957</v>
      </c>
      <c r="B441" s="55" t="s">
        <v>218</v>
      </c>
      <c r="C441" s="58">
        <v>1</v>
      </c>
      <c r="D441" s="65">
        <v>7.5</v>
      </c>
      <c r="E441" s="65">
        <v>10</v>
      </c>
      <c r="F441" s="65">
        <f t="shared" si="15"/>
        <v>2.5</v>
      </c>
      <c r="G441" s="57" t="s">
        <v>484</v>
      </c>
      <c r="H441" s="55" t="s">
        <v>482</v>
      </c>
    </row>
    <row r="442" spans="1:8">
      <c r="A442" s="77">
        <v>43975</v>
      </c>
      <c r="B442" s="55" t="s">
        <v>173</v>
      </c>
      <c r="C442" s="58">
        <v>1</v>
      </c>
      <c r="D442" s="65">
        <v>0</v>
      </c>
      <c r="E442" s="65">
        <v>70</v>
      </c>
      <c r="F442" s="65">
        <f t="shared" si="15"/>
        <v>70</v>
      </c>
      <c r="G442" s="57" t="s">
        <v>484</v>
      </c>
      <c r="H442" s="55" t="s">
        <v>482</v>
      </c>
    </row>
    <row r="443" spans="1:8">
      <c r="A443" s="77">
        <v>43976</v>
      </c>
      <c r="B443" s="55" t="s">
        <v>173</v>
      </c>
      <c r="C443" s="58">
        <v>1</v>
      </c>
      <c r="D443" s="65">
        <v>0</v>
      </c>
      <c r="E443" s="65">
        <v>50</v>
      </c>
      <c r="F443" s="65">
        <f t="shared" si="15"/>
        <v>50</v>
      </c>
      <c r="G443" s="57" t="s">
        <v>484</v>
      </c>
      <c r="H443" s="55" t="s">
        <v>482</v>
      </c>
    </row>
    <row r="444" spans="1:8">
      <c r="A444" s="77">
        <v>43977</v>
      </c>
      <c r="B444" s="55" t="s">
        <v>173</v>
      </c>
      <c r="C444" s="58">
        <v>1</v>
      </c>
      <c r="D444" s="65">
        <v>0</v>
      </c>
      <c r="E444" s="65">
        <v>60</v>
      </c>
      <c r="F444" s="65">
        <f t="shared" si="15"/>
        <v>60</v>
      </c>
      <c r="G444" s="57" t="s">
        <v>484</v>
      </c>
      <c r="H444" s="55" t="s">
        <v>482</v>
      </c>
    </row>
    <row r="445" spans="1:8">
      <c r="A445" s="77">
        <v>43953</v>
      </c>
      <c r="B445" s="56" t="s">
        <v>193</v>
      </c>
      <c r="C445" s="58">
        <v>1</v>
      </c>
      <c r="D445" s="65">
        <v>43</v>
      </c>
      <c r="E445" s="65">
        <v>80</v>
      </c>
      <c r="F445" s="65">
        <f t="shared" si="15"/>
        <v>37</v>
      </c>
      <c r="G445" s="57" t="s">
        <v>484</v>
      </c>
      <c r="H445" s="55" t="s">
        <v>482</v>
      </c>
    </row>
    <row r="446" spans="1:8">
      <c r="A446" s="77">
        <v>43962</v>
      </c>
      <c r="B446" s="55" t="s">
        <v>194</v>
      </c>
      <c r="C446" s="58">
        <v>1</v>
      </c>
      <c r="D446" s="65">
        <v>6</v>
      </c>
      <c r="E446" s="65">
        <v>10</v>
      </c>
      <c r="F446" s="65">
        <f t="shared" si="15"/>
        <v>4</v>
      </c>
      <c r="G446" s="57" t="s">
        <v>484</v>
      </c>
      <c r="H446" s="55" t="s">
        <v>482</v>
      </c>
    </row>
    <row r="447" spans="1:8">
      <c r="A447" s="77">
        <v>43969</v>
      </c>
      <c r="B447" s="55" t="s">
        <v>249</v>
      </c>
      <c r="C447" s="58">
        <v>1</v>
      </c>
      <c r="D447" s="65">
        <v>15</v>
      </c>
      <c r="E447" s="65">
        <v>30</v>
      </c>
      <c r="F447" s="65">
        <f t="shared" si="15"/>
        <v>15</v>
      </c>
      <c r="G447" s="57" t="s">
        <v>484</v>
      </c>
      <c r="H447" s="55" t="s">
        <v>482</v>
      </c>
    </row>
    <row r="448" spans="1:8">
      <c r="A448" s="77">
        <v>43972</v>
      </c>
      <c r="B448" s="55" t="s">
        <v>249</v>
      </c>
      <c r="C448" s="58">
        <v>1</v>
      </c>
      <c r="D448" s="65">
        <v>15</v>
      </c>
      <c r="E448" s="65">
        <v>25</v>
      </c>
      <c r="F448" s="65">
        <f t="shared" si="15"/>
        <v>10</v>
      </c>
      <c r="G448" s="57" t="s">
        <v>484</v>
      </c>
      <c r="H448" s="55" t="s">
        <v>482</v>
      </c>
    </row>
    <row r="449" spans="1:8">
      <c r="A449" s="77">
        <v>43972</v>
      </c>
      <c r="B449" s="55" t="s">
        <v>249</v>
      </c>
      <c r="C449" s="58">
        <v>1</v>
      </c>
      <c r="D449" s="65">
        <v>15</v>
      </c>
      <c r="E449" s="65">
        <v>25</v>
      </c>
      <c r="F449" s="65">
        <f t="shared" si="15"/>
        <v>10</v>
      </c>
      <c r="G449" s="57" t="s">
        <v>484</v>
      </c>
      <c r="H449" s="55" t="s">
        <v>482</v>
      </c>
    </row>
    <row r="450" spans="1:8">
      <c r="A450" s="77">
        <v>43952</v>
      </c>
      <c r="B450" s="55" t="s">
        <v>168</v>
      </c>
      <c r="C450" s="58">
        <v>1</v>
      </c>
      <c r="D450" s="50">
        <v>12</v>
      </c>
      <c r="E450" s="63">
        <v>30</v>
      </c>
      <c r="F450" s="65">
        <f t="shared" si="15"/>
        <v>18</v>
      </c>
      <c r="G450" s="57" t="s">
        <v>484</v>
      </c>
      <c r="H450" s="55" t="s">
        <v>482</v>
      </c>
    </row>
    <row r="451" spans="1:8">
      <c r="A451" s="77">
        <v>43954</v>
      </c>
      <c r="B451" s="55" t="s">
        <v>168</v>
      </c>
      <c r="C451" s="58">
        <v>1</v>
      </c>
      <c r="D451" s="50">
        <v>12</v>
      </c>
      <c r="E451" s="63">
        <v>35</v>
      </c>
      <c r="F451" s="65">
        <f t="shared" si="15"/>
        <v>23</v>
      </c>
      <c r="G451" s="57" t="s">
        <v>484</v>
      </c>
      <c r="H451" s="55" t="s">
        <v>482</v>
      </c>
    </row>
    <row r="452" spans="1:8">
      <c r="A452" s="77">
        <v>43954</v>
      </c>
      <c r="B452" s="55" t="s">
        <v>168</v>
      </c>
      <c r="C452" s="58">
        <v>1</v>
      </c>
      <c r="D452" s="50">
        <v>12</v>
      </c>
      <c r="E452" s="63">
        <v>35</v>
      </c>
      <c r="F452" s="65">
        <f t="shared" si="15"/>
        <v>23</v>
      </c>
      <c r="G452" s="57" t="s">
        <v>484</v>
      </c>
      <c r="H452" s="55" t="s">
        <v>482</v>
      </c>
    </row>
    <row r="453" spans="1:8">
      <c r="A453" s="77">
        <v>43955</v>
      </c>
      <c r="B453" s="55" t="s">
        <v>168</v>
      </c>
      <c r="C453" s="58">
        <v>1</v>
      </c>
      <c r="D453" s="50">
        <v>12</v>
      </c>
      <c r="E453" s="63">
        <v>50</v>
      </c>
      <c r="F453" s="65">
        <f t="shared" si="15"/>
        <v>38</v>
      </c>
      <c r="G453" s="57" t="s">
        <v>484</v>
      </c>
      <c r="H453" s="55" t="s">
        <v>482</v>
      </c>
    </row>
    <row r="454" spans="1:8">
      <c r="A454" s="77">
        <v>43963</v>
      </c>
      <c r="B454" s="55" t="s">
        <v>241</v>
      </c>
      <c r="C454" s="58">
        <v>1</v>
      </c>
      <c r="D454" s="65">
        <v>12</v>
      </c>
      <c r="E454" s="65">
        <v>30</v>
      </c>
      <c r="F454" s="65">
        <f t="shared" si="15"/>
        <v>18</v>
      </c>
      <c r="G454" s="57" t="s">
        <v>484</v>
      </c>
      <c r="H454" s="55" t="s">
        <v>482</v>
      </c>
    </row>
    <row r="455" spans="1:8">
      <c r="A455" s="77">
        <v>43964</v>
      </c>
      <c r="B455" s="55" t="s">
        <v>241</v>
      </c>
      <c r="C455" s="58">
        <v>1</v>
      </c>
      <c r="D455" s="65">
        <v>12</v>
      </c>
      <c r="E455" s="65">
        <v>30</v>
      </c>
      <c r="F455" s="65">
        <f t="shared" si="15"/>
        <v>18</v>
      </c>
      <c r="G455" s="57" t="s">
        <v>484</v>
      </c>
      <c r="H455" s="55" t="s">
        <v>482</v>
      </c>
    </row>
    <row r="456" spans="1:8">
      <c r="A456" s="77">
        <v>43965</v>
      </c>
      <c r="B456" s="55" t="s">
        <v>241</v>
      </c>
      <c r="C456" s="58">
        <v>1</v>
      </c>
      <c r="D456" s="65">
        <v>15</v>
      </c>
      <c r="E456" s="65">
        <v>30</v>
      </c>
      <c r="F456" s="65">
        <f t="shared" si="15"/>
        <v>15</v>
      </c>
      <c r="G456" s="57" t="s">
        <v>484</v>
      </c>
      <c r="H456" s="55" t="s">
        <v>482</v>
      </c>
    </row>
    <row r="457" spans="1:8">
      <c r="A457" s="77">
        <v>43966</v>
      </c>
      <c r="B457" s="55" t="s">
        <v>241</v>
      </c>
      <c r="C457" s="58">
        <v>1</v>
      </c>
      <c r="D457" s="65">
        <v>15</v>
      </c>
      <c r="E457" s="65">
        <v>30</v>
      </c>
      <c r="F457" s="65">
        <f t="shared" si="15"/>
        <v>15</v>
      </c>
      <c r="G457" s="57" t="s">
        <v>484</v>
      </c>
      <c r="H457" s="55" t="s">
        <v>482</v>
      </c>
    </row>
    <row r="458" spans="1:8">
      <c r="A458" s="77">
        <v>43953</v>
      </c>
      <c r="B458" s="55" t="s">
        <v>166</v>
      </c>
      <c r="C458" s="58">
        <v>1</v>
      </c>
      <c r="D458" s="65">
        <v>3</v>
      </c>
      <c r="E458" s="65">
        <v>12</v>
      </c>
      <c r="F458" s="65">
        <f t="shared" si="15"/>
        <v>9</v>
      </c>
      <c r="G458" s="57" t="s">
        <v>484</v>
      </c>
      <c r="H458" s="55" t="s">
        <v>482</v>
      </c>
    </row>
    <row r="459" spans="1:8">
      <c r="A459" s="77">
        <v>43956</v>
      </c>
      <c r="B459" s="55" t="s">
        <v>166</v>
      </c>
      <c r="C459" s="58">
        <v>1</v>
      </c>
      <c r="D459" s="50">
        <v>3</v>
      </c>
      <c r="E459" s="63">
        <v>15</v>
      </c>
      <c r="F459" s="65">
        <f t="shared" si="15"/>
        <v>12</v>
      </c>
      <c r="G459" s="57" t="s">
        <v>484</v>
      </c>
      <c r="H459" s="55" t="s">
        <v>482</v>
      </c>
    </row>
    <row r="460" spans="1:8">
      <c r="A460" s="77">
        <v>43957</v>
      </c>
      <c r="B460" s="55" t="s">
        <v>166</v>
      </c>
      <c r="C460" s="58">
        <v>1</v>
      </c>
      <c r="D460" s="65">
        <v>3</v>
      </c>
      <c r="E460" s="65">
        <v>14</v>
      </c>
      <c r="F460" s="65">
        <f t="shared" si="15"/>
        <v>11</v>
      </c>
      <c r="G460" s="57" t="s">
        <v>484</v>
      </c>
      <c r="H460" s="55" t="s">
        <v>482</v>
      </c>
    </row>
    <row r="461" spans="1:8">
      <c r="A461" s="77">
        <v>43961</v>
      </c>
      <c r="B461" s="55" t="s">
        <v>166</v>
      </c>
      <c r="C461" s="58">
        <v>1</v>
      </c>
      <c r="D461" s="65">
        <v>3</v>
      </c>
      <c r="E461" s="65">
        <v>15</v>
      </c>
      <c r="F461" s="65">
        <f t="shared" si="15"/>
        <v>12</v>
      </c>
      <c r="G461" s="57" t="s">
        <v>484</v>
      </c>
      <c r="H461" s="55" t="s">
        <v>482</v>
      </c>
    </row>
    <row r="462" spans="1:8">
      <c r="A462" s="77">
        <v>43962</v>
      </c>
      <c r="B462" s="55" t="s">
        <v>166</v>
      </c>
      <c r="C462" s="58">
        <v>1</v>
      </c>
      <c r="D462" s="65">
        <v>2.64</v>
      </c>
      <c r="E462" s="65">
        <v>15</v>
      </c>
      <c r="F462" s="65">
        <f t="shared" si="15"/>
        <v>12.36</v>
      </c>
      <c r="G462" s="57" t="s">
        <v>484</v>
      </c>
      <c r="H462" s="55" t="s">
        <v>482</v>
      </c>
    </row>
    <row r="463" spans="1:8">
      <c r="A463" s="77">
        <v>43962</v>
      </c>
      <c r="B463" s="55" t="s">
        <v>166</v>
      </c>
      <c r="C463" s="58">
        <v>1</v>
      </c>
      <c r="D463" s="65">
        <v>2.64</v>
      </c>
      <c r="E463" s="65">
        <v>15</v>
      </c>
      <c r="F463" s="65">
        <f t="shared" si="15"/>
        <v>12.36</v>
      </c>
      <c r="G463" s="57" t="s">
        <v>484</v>
      </c>
      <c r="H463" s="55" t="s">
        <v>482</v>
      </c>
    </row>
    <row r="464" spans="1:8">
      <c r="A464" s="77">
        <v>43962</v>
      </c>
      <c r="B464" s="55" t="s">
        <v>166</v>
      </c>
      <c r="C464" s="58">
        <v>1</v>
      </c>
      <c r="D464" s="65">
        <v>2.64</v>
      </c>
      <c r="E464" s="65">
        <v>15</v>
      </c>
      <c r="F464" s="65">
        <f t="shared" si="15"/>
        <v>12.36</v>
      </c>
      <c r="G464" s="57" t="s">
        <v>484</v>
      </c>
      <c r="H464" s="55" t="s">
        <v>482</v>
      </c>
    </row>
    <row r="465" spans="1:8">
      <c r="A465" s="77">
        <v>43962</v>
      </c>
      <c r="B465" s="55" t="s">
        <v>166</v>
      </c>
      <c r="C465" s="58">
        <v>1</v>
      </c>
      <c r="D465" s="65">
        <v>2.64</v>
      </c>
      <c r="E465" s="65">
        <v>10</v>
      </c>
      <c r="F465" s="65">
        <f t="shared" si="15"/>
        <v>7.3599999999999994</v>
      </c>
      <c r="G465" s="57" t="s">
        <v>484</v>
      </c>
      <c r="H465" s="55" t="s">
        <v>482</v>
      </c>
    </row>
    <row r="466" spans="1:8">
      <c r="A466" s="77">
        <v>43963</v>
      </c>
      <c r="B466" s="55" t="s">
        <v>166</v>
      </c>
      <c r="C466" s="58">
        <v>1</v>
      </c>
      <c r="D466" s="65">
        <v>3</v>
      </c>
      <c r="E466" s="65">
        <v>15</v>
      </c>
      <c r="F466" s="65">
        <f t="shared" si="15"/>
        <v>12</v>
      </c>
      <c r="G466" s="57" t="s">
        <v>484</v>
      </c>
      <c r="H466" s="55" t="s">
        <v>482</v>
      </c>
    </row>
    <row r="467" spans="1:8">
      <c r="A467" s="77">
        <v>43963</v>
      </c>
      <c r="B467" s="55" t="s">
        <v>166</v>
      </c>
      <c r="C467" s="58">
        <v>1</v>
      </c>
      <c r="D467" s="65">
        <v>3</v>
      </c>
      <c r="E467" s="65">
        <v>15</v>
      </c>
      <c r="F467" s="65">
        <f t="shared" si="15"/>
        <v>12</v>
      </c>
      <c r="G467" s="57" t="s">
        <v>484</v>
      </c>
      <c r="H467" s="55" t="s">
        <v>482</v>
      </c>
    </row>
    <row r="468" spans="1:8">
      <c r="A468" s="77">
        <v>43964</v>
      </c>
      <c r="B468" s="55" t="s">
        <v>166</v>
      </c>
      <c r="C468" s="58">
        <v>1</v>
      </c>
      <c r="D468" s="65">
        <v>2.64</v>
      </c>
      <c r="E468" s="65">
        <v>15</v>
      </c>
      <c r="F468" s="65">
        <f t="shared" si="15"/>
        <v>12.36</v>
      </c>
      <c r="G468" s="57" t="s">
        <v>484</v>
      </c>
      <c r="H468" s="55" t="s">
        <v>482</v>
      </c>
    </row>
    <row r="469" spans="1:8">
      <c r="A469" s="77">
        <v>43964</v>
      </c>
      <c r="B469" s="55" t="s">
        <v>166</v>
      </c>
      <c r="C469" s="58">
        <v>1</v>
      </c>
      <c r="D469" s="65">
        <v>2.64</v>
      </c>
      <c r="E469" s="65">
        <v>15</v>
      </c>
      <c r="F469" s="65">
        <f t="shared" si="15"/>
        <v>12.36</v>
      </c>
      <c r="G469" s="57" t="s">
        <v>484</v>
      </c>
      <c r="H469" s="55" t="s">
        <v>482</v>
      </c>
    </row>
    <row r="470" spans="1:8">
      <c r="A470" s="77">
        <v>43953</v>
      </c>
      <c r="B470" s="55" t="s">
        <v>146</v>
      </c>
      <c r="C470" s="58">
        <v>1</v>
      </c>
      <c r="D470" s="65">
        <v>24</v>
      </c>
      <c r="E470" s="65">
        <v>57.5</v>
      </c>
      <c r="F470" s="65">
        <f t="shared" si="15"/>
        <v>33.5</v>
      </c>
      <c r="G470" s="57" t="s">
        <v>484</v>
      </c>
      <c r="H470" s="55" t="s">
        <v>482</v>
      </c>
    </row>
    <row r="471" spans="1:8">
      <c r="A471" s="77">
        <v>43953</v>
      </c>
      <c r="B471" s="55" t="s">
        <v>146</v>
      </c>
      <c r="C471" s="58">
        <v>1</v>
      </c>
      <c r="D471" s="65">
        <v>24</v>
      </c>
      <c r="E471" s="65">
        <v>57.5</v>
      </c>
      <c r="F471" s="65">
        <f t="shared" si="15"/>
        <v>33.5</v>
      </c>
      <c r="G471" s="57" t="s">
        <v>484</v>
      </c>
      <c r="H471" s="55" t="s">
        <v>482</v>
      </c>
    </row>
    <row r="472" spans="1:8">
      <c r="A472" s="77">
        <v>43953</v>
      </c>
      <c r="B472" s="55" t="s">
        <v>146</v>
      </c>
      <c r="C472" s="58">
        <v>1</v>
      </c>
      <c r="D472" s="65">
        <v>26</v>
      </c>
      <c r="E472" s="65">
        <v>70</v>
      </c>
      <c r="F472" s="65">
        <f t="shared" si="15"/>
        <v>44</v>
      </c>
      <c r="G472" s="57" t="s">
        <v>484</v>
      </c>
      <c r="H472" s="55" t="s">
        <v>482</v>
      </c>
    </row>
    <row r="473" spans="1:8">
      <c r="A473" s="77">
        <v>43954</v>
      </c>
      <c r="B473" s="55" t="s">
        <v>146</v>
      </c>
      <c r="C473" s="58">
        <v>1</v>
      </c>
      <c r="D473" s="65">
        <v>24</v>
      </c>
      <c r="E473" s="65">
        <v>55</v>
      </c>
      <c r="F473" s="65">
        <f t="shared" si="15"/>
        <v>31</v>
      </c>
      <c r="G473" s="57" t="s">
        <v>484</v>
      </c>
      <c r="H473" s="55" t="s">
        <v>482</v>
      </c>
    </row>
    <row r="474" spans="1:8">
      <c r="A474" s="77">
        <v>43954</v>
      </c>
      <c r="B474" s="55" t="s">
        <v>146</v>
      </c>
      <c r="C474" s="58">
        <v>1</v>
      </c>
      <c r="D474" s="65">
        <v>24</v>
      </c>
      <c r="E474" s="65">
        <v>60</v>
      </c>
      <c r="F474" s="65">
        <f t="shared" si="15"/>
        <v>36</v>
      </c>
      <c r="G474" s="57" t="s">
        <v>484</v>
      </c>
      <c r="H474" s="55" t="s">
        <v>482</v>
      </c>
    </row>
    <row r="475" spans="1:8">
      <c r="A475" s="77">
        <v>43955</v>
      </c>
      <c r="B475" s="55" t="s">
        <v>146</v>
      </c>
      <c r="C475" s="58">
        <v>1</v>
      </c>
      <c r="D475" s="65">
        <v>24</v>
      </c>
      <c r="E475" s="65">
        <v>50</v>
      </c>
      <c r="F475" s="65">
        <f t="shared" si="15"/>
        <v>26</v>
      </c>
      <c r="G475" s="57" t="s">
        <v>484</v>
      </c>
      <c r="H475" s="55" t="s">
        <v>482</v>
      </c>
    </row>
    <row r="476" spans="1:8">
      <c r="A476" s="77">
        <v>43955</v>
      </c>
      <c r="B476" s="55" t="s">
        <v>146</v>
      </c>
      <c r="C476" s="58">
        <v>1</v>
      </c>
      <c r="D476" s="65">
        <v>24</v>
      </c>
      <c r="E476" s="65">
        <v>60</v>
      </c>
      <c r="F476" s="65">
        <f t="shared" si="15"/>
        <v>36</v>
      </c>
      <c r="G476" s="57" t="s">
        <v>484</v>
      </c>
      <c r="H476" s="55" t="s">
        <v>482</v>
      </c>
    </row>
    <row r="477" spans="1:8">
      <c r="A477" s="77">
        <v>43956</v>
      </c>
      <c r="B477" s="55" t="s">
        <v>146</v>
      </c>
      <c r="C477" s="58">
        <v>1</v>
      </c>
      <c r="D477" s="65">
        <v>24</v>
      </c>
      <c r="E477" s="65">
        <v>50</v>
      </c>
      <c r="F477" s="65">
        <f t="shared" si="15"/>
        <v>26</v>
      </c>
      <c r="G477" s="57" t="s">
        <v>484</v>
      </c>
      <c r="H477" s="55" t="s">
        <v>482</v>
      </c>
    </row>
    <row r="478" spans="1:8">
      <c r="A478" s="77">
        <v>43957</v>
      </c>
      <c r="B478" s="55" t="s">
        <v>146</v>
      </c>
      <c r="C478" s="58">
        <v>1</v>
      </c>
      <c r="D478" s="65">
        <v>24</v>
      </c>
      <c r="E478" s="65">
        <v>65</v>
      </c>
      <c r="F478" s="65">
        <f t="shared" ref="F478:F541" si="16">E478-D478</f>
        <v>41</v>
      </c>
      <c r="G478" s="57" t="s">
        <v>484</v>
      </c>
      <c r="H478" s="55" t="s">
        <v>482</v>
      </c>
    </row>
    <row r="479" spans="1:8">
      <c r="A479" s="77">
        <v>43957</v>
      </c>
      <c r="B479" s="55" t="s">
        <v>146</v>
      </c>
      <c r="C479" s="58">
        <v>1</v>
      </c>
      <c r="D479" s="65">
        <v>24</v>
      </c>
      <c r="E479" s="65">
        <v>50</v>
      </c>
      <c r="F479" s="65">
        <f t="shared" si="16"/>
        <v>26</v>
      </c>
      <c r="G479" s="57" t="s">
        <v>484</v>
      </c>
      <c r="H479" s="55" t="s">
        <v>482</v>
      </c>
    </row>
    <row r="480" spans="1:8">
      <c r="A480" s="77">
        <v>43957</v>
      </c>
      <c r="B480" s="55" t="s">
        <v>219</v>
      </c>
      <c r="C480" s="58">
        <v>1</v>
      </c>
      <c r="D480" s="65">
        <v>24</v>
      </c>
      <c r="E480" s="65">
        <v>40</v>
      </c>
      <c r="F480" s="65">
        <f t="shared" si="16"/>
        <v>16</v>
      </c>
      <c r="G480" s="57" t="s">
        <v>484</v>
      </c>
      <c r="H480" s="55" t="s">
        <v>482</v>
      </c>
    </row>
    <row r="481" spans="1:8">
      <c r="A481" s="77">
        <v>43961</v>
      </c>
      <c r="B481" s="55" t="s">
        <v>219</v>
      </c>
      <c r="C481" s="58">
        <v>1</v>
      </c>
      <c r="D481" s="65">
        <v>24</v>
      </c>
      <c r="E481" s="65">
        <v>50</v>
      </c>
      <c r="F481" s="65">
        <f t="shared" si="16"/>
        <v>26</v>
      </c>
      <c r="G481" s="57" t="s">
        <v>484</v>
      </c>
      <c r="H481" s="55" t="s">
        <v>482</v>
      </c>
    </row>
    <row r="482" spans="1:8">
      <c r="A482" s="77">
        <v>43961</v>
      </c>
      <c r="B482" s="55" t="s">
        <v>219</v>
      </c>
      <c r="C482" s="58">
        <v>1</v>
      </c>
      <c r="D482" s="65">
        <v>24</v>
      </c>
      <c r="E482" s="65">
        <v>55</v>
      </c>
      <c r="F482" s="65">
        <f t="shared" si="16"/>
        <v>31</v>
      </c>
      <c r="G482" s="57" t="s">
        <v>484</v>
      </c>
      <c r="H482" s="55" t="s">
        <v>482</v>
      </c>
    </row>
    <row r="483" spans="1:8">
      <c r="A483" s="77">
        <v>43964</v>
      </c>
      <c r="B483" s="55" t="s">
        <v>233</v>
      </c>
      <c r="C483" s="58">
        <v>1</v>
      </c>
      <c r="D483" s="65">
        <v>24</v>
      </c>
      <c r="E483" s="65">
        <v>50</v>
      </c>
      <c r="F483" s="65">
        <f t="shared" si="16"/>
        <v>26</v>
      </c>
      <c r="G483" s="57" t="s">
        <v>484</v>
      </c>
      <c r="H483" s="55" t="s">
        <v>482</v>
      </c>
    </row>
    <row r="484" spans="1:8">
      <c r="A484" s="77">
        <v>43968</v>
      </c>
      <c r="B484" s="55" t="s">
        <v>219</v>
      </c>
      <c r="C484" s="58">
        <v>1</v>
      </c>
      <c r="D484" s="65">
        <v>24</v>
      </c>
      <c r="E484" s="65">
        <v>50</v>
      </c>
      <c r="F484" s="65">
        <f t="shared" si="16"/>
        <v>26</v>
      </c>
      <c r="G484" s="57" t="s">
        <v>484</v>
      </c>
      <c r="H484" s="55" t="s">
        <v>482</v>
      </c>
    </row>
    <row r="485" spans="1:8">
      <c r="A485" s="77">
        <v>43969</v>
      </c>
      <c r="B485" s="55" t="s">
        <v>219</v>
      </c>
      <c r="C485" s="58">
        <v>1</v>
      </c>
      <c r="D485" s="65">
        <v>26</v>
      </c>
      <c r="E485" s="65">
        <v>50</v>
      </c>
      <c r="F485" s="65">
        <f t="shared" si="16"/>
        <v>24</v>
      </c>
      <c r="G485" s="57" t="s">
        <v>484</v>
      </c>
      <c r="H485" s="55" t="s">
        <v>482</v>
      </c>
    </row>
    <row r="486" spans="1:8">
      <c r="A486" s="77">
        <v>43973</v>
      </c>
      <c r="B486" s="55" t="s">
        <v>219</v>
      </c>
      <c r="C486" s="58">
        <v>1</v>
      </c>
      <c r="D486" s="65">
        <v>26</v>
      </c>
      <c r="E486" s="65">
        <v>50</v>
      </c>
      <c r="F486" s="65">
        <f t="shared" si="16"/>
        <v>24</v>
      </c>
      <c r="G486" s="57" t="s">
        <v>484</v>
      </c>
      <c r="H486" s="55" t="s">
        <v>482</v>
      </c>
    </row>
    <row r="487" spans="1:8">
      <c r="A487" s="77">
        <v>43974</v>
      </c>
      <c r="B487" s="55" t="s">
        <v>219</v>
      </c>
      <c r="C487" s="58">
        <v>1</v>
      </c>
      <c r="D487" s="65">
        <v>26</v>
      </c>
      <c r="E487" s="65">
        <v>50</v>
      </c>
      <c r="F487" s="65">
        <f t="shared" si="16"/>
        <v>24</v>
      </c>
      <c r="G487" s="57" t="s">
        <v>484</v>
      </c>
      <c r="H487" s="55" t="s">
        <v>482</v>
      </c>
    </row>
    <row r="488" spans="1:8">
      <c r="A488" s="77">
        <v>43976</v>
      </c>
      <c r="B488" s="55" t="s">
        <v>219</v>
      </c>
      <c r="C488" s="58">
        <v>1</v>
      </c>
      <c r="D488" s="65">
        <v>26</v>
      </c>
      <c r="E488" s="65">
        <v>50</v>
      </c>
      <c r="F488" s="65">
        <f t="shared" si="16"/>
        <v>24</v>
      </c>
      <c r="G488" s="57" t="s">
        <v>484</v>
      </c>
      <c r="H488" s="55" t="s">
        <v>482</v>
      </c>
    </row>
    <row r="489" spans="1:8">
      <c r="A489" s="77">
        <v>43976</v>
      </c>
      <c r="B489" s="55" t="s">
        <v>219</v>
      </c>
      <c r="C489" s="58">
        <v>1</v>
      </c>
      <c r="D489" s="65">
        <v>26</v>
      </c>
      <c r="E489" s="65">
        <v>55</v>
      </c>
      <c r="F489" s="65">
        <f t="shared" si="16"/>
        <v>29</v>
      </c>
      <c r="G489" s="57" t="s">
        <v>484</v>
      </c>
      <c r="H489" s="55" t="s">
        <v>482</v>
      </c>
    </row>
    <row r="490" spans="1:8">
      <c r="A490" s="77">
        <v>43977</v>
      </c>
      <c r="B490" s="55" t="s">
        <v>219</v>
      </c>
      <c r="C490" s="58">
        <v>1</v>
      </c>
      <c r="D490" s="65">
        <v>24</v>
      </c>
      <c r="E490" s="65">
        <v>40</v>
      </c>
      <c r="F490" s="65">
        <f t="shared" si="16"/>
        <v>16</v>
      </c>
      <c r="G490" s="57" t="s">
        <v>484</v>
      </c>
      <c r="H490" s="55" t="s">
        <v>482</v>
      </c>
    </row>
    <row r="491" spans="1:8">
      <c r="A491" s="77">
        <v>43967</v>
      </c>
      <c r="B491" s="55" t="s">
        <v>256</v>
      </c>
      <c r="C491" s="58">
        <v>1</v>
      </c>
      <c r="D491" s="65">
        <v>24</v>
      </c>
      <c r="E491" s="65">
        <v>50</v>
      </c>
      <c r="F491" s="65">
        <f t="shared" si="16"/>
        <v>26</v>
      </c>
      <c r="G491" s="57" t="s">
        <v>484</v>
      </c>
      <c r="H491" s="55" t="s">
        <v>482</v>
      </c>
    </row>
    <row r="492" spans="1:8">
      <c r="A492" s="77">
        <v>43967</v>
      </c>
      <c r="B492" s="55" t="s">
        <v>234</v>
      </c>
      <c r="C492" s="58">
        <v>1</v>
      </c>
      <c r="D492" s="65">
        <v>148</v>
      </c>
      <c r="E492" s="65">
        <v>220</v>
      </c>
      <c r="F492" s="65">
        <f t="shared" si="16"/>
        <v>72</v>
      </c>
      <c r="G492" s="57" t="s">
        <v>484</v>
      </c>
      <c r="H492" s="55" t="s">
        <v>482</v>
      </c>
    </row>
    <row r="493" spans="1:8">
      <c r="A493" s="77">
        <v>43964</v>
      </c>
      <c r="B493" s="55" t="s">
        <v>248</v>
      </c>
      <c r="C493" s="58">
        <v>1</v>
      </c>
      <c r="D493" s="65">
        <v>11</v>
      </c>
      <c r="E493" s="65">
        <v>20</v>
      </c>
      <c r="F493" s="65">
        <f t="shared" si="16"/>
        <v>9</v>
      </c>
      <c r="G493" s="57" t="s">
        <v>484</v>
      </c>
      <c r="H493" s="55" t="s">
        <v>482</v>
      </c>
    </row>
    <row r="494" spans="1:8">
      <c r="A494" s="77">
        <v>43972</v>
      </c>
      <c r="B494" s="55" t="s">
        <v>275</v>
      </c>
      <c r="C494" s="58">
        <v>1</v>
      </c>
      <c r="D494" s="65">
        <v>6</v>
      </c>
      <c r="E494" s="65">
        <v>10</v>
      </c>
      <c r="F494" s="65">
        <f t="shared" si="16"/>
        <v>4</v>
      </c>
      <c r="G494" s="57" t="s">
        <v>484</v>
      </c>
      <c r="H494" s="55" t="s">
        <v>482</v>
      </c>
    </row>
    <row r="495" spans="1:8">
      <c r="A495" s="77">
        <v>43959</v>
      </c>
      <c r="B495" s="55" t="s">
        <v>205</v>
      </c>
      <c r="C495" s="58">
        <v>1</v>
      </c>
      <c r="D495" s="65">
        <v>12</v>
      </c>
      <c r="E495" s="65">
        <v>25</v>
      </c>
      <c r="F495" s="65">
        <f t="shared" si="16"/>
        <v>13</v>
      </c>
      <c r="G495" s="57" t="s">
        <v>484</v>
      </c>
      <c r="H495" s="55" t="s">
        <v>482</v>
      </c>
    </row>
    <row r="496" spans="1:8">
      <c r="A496" s="77">
        <v>43958</v>
      </c>
      <c r="B496" s="55" t="s">
        <v>224</v>
      </c>
      <c r="C496" s="58">
        <v>1</v>
      </c>
      <c r="D496" s="65">
        <v>26</v>
      </c>
      <c r="E496" s="65">
        <v>50</v>
      </c>
      <c r="F496" s="65">
        <f t="shared" si="16"/>
        <v>24</v>
      </c>
      <c r="G496" s="57" t="s">
        <v>484</v>
      </c>
      <c r="H496" s="55" t="s">
        <v>482</v>
      </c>
    </row>
    <row r="497" spans="1:8">
      <c r="A497" s="77">
        <v>43960</v>
      </c>
      <c r="B497" s="55" t="s">
        <v>224</v>
      </c>
      <c r="C497" s="58">
        <v>1</v>
      </c>
      <c r="D497" s="65">
        <v>26</v>
      </c>
      <c r="E497" s="65">
        <v>50</v>
      </c>
      <c r="F497" s="65">
        <f t="shared" si="16"/>
        <v>24</v>
      </c>
      <c r="G497" s="57" t="s">
        <v>484</v>
      </c>
      <c r="H497" s="55" t="s">
        <v>482</v>
      </c>
    </row>
    <row r="498" spans="1:8">
      <c r="A498" s="77">
        <v>43966</v>
      </c>
      <c r="B498" s="55" t="s">
        <v>224</v>
      </c>
      <c r="C498" s="58">
        <v>1</v>
      </c>
      <c r="D498" s="65">
        <v>26</v>
      </c>
      <c r="E498" s="65">
        <v>50</v>
      </c>
      <c r="F498" s="65">
        <f t="shared" si="16"/>
        <v>24</v>
      </c>
      <c r="G498" s="57" t="s">
        <v>484</v>
      </c>
      <c r="H498" s="55" t="s">
        <v>482</v>
      </c>
    </row>
    <row r="499" spans="1:8">
      <c r="A499" s="77">
        <v>43960</v>
      </c>
      <c r="B499" s="55" t="s">
        <v>106</v>
      </c>
      <c r="C499" s="58">
        <v>1</v>
      </c>
      <c r="D499" s="65">
        <v>12</v>
      </c>
      <c r="E499" s="65">
        <v>25</v>
      </c>
      <c r="F499" s="65">
        <f t="shared" si="16"/>
        <v>13</v>
      </c>
      <c r="G499" s="57" t="s">
        <v>484</v>
      </c>
      <c r="H499" s="55" t="s">
        <v>482</v>
      </c>
    </row>
    <row r="500" spans="1:8">
      <c r="A500" s="77">
        <v>43960</v>
      </c>
      <c r="B500" s="55" t="s">
        <v>106</v>
      </c>
      <c r="C500" s="58">
        <v>1</v>
      </c>
      <c r="D500" s="65">
        <v>12</v>
      </c>
      <c r="E500" s="65">
        <v>25</v>
      </c>
      <c r="F500" s="65">
        <f t="shared" si="16"/>
        <v>13</v>
      </c>
      <c r="G500" s="57" t="s">
        <v>484</v>
      </c>
      <c r="H500" s="55" t="s">
        <v>482</v>
      </c>
    </row>
    <row r="501" spans="1:8">
      <c r="A501" s="77">
        <v>43962</v>
      </c>
      <c r="B501" s="55" t="s">
        <v>106</v>
      </c>
      <c r="C501" s="58">
        <v>1</v>
      </c>
      <c r="D501" s="65">
        <v>12</v>
      </c>
      <c r="E501" s="65">
        <v>30</v>
      </c>
      <c r="F501" s="65">
        <f t="shared" si="16"/>
        <v>18</v>
      </c>
      <c r="G501" s="57" t="s">
        <v>484</v>
      </c>
      <c r="H501" s="55" t="s">
        <v>482</v>
      </c>
    </row>
    <row r="502" spans="1:8">
      <c r="A502" s="77">
        <v>43962</v>
      </c>
      <c r="B502" s="55" t="s">
        <v>106</v>
      </c>
      <c r="C502" s="58">
        <v>1</v>
      </c>
      <c r="D502" s="65">
        <v>12</v>
      </c>
      <c r="E502" s="65">
        <v>30</v>
      </c>
      <c r="F502" s="65">
        <f t="shared" si="16"/>
        <v>18</v>
      </c>
      <c r="G502" s="57" t="s">
        <v>484</v>
      </c>
      <c r="H502" s="55" t="s">
        <v>482</v>
      </c>
    </row>
    <row r="503" spans="1:8">
      <c r="A503" s="77">
        <v>43966</v>
      </c>
      <c r="B503" s="55" t="s">
        <v>252</v>
      </c>
      <c r="C503" s="58">
        <v>1</v>
      </c>
      <c r="D503" s="65">
        <v>14</v>
      </c>
      <c r="E503" s="65">
        <v>40</v>
      </c>
      <c r="F503" s="65">
        <f t="shared" si="16"/>
        <v>26</v>
      </c>
      <c r="G503" s="57" t="s">
        <v>484</v>
      </c>
      <c r="H503" s="55" t="s">
        <v>482</v>
      </c>
    </row>
    <row r="504" spans="1:8">
      <c r="A504" s="77">
        <v>43966</v>
      </c>
      <c r="B504" s="55" t="s">
        <v>252</v>
      </c>
      <c r="C504" s="58">
        <v>1</v>
      </c>
      <c r="D504" s="65">
        <v>14</v>
      </c>
      <c r="E504" s="65">
        <v>40</v>
      </c>
      <c r="F504" s="65">
        <f t="shared" si="16"/>
        <v>26</v>
      </c>
      <c r="G504" s="57" t="s">
        <v>484</v>
      </c>
      <c r="H504" s="55" t="s">
        <v>482</v>
      </c>
    </row>
    <row r="505" spans="1:8">
      <c r="A505" s="77">
        <v>43955</v>
      </c>
      <c r="B505" s="55" t="s">
        <v>93</v>
      </c>
      <c r="C505" s="58">
        <v>1</v>
      </c>
      <c r="D505" s="65">
        <v>14</v>
      </c>
      <c r="E505" s="65">
        <v>30</v>
      </c>
      <c r="F505" s="65">
        <f t="shared" si="16"/>
        <v>16</v>
      </c>
      <c r="G505" s="57" t="s">
        <v>484</v>
      </c>
      <c r="H505" s="55" t="s">
        <v>482</v>
      </c>
    </row>
    <row r="506" spans="1:8">
      <c r="A506" s="77">
        <v>43955</v>
      </c>
      <c r="B506" s="55" t="s">
        <v>93</v>
      </c>
      <c r="C506" s="58">
        <v>1</v>
      </c>
      <c r="D506" s="50">
        <v>14</v>
      </c>
      <c r="E506" s="63">
        <v>30</v>
      </c>
      <c r="F506" s="65">
        <f t="shared" si="16"/>
        <v>16</v>
      </c>
      <c r="G506" s="57" t="s">
        <v>484</v>
      </c>
      <c r="H506" s="55" t="s">
        <v>482</v>
      </c>
    </row>
    <row r="507" spans="1:8">
      <c r="A507" s="77">
        <v>43958</v>
      </c>
      <c r="B507" s="55" t="s">
        <v>93</v>
      </c>
      <c r="C507" s="58">
        <v>1</v>
      </c>
      <c r="D507" s="65">
        <v>13</v>
      </c>
      <c r="E507" s="65">
        <v>30</v>
      </c>
      <c r="F507" s="65">
        <f t="shared" si="16"/>
        <v>17</v>
      </c>
      <c r="G507" s="57" t="s">
        <v>484</v>
      </c>
      <c r="H507" s="55" t="s">
        <v>482</v>
      </c>
    </row>
    <row r="508" spans="1:8">
      <c r="A508" s="77">
        <v>43961</v>
      </c>
      <c r="B508" s="55" t="s">
        <v>220</v>
      </c>
      <c r="C508" s="58">
        <v>1</v>
      </c>
      <c r="D508" s="65">
        <v>17.5</v>
      </c>
      <c r="E508" s="65">
        <v>40</v>
      </c>
      <c r="F508" s="65">
        <f t="shared" si="16"/>
        <v>22.5</v>
      </c>
      <c r="G508" s="57" t="s">
        <v>484</v>
      </c>
      <c r="H508" s="55" t="s">
        <v>482</v>
      </c>
    </row>
    <row r="509" spans="1:8">
      <c r="A509" s="77">
        <v>43954</v>
      </c>
      <c r="B509" s="55" t="s">
        <v>141</v>
      </c>
      <c r="C509" s="58">
        <v>1</v>
      </c>
      <c r="D509" s="65">
        <v>0.95</v>
      </c>
      <c r="E509" s="65">
        <v>15</v>
      </c>
      <c r="F509" s="65">
        <f t="shared" si="16"/>
        <v>14.05</v>
      </c>
      <c r="G509" s="57" t="s">
        <v>484</v>
      </c>
      <c r="H509" s="55" t="s">
        <v>482</v>
      </c>
    </row>
    <row r="510" spans="1:8">
      <c r="A510" s="77">
        <v>43954</v>
      </c>
      <c r="B510" s="55" t="s">
        <v>141</v>
      </c>
      <c r="C510" s="58">
        <v>1</v>
      </c>
      <c r="D510" s="65">
        <v>0.95</v>
      </c>
      <c r="E510" s="65">
        <v>15</v>
      </c>
      <c r="F510" s="65">
        <f t="shared" si="16"/>
        <v>14.05</v>
      </c>
      <c r="G510" s="57" t="s">
        <v>484</v>
      </c>
      <c r="H510" s="55" t="s">
        <v>482</v>
      </c>
    </row>
    <row r="511" spans="1:8">
      <c r="A511" s="77">
        <v>43974</v>
      </c>
      <c r="B511" s="55" t="s">
        <v>141</v>
      </c>
      <c r="C511" s="58">
        <v>1</v>
      </c>
      <c r="D511" s="65">
        <v>1</v>
      </c>
      <c r="E511" s="65">
        <v>15</v>
      </c>
      <c r="F511" s="65">
        <f t="shared" si="16"/>
        <v>14</v>
      </c>
      <c r="G511" s="57" t="s">
        <v>484</v>
      </c>
      <c r="H511" s="55" t="s">
        <v>482</v>
      </c>
    </row>
    <row r="512" spans="1:8">
      <c r="A512" s="77">
        <v>43957</v>
      </c>
      <c r="B512" s="55" t="s">
        <v>221</v>
      </c>
      <c r="C512" s="58">
        <v>1</v>
      </c>
      <c r="D512" s="65">
        <v>1</v>
      </c>
      <c r="E512" s="65">
        <v>15</v>
      </c>
      <c r="F512" s="65">
        <f t="shared" si="16"/>
        <v>14</v>
      </c>
      <c r="G512" s="57" t="s">
        <v>484</v>
      </c>
      <c r="H512" s="55" t="s">
        <v>482</v>
      </c>
    </row>
    <row r="513" spans="1:8">
      <c r="A513" s="77">
        <v>43953</v>
      </c>
      <c r="B513" s="55" t="s">
        <v>197</v>
      </c>
      <c r="C513" s="58">
        <v>1</v>
      </c>
      <c r="D513" s="65">
        <v>7</v>
      </c>
      <c r="E513" s="65">
        <v>14</v>
      </c>
      <c r="F513" s="65">
        <f t="shared" si="16"/>
        <v>7</v>
      </c>
      <c r="G513" s="57" t="s">
        <v>484</v>
      </c>
      <c r="H513" s="55" t="s">
        <v>482</v>
      </c>
    </row>
    <row r="514" spans="1:8">
      <c r="A514" s="77">
        <v>43953</v>
      </c>
      <c r="B514" s="55" t="s">
        <v>197</v>
      </c>
      <c r="C514" s="58">
        <v>1</v>
      </c>
      <c r="D514" s="65">
        <v>7</v>
      </c>
      <c r="E514" s="65">
        <v>14</v>
      </c>
      <c r="F514" s="65">
        <f t="shared" si="16"/>
        <v>7</v>
      </c>
      <c r="G514" s="57" t="s">
        <v>484</v>
      </c>
      <c r="H514" s="55" t="s">
        <v>482</v>
      </c>
    </row>
    <row r="515" spans="1:8">
      <c r="A515" s="77">
        <v>43953</v>
      </c>
      <c r="B515" s="55" t="s">
        <v>197</v>
      </c>
      <c r="C515" s="58">
        <v>1</v>
      </c>
      <c r="D515" s="65">
        <v>7</v>
      </c>
      <c r="E515" s="65">
        <v>14</v>
      </c>
      <c r="F515" s="65">
        <f t="shared" si="16"/>
        <v>7</v>
      </c>
      <c r="G515" s="57" t="s">
        <v>484</v>
      </c>
      <c r="H515" s="55" t="s">
        <v>482</v>
      </c>
    </row>
    <row r="516" spans="1:8">
      <c r="A516" s="77">
        <v>43953</v>
      </c>
      <c r="B516" s="55" t="s">
        <v>197</v>
      </c>
      <c r="C516" s="58">
        <v>1</v>
      </c>
      <c r="D516" s="65">
        <v>7</v>
      </c>
      <c r="E516" s="65">
        <v>14</v>
      </c>
      <c r="F516" s="65">
        <f t="shared" si="16"/>
        <v>7</v>
      </c>
      <c r="G516" s="57" t="s">
        <v>484</v>
      </c>
      <c r="H516" s="55" t="s">
        <v>482</v>
      </c>
    </row>
    <row r="517" spans="1:8">
      <c r="A517" s="77">
        <v>43953</v>
      </c>
      <c r="B517" s="55" t="s">
        <v>197</v>
      </c>
      <c r="C517" s="58">
        <v>1</v>
      </c>
      <c r="D517" s="65">
        <v>7</v>
      </c>
      <c r="E517" s="65">
        <v>14</v>
      </c>
      <c r="F517" s="65">
        <f t="shared" si="16"/>
        <v>7</v>
      </c>
      <c r="G517" s="57" t="s">
        <v>484</v>
      </c>
      <c r="H517" s="55" t="s">
        <v>482</v>
      </c>
    </row>
    <row r="518" spans="1:8">
      <c r="A518" s="77">
        <v>43953</v>
      </c>
      <c r="B518" s="55" t="s">
        <v>197</v>
      </c>
      <c r="C518" s="58">
        <v>1</v>
      </c>
      <c r="D518" s="65">
        <v>7</v>
      </c>
      <c r="E518" s="65">
        <v>14</v>
      </c>
      <c r="F518" s="65">
        <f t="shared" si="16"/>
        <v>7</v>
      </c>
      <c r="G518" s="57" t="s">
        <v>484</v>
      </c>
      <c r="H518" s="55" t="s">
        <v>482</v>
      </c>
    </row>
    <row r="519" spans="1:8">
      <c r="A519" s="77">
        <v>43954</v>
      </c>
      <c r="B519" s="55" t="s">
        <v>197</v>
      </c>
      <c r="C519" s="58">
        <v>1</v>
      </c>
      <c r="D519" s="65">
        <v>7</v>
      </c>
      <c r="E519" s="65">
        <v>25</v>
      </c>
      <c r="F519" s="65">
        <f t="shared" si="16"/>
        <v>18</v>
      </c>
      <c r="G519" s="57" t="s">
        <v>484</v>
      </c>
      <c r="H519" s="55" t="s">
        <v>482</v>
      </c>
    </row>
    <row r="520" spans="1:8">
      <c r="A520" s="77">
        <v>43957</v>
      </c>
      <c r="B520" s="55" t="s">
        <v>197</v>
      </c>
      <c r="C520" s="58">
        <v>1</v>
      </c>
      <c r="D520" s="65">
        <v>6.8</v>
      </c>
      <c r="E520" s="65">
        <v>15</v>
      </c>
      <c r="F520" s="65">
        <f t="shared" si="16"/>
        <v>8.1999999999999993</v>
      </c>
      <c r="G520" s="57" t="s">
        <v>484</v>
      </c>
      <c r="H520" s="55" t="s">
        <v>482</v>
      </c>
    </row>
    <row r="521" spans="1:8">
      <c r="A521" s="77">
        <v>43959</v>
      </c>
      <c r="B521" s="55" t="s">
        <v>197</v>
      </c>
      <c r="C521" s="58">
        <v>1</v>
      </c>
      <c r="D521" s="65">
        <v>6.8</v>
      </c>
      <c r="E521" s="65">
        <v>15</v>
      </c>
      <c r="F521" s="65">
        <f t="shared" si="16"/>
        <v>8.1999999999999993</v>
      </c>
      <c r="G521" s="57" t="s">
        <v>484</v>
      </c>
      <c r="H521" s="55" t="s">
        <v>482</v>
      </c>
    </row>
    <row r="522" spans="1:8">
      <c r="A522" s="77">
        <v>43959</v>
      </c>
      <c r="B522" s="55" t="s">
        <v>197</v>
      </c>
      <c r="C522" s="58">
        <v>1</v>
      </c>
      <c r="D522" s="65">
        <v>6.8</v>
      </c>
      <c r="E522" s="65">
        <v>15</v>
      </c>
      <c r="F522" s="65">
        <f t="shared" si="16"/>
        <v>8.1999999999999993</v>
      </c>
      <c r="G522" s="57" t="s">
        <v>484</v>
      </c>
      <c r="H522" s="55" t="s">
        <v>482</v>
      </c>
    </row>
    <row r="523" spans="1:8">
      <c r="A523" s="77">
        <v>43959</v>
      </c>
      <c r="B523" s="55" t="s">
        <v>197</v>
      </c>
      <c r="C523" s="58">
        <v>1</v>
      </c>
      <c r="D523" s="65">
        <v>6.8</v>
      </c>
      <c r="E523" s="65">
        <v>15</v>
      </c>
      <c r="F523" s="65">
        <f t="shared" si="16"/>
        <v>8.1999999999999993</v>
      </c>
      <c r="G523" s="57" t="s">
        <v>484</v>
      </c>
      <c r="H523" s="55" t="s">
        <v>482</v>
      </c>
    </row>
    <row r="524" spans="1:8">
      <c r="A524" s="77">
        <v>43959</v>
      </c>
      <c r="B524" s="55" t="s">
        <v>197</v>
      </c>
      <c r="C524" s="58">
        <v>1</v>
      </c>
      <c r="D524" s="65">
        <v>6.8</v>
      </c>
      <c r="E524" s="65">
        <v>15</v>
      </c>
      <c r="F524" s="65">
        <f t="shared" si="16"/>
        <v>8.1999999999999993</v>
      </c>
      <c r="G524" s="57" t="s">
        <v>484</v>
      </c>
      <c r="H524" s="55" t="s">
        <v>482</v>
      </c>
    </row>
    <row r="525" spans="1:8">
      <c r="A525" s="77">
        <v>43959</v>
      </c>
      <c r="B525" s="55" t="s">
        <v>197</v>
      </c>
      <c r="C525" s="58">
        <v>1</v>
      </c>
      <c r="D525" s="65">
        <v>6.8</v>
      </c>
      <c r="E525" s="65">
        <v>15</v>
      </c>
      <c r="F525" s="65">
        <f t="shared" si="16"/>
        <v>8.1999999999999993</v>
      </c>
      <c r="G525" s="57" t="s">
        <v>484</v>
      </c>
      <c r="H525" s="55" t="s">
        <v>482</v>
      </c>
    </row>
    <row r="526" spans="1:8">
      <c r="A526" s="77">
        <v>43959</v>
      </c>
      <c r="B526" s="55" t="s">
        <v>197</v>
      </c>
      <c r="C526" s="58">
        <v>1</v>
      </c>
      <c r="D526" s="65">
        <v>6.8</v>
      </c>
      <c r="E526" s="65">
        <v>15</v>
      </c>
      <c r="F526" s="65">
        <f t="shared" si="16"/>
        <v>8.1999999999999993</v>
      </c>
      <c r="G526" s="57" t="s">
        <v>484</v>
      </c>
      <c r="H526" s="55" t="s">
        <v>482</v>
      </c>
    </row>
    <row r="527" spans="1:8">
      <c r="A527" s="77">
        <v>43959</v>
      </c>
      <c r="B527" s="55" t="s">
        <v>197</v>
      </c>
      <c r="C527" s="58">
        <v>1</v>
      </c>
      <c r="D527" s="65">
        <v>6.8</v>
      </c>
      <c r="E527" s="65">
        <v>15</v>
      </c>
      <c r="F527" s="65">
        <f t="shared" si="16"/>
        <v>8.1999999999999993</v>
      </c>
      <c r="G527" s="57" t="s">
        <v>484</v>
      </c>
      <c r="H527" s="55" t="s">
        <v>482</v>
      </c>
    </row>
    <row r="528" spans="1:8">
      <c r="A528" s="77">
        <v>43959</v>
      </c>
      <c r="B528" s="55" t="s">
        <v>197</v>
      </c>
      <c r="C528" s="58">
        <v>1</v>
      </c>
      <c r="D528" s="65">
        <v>6.8</v>
      </c>
      <c r="E528" s="65">
        <v>15</v>
      </c>
      <c r="F528" s="65">
        <f t="shared" si="16"/>
        <v>8.1999999999999993</v>
      </c>
      <c r="G528" s="57" t="s">
        <v>484</v>
      </c>
      <c r="H528" s="55" t="s">
        <v>482</v>
      </c>
    </row>
    <row r="529" spans="1:8">
      <c r="A529" s="77">
        <v>43960</v>
      </c>
      <c r="B529" s="55" t="s">
        <v>197</v>
      </c>
      <c r="C529" s="58">
        <v>1</v>
      </c>
      <c r="D529" s="65">
        <v>6.8</v>
      </c>
      <c r="E529" s="65">
        <v>13</v>
      </c>
      <c r="F529" s="65">
        <f t="shared" si="16"/>
        <v>6.2</v>
      </c>
      <c r="G529" s="57" t="s">
        <v>484</v>
      </c>
      <c r="H529" s="55" t="s">
        <v>482</v>
      </c>
    </row>
    <row r="530" spans="1:8">
      <c r="A530" s="77">
        <v>43960</v>
      </c>
      <c r="B530" s="55" t="s">
        <v>197</v>
      </c>
      <c r="C530" s="58">
        <v>1</v>
      </c>
      <c r="D530" s="65">
        <v>6.8</v>
      </c>
      <c r="E530" s="65">
        <v>13</v>
      </c>
      <c r="F530" s="65">
        <f t="shared" si="16"/>
        <v>6.2</v>
      </c>
      <c r="G530" s="57" t="s">
        <v>484</v>
      </c>
      <c r="H530" s="55" t="s">
        <v>482</v>
      </c>
    </row>
    <row r="531" spans="1:8">
      <c r="A531" s="77">
        <v>43961</v>
      </c>
      <c r="B531" s="55" t="s">
        <v>197</v>
      </c>
      <c r="C531" s="58">
        <v>1</v>
      </c>
      <c r="D531" s="65">
        <v>6.8</v>
      </c>
      <c r="E531" s="65">
        <v>13</v>
      </c>
      <c r="F531" s="65">
        <f t="shared" si="16"/>
        <v>6.2</v>
      </c>
      <c r="G531" s="57" t="s">
        <v>484</v>
      </c>
      <c r="H531" s="55" t="s">
        <v>482</v>
      </c>
    </row>
    <row r="532" spans="1:8">
      <c r="A532" s="77">
        <v>43962</v>
      </c>
      <c r="B532" s="55" t="s">
        <v>197</v>
      </c>
      <c r="C532" s="58">
        <v>1</v>
      </c>
      <c r="D532" s="65">
        <v>6.8</v>
      </c>
      <c r="E532" s="65">
        <v>13</v>
      </c>
      <c r="F532" s="65">
        <f t="shared" si="16"/>
        <v>6.2</v>
      </c>
      <c r="G532" s="57" t="s">
        <v>484</v>
      </c>
      <c r="H532" s="55" t="s">
        <v>482</v>
      </c>
    </row>
    <row r="533" spans="1:8">
      <c r="A533" s="77">
        <v>43962</v>
      </c>
      <c r="B533" s="55" t="s">
        <v>197</v>
      </c>
      <c r="C533" s="58">
        <v>1</v>
      </c>
      <c r="D533" s="65">
        <v>6.8</v>
      </c>
      <c r="E533" s="65">
        <v>13</v>
      </c>
      <c r="F533" s="65">
        <f t="shared" si="16"/>
        <v>6.2</v>
      </c>
      <c r="G533" s="57" t="s">
        <v>484</v>
      </c>
      <c r="H533" s="55" t="s">
        <v>482</v>
      </c>
    </row>
    <row r="534" spans="1:8">
      <c r="A534" s="77">
        <v>43965</v>
      </c>
      <c r="B534" s="55" t="s">
        <v>197</v>
      </c>
      <c r="C534" s="58">
        <v>1</v>
      </c>
      <c r="D534" s="65">
        <v>6.8</v>
      </c>
      <c r="E534" s="65">
        <v>13</v>
      </c>
      <c r="F534" s="65">
        <f t="shared" si="16"/>
        <v>6.2</v>
      </c>
      <c r="G534" s="57" t="s">
        <v>484</v>
      </c>
      <c r="H534" s="55" t="s">
        <v>482</v>
      </c>
    </row>
    <row r="535" spans="1:8">
      <c r="A535" s="77">
        <v>43965</v>
      </c>
      <c r="B535" s="55" t="s">
        <v>197</v>
      </c>
      <c r="C535" s="58">
        <v>1</v>
      </c>
      <c r="D535" s="65">
        <v>6.8</v>
      </c>
      <c r="E535" s="65">
        <v>13</v>
      </c>
      <c r="F535" s="65">
        <f t="shared" si="16"/>
        <v>6.2</v>
      </c>
      <c r="G535" s="57" t="s">
        <v>484</v>
      </c>
      <c r="H535" s="55" t="s">
        <v>482</v>
      </c>
    </row>
    <row r="536" spans="1:8">
      <c r="A536" s="77">
        <v>43965</v>
      </c>
      <c r="B536" s="55" t="s">
        <v>247</v>
      </c>
      <c r="C536" s="58">
        <v>1</v>
      </c>
      <c r="D536" s="65">
        <v>3.5</v>
      </c>
      <c r="E536" s="65">
        <v>7</v>
      </c>
      <c r="F536" s="65">
        <f t="shared" si="16"/>
        <v>3.5</v>
      </c>
      <c r="G536" s="57" t="s">
        <v>484</v>
      </c>
      <c r="H536" s="55" t="s">
        <v>482</v>
      </c>
    </row>
    <row r="537" spans="1:8">
      <c r="A537" s="77">
        <v>43965</v>
      </c>
      <c r="B537" s="55" t="s">
        <v>247</v>
      </c>
      <c r="C537" s="58">
        <v>1</v>
      </c>
      <c r="D537" s="65">
        <v>3.5</v>
      </c>
      <c r="E537" s="65">
        <v>10</v>
      </c>
      <c r="F537" s="65">
        <f t="shared" si="16"/>
        <v>6.5</v>
      </c>
      <c r="G537" s="57" t="s">
        <v>484</v>
      </c>
      <c r="H537" s="55" t="s">
        <v>482</v>
      </c>
    </row>
    <row r="538" spans="1:8">
      <c r="A538" s="77">
        <v>43972</v>
      </c>
      <c r="B538" s="55" t="s">
        <v>276</v>
      </c>
      <c r="C538" s="58">
        <v>1</v>
      </c>
      <c r="D538" s="65">
        <v>21</v>
      </c>
      <c r="E538" s="65">
        <v>40</v>
      </c>
      <c r="F538" s="65">
        <f t="shared" si="16"/>
        <v>19</v>
      </c>
      <c r="G538" s="57" t="s">
        <v>484</v>
      </c>
      <c r="H538" s="55" t="s">
        <v>482</v>
      </c>
    </row>
    <row r="539" spans="1:8">
      <c r="A539" s="77">
        <v>43964</v>
      </c>
      <c r="B539" s="71" t="s">
        <v>246</v>
      </c>
      <c r="C539" s="58">
        <v>1</v>
      </c>
      <c r="D539" s="65">
        <v>9.5</v>
      </c>
      <c r="E539" s="65">
        <v>25</v>
      </c>
      <c r="F539" s="65">
        <f t="shared" si="16"/>
        <v>15.5</v>
      </c>
      <c r="G539" s="57" t="s">
        <v>484</v>
      </c>
      <c r="H539" s="55" t="s">
        <v>482</v>
      </c>
    </row>
    <row r="540" spans="1:8">
      <c r="A540" s="77">
        <v>43964</v>
      </c>
      <c r="B540" s="71" t="s">
        <v>246</v>
      </c>
      <c r="C540" s="58">
        <v>1</v>
      </c>
      <c r="D540" s="65">
        <v>9.5</v>
      </c>
      <c r="E540" s="65">
        <v>25</v>
      </c>
      <c r="F540" s="65">
        <f t="shared" si="16"/>
        <v>15.5</v>
      </c>
      <c r="G540" s="57" t="s">
        <v>484</v>
      </c>
      <c r="H540" s="55" t="s">
        <v>482</v>
      </c>
    </row>
    <row r="541" spans="1:8">
      <c r="A541" s="77">
        <v>43965</v>
      </c>
      <c r="B541" s="71" t="s">
        <v>246</v>
      </c>
      <c r="C541" s="58">
        <v>1</v>
      </c>
      <c r="D541" s="65">
        <v>9.5</v>
      </c>
      <c r="E541" s="65">
        <v>25</v>
      </c>
      <c r="F541" s="65">
        <f t="shared" si="16"/>
        <v>15.5</v>
      </c>
      <c r="G541" s="57" t="s">
        <v>484</v>
      </c>
      <c r="H541" s="55" t="s">
        <v>482</v>
      </c>
    </row>
    <row r="542" spans="1:8">
      <c r="A542" s="77">
        <v>43966</v>
      </c>
      <c r="B542" s="55" t="s">
        <v>246</v>
      </c>
      <c r="C542" s="58">
        <v>1</v>
      </c>
      <c r="D542" s="65">
        <v>9.5</v>
      </c>
      <c r="E542" s="65">
        <v>25</v>
      </c>
      <c r="F542" s="65">
        <f t="shared" ref="F542:F604" si="17">E542-D542</f>
        <v>15.5</v>
      </c>
      <c r="G542" s="57" t="s">
        <v>484</v>
      </c>
      <c r="H542" s="55" t="s">
        <v>482</v>
      </c>
    </row>
    <row r="543" spans="1:8">
      <c r="A543" s="77">
        <v>43967</v>
      </c>
      <c r="B543" s="55" t="s">
        <v>246</v>
      </c>
      <c r="C543" s="58">
        <v>1</v>
      </c>
      <c r="D543" s="65">
        <v>9.5</v>
      </c>
      <c r="E543" s="65">
        <v>45</v>
      </c>
      <c r="F543" s="65">
        <f t="shared" si="17"/>
        <v>35.5</v>
      </c>
      <c r="G543" s="57" t="s">
        <v>484</v>
      </c>
      <c r="H543" s="55" t="s">
        <v>482</v>
      </c>
    </row>
    <row r="544" spans="1:8">
      <c r="A544" s="77">
        <v>43967</v>
      </c>
      <c r="B544" s="55" t="s">
        <v>277</v>
      </c>
      <c r="C544" s="58">
        <v>1</v>
      </c>
      <c r="D544" s="65">
        <v>35</v>
      </c>
      <c r="E544" s="65">
        <v>70</v>
      </c>
      <c r="F544" s="65">
        <f t="shared" si="17"/>
        <v>35</v>
      </c>
      <c r="G544" s="57" t="s">
        <v>484</v>
      </c>
      <c r="H544" s="55" t="s">
        <v>482</v>
      </c>
    </row>
    <row r="545" spans="1:8">
      <c r="A545" s="77">
        <v>43953</v>
      </c>
      <c r="B545" s="55" t="s">
        <v>202</v>
      </c>
      <c r="C545" s="58">
        <v>1</v>
      </c>
      <c r="D545" s="65">
        <v>5</v>
      </c>
      <c r="E545" s="65">
        <v>20</v>
      </c>
      <c r="F545" s="65">
        <f t="shared" si="17"/>
        <v>15</v>
      </c>
      <c r="G545" s="57" t="s">
        <v>484</v>
      </c>
      <c r="H545" s="55" t="s">
        <v>482</v>
      </c>
    </row>
    <row r="546" spans="1:8">
      <c r="A546" s="77">
        <v>43953</v>
      </c>
      <c r="B546" s="55" t="s">
        <v>202</v>
      </c>
      <c r="C546" s="58">
        <v>1</v>
      </c>
      <c r="D546" s="65">
        <v>5</v>
      </c>
      <c r="E546" s="65">
        <v>20</v>
      </c>
      <c r="F546" s="65">
        <f t="shared" si="17"/>
        <v>15</v>
      </c>
      <c r="G546" s="57" t="s">
        <v>484</v>
      </c>
      <c r="H546" s="55" t="s">
        <v>482</v>
      </c>
    </row>
    <row r="547" spans="1:8">
      <c r="A547" s="77">
        <v>43955</v>
      </c>
      <c r="B547" s="55" t="s">
        <v>202</v>
      </c>
      <c r="C547" s="58">
        <v>1</v>
      </c>
      <c r="D547" s="65">
        <v>5</v>
      </c>
      <c r="E547" s="65">
        <v>30</v>
      </c>
      <c r="F547" s="65">
        <f t="shared" si="17"/>
        <v>25</v>
      </c>
      <c r="G547" s="57" t="s">
        <v>484</v>
      </c>
      <c r="H547" s="55" t="s">
        <v>482</v>
      </c>
    </row>
    <row r="548" spans="1:8">
      <c r="A548" s="77">
        <v>43955</v>
      </c>
      <c r="B548" s="55" t="s">
        <v>202</v>
      </c>
      <c r="C548" s="58">
        <v>1</v>
      </c>
      <c r="D548" s="65">
        <v>5</v>
      </c>
      <c r="E548" s="65">
        <v>20</v>
      </c>
      <c r="F548" s="65">
        <f t="shared" si="17"/>
        <v>15</v>
      </c>
      <c r="G548" s="57" t="s">
        <v>484</v>
      </c>
      <c r="H548" s="55" t="s">
        <v>482</v>
      </c>
    </row>
    <row r="549" spans="1:8">
      <c r="A549" s="77">
        <v>43957</v>
      </c>
      <c r="B549" s="55" t="s">
        <v>202</v>
      </c>
      <c r="C549" s="58">
        <v>1</v>
      </c>
      <c r="D549" s="65">
        <v>5</v>
      </c>
      <c r="E549" s="65">
        <v>35</v>
      </c>
      <c r="F549" s="65">
        <f t="shared" si="17"/>
        <v>30</v>
      </c>
      <c r="G549" s="57" t="s">
        <v>484</v>
      </c>
      <c r="H549" s="55" t="s">
        <v>482</v>
      </c>
    </row>
    <row r="550" spans="1:8">
      <c r="A550" s="77">
        <v>43958</v>
      </c>
      <c r="B550" s="55" t="s">
        <v>202</v>
      </c>
      <c r="C550" s="58">
        <v>1</v>
      </c>
      <c r="D550" s="65">
        <v>5</v>
      </c>
      <c r="E550" s="65">
        <v>30</v>
      </c>
      <c r="F550" s="65">
        <f t="shared" si="17"/>
        <v>25</v>
      </c>
      <c r="G550" s="57" t="s">
        <v>484</v>
      </c>
      <c r="H550" s="55" t="s">
        <v>482</v>
      </c>
    </row>
    <row r="551" spans="1:8">
      <c r="A551" s="77">
        <v>43959</v>
      </c>
      <c r="B551" s="55" t="s">
        <v>202</v>
      </c>
      <c r="C551" s="58">
        <v>1</v>
      </c>
      <c r="D551" s="65">
        <v>5</v>
      </c>
      <c r="E551" s="65">
        <v>20</v>
      </c>
      <c r="F551" s="65">
        <f t="shared" si="17"/>
        <v>15</v>
      </c>
      <c r="G551" s="57" t="s">
        <v>484</v>
      </c>
      <c r="H551" s="55" t="s">
        <v>482</v>
      </c>
    </row>
    <row r="552" spans="1:8">
      <c r="A552" s="77">
        <v>43959</v>
      </c>
      <c r="B552" s="55" t="s">
        <v>202</v>
      </c>
      <c r="C552" s="58">
        <v>1</v>
      </c>
      <c r="D552" s="65">
        <v>5</v>
      </c>
      <c r="E552" s="65">
        <v>20</v>
      </c>
      <c r="F552" s="65">
        <f t="shared" si="17"/>
        <v>15</v>
      </c>
      <c r="G552" s="57" t="s">
        <v>484</v>
      </c>
      <c r="H552" s="55" t="s">
        <v>482</v>
      </c>
    </row>
    <row r="553" spans="1:8">
      <c r="A553" s="77">
        <v>43960</v>
      </c>
      <c r="B553" s="55" t="s">
        <v>202</v>
      </c>
      <c r="C553" s="58">
        <v>1</v>
      </c>
      <c r="D553" s="65">
        <v>5</v>
      </c>
      <c r="E553" s="65">
        <v>20</v>
      </c>
      <c r="F553" s="65">
        <f t="shared" si="17"/>
        <v>15</v>
      </c>
      <c r="G553" s="57" t="s">
        <v>484</v>
      </c>
      <c r="H553" s="55" t="s">
        <v>482</v>
      </c>
    </row>
    <row r="554" spans="1:8">
      <c r="A554" s="77">
        <v>43961</v>
      </c>
      <c r="B554" s="55" t="s">
        <v>202</v>
      </c>
      <c r="C554" s="58">
        <v>1</v>
      </c>
      <c r="D554" s="65">
        <v>5</v>
      </c>
      <c r="E554" s="65">
        <v>20</v>
      </c>
      <c r="F554" s="65">
        <f t="shared" si="17"/>
        <v>15</v>
      </c>
      <c r="G554" s="57" t="s">
        <v>484</v>
      </c>
      <c r="H554" s="55" t="s">
        <v>482</v>
      </c>
    </row>
    <row r="555" spans="1:8">
      <c r="A555" s="77">
        <v>43961</v>
      </c>
      <c r="B555" s="55" t="s">
        <v>202</v>
      </c>
      <c r="C555" s="58">
        <v>1</v>
      </c>
      <c r="D555" s="65">
        <v>5</v>
      </c>
      <c r="E555" s="65">
        <v>20</v>
      </c>
      <c r="F555" s="65">
        <f t="shared" si="17"/>
        <v>15</v>
      </c>
      <c r="G555" s="57" t="s">
        <v>484</v>
      </c>
      <c r="H555" s="55" t="s">
        <v>482</v>
      </c>
    </row>
    <row r="556" spans="1:8">
      <c r="A556" s="77">
        <v>43963</v>
      </c>
      <c r="B556" s="55" t="s">
        <v>202</v>
      </c>
      <c r="C556" s="58">
        <v>1</v>
      </c>
      <c r="D556" s="65">
        <v>5</v>
      </c>
      <c r="E556" s="65">
        <v>20</v>
      </c>
      <c r="F556" s="65">
        <f t="shared" si="17"/>
        <v>15</v>
      </c>
      <c r="G556" s="57" t="s">
        <v>484</v>
      </c>
      <c r="H556" s="55" t="s">
        <v>482</v>
      </c>
    </row>
    <row r="557" spans="1:8">
      <c r="A557" s="77">
        <v>43965</v>
      </c>
      <c r="B557" s="55" t="s">
        <v>202</v>
      </c>
      <c r="C557" s="58">
        <v>1</v>
      </c>
      <c r="D557" s="65">
        <v>5</v>
      </c>
      <c r="E557" s="65">
        <v>20</v>
      </c>
      <c r="F557" s="65">
        <f t="shared" si="17"/>
        <v>15</v>
      </c>
      <c r="G557" s="57" t="s">
        <v>484</v>
      </c>
      <c r="H557" s="55" t="s">
        <v>482</v>
      </c>
    </row>
    <row r="558" spans="1:8">
      <c r="A558" s="77">
        <v>43967</v>
      </c>
      <c r="B558" s="55" t="s">
        <v>202</v>
      </c>
      <c r="C558" s="58">
        <v>1</v>
      </c>
      <c r="D558" s="65">
        <v>5</v>
      </c>
      <c r="E558" s="65">
        <v>20</v>
      </c>
      <c r="F558" s="65">
        <f t="shared" si="17"/>
        <v>15</v>
      </c>
      <c r="G558" s="57" t="s">
        <v>484</v>
      </c>
      <c r="H558" s="55" t="s">
        <v>482</v>
      </c>
    </row>
    <row r="559" spans="1:8">
      <c r="A559" s="77">
        <v>43967</v>
      </c>
      <c r="B559" s="55" t="s">
        <v>202</v>
      </c>
      <c r="C559" s="58">
        <v>1</v>
      </c>
      <c r="D559" s="65">
        <v>5</v>
      </c>
      <c r="E559" s="65">
        <v>20</v>
      </c>
      <c r="F559" s="65">
        <f t="shared" si="17"/>
        <v>15</v>
      </c>
      <c r="G559" s="57" t="s">
        <v>484</v>
      </c>
      <c r="H559" s="55" t="s">
        <v>482</v>
      </c>
    </row>
    <row r="560" spans="1:8">
      <c r="A560" s="77">
        <v>43968</v>
      </c>
      <c r="B560" s="55" t="s">
        <v>278</v>
      </c>
      <c r="C560" s="58">
        <v>1</v>
      </c>
      <c r="D560" s="65">
        <v>30</v>
      </c>
      <c r="E560" s="65">
        <v>50</v>
      </c>
      <c r="F560" s="65">
        <f t="shared" si="17"/>
        <v>20</v>
      </c>
      <c r="G560" s="57" t="s">
        <v>484</v>
      </c>
      <c r="H560" s="55" t="s">
        <v>482</v>
      </c>
    </row>
    <row r="561" spans="1:8">
      <c r="A561" s="77">
        <v>43969</v>
      </c>
      <c r="B561" s="55" t="s">
        <v>226</v>
      </c>
      <c r="C561" s="58">
        <v>1</v>
      </c>
      <c r="D561" s="65">
        <v>2.5</v>
      </c>
      <c r="E561" s="65">
        <v>5</v>
      </c>
      <c r="F561" s="65">
        <f t="shared" si="17"/>
        <v>2.5</v>
      </c>
      <c r="G561" s="57" t="s">
        <v>484</v>
      </c>
      <c r="H561" s="55" t="s">
        <v>482</v>
      </c>
    </row>
    <row r="562" spans="1:8">
      <c r="A562" s="77">
        <v>43970</v>
      </c>
      <c r="B562" s="55" t="s">
        <v>259</v>
      </c>
      <c r="C562" s="58">
        <v>1</v>
      </c>
      <c r="D562" s="65">
        <v>2.5</v>
      </c>
      <c r="E562" s="65">
        <v>5</v>
      </c>
      <c r="F562" s="65">
        <f t="shared" si="17"/>
        <v>2.5</v>
      </c>
      <c r="G562" s="57" t="s">
        <v>484</v>
      </c>
      <c r="H562" s="55" t="s">
        <v>482</v>
      </c>
    </row>
    <row r="563" spans="1:8">
      <c r="A563" s="77">
        <v>43971</v>
      </c>
      <c r="B563" s="55" t="s">
        <v>258</v>
      </c>
      <c r="C563" s="58">
        <v>1</v>
      </c>
      <c r="D563" s="65">
        <v>6</v>
      </c>
      <c r="E563" s="65">
        <v>15</v>
      </c>
      <c r="F563" s="65">
        <f t="shared" si="17"/>
        <v>9</v>
      </c>
      <c r="G563" s="57" t="s">
        <v>484</v>
      </c>
      <c r="H563" s="55" t="s">
        <v>482</v>
      </c>
    </row>
    <row r="564" spans="1:8">
      <c r="A564" s="77">
        <v>43960</v>
      </c>
      <c r="B564" s="55" t="s">
        <v>139</v>
      </c>
      <c r="C564" s="58">
        <v>1</v>
      </c>
      <c r="D564" s="65">
        <v>20</v>
      </c>
      <c r="E564" s="65">
        <v>40</v>
      </c>
      <c r="F564" s="65">
        <f t="shared" si="17"/>
        <v>20</v>
      </c>
      <c r="G564" s="57" t="s">
        <v>484</v>
      </c>
      <c r="H564" s="55" t="s">
        <v>482</v>
      </c>
    </row>
    <row r="565" spans="1:8">
      <c r="A565" s="77">
        <v>43954</v>
      </c>
      <c r="B565" s="55" t="s">
        <v>161</v>
      </c>
      <c r="C565" s="58">
        <v>1</v>
      </c>
      <c r="D565" s="65">
        <v>15</v>
      </c>
      <c r="E565" s="65">
        <v>30</v>
      </c>
      <c r="F565" s="65">
        <f t="shared" si="17"/>
        <v>15</v>
      </c>
      <c r="G565" s="57" t="s">
        <v>484</v>
      </c>
      <c r="H565" s="55" t="s">
        <v>482</v>
      </c>
    </row>
    <row r="566" spans="1:8">
      <c r="A566" s="77">
        <v>43960</v>
      </c>
      <c r="B566" s="55" t="s">
        <v>161</v>
      </c>
      <c r="C566" s="58">
        <v>1</v>
      </c>
      <c r="D566" s="65">
        <v>15</v>
      </c>
      <c r="E566" s="65">
        <v>30</v>
      </c>
      <c r="F566" s="65">
        <f t="shared" si="17"/>
        <v>15</v>
      </c>
      <c r="G566" s="57" t="s">
        <v>484</v>
      </c>
      <c r="H566" s="55" t="s">
        <v>482</v>
      </c>
    </row>
    <row r="567" spans="1:8">
      <c r="A567" s="77">
        <v>43962</v>
      </c>
      <c r="B567" s="55" t="s">
        <v>161</v>
      </c>
      <c r="C567" s="58">
        <v>1</v>
      </c>
      <c r="D567" s="65">
        <v>15</v>
      </c>
      <c r="E567" s="65">
        <v>35</v>
      </c>
      <c r="F567" s="65">
        <f t="shared" si="17"/>
        <v>20</v>
      </c>
      <c r="G567" s="57" t="s">
        <v>484</v>
      </c>
      <c r="H567" s="55" t="s">
        <v>482</v>
      </c>
    </row>
    <row r="568" spans="1:8">
      <c r="A568" s="77">
        <v>43976</v>
      </c>
      <c r="B568" s="55" t="s">
        <v>161</v>
      </c>
      <c r="C568" s="58">
        <v>1</v>
      </c>
      <c r="D568" s="65">
        <v>15</v>
      </c>
      <c r="E568" s="65">
        <v>35</v>
      </c>
      <c r="F568" s="65">
        <f t="shared" si="17"/>
        <v>20</v>
      </c>
      <c r="G568" s="57" t="s">
        <v>484</v>
      </c>
      <c r="H568" s="55" t="s">
        <v>482</v>
      </c>
    </row>
    <row r="569" spans="1:8">
      <c r="A569" s="77">
        <v>43960</v>
      </c>
      <c r="B569" s="55" t="s">
        <v>208</v>
      </c>
      <c r="C569" s="58">
        <v>1</v>
      </c>
      <c r="D569" s="65">
        <v>25</v>
      </c>
      <c r="E569" s="65">
        <v>40</v>
      </c>
      <c r="F569" s="65">
        <f t="shared" si="17"/>
        <v>15</v>
      </c>
      <c r="G569" s="57" t="s">
        <v>484</v>
      </c>
      <c r="H569" s="55" t="s">
        <v>482</v>
      </c>
    </row>
    <row r="570" spans="1:8">
      <c r="A570" s="77">
        <v>43952</v>
      </c>
      <c r="B570" s="56" t="s">
        <v>169</v>
      </c>
      <c r="C570" s="58">
        <v>1</v>
      </c>
      <c r="D570" s="50">
        <v>17</v>
      </c>
      <c r="E570" s="63">
        <v>40</v>
      </c>
      <c r="F570" s="65">
        <f t="shared" si="17"/>
        <v>23</v>
      </c>
      <c r="G570" s="57" t="s">
        <v>484</v>
      </c>
      <c r="H570" s="55" t="s">
        <v>482</v>
      </c>
    </row>
    <row r="571" spans="1:8">
      <c r="A571" s="77">
        <v>43955</v>
      </c>
      <c r="B571" s="56" t="s">
        <v>169</v>
      </c>
      <c r="C571" s="58">
        <v>1</v>
      </c>
      <c r="D571" s="50">
        <v>20</v>
      </c>
      <c r="E571" s="63">
        <v>45</v>
      </c>
      <c r="F571" s="65">
        <f t="shared" si="17"/>
        <v>25</v>
      </c>
      <c r="G571" s="57" t="s">
        <v>484</v>
      </c>
      <c r="H571" s="55" t="s">
        <v>482</v>
      </c>
    </row>
    <row r="572" spans="1:8">
      <c r="A572" s="77">
        <v>43955</v>
      </c>
      <c r="B572" s="56" t="s">
        <v>169</v>
      </c>
      <c r="C572" s="58">
        <v>1</v>
      </c>
      <c r="D572" s="50">
        <v>17</v>
      </c>
      <c r="E572" s="63">
        <v>45</v>
      </c>
      <c r="F572" s="65">
        <f t="shared" si="17"/>
        <v>28</v>
      </c>
      <c r="G572" s="57" t="s">
        <v>484</v>
      </c>
      <c r="H572" s="55" t="s">
        <v>482</v>
      </c>
    </row>
    <row r="573" spans="1:8">
      <c r="A573" s="77">
        <v>43975</v>
      </c>
      <c r="B573" s="55" t="s">
        <v>169</v>
      </c>
      <c r="C573" s="58">
        <v>1</v>
      </c>
      <c r="D573" s="65">
        <v>20</v>
      </c>
      <c r="E573" s="65">
        <v>50</v>
      </c>
      <c r="F573" s="65">
        <f t="shared" si="17"/>
        <v>30</v>
      </c>
      <c r="G573" s="57" t="s">
        <v>484</v>
      </c>
      <c r="H573" s="55" t="s">
        <v>482</v>
      </c>
    </row>
    <row r="574" spans="1:8">
      <c r="A574" s="77">
        <v>43967</v>
      </c>
      <c r="B574" s="55" t="s">
        <v>240</v>
      </c>
      <c r="C574" s="58">
        <v>1</v>
      </c>
      <c r="D574" s="65">
        <v>26</v>
      </c>
      <c r="E574" s="65">
        <v>80</v>
      </c>
      <c r="F574" s="65">
        <f t="shared" si="17"/>
        <v>54</v>
      </c>
      <c r="G574" s="57" t="s">
        <v>484</v>
      </c>
      <c r="H574" s="55" t="s">
        <v>482</v>
      </c>
    </row>
    <row r="575" spans="1:8">
      <c r="A575" s="77">
        <v>43960</v>
      </c>
      <c r="B575" s="55" t="s">
        <v>196</v>
      </c>
      <c r="C575" s="58">
        <v>1</v>
      </c>
      <c r="D575" s="65">
        <v>100</v>
      </c>
      <c r="E575" s="65">
        <v>180</v>
      </c>
      <c r="F575" s="65">
        <f t="shared" si="17"/>
        <v>80</v>
      </c>
      <c r="G575" s="57" t="s">
        <v>484</v>
      </c>
      <c r="H575" s="55" t="s">
        <v>482</v>
      </c>
    </row>
    <row r="576" spans="1:8">
      <c r="A576" s="77">
        <v>43960</v>
      </c>
      <c r="B576" s="55" t="s">
        <v>230</v>
      </c>
      <c r="C576" s="58">
        <v>1</v>
      </c>
      <c r="D576" s="65">
        <v>32</v>
      </c>
      <c r="E576" s="65">
        <v>60</v>
      </c>
      <c r="F576" s="65">
        <f t="shared" si="17"/>
        <v>28</v>
      </c>
      <c r="G576" s="57" t="s">
        <v>484</v>
      </c>
      <c r="H576" s="55" t="s">
        <v>482</v>
      </c>
    </row>
    <row r="577" spans="1:8">
      <c r="A577" s="77">
        <v>43959</v>
      </c>
      <c r="B577" s="55" t="s">
        <v>213</v>
      </c>
      <c r="C577" s="58">
        <v>1</v>
      </c>
      <c r="D577" s="65">
        <v>26</v>
      </c>
      <c r="E577" s="65">
        <v>40</v>
      </c>
      <c r="F577" s="65">
        <f t="shared" si="17"/>
        <v>14</v>
      </c>
      <c r="G577" s="57" t="s">
        <v>484</v>
      </c>
      <c r="H577" s="55" t="s">
        <v>482</v>
      </c>
    </row>
    <row r="578" spans="1:8">
      <c r="A578" s="77">
        <v>43963</v>
      </c>
      <c r="B578" s="55" t="s">
        <v>244</v>
      </c>
      <c r="C578" s="58">
        <v>1</v>
      </c>
      <c r="D578" s="65">
        <v>32</v>
      </c>
      <c r="E578" s="65">
        <v>50</v>
      </c>
      <c r="F578" s="65">
        <f t="shared" si="17"/>
        <v>18</v>
      </c>
      <c r="G578" s="57" t="s">
        <v>484</v>
      </c>
      <c r="H578" s="55" t="s">
        <v>482</v>
      </c>
    </row>
    <row r="579" spans="1:8">
      <c r="A579" s="77">
        <v>43966</v>
      </c>
      <c r="B579" s="55" t="s">
        <v>250</v>
      </c>
      <c r="C579" s="58">
        <v>1</v>
      </c>
      <c r="D579" s="65">
        <v>180</v>
      </c>
      <c r="E579" s="65">
        <v>250</v>
      </c>
      <c r="F579" s="65">
        <f t="shared" si="17"/>
        <v>70</v>
      </c>
      <c r="G579" s="57" t="s">
        <v>484</v>
      </c>
      <c r="H579" s="55" t="s">
        <v>482</v>
      </c>
    </row>
    <row r="580" spans="1:8">
      <c r="A580" s="77">
        <v>43957</v>
      </c>
      <c r="B580" s="55" t="s">
        <v>222</v>
      </c>
      <c r="C580" s="58">
        <v>1</v>
      </c>
      <c r="D580" s="65">
        <v>15</v>
      </c>
      <c r="E580" s="65">
        <v>30</v>
      </c>
      <c r="F580" s="65">
        <f t="shared" si="17"/>
        <v>15</v>
      </c>
      <c r="G580" s="57" t="s">
        <v>484</v>
      </c>
      <c r="H580" s="55" t="s">
        <v>482</v>
      </c>
    </row>
    <row r="581" spans="1:8">
      <c r="A581" s="77">
        <v>43960</v>
      </c>
      <c r="B581" s="55" t="s">
        <v>222</v>
      </c>
      <c r="C581" s="58">
        <v>1</v>
      </c>
      <c r="D581" s="65">
        <v>15</v>
      </c>
      <c r="E581" s="65">
        <v>30</v>
      </c>
      <c r="F581" s="65">
        <f t="shared" si="17"/>
        <v>15</v>
      </c>
      <c r="G581" s="57" t="s">
        <v>484</v>
      </c>
      <c r="H581" s="55" t="s">
        <v>482</v>
      </c>
    </row>
    <row r="582" spans="1:8">
      <c r="A582" s="77">
        <v>43963</v>
      </c>
      <c r="B582" s="55" t="s">
        <v>222</v>
      </c>
      <c r="C582" s="58">
        <v>1</v>
      </c>
      <c r="D582" s="65">
        <v>15</v>
      </c>
      <c r="E582" s="65">
        <v>30</v>
      </c>
      <c r="F582" s="65">
        <f t="shared" si="17"/>
        <v>15</v>
      </c>
      <c r="G582" s="57" t="s">
        <v>484</v>
      </c>
      <c r="H582" s="55" t="s">
        <v>482</v>
      </c>
    </row>
    <row r="583" spans="1:8">
      <c r="A583" s="77">
        <v>43964</v>
      </c>
      <c r="B583" s="55" t="s">
        <v>222</v>
      </c>
      <c r="C583" s="58">
        <v>1</v>
      </c>
      <c r="D583" s="65">
        <v>15</v>
      </c>
      <c r="E583" s="65">
        <v>30</v>
      </c>
      <c r="F583" s="65">
        <f t="shared" si="17"/>
        <v>15</v>
      </c>
      <c r="G583" s="57" t="s">
        <v>484</v>
      </c>
      <c r="H583" s="55" t="s">
        <v>482</v>
      </c>
    </row>
    <row r="584" spans="1:8">
      <c r="A584" s="77">
        <v>43969</v>
      </c>
      <c r="B584" s="55" t="s">
        <v>222</v>
      </c>
      <c r="C584" s="58">
        <v>1</v>
      </c>
      <c r="D584" s="65">
        <v>15</v>
      </c>
      <c r="E584" s="65">
        <v>25</v>
      </c>
      <c r="F584" s="65">
        <f t="shared" si="17"/>
        <v>10</v>
      </c>
      <c r="G584" s="57" t="s">
        <v>484</v>
      </c>
      <c r="H584" s="55" t="s">
        <v>482</v>
      </c>
    </row>
    <row r="585" spans="1:8">
      <c r="A585" s="77">
        <v>43970</v>
      </c>
      <c r="B585" s="55" t="s">
        <v>222</v>
      </c>
      <c r="C585" s="58">
        <v>1</v>
      </c>
      <c r="D585" s="65">
        <v>15</v>
      </c>
      <c r="E585" s="65">
        <v>30</v>
      </c>
      <c r="F585" s="65">
        <f t="shared" si="17"/>
        <v>15</v>
      </c>
      <c r="G585" s="57" t="s">
        <v>484</v>
      </c>
      <c r="H585" s="55" t="s">
        <v>482</v>
      </c>
    </row>
    <row r="586" spans="1:8">
      <c r="A586" s="77">
        <v>43963</v>
      </c>
      <c r="B586" s="55" t="s">
        <v>242</v>
      </c>
      <c r="C586" s="58">
        <v>1</v>
      </c>
      <c r="D586" s="65">
        <v>45</v>
      </c>
      <c r="E586" s="65">
        <v>80</v>
      </c>
      <c r="F586" s="65">
        <f t="shared" si="17"/>
        <v>35</v>
      </c>
      <c r="G586" s="57" t="s">
        <v>484</v>
      </c>
      <c r="H586" s="55" t="s">
        <v>482</v>
      </c>
    </row>
    <row r="587" spans="1:8">
      <c r="A587" s="77">
        <v>43973</v>
      </c>
      <c r="B587" s="55" t="s">
        <v>261</v>
      </c>
      <c r="C587" s="58">
        <v>1</v>
      </c>
      <c r="D587" s="65">
        <v>40</v>
      </c>
      <c r="E587" s="65">
        <v>60</v>
      </c>
      <c r="F587" s="65">
        <f t="shared" si="17"/>
        <v>20</v>
      </c>
      <c r="G587" s="57" t="s">
        <v>484</v>
      </c>
      <c r="H587" s="55" t="s">
        <v>482</v>
      </c>
    </row>
    <row r="588" spans="1:8">
      <c r="A588" s="77">
        <v>43957</v>
      </c>
      <c r="B588" s="55" t="s">
        <v>216</v>
      </c>
      <c r="C588" s="58">
        <v>1</v>
      </c>
      <c r="D588" s="65">
        <v>90</v>
      </c>
      <c r="E588" s="65">
        <v>150</v>
      </c>
      <c r="F588" s="65">
        <f t="shared" si="17"/>
        <v>60</v>
      </c>
      <c r="G588" s="57" t="s">
        <v>484</v>
      </c>
      <c r="H588" s="55" t="s">
        <v>482</v>
      </c>
    </row>
    <row r="589" spans="1:8">
      <c r="A589" s="77">
        <v>43961</v>
      </c>
      <c r="B589" s="55" t="s">
        <v>154</v>
      </c>
      <c r="C589" s="58">
        <v>1</v>
      </c>
      <c r="D589" s="65">
        <v>10</v>
      </c>
      <c r="E589" s="65">
        <v>25</v>
      </c>
      <c r="F589" s="65">
        <f t="shared" si="17"/>
        <v>15</v>
      </c>
      <c r="G589" s="57" t="s">
        <v>484</v>
      </c>
      <c r="H589" s="55" t="s">
        <v>482</v>
      </c>
    </row>
    <row r="590" spans="1:8">
      <c r="A590" s="77">
        <v>43972</v>
      </c>
      <c r="B590" s="55" t="s">
        <v>154</v>
      </c>
      <c r="C590" s="58">
        <v>1</v>
      </c>
      <c r="D590" s="65">
        <v>10</v>
      </c>
      <c r="E590" s="65">
        <v>15</v>
      </c>
      <c r="F590" s="65">
        <f t="shared" si="17"/>
        <v>5</v>
      </c>
      <c r="G590" s="57" t="s">
        <v>484</v>
      </c>
      <c r="H590" s="55" t="s">
        <v>482</v>
      </c>
    </row>
    <row r="591" spans="1:8">
      <c r="A591" s="77">
        <v>43973</v>
      </c>
      <c r="B591" s="55" t="s">
        <v>154</v>
      </c>
      <c r="C591" s="58">
        <v>1</v>
      </c>
      <c r="D591" s="65">
        <v>10</v>
      </c>
      <c r="E591" s="65">
        <v>25</v>
      </c>
      <c r="F591" s="65">
        <f t="shared" si="17"/>
        <v>15</v>
      </c>
      <c r="G591" s="57" t="s">
        <v>484</v>
      </c>
      <c r="H591" s="55" t="s">
        <v>482</v>
      </c>
    </row>
    <row r="592" spans="1:8">
      <c r="A592" s="77">
        <v>43978</v>
      </c>
      <c r="B592" s="55" t="s">
        <v>281</v>
      </c>
      <c r="C592" s="58">
        <v>1</v>
      </c>
      <c r="D592" s="65">
        <v>16.920000000000002</v>
      </c>
      <c r="E592" s="65">
        <v>110</v>
      </c>
      <c r="F592" s="65">
        <f t="shared" si="17"/>
        <v>93.08</v>
      </c>
      <c r="G592" s="57" t="s">
        <v>484</v>
      </c>
      <c r="H592" s="55" t="s">
        <v>482</v>
      </c>
    </row>
    <row r="593" spans="1:8">
      <c r="A593" s="77">
        <v>43979</v>
      </c>
      <c r="B593" s="55" t="s">
        <v>284</v>
      </c>
      <c r="C593" s="58">
        <v>1</v>
      </c>
      <c r="D593" s="65">
        <v>2.5</v>
      </c>
      <c r="E593" s="65">
        <v>7.5</v>
      </c>
      <c r="F593" s="74">
        <f t="shared" si="17"/>
        <v>5</v>
      </c>
      <c r="G593" s="57" t="s">
        <v>484</v>
      </c>
      <c r="H593" s="55" t="s">
        <v>482</v>
      </c>
    </row>
    <row r="594" spans="1:8">
      <c r="A594" s="77">
        <v>43980</v>
      </c>
      <c r="B594" s="55" t="s">
        <v>197</v>
      </c>
      <c r="C594" s="58">
        <v>1</v>
      </c>
      <c r="D594" s="65">
        <v>6.8</v>
      </c>
      <c r="E594" s="65">
        <v>10</v>
      </c>
      <c r="F594" s="65">
        <f t="shared" si="17"/>
        <v>3.2</v>
      </c>
      <c r="G594" s="57" t="s">
        <v>484</v>
      </c>
      <c r="H594" s="55" t="s">
        <v>482</v>
      </c>
    </row>
    <row r="595" spans="1:8">
      <c r="A595" s="77">
        <v>43980</v>
      </c>
      <c r="B595" s="55" t="s">
        <v>255</v>
      </c>
      <c r="C595" s="58">
        <v>1</v>
      </c>
      <c r="D595" s="65">
        <v>37</v>
      </c>
      <c r="E595" s="65">
        <v>65</v>
      </c>
      <c r="F595" s="65">
        <f t="shared" si="17"/>
        <v>28</v>
      </c>
      <c r="G595" s="57" t="s">
        <v>484</v>
      </c>
      <c r="H595" s="55" t="s">
        <v>482</v>
      </c>
    </row>
    <row r="596" spans="1:8">
      <c r="A596" s="77">
        <v>43980</v>
      </c>
      <c r="B596" s="55" t="s">
        <v>214</v>
      </c>
      <c r="C596" s="58">
        <v>1</v>
      </c>
      <c r="D596" s="65">
        <v>30</v>
      </c>
      <c r="E596" s="65">
        <v>60</v>
      </c>
      <c r="F596" s="65">
        <f t="shared" si="17"/>
        <v>30</v>
      </c>
      <c r="G596" s="57" t="s">
        <v>484</v>
      </c>
      <c r="H596" s="55" t="s">
        <v>482</v>
      </c>
    </row>
    <row r="597" spans="1:8">
      <c r="A597" s="77">
        <v>43980</v>
      </c>
      <c r="B597" s="55" t="s">
        <v>285</v>
      </c>
      <c r="C597" s="58">
        <v>1</v>
      </c>
      <c r="D597" s="65">
        <v>20</v>
      </c>
      <c r="E597" s="65">
        <v>40</v>
      </c>
      <c r="F597" s="65">
        <f t="shared" si="17"/>
        <v>20</v>
      </c>
      <c r="G597" s="57" t="s">
        <v>484</v>
      </c>
      <c r="H597" s="55" t="s">
        <v>482</v>
      </c>
    </row>
    <row r="598" spans="1:8">
      <c r="A598" s="77">
        <v>43980</v>
      </c>
      <c r="B598" s="55" t="s">
        <v>146</v>
      </c>
      <c r="C598" s="58">
        <v>1</v>
      </c>
      <c r="D598" s="65">
        <v>26</v>
      </c>
      <c r="E598" s="65">
        <v>60</v>
      </c>
      <c r="F598" s="65">
        <f t="shared" si="17"/>
        <v>34</v>
      </c>
      <c r="G598" s="57" t="s">
        <v>484</v>
      </c>
      <c r="H598" s="55" t="s">
        <v>482</v>
      </c>
    </row>
    <row r="599" spans="1:8">
      <c r="A599" s="77">
        <v>43980</v>
      </c>
      <c r="B599" s="55" t="s">
        <v>202</v>
      </c>
      <c r="C599" s="58">
        <v>1</v>
      </c>
      <c r="D599" s="65">
        <v>5</v>
      </c>
      <c r="E599" s="65">
        <v>20</v>
      </c>
      <c r="F599" s="65">
        <f t="shared" si="17"/>
        <v>15</v>
      </c>
      <c r="G599" s="57" t="s">
        <v>484</v>
      </c>
      <c r="H599" s="55" t="s">
        <v>482</v>
      </c>
    </row>
    <row r="600" spans="1:8">
      <c r="A600" s="77">
        <v>43981</v>
      </c>
      <c r="B600" s="55" t="s">
        <v>166</v>
      </c>
      <c r="C600" s="58">
        <v>1</v>
      </c>
      <c r="D600" s="65">
        <v>2.64</v>
      </c>
      <c r="E600" s="65">
        <v>15</v>
      </c>
      <c r="F600" s="65">
        <f t="shared" si="17"/>
        <v>12.36</v>
      </c>
      <c r="G600" s="57" t="s">
        <v>484</v>
      </c>
      <c r="H600" s="55" t="s">
        <v>482</v>
      </c>
    </row>
    <row r="601" spans="1:8">
      <c r="A601" s="77">
        <v>43981</v>
      </c>
      <c r="B601" s="55" t="s">
        <v>289</v>
      </c>
      <c r="C601" s="58">
        <v>1</v>
      </c>
      <c r="D601" s="65">
        <v>7.5</v>
      </c>
      <c r="E601" s="65">
        <v>15</v>
      </c>
      <c r="F601" s="65">
        <f t="shared" si="17"/>
        <v>7.5</v>
      </c>
      <c r="G601" s="57" t="s">
        <v>484</v>
      </c>
      <c r="H601" s="55" t="s">
        <v>482</v>
      </c>
    </row>
    <row r="602" spans="1:8">
      <c r="A602" s="77">
        <v>43982</v>
      </c>
      <c r="B602" s="55" t="s">
        <v>169</v>
      </c>
      <c r="C602" s="58">
        <v>1</v>
      </c>
      <c r="D602" s="65">
        <v>20</v>
      </c>
      <c r="E602" s="65">
        <v>45</v>
      </c>
      <c r="F602" s="65">
        <f t="shared" si="17"/>
        <v>25</v>
      </c>
      <c r="G602" s="57" t="s">
        <v>484</v>
      </c>
      <c r="H602" s="55" t="s">
        <v>482</v>
      </c>
    </row>
    <row r="603" spans="1:8">
      <c r="A603" s="77">
        <v>43982</v>
      </c>
      <c r="B603" s="55" t="s">
        <v>290</v>
      </c>
      <c r="C603" s="58">
        <v>1</v>
      </c>
      <c r="D603" s="65">
        <v>13</v>
      </c>
      <c r="E603" s="65">
        <v>20</v>
      </c>
      <c r="F603" s="65">
        <f t="shared" si="17"/>
        <v>7</v>
      </c>
      <c r="G603" s="57" t="s">
        <v>484</v>
      </c>
      <c r="H603" s="55" t="s">
        <v>482</v>
      </c>
    </row>
    <row r="604" spans="1:8">
      <c r="A604" s="77">
        <v>43982</v>
      </c>
      <c r="B604" s="55" t="s">
        <v>291</v>
      </c>
      <c r="C604" s="58">
        <v>1</v>
      </c>
      <c r="D604" s="65">
        <v>1</v>
      </c>
      <c r="E604" s="65">
        <v>15</v>
      </c>
      <c r="F604" s="65">
        <f t="shared" si="17"/>
        <v>14</v>
      </c>
      <c r="G604" s="57" t="s">
        <v>484</v>
      </c>
      <c r="H604" s="55" t="s">
        <v>482</v>
      </c>
    </row>
    <row r="605" spans="1:8">
      <c r="A605" s="77">
        <v>43983</v>
      </c>
      <c r="B605" s="55" t="s">
        <v>282</v>
      </c>
      <c r="C605" s="58">
        <v>1</v>
      </c>
      <c r="D605" s="65">
        <v>3</v>
      </c>
      <c r="E605" s="65">
        <v>10</v>
      </c>
      <c r="F605" s="65">
        <f t="shared" ref="F605:F636" si="18">E605-D605</f>
        <v>7</v>
      </c>
      <c r="G605" s="57" t="s">
        <v>484</v>
      </c>
      <c r="H605" s="55" t="s">
        <v>482</v>
      </c>
    </row>
    <row r="606" spans="1:8">
      <c r="A606" s="77">
        <v>43983</v>
      </c>
      <c r="B606" s="55" t="s">
        <v>166</v>
      </c>
      <c r="C606" s="58">
        <v>1</v>
      </c>
      <c r="D606" s="65">
        <v>2.64</v>
      </c>
      <c r="E606" s="65">
        <v>30</v>
      </c>
      <c r="F606" s="65">
        <f t="shared" si="18"/>
        <v>27.36</v>
      </c>
      <c r="G606" s="57" t="s">
        <v>484</v>
      </c>
      <c r="H606" s="55" t="s">
        <v>482</v>
      </c>
    </row>
    <row r="607" spans="1:8">
      <c r="A607" s="77">
        <v>43983</v>
      </c>
      <c r="B607" s="55" t="s">
        <v>166</v>
      </c>
      <c r="C607" s="58">
        <v>1</v>
      </c>
      <c r="D607" s="65">
        <v>2.64</v>
      </c>
      <c r="E607" s="65">
        <v>30</v>
      </c>
      <c r="F607" s="65">
        <f t="shared" si="18"/>
        <v>27.36</v>
      </c>
      <c r="G607" s="57" t="s">
        <v>484</v>
      </c>
      <c r="H607" s="55" t="s">
        <v>482</v>
      </c>
    </row>
    <row r="608" spans="1:8">
      <c r="A608" s="77">
        <v>43983</v>
      </c>
      <c r="B608" s="55" t="s">
        <v>295</v>
      </c>
      <c r="C608" s="58">
        <v>1</v>
      </c>
      <c r="D608" s="65">
        <v>42</v>
      </c>
      <c r="E608" s="65">
        <v>70</v>
      </c>
      <c r="F608" s="65">
        <f t="shared" si="18"/>
        <v>28</v>
      </c>
      <c r="G608" s="57" t="s">
        <v>484</v>
      </c>
      <c r="H608" s="55" t="s">
        <v>482</v>
      </c>
    </row>
    <row r="609" spans="1:8">
      <c r="A609" s="77">
        <v>43983</v>
      </c>
      <c r="B609" s="55" t="s">
        <v>202</v>
      </c>
      <c r="C609" s="58">
        <v>1</v>
      </c>
      <c r="D609" s="65">
        <v>5</v>
      </c>
      <c r="E609" s="65">
        <v>20</v>
      </c>
      <c r="F609" s="65">
        <f t="shared" si="18"/>
        <v>15</v>
      </c>
      <c r="G609" s="57" t="s">
        <v>484</v>
      </c>
      <c r="H609" s="55" t="s">
        <v>482</v>
      </c>
    </row>
    <row r="610" spans="1:8">
      <c r="A610" s="77">
        <v>43983</v>
      </c>
      <c r="B610" s="55" t="s">
        <v>281</v>
      </c>
      <c r="C610" s="58">
        <v>1</v>
      </c>
      <c r="D610" s="65">
        <v>16.920000000000002</v>
      </c>
      <c r="E610" s="65">
        <v>120</v>
      </c>
      <c r="F610" s="65">
        <f t="shared" si="18"/>
        <v>103.08</v>
      </c>
      <c r="G610" s="57" t="s">
        <v>484</v>
      </c>
      <c r="H610" s="55" t="s">
        <v>482</v>
      </c>
    </row>
    <row r="611" spans="1:8">
      <c r="A611" s="77">
        <v>43983</v>
      </c>
      <c r="B611" s="55" t="s">
        <v>293</v>
      </c>
      <c r="C611" s="58">
        <v>1</v>
      </c>
      <c r="D611" s="65">
        <v>20</v>
      </c>
      <c r="E611" s="65">
        <v>40</v>
      </c>
      <c r="F611" s="65">
        <f t="shared" si="18"/>
        <v>20</v>
      </c>
      <c r="G611" s="57" t="s">
        <v>484</v>
      </c>
      <c r="H611" s="55" t="s">
        <v>482</v>
      </c>
    </row>
    <row r="612" spans="1:8">
      <c r="A612" s="77">
        <v>43983</v>
      </c>
      <c r="B612" s="55" t="s">
        <v>293</v>
      </c>
      <c r="C612" s="58">
        <v>1</v>
      </c>
      <c r="D612" s="65">
        <v>20</v>
      </c>
      <c r="E612" s="65">
        <v>40</v>
      </c>
      <c r="F612" s="65">
        <f t="shared" si="18"/>
        <v>20</v>
      </c>
      <c r="G612" s="57" t="s">
        <v>484</v>
      </c>
      <c r="H612" s="55" t="s">
        <v>482</v>
      </c>
    </row>
    <row r="613" spans="1:8">
      <c r="A613" s="77">
        <v>43983</v>
      </c>
      <c r="B613" s="55" t="s">
        <v>292</v>
      </c>
      <c r="C613" s="58">
        <v>1</v>
      </c>
      <c r="D613" s="65">
        <v>60</v>
      </c>
      <c r="E613" s="65">
        <v>130</v>
      </c>
      <c r="F613" s="65">
        <f t="shared" si="18"/>
        <v>70</v>
      </c>
      <c r="G613" s="57" t="s">
        <v>484</v>
      </c>
      <c r="H613" s="55" t="s">
        <v>482</v>
      </c>
    </row>
    <row r="614" spans="1:8">
      <c r="A614" s="77">
        <v>43983</v>
      </c>
      <c r="B614" s="55" t="s">
        <v>222</v>
      </c>
      <c r="C614" s="58">
        <v>1</v>
      </c>
      <c r="D614" s="65">
        <v>15</v>
      </c>
      <c r="E614" s="65">
        <v>30</v>
      </c>
      <c r="F614" s="65">
        <f t="shared" si="18"/>
        <v>15</v>
      </c>
      <c r="G614" s="57" t="s">
        <v>484</v>
      </c>
      <c r="H614" s="55" t="s">
        <v>482</v>
      </c>
    </row>
    <row r="615" spans="1:8">
      <c r="A615" s="77">
        <v>43984</v>
      </c>
      <c r="B615" s="55" t="s">
        <v>299</v>
      </c>
      <c r="C615" s="58">
        <v>1</v>
      </c>
      <c r="D615" s="65">
        <v>25</v>
      </c>
      <c r="E615" s="65">
        <v>50</v>
      </c>
      <c r="F615" s="65">
        <f t="shared" si="18"/>
        <v>25</v>
      </c>
      <c r="G615" s="57" t="s">
        <v>484</v>
      </c>
      <c r="H615" s="55" t="s">
        <v>482</v>
      </c>
    </row>
    <row r="616" spans="1:8">
      <c r="A616" s="77">
        <v>43984</v>
      </c>
      <c r="B616" s="55" t="s">
        <v>296</v>
      </c>
      <c r="C616" s="58">
        <v>1</v>
      </c>
      <c r="D616" s="65">
        <v>15</v>
      </c>
      <c r="E616" s="65">
        <v>30</v>
      </c>
      <c r="F616" s="65">
        <f t="shared" si="18"/>
        <v>15</v>
      </c>
      <c r="G616" s="57" t="s">
        <v>484</v>
      </c>
      <c r="H616" s="55" t="s">
        <v>482</v>
      </c>
    </row>
    <row r="617" spans="1:8">
      <c r="A617" s="77">
        <v>43984</v>
      </c>
      <c r="B617" s="55" t="s">
        <v>169</v>
      </c>
      <c r="C617" s="58">
        <v>1</v>
      </c>
      <c r="D617" s="65">
        <v>20</v>
      </c>
      <c r="E617" s="65">
        <v>50</v>
      </c>
      <c r="F617" s="65">
        <f t="shared" si="18"/>
        <v>30</v>
      </c>
      <c r="G617" s="57" t="s">
        <v>484</v>
      </c>
      <c r="H617" s="55" t="s">
        <v>482</v>
      </c>
    </row>
    <row r="618" spans="1:8">
      <c r="A618" s="77">
        <v>43985</v>
      </c>
      <c r="B618" s="55" t="s">
        <v>146</v>
      </c>
      <c r="C618" s="58">
        <v>1</v>
      </c>
      <c r="D618" s="65">
        <v>26</v>
      </c>
      <c r="E618" s="65">
        <v>50</v>
      </c>
      <c r="F618" s="65">
        <f t="shared" si="18"/>
        <v>24</v>
      </c>
      <c r="G618" s="57" t="s">
        <v>484</v>
      </c>
      <c r="H618" s="55" t="s">
        <v>482</v>
      </c>
    </row>
    <row r="619" spans="1:8">
      <c r="A619" s="77">
        <v>43985</v>
      </c>
      <c r="B619" s="55" t="s">
        <v>221</v>
      </c>
      <c r="C619" s="58">
        <v>1</v>
      </c>
      <c r="D619" s="65">
        <v>1</v>
      </c>
      <c r="E619" s="65">
        <v>12.5</v>
      </c>
      <c r="F619" s="65">
        <f t="shared" si="18"/>
        <v>11.5</v>
      </c>
      <c r="G619" s="57" t="s">
        <v>484</v>
      </c>
      <c r="H619" s="55" t="s">
        <v>482</v>
      </c>
    </row>
    <row r="620" spans="1:8">
      <c r="A620" s="77">
        <v>43985</v>
      </c>
      <c r="B620" s="55" t="s">
        <v>221</v>
      </c>
      <c r="C620" s="58">
        <v>1</v>
      </c>
      <c r="D620" s="65">
        <v>1</v>
      </c>
      <c r="E620" s="65">
        <v>12.5</v>
      </c>
      <c r="F620" s="65">
        <f t="shared" si="18"/>
        <v>11.5</v>
      </c>
      <c r="G620" s="57" t="s">
        <v>484</v>
      </c>
      <c r="H620" s="55" t="s">
        <v>482</v>
      </c>
    </row>
    <row r="621" spans="1:8">
      <c r="A621" s="77">
        <v>43985</v>
      </c>
      <c r="B621" s="55" t="s">
        <v>202</v>
      </c>
      <c r="C621" s="58">
        <v>1</v>
      </c>
      <c r="D621" s="65">
        <v>5</v>
      </c>
      <c r="E621" s="65">
        <v>30</v>
      </c>
      <c r="F621" s="65">
        <f t="shared" si="18"/>
        <v>25</v>
      </c>
      <c r="G621" s="57" t="s">
        <v>484</v>
      </c>
      <c r="H621" s="55" t="s">
        <v>482</v>
      </c>
    </row>
    <row r="622" spans="1:8">
      <c r="A622" s="77">
        <v>43985</v>
      </c>
      <c r="B622" s="55" t="s">
        <v>169</v>
      </c>
      <c r="C622" s="58">
        <v>1</v>
      </c>
      <c r="D622" s="65">
        <v>20</v>
      </c>
      <c r="E622" s="65">
        <v>40</v>
      </c>
      <c r="F622" s="65">
        <f t="shared" si="18"/>
        <v>20</v>
      </c>
      <c r="G622" s="57" t="s">
        <v>484</v>
      </c>
      <c r="H622" s="55" t="s">
        <v>482</v>
      </c>
    </row>
    <row r="623" spans="1:8">
      <c r="A623" s="77">
        <v>43986</v>
      </c>
      <c r="B623" s="55" t="s">
        <v>301</v>
      </c>
      <c r="C623" s="58">
        <v>1</v>
      </c>
      <c r="D623" s="65">
        <v>75</v>
      </c>
      <c r="E623" s="65">
        <v>120</v>
      </c>
      <c r="F623" s="65">
        <f t="shared" si="18"/>
        <v>45</v>
      </c>
      <c r="G623" s="57" t="s">
        <v>484</v>
      </c>
      <c r="H623" s="55" t="s">
        <v>482</v>
      </c>
    </row>
    <row r="624" spans="1:8">
      <c r="A624" s="77">
        <v>43986</v>
      </c>
      <c r="B624" s="55" t="s">
        <v>302</v>
      </c>
      <c r="C624" s="58">
        <v>1</v>
      </c>
      <c r="D624" s="65">
        <v>72</v>
      </c>
      <c r="E624" s="65">
        <v>100</v>
      </c>
      <c r="F624" s="65">
        <f t="shared" si="18"/>
        <v>28</v>
      </c>
      <c r="G624" s="57" t="s">
        <v>484</v>
      </c>
      <c r="H624" s="55" t="s">
        <v>482</v>
      </c>
    </row>
    <row r="625" spans="1:8">
      <c r="A625" s="77">
        <v>43986</v>
      </c>
      <c r="B625" s="55" t="s">
        <v>303</v>
      </c>
      <c r="C625" s="58">
        <v>1</v>
      </c>
      <c r="D625" s="65">
        <v>20</v>
      </c>
      <c r="E625" s="65">
        <v>40</v>
      </c>
      <c r="F625" s="65">
        <f t="shared" si="18"/>
        <v>20</v>
      </c>
      <c r="G625" s="57" t="s">
        <v>484</v>
      </c>
      <c r="H625" s="55" t="s">
        <v>482</v>
      </c>
    </row>
    <row r="626" spans="1:8">
      <c r="A626" s="77">
        <v>43986</v>
      </c>
      <c r="B626" s="55" t="s">
        <v>303</v>
      </c>
      <c r="C626" s="58">
        <v>1</v>
      </c>
      <c r="D626" s="65">
        <v>20</v>
      </c>
      <c r="E626" s="65">
        <v>40</v>
      </c>
      <c r="F626" s="65">
        <f t="shared" si="18"/>
        <v>20</v>
      </c>
      <c r="G626" s="57" t="s">
        <v>484</v>
      </c>
      <c r="H626" s="55" t="s">
        <v>482</v>
      </c>
    </row>
    <row r="627" spans="1:8">
      <c r="A627" s="77">
        <v>43986</v>
      </c>
      <c r="B627" s="55" t="s">
        <v>146</v>
      </c>
      <c r="C627" s="58">
        <v>1</v>
      </c>
      <c r="D627" s="65">
        <v>26</v>
      </c>
      <c r="E627" s="65">
        <v>50</v>
      </c>
      <c r="F627" s="65">
        <f t="shared" si="18"/>
        <v>24</v>
      </c>
      <c r="G627" s="57" t="s">
        <v>484</v>
      </c>
      <c r="H627" s="55" t="s">
        <v>482</v>
      </c>
    </row>
    <row r="628" spans="1:8">
      <c r="A628" s="77">
        <v>43986</v>
      </c>
      <c r="B628" s="55" t="s">
        <v>237</v>
      </c>
      <c r="C628" s="58">
        <v>1</v>
      </c>
      <c r="D628" s="65">
        <v>7.5</v>
      </c>
      <c r="E628" s="65">
        <v>20</v>
      </c>
      <c r="F628" s="65">
        <f t="shared" si="18"/>
        <v>12.5</v>
      </c>
      <c r="G628" s="57" t="s">
        <v>484</v>
      </c>
      <c r="H628" s="55" t="s">
        <v>482</v>
      </c>
    </row>
    <row r="629" spans="1:8">
      <c r="A629" s="77">
        <v>43986</v>
      </c>
      <c r="B629" s="71" t="s">
        <v>246</v>
      </c>
      <c r="C629" s="58">
        <v>1</v>
      </c>
      <c r="D629" s="65">
        <v>9.5</v>
      </c>
      <c r="E629" s="65">
        <v>20</v>
      </c>
      <c r="F629" s="65">
        <f t="shared" si="18"/>
        <v>10.5</v>
      </c>
      <c r="G629" s="57" t="s">
        <v>484</v>
      </c>
      <c r="H629" s="55" t="s">
        <v>482</v>
      </c>
    </row>
    <row r="630" spans="1:8">
      <c r="A630" s="77">
        <v>43986</v>
      </c>
      <c r="B630" s="55" t="s">
        <v>300</v>
      </c>
      <c r="C630" s="58">
        <v>1</v>
      </c>
      <c r="D630" s="65">
        <v>60</v>
      </c>
      <c r="E630" s="65">
        <v>120</v>
      </c>
      <c r="F630" s="65">
        <f t="shared" si="18"/>
        <v>60</v>
      </c>
      <c r="G630" s="57" t="s">
        <v>484</v>
      </c>
      <c r="H630" s="55" t="s">
        <v>482</v>
      </c>
    </row>
    <row r="631" spans="1:8">
      <c r="A631" s="77">
        <v>43986</v>
      </c>
      <c r="B631" s="55" t="s">
        <v>225</v>
      </c>
      <c r="C631" s="58">
        <v>1</v>
      </c>
      <c r="D631" s="65">
        <v>12</v>
      </c>
      <c r="E631" s="65">
        <v>25</v>
      </c>
      <c r="F631" s="65">
        <f t="shared" si="18"/>
        <v>13</v>
      </c>
      <c r="G631" s="57" t="s">
        <v>484</v>
      </c>
      <c r="H631" s="55" t="s">
        <v>482</v>
      </c>
    </row>
    <row r="632" spans="1:8">
      <c r="A632" s="77">
        <v>43987</v>
      </c>
      <c r="B632" s="55" t="s">
        <v>219</v>
      </c>
      <c r="C632" s="58">
        <v>1</v>
      </c>
      <c r="D632" s="65">
        <v>26</v>
      </c>
      <c r="E632" s="65">
        <v>66</v>
      </c>
      <c r="F632" s="65">
        <f t="shared" si="18"/>
        <v>40</v>
      </c>
      <c r="G632" s="57" t="s">
        <v>484</v>
      </c>
      <c r="H632" s="55" t="s">
        <v>482</v>
      </c>
    </row>
    <row r="633" spans="1:8">
      <c r="A633" s="77">
        <v>43987</v>
      </c>
      <c r="B633" s="55" t="s">
        <v>248</v>
      </c>
      <c r="C633" s="58">
        <v>1</v>
      </c>
      <c r="D633" s="65">
        <v>11</v>
      </c>
      <c r="E633" s="65">
        <v>20</v>
      </c>
      <c r="F633" s="65">
        <f t="shared" si="18"/>
        <v>9</v>
      </c>
      <c r="G633" s="57" t="s">
        <v>484</v>
      </c>
      <c r="H633" s="55" t="s">
        <v>482</v>
      </c>
    </row>
    <row r="634" spans="1:8">
      <c r="A634" s="77">
        <v>43987</v>
      </c>
      <c r="B634" s="55" t="s">
        <v>106</v>
      </c>
      <c r="C634" s="58">
        <v>1</v>
      </c>
      <c r="D634" s="65">
        <v>12</v>
      </c>
      <c r="E634" s="65">
        <v>40</v>
      </c>
      <c r="F634" s="65">
        <f t="shared" si="18"/>
        <v>28</v>
      </c>
      <c r="G634" s="57" t="s">
        <v>484</v>
      </c>
      <c r="H634" s="55" t="s">
        <v>482</v>
      </c>
    </row>
    <row r="635" spans="1:8">
      <c r="A635" s="77">
        <v>43987</v>
      </c>
      <c r="B635" s="55" t="s">
        <v>202</v>
      </c>
      <c r="C635" s="58">
        <v>1</v>
      </c>
      <c r="D635" s="65">
        <v>5</v>
      </c>
      <c r="E635" s="65">
        <v>30</v>
      </c>
      <c r="F635" s="65">
        <f t="shared" si="18"/>
        <v>25</v>
      </c>
      <c r="G635" s="57" t="s">
        <v>484</v>
      </c>
      <c r="H635" s="55" t="s">
        <v>482</v>
      </c>
    </row>
    <row r="636" spans="1:8">
      <c r="A636" s="77">
        <v>43987</v>
      </c>
      <c r="B636" s="55" t="s">
        <v>202</v>
      </c>
      <c r="C636" s="58">
        <v>1</v>
      </c>
      <c r="D636" s="65">
        <v>5</v>
      </c>
      <c r="E636" s="65">
        <v>20</v>
      </c>
      <c r="F636" s="65">
        <f t="shared" si="18"/>
        <v>15</v>
      </c>
      <c r="G636" s="57" t="s">
        <v>484</v>
      </c>
      <c r="H636" s="55" t="s">
        <v>482</v>
      </c>
    </row>
    <row r="637" spans="1:8">
      <c r="A637" s="77">
        <v>43987</v>
      </c>
      <c r="B637" s="55" t="s">
        <v>202</v>
      </c>
      <c r="C637" s="58">
        <v>1</v>
      </c>
      <c r="D637" s="65">
        <v>5</v>
      </c>
      <c r="E637" s="65">
        <v>30</v>
      </c>
      <c r="F637" s="65">
        <f t="shared" ref="F637:F668" si="19">E637-D637</f>
        <v>25</v>
      </c>
      <c r="G637" s="57" t="s">
        <v>484</v>
      </c>
      <c r="H637" s="55" t="s">
        <v>482</v>
      </c>
    </row>
    <row r="638" spans="1:8">
      <c r="A638" s="77">
        <v>43988</v>
      </c>
      <c r="B638" s="55" t="s">
        <v>274</v>
      </c>
      <c r="C638" s="58">
        <v>1</v>
      </c>
      <c r="D638" s="65">
        <v>24</v>
      </c>
      <c r="E638" s="65">
        <v>50</v>
      </c>
      <c r="F638" s="65">
        <f t="shared" si="19"/>
        <v>26</v>
      </c>
      <c r="G638" s="57" t="s">
        <v>484</v>
      </c>
      <c r="H638" s="55" t="s">
        <v>482</v>
      </c>
    </row>
    <row r="639" spans="1:8">
      <c r="A639" s="77">
        <v>43988</v>
      </c>
      <c r="B639" s="55" t="s">
        <v>274</v>
      </c>
      <c r="C639" s="58">
        <v>1</v>
      </c>
      <c r="D639" s="65">
        <v>24</v>
      </c>
      <c r="E639" s="65">
        <v>50</v>
      </c>
      <c r="F639" s="65">
        <f t="shared" si="19"/>
        <v>26</v>
      </c>
      <c r="G639" s="57" t="s">
        <v>484</v>
      </c>
      <c r="H639" s="55" t="s">
        <v>482</v>
      </c>
    </row>
    <row r="640" spans="1:8">
      <c r="A640" s="77">
        <v>43988</v>
      </c>
      <c r="B640" s="55" t="s">
        <v>219</v>
      </c>
      <c r="C640" s="58">
        <v>1</v>
      </c>
      <c r="D640" s="65">
        <v>26</v>
      </c>
      <c r="E640" s="65">
        <v>60</v>
      </c>
      <c r="F640" s="65">
        <f t="shared" si="19"/>
        <v>34</v>
      </c>
      <c r="G640" s="57" t="s">
        <v>484</v>
      </c>
      <c r="H640" s="55" t="s">
        <v>482</v>
      </c>
    </row>
    <row r="641" spans="1:8">
      <c r="A641" s="77">
        <v>43988</v>
      </c>
      <c r="B641" s="55" t="s">
        <v>272</v>
      </c>
      <c r="C641" s="58">
        <v>1</v>
      </c>
      <c r="D641" s="65">
        <v>9</v>
      </c>
      <c r="E641" s="65">
        <v>20</v>
      </c>
      <c r="F641" s="65">
        <f t="shared" si="19"/>
        <v>11</v>
      </c>
      <c r="G641" s="57" t="s">
        <v>484</v>
      </c>
      <c r="H641" s="55" t="s">
        <v>482</v>
      </c>
    </row>
    <row r="642" spans="1:8">
      <c r="A642" s="77">
        <v>43988</v>
      </c>
      <c r="B642" s="55" t="s">
        <v>222</v>
      </c>
      <c r="C642" s="58">
        <v>1</v>
      </c>
      <c r="D642" s="65">
        <v>15</v>
      </c>
      <c r="E642" s="65">
        <v>30</v>
      </c>
      <c r="F642" s="65">
        <f t="shared" si="19"/>
        <v>15</v>
      </c>
      <c r="G642" s="57" t="s">
        <v>484</v>
      </c>
      <c r="H642" s="55" t="s">
        <v>482</v>
      </c>
    </row>
    <row r="643" spans="1:8">
      <c r="A643" s="77">
        <v>43989</v>
      </c>
      <c r="B643" s="55" t="s">
        <v>54</v>
      </c>
      <c r="C643" s="58">
        <v>1</v>
      </c>
      <c r="D643" s="65">
        <v>18</v>
      </c>
      <c r="E643" s="65">
        <v>40</v>
      </c>
      <c r="F643" s="65">
        <f t="shared" si="19"/>
        <v>22</v>
      </c>
      <c r="G643" s="57" t="s">
        <v>484</v>
      </c>
      <c r="H643" s="55" t="s">
        <v>482</v>
      </c>
    </row>
    <row r="644" spans="1:8">
      <c r="A644" s="77">
        <v>43990</v>
      </c>
      <c r="B644" s="55" t="s">
        <v>305</v>
      </c>
      <c r="C644" s="58">
        <v>1</v>
      </c>
      <c r="D644" s="65">
        <v>108</v>
      </c>
      <c r="E644" s="65">
        <v>200</v>
      </c>
      <c r="F644" s="65">
        <f t="shared" si="19"/>
        <v>92</v>
      </c>
      <c r="G644" s="57" t="s">
        <v>484</v>
      </c>
      <c r="H644" s="55" t="s">
        <v>482</v>
      </c>
    </row>
    <row r="645" spans="1:8">
      <c r="A645" s="77">
        <v>43990</v>
      </c>
      <c r="B645" s="55" t="s">
        <v>207</v>
      </c>
      <c r="C645" s="58">
        <v>1</v>
      </c>
      <c r="D645" s="65">
        <v>35</v>
      </c>
      <c r="E645" s="65">
        <v>70</v>
      </c>
      <c r="F645" s="65">
        <f t="shared" si="19"/>
        <v>35</v>
      </c>
      <c r="G645" s="57" t="s">
        <v>484</v>
      </c>
      <c r="H645" s="55" t="s">
        <v>482</v>
      </c>
    </row>
    <row r="646" spans="1:8">
      <c r="A646" s="77">
        <v>43990</v>
      </c>
      <c r="B646" s="55" t="s">
        <v>219</v>
      </c>
      <c r="C646" s="58">
        <v>1</v>
      </c>
      <c r="D646" s="65">
        <v>26</v>
      </c>
      <c r="E646" s="65">
        <v>50</v>
      </c>
      <c r="F646" s="65">
        <f t="shared" si="19"/>
        <v>24</v>
      </c>
      <c r="G646" s="57" t="s">
        <v>484</v>
      </c>
      <c r="H646" s="55" t="s">
        <v>482</v>
      </c>
    </row>
    <row r="647" spans="1:8">
      <c r="A647" s="77">
        <v>43990</v>
      </c>
      <c r="B647" s="55" t="s">
        <v>219</v>
      </c>
      <c r="C647" s="58">
        <v>1</v>
      </c>
      <c r="D647" s="65">
        <v>26</v>
      </c>
      <c r="E647" s="65">
        <v>60</v>
      </c>
      <c r="F647" s="65">
        <f t="shared" si="19"/>
        <v>34</v>
      </c>
      <c r="G647" s="57" t="s">
        <v>484</v>
      </c>
      <c r="H647" s="55" t="s">
        <v>482</v>
      </c>
    </row>
    <row r="648" spans="1:8">
      <c r="A648" s="77">
        <v>43990</v>
      </c>
      <c r="B648" s="55" t="s">
        <v>222</v>
      </c>
      <c r="C648" s="58">
        <v>1</v>
      </c>
      <c r="D648" s="65">
        <v>15</v>
      </c>
      <c r="E648" s="65">
        <v>30</v>
      </c>
      <c r="F648" s="65">
        <f t="shared" si="19"/>
        <v>15</v>
      </c>
      <c r="G648" s="57" t="s">
        <v>484</v>
      </c>
      <c r="H648" s="55" t="s">
        <v>482</v>
      </c>
    </row>
    <row r="649" spans="1:8">
      <c r="A649" s="77">
        <v>43990</v>
      </c>
      <c r="B649" s="55" t="s">
        <v>222</v>
      </c>
      <c r="C649" s="58">
        <v>1</v>
      </c>
      <c r="D649" s="65">
        <v>15</v>
      </c>
      <c r="E649" s="65">
        <v>30</v>
      </c>
      <c r="F649" s="65">
        <f t="shared" si="19"/>
        <v>15</v>
      </c>
      <c r="G649" s="57" t="s">
        <v>484</v>
      </c>
      <c r="H649" s="55" t="s">
        <v>482</v>
      </c>
    </row>
    <row r="650" spans="1:8">
      <c r="A650" s="77">
        <v>43991</v>
      </c>
      <c r="B650" s="55" t="s">
        <v>54</v>
      </c>
      <c r="C650" s="58">
        <v>1</v>
      </c>
      <c r="D650" s="65">
        <v>18</v>
      </c>
      <c r="E650" s="65">
        <v>40</v>
      </c>
      <c r="F650" s="65">
        <f t="shared" si="19"/>
        <v>22</v>
      </c>
      <c r="G650" s="57" t="s">
        <v>484</v>
      </c>
      <c r="H650" s="55" t="s">
        <v>482</v>
      </c>
    </row>
    <row r="651" spans="1:8">
      <c r="A651" s="77">
        <v>43991</v>
      </c>
      <c r="B651" s="55" t="s">
        <v>222</v>
      </c>
      <c r="C651" s="58">
        <v>1</v>
      </c>
      <c r="D651" s="65">
        <v>15</v>
      </c>
      <c r="E651" s="65">
        <v>30</v>
      </c>
      <c r="F651" s="65">
        <f t="shared" si="19"/>
        <v>15</v>
      </c>
      <c r="G651" s="57" t="s">
        <v>484</v>
      </c>
      <c r="H651" s="55" t="s">
        <v>482</v>
      </c>
    </row>
    <row r="652" spans="1:8">
      <c r="A652" s="77">
        <v>43992</v>
      </c>
      <c r="B652" s="55" t="s">
        <v>207</v>
      </c>
      <c r="C652" s="58">
        <v>1</v>
      </c>
      <c r="D652" s="65">
        <v>35</v>
      </c>
      <c r="E652" s="65">
        <v>70</v>
      </c>
      <c r="F652" s="65">
        <f t="shared" si="19"/>
        <v>35</v>
      </c>
      <c r="G652" s="57" t="s">
        <v>484</v>
      </c>
      <c r="H652" s="55" t="s">
        <v>482</v>
      </c>
    </row>
    <row r="653" spans="1:8">
      <c r="A653" s="77">
        <v>43992</v>
      </c>
      <c r="B653" s="55" t="s">
        <v>202</v>
      </c>
      <c r="C653" s="58">
        <v>1</v>
      </c>
      <c r="D653" s="65">
        <v>5</v>
      </c>
      <c r="E653" s="65">
        <v>20</v>
      </c>
      <c r="F653" s="65">
        <f t="shared" si="19"/>
        <v>15</v>
      </c>
      <c r="G653" s="57" t="s">
        <v>484</v>
      </c>
      <c r="H653" s="55" t="s">
        <v>482</v>
      </c>
    </row>
    <row r="654" spans="1:8">
      <c r="A654" s="77">
        <v>43992</v>
      </c>
      <c r="B654" s="55" t="s">
        <v>222</v>
      </c>
      <c r="C654" s="58">
        <v>1</v>
      </c>
      <c r="D654" s="65">
        <v>15</v>
      </c>
      <c r="E654" s="65">
        <v>40</v>
      </c>
      <c r="F654" s="65">
        <f t="shared" si="19"/>
        <v>25</v>
      </c>
      <c r="G654" s="57" t="s">
        <v>484</v>
      </c>
      <c r="H654" s="55" t="s">
        <v>482</v>
      </c>
    </row>
    <row r="655" spans="1:8">
      <c r="A655" s="77">
        <v>43993</v>
      </c>
      <c r="B655" s="55" t="s">
        <v>219</v>
      </c>
      <c r="C655" s="58">
        <v>1</v>
      </c>
      <c r="D655" s="65">
        <v>26</v>
      </c>
      <c r="E655" s="65">
        <v>50</v>
      </c>
      <c r="F655" s="65">
        <f t="shared" si="19"/>
        <v>24</v>
      </c>
      <c r="G655" s="57" t="s">
        <v>484</v>
      </c>
      <c r="H655" s="55" t="s">
        <v>482</v>
      </c>
    </row>
    <row r="656" spans="1:8">
      <c r="A656" s="77">
        <v>43993</v>
      </c>
      <c r="B656" s="55" t="s">
        <v>246</v>
      </c>
      <c r="C656" s="58">
        <v>1</v>
      </c>
      <c r="D656" s="65">
        <v>9</v>
      </c>
      <c r="E656" s="65">
        <v>30</v>
      </c>
      <c r="F656" s="65">
        <f t="shared" si="19"/>
        <v>21</v>
      </c>
      <c r="G656" s="57" t="s">
        <v>484</v>
      </c>
      <c r="H656" s="55" t="s">
        <v>482</v>
      </c>
    </row>
    <row r="657" spans="1:8">
      <c r="A657" s="77">
        <v>43994</v>
      </c>
      <c r="B657" s="55" t="s">
        <v>54</v>
      </c>
      <c r="C657" s="58">
        <v>1</v>
      </c>
      <c r="D657" s="65">
        <v>18</v>
      </c>
      <c r="E657" s="65">
        <v>45</v>
      </c>
      <c r="F657" s="65">
        <f t="shared" si="19"/>
        <v>27</v>
      </c>
      <c r="G657" s="57" t="s">
        <v>484</v>
      </c>
      <c r="H657" s="55" t="s">
        <v>482</v>
      </c>
    </row>
    <row r="658" spans="1:8">
      <c r="A658" s="77">
        <v>43994</v>
      </c>
      <c r="B658" s="55" t="s">
        <v>302</v>
      </c>
      <c r="C658" s="58">
        <v>1</v>
      </c>
      <c r="D658" s="65">
        <v>42</v>
      </c>
      <c r="E658" s="65">
        <v>80</v>
      </c>
      <c r="F658" s="65">
        <f t="shared" si="19"/>
        <v>38</v>
      </c>
      <c r="G658" s="57" t="s">
        <v>484</v>
      </c>
      <c r="H658" s="55" t="s">
        <v>482</v>
      </c>
    </row>
    <row r="659" spans="1:8">
      <c r="A659" s="77">
        <v>43994</v>
      </c>
      <c r="B659" s="55" t="s">
        <v>241</v>
      </c>
      <c r="C659" s="58">
        <v>1</v>
      </c>
      <c r="D659" s="65">
        <v>15</v>
      </c>
      <c r="E659" s="65">
        <v>50</v>
      </c>
      <c r="F659" s="65">
        <f t="shared" si="19"/>
        <v>35</v>
      </c>
      <c r="G659" s="57" t="s">
        <v>484</v>
      </c>
      <c r="H659" s="55" t="s">
        <v>482</v>
      </c>
    </row>
    <row r="660" spans="1:8">
      <c r="A660" s="77">
        <v>43994</v>
      </c>
      <c r="B660" s="55" t="s">
        <v>287</v>
      </c>
      <c r="C660" s="58">
        <v>1</v>
      </c>
      <c r="D660" s="65">
        <v>14</v>
      </c>
      <c r="E660" s="65">
        <v>30</v>
      </c>
      <c r="F660" s="65">
        <f t="shared" si="19"/>
        <v>16</v>
      </c>
      <c r="G660" s="57" t="s">
        <v>484</v>
      </c>
      <c r="H660" s="55" t="s">
        <v>482</v>
      </c>
    </row>
    <row r="661" spans="1:8">
      <c r="A661" s="77">
        <v>43994</v>
      </c>
      <c r="B661" s="55" t="s">
        <v>309</v>
      </c>
      <c r="C661" s="58">
        <v>1</v>
      </c>
      <c r="D661" s="65">
        <v>17</v>
      </c>
      <c r="E661" s="65">
        <v>30</v>
      </c>
      <c r="F661" s="65">
        <f t="shared" si="19"/>
        <v>13</v>
      </c>
      <c r="G661" s="57" t="s">
        <v>484</v>
      </c>
      <c r="H661" s="55" t="s">
        <v>482</v>
      </c>
    </row>
    <row r="662" spans="1:8">
      <c r="A662" s="77">
        <v>43994</v>
      </c>
      <c r="B662" s="55" t="s">
        <v>306</v>
      </c>
      <c r="C662" s="58">
        <v>1</v>
      </c>
      <c r="D662" s="65">
        <v>26</v>
      </c>
      <c r="E662" s="65">
        <v>50</v>
      </c>
      <c r="F662" s="65">
        <f t="shared" si="19"/>
        <v>24</v>
      </c>
      <c r="G662" s="57" t="s">
        <v>484</v>
      </c>
      <c r="H662" s="55" t="s">
        <v>482</v>
      </c>
    </row>
    <row r="663" spans="1:8">
      <c r="A663" s="77">
        <v>43994</v>
      </c>
      <c r="B663" s="55" t="s">
        <v>225</v>
      </c>
      <c r="C663" s="58">
        <v>1</v>
      </c>
      <c r="D663" s="65">
        <v>90</v>
      </c>
      <c r="E663" s="65">
        <v>170</v>
      </c>
      <c r="F663" s="65">
        <f t="shared" si="19"/>
        <v>80</v>
      </c>
      <c r="G663" s="57" t="s">
        <v>484</v>
      </c>
      <c r="H663" s="55" t="s">
        <v>482</v>
      </c>
    </row>
    <row r="664" spans="1:8">
      <c r="A664" s="77">
        <v>43995</v>
      </c>
      <c r="B664" s="55" t="s">
        <v>297</v>
      </c>
      <c r="C664" s="58">
        <v>1</v>
      </c>
      <c r="D664" s="65">
        <v>17</v>
      </c>
      <c r="E664" s="65">
        <v>35</v>
      </c>
      <c r="F664" s="65">
        <f t="shared" si="19"/>
        <v>18</v>
      </c>
      <c r="G664" s="57" t="s">
        <v>484</v>
      </c>
      <c r="H664" s="55" t="s">
        <v>482</v>
      </c>
    </row>
    <row r="665" spans="1:8">
      <c r="A665" s="77">
        <v>43995</v>
      </c>
      <c r="B665" s="55" t="s">
        <v>166</v>
      </c>
      <c r="C665" s="58">
        <v>1</v>
      </c>
      <c r="D665" s="65">
        <v>5</v>
      </c>
      <c r="E665" s="65">
        <v>40</v>
      </c>
      <c r="F665" s="65">
        <f t="shared" si="19"/>
        <v>35</v>
      </c>
      <c r="G665" s="57" t="s">
        <v>484</v>
      </c>
      <c r="H665" s="55" t="s">
        <v>482</v>
      </c>
    </row>
    <row r="666" spans="1:8">
      <c r="A666" s="77">
        <v>43996</v>
      </c>
      <c r="B666" s="55" t="s">
        <v>239</v>
      </c>
      <c r="C666" s="58">
        <v>1</v>
      </c>
      <c r="D666" s="65">
        <v>4</v>
      </c>
      <c r="E666" s="65">
        <v>15</v>
      </c>
      <c r="F666" s="65">
        <f t="shared" si="19"/>
        <v>11</v>
      </c>
      <c r="G666" s="57" t="s">
        <v>484</v>
      </c>
      <c r="H666" s="55" t="s">
        <v>482</v>
      </c>
    </row>
    <row r="667" spans="1:8">
      <c r="A667" s="77">
        <v>43996</v>
      </c>
      <c r="B667" s="55" t="s">
        <v>207</v>
      </c>
      <c r="C667" s="58">
        <v>1</v>
      </c>
      <c r="D667" s="65">
        <v>31</v>
      </c>
      <c r="E667" s="65">
        <v>70</v>
      </c>
      <c r="F667" s="65">
        <f t="shared" si="19"/>
        <v>39</v>
      </c>
      <c r="G667" s="57" t="s">
        <v>484</v>
      </c>
      <c r="H667" s="55" t="s">
        <v>482</v>
      </c>
    </row>
    <row r="668" spans="1:8">
      <c r="A668" s="77">
        <v>43996</v>
      </c>
      <c r="B668" s="55" t="s">
        <v>307</v>
      </c>
      <c r="C668" s="58">
        <v>1</v>
      </c>
      <c r="D668" s="65">
        <v>29.5</v>
      </c>
      <c r="E668" s="65">
        <v>50</v>
      </c>
      <c r="F668" s="65">
        <f t="shared" si="19"/>
        <v>20.5</v>
      </c>
      <c r="G668" s="57" t="s">
        <v>484</v>
      </c>
      <c r="H668" s="55" t="s">
        <v>482</v>
      </c>
    </row>
    <row r="669" spans="1:8">
      <c r="A669" s="77">
        <v>43996</v>
      </c>
      <c r="B669" s="55" t="s">
        <v>274</v>
      </c>
      <c r="C669" s="58">
        <v>1</v>
      </c>
      <c r="D669" s="65">
        <v>24</v>
      </c>
      <c r="E669" s="65">
        <v>50</v>
      </c>
      <c r="F669" s="65">
        <f t="shared" ref="F669:F700" si="20">E669-D669</f>
        <v>26</v>
      </c>
      <c r="G669" s="57" t="s">
        <v>484</v>
      </c>
      <c r="H669" s="55" t="s">
        <v>482</v>
      </c>
    </row>
    <row r="670" spans="1:8">
      <c r="A670" s="77">
        <v>43996</v>
      </c>
      <c r="B670" s="55" t="s">
        <v>274</v>
      </c>
      <c r="C670" s="58">
        <v>1</v>
      </c>
      <c r="D670" s="65">
        <v>24</v>
      </c>
      <c r="E670" s="65">
        <v>50</v>
      </c>
      <c r="F670" s="65">
        <f t="shared" si="20"/>
        <v>26</v>
      </c>
      <c r="G670" s="57" t="s">
        <v>484</v>
      </c>
      <c r="H670" s="55" t="s">
        <v>482</v>
      </c>
    </row>
    <row r="671" spans="1:8">
      <c r="A671" s="77">
        <v>43996</v>
      </c>
      <c r="B671" s="55" t="s">
        <v>245</v>
      </c>
      <c r="C671" s="58">
        <v>1</v>
      </c>
      <c r="D671" s="65">
        <v>6</v>
      </c>
      <c r="E671" s="65">
        <v>10</v>
      </c>
      <c r="F671" s="65">
        <f t="shared" si="20"/>
        <v>4</v>
      </c>
      <c r="G671" s="57" t="s">
        <v>484</v>
      </c>
      <c r="H671" s="55" t="s">
        <v>482</v>
      </c>
    </row>
    <row r="672" spans="1:8">
      <c r="A672" s="77">
        <v>43996</v>
      </c>
      <c r="B672" s="55" t="s">
        <v>166</v>
      </c>
      <c r="C672" s="58">
        <v>1</v>
      </c>
      <c r="D672" s="65">
        <v>2.64</v>
      </c>
      <c r="E672" s="65">
        <v>30</v>
      </c>
      <c r="F672" s="65">
        <f t="shared" si="20"/>
        <v>27.36</v>
      </c>
      <c r="G672" s="57" t="s">
        <v>484</v>
      </c>
      <c r="H672" s="55" t="s">
        <v>482</v>
      </c>
    </row>
    <row r="673" spans="1:8">
      <c r="A673" s="77">
        <v>43996</v>
      </c>
      <c r="B673" s="55" t="s">
        <v>166</v>
      </c>
      <c r="C673" s="58">
        <v>1</v>
      </c>
      <c r="D673" s="65">
        <v>2.64</v>
      </c>
      <c r="E673" s="65">
        <v>10</v>
      </c>
      <c r="F673" s="65">
        <f t="shared" si="20"/>
        <v>7.3599999999999994</v>
      </c>
      <c r="G673" s="57" t="s">
        <v>484</v>
      </c>
      <c r="H673" s="55" t="s">
        <v>482</v>
      </c>
    </row>
    <row r="674" spans="1:8">
      <c r="A674" s="77">
        <v>43996</v>
      </c>
      <c r="B674" s="55" t="s">
        <v>166</v>
      </c>
      <c r="C674" s="58">
        <v>1</v>
      </c>
      <c r="D674" s="65">
        <v>2.64</v>
      </c>
      <c r="E674" s="65">
        <v>10</v>
      </c>
      <c r="F674" s="65">
        <f t="shared" si="20"/>
        <v>7.3599999999999994</v>
      </c>
      <c r="G674" s="57" t="s">
        <v>484</v>
      </c>
      <c r="H674" s="55" t="s">
        <v>482</v>
      </c>
    </row>
    <row r="675" spans="1:8">
      <c r="A675" s="77">
        <v>43996</v>
      </c>
      <c r="B675" s="55" t="s">
        <v>295</v>
      </c>
      <c r="C675" s="58">
        <v>1</v>
      </c>
      <c r="D675" s="65">
        <v>43</v>
      </c>
      <c r="E675" s="65">
        <v>70</v>
      </c>
      <c r="F675" s="65">
        <f t="shared" si="20"/>
        <v>27</v>
      </c>
      <c r="G675" s="57" t="s">
        <v>484</v>
      </c>
      <c r="H675" s="55" t="s">
        <v>482</v>
      </c>
    </row>
    <row r="676" spans="1:8">
      <c r="A676" s="77">
        <v>43996</v>
      </c>
      <c r="B676" s="55" t="s">
        <v>230</v>
      </c>
      <c r="C676" s="58">
        <v>1</v>
      </c>
      <c r="D676" s="65">
        <v>32</v>
      </c>
      <c r="E676" s="65">
        <v>60</v>
      </c>
      <c r="F676" s="65">
        <f t="shared" si="20"/>
        <v>28</v>
      </c>
      <c r="G676" s="57" t="s">
        <v>484</v>
      </c>
      <c r="H676" s="55" t="s">
        <v>482</v>
      </c>
    </row>
    <row r="677" spans="1:8">
      <c r="A677" s="77">
        <v>43997</v>
      </c>
      <c r="B677" s="55" t="s">
        <v>203</v>
      </c>
      <c r="C677" s="58">
        <v>1</v>
      </c>
      <c r="D677" s="65">
        <v>28</v>
      </c>
      <c r="E677" s="65">
        <v>55</v>
      </c>
      <c r="F677" s="65">
        <f t="shared" si="20"/>
        <v>27</v>
      </c>
      <c r="G677" s="57" t="s">
        <v>484</v>
      </c>
      <c r="H677" s="55" t="s">
        <v>482</v>
      </c>
    </row>
    <row r="678" spans="1:8">
      <c r="A678" s="77">
        <v>43997</v>
      </c>
      <c r="B678" s="55" t="s">
        <v>54</v>
      </c>
      <c r="C678" s="58">
        <v>1</v>
      </c>
      <c r="D678" s="65">
        <v>18</v>
      </c>
      <c r="E678" s="65">
        <v>55</v>
      </c>
      <c r="F678" s="65">
        <f t="shared" si="20"/>
        <v>37</v>
      </c>
      <c r="G678" s="57" t="s">
        <v>484</v>
      </c>
      <c r="H678" s="55" t="s">
        <v>482</v>
      </c>
    </row>
    <row r="679" spans="1:8">
      <c r="A679" s="77">
        <v>43998</v>
      </c>
      <c r="B679" s="55" t="s">
        <v>146</v>
      </c>
      <c r="C679" s="58">
        <v>1</v>
      </c>
      <c r="D679" s="65">
        <v>23</v>
      </c>
      <c r="E679" s="65">
        <v>50</v>
      </c>
      <c r="F679" s="65">
        <f t="shared" si="20"/>
        <v>27</v>
      </c>
      <c r="G679" s="57" t="s">
        <v>484</v>
      </c>
      <c r="H679" s="55" t="s">
        <v>482</v>
      </c>
    </row>
    <row r="680" spans="1:8">
      <c r="A680" s="77">
        <v>43998</v>
      </c>
      <c r="B680" s="55" t="s">
        <v>146</v>
      </c>
      <c r="C680" s="58">
        <v>1</v>
      </c>
      <c r="D680" s="65">
        <v>23</v>
      </c>
      <c r="E680" s="65">
        <v>50</v>
      </c>
      <c r="F680" s="65">
        <f t="shared" si="20"/>
        <v>27</v>
      </c>
      <c r="G680" s="57" t="s">
        <v>484</v>
      </c>
      <c r="H680" s="55" t="s">
        <v>482</v>
      </c>
    </row>
    <row r="681" spans="1:8">
      <c r="A681" s="77">
        <v>43999</v>
      </c>
      <c r="B681" s="55" t="s">
        <v>207</v>
      </c>
      <c r="C681" s="58">
        <v>1</v>
      </c>
      <c r="D681" s="65">
        <v>40</v>
      </c>
      <c r="E681" s="65">
        <v>90</v>
      </c>
      <c r="F681" s="65">
        <f t="shared" si="20"/>
        <v>50</v>
      </c>
      <c r="G681" s="57" t="s">
        <v>484</v>
      </c>
      <c r="H681" s="55" t="s">
        <v>482</v>
      </c>
    </row>
    <row r="682" spans="1:8">
      <c r="A682" s="77">
        <v>43999</v>
      </c>
      <c r="B682" s="55" t="s">
        <v>298</v>
      </c>
      <c r="C682" s="58">
        <v>1</v>
      </c>
      <c r="D682" s="65">
        <v>45</v>
      </c>
      <c r="E682" s="65">
        <v>80</v>
      </c>
      <c r="F682" s="65">
        <f t="shared" si="20"/>
        <v>35</v>
      </c>
      <c r="G682" s="57" t="s">
        <v>484</v>
      </c>
      <c r="H682" s="55" t="s">
        <v>482</v>
      </c>
    </row>
    <row r="683" spans="1:8">
      <c r="A683" s="77">
        <v>43999</v>
      </c>
      <c r="B683" s="55" t="s">
        <v>311</v>
      </c>
      <c r="C683" s="58">
        <v>1</v>
      </c>
      <c r="D683" s="65">
        <v>55</v>
      </c>
      <c r="E683" s="65">
        <v>100</v>
      </c>
      <c r="F683" s="65">
        <f t="shared" si="20"/>
        <v>45</v>
      </c>
      <c r="G683" s="57" t="s">
        <v>484</v>
      </c>
      <c r="H683" s="55" t="s">
        <v>482</v>
      </c>
    </row>
    <row r="684" spans="1:8">
      <c r="A684" s="77">
        <v>43999</v>
      </c>
      <c r="B684" s="55" t="s">
        <v>313</v>
      </c>
      <c r="C684" s="58">
        <v>1</v>
      </c>
      <c r="D684" s="65">
        <v>25</v>
      </c>
      <c r="E684" s="65">
        <v>40</v>
      </c>
      <c r="F684" s="65">
        <f t="shared" si="20"/>
        <v>15</v>
      </c>
      <c r="G684" s="57" t="s">
        <v>484</v>
      </c>
      <c r="H684" s="55" t="s">
        <v>482</v>
      </c>
    </row>
    <row r="685" spans="1:8">
      <c r="A685" s="77">
        <v>43999</v>
      </c>
      <c r="B685" s="55" t="s">
        <v>308</v>
      </c>
      <c r="C685" s="58">
        <v>1</v>
      </c>
      <c r="D685" s="65">
        <v>8.1300000000000008</v>
      </c>
      <c r="E685" s="65">
        <v>25</v>
      </c>
      <c r="F685" s="65">
        <f t="shared" si="20"/>
        <v>16.869999999999997</v>
      </c>
      <c r="G685" s="57" t="s">
        <v>484</v>
      </c>
      <c r="H685" s="55" t="s">
        <v>482</v>
      </c>
    </row>
    <row r="686" spans="1:8">
      <c r="A686" s="77">
        <v>43999</v>
      </c>
      <c r="B686" s="55" t="s">
        <v>312</v>
      </c>
      <c r="C686" s="58">
        <v>1</v>
      </c>
      <c r="D686" s="65">
        <v>25</v>
      </c>
      <c r="E686" s="65">
        <v>60</v>
      </c>
      <c r="F686" s="65">
        <f t="shared" si="20"/>
        <v>35</v>
      </c>
      <c r="G686" s="57" t="s">
        <v>484</v>
      </c>
      <c r="H686" s="55" t="s">
        <v>482</v>
      </c>
    </row>
    <row r="687" spans="1:8">
      <c r="A687" s="77">
        <v>43999</v>
      </c>
      <c r="B687" s="55" t="s">
        <v>214</v>
      </c>
      <c r="C687" s="58">
        <v>1</v>
      </c>
      <c r="D687" s="65">
        <v>30</v>
      </c>
      <c r="E687" s="65">
        <v>50</v>
      </c>
      <c r="F687" s="65">
        <f t="shared" si="20"/>
        <v>20</v>
      </c>
      <c r="G687" s="57" t="s">
        <v>484</v>
      </c>
      <c r="H687" s="55" t="s">
        <v>482</v>
      </c>
    </row>
    <row r="688" spans="1:8">
      <c r="A688" s="77">
        <v>44000</v>
      </c>
      <c r="B688" s="55" t="s">
        <v>207</v>
      </c>
      <c r="C688" s="58">
        <v>1</v>
      </c>
      <c r="D688" s="65">
        <v>40</v>
      </c>
      <c r="E688" s="65">
        <v>80</v>
      </c>
      <c r="F688" s="65">
        <f t="shared" si="20"/>
        <v>40</v>
      </c>
      <c r="G688" s="57" t="s">
        <v>484</v>
      </c>
      <c r="H688" s="55" t="s">
        <v>482</v>
      </c>
    </row>
    <row r="689" spans="1:8">
      <c r="A689" s="77">
        <v>44000</v>
      </c>
      <c r="B689" s="55" t="s">
        <v>273</v>
      </c>
      <c r="C689" s="58">
        <v>1</v>
      </c>
      <c r="D689" s="65">
        <v>12</v>
      </c>
      <c r="E689" s="65">
        <v>25</v>
      </c>
      <c r="F689" s="65">
        <f t="shared" si="20"/>
        <v>13</v>
      </c>
      <c r="G689" s="57" t="s">
        <v>484</v>
      </c>
      <c r="H689" s="55" t="s">
        <v>482</v>
      </c>
    </row>
    <row r="690" spans="1:8">
      <c r="A690" s="77">
        <v>44000</v>
      </c>
      <c r="B690" s="55" t="s">
        <v>304</v>
      </c>
      <c r="C690" s="58">
        <v>1</v>
      </c>
      <c r="D690" s="65">
        <v>3.5</v>
      </c>
      <c r="E690" s="65">
        <v>10</v>
      </c>
      <c r="F690" s="65">
        <f t="shared" si="20"/>
        <v>6.5</v>
      </c>
      <c r="G690" s="57" t="s">
        <v>484</v>
      </c>
      <c r="H690" s="55" t="s">
        <v>482</v>
      </c>
    </row>
    <row r="691" spans="1:8">
      <c r="A691" s="77">
        <v>44000</v>
      </c>
      <c r="B691" s="55" t="s">
        <v>194</v>
      </c>
      <c r="C691" s="58">
        <v>1</v>
      </c>
      <c r="D691" s="65">
        <v>37</v>
      </c>
      <c r="E691" s="65">
        <v>65</v>
      </c>
      <c r="F691" s="65">
        <f t="shared" si="20"/>
        <v>28</v>
      </c>
      <c r="G691" s="57" t="s">
        <v>484</v>
      </c>
      <c r="H691" s="55" t="s">
        <v>482</v>
      </c>
    </row>
    <row r="692" spans="1:8">
      <c r="A692" s="77">
        <v>44000</v>
      </c>
      <c r="B692" s="55" t="s">
        <v>245</v>
      </c>
      <c r="C692" s="58">
        <v>1</v>
      </c>
      <c r="D692" s="65">
        <v>5</v>
      </c>
      <c r="E692" s="65">
        <v>18.329999999999998</v>
      </c>
      <c r="F692" s="65">
        <f t="shared" si="20"/>
        <v>13.329999999999998</v>
      </c>
      <c r="G692" s="57" t="s">
        <v>484</v>
      </c>
      <c r="H692" s="55" t="s">
        <v>482</v>
      </c>
    </row>
    <row r="693" spans="1:8">
      <c r="A693" s="77">
        <v>44000</v>
      </c>
      <c r="B693" s="55" t="s">
        <v>245</v>
      </c>
      <c r="C693" s="58">
        <v>1</v>
      </c>
      <c r="D693" s="65">
        <v>5</v>
      </c>
      <c r="E693" s="65">
        <v>18.329999999999998</v>
      </c>
      <c r="F693" s="65">
        <f t="shared" si="20"/>
        <v>13.329999999999998</v>
      </c>
      <c r="G693" s="57" t="s">
        <v>484</v>
      </c>
      <c r="H693" s="55" t="s">
        <v>482</v>
      </c>
    </row>
    <row r="694" spans="1:8">
      <c r="A694" s="77">
        <v>44000</v>
      </c>
      <c r="B694" s="55" t="s">
        <v>245</v>
      </c>
      <c r="C694" s="58">
        <v>1</v>
      </c>
      <c r="D694" s="65">
        <v>5</v>
      </c>
      <c r="E694" s="65">
        <v>18.329999999999998</v>
      </c>
      <c r="F694" s="65">
        <f t="shared" si="20"/>
        <v>13.329999999999998</v>
      </c>
      <c r="G694" s="57" t="s">
        <v>484</v>
      </c>
      <c r="H694" s="55" t="s">
        <v>482</v>
      </c>
    </row>
    <row r="695" spans="1:8">
      <c r="A695" s="77">
        <v>44000</v>
      </c>
      <c r="B695" s="55" t="s">
        <v>314</v>
      </c>
      <c r="C695" s="58">
        <v>1</v>
      </c>
      <c r="D695" s="65">
        <v>39.5</v>
      </c>
      <c r="E695" s="65">
        <v>80</v>
      </c>
      <c r="F695" s="65">
        <f t="shared" si="20"/>
        <v>40.5</v>
      </c>
      <c r="G695" s="57" t="s">
        <v>484</v>
      </c>
      <c r="H695" s="55" t="s">
        <v>482</v>
      </c>
    </row>
    <row r="696" spans="1:8">
      <c r="A696" s="77">
        <v>44000</v>
      </c>
      <c r="B696" s="55" t="s">
        <v>246</v>
      </c>
      <c r="C696" s="58">
        <v>1</v>
      </c>
      <c r="D696" s="65">
        <v>9</v>
      </c>
      <c r="E696" s="65">
        <v>30</v>
      </c>
      <c r="F696" s="65">
        <f t="shared" si="20"/>
        <v>21</v>
      </c>
      <c r="G696" s="57" t="s">
        <v>484</v>
      </c>
      <c r="H696" s="55" t="s">
        <v>482</v>
      </c>
    </row>
    <row r="697" spans="1:8">
      <c r="A697" s="77">
        <v>44000</v>
      </c>
      <c r="B697" s="55" t="s">
        <v>246</v>
      </c>
      <c r="C697" s="58">
        <v>1</v>
      </c>
      <c r="D697" s="65">
        <v>9.5</v>
      </c>
      <c r="E697" s="65">
        <v>30</v>
      </c>
      <c r="F697" s="65">
        <f t="shared" si="20"/>
        <v>20.5</v>
      </c>
      <c r="G697" s="57" t="s">
        <v>484</v>
      </c>
      <c r="H697" s="55" t="s">
        <v>482</v>
      </c>
    </row>
    <row r="698" spans="1:8">
      <c r="A698" s="77">
        <v>44001</v>
      </c>
      <c r="B698" s="55" t="s">
        <v>207</v>
      </c>
      <c r="C698" s="58">
        <v>1</v>
      </c>
      <c r="D698" s="65">
        <v>35</v>
      </c>
      <c r="E698" s="65">
        <v>70</v>
      </c>
      <c r="F698" s="65">
        <f t="shared" si="20"/>
        <v>35</v>
      </c>
      <c r="G698" s="57" t="s">
        <v>484</v>
      </c>
      <c r="H698" s="55" t="s">
        <v>482</v>
      </c>
    </row>
    <row r="699" spans="1:8">
      <c r="A699" s="77">
        <v>44001</v>
      </c>
      <c r="B699" s="55" t="s">
        <v>207</v>
      </c>
      <c r="C699" s="58">
        <v>1</v>
      </c>
      <c r="D699" s="65">
        <v>33</v>
      </c>
      <c r="E699" s="65">
        <v>80</v>
      </c>
      <c r="F699" s="65">
        <f t="shared" si="20"/>
        <v>47</v>
      </c>
      <c r="G699" s="57" t="s">
        <v>484</v>
      </c>
      <c r="H699" s="55" t="s">
        <v>482</v>
      </c>
    </row>
    <row r="700" spans="1:8">
      <c r="A700" s="77">
        <v>44001</v>
      </c>
      <c r="B700" s="55" t="s">
        <v>207</v>
      </c>
      <c r="C700" s="58">
        <v>1</v>
      </c>
      <c r="D700" s="65">
        <v>33</v>
      </c>
      <c r="E700" s="65">
        <v>65</v>
      </c>
      <c r="F700" s="65">
        <f t="shared" si="20"/>
        <v>32</v>
      </c>
      <c r="G700" s="57" t="s">
        <v>484</v>
      </c>
      <c r="H700" s="55" t="s">
        <v>482</v>
      </c>
    </row>
    <row r="701" spans="1:8">
      <c r="A701" s="77">
        <v>44001</v>
      </c>
      <c r="B701" s="55" t="s">
        <v>274</v>
      </c>
      <c r="C701" s="58">
        <v>1</v>
      </c>
      <c r="D701" s="65">
        <v>24</v>
      </c>
      <c r="E701" s="65">
        <v>50</v>
      </c>
      <c r="F701" s="65">
        <f t="shared" ref="F701:F728" si="21">E701-D701</f>
        <v>26</v>
      </c>
      <c r="G701" s="57" t="s">
        <v>484</v>
      </c>
      <c r="H701" s="55" t="s">
        <v>482</v>
      </c>
    </row>
    <row r="702" spans="1:8">
      <c r="A702" s="77">
        <v>44001</v>
      </c>
      <c r="B702" s="55" t="s">
        <v>304</v>
      </c>
      <c r="C702" s="58">
        <v>1</v>
      </c>
      <c r="D702" s="65">
        <v>3.5</v>
      </c>
      <c r="E702" s="65">
        <v>10</v>
      </c>
      <c r="F702" s="65">
        <f t="shared" si="21"/>
        <v>6.5</v>
      </c>
      <c r="G702" s="57" t="s">
        <v>484</v>
      </c>
      <c r="H702" s="55" t="s">
        <v>482</v>
      </c>
    </row>
    <row r="703" spans="1:8">
      <c r="A703" s="77">
        <v>44001</v>
      </c>
      <c r="B703" s="55" t="s">
        <v>146</v>
      </c>
      <c r="C703" s="58">
        <v>1</v>
      </c>
      <c r="D703" s="65">
        <v>23</v>
      </c>
      <c r="E703" s="65">
        <v>60</v>
      </c>
      <c r="F703" s="65">
        <f t="shared" si="21"/>
        <v>37</v>
      </c>
      <c r="G703" s="57" t="s">
        <v>484</v>
      </c>
      <c r="H703" s="55" t="s">
        <v>482</v>
      </c>
    </row>
    <row r="704" spans="1:8">
      <c r="A704" s="77">
        <v>44002</v>
      </c>
      <c r="B704" s="55" t="s">
        <v>274</v>
      </c>
      <c r="C704" s="58">
        <v>1</v>
      </c>
      <c r="D704" s="65">
        <v>24</v>
      </c>
      <c r="E704" s="65">
        <v>50</v>
      </c>
      <c r="F704" s="65">
        <f t="shared" si="21"/>
        <v>26</v>
      </c>
      <c r="G704" s="57" t="s">
        <v>484</v>
      </c>
      <c r="H704" s="55" t="s">
        <v>482</v>
      </c>
    </row>
    <row r="705" spans="1:8">
      <c r="A705" s="77">
        <v>44002</v>
      </c>
      <c r="B705" s="55" t="s">
        <v>310</v>
      </c>
      <c r="C705" s="58">
        <v>1</v>
      </c>
      <c r="D705" s="65">
        <v>30</v>
      </c>
      <c r="E705" s="65">
        <v>80</v>
      </c>
      <c r="F705" s="65">
        <f t="shared" si="21"/>
        <v>50</v>
      </c>
      <c r="G705" s="57" t="s">
        <v>484</v>
      </c>
      <c r="H705" s="55" t="s">
        <v>482</v>
      </c>
    </row>
    <row r="706" spans="1:8">
      <c r="A706" s="77">
        <v>44002</v>
      </c>
      <c r="B706" s="55" t="s">
        <v>146</v>
      </c>
      <c r="C706" s="58">
        <v>1</v>
      </c>
      <c r="D706" s="65">
        <v>23</v>
      </c>
      <c r="E706" s="65">
        <v>50</v>
      </c>
      <c r="F706" s="65">
        <f t="shared" si="21"/>
        <v>27</v>
      </c>
      <c r="G706" s="57" t="s">
        <v>484</v>
      </c>
      <c r="H706" s="55" t="s">
        <v>482</v>
      </c>
    </row>
    <row r="707" spans="1:8">
      <c r="A707" s="77">
        <v>44003</v>
      </c>
      <c r="B707" s="56" t="s">
        <v>153</v>
      </c>
      <c r="C707" s="58">
        <v>1</v>
      </c>
      <c r="D707" s="50">
        <v>15</v>
      </c>
      <c r="E707" s="63">
        <v>20</v>
      </c>
      <c r="F707" s="65">
        <f t="shared" si="21"/>
        <v>5</v>
      </c>
      <c r="G707" s="57" t="s">
        <v>484</v>
      </c>
      <c r="H707" s="55" t="s">
        <v>482</v>
      </c>
    </row>
    <row r="708" spans="1:8">
      <c r="A708" s="77">
        <v>44003</v>
      </c>
      <c r="B708" s="55" t="s">
        <v>146</v>
      </c>
      <c r="C708" s="58">
        <v>1</v>
      </c>
      <c r="D708" s="65">
        <v>23</v>
      </c>
      <c r="E708" s="65">
        <v>60</v>
      </c>
      <c r="F708" s="65">
        <f t="shared" si="21"/>
        <v>37</v>
      </c>
      <c r="G708" s="57" t="s">
        <v>484</v>
      </c>
      <c r="H708" s="55" t="s">
        <v>482</v>
      </c>
    </row>
    <row r="709" spans="1:8">
      <c r="A709" s="77">
        <v>44003</v>
      </c>
      <c r="B709" s="55" t="s">
        <v>296</v>
      </c>
      <c r="C709" s="58">
        <v>1</v>
      </c>
      <c r="D709" s="65">
        <v>15</v>
      </c>
      <c r="E709" s="65">
        <v>30</v>
      </c>
      <c r="F709" s="65">
        <f t="shared" si="21"/>
        <v>15</v>
      </c>
      <c r="G709" s="57" t="s">
        <v>484</v>
      </c>
      <c r="H709" s="55" t="s">
        <v>482</v>
      </c>
    </row>
    <row r="710" spans="1:8">
      <c r="A710" s="77">
        <v>44005</v>
      </c>
      <c r="B710" s="55" t="s">
        <v>318</v>
      </c>
      <c r="C710" s="58">
        <v>1</v>
      </c>
      <c r="D710" s="65">
        <v>0</v>
      </c>
      <c r="E710" s="65">
        <v>70</v>
      </c>
      <c r="F710" s="65">
        <f t="shared" si="21"/>
        <v>70</v>
      </c>
      <c r="G710" s="57" t="s">
        <v>484</v>
      </c>
      <c r="H710" s="55" t="s">
        <v>482</v>
      </c>
    </row>
    <row r="711" spans="1:8">
      <c r="A711" s="77">
        <v>44006</v>
      </c>
      <c r="B711" s="55" t="s">
        <v>207</v>
      </c>
      <c r="C711" s="58">
        <v>1</v>
      </c>
      <c r="D711" s="65">
        <v>32</v>
      </c>
      <c r="E711" s="65">
        <v>70</v>
      </c>
      <c r="F711" s="65">
        <f t="shared" si="21"/>
        <v>38</v>
      </c>
      <c r="G711" s="57" t="s">
        <v>484</v>
      </c>
      <c r="H711" s="55" t="s">
        <v>482</v>
      </c>
    </row>
    <row r="712" spans="1:8">
      <c r="A712" s="77">
        <v>44006</v>
      </c>
      <c r="B712" s="55" t="s">
        <v>286</v>
      </c>
      <c r="C712" s="58">
        <v>1</v>
      </c>
      <c r="D712" s="65">
        <v>50</v>
      </c>
      <c r="E712" s="65">
        <v>80</v>
      </c>
      <c r="F712" s="65">
        <f t="shared" si="21"/>
        <v>30</v>
      </c>
      <c r="G712" s="57" t="s">
        <v>484</v>
      </c>
      <c r="H712" s="55" t="s">
        <v>482</v>
      </c>
    </row>
    <row r="713" spans="1:8">
      <c r="A713" s="77">
        <v>44006</v>
      </c>
      <c r="B713" s="55" t="s">
        <v>202</v>
      </c>
      <c r="C713" s="58">
        <v>1</v>
      </c>
      <c r="D713" s="65">
        <v>5</v>
      </c>
      <c r="E713" s="65">
        <v>20</v>
      </c>
      <c r="F713" s="65">
        <f t="shared" si="21"/>
        <v>15</v>
      </c>
      <c r="G713" s="57" t="s">
        <v>484</v>
      </c>
      <c r="H713" s="55" t="s">
        <v>482</v>
      </c>
    </row>
    <row r="714" spans="1:8">
      <c r="A714" s="77">
        <v>44006</v>
      </c>
      <c r="B714" s="55" t="s">
        <v>202</v>
      </c>
      <c r="C714" s="58">
        <v>1</v>
      </c>
      <c r="D714" s="65">
        <v>5</v>
      </c>
      <c r="E714" s="65">
        <v>30</v>
      </c>
      <c r="F714" s="65">
        <f t="shared" si="21"/>
        <v>25</v>
      </c>
      <c r="G714" s="57" t="s">
        <v>484</v>
      </c>
      <c r="H714" s="55" t="s">
        <v>482</v>
      </c>
    </row>
    <row r="715" spans="1:8">
      <c r="A715" s="77">
        <v>44008</v>
      </c>
      <c r="B715" s="55" t="s">
        <v>319</v>
      </c>
      <c r="C715" s="58">
        <v>1</v>
      </c>
      <c r="D715" s="65">
        <v>105</v>
      </c>
      <c r="E715" s="65">
        <v>188</v>
      </c>
      <c r="F715" s="65">
        <f t="shared" si="21"/>
        <v>83</v>
      </c>
      <c r="G715" s="57" t="s">
        <v>484</v>
      </c>
      <c r="H715" s="55" t="s">
        <v>482</v>
      </c>
    </row>
    <row r="716" spans="1:8">
      <c r="A716" s="77">
        <v>44008</v>
      </c>
      <c r="B716" s="55" t="s">
        <v>317</v>
      </c>
      <c r="C716" s="58">
        <v>1</v>
      </c>
      <c r="D716" s="65">
        <v>14</v>
      </c>
      <c r="E716" s="65">
        <v>25</v>
      </c>
      <c r="F716" s="65">
        <f t="shared" si="21"/>
        <v>11</v>
      </c>
      <c r="G716" s="57" t="s">
        <v>484</v>
      </c>
      <c r="H716" s="55" t="s">
        <v>482</v>
      </c>
    </row>
    <row r="717" spans="1:8">
      <c r="A717" s="77">
        <v>44008</v>
      </c>
      <c r="B717" s="55" t="s">
        <v>317</v>
      </c>
      <c r="C717" s="58">
        <v>1</v>
      </c>
      <c r="D717" s="65">
        <v>14</v>
      </c>
      <c r="E717" s="65">
        <v>25</v>
      </c>
      <c r="F717" s="65">
        <f t="shared" si="21"/>
        <v>11</v>
      </c>
      <c r="G717" s="57" t="s">
        <v>484</v>
      </c>
      <c r="H717" s="55" t="s">
        <v>482</v>
      </c>
    </row>
    <row r="718" spans="1:8">
      <c r="A718" s="77">
        <v>44008</v>
      </c>
      <c r="B718" s="55" t="s">
        <v>203</v>
      </c>
      <c r="C718" s="58">
        <v>1</v>
      </c>
      <c r="D718" s="65">
        <v>28</v>
      </c>
      <c r="E718" s="65">
        <v>70</v>
      </c>
      <c r="F718" s="65">
        <f t="shared" si="21"/>
        <v>42</v>
      </c>
      <c r="G718" s="57" t="s">
        <v>484</v>
      </c>
      <c r="H718" s="55" t="s">
        <v>482</v>
      </c>
    </row>
    <row r="719" spans="1:8">
      <c r="A719" s="77">
        <v>44008</v>
      </c>
      <c r="B719" s="55" t="s">
        <v>171</v>
      </c>
      <c r="C719" s="58">
        <v>1</v>
      </c>
      <c r="D719" s="65">
        <v>4</v>
      </c>
      <c r="E719" s="65">
        <v>15</v>
      </c>
      <c r="F719" s="65">
        <f t="shared" si="21"/>
        <v>11</v>
      </c>
      <c r="G719" s="57" t="s">
        <v>484</v>
      </c>
      <c r="H719" s="55" t="s">
        <v>482</v>
      </c>
    </row>
    <row r="720" spans="1:8">
      <c r="A720" s="77">
        <v>44008</v>
      </c>
      <c r="B720" s="55" t="s">
        <v>245</v>
      </c>
      <c r="C720" s="58">
        <v>1</v>
      </c>
      <c r="D720" s="65">
        <v>5</v>
      </c>
      <c r="E720" s="65">
        <v>15</v>
      </c>
      <c r="F720" s="65">
        <f t="shared" si="21"/>
        <v>10</v>
      </c>
      <c r="G720" s="57" t="s">
        <v>484</v>
      </c>
      <c r="H720" s="55" t="s">
        <v>482</v>
      </c>
    </row>
    <row r="721" spans="1:8">
      <c r="A721" s="77">
        <v>44008</v>
      </c>
      <c r="B721" s="55" t="s">
        <v>146</v>
      </c>
      <c r="C721" s="58">
        <v>1</v>
      </c>
      <c r="D721" s="65">
        <v>23</v>
      </c>
      <c r="E721" s="65">
        <v>50</v>
      </c>
      <c r="F721" s="65">
        <f t="shared" si="21"/>
        <v>27</v>
      </c>
      <c r="G721" s="57" t="s">
        <v>484</v>
      </c>
      <c r="H721" s="55" t="s">
        <v>482</v>
      </c>
    </row>
    <row r="722" spans="1:8">
      <c r="A722" s="77">
        <v>44009</v>
      </c>
      <c r="B722" s="55" t="s">
        <v>202</v>
      </c>
      <c r="C722" s="58">
        <v>1</v>
      </c>
      <c r="D722" s="65">
        <v>5</v>
      </c>
      <c r="E722" s="65">
        <v>20</v>
      </c>
      <c r="F722" s="65">
        <f t="shared" si="21"/>
        <v>15</v>
      </c>
      <c r="G722" s="57" t="s">
        <v>484</v>
      </c>
      <c r="H722" s="55" t="s">
        <v>482</v>
      </c>
    </row>
    <row r="723" spans="1:8">
      <c r="A723" s="77">
        <v>44010</v>
      </c>
      <c r="B723" s="55" t="s">
        <v>194</v>
      </c>
      <c r="C723" s="58">
        <v>1</v>
      </c>
      <c r="D723" s="65">
        <v>37</v>
      </c>
      <c r="E723" s="65">
        <v>65</v>
      </c>
      <c r="F723" s="65">
        <f t="shared" si="21"/>
        <v>28</v>
      </c>
      <c r="G723" s="57" t="s">
        <v>484</v>
      </c>
      <c r="H723" s="55" t="s">
        <v>482</v>
      </c>
    </row>
    <row r="724" spans="1:8">
      <c r="A724" s="77">
        <v>44009</v>
      </c>
      <c r="B724" s="55" t="s">
        <v>224</v>
      </c>
      <c r="C724" s="58">
        <v>1</v>
      </c>
      <c r="D724" s="65">
        <v>26</v>
      </c>
      <c r="E724" s="65">
        <v>50</v>
      </c>
      <c r="F724" s="65">
        <f t="shared" si="21"/>
        <v>24</v>
      </c>
      <c r="G724" s="57" t="s">
        <v>484</v>
      </c>
      <c r="H724" s="55" t="s">
        <v>482</v>
      </c>
    </row>
    <row r="725" spans="1:8">
      <c r="A725" s="77">
        <v>44011</v>
      </c>
      <c r="B725" s="55" t="s">
        <v>320</v>
      </c>
      <c r="C725" s="58">
        <v>1</v>
      </c>
      <c r="D725" s="65">
        <v>53</v>
      </c>
      <c r="E725" s="65">
        <v>80</v>
      </c>
      <c r="F725" s="65">
        <f t="shared" si="21"/>
        <v>27</v>
      </c>
      <c r="G725" s="57" t="s">
        <v>484</v>
      </c>
      <c r="H725" s="55" t="s">
        <v>482</v>
      </c>
    </row>
    <row r="726" spans="1:8">
      <c r="A726" s="77">
        <v>44012</v>
      </c>
      <c r="B726" s="55" t="s">
        <v>194</v>
      </c>
      <c r="C726" s="58">
        <v>1</v>
      </c>
      <c r="D726" s="65">
        <v>37</v>
      </c>
      <c r="E726" s="65">
        <v>65</v>
      </c>
      <c r="F726" s="65">
        <f t="shared" si="21"/>
        <v>28</v>
      </c>
      <c r="G726" s="57" t="s">
        <v>484</v>
      </c>
      <c r="H726" s="55" t="s">
        <v>482</v>
      </c>
    </row>
    <row r="727" spans="1:8">
      <c r="A727" s="77">
        <v>44010</v>
      </c>
      <c r="B727" s="55" t="s">
        <v>202</v>
      </c>
      <c r="C727" s="58">
        <v>1</v>
      </c>
      <c r="D727" s="65">
        <v>5</v>
      </c>
      <c r="E727" s="75">
        <v>20</v>
      </c>
      <c r="F727" s="65">
        <f t="shared" si="21"/>
        <v>15</v>
      </c>
      <c r="G727" s="57" t="s">
        <v>484</v>
      </c>
      <c r="H727" s="55" t="s">
        <v>482</v>
      </c>
    </row>
    <row r="728" spans="1:8">
      <c r="A728" s="77">
        <v>44012</v>
      </c>
      <c r="B728" s="55" t="s">
        <v>202</v>
      </c>
      <c r="C728" s="58">
        <v>1</v>
      </c>
      <c r="D728" s="65">
        <v>5</v>
      </c>
      <c r="E728" s="75">
        <v>30</v>
      </c>
      <c r="F728" s="65">
        <f t="shared" si="21"/>
        <v>25</v>
      </c>
      <c r="G728" s="57" t="s">
        <v>484</v>
      </c>
      <c r="H728" s="55" t="s">
        <v>482</v>
      </c>
    </row>
    <row r="729" spans="1:8">
      <c r="A729" s="77">
        <v>44021</v>
      </c>
      <c r="B729" s="55" t="s">
        <v>203</v>
      </c>
      <c r="C729" s="58">
        <v>1</v>
      </c>
      <c r="D729" s="65">
        <v>28</v>
      </c>
      <c r="E729" s="65">
        <v>60</v>
      </c>
      <c r="F729" s="65">
        <f t="shared" ref="F729:F749" si="22">E729-D729</f>
        <v>32</v>
      </c>
      <c r="G729" s="57" t="s">
        <v>484</v>
      </c>
      <c r="H729" s="55" t="s">
        <v>482</v>
      </c>
    </row>
    <row r="730" spans="1:8">
      <c r="A730" s="77">
        <v>44030</v>
      </c>
      <c r="B730" s="55" t="s">
        <v>203</v>
      </c>
      <c r="C730" s="58">
        <v>1</v>
      </c>
      <c r="D730" s="65">
        <v>28</v>
      </c>
      <c r="E730" s="65">
        <v>55</v>
      </c>
      <c r="F730" s="65">
        <f t="shared" si="22"/>
        <v>27</v>
      </c>
      <c r="G730" s="57" t="s">
        <v>484</v>
      </c>
      <c r="H730" s="55" t="s">
        <v>482</v>
      </c>
    </row>
    <row r="731" spans="1:8">
      <c r="A731" s="77">
        <v>44035</v>
      </c>
      <c r="B731" s="55" t="s">
        <v>203</v>
      </c>
      <c r="C731" s="58">
        <v>1</v>
      </c>
      <c r="D731" s="65">
        <v>27.5</v>
      </c>
      <c r="E731" s="65">
        <v>70</v>
      </c>
      <c r="F731" s="65">
        <f t="shared" si="22"/>
        <v>42.5</v>
      </c>
      <c r="G731" s="57" t="s">
        <v>484</v>
      </c>
      <c r="H731" s="55" t="s">
        <v>482</v>
      </c>
    </row>
    <row r="732" spans="1:8">
      <c r="A732" s="77">
        <v>44041</v>
      </c>
      <c r="B732" s="55" t="s">
        <v>357</v>
      </c>
      <c r="C732" s="58">
        <v>1</v>
      </c>
      <c r="D732" s="65">
        <v>6</v>
      </c>
      <c r="E732" s="65">
        <v>14</v>
      </c>
      <c r="F732" s="65">
        <f t="shared" si="22"/>
        <v>8</v>
      </c>
      <c r="G732" s="57" t="s">
        <v>484</v>
      </c>
      <c r="H732" s="55" t="s">
        <v>482</v>
      </c>
    </row>
    <row r="733" spans="1:8">
      <c r="A733" s="77">
        <v>44025</v>
      </c>
      <c r="B733" s="55" t="s">
        <v>333</v>
      </c>
      <c r="C733" s="58">
        <v>1</v>
      </c>
      <c r="D733" s="65">
        <v>4.5</v>
      </c>
      <c r="E733" s="65">
        <v>10</v>
      </c>
      <c r="F733" s="65">
        <f t="shared" si="22"/>
        <v>5.5</v>
      </c>
      <c r="G733" s="57" t="s">
        <v>484</v>
      </c>
      <c r="H733" s="55" t="s">
        <v>482</v>
      </c>
    </row>
    <row r="734" spans="1:8">
      <c r="A734" s="77">
        <v>44026</v>
      </c>
      <c r="B734" s="55" t="s">
        <v>334</v>
      </c>
      <c r="C734" s="58">
        <v>1</v>
      </c>
      <c r="D734" s="65">
        <v>120</v>
      </c>
      <c r="E734" s="65">
        <v>220</v>
      </c>
      <c r="F734" s="65">
        <f t="shared" si="22"/>
        <v>100</v>
      </c>
      <c r="G734" s="57" t="s">
        <v>484</v>
      </c>
      <c r="H734" s="55" t="s">
        <v>482</v>
      </c>
    </row>
    <row r="735" spans="1:8">
      <c r="A735" s="77">
        <v>44014</v>
      </c>
      <c r="B735" s="55" t="s">
        <v>238</v>
      </c>
      <c r="C735" s="58">
        <v>1</v>
      </c>
      <c r="D735" s="65">
        <v>4</v>
      </c>
      <c r="E735" s="65">
        <v>15</v>
      </c>
      <c r="F735" s="65">
        <f t="shared" si="22"/>
        <v>11</v>
      </c>
      <c r="G735" s="57" t="s">
        <v>484</v>
      </c>
      <c r="H735" s="55" t="s">
        <v>482</v>
      </c>
    </row>
    <row r="736" spans="1:8">
      <c r="A736" s="77">
        <v>44014</v>
      </c>
      <c r="B736" s="55" t="s">
        <v>323</v>
      </c>
      <c r="C736" s="58">
        <v>1</v>
      </c>
      <c r="D736" s="65">
        <v>43</v>
      </c>
      <c r="E736" s="65">
        <v>75</v>
      </c>
      <c r="F736" s="65">
        <f t="shared" si="22"/>
        <v>32</v>
      </c>
      <c r="G736" s="57" t="s">
        <v>484</v>
      </c>
      <c r="H736" s="55" t="s">
        <v>482</v>
      </c>
    </row>
    <row r="737" spans="1:8">
      <c r="A737" s="77">
        <v>44043</v>
      </c>
      <c r="B737" s="55" t="s">
        <v>323</v>
      </c>
      <c r="C737" s="58">
        <v>1</v>
      </c>
      <c r="D737" s="65">
        <v>45</v>
      </c>
      <c r="E737" s="65">
        <v>120</v>
      </c>
      <c r="F737" s="65">
        <f t="shared" si="22"/>
        <v>75</v>
      </c>
      <c r="G737" s="57" t="s">
        <v>484</v>
      </c>
      <c r="H737" s="55" t="s">
        <v>482</v>
      </c>
    </row>
    <row r="738" spans="1:8">
      <c r="A738" s="77">
        <v>44043</v>
      </c>
      <c r="B738" s="55" t="s">
        <v>207</v>
      </c>
      <c r="C738" s="58">
        <v>1</v>
      </c>
      <c r="D738" s="65">
        <v>30</v>
      </c>
      <c r="E738" s="65">
        <v>80</v>
      </c>
      <c r="F738" s="65">
        <f t="shared" si="22"/>
        <v>50</v>
      </c>
      <c r="G738" s="57" t="s">
        <v>484</v>
      </c>
      <c r="H738" s="55" t="s">
        <v>482</v>
      </c>
    </row>
    <row r="739" spans="1:8">
      <c r="A739" s="77">
        <v>44021</v>
      </c>
      <c r="B739" s="55" t="s">
        <v>307</v>
      </c>
      <c r="C739" s="58">
        <v>1</v>
      </c>
      <c r="D739" s="65">
        <v>29.5</v>
      </c>
      <c r="E739" s="65">
        <v>50</v>
      </c>
      <c r="F739" s="65">
        <f t="shared" si="22"/>
        <v>20.5</v>
      </c>
      <c r="G739" s="57" t="s">
        <v>484</v>
      </c>
      <c r="H739" s="55" t="s">
        <v>482</v>
      </c>
    </row>
    <row r="740" spans="1:8">
      <c r="A740" s="77">
        <v>44023</v>
      </c>
      <c r="B740" s="55" t="s">
        <v>307</v>
      </c>
      <c r="C740" s="58">
        <v>1</v>
      </c>
      <c r="D740" s="65">
        <v>29.5</v>
      </c>
      <c r="E740" s="65">
        <v>50</v>
      </c>
      <c r="F740" s="65">
        <f t="shared" si="22"/>
        <v>20.5</v>
      </c>
      <c r="G740" s="57" t="s">
        <v>484</v>
      </c>
      <c r="H740" s="55" t="s">
        <v>482</v>
      </c>
    </row>
    <row r="741" spans="1:8">
      <c r="A741" s="77">
        <v>44033</v>
      </c>
      <c r="B741" s="55" t="s">
        <v>347</v>
      </c>
      <c r="C741" s="58">
        <v>1</v>
      </c>
      <c r="D741" s="65">
        <v>9</v>
      </c>
      <c r="E741" s="65">
        <v>20</v>
      </c>
      <c r="F741" s="65">
        <f t="shared" si="22"/>
        <v>11</v>
      </c>
      <c r="G741" s="57" t="s">
        <v>484</v>
      </c>
      <c r="H741" s="55" t="s">
        <v>482</v>
      </c>
    </row>
    <row r="742" spans="1:8">
      <c r="A742" s="77">
        <v>44025</v>
      </c>
      <c r="B742" s="55" t="s">
        <v>330</v>
      </c>
      <c r="C742" s="58">
        <v>1</v>
      </c>
      <c r="D742" s="65">
        <v>11</v>
      </c>
      <c r="E742" s="65">
        <v>20</v>
      </c>
      <c r="F742" s="65">
        <f t="shared" si="22"/>
        <v>9</v>
      </c>
      <c r="G742" s="57" t="s">
        <v>484</v>
      </c>
      <c r="H742" s="55" t="s">
        <v>482</v>
      </c>
    </row>
    <row r="743" spans="1:8">
      <c r="A743" s="77">
        <v>44025</v>
      </c>
      <c r="B743" s="55" t="s">
        <v>330</v>
      </c>
      <c r="C743" s="58">
        <v>1</v>
      </c>
      <c r="D743" s="65">
        <v>11</v>
      </c>
      <c r="E743" s="65">
        <v>20</v>
      </c>
      <c r="F743" s="65">
        <f t="shared" si="22"/>
        <v>9</v>
      </c>
      <c r="G743" s="57" t="s">
        <v>484</v>
      </c>
      <c r="H743" s="55" t="s">
        <v>482</v>
      </c>
    </row>
    <row r="744" spans="1:8">
      <c r="A744" s="77">
        <v>44025</v>
      </c>
      <c r="B744" s="55" t="s">
        <v>330</v>
      </c>
      <c r="C744" s="58">
        <v>1</v>
      </c>
      <c r="D744" s="65">
        <v>11</v>
      </c>
      <c r="E744" s="65">
        <v>20</v>
      </c>
      <c r="F744" s="65">
        <f t="shared" si="22"/>
        <v>9</v>
      </c>
      <c r="G744" s="57" t="s">
        <v>484</v>
      </c>
      <c r="H744" s="55" t="s">
        <v>482</v>
      </c>
    </row>
    <row r="745" spans="1:8">
      <c r="A745" s="77">
        <v>44025</v>
      </c>
      <c r="B745" s="55" t="s">
        <v>331</v>
      </c>
      <c r="C745" s="58">
        <v>1</v>
      </c>
      <c r="D745" s="65">
        <v>16</v>
      </c>
      <c r="E745" s="65">
        <v>30</v>
      </c>
      <c r="F745" s="65">
        <f t="shared" si="22"/>
        <v>14</v>
      </c>
      <c r="G745" s="57" t="s">
        <v>484</v>
      </c>
      <c r="H745" s="55" t="s">
        <v>482</v>
      </c>
    </row>
    <row r="746" spans="1:8">
      <c r="A746" s="77">
        <v>44025</v>
      </c>
      <c r="B746" s="55" t="s">
        <v>274</v>
      </c>
      <c r="C746" s="58">
        <v>1</v>
      </c>
      <c r="D746" s="65">
        <v>24</v>
      </c>
      <c r="E746" s="65">
        <v>50</v>
      </c>
      <c r="F746" s="65">
        <f t="shared" si="22"/>
        <v>26</v>
      </c>
      <c r="G746" s="57" t="s">
        <v>484</v>
      </c>
      <c r="H746" s="55" t="s">
        <v>482</v>
      </c>
    </row>
    <row r="747" spans="1:8">
      <c r="A747" s="77">
        <v>44025</v>
      </c>
      <c r="B747" s="55" t="s">
        <v>274</v>
      </c>
      <c r="C747" s="58">
        <v>1</v>
      </c>
      <c r="D747" s="65">
        <v>24</v>
      </c>
      <c r="E747" s="65">
        <v>45</v>
      </c>
      <c r="F747" s="65">
        <f t="shared" si="22"/>
        <v>21</v>
      </c>
      <c r="G747" s="57" t="s">
        <v>484</v>
      </c>
      <c r="H747" s="55" t="s">
        <v>482</v>
      </c>
    </row>
    <row r="748" spans="1:8">
      <c r="A748" s="77">
        <v>44028</v>
      </c>
      <c r="B748" s="55" t="s">
        <v>274</v>
      </c>
      <c r="C748" s="58">
        <v>1</v>
      </c>
      <c r="D748" s="65">
        <v>24</v>
      </c>
      <c r="E748" s="65">
        <v>50</v>
      </c>
      <c r="F748" s="65">
        <f t="shared" si="22"/>
        <v>26</v>
      </c>
      <c r="G748" s="57" t="s">
        <v>484</v>
      </c>
      <c r="H748" s="55" t="s">
        <v>482</v>
      </c>
    </row>
    <row r="749" spans="1:8">
      <c r="A749" s="77">
        <v>44030</v>
      </c>
      <c r="B749" s="55" t="s">
        <v>274</v>
      </c>
      <c r="C749" s="58">
        <v>1</v>
      </c>
      <c r="D749" s="65">
        <v>24</v>
      </c>
      <c r="E749" s="65">
        <v>50</v>
      </c>
      <c r="F749" s="65">
        <f t="shared" si="22"/>
        <v>26</v>
      </c>
      <c r="G749" s="57" t="s">
        <v>484</v>
      </c>
      <c r="H749" s="55" t="s">
        <v>482</v>
      </c>
    </row>
    <row r="750" spans="1:8">
      <c r="A750" s="77">
        <v>44031</v>
      </c>
      <c r="B750" s="55" t="s">
        <v>274</v>
      </c>
      <c r="C750" s="58">
        <v>1</v>
      </c>
      <c r="D750" s="65">
        <v>24</v>
      </c>
      <c r="E750" s="65">
        <v>50</v>
      </c>
      <c r="F750" s="65">
        <f>SUM(E750-D750)</f>
        <v>26</v>
      </c>
      <c r="G750" s="57" t="s">
        <v>484</v>
      </c>
      <c r="H750" s="55" t="s">
        <v>482</v>
      </c>
    </row>
    <row r="751" spans="1:8">
      <c r="A751" s="77">
        <v>44032</v>
      </c>
      <c r="B751" s="55" t="s">
        <v>346</v>
      </c>
      <c r="C751" s="58">
        <v>1</v>
      </c>
      <c r="D751" s="65">
        <v>15</v>
      </c>
      <c r="E751" s="65">
        <v>30</v>
      </c>
      <c r="F751" s="65">
        <f t="shared" ref="F751:F764" si="23">E751-D751</f>
        <v>15</v>
      </c>
      <c r="G751" s="57" t="s">
        <v>484</v>
      </c>
      <c r="H751" s="55" t="s">
        <v>482</v>
      </c>
    </row>
    <row r="752" spans="1:8">
      <c r="A752" s="77">
        <v>44036</v>
      </c>
      <c r="B752" s="55" t="s">
        <v>346</v>
      </c>
      <c r="C752" s="58">
        <v>1</v>
      </c>
      <c r="D752" s="65">
        <v>15</v>
      </c>
      <c r="E752" s="65">
        <v>40</v>
      </c>
      <c r="F752" s="65">
        <f t="shared" si="23"/>
        <v>25</v>
      </c>
      <c r="G752" s="57" t="s">
        <v>484</v>
      </c>
      <c r="H752" s="55" t="s">
        <v>482</v>
      </c>
    </row>
    <row r="753" spans="1:8">
      <c r="A753" s="77">
        <v>44035</v>
      </c>
      <c r="B753" s="55" t="s">
        <v>346</v>
      </c>
      <c r="C753" s="58">
        <v>1</v>
      </c>
      <c r="D753" s="65">
        <v>15</v>
      </c>
      <c r="E753" s="65">
        <v>30</v>
      </c>
      <c r="F753" s="65">
        <f t="shared" si="23"/>
        <v>15</v>
      </c>
      <c r="G753" s="57" t="s">
        <v>484</v>
      </c>
      <c r="H753" s="55" t="s">
        <v>482</v>
      </c>
    </row>
    <row r="754" spans="1:8">
      <c r="A754" s="77">
        <v>44035</v>
      </c>
      <c r="B754" s="55" t="s">
        <v>346</v>
      </c>
      <c r="C754" s="58">
        <v>1</v>
      </c>
      <c r="D754" s="65">
        <v>15</v>
      </c>
      <c r="E754" s="65">
        <v>30</v>
      </c>
      <c r="F754" s="65">
        <f t="shared" si="23"/>
        <v>15</v>
      </c>
      <c r="G754" s="57" t="s">
        <v>484</v>
      </c>
      <c r="H754" s="55" t="s">
        <v>482</v>
      </c>
    </row>
    <row r="755" spans="1:8">
      <c r="A755" s="77">
        <v>44040</v>
      </c>
      <c r="B755" s="55" t="s">
        <v>346</v>
      </c>
      <c r="C755" s="58">
        <v>1</v>
      </c>
      <c r="D755" s="65">
        <v>15</v>
      </c>
      <c r="E755" s="65">
        <v>25</v>
      </c>
      <c r="F755" s="65">
        <f t="shared" si="23"/>
        <v>10</v>
      </c>
      <c r="G755" s="57" t="s">
        <v>484</v>
      </c>
      <c r="H755" s="55" t="s">
        <v>482</v>
      </c>
    </row>
    <row r="756" spans="1:8">
      <c r="A756" s="77">
        <v>44040</v>
      </c>
      <c r="B756" s="55" t="s">
        <v>346</v>
      </c>
      <c r="C756" s="58">
        <v>1</v>
      </c>
      <c r="D756" s="65">
        <v>15</v>
      </c>
      <c r="E756" s="65">
        <v>25</v>
      </c>
      <c r="F756" s="65">
        <f t="shared" si="23"/>
        <v>10</v>
      </c>
      <c r="G756" s="57" t="s">
        <v>484</v>
      </c>
      <c r="H756" s="55" t="s">
        <v>482</v>
      </c>
    </row>
    <row r="757" spans="1:8">
      <c r="A757" s="77">
        <v>44040</v>
      </c>
      <c r="B757" s="55" t="s">
        <v>346</v>
      </c>
      <c r="C757" s="58">
        <v>1</v>
      </c>
      <c r="D757" s="65">
        <v>15</v>
      </c>
      <c r="E757" s="65">
        <v>25</v>
      </c>
      <c r="F757" s="65">
        <f t="shared" si="23"/>
        <v>10</v>
      </c>
      <c r="G757" s="57" t="s">
        <v>484</v>
      </c>
      <c r="H757" s="55" t="s">
        <v>482</v>
      </c>
    </row>
    <row r="758" spans="1:8">
      <c r="A758" s="77">
        <v>44040</v>
      </c>
      <c r="B758" s="55" t="s">
        <v>346</v>
      </c>
      <c r="C758" s="58">
        <v>1</v>
      </c>
      <c r="D758" s="65">
        <v>15</v>
      </c>
      <c r="E758" s="65">
        <v>25</v>
      </c>
      <c r="F758" s="65">
        <f t="shared" si="23"/>
        <v>10</v>
      </c>
      <c r="G758" s="57" t="s">
        <v>484</v>
      </c>
      <c r="H758" s="55" t="s">
        <v>482</v>
      </c>
    </row>
    <row r="759" spans="1:8">
      <c r="A759" s="77">
        <v>44039</v>
      </c>
      <c r="B759" s="55" t="s">
        <v>346</v>
      </c>
      <c r="C759" s="58">
        <v>1</v>
      </c>
      <c r="D759" s="65">
        <v>15</v>
      </c>
      <c r="E759" s="65">
        <v>30</v>
      </c>
      <c r="F759" s="65">
        <f t="shared" si="23"/>
        <v>15</v>
      </c>
      <c r="G759" s="57" t="s">
        <v>484</v>
      </c>
      <c r="H759" s="55" t="s">
        <v>482</v>
      </c>
    </row>
    <row r="760" spans="1:8">
      <c r="A760" s="77">
        <v>44039</v>
      </c>
      <c r="B760" s="55" t="s">
        <v>346</v>
      </c>
      <c r="C760" s="58">
        <v>1</v>
      </c>
      <c r="D760" s="65">
        <v>15</v>
      </c>
      <c r="E760" s="65">
        <v>30</v>
      </c>
      <c r="F760" s="65">
        <f t="shared" si="23"/>
        <v>15</v>
      </c>
      <c r="G760" s="57" t="s">
        <v>484</v>
      </c>
      <c r="H760" s="55" t="s">
        <v>482</v>
      </c>
    </row>
    <row r="761" spans="1:8">
      <c r="A761" s="77">
        <v>44040</v>
      </c>
      <c r="B761" s="55" t="s">
        <v>346</v>
      </c>
      <c r="C761" s="58">
        <v>1</v>
      </c>
      <c r="D761" s="65">
        <v>15</v>
      </c>
      <c r="E761" s="65">
        <v>30</v>
      </c>
      <c r="F761" s="65">
        <f t="shared" si="23"/>
        <v>15</v>
      </c>
      <c r="G761" s="57" t="s">
        <v>484</v>
      </c>
      <c r="H761" s="55" t="s">
        <v>482</v>
      </c>
    </row>
    <row r="762" spans="1:8">
      <c r="A762" s="77">
        <v>44037</v>
      </c>
      <c r="B762" s="55" t="s">
        <v>346</v>
      </c>
      <c r="C762" s="58">
        <v>1</v>
      </c>
      <c r="D762" s="65">
        <v>15</v>
      </c>
      <c r="E762" s="65">
        <v>35</v>
      </c>
      <c r="F762" s="65">
        <f t="shared" si="23"/>
        <v>20</v>
      </c>
      <c r="G762" s="57" t="s">
        <v>484</v>
      </c>
      <c r="H762" s="55" t="s">
        <v>482</v>
      </c>
    </row>
    <row r="763" spans="1:8">
      <c r="A763" s="77">
        <v>44037</v>
      </c>
      <c r="B763" s="55" t="s">
        <v>346</v>
      </c>
      <c r="C763" s="58">
        <v>1</v>
      </c>
      <c r="D763" s="65">
        <v>15</v>
      </c>
      <c r="E763" s="65">
        <v>35</v>
      </c>
      <c r="F763" s="65">
        <f t="shared" si="23"/>
        <v>20</v>
      </c>
      <c r="G763" s="57" t="s">
        <v>484</v>
      </c>
      <c r="H763" s="55" t="s">
        <v>482</v>
      </c>
    </row>
    <row r="764" spans="1:8">
      <c r="A764" s="77">
        <v>44038</v>
      </c>
      <c r="B764" s="55" t="s">
        <v>346</v>
      </c>
      <c r="C764" s="58">
        <v>1</v>
      </c>
      <c r="D764" s="65">
        <v>15</v>
      </c>
      <c r="E764" s="65">
        <v>30</v>
      </c>
      <c r="F764" s="65">
        <f t="shared" si="23"/>
        <v>15</v>
      </c>
      <c r="G764" s="57" t="s">
        <v>484</v>
      </c>
      <c r="H764" s="55" t="s">
        <v>482</v>
      </c>
    </row>
    <row r="765" spans="1:8">
      <c r="A765" s="77">
        <v>44032</v>
      </c>
      <c r="B765" s="55" t="s">
        <v>345</v>
      </c>
      <c r="C765" s="58">
        <v>1</v>
      </c>
      <c r="D765" s="65">
        <v>145</v>
      </c>
      <c r="E765" s="65">
        <v>210</v>
      </c>
      <c r="F765" s="65">
        <f>SUM(E765-D765)</f>
        <v>65</v>
      </c>
      <c r="G765" s="57" t="s">
        <v>484</v>
      </c>
      <c r="H765" s="55" t="s">
        <v>482</v>
      </c>
    </row>
    <row r="766" spans="1:8">
      <c r="A766" s="77">
        <v>44041</v>
      </c>
      <c r="B766" s="55" t="s">
        <v>358</v>
      </c>
      <c r="C766" s="58">
        <v>1</v>
      </c>
      <c r="D766" s="65">
        <v>15</v>
      </c>
      <c r="E766" s="65">
        <v>25</v>
      </c>
      <c r="F766" s="65">
        <f t="shared" ref="F766:F772" si="24">E766-D766</f>
        <v>10</v>
      </c>
      <c r="G766" s="57" t="s">
        <v>484</v>
      </c>
      <c r="H766" s="55" t="s">
        <v>482</v>
      </c>
    </row>
    <row r="767" spans="1:8">
      <c r="A767" s="77">
        <v>44041</v>
      </c>
      <c r="B767" s="55" t="s">
        <v>358</v>
      </c>
      <c r="C767" s="58">
        <v>1</v>
      </c>
      <c r="D767" s="65">
        <v>15</v>
      </c>
      <c r="E767" s="65">
        <v>25</v>
      </c>
      <c r="F767" s="65">
        <f t="shared" si="24"/>
        <v>10</v>
      </c>
      <c r="G767" s="57" t="s">
        <v>484</v>
      </c>
      <c r="H767" s="55" t="s">
        <v>482</v>
      </c>
    </row>
    <row r="768" spans="1:8">
      <c r="A768" s="77">
        <v>44033</v>
      </c>
      <c r="B768" s="55" t="s">
        <v>348</v>
      </c>
      <c r="C768" s="58">
        <v>1</v>
      </c>
      <c r="D768" s="65">
        <v>15</v>
      </c>
      <c r="E768" s="65">
        <v>30</v>
      </c>
      <c r="F768" s="65">
        <f t="shared" si="24"/>
        <v>15</v>
      </c>
      <c r="G768" s="57" t="s">
        <v>484</v>
      </c>
      <c r="H768" s="55" t="s">
        <v>482</v>
      </c>
    </row>
    <row r="769" spans="1:8">
      <c r="A769" s="77">
        <v>44035</v>
      </c>
      <c r="B769" s="55" t="s">
        <v>348</v>
      </c>
      <c r="C769" s="58">
        <v>1</v>
      </c>
      <c r="D769" s="65">
        <v>15</v>
      </c>
      <c r="E769" s="65">
        <v>40</v>
      </c>
      <c r="F769" s="65">
        <f t="shared" si="24"/>
        <v>25</v>
      </c>
      <c r="G769" s="57" t="s">
        <v>484</v>
      </c>
      <c r="H769" s="55" t="s">
        <v>482</v>
      </c>
    </row>
    <row r="770" spans="1:8">
      <c r="A770" s="77">
        <v>0</v>
      </c>
      <c r="B770" s="55" t="s">
        <v>329</v>
      </c>
      <c r="C770" s="58">
        <v>1</v>
      </c>
      <c r="D770" s="65">
        <v>10</v>
      </c>
      <c r="E770" s="65">
        <v>50</v>
      </c>
      <c r="F770" s="65">
        <f t="shared" si="24"/>
        <v>40</v>
      </c>
      <c r="G770" s="57" t="s">
        <v>484</v>
      </c>
      <c r="H770" s="55" t="s">
        <v>482</v>
      </c>
    </row>
    <row r="771" spans="1:8">
      <c r="A771" s="77">
        <v>44021</v>
      </c>
      <c r="B771" s="55" t="s">
        <v>329</v>
      </c>
      <c r="C771" s="58">
        <v>1</v>
      </c>
      <c r="D771" s="65">
        <v>10</v>
      </c>
      <c r="E771" s="65">
        <v>50</v>
      </c>
      <c r="F771" s="65">
        <f t="shared" si="24"/>
        <v>40</v>
      </c>
      <c r="G771" s="57" t="s">
        <v>484</v>
      </c>
      <c r="H771" s="55" t="s">
        <v>482</v>
      </c>
    </row>
    <row r="772" spans="1:8">
      <c r="A772" s="77">
        <v>44030</v>
      </c>
      <c r="B772" s="55" t="s">
        <v>329</v>
      </c>
      <c r="C772" s="58">
        <v>1</v>
      </c>
      <c r="D772" s="65">
        <v>10</v>
      </c>
      <c r="E772" s="65">
        <v>50</v>
      </c>
      <c r="F772" s="65">
        <f t="shared" si="24"/>
        <v>40</v>
      </c>
      <c r="G772" s="57" t="s">
        <v>484</v>
      </c>
      <c r="H772" s="55" t="s">
        <v>482</v>
      </c>
    </row>
    <row r="773" spans="1:8">
      <c r="A773" s="77">
        <v>44031</v>
      </c>
      <c r="B773" s="55" t="s">
        <v>329</v>
      </c>
      <c r="C773" s="58">
        <v>1</v>
      </c>
      <c r="D773" s="65">
        <v>10</v>
      </c>
      <c r="E773" s="65">
        <v>50</v>
      </c>
      <c r="F773" s="65">
        <f>SUM(E773-D773)</f>
        <v>40</v>
      </c>
      <c r="G773" s="57" t="s">
        <v>484</v>
      </c>
      <c r="H773" s="55" t="s">
        <v>482</v>
      </c>
    </row>
    <row r="774" spans="1:8">
      <c r="A774" s="77">
        <v>44032</v>
      </c>
      <c r="B774" s="55" t="s">
        <v>329</v>
      </c>
      <c r="C774" s="58">
        <v>1</v>
      </c>
      <c r="D774" s="65">
        <v>10</v>
      </c>
      <c r="E774" s="65">
        <v>50</v>
      </c>
      <c r="F774" s="65">
        <f>SUM(E774-D774)</f>
        <v>40</v>
      </c>
      <c r="G774" s="57" t="s">
        <v>484</v>
      </c>
      <c r="H774" s="55" t="s">
        <v>482</v>
      </c>
    </row>
    <row r="775" spans="1:8">
      <c r="A775" s="77">
        <v>44033</v>
      </c>
      <c r="B775" s="55" t="s">
        <v>243</v>
      </c>
      <c r="C775" s="58">
        <v>1</v>
      </c>
      <c r="D775" s="65">
        <v>40</v>
      </c>
      <c r="E775" s="65">
        <v>60</v>
      </c>
      <c r="F775" s="65">
        <f t="shared" ref="F775:F780" si="25">E775-D775</f>
        <v>20</v>
      </c>
      <c r="G775" s="57" t="s">
        <v>484</v>
      </c>
      <c r="H775" s="55" t="s">
        <v>482</v>
      </c>
    </row>
    <row r="776" spans="1:8">
      <c r="A776" s="77">
        <v>43985</v>
      </c>
      <c r="B776" s="55" t="s">
        <v>324</v>
      </c>
      <c r="C776" s="58">
        <v>1</v>
      </c>
      <c r="D776" s="65">
        <v>0</v>
      </c>
      <c r="E776" s="65">
        <v>50</v>
      </c>
      <c r="F776" s="65">
        <f t="shared" si="25"/>
        <v>50</v>
      </c>
      <c r="G776" s="57" t="s">
        <v>484</v>
      </c>
      <c r="H776" s="55" t="s">
        <v>482</v>
      </c>
    </row>
    <row r="777" spans="1:8">
      <c r="A777" s="77">
        <v>44019</v>
      </c>
      <c r="B777" s="55" t="s">
        <v>123</v>
      </c>
      <c r="C777" s="58">
        <v>1</v>
      </c>
      <c r="D777" s="65">
        <v>15</v>
      </c>
      <c r="E777" s="65">
        <v>40</v>
      </c>
      <c r="F777" s="65">
        <f t="shared" si="25"/>
        <v>25</v>
      </c>
      <c r="G777" s="57" t="s">
        <v>484</v>
      </c>
      <c r="H777" s="55" t="s">
        <v>482</v>
      </c>
    </row>
    <row r="778" spans="1:8">
      <c r="A778" s="77">
        <v>44021</v>
      </c>
      <c r="B778" s="55" t="s">
        <v>123</v>
      </c>
      <c r="C778" s="58">
        <v>1</v>
      </c>
      <c r="D778" s="65">
        <v>15</v>
      </c>
      <c r="E778" s="65">
        <v>35</v>
      </c>
      <c r="F778" s="65">
        <f t="shared" si="25"/>
        <v>20</v>
      </c>
      <c r="G778" s="57" t="s">
        <v>484</v>
      </c>
      <c r="H778" s="55" t="s">
        <v>482</v>
      </c>
    </row>
    <row r="779" spans="1:8">
      <c r="A779" s="77">
        <v>44022</v>
      </c>
      <c r="B779" s="55" t="s">
        <v>123</v>
      </c>
      <c r="C779" s="58">
        <v>1</v>
      </c>
      <c r="D779" s="65">
        <v>15</v>
      </c>
      <c r="E779" s="65">
        <v>35</v>
      </c>
      <c r="F779" s="65">
        <f t="shared" si="25"/>
        <v>20</v>
      </c>
      <c r="G779" s="57" t="s">
        <v>484</v>
      </c>
      <c r="H779" s="55" t="s">
        <v>482</v>
      </c>
    </row>
    <row r="780" spans="1:8">
      <c r="A780" s="77">
        <v>44022</v>
      </c>
      <c r="B780" s="55" t="s">
        <v>123</v>
      </c>
      <c r="C780" s="58">
        <v>1</v>
      </c>
      <c r="D780" s="65">
        <v>15</v>
      </c>
      <c r="E780" s="65">
        <v>35</v>
      </c>
      <c r="F780" s="65">
        <f t="shared" si="25"/>
        <v>20</v>
      </c>
      <c r="G780" s="57" t="s">
        <v>484</v>
      </c>
      <c r="H780" s="55" t="s">
        <v>482</v>
      </c>
    </row>
    <row r="781" spans="1:8">
      <c r="A781" s="77">
        <v>44032</v>
      </c>
      <c r="B781" s="55" t="s">
        <v>123</v>
      </c>
      <c r="C781" s="58">
        <v>1</v>
      </c>
      <c r="D781" s="65">
        <v>15</v>
      </c>
      <c r="E781" s="65">
        <v>45</v>
      </c>
      <c r="F781" s="65">
        <f>SUM(E781-D781)</f>
        <v>30</v>
      </c>
      <c r="G781" s="57" t="s">
        <v>484</v>
      </c>
      <c r="H781" s="55" t="s">
        <v>482</v>
      </c>
    </row>
    <row r="782" spans="1:8">
      <c r="A782" s="77">
        <v>44014</v>
      </c>
      <c r="B782" s="55" t="s">
        <v>321</v>
      </c>
      <c r="C782" s="58">
        <v>1</v>
      </c>
      <c r="D782" s="65">
        <v>14</v>
      </c>
      <c r="E782" s="65">
        <v>40</v>
      </c>
      <c r="F782" s="65">
        <f t="shared" ref="F782:F814" si="26">E782-D782</f>
        <v>26</v>
      </c>
      <c r="G782" s="57" t="s">
        <v>484</v>
      </c>
      <c r="H782" s="55" t="s">
        <v>482</v>
      </c>
    </row>
    <row r="783" spans="1:8">
      <c r="A783" s="77">
        <v>44028</v>
      </c>
      <c r="B783" s="55" t="s">
        <v>321</v>
      </c>
      <c r="C783" s="58">
        <v>1</v>
      </c>
      <c r="D783" s="65">
        <v>14</v>
      </c>
      <c r="E783" s="65">
        <v>35</v>
      </c>
      <c r="F783" s="65">
        <f t="shared" si="26"/>
        <v>21</v>
      </c>
      <c r="G783" s="57" t="s">
        <v>484</v>
      </c>
      <c r="H783" s="55" t="s">
        <v>482</v>
      </c>
    </row>
    <row r="784" spans="1:8">
      <c r="A784" s="77">
        <v>44039</v>
      </c>
      <c r="B784" s="55" t="s">
        <v>350</v>
      </c>
      <c r="C784" s="58">
        <v>1</v>
      </c>
      <c r="D784" s="65">
        <v>14</v>
      </c>
      <c r="E784" s="65">
        <v>45</v>
      </c>
      <c r="F784" s="65">
        <f t="shared" si="26"/>
        <v>31</v>
      </c>
      <c r="G784" s="57" t="s">
        <v>484</v>
      </c>
      <c r="H784" s="55" t="s">
        <v>482</v>
      </c>
    </row>
    <row r="785" spans="1:8">
      <c r="A785" s="77">
        <v>44014</v>
      </c>
      <c r="B785" s="55" t="s">
        <v>245</v>
      </c>
      <c r="C785" s="58">
        <v>1</v>
      </c>
      <c r="D785" s="65">
        <v>5</v>
      </c>
      <c r="E785" s="65">
        <v>15</v>
      </c>
      <c r="F785" s="65">
        <f t="shared" si="26"/>
        <v>10</v>
      </c>
      <c r="G785" s="57" t="s">
        <v>484</v>
      </c>
      <c r="H785" s="55" t="s">
        <v>482</v>
      </c>
    </row>
    <row r="786" spans="1:8">
      <c r="A786" s="77">
        <v>44016</v>
      </c>
      <c r="B786" s="55" t="s">
        <v>325</v>
      </c>
      <c r="C786" s="58">
        <v>1</v>
      </c>
      <c r="D786" s="65">
        <v>9.5</v>
      </c>
      <c r="E786" s="65">
        <v>20</v>
      </c>
      <c r="F786" s="65">
        <f t="shared" si="26"/>
        <v>10.5</v>
      </c>
      <c r="G786" s="57" t="s">
        <v>484</v>
      </c>
      <c r="H786" s="55" t="s">
        <v>482</v>
      </c>
    </row>
    <row r="787" spans="1:8">
      <c r="A787" s="77">
        <v>44025</v>
      </c>
      <c r="B787" s="55" t="s">
        <v>256</v>
      </c>
      <c r="C787" s="58">
        <v>1</v>
      </c>
      <c r="D787" s="65">
        <v>26</v>
      </c>
      <c r="E787" s="65">
        <v>60</v>
      </c>
      <c r="F787" s="65">
        <f t="shared" si="26"/>
        <v>34</v>
      </c>
      <c r="G787" s="57" t="s">
        <v>484</v>
      </c>
      <c r="H787" s="55" t="s">
        <v>482</v>
      </c>
    </row>
    <row r="788" spans="1:8">
      <c r="A788" s="77">
        <v>44025</v>
      </c>
      <c r="B788" s="55" t="s">
        <v>256</v>
      </c>
      <c r="C788" s="58">
        <v>1</v>
      </c>
      <c r="D788" s="65">
        <v>26</v>
      </c>
      <c r="E788" s="65">
        <v>80</v>
      </c>
      <c r="F788" s="65">
        <f t="shared" si="26"/>
        <v>54</v>
      </c>
      <c r="G788" s="57" t="s">
        <v>484</v>
      </c>
      <c r="H788" s="55" t="s">
        <v>482</v>
      </c>
    </row>
    <row r="789" spans="1:8">
      <c r="A789" s="77">
        <v>44026</v>
      </c>
      <c r="B789" s="55" t="s">
        <v>256</v>
      </c>
      <c r="C789" s="58">
        <v>1</v>
      </c>
      <c r="D789" s="65">
        <v>26</v>
      </c>
      <c r="E789" s="65">
        <v>50</v>
      </c>
      <c r="F789" s="65">
        <f t="shared" si="26"/>
        <v>24</v>
      </c>
      <c r="G789" s="57" t="s">
        <v>484</v>
      </c>
      <c r="H789" s="55" t="s">
        <v>482</v>
      </c>
    </row>
    <row r="790" spans="1:8">
      <c r="A790" s="77">
        <v>44027</v>
      </c>
      <c r="B790" s="55" t="s">
        <v>256</v>
      </c>
      <c r="C790" s="58">
        <v>1</v>
      </c>
      <c r="D790" s="65">
        <v>25.9</v>
      </c>
      <c r="E790" s="65">
        <v>40</v>
      </c>
      <c r="F790" s="65">
        <f t="shared" si="26"/>
        <v>14.100000000000001</v>
      </c>
      <c r="G790" s="57" t="s">
        <v>484</v>
      </c>
      <c r="H790" s="55" t="s">
        <v>482</v>
      </c>
    </row>
    <row r="791" spans="1:8">
      <c r="A791" s="77">
        <v>44028</v>
      </c>
      <c r="B791" s="55" t="s">
        <v>256</v>
      </c>
      <c r="C791" s="58">
        <v>1</v>
      </c>
      <c r="D791" s="65">
        <v>25.9</v>
      </c>
      <c r="E791" s="65">
        <v>50</v>
      </c>
      <c r="F791" s="65">
        <f t="shared" si="26"/>
        <v>24.1</v>
      </c>
      <c r="G791" s="57" t="s">
        <v>484</v>
      </c>
      <c r="H791" s="55" t="s">
        <v>482</v>
      </c>
    </row>
    <row r="792" spans="1:8">
      <c r="A792" s="77">
        <v>44029</v>
      </c>
      <c r="B792" s="55" t="s">
        <v>256</v>
      </c>
      <c r="C792" s="58">
        <v>1</v>
      </c>
      <c r="D792" s="65">
        <v>30</v>
      </c>
      <c r="E792" s="65">
        <v>60</v>
      </c>
      <c r="F792" s="65">
        <f t="shared" si="26"/>
        <v>30</v>
      </c>
      <c r="G792" s="57" t="s">
        <v>484</v>
      </c>
      <c r="H792" s="55" t="s">
        <v>482</v>
      </c>
    </row>
    <row r="793" spans="1:8">
      <c r="A793" s="77">
        <v>44020</v>
      </c>
      <c r="B793" s="55" t="s">
        <v>326</v>
      </c>
      <c r="C793" s="58">
        <v>1</v>
      </c>
      <c r="D793" s="65">
        <v>33</v>
      </c>
      <c r="E793" s="65">
        <v>70</v>
      </c>
      <c r="F793" s="65">
        <f t="shared" si="26"/>
        <v>37</v>
      </c>
      <c r="G793" s="57" t="s">
        <v>484</v>
      </c>
      <c r="H793" s="55" t="s">
        <v>482</v>
      </c>
    </row>
    <row r="794" spans="1:8">
      <c r="A794" s="77">
        <v>44024</v>
      </c>
      <c r="B794" s="55" t="s">
        <v>106</v>
      </c>
      <c r="C794" s="58">
        <v>1</v>
      </c>
      <c r="D794" s="65">
        <v>13</v>
      </c>
      <c r="E794" s="65">
        <v>25</v>
      </c>
      <c r="F794" s="65">
        <f t="shared" si="26"/>
        <v>12</v>
      </c>
      <c r="G794" s="57" t="s">
        <v>484</v>
      </c>
      <c r="H794" s="55" t="s">
        <v>482</v>
      </c>
    </row>
    <row r="795" spans="1:8">
      <c r="A795" s="77">
        <v>44014</v>
      </c>
      <c r="B795" s="55" t="s">
        <v>287</v>
      </c>
      <c r="C795" s="58">
        <v>1</v>
      </c>
      <c r="D795" s="65">
        <v>15</v>
      </c>
      <c r="E795" s="65">
        <v>35</v>
      </c>
      <c r="F795" s="65">
        <f t="shared" si="26"/>
        <v>20</v>
      </c>
      <c r="G795" s="57" t="s">
        <v>484</v>
      </c>
      <c r="H795" s="55" t="s">
        <v>482</v>
      </c>
    </row>
    <row r="796" spans="1:8">
      <c r="A796" s="77">
        <v>44018</v>
      </c>
      <c r="B796" s="55" t="s">
        <v>287</v>
      </c>
      <c r="C796" s="58">
        <v>1</v>
      </c>
      <c r="D796" s="65">
        <v>15</v>
      </c>
      <c r="E796" s="65">
        <v>35</v>
      </c>
      <c r="F796" s="65">
        <f t="shared" si="26"/>
        <v>20</v>
      </c>
      <c r="G796" s="57" t="s">
        <v>484</v>
      </c>
      <c r="H796" s="55" t="s">
        <v>482</v>
      </c>
    </row>
    <row r="797" spans="1:8">
      <c r="A797" s="77">
        <v>44018</v>
      </c>
      <c r="B797" s="55" t="s">
        <v>287</v>
      </c>
      <c r="C797" s="58">
        <v>1</v>
      </c>
      <c r="D797" s="65">
        <v>15</v>
      </c>
      <c r="E797" s="65">
        <v>35</v>
      </c>
      <c r="F797" s="65">
        <f t="shared" si="26"/>
        <v>20</v>
      </c>
      <c r="G797" s="57" t="s">
        <v>484</v>
      </c>
      <c r="H797" s="55" t="s">
        <v>482</v>
      </c>
    </row>
    <row r="798" spans="1:8">
      <c r="A798" s="77">
        <v>44018</v>
      </c>
      <c r="B798" s="55" t="s">
        <v>287</v>
      </c>
      <c r="C798" s="58">
        <v>1</v>
      </c>
      <c r="D798" s="65">
        <v>15</v>
      </c>
      <c r="E798" s="65">
        <v>35</v>
      </c>
      <c r="F798" s="65">
        <f t="shared" si="26"/>
        <v>20</v>
      </c>
      <c r="G798" s="57" t="s">
        <v>484</v>
      </c>
      <c r="H798" s="55" t="s">
        <v>482</v>
      </c>
    </row>
    <row r="799" spans="1:8">
      <c r="A799" s="77">
        <v>44043</v>
      </c>
      <c r="B799" s="55" t="s">
        <v>361</v>
      </c>
      <c r="C799" s="58">
        <v>1</v>
      </c>
      <c r="D799" s="65">
        <v>20</v>
      </c>
      <c r="E799" s="65">
        <v>40</v>
      </c>
      <c r="F799" s="65">
        <f t="shared" si="26"/>
        <v>20</v>
      </c>
      <c r="G799" s="57" t="s">
        <v>484</v>
      </c>
      <c r="H799" s="55" t="s">
        <v>482</v>
      </c>
    </row>
    <row r="800" spans="1:8">
      <c r="A800" s="77">
        <v>44043</v>
      </c>
      <c r="B800" s="55" t="s">
        <v>360</v>
      </c>
      <c r="C800" s="58">
        <v>1</v>
      </c>
      <c r="D800" s="65">
        <v>40</v>
      </c>
      <c r="E800" s="65">
        <v>60</v>
      </c>
      <c r="F800" s="65">
        <f t="shared" si="26"/>
        <v>20</v>
      </c>
      <c r="G800" s="57" t="s">
        <v>484</v>
      </c>
      <c r="H800" s="55" t="s">
        <v>482</v>
      </c>
    </row>
    <row r="801" spans="1:8">
      <c r="A801" s="77">
        <v>44030</v>
      </c>
      <c r="B801" s="55" t="s">
        <v>142</v>
      </c>
      <c r="C801" s="58">
        <v>1</v>
      </c>
      <c r="D801" s="65">
        <v>2.36</v>
      </c>
      <c r="E801" s="65">
        <v>15</v>
      </c>
      <c r="F801" s="65">
        <f t="shared" si="26"/>
        <v>12.64</v>
      </c>
      <c r="G801" s="57" t="s">
        <v>484</v>
      </c>
      <c r="H801" s="55" t="s">
        <v>482</v>
      </c>
    </row>
    <row r="802" spans="1:8">
      <c r="A802" s="77">
        <v>44036</v>
      </c>
      <c r="B802" s="55" t="s">
        <v>353</v>
      </c>
      <c r="C802" s="58">
        <v>1</v>
      </c>
      <c r="D802" s="65">
        <v>7.5</v>
      </c>
      <c r="E802" s="65">
        <v>35</v>
      </c>
      <c r="F802" s="65">
        <f t="shared" si="26"/>
        <v>27.5</v>
      </c>
      <c r="G802" s="57" t="s">
        <v>484</v>
      </c>
      <c r="H802" s="55" t="s">
        <v>482</v>
      </c>
    </row>
    <row r="803" spans="1:8">
      <c r="A803" s="77">
        <v>44035</v>
      </c>
      <c r="B803" s="55" t="s">
        <v>352</v>
      </c>
      <c r="C803" s="58">
        <v>1</v>
      </c>
      <c r="D803" s="65">
        <v>7.5</v>
      </c>
      <c r="E803" s="65">
        <v>12.5</v>
      </c>
      <c r="F803" s="65">
        <f t="shared" si="26"/>
        <v>5</v>
      </c>
      <c r="G803" s="57" t="s">
        <v>484</v>
      </c>
      <c r="H803" s="55" t="s">
        <v>482</v>
      </c>
    </row>
    <row r="804" spans="1:8">
      <c r="A804" s="77">
        <v>44035</v>
      </c>
      <c r="B804" s="55" t="s">
        <v>352</v>
      </c>
      <c r="C804" s="58">
        <v>1</v>
      </c>
      <c r="D804" s="65">
        <v>7.5</v>
      </c>
      <c r="E804" s="65">
        <v>12.5</v>
      </c>
      <c r="F804" s="65">
        <f t="shared" si="26"/>
        <v>5</v>
      </c>
      <c r="G804" s="57" t="s">
        <v>484</v>
      </c>
      <c r="H804" s="55" t="s">
        <v>482</v>
      </c>
    </row>
    <row r="805" spans="1:8">
      <c r="A805" s="77">
        <v>44036</v>
      </c>
      <c r="B805" s="55" t="s">
        <v>316</v>
      </c>
      <c r="C805" s="58">
        <v>1</v>
      </c>
      <c r="D805" s="65">
        <v>11</v>
      </c>
      <c r="E805" s="65">
        <v>30</v>
      </c>
      <c r="F805" s="65">
        <f t="shared" si="26"/>
        <v>19</v>
      </c>
      <c r="G805" s="57" t="s">
        <v>484</v>
      </c>
      <c r="H805" s="55" t="s">
        <v>482</v>
      </c>
    </row>
    <row r="806" spans="1:8">
      <c r="A806" s="77">
        <v>44043</v>
      </c>
      <c r="B806" s="55" t="s">
        <v>246</v>
      </c>
      <c r="C806" s="58">
        <v>1</v>
      </c>
      <c r="D806" s="65">
        <v>10</v>
      </c>
      <c r="E806" s="65">
        <v>25</v>
      </c>
      <c r="F806" s="65">
        <f t="shared" si="26"/>
        <v>15</v>
      </c>
      <c r="G806" s="57" t="s">
        <v>484</v>
      </c>
      <c r="H806" s="55" t="s">
        <v>482</v>
      </c>
    </row>
    <row r="807" spans="1:8">
      <c r="A807" s="77">
        <v>44015</v>
      </c>
      <c r="B807" s="55" t="s">
        <v>202</v>
      </c>
      <c r="C807" s="58">
        <v>1</v>
      </c>
      <c r="D807" s="65">
        <v>5</v>
      </c>
      <c r="E807" s="65">
        <v>20</v>
      </c>
      <c r="F807" s="65">
        <f t="shared" si="26"/>
        <v>15</v>
      </c>
      <c r="G807" s="57" t="s">
        <v>484</v>
      </c>
      <c r="H807" s="55" t="s">
        <v>482</v>
      </c>
    </row>
    <row r="808" spans="1:8">
      <c r="A808" s="77">
        <v>44021</v>
      </c>
      <c r="B808" s="55" t="s">
        <v>202</v>
      </c>
      <c r="C808" s="58">
        <v>1</v>
      </c>
      <c r="D808" s="65">
        <v>5</v>
      </c>
      <c r="E808" s="65">
        <v>30</v>
      </c>
      <c r="F808" s="65">
        <f t="shared" si="26"/>
        <v>25</v>
      </c>
      <c r="G808" s="57" t="s">
        <v>484</v>
      </c>
      <c r="H808" s="55" t="s">
        <v>482</v>
      </c>
    </row>
    <row r="809" spans="1:8">
      <c r="A809" s="77">
        <v>44023</v>
      </c>
      <c r="B809" s="55" t="s">
        <v>202</v>
      </c>
      <c r="C809" s="58">
        <v>1</v>
      </c>
      <c r="D809" s="65">
        <v>5</v>
      </c>
      <c r="E809" s="65">
        <v>20</v>
      </c>
      <c r="F809" s="65">
        <f t="shared" si="26"/>
        <v>15</v>
      </c>
      <c r="G809" s="57" t="s">
        <v>484</v>
      </c>
      <c r="H809" s="55" t="s">
        <v>482</v>
      </c>
    </row>
    <row r="810" spans="1:8">
      <c r="A810" s="77">
        <v>44029</v>
      </c>
      <c r="B810" s="55" t="s">
        <v>202</v>
      </c>
      <c r="C810" s="58">
        <v>1</v>
      </c>
      <c r="D810" s="65">
        <v>5</v>
      </c>
      <c r="E810" s="65">
        <v>20</v>
      </c>
      <c r="F810" s="65">
        <f t="shared" si="26"/>
        <v>15</v>
      </c>
      <c r="G810" s="57" t="s">
        <v>484</v>
      </c>
      <c r="H810" s="55" t="s">
        <v>482</v>
      </c>
    </row>
    <row r="811" spans="1:8">
      <c r="A811" s="77">
        <v>44029</v>
      </c>
      <c r="B811" s="55" t="s">
        <v>202</v>
      </c>
      <c r="C811" s="58">
        <v>1</v>
      </c>
      <c r="D811" s="65">
        <v>5</v>
      </c>
      <c r="E811" s="65">
        <v>30</v>
      </c>
      <c r="F811" s="65">
        <f t="shared" si="26"/>
        <v>25</v>
      </c>
      <c r="G811" s="57" t="s">
        <v>484</v>
      </c>
      <c r="H811" s="55" t="s">
        <v>482</v>
      </c>
    </row>
    <row r="812" spans="1:8">
      <c r="A812" s="77">
        <v>44030</v>
      </c>
      <c r="B812" s="55" t="s">
        <v>202</v>
      </c>
      <c r="C812" s="58">
        <v>1</v>
      </c>
      <c r="D812" s="65">
        <v>5</v>
      </c>
      <c r="E812" s="65">
        <v>20</v>
      </c>
      <c r="F812" s="65">
        <f t="shared" si="26"/>
        <v>15</v>
      </c>
      <c r="G812" s="57" t="s">
        <v>484</v>
      </c>
      <c r="H812" s="55" t="s">
        <v>482</v>
      </c>
    </row>
    <row r="813" spans="1:8">
      <c r="A813" s="77">
        <v>44031</v>
      </c>
      <c r="B813" s="55" t="s">
        <v>202</v>
      </c>
      <c r="C813" s="58">
        <v>1</v>
      </c>
      <c r="D813" s="65">
        <v>5</v>
      </c>
      <c r="E813" s="65">
        <v>20</v>
      </c>
      <c r="F813" s="65">
        <f t="shared" si="26"/>
        <v>15</v>
      </c>
      <c r="G813" s="57" t="s">
        <v>484</v>
      </c>
      <c r="H813" s="55" t="s">
        <v>482</v>
      </c>
    </row>
    <row r="814" spans="1:8">
      <c r="A814" s="77">
        <v>44032</v>
      </c>
      <c r="B814" s="55" t="s">
        <v>202</v>
      </c>
      <c r="C814" s="58">
        <v>1</v>
      </c>
      <c r="D814" s="65">
        <v>5</v>
      </c>
      <c r="E814" s="65">
        <v>20</v>
      </c>
      <c r="F814" s="65">
        <f t="shared" si="26"/>
        <v>15</v>
      </c>
      <c r="G814" s="57" t="s">
        <v>484</v>
      </c>
      <c r="H814" s="55" t="s">
        <v>482</v>
      </c>
    </row>
    <row r="815" spans="1:8">
      <c r="A815" s="77">
        <v>44033</v>
      </c>
      <c r="B815" s="55" t="s">
        <v>202</v>
      </c>
      <c r="C815" s="58">
        <v>1</v>
      </c>
      <c r="D815" s="65">
        <v>5</v>
      </c>
      <c r="E815" s="65">
        <v>20</v>
      </c>
      <c r="F815" s="65">
        <f>SUM(E815-D815)</f>
        <v>15</v>
      </c>
      <c r="G815" s="57" t="s">
        <v>484</v>
      </c>
      <c r="H815" s="55" t="s">
        <v>482</v>
      </c>
    </row>
    <row r="816" spans="1:8">
      <c r="A816" s="77">
        <v>44043</v>
      </c>
      <c r="B816" s="55" t="s">
        <v>202</v>
      </c>
      <c r="C816" s="58">
        <v>1</v>
      </c>
      <c r="D816" s="65">
        <v>5</v>
      </c>
      <c r="E816" s="65">
        <v>20</v>
      </c>
      <c r="F816" s="65">
        <f t="shared" ref="F816:F840" si="27">E816-D816</f>
        <v>15</v>
      </c>
      <c r="G816" s="57" t="s">
        <v>484</v>
      </c>
      <c r="H816" s="55" t="s">
        <v>482</v>
      </c>
    </row>
    <row r="817" spans="1:8">
      <c r="A817" s="77">
        <v>44044</v>
      </c>
      <c r="B817" s="55" t="s">
        <v>202</v>
      </c>
      <c r="C817" s="58">
        <v>1</v>
      </c>
      <c r="D817" s="65">
        <v>5</v>
      </c>
      <c r="E817" s="65">
        <v>20</v>
      </c>
      <c r="F817" s="65">
        <f t="shared" si="27"/>
        <v>15</v>
      </c>
      <c r="G817" s="57" t="s">
        <v>484</v>
      </c>
      <c r="H817" s="55" t="s">
        <v>482</v>
      </c>
    </row>
    <row r="818" spans="1:8">
      <c r="A818" s="77">
        <v>44045</v>
      </c>
      <c r="B818" s="55" t="s">
        <v>202</v>
      </c>
      <c r="C818" s="58">
        <v>1</v>
      </c>
      <c r="D818" s="65">
        <v>5</v>
      </c>
      <c r="E818" s="65">
        <v>20</v>
      </c>
      <c r="F818" s="65">
        <f t="shared" si="27"/>
        <v>15</v>
      </c>
      <c r="G818" s="57" t="s">
        <v>484</v>
      </c>
      <c r="H818" s="55" t="s">
        <v>482</v>
      </c>
    </row>
    <row r="819" spans="1:8">
      <c r="A819" s="77">
        <v>44046</v>
      </c>
      <c r="B819" s="55" t="s">
        <v>139</v>
      </c>
      <c r="C819" s="58">
        <v>1</v>
      </c>
      <c r="D819" s="65">
        <v>20</v>
      </c>
      <c r="E819" s="65">
        <v>30</v>
      </c>
      <c r="F819" s="65">
        <f t="shared" si="27"/>
        <v>10</v>
      </c>
      <c r="G819" s="57" t="s">
        <v>484</v>
      </c>
      <c r="H819" s="55" t="s">
        <v>482</v>
      </c>
    </row>
    <row r="820" spans="1:8">
      <c r="A820" s="77">
        <v>44047</v>
      </c>
      <c r="B820" s="55" t="s">
        <v>335</v>
      </c>
      <c r="C820" s="58">
        <v>1</v>
      </c>
      <c r="D820" s="65">
        <v>16</v>
      </c>
      <c r="E820" s="65">
        <v>32</v>
      </c>
      <c r="F820" s="65">
        <f t="shared" si="27"/>
        <v>16</v>
      </c>
      <c r="G820" s="57" t="s">
        <v>484</v>
      </c>
      <c r="H820" s="55" t="s">
        <v>482</v>
      </c>
    </row>
    <row r="821" spans="1:8">
      <c r="A821" s="77">
        <v>44048</v>
      </c>
      <c r="B821" s="55" t="s">
        <v>332</v>
      </c>
      <c r="C821" s="58">
        <v>1</v>
      </c>
      <c r="D821" s="65">
        <v>16</v>
      </c>
      <c r="E821" s="65">
        <v>30</v>
      </c>
      <c r="F821" s="65">
        <f t="shared" si="27"/>
        <v>14</v>
      </c>
      <c r="G821" s="57" t="s">
        <v>484</v>
      </c>
      <c r="H821" s="55" t="s">
        <v>482</v>
      </c>
    </row>
    <row r="822" spans="1:8">
      <c r="A822" s="77">
        <v>44049</v>
      </c>
      <c r="B822" s="55" t="s">
        <v>322</v>
      </c>
      <c r="C822" s="58">
        <v>1</v>
      </c>
      <c r="D822" s="65">
        <v>15</v>
      </c>
      <c r="E822" s="65">
        <v>30</v>
      </c>
      <c r="F822" s="65">
        <f t="shared" si="27"/>
        <v>15</v>
      </c>
      <c r="G822" s="57" t="s">
        <v>484</v>
      </c>
      <c r="H822" s="55" t="s">
        <v>482</v>
      </c>
    </row>
    <row r="823" spans="1:8">
      <c r="A823" s="77">
        <v>44050</v>
      </c>
      <c r="B823" s="55" t="s">
        <v>322</v>
      </c>
      <c r="C823" s="58">
        <v>1</v>
      </c>
      <c r="D823" s="65">
        <v>15</v>
      </c>
      <c r="E823" s="65">
        <v>35</v>
      </c>
      <c r="F823" s="65">
        <f t="shared" si="27"/>
        <v>20</v>
      </c>
      <c r="G823" s="57" t="s">
        <v>484</v>
      </c>
      <c r="H823" s="55" t="s">
        <v>482</v>
      </c>
    </row>
    <row r="824" spans="1:8">
      <c r="A824" s="77">
        <v>44051</v>
      </c>
      <c r="B824" s="55" t="s">
        <v>359</v>
      </c>
      <c r="C824" s="58">
        <v>1</v>
      </c>
      <c r="D824" s="65">
        <v>45.5</v>
      </c>
      <c r="E824" s="65">
        <v>160</v>
      </c>
      <c r="F824" s="65">
        <f t="shared" si="27"/>
        <v>114.5</v>
      </c>
      <c r="G824" s="57" t="s">
        <v>484</v>
      </c>
      <c r="H824" s="55" t="s">
        <v>482</v>
      </c>
    </row>
    <row r="825" spans="1:8">
      <c r="A825" s="77">
        <v>44052</v>
      </c>
      <c r="B825" s="55" t="s">
        <v>359</v>
      </c>
      <c r="C825" s="58">
        <v>1</v>
      </c>
      <c r="D825" s="65">
        <v>45.5</v>
      </c>
      <c r="E825" s="65">
        <v>160</v>
      </c>
      <c r="F825" s="65">
        <f t="shared" si="27"/>
        <v>114.5</v>
      </c>
      <c r="G825" s="57" t="s">
        <v>484</v>
      </c>
      <c r="H825" s="55" t="s">
        <v>482</v>
      </c>
    </row>
    <row r="826" spans="1:8">
      <c r="A826" s="77">
        <v>44053</v>
      </c>
      <c r="B826" s="55" t="s">
        <v>359</v>
      </c>
      <c r="C826" s="58">
        <v>1</v>
      </c>
      <c r="D826" s="65">
        <v>135</v>
      </c>
      <c r="E826" s="65">
        <v>200</v>
      </c>
      <c r="F826" s="65">
        <f t="shared" si="27"/>
        <v>65</v>
      </c>
      <c r="G826" s="57" t="s">
        <v>484</v>
      </c>
      <c r="H826" s="55" t="s">
        <v>482</v>
      </c>
    </row>
    <row r="827" spans="1:8">
      <c r="A827" s="77">
        <v>44054</v>
      </c>
      <c r="B827" s="55" t="s">
        <v>327</v>
      </c>
      <c r="C827" s="58">
        <v>1</v>
      </c>
      <c r="D827" s="65">
        <v>27</v>
      </c>
      <c r="E827" s="65">
        <v>130</v>
      </c>
      <c r="F827" s="65">
        <f t="shared" si="27"/>
        <v>103</v>
      </c>
      <c r="G827" s="57" t="s">
        <v>484</v>
      </c>
      <c r="H827" s="55" t="s">
        <v>482</v>
      </c>
    </row>
    <row r="828" spans="1:8">
      <c r="A828" s="77">
        <v>44055</v>
      </c>
      <c r="B828" s="55" t="s">
        <v>327</v>
      </c>
      <c r="C828" s="58">
        <v>1</v>
      </c>
      <c r="D828" s="65">
        <v>27</v>
      </c>
      <c r="E828" s="65">
        <v>130</v>
      </c>
      <c r="F828" s="65">
        <f t="shared" si="27"/>
        <v>103</v>
      </c>
      <c r="G828" s="57" t="s">
        <v>484</v>
      </c>
      <c r="H828" s="55" t="s">
        <v>482</v>
      </c>
    </row>
    <row r="829" spans="1:8">
      <c r="A829" s="77">
        <v>44056</v>
      </c>
      <c r="B829" s="55" t="s">
        <v>327</v>
      </c>
      <c r="C829" s="58">
        <v>1</v>
      </c>
      <c r="D829" s="65">
        <v>27</v>
      </c>
      <c r="E829" s="65">
        <v>150</v>
      </c>
      <c r="F829" s="65">
        <f t="shared" si="27"/>
        <v>123</v>
      </c>
      <c r="G829" s="57" t="s">
        <v>484</v>
      </c>
      <c r="H829" s="55" t="s">
        <v>482</v>
      </c>
    </row>
    <row r="830" spans="1:8">
      <c r="A830" s="77">
        <v>44057</v>
      </c>
      <c r="B830" s="55" t="s">
        <v>327</v>
      </c>
      <c r="C830" s="58">
        <v>1</v>
      </c>
      <c r="D830" s="65">
        <v>27</v>
      </c>
      <c r="E830" s="65">
        <v>140</v>
      </c>
      <c r="F830" s="65">
        <f t="shared" si="27"/>
        <v>113</v>
      </c>
      <c r="G830" s="57" t="s">
        <v>484</v>
      </c>
      <c r="H830" s="55" t="s">
        <v>482</v>
      </c>
    </row>
    <row r="831" spans="1:8">
      <c r="A831" s="77">
        <v>44058</v>
      </c>
      <c r="B831" s="55" t="s">
        <v>306</v>
      </c>
      <c r="C831" s="58">
        <v>1</v>
      </c>
      <c r="D831" s="65">
        <v>26</v>
      </c>
      <c r="E831" s="65">
        <v>60</v>
      </c>
      <c r="F831" s="65">
        <f t="shared" si="27"/>
        <v>34</v>
      </c>
      <c r="G831" s="57" t="s">
        <v>484</v>
      </c>
      <c r="H831" s="55" t="s">
        <v>482</v>
      </c>
    </row>
    <row r="832" spans="1:8">
      <c r="A832" s="77">
        <v>44059</v>
      </c>
      <c r="B832" s="55" t="s">
        <v>355</v>
      </c>
      <c r="C832" s="58">
        <v>1</v>
      </c>
      <c r="D832" s="65">
        <v>23</v>
      </c>
      <c r="E832" s="65">
        <v>65</v>
      </c>
      <c r="F832" s="65">
        <f t="shared" si="27"/>
        <v>42</v>
      </c>
      <c r="G832" s="57" t="s">
        <v>484</v>
      </c>
      <c r="H832" s="55" t="s">
        <v>482</v>
      </c>
    </row>
    <row r="833" spans="1:8">
      <c r="A833" s="77">
        <v>44060</v>
      </c>
      <c r="B833" s="55" t="s">
        <v>280</v>
      </c>
      <c r="C833" s="58">
        <v>1</v>
      </c>
      <c r="D833" s="65">
        <v>16.920000000000002</v>
      </c>
      <c r="E833" s="65">
        <v>80</v>
      </c>
      <c r="F833" s="65">
        <f t="shared" si="27"/>
        <v>63.08</v>
      </c>
      <c r="G833" s="57" t="s">
        <v>484</v>
      </c>
      <c r="H833" s="55" t="s">
        <v>482</v>
      </c>
    </row>
    <row r="834" spans="1:8">
      <c r="A834" s="77">
        <v>44061</v>
      </c>
      <c r="B834" s="55" t="s">
        <v>328</v>
      </c>
      <c r="C834" s="58">
        <v>1</v>
      </c>
      <c r="D834" s="65">
        <v>22</v>
      </c>
      <c r="E834" s="65">
        <v>100</v>
      </c>
      <c r="F834" s="65">
        <f t="shared" si="27"/>
        <v>78</v>
      </c>
      <c r="G834" s="57" t="s">
        <v>484</v>
      </c>
      <c r="H834" s="55" t="s">
        <v>482</v>
      </c>
    </row>
    <row r="835" spans="1:8">
      <c r="A835" s="77">
        <v>44062</v>
      </c>
      <c r="B835" s="55" t="s">
        <v>349</v>
      </c>
      <c r="C835" s="58">
        <v>1</v>
      </c>
      <c r="D835" s="65">
        <v>20</v>
      </c>
      <c r="E835" s="65">
        <v>50</v>
      </c>
      <c r="F835" s="65">
        <f t="shared" si="27"/>
        <v>30</v>
      </c>
      <c r="G835" s="57" t="s">
        <v>484</v>
      </c>
      <c r="H835" s="55" t="s">
        <v>482</v>
      </c>
    </row>
    <row r="836" spans="1:8">
      <c r="A836" s="77">
        <v>44063</v>
      </c>
      <c r="B836" s="55" t="s">
        <v>356</v>
      </c>
      <c r="C836" s="58">
        <v>1</v>
      </c>
      <c r="D836" s="65">
        <v>6</v>
      </c>
      <c r="E836" s="65">
        <v>15</v>
      </c>
      <c r="F836" s="65">
        <f t="shared" si="27"/>
        <v>9</v>
      </c>
      <c r="G836" s="57" t="s">
        <v>484</v>
      </c>
      <c r="H836" s="55" t="s">
        <v>482</v>
      </c>
    </row>
    <row r="837" spans="1:8">
      <c r="A837" s="77">
        <v>44064</v>
      </c>
      <c r="B837" s="55" t="s">
        <v>356</v>
      </c>
      <c r="C837" s="58">
        <v>1</v>
      </c>
      <c r="D837" s="65">
        <v>6</v>
      </c>
      <c r="E837" s="65">
        <v>15</v>
      </c>
      <c r="F837" s="65">
        <f t="shared" si="27"/>
        <v>9</v>
      </c>
      <c r="G837" s="57" t="s">
        <v>484</v>
      </c>
      <c r="H837" s="55" t="s">
        <v>482</v>
      </c>
    </row>
    <row r="838" spans="1:8">
      <c r="A838" s="77">
        <v>44065</v>
      </c>
      <c r="B838" s="55" t="s">
        <v>292</v>
      </c>
      <c r="C838" s="58">
        <v>1</v>
      </c>
      <c r="D838" s="65">
        <v>80</v>
      </c>
      <c r="E838" s="65">
        <v>190</v>
      </c>
      <c r="F838" s="65">
        <f t="shared" si="27"/>
        <v>110</v>
      </c>
      <c r="G838" s="57" t="s">
        <v>484</v>
      </c>
      <c r="H838" s="55" t="s">
        <v>482</v>
      </c>
    </row>
    <row r="839" spans="1:8">
      <c r="A839" s="77">
        <v>44066</v>
      </c>
      <c r="B839" s="55" t="s">
        <v>222</v>
      </c>
      <c r="C839" s="58">
        <v>1</v>
      </c>
      <c r="D839" s="65">
        <v>15</v>
      </c>
      <c r="E839" s="65">
        <v>30</v>
      </c>
      <c r="F839" s="65">
        <f t="shared" si="27"/>
        <v>15</v>
      </c>
      <c r="G839" s="57" t="s">
        <v>484</v>
      </c>
      <c r="H839" s="55" t="s">
        <v>482</v>
      </c>
    </row>
    <row r="840" spans="1:8">
      <c r="A840" s="77">
        <v>44067</v>
      </c>
      <c r="B840" s="55" t="s">
        <v>222</v>
      </c>
      <c r="C840" s="58">
        <v>1</v>
      </c>
      <c r="D840" s="65">
        <v>15</v>
      </c>
      <c r="E840" s="65">
        <v>30</v>
      </c>
      <c r="F840" s="65">
        <f t="shared" si="27"/>
        <v>15</v>
      </c>
      <c r="G840" s="57" t="s">
        <v>484</v>
      </c>
      <c r="H840" s="55" t="s">
        <v>482</v>
      </c>
    </row>
    <row r="841" spans="1:8">
      <c r="A841" s="77">
        <v>44067</v>
      </c>
      <c r="B841" s="55" t="s">
        <v>120</v>
      </c>
      <c r="C841" s="58">
        <v>1</v>
      </c>
      <c r="D841" s="65">
        <v>7</v>
      </c>
      <c r="E841" s="65">
        <v>15</v>
      </c>
      <c r="F841" s="65">
        <f t="shared" ref="F841:F872" si="28">E841-D841</f>
        <v>8</v>
      </c>
      <c r="G841" s="57" t="s">
        <v>484</v>
      </c>
      <c r="H841" s="55" t="s">
        <v>482</v>
      </c>
    </row>
    <row r="842" spans="1:8">
      <c r="A842" s="77">
        <v>44067</v>
      </c>
      <c r="B842" s="55" t="s">
        <v>239</v>
      </c>
      <c r="C842" s="58">
        <v>1</v>
      </c>
      <c r="D842" s="65">
        <v>4</v>
      </c>
      <c r="E842" s="65">
        <v>15</v>
      </c>
      <c r="F842" s="65">
        <f t="shared" si="28"/>
        <v>11</v>
      </c>
      <c r="G842" s="57" t="s">
        <v>484</v>
      </c>
      <c r="H842" s="55" t="s">
        <v>482</v>
      </c>
    </row>
    <row r="843" spans="1:8">
      <c r="A843" s="77">
        <v>44067</v>
      </c>
      <c r="B843" s="55" t="s">
        <v>203</v>
      </c>
      <c r="C843" s="58">
        <v>1</v>
      </c>
      <c r="D843" s="65">
        <v>27.5</v>
      </c>
      <c r="E843" s="65">
        <v>60</v>
      </c>
      <c r="F843" s="65">
        <f t="shared" si="28"/>
        <v>32.5</v>
      </c>
      <c r="G843" s="57" t="s">
        <v>484</v>
      </c>
      <c r="H843" s="55" t="s">
        <v>482</v>
      </c>
    </row>
    <row r="844" spans="1:8">
      <c r="A844" s="77">
        <v>44067</v>
      </c>
      <c r="B844" s="55" t="s">
        <v>365</v>
      </c>
      <c r="C844" s="58">
        <v>1</v>
      </c>
      <c r="D844" s="65">
        <v>15</v>
      </c>
      <c r="E844" s="65">
        <v>30</v>
      </c>
      <c r="F844" s="65">
        <f t="shared" si="28"/>
        <v>15</v>
      </c>
      <c r="G844" s="57" t="s">
        <v>484</v>
      </c>
      <c r="H844" s="55" t="s">
        <v>482</v>
      </c>
    </row>
    <row r="845" spans="1:8">
      <c r="A845" s="77">
        <v>44067</v>
      </c>
      <c r="B845" s="55" t="s">
        <v>256</v>
      </c>
      <c r="C845" s="58">
        <v>1</v>
      </c>
      <c r="D845" s="65">
        <v>30</v>
      </c>
      <c r="E845" s="65">
        <v>60</v>
      </c>
      <c r="F845" s="65">
        <f t="shared" si="28"/>
        <v>30</v>
      </c>
      <c r="G845" s="57" t="s">
        <v>484</v>
      </c>
      <c r="H845" s="55" t="s">
        <v>482</v>
      </c>
    </row>
    <row r="846" spans="1:8">
      <c r="A846" s="77">
        <v>44067</v>
      </c>
      <c r="B846" s="55" t="s">
        <v>373</v>
      </c>
      <c r="C846" s="58">
        <v>1</v>
      </c>
      <c r="D846" s="65">
        <v>6</v>
      </c>
      <c r="E846" s="65">
        <v>20</v>
      </c>
      <c r="F846" s="65">
        <f t="shared" si="28"/>
        <v>14</v>
      </c>
      <c r="G846" s="57" t="s">
        <v>484</v>
      </c>
      <c r="H846" s="55" t="s">
        <v>482</v>
      </c>
    </row>
    <row r="847" spans="1:8">
      <c r="A847" s="77">
        <v>44067</v>
      </c>
      <c r="B847" s="55" t="s">
        <v>340</v>
      </c>
      <c r="C847" s="58">
        <v>1</v>
      </c>
      <c r="D847" s="65">
        <v>3</v>
      </c>
      <c r="E847" s="65">
        <v>7.5</v>
      </c>
      <c r="F847" s="65">
        <f t="shared" si="28"/>
        <v>4.5</v>
      </c>
      <c r="G847" s="57" t="s">
        <v>484</v>
      </c>
      <c r="H847" s="55" t="s">
        <v>482</v>
      </c>
    </row>
    <row r="848" spans="1:8">
      <c r="A848" s="77">
        <v>44067</v>
      </c>
      <c r="B848" s="55" t="s">
        <v>366</v>
      </c>
      <c r="C848" s="58">
        <v>1</v>
      </c>
      <c r="D848" s="65">
        <v>8</v>
      </c>
      <c r="E848" s="65">
        <v>15</v>
      </c>
      <c r="F848" s="65">
        <f t="shared" si="28"/>
        <v>7</v>
      </c>
      <c r="G848" s="57" t="s">
        <v>484</v>
      </c>
      <c r="H848" s="55" t="s">
        <v>482</v>
      </c>
    </row>
    <row r="849" spans="1:8">
      <c r="A849" s="77">
        <v>44067</v>
      </c>
      <c r="B849" s="55" t="s">
        <v>342</v>
      </c>
      <c r="C849" s="58">
        <v>1</v>
      </c>
      <c r="D849" s="65">
        <v>10</v>
      </c>
      <c r="E849" s="65">
        <v>20</v>
      </c>
      <c r="F849" s="65">
        <f t="shared" si="28"/>
        <v>10</v>
      </c>
      <c r="G849" s="57" t="s">
        <v>484</v>
      </c>
      <c r="H849" s="55" t="s">
        <v>482</v>
      </c>
    </row>
    <row r="850" spans="1:8">
      <c r="A850" s="77">
        <v>44068</v>
      </c>
      <c r="B850" s="55" t="s">
        <v>339</v>
      </c>
      <c r="C850" s="58">
        <v>1</v>
      </c>
      <c r="D850" s="65">
        <v>3.5</v>
      </c>
      <c r="E850" s="65">
        <v>7.5</v>
      </c>
      <c r="F850" s="65">
        <f t="shared" si="28"/>
        <v>4</v>
      </c>
      <c r="G850" s="57" t="s">
        <v>484</v>
      </c>
      <c r="H850" s="55" t="s">
        <v>482</v>
      </c>
    </row>
    <row r="851" spans="1:8">
      <c r="A851" s="77">
        <v>44069</v>
      </c>
      <c r="B851" s="55" t="s">
        <v>274</v>
      </c>
      <c r="C851" s="58">
        <v>1</v>
      </c>
      <c r="D851" s="65">
        <v>24</v>
      </c>
      <c r="E851" s="65">
        <v>50</v>
      </c>
      <c r="F851" s="65">
        <f t="shared" si="28"/>
        <v>26</v>
      </c>
      <c r="G851" s="57" t="s">
        <v>484</v>
      </c>
      <c r="H851" s="55" t="s">
        <v>482</v>
      </c>
    </row>
    <row r="852" spans="1:8">
      <c r="A852" s="77">
        <v>44069</v>
      </c>
      <c r="B852" s="55" t="s">
        <v>256</v>
      </c>
      <c r="C852" s="58">
        <v>1</v>
      </c>
      <c r="D852" s="65">
        <v>30</v>
      </c>
      <c r="E852" s="65">
        <v>60</v>
      </c>
      <c r="F852" s="65">
        <f t="shared" si="28"/>
        <v>30</v>
      </c>
      <c r="G852" s="57" t="s">
        <v>484</v>
      </c>
      <c r="H852" s="55" t="s">
        <v>482</v>
      </c>
    </row>
    <row r="853" spans="1:8">
      <c r="A853" s="77">
        <v>44069</v>
      </c>
      <c r="B853" s="55" t="s">
        <v>279</v>
      </c>
      <c r="C853" s="58">
        <v>1</v>
      </c>
      <c r="D853" s="65">
        <v>23</v>
      </c>
      <c r="E853" s="65">
        <v>35</v>
      </c>
      <c r="F853" s="65">
        <f t="shared" si="28"/>
        <v>12</v>
      </c>
      <c r="G853" s="57" t="s">
        <v>484</v>
      </c>
      <c r="H853" s="55" t="s">
        <v>482</v>
      </c>
    </row>
    <row r="854" spans="1:8">
      <c r="A854" s="77">
        <v>44069</v>
      </c>
      <c r="B854" s="56" t="s">
        <v>155</v>
      </c>
      <c r="C854" s="58">
        <v>1</v>
      </c>
      <c r="D854" s="50">
        <v>3</v>
      </c>
      <c r="E854" s="63">
        <v>5</v>
      </c>
      <c r="F854" s="65">
        <f t="shared" si="28"/>
        <v>2</v>
      </c>
      <c r="G854" s="57" t="s">
        <v>484</v>
      </c>
      <c r="H854" s="55" t="s">
        <v>482</v>
      </c>
    </row>
    <row r="855" spans="1:8">
      <c r="A855" s="77">
        <v>44069</v>
      </c>
      <c r="B855" s="56" t="s">
        <v>69</v>
      </c>
      <c r="C855" s="58">
        <v>1</v>
      </c>
      <c r="D855" s="50">
        <v>7</v>
      </c>
      <c r="E855" s="63">
        <v>15</v>
      </c>
      <c r="F855" s="65">
        <f t="shared" si="28"/>
        <v>8</v>
      </c>
      <c r="G855" s="57" t="s">
        <v>484</v>
      </c>
      <c r="H855" s="55" t="s">
        <v>482</v>
      </c>
    </row>
    <row r="856" spans="1:8">
      <c r="A856" s="77">
        <v>44069</v>
      </c>
      <c r="B856" s="55" t="s">
        <v>327</v>
      </c>
      <c r="C856" s="58">
        <v>1</v>
      </c>
      <c r="D856" s="65">
        <v>27</v>
      </c>
      <c r="E856" s="65">
        <v>120</v>
      </c>
      <c r="F856" s="65">
        <f t="shared" si="28"/>
        <v>93</v>
      </c>
      <c r="G856" s="57" t="s">
        <v>484</v>
      </c>
      <c r="H856" s="55" t="s">
        <v>482</v>
      </c>
    </row>
    <row r="857" spans="1:8">
      <c r="A857" s="77">
        <v>44069</v>
      </c>
      <c r="B857" s="55" t="s">
        <v>328</v>
      </c>
      <c r="C857" s="58">
        <v>1</v>
      </c>
      <c r="D857" s="65">
        <v>22</v>
      </c>
      <c r="E857" s="65">
        <v>75</v>
      </c>
      <c r="F857" s="65">
        <f t="shared" si="28"/>
        <v>53</v>
      </c>
      <c r="G857" s="57" t="s">
        <v>484</v>
      </c>
      <c r="H857" s="55" t="s">
        <v>482</v>
      </c>
    </row>
    <row r="858" spans="1:8">
      <c r="A858" s="77">
        <v>44061</v>
      </c>
      <c r="B858" s="55" t="s">
        <v>328</v>
      </c>
      <c r="C858" s="58">
        <v>1</v>
      </c>
      <c r="D858" s="65">
        <v>22</v>
      </c>
      <c r="E858" s="65">
        <v>75</v>
      </c>
      <c r="F858" s="65">
        <f t="shared" si="28"/>
        <v>53</v>
      </c>
      <c r="G858" s="57" t="s">
        <v>484</v>
      </c>
      <c r="H858" s="55" t="s">
        <v>482</v>
      </c>
    </row>
    <row r="859" spans="1:8">
      <c r="A859" s="77">
        <v>44047</v>
      </c>
      <c r="B859" s="55" t="s">
        <v>256</v>
      </c>
      <c r="C859" s="58">
        <v>1</v>
      </c>
      <c r="D859" s="65">
        <v>26</v>
      </c>
      <c r="E859" s="65">
        <v>50</v>
      </c>
      <c r="F859" s="65">
        <f t="shared" si="28"/>
        <v>24</v>
      </c>
      <c r="G859" s="57" t="s">
        <v>484</v>
      </c>
      <c r="H859" s="55" t="s">
        <v>482</v>
      </c>
    </row>
    <row r="860" spans="1:8">
      <c r="A860" s="77">
        <v>44044</v>
      </c>
      <c r="B860" s="55" t="s">
        <v>354</v>
      </c>
      <c r="C860" s="58">
        <v>1</v>
      </c>
      <c r="D860" s="65">
        <v>42</v>
      </c>
      <c r="E860" s="65">
        <v>70</v>
      </c>
      <c r="F860" s="65">
        <f t="shared" si="28"/>
        <v>28</v>
      </c>
      <c r="G860" s="57" t="s">
        <v>484</v>
      </c>
      <c r="H860" s="55" t="s">
        <v>482</v>
      </c>
    </row>
    <row r="861" spans="1:8">
      <c r="A861" s="77">
        <v>44046</v>
      </c>
      <c r="B861" s="55" t="s">
        <v>256</v>
      </c>
      <c r="C861" s="58">
        <v>1</v>
      </c>
      <c r="D861" s="65">
        <v>30</v>
      </c>
      <c r="E861" s="65">
        <v>60</v>
      </c>
      <c r="F861" s="65">
        <f t="shared" si="28"/>
        <v>30</v>
      </c>
      <c r="G861" s="57" t="s">
        <v>484</v>
      </c>
      <c r="H861" s="55" t="s">
        <v>482</v>
      </c>
    </row>
    <row r="862" spans="1:8">
      <c r="A862" s="77">
        <v>44046</v>
      </c>
      <c r="B862" s="55" t="s">
        <v>326</v>
      </c>
      <c r="C862" s="58">
        <v>1</v>
      </c>
      <c r="D862" s="65">
        <v>36</v>
      </c>
      <c r="E862" s="65">
        <v>60</v>
      </c>
      <c r="F862" s="65">
        <f t="shared" si="28"/>
        <v>24</v>
      </c>
      <c r="G862" s="57" t="s">
        <v>484</v>
      </c>
      <c r="H862" s="55" t="s">
        <v>482</v>
      </c>
    </row>
    <row r="863" spans="1:8">
      <c r="A863" s="77">
        <v>44046</v>
      </c>
      <c r="B863" s="55" t="s">
        <v>256</v>
      </c>
      <c r="C863" s="58">
        <v>1</v>
      </c>
      <c r="D863" s="65">
        <v>30</v>
      </c>
      <c r="E863" s="65">
        <v>60</v>
      </c>
      <c r="F863" s="65">
        <f t="shared" si="28"/>
        <v>30</v>
      </c>
      <c r="G863" s="57" t="s">
        <v>484</v>
      </c>
      <c r="H863" s="55" t="s">
        <v>482</v>
      </c>
    </row>
    <row r="864" spans="1:8">
      <c r="A864" s="77">
        <v>44046</v>
      </c>
      <c r="B864" s="55" t="s">
        <v>322</v>
      </c>
      <c r="C864" s="58">
        <v>1</v>
      </c>
      <c r="D864" s="65">
        <v>15</v>
      </c>
      <c r="E864" s="65">
        <v>30</v>
      </c>
      <c r="F864" s="65">
        <f t="shared" si="28"/>
        <v>15</v>
      </c>
      <c r="G864" s="57" t="s">
        <v>484</v>
      </c>
      <c r="H864" s="55" t="s">
        <v>482</v>
      </c>
    </row>
    <row r="865" spans="1:8">
      <c r="A865" s="77">
        <v>44046</v>
      </c>
      <c r="B865" s="55" t="s">
        <v>363</v>
      </c>
      <c r="C865" s="58">
        <v>1</v>
      </c>
      <c r="D865" s="65">
        <v>135</v>
      </c>
      <c r="E865" s="65">
        <v>200</v>
      </c>
      <c r="F865" s="65">
        <f t="shared" si="28"/>
        <v>65</v>
      </c>
      <c r="G865" s="57" t="s">
        <v>484</v>
      </c>
      <c r="H865" s="55" t="s">
        <v>482</v>
      </c>
    </row>
    <row r="866" spans="1:8">
      <c r="A866" s="77">
        <v>44047</v>
      </c>
      <c r="B866" s="55" t="s">
        <v>326</v>
      </c>
      <c r="C866" s="58">
        <v>1</v>
      </c>
      <c r="D866" s="65">
        <v>32</v>
      </c>
      <c r="E866" s="65">
        <v>50</v>
      </c>
      <c r="F866" s="65">
        <f t="shared" si="28"/>
        <v>18</v>
      </c>
      <c r="G866" s="57" t="s">
        <v>484</v>
      </c>
      <c r="H866" s="55" t="s">
        <v>482</v>
      </c>
    </row>
    <row r="867" spans="1:8">
      <c r="A867" s="77">
        <v>44047</v>
      </c>
      <c r="B867" s="55" t="s">
        <v>326</v>
      </c>
      <c r="C867" s="58">
        <v>1</v>
      </c>
      <c r="D867" s="65">
        <v>32</v>
      </c>
      <c r="E867" s="65">
        <v>50</v>
      </c>
      <c r="F867" s="65">
        <f t="shared" si="28"/>
        <v>18</v>
      </c>
      <c r="G867" s="57" t="s">
        <v>484</v>
      </c>
      <c r="H867" s="55" t="s">
        <v>482</v>
      </c>
    </row>
    <row r="868" spans="1:8">
      <c r="A868" s="77">
        <v>44047</v>
      </c>
      <c r="B868" s="55" t="s">
        <v>326</v>
      </c>
      <c r="C868" s="58">
        <v>1</v>
      </c>
      <c r="D868" s="65">
        <v>32</v>
      </c>
      <c r="E868" s="65">
        <v>50</v>
      </c>
      <c r="F868" s="65">
        <f t="shared" si="28"/>
        <v>18</v>
      </c>
      <c r="G868" s="57" t="s">
        <v>484</v>
      </c>
      <c r="H868" s="55" t="s">
        <v>482</v>
      </c>
    </row>
    <row r="869" spans="1:8">
      <c r="A869" s="77">
        <v>44053</v>
      </c>
      <c r="B869" s="55" t="s">
        <v>363</v>
      </c>
      <c r="C869" s="58">
        <v>1</v>
      </c>
      <c r="D869" s="65">
        <v>135</v>
      </c>
      <c r="E869" s="65">
        <v>180</v>
      </c>
      <c r="F869" s="65">
        <f t="shared" si="28"/>
        <v>45</v>
      </c>
      <c r="G869" s="57" t="s">
        <v>484</v>
      </c>
      <c r="H869" s="55" t="s">
        <v>482</v>
      </c>
    </row>
    <row r="870" spans="1:8">
      <c r="A870" s="77">
        <v>44054</v>
      </c>
      <c r="B870" s="55" t="s">
        <v>256</v>
      </c>
      <c r="C870" s="58">
        <v>1</v>
      </c>
      <c r="D870" s="65">
        <v>30</v>
      </c>
      <c r="E870" s="65">
        <v>50</v>
      </c>
      <c r="F870" s="65">
        <f t="shared" si="28"/>
        <v>20</v>
      </c>
      <c r="G870" s="57" t="s">
        <v>484</v>
      </c>
      <c r="H870" s="55" t="s">
        <v>482</v>
      </c>
    </row>
    <row r="871" spans="1:8">
      <c r="A871" s="77">
        <v>44055</v>
      </c>
      <c r="B871" s="55" t="s">
        <v>256</v>
      </c>
      <c r="C871" s="58">
        <v>1</v>
      </c>
      <c r="D871" s="65">
        <v>30</v>
      </c>
      <c r="E871" s="65">
        <v>50</v>
      </c>
      <c r="F871" s="65">
        <f t="shared" si="28"/>
        <v>20</v>
      </c>
      <c r="G871" s="57" t="s">
        <v>484</v>
      </c>
      <c r="H871" s="55" t="s">
        <v>482</v>
      </c>
    </row>
    <row r="872" spans="1:8">
      <c r="A872" s="77">
        <v>44056</v>
      </c>
      <c r="B872" s="55" t="s">
        <v>256</v>
      </c>
      <c r="C872" s="58">
        <v>1</v>
      </c>
      <c r="D872" s="65">
        <v>30</v>
      </c>
      <c r="E872" s="65">
        <v>60</v>
      </c>
      <c r="F872" s="65">
        <f t="shared" si="28"/>
        <v>30</v>
      </c>
      <c r="G872" s="57" t="s">
        <v>484</v>
      </c>
      <c r="H872" s="55" t="s">
        <v>482</v>
      </c>
    </row>
    <row r="873" spans="1:8">
      <c r="A873" s="77">
        <v>44057</v>
      </c>
      <c r="B873" s="55" t="s">
        <v>202</v>
      </c>
      <c r="C873" s="58">
        <v>1</v>
      </c>
      <c r="D873" s="65">
        <v>5</v>
      </c>
      <c r="E873" s="65">
        <v>20</v>
      </c>
      <c r="F873" s="65">
        <f t="shared" ref="F873:F904" si="29">E873-D873</f>
        <v>15</v>
      </c>
      <c r="G873" s="57" t="s">
        <v>484</v>
      </c>
      <c r="H873" s="55" t="s">
        <v>482</v>
      </c>
    </row>
    <row r="874" spans="1:8">
      <c r="A874" s="77">
        <v>44058</v>
      </c>
      <c r="B874" s="55" t="s">
        <v>364</v>
      </c>
      <c r="C874" s="58">
        <v>1</v>
      </c>
      <c r="D874" s="65">
        <v>44</v>
      </c>
      <c r="E874" s="65">
        <v>100</v>
      </c>
      <c r="F874" s="65">
        <f t="shared" si="29"/>
        <v>56</v>
      </c>
      <c r="G874" s="57" t="s">
        <v>484</v>
      </c>
      <c r="H874" s="55" t="s">
        <v>482</v>
      </c>
    </row>
    <row r="875" spans="1:8">
      <c r="A875" s="77">
        <v>44059</v>
      </c>
      <c r="B875" s="55" t="s">
        <v>365</v>
      </c>
      <c r="C875" s="58">
        <v>1</v>
      </c>
      <c r="D875" s="65">
        <v>15</v>
      </c>
      <c r="E875" s="65">
        <v>30</v>
      </c>
      <c r="F875" s="65">
        <f t="shared" si="29"/>
        <v>15</v>
      </c>
      <c r="G875" s="57" t="s">
        <v>484</v>
      </c>
      <c r="H875" s="55" t="s">
        <v>482</v>
      </c>
    </row>
    <row r="876" spans="1:8">
      <c r="A876" s="77">
        <v>44060</v>
      </c>
      <c r="B876" s="55" t="s">
        <v>363</v>
      </c>
      <c r="C876" s="58">
        <v>1</v>
      </c>
      <c r="D876" s="65">
        <v>135</v>
      </c>
      <c r="E876" s="65">
        <v>200</v>
      </c>
      <c r="F876" s="65">
        <f t="shared" si="29"/>
        <v>65</v>
      </c>
      <c r="G876" s="57" t="s">
        <v>484</v>
      </c>
      <c r="H876" s="55" t="s">
        <v>482</v>
      </c>
    </row>
    <row r="877" spans="1:8">
      <c r="A877" s="77">
        <v>44061</v>
      </c>
      <c r="B877" s="55" t="s">
        <v>346</v>
      </c>
      <c r="C877" s="58">
        <v>1</v>
      </c>
      <c r="D877" s="65">
        <v>15</v>
      </c>
      <c r="E877" s="65">
        <v>30</v>
      </c>
      <c r="F877" s="65">
        <f t="shared" si="29"/>
        <v>15</v>
      </c>
      <c r="G877" s="57" t="s">
        <v>484</v>
      </c>
      <c r="H877" s="55" t="s">
        <v>482</v>
      </c>
    </row>
    <row r="878" spans="1:8">
      <c r="A878" s="77">
        <v>44062</v>
      </c>
      <c r="B878" s="55" t="s">
        <v>256</v>
      </c>
      <c r="C878" s="58">
        <v>1</v>
      </c>
      <c r="D878" s="65">
        <v>30</v>
      </c>
      <c r="E878" s="65">
        <v>60</v>
      </c>
      <c r="F878" s="65">
        <f t="shared" si="29"/>
        <v>30</v>
      </c>
      <c r="G878" s="57" t="s">
        <v>484</v>
      </c>
      <c r="H878" s="55" t="s">
        <v>482</v>
      </c>
    </row>
    <row r="879" spans="1:8">
      <c r="A879" s="77">
        <v>44063</v>
      </c>
      <c r="B879" s="55" t="s">
        <v>368</v>
      </c>
      <c r="C879" s="58">
        <v>1</v>
      </c>
      <c r="D879" s="65">
        <v>15</v>
      </c>
      <c r="E879" s="65">
        <v>35</v>
      </c>
      <c r="F879" s="65">
        <f t="shared" si="29"/>
        <v>20</v>
      </c>
      <c r="G879" s="57" t="s">
        <v>484</v>
      </c>
      <c r="H879" s="55" t="s">
        <v>482</v>
      </c>
    </row>
    <row r="880" spans="1:8">
      <c r="A880" s="77">
        <v>44064</v>
      </c>
      <c r="B880" s="55" t="s">
        <v>368</v>
      </c>
      <c r="C880" s="58">
        <v>1</v>
      </c>
      <c r="D880" s="65">
        <v>15</v>
      </c>
      <c r="E880" s="65">
        <v>35</v>
      </c>
      <c r="F880" s="65">
        <f t="shared" si="29"/>
        <v>20</v>
      </c>
      <c r="G880" s="57" t="s">
        <v>484</v>
      </c>
      <c r="H880" s="55" t="s">
        <v>482</v>
      </c>
    </row>
    <row r="881" spans="1:8">
      <c r="A881" s="77">
        <v>44065</v>
      </c>
      <c r="B881" s="55" t="s">
        <v>369</v>
      </c>
      <c r="C881" s="58">
        <v>1</v>
      </c>
      <c r="D881" s="65">
        <v>98</v>
      </c>
      <c r="E881" s="65">
        <v>200</v>
      </c>
      <c r="F881" s="65">
        <f t="shared" si="29"/>
        <v>102</v>
      </c>
      <c r="G881" s="57" t="s">
        <v>484</v>
      </c>
      <c r="H881" s="55" t="s">
        <v>482</v>
      </c>
    </row>
    <row r="882" spans="1:8">
      <c r="A882" s="77">
        <v>44066</v>
      </c>
      <c r="B882" s="55" t="s">
        <v>370</v>
      </c>
      <c r="C882" s="58">
        <v>1</v>
      </c>
      <c r="D882" s="65">
        <v>0</v>
      </c>
      <c r="E882" s="65">
        <v>60</v>
      </c>
      <c r="F882" s="65">
        <f t="shared" si="29"/>
        <v>60</v>
      </c>
      <c r="G882" s="57" t="s">
        <v>484</v>
      </c>
      <c r="H882" s="55" t="s">
        <v>482</v>
      </c>
    </row>
    <row r="883" spans="1:8">
      <c r="A883" s="77">
        <v>44067</v>
      </c>
      <c r="B883" s="55" t="s">
        <v>371</v>
      </c>
      <c r="C883" s="58">
        <v>1</v>
      </c>
      <c r="D883" s="65">
        <v>0</v>
      </c>
      <c r="E883" s="65">
        <v>60</v>
      </c>
      <c r="F883" s="65">
        <f t="shared" si="29"/>
        <v>60</v>
      </c>
      <c r="G883" s="57" t="s">
        <v>484</v>
      </c>
      <c r="H883" s="55" t="s">
        <v>482</v>
      </c>
    </row>
    <row r="884" spans="1:8">
      <c r="A884" s="77">
        <v>44061</v>
      </c>
      <c r="B884" s="55" t="s">
        <v>245</v>
      </c>
      <c r="C884" s="58">
        <v>1</v>
      </c>
      <c r="D884" s="65">
        <v>6</v>
      </c>
      <c r="E884" s="65">
        <v>15</v>
      </c>
      <c r="F884" s="65">
        <f t="shared" si="29"/>
        <v>9</v>
      </c>
      <c r="G884" s="57" t="s">
        <v>484</v>
      </c>
      <c r="H884" s="55" t="s">
        <v>482</v>
      </c>
    </row>
    <row r="885" spans="1:8">
      <c r="A885" s="77">
        <v>44058</v>
      </c>
      <c r="B885" s="55" t="s">
        <v>329</v>
      </c>
      <c r="C885" s="58">
        <v>1</v>
      </c>
      <c r="D885" s="65">
        <v>10</v>
      </c>
      <c r="E885" s="65">
        <v>60</v>
      </c>
      <c r="F885" s="65">
        <f t="shared" si="29"/>
        <v>50</v>
      </c>
      <c r="G885" s="57" t="s">
        <v>484</v>
      </c>
      <c r="H885" s="55" t="s">
        <v>482</v>
      </c>
    </row>
    <row r="886" spans="1:8">
      <c r="A886" s="77">
        <v>44058</v>
      </c>
      <c r="B886" s="55" t="s">
        <v>54</v>
      </c>
      <c r="C886" s="58">
        <v>1</v>
      </c>
      <c r="D886" s="65">
        <v>21.5</v>
      </c>
      <c r="E886" s="65">
        <v>40</v>
      </c>
      <c r="F886" s="65">
        <f t="shared" si="29"/>
        <v>18.5</v>
      </c>
      <c r="G886" s="57" t="s">
        <v>484</v>
      </c>
      <c r="H886" s="55" t="s">
        <v>482</v>
      </c>
    </row>
    <row r="887" spans="1:8">
      <c r="A887" s="77">
        <v>44057</v>
      </c>
      <c r="B887" s="55" t="s">
        <v>346</v>
      </c>
      <c r="C887" s="58">
        <v>1</v>
      </c>
      <c r="D887" s="65">
        <v>15</v>
      </c>
      <c r="E887" s="65">
        <v>30</v>
      </c>
      <c r="F887" s="65">
        <f t="shared" si="29"/>
        <v>15</v>
      </c>
      <c r="G887" s="57" t="s">
        <v>484</v>
      </c>
      <c r="H887" s="55" t="s">
        <v>482</v>
      </c>
    </row>
    <row r="888" spans="1:8">
      <c r="A888" s="77">
        <v>44054</v>
      </c>
      <c r="B888" s="55" t="s">
        <v>346</v>
      </c>
      <c r="C888" s="58">
        <v>1</v>
      </c>
      <c r="D888" s="65">
        <v>15</v>
      </c>
      <c r="E888" s="65">
        <v>35</v>
      </c>
      <c r="F888" s="65">
        <f t="shared" si="29"/>
        <v>20</v>
      </c>
      <c r="G888" s="57" t="s">
        <v>484</v>
      </c>
      <c r="H888" s="55" t="s">
        <v>482</v>
      </c>
    </row>
    <row r="889" spans="1:8">
      <c r="A889" s="77">
        <v>44054</v>
      </c>
      <c r="B889" s="55" t="s">
        <v>370</v>
      </c>
      <c r="C889" s="58">
        <v>1</v>
      </c>
      <c r="D889" s="65">
        <v>0</v>
      </c>
      <c r="E889" s="65">
        <v>50</v>
      </c>
      <c r="F889" s="65">
        <f t="shared" si="29"/>
        <v>50</v>
      </c>
      <c r="G889" s="57" t="s">
        <v>484</v>
      </c>
      <c r="H889" s="55" t="s">
        <v>482</v>
      </c>
    </row>
    <row r="890" spans="1:8">
      <c r="A890" s="77">
        <v>44055</v>
      </c>
      <c r="B890" s="55" t="s">
        <v>322</v>
      </c>
      <c r="C890" s="58">
        <v>1</v>
      </c>
      <c r="D890" s="65">
        <v>15</v>
      </c>
      <c r="E890" s="65">
        <v>35</v>
      </c>
      <c r="F890" s="65">
        <f t="shared" si="29"/>
        <v>20</v>
      </c>
      <c r="G890" s="57" t="s">
        <v>484</v>
      </c>
      <c r="H890" s="55" t="s">
        <v>482</v>
      </c>
    </row>
    <row r="891" spans="1:8">
      <c r="A891" s="77">
        <v>44054</v>
      </c>
      <c r="B891" s="55" t="s">
        <v>363</v>
      </c>
      <c r="C891" s="58">
        <v>1</v>
      </c>
      <c r="D891" s="65">
        <v>135</v>
      </c>
      <c r="E891" s="65">
        <v>170</v>
      </c>
      <c r="F891" s="65">
        <f t="shared" si="29"/>
        <v>35</v>
      </c>
      <c r="G891" s="57" t="s">
        <v>484</v>
      </c>
      <c r="H891" s="55" t="s">
        <v>482</v>
      </c>
    </row>
    <row r="892" spans="1:8">
      <c r="A892" s="77">
        <v>44055</v>
      </c>
      <c r="B892" s="55" t="s">
        <v>372</v>
      </c>
      <c r="C892" s="58">
        <v>1</v>
      </c>
      <c r="D892" s="65">
        <v>135</v>
      </c>
      <c r="E892" s="65">
        <v>200</v>
      </c>
      <c r="F892" s="65">
        <f t="shared" si="29"/>
        <v>65</v>
      </c>
      <c r="G892" s="57" t="s">
        <v>484</v>
      </c>
      <c r="H892" s="55" t="s">
        <v>482</v>
      </c>
    </row>
    <row r="893" spans="1:8">
      <c r="A893" s="77">
        <v>44054</v>
      </c>
      <c r="B893" s="55" t="s">
        <v>369</v>
      </c>
      <c r="C893" s="58">
        <v>1</v>
      </c>
      <c r="D893" s="65">
        <v>98</v>
      </c>
      <c r="E893" s="65">
        <v>200</v>
      </c>
      <c r="F893" s="65">
        <f t="shared" si="29"/>
        <v>102</v>
      </c>
      <c r="G893" s="57" t="s">
        <v>484</v>
      </c>
      <c r="H893" s="55" t="s">
        <v>482</v>
      </c>
    </row>
    <row r="894" spans="1:8">
      <c r="A894" s="77">
        <v>44054</v>
      </c>
      <c r="B894" s="55" t="s">
        <v>367</v>
      </c>
      <c r="C894" s="58">
        <v>1</v>
      </c>
      <c r="D894" s="65">
        <v>75</v>
      </c>
      <c r="E894" s="65">
        <v>160</v>
      </c>
      <c r="F894" s="65">
        <f t="shared" si="29"/>
        <v>85</v>
      </c>
      <c r="G894" s="57" t="s">
        <v>484</v>
      </c>
      <c r="H894" s="55" t="s">
        <v>482</v>
      </c>
    </row>
    <row r="895" spans="1:8">
      <c r="A895" s="77">
        <v>44061</v>
      </c>
      <c r="B895" s="55" t="s">
        <v>346</v>
      </c>
      <c r="C895" s="58">
        <v>1</v>
      </c>
      <c r="D895" s="65">
        <v>15</v>
      </c>
      <c r="E895" s="65">
        <v>45</v>
      </c>
      <c r="F895" s="65">
        <f t="shared" si="29"/>
        <v>30</v>
      </c>
      <c r="G895" s="57" t="s">
        <v>484</v>
      </c>
      <c r="H895" s="55" t="s">
        <v>482</v>
      </c>
    </row>
    <row r="896" spans="1:8">
      <c r="A896" s="77">
        <v>44061</v>
      </c>
      <c r="B896" s="55" t="s">
        <v>346</v>
      </c>
      <c r="C896" s="58">
        <v>1</v>
      </c>
      <c r="D896" s="65">
        <v>15</v>
      </c>
      <c r="E896" s="65">
        <v>55</v>
      </c>
      <c r="F896" s="65">
        <f t="shared" si="29"/>
        <v>40</v>
      </c>
      <c r="G896" s="57" t="s">
        <v>484</v>
      </c>
      <c r="H896" s="55" t="s">
        <v>482</v>
      </c>
    </row>
    <row r="897" spans="1:8">
      <c r="A897" s="77">
        <v>44061</v>
      </c>
      <c r="B897" s="55" t="s">
        <v>363</v>
      </c>
      <c r="C897" s="58">
        <v>1</v>
      </c>
      <c r="D897" s="65">
        <v>135</v>
      </c>
      <c r="E897" s="65">
        <v>205</v>
      </c>
      <c r="F897" s="65">
        <f t="shared" si="29"/>
        <v>70</v>
      </c>
      <c r="G897" s="57" t="s">
        <v>484</v>
      </c>
      <c r="H897" s="55" t="s">
        <v>482</v>
      </c>
    </row>
    <row r="898" spans="1:8">
      <c r="A898" s="77">
        <v>44062</v>
      </c>
      <c r="B898" s="55" t="s">
        <v>315</v>
      </c>
      <c r="C898" s="58">
        <v>1</v>
      </c>
      <c r="D898" s="65">
        <v>6</v>
      </c>
      <c r="E898" s="65">
        <v>15</v>
      </c>
      <c r="F898" s="65">
        <f t="shared" si="29"/>
        <v>9</v>
      </c>
      <c r="G898" s="57" t="s">
        <v>484</v>
      </c>
      <c r="H898" s="55" t="s">
        <v>482</v>
      </c>
    </row>
    <row r="899" spans="1:8">
      <c r="A899" s="77">
        <v>44063</v>
      </c>
      <c r="B899" s="55" t="s">
        <v>326</v>
      </c>
      <c r="C899" s="58">
        <v>1</v>
      </c>
      <c r="D899" s="65">
        <v>45</v>
      </c>
      <c r="E899" s="65">
        <v>70</v>
      </c>
      <c r="F899" s="65">
        <f t="shared" si="29"/>
        <v>25</v>
      </c>
      <c r="G899" s="57" t="s">
        <v>484</v>
      </c>
      <c r="H899" s="55" t="s">
        <v>482</v>
      </c>
    </row>
    <row r="900" spans="1:8">
      <c r="A900" s="77">
        <v>44064</v>
      </c>
      <c r="B900" s="55" t="s">
        <v>207</v>
      </c>
      <c r="C900" s="58">
        <v>1</v>
      </c>
      <c r="D900" s="65">
        <v>42</v>
      </c>
      <c r="E900" s="65">
        <v>80</v>
      </c>
      <c r="F900" s="65">
        <f t="shared" si="29"/>
        <v>38</v>
      </c>
      <c r="G900" s="57" t="s">
        <v>484</v>
      </c>
      <c r="H900" s="55" t="s">
        <v>482</v>
      </c>
    </row>
    <row r="901" spans="1:8">
      <c r="A901" s="77">
        <v>44065</v>
      </c>
      <c r="B901" s="55" t="s">
        <v>207</v>
      </c>
      <c r="C901" s="58">
        <v>1</v>
      </c>
      <c r="D901" s="65">
        <v>42</v>
      </c>
      <c r="E901" s="65">
        <v>80</v>
      </c>
      <c r="F901" s="65">
        <f t="shared" si="29"/>
        <v>38</v>
      </c>
      <c r="G901" s="57" t="s">
        <v>484</v>
      </c>
      <c r="H901" s="55" t="s">
        <v>482</v>
      </c>
    </row>
    <row r="902" spans="1:8">
      <c r="A902" s="77">
        <v>44066</v>
      </c>
      <c r="B902" s="55" t="s">
        <v>207</v>
      </c>
      <c r="C902" s="58">
        <v>1</v>
      </c>
      <c r="D902" s="65">
        <v>42</v>
      </c>
      <c r="E902" s="65">
        <v>80</v>
      </c>
      <c r="F902" s="65">
        <f t="shared" si="29"/>
        <v>38</v>
      </c>
      <c r="G902" s="57" t="s">
        <v>484</v>
      </c>
      <c r="H902" s="55" t="s">
        <v>482</v>
      </c>
    </row>
    <row r="903" spans="1:8">
      <c r="A903" s="77">
        <v>44067</v>
      </c>
      <c r="B903" s="55" t="s">
        <v>374</v>
      </c>
      <c r="C903" s="58">
        <v>1</v>
      </c>
      <c r="D903" s="65">
        <v>10</v>
      </c>
      <c r="E903" s="65">
        <v>15</v>
      </c>
      <c r="F903" s="65">
        <f t="shared" si="29"/>
        <v>5</v>
      </c>
      <c r="G903" s="57" t="s">
        <v>484</v>
      </c>
      <c r="H903" s="55" t="s">
        <v>482</v>
      </c>
    </row>
    <row r="904" spans="1:8">
      <c r="A904" s="77">
        <v>44068</v>
      </c>
      <c r="B904" s="55" t="s">
        <v>294</v>
      </c>
      <c r="C904" s="58">
        <v>1</v>
      </c>
      <c r="D904" s="65">
        <v>7.5</v>
      </c>
      <c r="E904" s="65">
        <v>15</v>
      </c>
      <c r="F904" s="65">
        <f t="shared" si="29"/>
        <v>7.5</v>
      </c>
      <c r="G904" s="57" t="s">
        <v>484</v>
      </c>
      <c r="H904" s="55" t="s">
        <v>482</v>
      </c>
    </row>
    <row r="905" spans="1:8">
      <c r="A905" s="77">
        <v>44063</v>
      </c>
      <c r="B905" s="55" t="s">
        <v>256</v>
      </c>
      <c r="C905" s="58">
        <v>1</v>
      </c>
      <c r="D905" s="65">
        <v>27</v>
      </c>
      <c r="E905" s="65">
        <v>60</v>
      </c>
      <c r="F905" s="65">
        <f t="shared" ref="F905:F910" si="30">E905-D905</f>
        <v>33</v>
      </c>
      <c r="G905" s="57" t="s">
        <v>484</v>
      </c>
      <c r="H905" s="55" t="s">
        <v>482</v>
      </c>
    </row>
    <row r="906" spans="1:8">
      <c r="A906" s="77">
        <v>44063</v>
      </c>
      <c r="B906" s="55" t="s">
        <v>375</v>
      </c>
      <c r="C906" s="58">
        <v>1</v>
      </c>
      <c r="D906" s="65">
        <v>35</v>
      </c>
      <c r="E906" s="65">
        <v>70</v>
      </c>
      <c r="F906" s="65">
        <f t="shared" si="30"/>
        <v>35</v>
      </c>
      <c r="G906" s="57" t="s">
        <v>484</v>
      </c>
      <c r="H906" s="55" t="s">
        <v>482</v>
      </c>
    </row>
    <row r="907" spans="1:8">
      <c r="A907" s="77">
        <v>44063</v>
      </c>
      <c r="B907" s="55" t="s">
        <v>346</v>
      </c>
      <c r="C907" s="58">
        <v>1</v>
      </c>
      <c r="D907" s="65">
        <v>15</v>
      </c>
      <c r="E907" s="65">
        <v>30</v>
      </c>
      <c r="F907" s="65">
        <f t="shared" si="30"/>
        <v>15</v>
      </c>
      <c r="G907" s="57" t="s">
        <v>484</v>
      </c>
      <c r="H907" s="55" t="s">
        <v>482</v>
      </c>
    </row>
    <row r="908" spans="1:8">
      <c r="A908" s="77">
        <v>44063</v>
      </c>
      <c r="B908" s="55" t="s">
        <v>346</v>
      </c>
      <c r="C908" s="58">
        <v>1</v>
      </c>
      <c r="D908" s="65">
        <v>15</v>
      </c>
      <c r="E908" s="65">
        <v>30</v>
      </c>
      <c r="F908" s="65">
        <f t="shared" si="30"/>
        <v>15</v>
      </c>
      <c r="G908" s="57" t="s">
        <v>484</v>
      </c>
      <c r="H908" s="55" t="s">
        <v>482</v>
      </c>
    </row>
    <row r="909" spans="1:8">
      <c r="A909" s="77">
        <v>44063</v>
      </c>
      <c r="B909" s="55" t="s">
        <v>54</v>
      </c>
      <c r="C909" s="58">
        <v>1</v>
      </c>
      <c r="D909" s="65">
        <v>22</v>
      </c>
      <c r="E909" s="65">
        <v>40</v>
      </c>
      <c r="F909" s="65">
        <f t="shared" si="30"/>
        <v>18</v>
      </c>
      <c r="G909" s="57" t="s">
        <v>484</v>
      </c>
      <c r="H909" s="55" t="s">
        <v>482</v>
      </c>
    </row>
    <row r="910" spans="1:8">
      <c r="A910" s="77">
        <v>44063</v>
      </c>
      <c r="B910" s="55" t="s">
        <v>54</v>
      </c>
      <c r="C910" s="58">
        <v>1</v>
      </c>
      <c r="D910" s="65">
        <v>22</v>
      </c>
      <c r="E910" s="65">
        <v>40</v>
      </c>
      <c r="F910" s="65">
        <f t="shared" si="30"/>
        <v>18</v>
      </c>
      <c r="G910" s="57" t="s">
        <v>484</v>
      </c>
      <c r="H910" s="55" t="s">
        <v>482</v>
      </c>
    </row>
    <row r="911" spans="1:8">
      <c r="A911" s="77">
        <v>44063</v>
      </c>
      <c r="B911" s="55" t="s">
        <v>202</v>
      </c>
      <c r="C911" s="58">
        <v>1</v>
      </c>
      <c r="D911" s="65">
        <v>5</v>
      </c>
      <c r="E911" s="65">
        <v>20</v>
      </c>
      <c r="F911" s="65">
        <f t="shared" ref="F911:F918" si="31">E911-D911</f>
        <v>15</v>
      </c>
      <c r="G911" s="57" t="s">
        <v>484</v>
      </c>
      <c r="H911" s="55" t="s">
        <v>482</v>
      </c>
    </row>
    <row r="912" spans="1:8">
      <c r="A912" s="77">
        <v>44063</v>
      </c>
      <c r="B912" s="55" t="s">
        <v>327</v>
      </c>
      <c r="C912" s="58">
        <v>1</v>
      </c>
      <c r="D912" s="65">
        <v>26.5</v>
      </c>
      <c r="E912" s="65">
        <v>100</v>
      </c>
      <c r="F912" s="65">
        <f t="shared" si="31"/>
        <v>73.5</v>
      </c>
      <c r="G912" s="57" t="s">
        <v>484</v>
      </c>
      <c r="H912" s="55" t="s">
        <v>482</v>
      </c>
    </row>
    <row r="913" spans="1:8">
      <c r="A913" s="77">
        <v>44063</v>
      </c>
      <c r="B913" s="55" t="s">
        <v>54</v>
      </c>
      <c r="C913" s="58">
        <v>1</v>
      </c>
      <c r="D913" s="65">
        <v>22</v>
      </c>
      <c r="E913" s="65">
        <v>50</v>
      </c>
      <c r="F913" s="65">
        <f t="shared" si="31"/>
        <v>28</v>
      </c>
      <c r="G913" s="57" t="s">
        <v>484</v>
      </c>
      <c r="H913" s="55" t="s">
        <v>482</v>
      </c>
    </row>
    <row r="914" spans="1:8">
      <c r="A914" s="77">
        <v>44064</v>
      </c>
      <c r="B914" s="55" t="s">
        <v>377</v>
      </c>
      <c r="C914" s="58">
        <v>1</v>
      </c>
      <c r="D914" s="65">
        <v>60</v>
      </c>
      <c r="E914" s="65">
        <v>160</v>
      </c>
      <c r="F914" s="65">
        <f t="shared" si="31"/>
        <v>100</v>
      </c>
      <c r="G914" s="57" t="s">
        <v>484</v>
      </c>
      <c r="H914" s="55" t="s">
        <v>482</v>
      </c>
    </row>
    <row r="915" spans="1:8">
      <c r="A915" s="77">
        <v>44065</v>
      </c>
      <c r="B915" s="55" t="s">
        <v>296</v>
      </c>
      <c r="C915" s="58">
        <v>1</v>
      </c>
      <c r="D915" s="65">
        <v>15</v>
      </c>
      <c r="E915" s="65">
        <v>35</v>
      </c>
      <c r="F915" s="65">
        <f t="shared" si="31"/>
        <v>20</v>
      </c>
      <c r="G915" s="57" t="s">
        <v>484</v>
      </c>
      <c r="H915" s="55" t="s">
        <v>482</v>
      </c>
    </row>
    <row r="916" spans="1:8">
      <c r="A916" s="77">
        <v>44066</v>
      </c>
      <c r="B916" s="55" t="s">
        <v>122</v>
      </c>
      <c r="C916" s="58">
        <v>1</v>
      </c>
      <c r="D916" s="65">
        <v>45</v>
      </c>
      <c r="E916" s="65">
        <v>80</v>
      </c>
      <c r="F916" s="65">
        <f t="shared" si="31"/>
        <v>35</v>
      </c>
      <c r="G916" s="57" t="s">
        <v>484</v>
      </c>
      <c r="H916" s="55" t="s">
        <v>482</v>
      </c>
    </row>
    <row r="917" spans="1:8">
      <c r="A917" s="77">
        <v>44067</v>
      </c>
      <c r="B917" s="55" t="s">
        <v>207</v>
      </c>
      <c r="C917" s="58">
        <v>1</v>
      </c>
      <c r="D917" s="65">
        <v>32</v>
      </c>
      <c r="E917" s="65">
        <v>80</v>
      </c>
      <c r="F917" s="65">
        <f t="shared" si="31"/>
        <v>48</v>
      </c>
      <c r="G917" s="57" t="s">
        <v>484</v>
      </c>
      <c r="H917" s="55" t="s">
        <v>482</v>
      </c>
    </row>
    <row r="918" spans="1:8">
      <c r="A918" s="77">
        <v>44068</v>
      </c>
      <c r="B918" s="55" t="s">
        <v>350</v>
      </c>
      <c r="C918" s="58">
        <v>1</v>
      </c>
      <c r="D918" s="65">
        <v>14</v>
      </c>
      <c r="E918" s="65">
        <v>40</v>
      </c>
      <c r="F918" s="65">
        <f t="shared" si="31"/>
        <v>26</v>
      </c>
      <c r="G918" s="57" t="s">
        <v>484</v>
      </c>
      <c r="H918" s="55" t="s">
        <v>482</v>
      </c>
    </row>
    <row r="919" spans="1:8">
      <c r="A919" s="77">
        <v>44069</v>
      </c>
      <c r="B919" s="55" t="s">
        <v>398</v>
      </c>
      <c r="C919" s="58">
        <v>1</v>
      </c>
      <c r="D919" s="65">
        <v>2.5</v>
      </c>
      <c r="E919" s="65">
        <v>20</v>
      </c>
      <c r="F919" s="65">
        <f t="shared" ref="F919:F950" si="32">E919-D919</f>
        <v>17.5</v>
      </c>
      <c r="G919" s="57" t="s">
        <v>484</v>
      </c>
      <c r="H919" s="55" t="s">
        <v>482</v>
      </c>
    </row>
    <row r="920" spans="1:8">
      <c r="A920" s="77">
        <v>44070</v>
      </c>
      <c r="B920" s="55" t="s">
        <v>403</v>
      </c>
      <c r="C920" s="58">
        <v>1</v>
      </c>
      <c r="D920" s="65">
        <v>30</v>
      </c>
      <c r="E920" s="65">
        <v>60</v>
      </c>
      <c r="F920" s="65">
        <f t="shared" si="32"/>
        <v>30</v>
      </c>
      <c r="G920" s="57" t="s">
        <v>484</v>
      </c>
      <c r="H920" s="55" t="s">
        <v>482</v>
      </c>
    </row>
    <row r="921" spans="1:8">
      <c r="A921" s="77">
        <v>44070</v>
      </c>
      <c r="B921" s="55" t="s">
        <v>398</v>
      </c>
      <c r="C921" s="58">
        <v>1</v>
      </c>
      <c r="D921" s="65">
        <v>2.5</v>
      </c>
      <c r="E921" s="65">
        <v>25</v>
      </c>
      <c r="F921" s="65">
        <f t="shared" si="32"/>
        <v>22.5</v>
      </c>
      <c r="G921" s="57" t="s">
        <v>484</v>
      </c>
      <c r="H921" s="55" t="s">
        <v>482</v>
      </c>
    </row>
    <row r="922" spans="1:8">
      <c r="A922" s="77">
        <v>44070</v>
      </c>
      <c r="B922" s="55" t="s">
        <v>337</v>
      </c>
      <c r="C922" s="58">
        <v>1</v>
      </c>
      <c r="D922" s="50">
        <v>6</v>
      </c>
      <c r="E922" s="63">
        <v>15</v>
      </c>
      <c r="F922" s="65">
        <f t="shared" si="32"/>
        <v>9</v>
      </c>
      <c r="G922" s="57" t="s">
        <v>484</v>
      </c>
      <c r="H922" s="55" t="s">
        <v>482</v>
      </c>
    </row>
    <row r="923" spans="1:8">
      <c r="A923" s="77">
        <v>44070</v>
      </c>
      <c r="B923" s="55" t="s">
        <v>274</v>
      </c>
      <c r="C923" s="58">
        <v>1</v>
      </c>
      <c r="D923" s="65">
        <v>24</v>
      </c>
      <c r="E923" s="65">
        <v>50</v>
      </c>
      <c r="F923" s="65">
        <f t="shared" si="32"/>
        <v>26</v>
      </c>
      <c r="G923" s="57" t="s">
        <v>484</v>
      </c>
      <c r="H923" s="55" t="s">
        <v>482</v>
      </c>
    </row>
    <row r="924" spans="1:8">
      <c r="A924" s="77">
        <v>44070</v>
      </c>
      <c r="B924" s="55" t="s">
        <v>398</v>
      </c>
      <c r="C924" s="58">
        <v>1</v>
      </c>
      <c r="D924" s="65">
        <v>2.5</v>
      </c>
      <c r="E924" s="65">
        <v>25</v>
      </c>
      <c r="F924" s="65">
        <f t="shared" si="32"/>
        <v>22.5</v>
      </c>
      <c r="G924" s="57" t="s">
        <v>484</v>
      </c>
      <c r="H924" s="55" t="s">
        <v>482</v>
      </c>
    </row>
    <row r="925" spans="1:8">
      <c r="A925" s="77">
        <v>44070</v>
      </c>
      <c r="B925" s="55" t="s">
        <v>385</v>
      </c>
      <c r="C925" s="58">
        <v>1</v>
      </c>
      <c r="D925" s="65">
        <v>29.99</v>
      </c>
      <c r="E925" s="65">
        <v>110</v>
      </c>
      <c r="F925" s="65">
        <f t="shared" si="32"/>
        <v>80.010000000000005</v>
      </c>
      <c r="G925" s="57" t="s">
        <v>484</v>
      </c>
      <c r="H925" s="55" t="s">
        <v>482</v>
      </c>
    </row>
    <row r="926" spans="1:8">
      <c r="A926" s="77">
        <v>44070</v>
      </c>
      <c r="B926" s="55" t="s">
        <v>398</v>
      </c>
      <c r="C926" s="58">
        <v>1</v>
      </c>
      <c r="D926" s="65">
        <v>2.5</v>
      </c>
      <c r="E926" s="65">
        <v>15</v>
      </c>
      <c r="F926" s="65">
        <f t="shared" si="32"/>
        <v>12.5</v>
      </c>
      <c r="G926" s="57" t="s">
        <v>484</v>
      </c>
      <c r="H926" s="55" t="s">
        <v>482</v>
      </c>
    </row>
    <row r="927" spans="1:8">
      <c r="A927" s="77">
        <v>44075</v>
      </c>
      <c r="B927" s="55" t="s">
        <v>346</v>
      </c>
      <c r="C927" s="58">
        <v>1</v>
      </c>
      <c r="D927" s="65">
        <v>15</v>
      </c>
      <c r="E927" s="65">
        <v>45</v>
      </c>
      <c r="F927" s="65">
        <f t="shared" si="32"/>
        <v>30</v>
      </c>
      <c r="G927" s="57" t="s">
        <v>484</v>
      </c>
      <c r="H927" s="55" t="s">
        <v>482</v>
      </c>
    </row>
    <row r="928" spans="1:8">
      <c r="A928" s="77">
        <v>44075</v>
      </c>
      <c r="B928" s="55" t="s">
        <v>376</v>
      </c>
      <c r="C928" s="58">
        <v>1</v>
      </c>
      <c r="D928" s="65">
        <v>5</v>
      </c>
      <c r="E928" s="65">
        <v>15</v>
      </c>
      <c r="F928" s="65">
        <f t="shared" si="32"/>
        <v>10</v>
      </c>
      <c r="G928" s="57" t="s">
        <v>484</v>
      </c>
      <c r="H928" s="55" t="s">
        <v>482</v>
      </c>
    </row>
    <row r="929" spans="1:8">
      <c r="A929" s="77">
        <v>44075</v>
      </c>
      <c r="B929" s="55" t="s">
        <v>379</v>
      </c>
      <c r="C929" s="58">
        <v>1</v>
      </c>
      <c r="D929" s="65">
        <v>15</v>
      </c>
      <c r="E929" s="65">
        <v>35</v>
      </c>
      <c r="F929" s="65">
        <f t="shared" si="32"/>
        <v>20</v>
      </c>
      <c r="G929" s="57" t="s">
        <v>484</v>
      </c>
      <c r="H929" s="55" t="s">
        <v>482</v>
      </c>
    </row>
    <row r="930" spans="1:8">
      <c r="A930" s="77">
        <v>44075</v>
      </c>
      <c r="B930" s="55" t="s">
        <v>327</v>
      </c>
      <c r="C930" s="58">
        <v>1</v>
      </c>
      <c r="D930" s="65">
        <v>26.5</v>
      </c>
      <c r="E930" s="65">
        <v>110</v>
      </c>
      <c r="F930" s="65">
        <f t="shared" si="32"/>
        <v>83.5</v>
      </c>
      <c r="G930" s="57" t="s">
        <v>484</v>
      </c>
      <c r="H930" s="55" t="s">
        <v>482</v>
      </c>
    </row>
    <row r="931" spans="1:8">
      <c r="A931" s="77">
        <v>44075</v>
      </c>
      <c r="B931" s="55" t="s">
        <v>378</v>
      </c>
      <c r="C931" s="58">
        <v>1</v>
      </c>
      <c r="D931" s="65">
        <v>235</v>
      </c>
      <c r="E931" s="65">
        <v>350</v>
      </c>
      <c r="F931" s="65">
        <f t="shared" si="32"/>
        <v>115</v>
      </c>
      <c r="G931" s="57" t="s">
        <v>484</v>
      </c>
      <c r="H931" s="55" t="s">
        <v>482</v>
      </c>
    </row>
    <row r="932" spans="1:8">
      <c r="A932" s="77">
        <v>44076</v>
      </c>
      <c r="B932" s="55" t="s">
        <v>256</v>
      </c>
      <c r="C932" s="58">
        <v>1</v>
      </c>
      <c r="D932" s="65">
        <v>27</v>
      </c>
      <c r="E932" s="65">
        <v>65</v>
      </c>
      <c r="F932" s="65">
        <f t="shared" si="32"/>
        <v>38</v>
      </c>
      <c r="G932" s="57" t="s">
        <v>484</v>
      </c>
      <c r="H932" s="55" t="s">
        <v>482</v>
      </c>
    </row>
    <row r="933" spans="1:8">
      <c r="A933" s="77">
        <v>44076</v>
      </c>
      <c r="B933" s="55" t="s">
        <v>380</v>
      </c>
      <c r="C933" s="58">
        <v>1</v>
      </c>
      <c r="D933" s="65">
        <v>70</v>
      </c>
      <c r="E933" s="65">
        <v>250</v>
      </c>
      <c r="F933" s="65">
        <f t="shared" si="32"/>
        <v>180</v>
      </c>
      <c r="G933" s="57" t="s">
        <v>484</v>
      </c>
      <c r="H933" s="55" t="s">
        <v>482</v>
      </c>
    </row>
    <row r="934" spans="1:8">
      <c r="A934" s="77">
        <v>44077</v>
      </c>
      <c r="B934" s="55" t="s">
        <v>382</v>
      </c>
      <c r="C934" s="58">
        <v>1</v>
      </c>
      <c r="D934" s="65">
        <v>27</v>
      </c>
      <c r="E934" s="65">
        <v>50</v>
      </c>
      <c r="F934" s="65">
        <f t="shared" si="32"/>
        <v>23</v>
      </c>
      <c r="G934" s="57" t="s">
        <v>484</v>
      </c>
      <c r="H934" s="55" t="s">
        <v>482</v>
      </c>
    </row>
    <row r="935" spans="1:8">
      <c r="A935" s="77">
        <v>44077</v>
      </c>
      <c r="B935" s="55" t="s">
        <v>381</v>
      </c>
      <c r="C935" s="58">
        <v>1</v>
      </c>
      <c r="D935" s="65">
        <v>16</v>
      </c>
      <c r="E935" s="65">
        <v>40</v>
      </c>
      <c r="F935" s="65">
        <f t="shared" si="32"/>
        <v>24</v>
      </c>
      <c r="G935" s="57" t="s">
        <v>484</v>
      </c>
      <c r="H935" s="55" t="s">
        <v>482</v>
      </c>
    </row>
    <row r="936" spans="1:8">
      <c r="A936" s="77">
        <v>44077</v>
      </c>
      <c r="B936" s="55" t="s">
        <v>202</v>
      </c>
      <c r="C936" s="58">
        <v>1</v>
      </c>
      <c r="D936" s="65">
        <v>6</v>
      </c>
      <c r="E936" s="65">
        <v>50</v>
      </c>
      <c r="F936" s="65">
        <f t="shared" si="32"/>
        <v>44</v>
      </c>
      <c r="G936" s="57" t="s">
        <v>484</v>
      </c>
      <c r="H936" s="55" t="s">
        <v>482</v>
      </c>
    </row>
    <row r="937" spans="1:8">
      <c r="A937" s="77">
        <v>44081</v>
      </c>
      <c r="B937" s="55" t="s">
        <v>173</v>
      </c>
      <c r="C937" s="58">
        <v>1</v>
      </c>
      <c r="D937" s="65">
        <v>0</v>
      </c>
      <c r="E937" s="65">
        <v>70</v>
      </c>
      <c r="F937" s="65">
        <f t="shared" si="32"/>
        <v>70</v>
      </c>
      <c r="G937" s="57" t="s">
        <v>484</v>
      </c>
      <c r="H937" s="55" t="s">
        <v>482</v>
      </c>
    </row>
    <row r="938" spans="1:8">
      <c r="A938" s="77">
        <v>44082</v>
      </c>
      <c r="B938" s="55" t="s">
        <v>383</v>
      </c>
      <c r="C938" s="58">
        <v>1</v>
      </c>
      <c r="D938" s="65">
        <v>45</v>
      </c>
      <c r="E938" s="65">
        <v>90</v>
      </c>
      <c r="F938" s="65">
        <f t="shared" si="32"/>
        <v>45</v>
      </c>
      <c r="G938" s="57" t="s">
        <v>484</v>
      </c>
      <c r="H938" s="55" t="s">
        <v>482</v>
      </c>
    </row>
    <row r="939" spans="1:8">
      <c r="A939" s="77">
        <v>44082</v>
      </c>
      <c r="B939" s="55" t="s">
        <v>106</v>
      </c>
      <c r="C939" s="58">
        <v>1</v>
      </c>
      <c r="D939" s="65">
        <v>15</v>
      </c>
      <c r="E939" s="65">
        <v>35</v>
      </c>
      <c r="F939" s="65">
        <f t="shared" si="32"/>
        <v>20</v>
      </c>
      <c r="G939" s="57" t="s">
        <v>484</v>
      </c>
      <c r="H939" s="55" t="s">
        <v>482</v>
      </c>
    </row>
    <row r="940" spans="1:8">
      <c r="A940" s="77">
        <v>44083</v>
      </c>
      <c r="B940" s="55" t="s">
        <v>202</v>
      </c>
      <c r="C940" s="58">
        <v>1</v>
      </c>
      <c r="D940" s="65">
        <v>6</v>
      </c>
      <c r="E940" s="65">
        <v>20</v>
      </c>
      <c r="F940" s="65">
        <f t="shared" si="32"/>
        <v>14</v>
      </c>
      <c r="G940" s="57" t="s">
        <v>484</v>
      </c>
      <c r="H940" s="55" t="s">
        <v>482</v>
      </c>
    </row>
    <row r="941" spans="1:8">
      <c r="A941" s="77">
        <v>44088</v>
      </c>
      <c r="B941" s="55" t="s">
        <v>397</v>
      </c>
      <c r="C941" s="58">
        <v>1</v>
      </c>
      <c r="D941" s="65">
        <v>8</v>
      </c>
      <c r="E941" s="65">
        <v>15</v>
      </c>
      <c r="F941" s="65">
        <f t="shared" si="32"/>
        <v>7</v>
      </c>
      <c r="G941" s="57" t="s">
        <v>484</v>
      </c>
      <c r="H941" s="55" t="s">
        <v>482</v>
      </c>
    </row>
    <row r="942" spans="1:8">
      <c r="A942" s="77">
        <v>44088</v>
      </c>
      <c r="B942" s="55" t="s">
        <v>390</v>
      </c>
      <c r="C942" s="58">
        <v>1</v>
      </c>
      <c r="D942" s="65">
        <v>75</v>
      </c>
      <c r="E942" s="65">
        <v>180</v>
      </c>
      <c r="F942" s="65">
        <f t="shared" si="32"/>
        <v>105</v>
      </c>
      <c r="G942" s="57" t="s">
        <v>484</v>
      </c>
      <c r="H942" s="55" t="s">
        <v>482</v>
      </c>
    </row>
    <row r="943" spans="1:8">
      <c r="A943" s="77">
        <v>44088</v>
      </c>
      <c r="B943" s="55" t="s">
        <v>398</v>
      </c>
      <c r="C943" s="58">
        <v>1</v>
      </c>
      <c r="D943" s="65">
        <v>2.5</v>
      </c>
      <c r="E943" s="65">
        <v>27</v>
      </c>
      <c r="F943" s="65">
        <f t="shared" si="32"/>
        <v>24.5</v>
      </c>
      <c r="G943" s="57" t="s">
        <v>484</v>
      </c>
      <c r="H943" s="55" t="s">
        <v>482</v>
      </c>
    </row>
    <row r="944" spans="1:8">
      <c r="A944" s="77">
        <v>44088</v>
      </c>
      <c r="B944" s="55" t="s">
        <v>398</v>
      </c>
      <c r="C944" s="58">
        <v>1</v>
      </c>
      <c r="D944" s="65">
        <v>2.5</v>
      </c>
      <c r="E944" s="65">
        <v>25</v>
      </c>
      <c r="F944" s="65">
        <f t="shared" si="32"/>
        <v>22.5</v>
      </c>
      <c r="G944" s="57" t="s">
        <v>484</v>
      </c>
      <c r="H944" s="55" t="s">
        <v>482</v>
      </c>
    </row>
    <row r="945" spans="1:8">
      <c r="A945" s="77">
        <v>44088</v>
      </c>
      <c r="B945" s="55" t="s">
        <v>398</v>
      </c>
      <c r="C945" s="58">
        <v>1</v>
      </c>
      <c r="D945" s="65">
        <v>2.5</v>
      </c>
      <c r="E945" s="65">
        <v>15</v>
      </c>
      <c r="F945" s="65">
        <f t="shared" si="32"/>
        <v>12.5</v>
      </c>
      <c r="G945" s="57" t="s">
        <v>484</v>
      </c>
      <c r="H945" s="55" t="s">
        <v>482</v>
      </c>
    </row>
    <row r="946" spans="1:8">
      <c r="A946" s="77">
        <v>44088</v>
      </c>
      <c r="B946" s="55" t="s">
        <v>256</v>
      </c>
      <c r="C946" s="58">
        <v>1</v>
      </c>
      <c r="D946" s="65">
        <v>27</v>
      </c>
      <c r="E946" s="65">
        <v>75</v>
      </c>
      <c r="F946" s="65">
        <f t="shared" si="32"/>
        <v>48</v>
      </c>
      <c r="G946" s="57" t="s">
        <v>484</v>
      </c>
      <c r="H946" s="55" t="s">
        <v>482</v>
      </c>
    </row>
    <row r="947" spans="1:8">
      <c r="A947" s="77">
        <v>44088</v>
      </c>
      <c r="B947" s="55" t="s">
        <v>379</v>
      </c>
      <c r="C947" s="58">
        <v>1</v>
      </c>
      <c r="D947" s="65">
        <v>15</v>
      </c>
      <c r="E947" s="65">
        <v>35</v>
      </c>
      <c r="F947" s="65">
        <f t="shared" si="32"/>
        <v>20</v>
      </c>
      <c r="G947" s="57" t="s">
        <v>484</v>
      </c>
      <c r="H947" s="55" t="s">
        <v>482</v>
      </c>
    </row>
    <row r="948" spans="1:8">
      <c r="A948" s="77">
        <v>44088</v>
      </c>
      <c r="B948" s="55" t="s">
        <v>394</v>
      </c>
      <c r="C948" s="58">
        <v>1</v>
      </c>
      <c r="D948" s="65">
        <v>2.5</v>
      </c>
      <c r="E948" s="65">
        <v>5</v>
      </c>
      <c r="F948" s="65">
        <f t="shared" si="32"/>
        <v>2.5</v>
      </c>
      <c r="G948" s="57" t="s">
        <v>484</v>
      </c>
      <c r="H948" s="55" t="s">
        <v>482</v>
      </c>
    </row>
    <row r="949" spans="1:8">
      <c r="A949" s="77">
        <v>44088</v>
      </c>
      <c r="B949" s="55" t="s">
        <v>327</v>
      </c>
      <c r="C949" s="58">
        <v>1</v>
      </c>
      <c r="D949" s="65">
        <v>26.5</v>
      </c>
      <c r="E949" s="65">
        <v>100</v>
      </c>
      <c r="F949" s="65">
        <f t="shared" si="32"/>
        <v>73.5</v>
      </c>
      <c r="G949" s="57" t="s">
        <v>484</v>
      </c>
      <c r="H949" s="55" t="s">
        <v>482</v>
      </c>
    </row>
    <row r="950" spans="1:8">
      <c r="A950" s="77">
        <v>44089</v>
      </c>
      <c r="B950" s="55" t="s">
        <v>393</v>
      </c>
      <c r="C950" s="58">
        <v>1</v>
      </c>
      <c r="D950" s="65">
        <v>5</v>
      </c>
      <c r="E950" s="65">
        <v>15</v>
      </c>
      <c r="F950" s="65">
        <f t="shared" si="32"/>
        <v>10</v>
      </c>
      <c r="G950" s="57" t="s">
        <v>484</v>
      </c>
      <c r="H950" s="55" t="s">
        <v>482</v>
      </c>
    </row>
    <row r="951" spans="1:8">
      <c r="A951" s="77">
        <v>44089</v>
      </c>
      <c r="B951" s="55" t="s">
        <v>239</v>
      </c>
      <c r="C951" s="58">
        <v>1</v>
      </c>
      <c r="D951" s="65">
        <v>4</v>
      </c>
      <c r="E951" s="65">
        <v>15</v>
      </c>
      <c r="F951" s="65">
        <f t="shared" ref="F951:F982" si="33">E951-D951</f>
        <v>11</v>
      </c>
      <c r="G951" s="57" t="s">
        <v>484</v>
      </c>
      <c r="H951" s="55" t="s">
        <v>482</v>
      </c>
    </row>
    <row r="952" spans="1:8">
      <c r="A952" s="77">
        <v>44089</v>
      </c>
      <c r="B952" s="55" t="s">
        <v>390</v>
      </c>
      <c r="C952" s="58">
        <v>1</v>
      </c>
      <c r="D952" s="65">
        <v>75</v>
      </c>
      <c r="E952" s="65">
        <v>150</v>
      </c>
      <c r="F952" s="65">
        <f t="shared" si="33"/>
        <v>75</v>
      </c>
      <c r="G952" s="57" t="s">
        <v>484</v>
      </c>
      <c r="H952" s="55" t="s">
        <v>482</v>
      </c>
    </row>
    <row r="953" spans="1:8">
      <c r="A953" s="77">
        <v>44089</v>
      </c>
      <c r="B953" s="55" t="s">
        <v>399</v>
      </c>
      <c r="C953" s="58">
        <v>1</v>
      </c>
      <c r="D953" s="65">
        <v>14</v>
      </c>
      <c r="E953" s="65">
        <v>35</v>
      </c>
      <c r="F953" s="65">
        <f t="shared" si="33"/>
        <v>21</v>
      </c>
      <c r="G953" s="57" t="s">
        <v>484</v>
      </c>
      <c r="H953" s="55" t="s">
        <v>482</v>
      </c>
    </row>
    <row r="954" spans="1:8">
      <c r="A954" s="77">
        <v>44089</v>
      </c>
      <c r="B954" s="55" t="s">
        <v>399</v>
      </c>
      <c r="C954" s="58">
        <v>1</v>
      </c>
      <c r="D954" s="65">
        <v>14</v>
      </c>
      <c r="E954" s="65">
        <v>35</v>
      </c>
      <c r="F954" s="65">
        <f t="shared" si="33"/>
        <v>21</v>
      </c>
      <c r="G954" s="57" t="s">
        <v>484</v>
      </c>
      <c r="H954" s="55" t="s">
        <v>482</v>
      </c>
    </row>
    <row r="955" spans="1:8">
      <c r="A955" s="77">
        <v>44089</v>
      </c>
      <c r="B955" s="55" t="s">
        <v>398</v>
      </c>
      <c r="C955" s="58">
        <v>1</v>
      </c>
      <c r="D955" s="65">
        <v>2.5</v>
      </c>
      <c r="E955" s="65">
        <v>17</v>
      </c>
      <c r="F955" s="65">
        <f t="shared" si="33"/>
        <v>14.5</v>
      </c>
      <c r="G955" s="57" t="s">
        <v>484</v>
      </c>
      <c r="H955" s="55" t="s">
        <v>482</v>
      </c>
    </row>
    <row r="956" spans="1:8">
      <c r="A956" s="77">
        <v>44089</v>
      </c>
      <c r="B956" s="55" t="s">
        <v>398</v>
      </c>
      <c r="C956" s="58">
        <v>1</v>
      </c>
      <c r="D956" s="65">
        <v>2.5</v>
      </c>
      <c r="E956" s="65">
        <v>32.5</v>
      </c>
      <c r="F956" s="65">
        <f t="shared" si="33"/>
        <v>30</v>
      </c>
      <c r="G956" s="57" t="s">
        <v>484</v>
      </c>
      <c r="H956" s="55" t="s">
        <v>482</v>
      </c>
    </row>
    <row r="957" spans="1:8">
      <c r="A957" s="77">
        <v>44089</v>
      </c>
      <c r="B957" s="55" t="s">
        <v>398</v>
      </c>
      <c r="C957" s="58">
        <v>1</v>
      </c>
      <c r="D957" s="65">
        <v>2.5</v>
      </c>
      <c r="E957" s="65">
        <v>32.5</v>
      </c>
      <c r="F957" s="65">
        <f t="shared" si="33"/>
        <v>30</v>
      </c>
      <c r="G957" s="57" t="s">
        <v>484</v>
      </c>
      <c r="H957" s="55" t="s">
        <v>482</v>
      </c>
    </row>
    <row r="958" spans="1:8">
      <c r="A958" s="77">
        <v>44089</v>
      </c>
      <c r="B958" s="55" t="s">
        <v>398</v>
      </c>
      <c r="C958" s="58">
        <v>1</v>
      </c>
      <c r="D958" s="65">
        <v>2.5</v>
      </c>
      <c r="E958" s="65">
        <v>15</v>
      </c>
      <c r="F958" s="65">
        <f t="shared" si="33"/>
        <v>12.5</v>
      </c>
      <c r="G958" s="57" t="s">
        <v>484</v>
      </c>
      <c r="H958" s="55" t="s">
        <v>482</v>
      </c>
    </row>
    <row r="959" spans="1:8">
      <c r="A959" s="77">
        <v>44089</v>
      </c>
      <c r="B959" s="55" t="s">
        <v>398</v>
      </c>
      <c r="C959" s="58">
        <v>1</v>
      </c>
      <c r="D959" s="65">
        <v>2.5</v>
      </c>
      <c r="E959" s="65">
        <v>20</v>
      </c>
      <c r="F959" s="65">
        <f t="shared" si="33"/>
        <v>17.5</v>
      </c>
      <c r="G959" s="57" t="s">
        <v>484</v>
      </c>
      <c r="H959" s="55" t="s">
        <v>482</v>
      </c>
    </row>
    <row r="960" spans="1:8">
      <c r="A960" s="77">
        <v>44089</v>
      </c>
      <c r="B960" s="55" t="s">
        <v>398</v>
      </c>
      <c r="C960" s="58">
        <v>1</v>
      </c>
      <c r="D960" s="65">
        <v>2.5</v>
      </c>
      <c r="E960" s="65">
        <v>25</v>
      </c>
      <c r="F960" s="65">
        <f t="shared" si="33"/>
        <v>22.5</v>
      </c>
      <c r="G960" s="57" t="s">
        <v>484</v>
      </c>
      <c r="H960" s="55" t="s">
        <v>482</v>
      </c>
    </row>
    <row r="961" spans="1:8">
      <c r="A961" s="77">
        <v>44089</v>
      </c>
      <c r="B961" s="55" t="s">
        <v>396</v>
      </c>
      <c r="C961" s="58">
        <v>1</v>
      </c>
      <c r="D961" s="65">
        <v>6.7</v>
      </c>
      <c r="E961" s="65">
        <v>15</v>
      </c>
      <c r="F961" s="65">
        <f t="shared" si="33"/>
        <v>8.3000000000000007</v>
      </c>
      <c r="G961" s="57" t="s">
        <v>484</v>
      </c>
      <c r="H961" s="55" t="s">
        <v>482</v>
      </c>
    </row>
    <row r="962" spans="1:8">
      <c r="A962" s="77">
        <v>44089</v>
      </c>
      <c r="B962" s="55" t="s">
        <v>394</v>
      </c>
      <c r="C962" s="58">
        <v>1</v>
      </c>
      <c r="D962" s="65">
        <v>2.5</v>
      </c>
      <c r="E962" s="65">
        <v>15</v>
      </c>
      <c r="F962" s="65">
        <f t="shared" si="33"/>
        <v>12.5</v>
      </c>
      <c r="G962" s="57" t="s">
        <v>484</v>
      </c>
      <c r="H962" s="55" t="s">
        <v>482</v>
      </c>
    </row>
    <row r="963" spans="1:8">
      <c r="A963" s="77">
        <v>44089</v>
      </c>
      <c r="B963" s="55" t="s">
        <v>378</v>
      </c>
      <c r="C963" s="58">
        <v>1</v>
      </c>
      <c r="D963" s="65">
        <v>215</v>
      </c>
      <c r="E963" s="65">
        <v>320</v>
      </c>
      <c r="F963" s="65">
        <f t="shared" si="33"/>
        <v>105</v>
      </c>
      <c r="G963" s="57" t="s">
        <v>484</v>
      </c>
      <c r="H963" s="55" t="s">
        <v>482</v>
      </c>
    </row>
    <row r="964" spans="1:8">
      <c r="A964" s="77">
        <v>44089</v>
      </c>
      <c r="B964" s="55" t="s">
        <v>378</v>
      </c>
      <c r="C964" s="58">
        <v>1</v>
      </c>
      <c r="D964" s="65">
        <v>215</v>
      </c>
      <c r="E964" s="65">
        <v>350</v>
      </c>
      <c r="F964" s="65">
        <f t="shared" si="33"/>
        <v>135</v>
      </c>
      <c r="G964" s="57" t="s">
        <v>484</v>
      </c>
      <c r="H964" s="55" t="s">
        <v>482</v>
      </c>
    </row>
    <row r="965" spans="1:8">
      <c r="A965" s="77">
        <v>44090</v>
      </c>
      <c r="B965" s="55" t="s">
        <v>390</v>
      </c>
      <c r="C965" s="58">
        <v>1</v>
      </c>
      <c r="D965" s="65">
        <v>75</v>
      </c>
      <c r="E965" s="65">
        <v>160</v>
      </c>
      <c r="F965" s="65">
        <f t="shared" si="33"/>
        <v>85</v>
      </c>
      <c r="G965" s="57" t="s">
        <v>484</v>
      </c>
      <c r="H965" s="55" t="s">
        <v>482</v>
      </c>
    </row>
    <row r="966" spans="1:8">
      <c r="A966" s="77">
        <v>44090</v>
      </c>
      <c r="B966" s="55" t="s">
        <v>364</v>
      </c>
      <c r="C966" s="58">
        <v>1</v>
      </c>
      <c r="D966" s="65">
        <v>44</v>
      </c>
      <c r="E966" s="65">
        <v>110</v>
      </c>
      <c r="F966" s="65">
        <f t="shared" si="33"/>
        <v>66</v>
      </c>
      <c r="G966" s="57" t="s">
        <v>484</v>
      </c>
      <c r="H966" s="55" t="s">
        <v>482</v>
      </c>
    </row>
    <row r="967" spans="1:8">
      <c r="A967" s="77">
        <v>44090</v>
      </c>
      <c r="B967" s="55" t="s">
        <v>398</v>
      </c>
      <c r="C967" s="58">
        <v>1</v>
      </c>
      <c r="D967" s="65">
        <v>2.5</v>
      </c>
      <c r="E967" s="65">
        <v>15</v>
      </c>
      <c r="F967" s="65">
        <f t="shared" si="33"/>
        <v>12.5</v>
      </c>
      <c r="G967" s="57" t="s">
        <v>484</v>
      </c>
      <c r="H967" s="55" t="s">
        <v>482</v>
      </c>
    </row>
    <row r="968" spans="1:8">
      <c r="A968" s="77">
        <v>44091</v>
      </c>
      <c r="B968" s="55" t="s">
        <v>351</v>
      </c>
      <c r="C968" s="58">
        <v>1</v>
      </c>
      <c r="D968" s="65">
        <v>15</v>
      </c>
      <c r="E968" s="65">
        <v>30</v>
      </c>
      <c r="F968" s="65">
        <f t="shared" si="33"/>
        <v>15</v>
      </c>
      <c r="G968" s="57" t="s">
        <v>484</v>
      </c>
      <c r="H968" s="55" t="s">
        <v>482</v>
      </c>
    </row>
    <row r="969" spans="1:8">
      <c r="A969" s="77">
        <v>44091</v>
      </c>
      <c r="B969" s="55" t="s">
        <v>378</v>
      </c>
      <c r="C969" s="58">
        <v>1</v>
      </c>
      <c r="D969" s="65">
        <v>215</v>
      </c>
      <c r="E969" s="65">
        <v>340</v>
      </c>
      <c r="F969" s="65">
        <f t="shared" si="33"/>
        <v>125</v>
      </c>
      <c r="G969" s="57" t="s">
        <v>484</v>
      </c>
      <c r="H969" s="55" t="s">
        <v>482</v>
      </c>
    </row>
    <row r="970" spans="1:8">
      <c r="A970" s="77">
        <v>44091</v>
      </c>
      <c r="B970" s="55" t="s">
        <v>364</v>
      </c>
      <c r="C970" s="58">
        <v>1</v>
      </c>
      <c r="D970" s="65">
        <v>55</v>
      </c>
      <c r="E970" s="65">
        <v>100</v>
      </c>
      <c r="F970" s="65">
        <f t="shared" si="33"/>
        <v>45</v>
      </c>
      <c r="G970" s="57" t="s">
        <v>484</v>
      </c>
      <c r="H970" s="55" t="s">
        <v>482</v>
      </c>
    </row>
    <row r="971" spans="1:8">
      <c r="A971" s="77">
        <v>44095</v>
      </c>
      <c r="B971" s="55" t="s">
        <v>398</v>
      </c>
      <c r="C971" s="58">
        <v>1</v>
      </c>
      <c r="D971" s="65">
        <v>2.5</v>
      </c>
      <c r="E971" s="65">
        <v>20</v>
      </c>
      <c r="F971" s="65">
        <f t="shared" si="33"/>
        <v>17.5</v>
      </c>
      <c r="G971" s="57" t="s">
        <v>484</v>
      </c>
      <c r="H971" s="55" t="s">
        <v>482</v>
      </c>
    </row>
    <row r="972" spans="1:8">
      <c r="A972" s="77">
        <v>44095</v>
      </c>
      <c r="B972" s="55" t="s">
        <v>398</v>
      </c>
      <c r="C972" s="58">
        <v>1</v>
      </c>
      <c r="D972" s="65">
        <v>2.5</v>
      </c>
      <c r="E972" s="65">
        <v>15</v>
      </c>
      <c r="F972" s="65">
        <f t="shared" si="33"/>
        <v>12.5</v>
      </c>
      <c r="G972" s="57" t="s">
        <v>484</v>
      </c>
      <c r="H972" s="55" t="s">
        <v>482</v>
      </c>
    </row>
    <row r="973" spans="1:8">
      <c r="A973" s="77">
        <v>44095</v>
      </c>
      <c r="B973" s="55" t="s">
        <v>398</v>
      </c>
      <c r="C973" s="58">
        <v>1</v>
      </c>
      <c r="D973" s="65">
        <v>2.5</v>
      </c>
      <c r="E973" s="65">
        <v>15</v>
      </c>
      <c r="F973" s="65">
        <f t="shared" si="33"/>
        <v>12.5</v>
      </c>
      <c r="G973" s="57" t="s">
        <v>484</v>
      </c>
      <c r="H973" s="55" t="s">
        <v>482</v>
      </c>
    </row>
    <row r="974" spans="1:8">
      <c r="A974" s="77">
        <v>44096</v>
      </c>
      <c r="B974" s="55" t="s">
        <v>321</v>
      </c>
      <c r="C974" s="58">
        <v>1</v>
      </c>
      <c r="D974" s="65">
        <v>14</v>
      </c>
      <c r="E974" s="65">
        <v>30</v>
      </c>
      <c r="F974" s="65">
        <f t="shared" si="33"/>
        <v>16</v>
      </c>
      <c r="G974" s="57" t="s">
        <v>484</v>
      </c>
      <c r="H974" s="55" t="s">
        <v>482</v>
      </c>
    </row>
    <row r="975" spans="1:8">
      <c r="A975" s="77">
        <v>44097</v>
      </c>
      <c r="B975" s="55" t="s">
        <v>395</v>
      </c>
      <c r="C975" s="58">
        <v>1</v>
      </c>
      <c r="D975" s="65">
        <v>11</v>
      </c>
      <c r="E975" s="65">
        <v>25</v>
      </c>
      <c r="F975" s="65">
        <f t="shared" si="33"/>
        <v>14</v>
      </c>
      <c r="G975" s="57" t="s">
        <v>484</v>
      </c>
      <c r="H975" s="55" t="s">
        <v>482</v>
      </c>
    </row>
    <row r="976" spans="1:8">
      <c r="A976" s="77">
        <v>44098</v>
      </c>
      <c r="B976" s="55" t="s">
        <v>384</v>
      </c>
      <c r="C976" s="58">
        <v>1</v>
      </c>
      <c r="D976" s="65">
        <v>3.99</v>
      </c>
      <c r="E976" s="65">
        <v>35</v>
      </c>
      <c r="F976" s="65">
        <f t="shared" si="33"/>
        <v>31.009999999999998</v>
      </c>
      <c r="G976" s="57" t="s">
        <v>484</v>
      </c>
      <c r="H976" s="55" t="s">
        <v>482</v>
      </c>
    </row>
    <row r="977" spans="1:8">
      <c r="A977" s="77">
        <v>44092</v>
      </c>
      <c r="B977" s="55" t="s">
        <v>400</v>
      </c>
      <c r="C977" s="58">
        <v>1</v>
      </c>
      <c r="D977" s="65">
        <v>14</v>
      </c>
      <c r="E977" s="65">
        <v>30</v>
      </c>
      <c r="F977" s="65">
        <f t="shared" si="33"/>
        <v>16</v>
      </c>
      <c r="G977" s="57" t="s">
        <v>484</v>
      </c>
      <c r="H977" s="55" t="s">
        <v>482</v>
      </c>
    </row>
    <row r="978" spans="1:8">
      <c r="A978" s="77">
        <v>44092</v>
      </c>
      <c r="B978" s="55" t="s">
        <v>400</v>
      </c>
      <c r="C978" s="58">
        <v>1</v>
      </c>
      <c r="D978" s="65">
        <v>14</v>
      </c>
      <c r="E978" s="65">
        <v>45</v>
      </c>
      <c r="F978" s="65">
        <f t="shared" si="33"/>
        <v>31</v>
      </c>
      <c r="G978" s="57" t="s">
        <v>484</v>
      </c>
      <c r="H978" s="55" t="s">
        <v>482</v>
      </c>
    </row>
    <row r="979" spans="1:8">
      <c r="A979" s="77">
        <v>44092</v>
      </c>
      <c r="B979" s="55" t="s">
        <v>249</v>
      </c>
      <c r="C979" s="58">
        <v>1</v>
      </c>
      <c r="D979" s="65">
        <v>14.5</v>
      </c>
      <c r="E979" s="65">
        <v>45</v>
      </c>
      <c r="F979" s="65">
        <f t="shared" si="33"/>
        <v>30.5</v>
      </c>
      <c r="G979" s="57" t="s">
        <v>484</v>
      </c>
      <c r="H979" s="55" t="s">
        <v>482</v>
      </c>
    </row>
    <row r="980" spans="1:8">
      <c r="A980" s="77">
        <v>44092</v>
      </c>
      <c r="B980" s="55" t="s">
        <v>398</v>
      </c>
      <c r="C980" s="58">
        <v>1</v>
      </c>
      <c r="D980" s="65">
        <v>2.5</v>
      </c>
      <c r="E980" s="65">
        <v>20</v>
      </c>
      <c r="F980" s="65">
        <f t="shared" si="33"/>
        <v>17.5</v>
      </c>
      <c r="G980" s="57" t="s">
        <v>484</v>
      </c>
      <c r="H980" s="55" t="s">
        <v>482</v>
      </c>
    </row>
    <row r="981" spans="1:8">
      <c r="A981" s="77">
        <v>44092</v>
      </c>
      <c r="B981" s="55" t="s">
        <v>398</v>
      </c>
      <c r="C981" s="58">
        <v>1</v>
      </c>
      <c r="D981" s="65">
        <v>2.5</v>
      </c>
      <c r="E981" s="65">
        <v>25</v>
      </c>
      <c r="F981" s="65">
        <f t="shared" si="33"/>
        <v>22.5</v>
      </c>
      <c r="G981" s="57" t="s">
        <v>484</v>
      </c>
      <c r="H981" s="55" t="s">
        <v>482</v>
      </c>
    </row>
    <row r="982" spans="1:8">
      <c r="A982" s="77">
        <v>44091</v>
      </c>
      <c r="B982" s="55" t="s">
        <v>256</v>
      </c>
      <c r="C982" s="58">
        <v>1</v>
      </c>
      <c r="D982" s="65">
        <v>27</v>
      </c>
      <c r="E982" s="65">
        <v>60</v>
      </c>
      <c r="F982" s="65">
        <f t="shared" si="33"/>
        <v>33</v>
      </c>
      <c r="G982" s="57" t="s">
        <v>484</v>
      </c>
      <c r="H982" s="55" t="s">
        <v>482</v>
      </c>
    </row>
    <row r="983" spans="1:8">
      <c r="A983" s="77">
        <v>44092</v>
      </c>
      <c r="B983" s="55" t="s">
        <v>256</v>
      </c>
      <c r="C983" s="58">
        <v>1</v>
      </c>
      <c r="D983" s="65">
        <v>27</v>
      </c>
      <c r="E983" s="65">
        <v>60</v>
      </c>
      <c r="F983" s="65">
        <f t="shared" ref="F983:F991" si="34">E983-D983</f>
        <v>33</v>
      </c>
      <c r="G983" s="57" t="s">
        <v>484</v>
      </c>
      <c r="H983" s="55" t="s">
        <v>482</v>
      </c>
    </row>
    <row r="984" spans="1:8">
      <c r="A984" s="77">
        <v>44092</v>
      </c>
      <c r="B984" s="55" t="s">
        <v>382</v>
      </c>
      <c r="C984" s="58">
        <v>1</v>
      </c>
      <c r="D984" s="65">
        <v>27</v>
      </c>
      <c r="E984" s="65">
        <v>60</v>
      </c>
      <c r="F984" s="65">
        <f t="shared" si="34"/>
        <v>33</v>
      </c>
      <c r="G984" s="57" t="s">
        <v>484</v>
      </c>
      <c r="H984" s="55" t="s">
        <v>482</v>
      </c>
    </row>
    <row r="985" spans="1:8">
      <c r="A985" s="77">
        <v>44093</v>
      </c>
      <c r="B985" s="55" t="s">
        <v>382</v>
      </c>
      <c r="C985" s="58">
        <v>1</v>
      </c>
      <c r="D985" s="65">
        <v>27</v>
      </c>
      <c r="E985" s="65">
        <v>70</v>
      </c>
      <c r="F985" s="65">
        <f t="shared" si="34"/>
        <v>43</v>
      </c>
      <c r="G985" s="57" t="s">
        <v>484</v>
      </c>
      <c r="H985" s="55" t="s">
        <v>482</v>
      </c>
    </row>
    <row r="986" spans="1:8">
      <c r="A986" s="77">
        <v>44094</v>
      </c>
      <c r="B986" s="55" t="s">
        <v>398</v>
      </c>
      <c r="C986" s="58">
        <v>1</v>
      </c>
      <c r="D986" s="65">
        <v>2.5</v>
      </c>
      <c r="E986" s="65">
        <v>15</v>
      </c>
      <c r="F986" s="65">
        <f t="shared" si="34"/>
        <v>12.5</v>
      </c>
      <c r="G986" s="57" t="s">
        <v>484</v>
      </c>
      <c r="H986" s="55" t="s">
        <v>482</v>
      </c>
    </row>
    <row r="987" spans="1:8">
      <c r="A987" s="77">
        <v>44095</v>
      </c>
      <c r="B987" s="55" t="s">
        <v>401</v>
      </c>
      <c r="C987" s="58">
        <v>1</v>
      </c>
      <c r="D987" s="65">
        <v>16</v>
      </c>
      <c r="E987" s="65">
        <v>30</v>
      </c>
      <c r="F987" s="65">
        <f t="shared" si="34"/>
        <v>14</v>
      </c>
      <c r="G987" s="57" t="s">
        <v>484</v>
      </c>
      <c r="H987" s="55" t="s">
        <v>482</v>
      </c>
    </row>
    <row r="988" spans="1:8">
      <c r="A988" s="77">
        <v>44096</v>
      </c>
      <c r="B988" s="55" t="s">
        <v>402</v>
      </c>
      <c r="C988" s="58">
        <v>1</v>
      </c>
      <c r="D988" s="65">
        <v>25</v>
      </c>
      <c r="E988" s="65">
        <v>45</v>
      </c>
      <c r="F988" s="65">
        <f t="shared" si="34"/>
        <v>20</v>
      </c>
      <c r="G988" s="57" t="s">
        <v>484</v>
      </c>
      <c r="H988" s="55" t="s">
        <v>482</v>
      </c>
    </row>
    <row r="989" spans="1:8">
      <c r="A989" s="77">
        <v>44097</v>
      </c>
      <c r="B989" s="55" t="s">
        <v>404</v>
      </c>
      <c r="C989" s="58">
        <v>1</v>
      </c>
      <c r="D989" s="65">
        <v>16</v>
      </c>
      <c r="E989" s="65">
        <v>80</v>
      </c>
      <c r="F989" s="65">
        <f t="shared" si="34"/>
        <v>64</v>
      </c>
      <c r="G989" s="57" t="s">
        <v>484</v>
      </c>
      <c r="H989" s="55" t="s">
        <v>482</v>
      </c>
    </row>
    <row r="990" spans="1:8">
      <c r="A990" s="77">
        <v>44098</v>
      </c>
      <c r="B990" s="55" t="s">
        <v>387</v>
      </c>
      <c r="C990" s="58">
        <v>1</v>
      </c>
      <c r="D990" s="65">
        <v>197.53</v>
      </c>
      <c r="E990" s="65">
        <v>260</v>
      </c>
      <c r="F990" s="65">
        <f t="shared" si="34"/>
        <v>62.47</v>
      </c>
      <c r="G990" s="57" t="s">
        <v>484</v>
      </c>
      <c r="H990" s="55" t="s">
        <v>482</v>
      </c>
    </row>
    <row r="991" spans="1:8">
      <c r="A991" s="77">
        <v>44099</v>
      </c>
      <c r="B991" s="55" t="s">
        <v>385</v>
      </c>
      <c r="C991" s="58">
        <v>1</v>
      </c>
      <c r="D991" s="65">
        <v>70</v>
      </c>
      <c r="E991" s="65">
        <v>150</v>
      </c>
      <c r="F991" s="65">
        <f t="shared" si="34"/>
        <v>80</v>
      </c>
      <c r="G991" s="57" t="s">
        <v>484</v>
      </c>
      <c r="H991" s="55" t="s">
        <v>482</v>
      </c>
    </row>
    <row r="992" spans="1:8">
      <c r="A992" s="77">
        <v>44105</v>
      </c>
      <c r="B992" s="55" t="s">
        <v>412</v>
      </c>
      <c r="C992" s="58">
        <v>1</v>
      </c>
      <c r="D992" s="65">
        <v>27</v>
      </c>
      <c r="E992" s="65">
        <v>70</v>
      </c>
      <c r="F992" s="65">
        <f t="shared" ref="F992:F1023" si="35">E992-D992</f>
        <v>43</v>
      </c>
      <c r="G992" s="57" t="s">
        <v>484</v>
      </c>
      <c r="H992" s="55" t="s">
        <v>482</v>
      </c>
    </row>
    <row r="993" spans="1:8">
      <c r="A993" s="77">
        <v>44106</v>
      </c>
      <c r="B993" s="55" t="s">
        <v>410</v>
      </c>
      <c r="C993" s="58">
        <v>1</v>
      </c>
      <c r="D993" s="65">
        <v>6</v>
      </c>
      <c r="E993" s="65">
        <v>20</v>
      </c>
      <c r="F993" s="65">
        <f t="shared" si="35"/>
        <v>14</v>
      </c>
      <c r="G993" s="57" t="s">
        <v>484</v>
      </c>
      <c r="H993" s="55" t="s">
        <v>482</v>
      </c>
    </row>
    <row r="994" spans="1:8">
      <c r="A994" s="77">
        <v>44107</v>
      </c>
      <c r="B994" s="55" t="s">
        <v>139</v>
      </c>
      <c r="C994" s="58">
        <v>1</v>
      </c>
      <c r="D994" s="65">
        <v>25</v>
      </c>
      <c r="E994" s="65">
        <v>60</v>
      </c>
      <c r="F994" s="65">
        <f t="shared" si="35"/>
        <v>35</v>
      </c>
      <c r="G994" s="57" t="s">
        <v>484</v>
      </c>
      <c r="H994" s="55" t="s">
        <v>482</v>
      </c>
    </row>
    <row r="995" spans="1:8">
      <c r="A995" s="77">
        <v>44108</v>
      </c>
      <c r="B995" s="55" t="s">
        <v>93</v>
      </c>
      <c r="C995" s="58">
        <v>1</v>
      </c>
      <c r="D995" s="65">
        <v>16</v>
      </c>
      <c r="E995" s="65">
        <v>40</v>
      </c>
      <c r="F995" s="65">
        <f t="shared" si="35"/>
        <v>24</v>
      </c>
      <c r="G995" s="57" t="s">
        <v>484</v>
      </c>
      <c r="H995" s="55" t="s">
        <v>482</v>
      </c>
    </row>
    <row r="996" spans="1:8">
      <c r="A996" s="77">
        <v>44109</v>
      </c>
      <c r="B996" s="55" t="s">
        <v>410</v>
      </c>
      <c r="C996" s="58">
        <v>1</v>
      </c>
      <c r="D996" s="65">
        <v>6</v>
      </c>
      <c r="E996" s="65">
        <v>20</v>
      </c>
      <c r="F996" s="65">
        <f t="shared" si="35"/>
        <v>14</v>
      </c>
      <c r="G996" s="57" t="s">
        <v>484</v>
      </c>
      <c r="H996" s="55" t="s">
        <v>482</v>
      </c>
    </row>
    <row r="997" spans="1:8">
      <c r="A997" s="77">
        <v>44110</v>
      </c>
      <c r="B997" s="55" t="s">
        <v>391</v>
      </c>
      <c r="C997" s="58">
        <v>1</v>
      </c>
      <c r="D997" s="65">
        <v>14</v>
      </c>
      <c r="E997" s="65">
        <v>30</v>
      </c>
      <c r="F997" s="65">
        <f t="shared" si="35"/>
        <v>16</v>
      </c>
      <c r="G997" s="57" t="s">
        <v>484</v>
      </c>
      <c r="H997" s="55" t="s">
        <v>482</v>
      </c>
    </row>
    <row r="998" spans="1:8">
      <c r="A998" s="77">
        <v>44111</v>
      </c>
      <c r="B998" s="55" t="s">
        <v>146</v>
      </c>
      <c r="C998" s="58">
        <v>1</v>
      </c>
      <c r="D998" s="65">
        <v>27</v>
      </c>
      <c r="E998" s="65">
        <v>60</v>
      </c>
      <c r="F998" s="65">
        <f t="shared" si="35"/>
        <v>33</v>
      </c>
      <c r="G998" s="57" t="s">
        <v>484</v>
      </c>
      <c r="H998" s="55" t="s">
        <v>482</v>
      </c>
    </row>
    <row r="999" spans="1:8">
      <c r="A999" s="77">
        <v>44112</v>
      </c>
      <c r="B999" s="55" t="s">
        <v>400</v>
      </c>
      <c r="C999" s="58">
        <v>1</v>
      </c>
      <c r="D999" s="65">
        <v>14</v>
      </c>
      <c r="E999" s="65">
        <v>40</v>
      </c>
      <c r="F999" s="65">
        <f t="shared" si="35"/>
        <v>26</v>
      </c>
      <c r="G999" s="57" t="s">
        <v>484</v>
      </c>
      <c r="H999" s="55" t="s">
        <v>482</v>
      </c>
    </row>
    <row r="1000" spans="1:8">
      <c r="A1000" s="77">
        <v>44113</v>
      </c>
      <c r="B1000" s="55" t="s">
        <v>338</v>
      </c>
      <c r="C1000" s="58">
        <v>1</v>
      </c>
      <c r="D1000" s="65">
        <v>7</v>
      </c>
      <c r="E1000" s="65">
        <v>15</v>
      </c>
      <c r="F1000" s="65">
        <f t="shared" si="35"/>
        <v>8</v>
      </c>
      <c r="G1000" s="57" t="s">
        <v>484</v>
      </c>
      <c r="H1000" s="55" t="s">
        <v>482</v>
      </c>
    </row>
    <row r="1001" spans="1:8">
      <c r="A1001" s="77">
        <v>44114</v>
      </c>
      <c r="B1001" s="55" t="s">
        <v>408</v>
      </c>
      <c r="C1001" s="58">
        <v>1</v>
      </c>
      <c r="D1001" s="65">
        <v>12</v>
      </c>
      <c r="E1001" s="65">
        <v>35</v>
      </c>
      <c r="F1001" s="65">
        <f t="shared" si="35"/>
        <v>23</v>
      </c>
      <c r="G1001" s="57" t="s">
        <v>484</v>
      </c>
      <c r="H1001" s="55" t="s">
        <v>482</v>
      </c>
    </row>
    <row r="1002" spans="1:8">
      <c r="A1002" s="77">
        <v>44115</v>
      </c>
      <c r="B1002" s="55" t="s">
        <v>411</v>
      </c>
      <c r="C1002" s="58">
        <v>1</v>
      </c>
      <c r="D1002" s="65">
        <v>25</v>
      </c>
      <c r="E1002" s="65">
        <v>55</v>
      </c>
      <c r="F1002" s="65">
        <f t="shared" si="35"/>
        <v>30</v>
      </c>
      <c r="G1002" s="57" t="s">
        <v>484</v>
      </c>
      <c r="H1002" s="55" t="s">
        <v>482</v>
      </c>
    </row>
    <row r="1003" spans="1:8">
      <c r="A1003" s="77">
        <v>44116</v>
      </c>
      <c r="B1003" s="55" t="s">
        <v>166</v>
      </c>
      <c r="C1003" s="58">
        <v>1</v>
      </c>
      <c r="D1003" s="65">
        <v>2.64</v>
      </c>
      <c r="E1003" s="65">
        <v>15</v>
      </c>
      <c r="F1003" s="65">
        <f t="shared" si="35"/>
        <v>12.36</v>
      </c>
      <c r="G1003" s="57" t="s">
        <v>484</v>
      </c>
      <c r="H1003" s="55" t="s">
        <v>482</v>
      </c>
    </row>
    <row r="1004" spans="1:8">
      <c r="A1004" s="77">
        <v>44117</v>
      </c>
      <c r="B1004" s="55" t="s">
        <v>166</v>
      </c>
      <c r="C1004" s="58">
        <v>1</v>
      </c>
      <c r="D1004" s="65">
        <v>2.64</v>
      </c>
      <c r="E1004" s="65">
        <v>15</v>
      </c>
      <c r="F1004" s="65">
        <f t="shared" si="35"/>
        <v>12.36</v>
      </c>
      <c r="G1004" s="57" t="s">
        <v>484</v>
      </c>
      <c r="H1004" s="55" t="s">
        <v>482</v>
      </c>
    </row>
    <row r="1005" spans="1:8">
      <c r="A1005" s="77">
        <v>44118</v>
      </c>
      <c r="B1005" s="55" t="s">
        <v>62</v>
      </c>
      <c r="C1005" s="58">
        <v>1</v>
      </c>
      <c r="D1005" s="65">
        <v>12</v>
      </c>
      <c r="E1005" s="65">
        <v>30</v>
      </c>
      <c r="F1005" s="65">
        <f t="shared" si="35"/>
        <v>18</v>
      </c>
      <c r="G1005" s="57" t="s">
        <v>484</v>
      </c>
      <c r="H1005" s="55" t="s">
        <v>482</v>
      </c>
    </row>
    <row r="1006" spans="1:8">
      <c r="A1006" s="77">
        <v>44118</v>
      </c>
      <c r="B1006" s="55" t="s">
        <v>343</v>
      </c>
      <c r="C1006" s="58">
        <v>1</v>
      </c>
      <c r="D1006" s="65">
        <v>30</v>
      </c>
      <c r="E1006" s="65">
        <v>50</v>
      </c>
      <c r="F1006" s="65">
        <f t="shared" si="35"/>
        <v>20</v>
      </c>
      <c r="G1006" s="57" t="s">
        <v>484</v>
      </c>
      <c r="H1006" s="55" t="s">
        <v>482</v>
      </c>
    </row>
    <row r="1007" spans="1:8">
      <c r="A1007" s="77">
        <v>44118</v>
      </c>
      <c r="B1007" s="55" t="s">
        <v>336</v>
      </c>
      <c r="C1007" s="58">
        <v>1</v>
      </c>
      <c r="D1007" s="65">
        <v>30</v>
      </c>
      <c r="E1007" s="65">
        <v>60</v>
      </c>
      <c r="F1007" s="65">
        <f t="shared" si="35"/>
        <v>30</v>
      </c>
      <c r="G1007" s="57" t="s">
        <v>484</v>
      </c>
      <c r="H1007" s="55" t="s">
        <v>482</v>
      </c>
    </row>
    <row r="1008" spans="1:8">
      <c r="A1008" s="77">
        <v>44118</v>
      </c>
      <c r="B1008" s="55" t="s">
        <v>365</v>
      </c>
      <c r="C1008" s="58">
        <v>1</v>
      </c>
      <c r="D1008" s="65">
        <v>15</v>
      </c>
      <c r="E1008" s="65">
        <v>30</v>
      </c>
      <c r="F1008" s="65">
        <f t="shared" si="35"/>
        <v>15</v>
      </c>
      <c r="G1008" s="57" t="s">
        <v>484</v>
      </c>
      <c r="H1008" s="55" t="s">
        <v>482</v>
      </c>
    </row>
    <row r="1009" spans="1:8">
      <c r="A1009" s="77">
        <v>44118</v>
      </c>
      <c r="B1009" s="55" t="s">
        <v>409</v>
      </c>
      <c r="C1009" s="58">
        <v>1</v>
      </c>
      <c r="D1009" s="65">
        <v>28.15</v>
      </c>
      <c r="E1009" s="65">
        <v>100</v>
      </c>
      <c r="F1009" s="65">
        <f t="shared" si="35"/>
        <v>71.849999999999994</v>
      </c>
      <c r="G1009" s="57" t="s">
        <v>484</v>
      </c>
      <c r="H1009" s="55" t="s">
        <v>482</v>
      </c>
    </row>
    <row r="1010" spans="1:8">
      <c r="A1010" s="77">
        <v>44118</v>
      </c>
      <c r="B1010" s="55" t="s">
        <v>93</v>
      </c>
      <c r="C1010" s="58">
        <v>1</v>
      </c>
      <c r="D1010" s="65">
        <v>16</v>
      </c>
      <c r="E1010" s="65">
        <v>40</v>
      </c>
      <c r="F1010" s="65">
        <f t="shared" si="35"/>
        <v>24</v>
      </c>
      <c r="G1010" s="57" t="s">
        <v>484</v>
      </c>
      <c r="H1010" s="55" t="s">
        <v>482</v>
      </c>
    </row>
    <row r="1011" spans="1:8">
      <c r="A1011" s="77">
        <v>44118</v>
      </c>
      <c r="B1011" s="55" t="s">
        <v>405</v>
      </c>
      <c r="C1011" s="58">
        <v>1</v>
      </c>
      <c r="D1011" s="65">
        <v>10</v>
      </c>
      <c r="E1011" s="65">
        <v>30</v>
      </c>
      <c r="F1011" s="65">
        <f t="shared" si="35"/>
        <v>20</v>
      </c>
      <c r="G1011" s="57" t="s">
        <v>484</v>
      </c>
      <c r="H1011" s="55" t="s">
        <v>482</v>
      </c>
    </row>
    <row r="1012" spans="1:8">
      <c r="A1012" s="77">
        <v>44118</v>
      </c>
      <c r="B1012" s="55" t="s">
        <v>410</v>
      </c>
      <c r="C1012" s="58">
        <v>1</v>
      </c>
      <c r="D1012" s="65">
        <v>6</v>
      </c>
      <c r="E1012" s="65">
        <v>25</v>
      </c>
      <c r="F1012" s="65">
        <f t="shared" si="35"/>
        <v>19</v>
      </c>
      <c r="G1012" s="57" t="s">
        <v>484</v>
      </c>
      <c r="H1012" s="55" t="s">
        <v>482</v>
      </c>
    </row>
    <row r="1013" spans="1:8">
      <c r="A1013" s="77">
        <v>44118</v>
      </c>
      <c r="B1013" s="55" t="s">
        <v>410</v>
      </c>
      <c r="C1013" s="58">
        <v>1</v>
      </c>
      <c r="D1013" s="65">
        <v>6</v>
      </c>
      <c r="E1013" s="65">
        <v>25</v>
      </c>
      <c r="F1013" s="65">
        <f t="shared" si="35"/>
        <v>19</v>
      </c>
      <c r="G1013" s="57" t="s">
        <v>484</v>
      </c>
      <c r="H1013" s="55" t="s">
        <v>482</v>
      </c>
    </row>
    <row r="1014" spans="1:8">
      <c r="A1014" s="77">
        <v>44118</v>
      </c>
      <c r="B1014" s="55" t="s">
        <v>410</v>
      </c>
      <c r="C1014" s="58">
        <v>1</v>
      </c>
      <c r="D1014" s="65">
        <v>6</v>
      </c>
      <c r="E1014" s="65">
        <v>25</v>
      </c>
      <c r="F1014" s="65">
        <f t="shared" si="35"/>
        <v>19</v>
      </c>
      <c r="G1014" s="57" t="s">
        <v>484</v>
      </c>
      <c r="H1014" s="55" t="s">
        <v>482</v>
      </c>
    </row>
    <row r="1015" spans="1:8">
      <c r="A1015" s="77">
        <v>44118</v>
      </c>
      <c r="B1015" s="55" t="s">
        <v>410</v>
      </c>
      <c r="C1015" s="58">
        <v>1</v>
      </c>
      <c r="D1015" s="65">
        <v>6</v>
      </c>
      <c r="E1015" s="65">
        <v>25</v>
      </c>
      <c r="F1015" s="65">
        <f t="shared" si="35"/>
        <v>19</v>
      </c>
      <c r="G1015" s="57" t="s">
        <v>484</v>
      </c>
      <c r="H1015" s="55" t="s">
        <v>482</v>
      </c>
    </row>
    <row r="1016" spans="1:8">
      <c r="A1016" s="77">
        <v>44118</v>
      </c>
      <c r="B1016" s="55" t="s">
        <v>379</v>
      </c>
      <c r="C1016" s="58">
        <v>1</v>
      </c>
      <c r="D1016" s="65">
        <v>15</v>
      </c>
      <c r="E1016" s="65">
        <v>35</v>
      </c>
      <c r="F1016" s="65">
        <f t="shared" si="35"/>
        <v>20</v>
      </c>
      <c r="G1016" s="57" t="s">
        <v>484</v>
      </c>
      <c r="H1016" s="55" t="s">
        <v>482</v>
      </c>
    </row>
    <row r="1017" spans="1:8">
      <c r="A1017" s="77">
        <v>44118</v>
      </c>
      <c r="B1017" s="55" t="s">
        <v>379</v>
      </c>
      <c r="C1017" s="58">
        <v>1</v>
      </c>
      <c r="D1017" s="65">
        <v>15</v>
      </c>
      <c r="E1017" s="65">
        <v>35</v>
      </c>
      <c r="F1017" s="65">
        <f t="shared" si="35"/>
        <v>20</v>
      </c>
      <c r="G1017" s="57" t="s">
        <v>484</v>
      </c>
      <c r="H1017" s="55" t="s">
        <v>482</v>
      </c>
    </row>
    <row r="1018" spans="1:8">
      <c r="A1018" s="77">
        <v>44118</v>
      </c>
      <c r="B1018" s="55" t="s">
        <v>386</v>
      </c>
      <c r="C1018" s="58">
        <v>1</v>
      </c>
      <c r="D1018" s="65">
        <v>29.99</v>
      </c>
      <c r="E1018" s="65">
        <v>110</v>
      </c>
      <c r="F1018" s="65">
        <f t="shared" si="35"/>
        <v>80.010000000000005</v>
      </c>
      <c r="G1018" s="57" t="s">
        <v>484</v>
      </c>
      <c r="H1018" s="55" t="s">
        <v>482</v>
      </c>
    </row>
    <row r="1019" spans="1:8">
      <c r="A1019" s="77">
        <v>44118</v>
      </c>
      <c r="B1019" s="55" t="s">
        <v>280</v>
      </c>
      <c r="C1019" s="58">
        <v>1</v>
      </c>
      <c r="D1019" s="65">
        <v>18.989999999999998</v>
      </c>
      <c r="E1019" s="65">
        <v>90</v>
      </c>
      <c r="F1019" s="65">
        <f t="shared" si="35"/>
        <v>71.010000000000005</v>
      </c>
      <c r="G1019" s="57" t="s">
        <v>484</v>
      </c>
      <c r="H1019" s="55" t="s">
        <v>482</v>
      </c>
    </row>
    <row r="1020" spans="1:8">
      <c r="A1020" s="77">
        <v>44118</v>
      </c>
      <c r="B1020" s="55" t="s">
        <v>387</v>
      </c>
      <c r="C1020" s="58">
        <v>1</v>
      </c>
      <c r="D1020" s="65">
        <v>197.53</v>
      </c>
      <c r="E1020" s="65">
        <v>270</v>
      </c>
      <c r="F1020" s="65">
        <f t="shared" si="35"/>
        <v>72.47</v>
      </c>
      <c r="G1020" s="57" t="s">
        <v>484</v>
      </c>
      <c r="H1020" s="55" t="s">
        <v>482</v>
      </c>
    </row>
    <row r="1021" spans="1:8">
      <c r="A1021" s="77">
        <v>44118</v>
      </c>
      <c r="B1021" s="55" t="s">
        <v>406</v>
      </c>
      <c r="C1021" s="58">
        <v>1</v>
      </c>
      <c r="D1021" s="65">
        <v>60</v>
      </c>
      <c r="E1021" s="65">
        <v>150</v>
      </c>
      <c r="F1021" s="65">
        <f t="shared" si="35"/>
        <v>90</v>
      </c>
      <c r="G1021" s="57" t="s">
        <v>484</v>
      </c>
      <c r="H1021" s="55" t="s">
        <v>482</v>
      </c>
    </row>
    <row r="1022" spans="1:8">
      <c r="A1022" s="77">
        <v>44118</v>
      </c>
      <c r="B1022" s="55" t="s">
        <v>406</v>
      </c>
      <c r="C1022" s="58">
        <v>1</v>
      </c>
      <c r="D1022" s="65">
        <v>60</v>
      </c>
      <c r="E1022" s="65">
        <v>150</v>
      </c>
      <c r="F1022" s="65">
        <f t="shared" si="35"/>
        <v>90</v>
      </c>
      <c r="G1022" s="57" t="s">
        <v>484</v>
      </c>
      <c r="H1022" s="55" t="s">
        <v>482</v>
      </c>
    </row>
    <row r="1023" spans="1:8">
      <c r="A1023" s="77">
        <v>44119</v>
      </c>
      <c r="B1023" s="55" t="s">
        <v>341</v>
      </c>
      <c r="C1023" s="58">
        <v>1</v>
      </c>
      <c r="D1023" s="65">
        <v>10</v>
      </c>
      <c r="E1023" s="65">
        <v>20</v>
      </c>
      <c r="F1023" s="65">
        <f t="shared" si="35"/>
        <v>10</v>
      </c>
      <c r="G1023" s="57" t="s">
        <v>484</v>
      </c>
      <c r="H1023" s="55" t="s">
        <v>482</v>
      </c>
    </row>
    <row r="1024" spans="1:8">
      <c r="A1024" s="77">
        <v>44120</v>
      </c>
      <c r="B1024" s="55" t="s">
        <v>413</v>
      </c>
      <c r="C1024" s="58">
        <v>1</v>
      </c>
      <c r="D1024" s="65">
        <v>215</v>
      </c>
      <c r="E1024" s="65">
        <v>280</v>
      </c>
      <c r="F1024" s="65">
        <f t="shared" ref="F1024:F1058" si="36">E1024-D1024</f>
        <v>65</v>
      </c>
      <c r="G1024" s="57" t="s">
        <v>484</v>
      </c>
      <c r="H1024" s="55" t="s">
        <v>482</v>
      </c>
    </row>
    <row r="1025" spans="1:8">
      <c r="A1025" s="77">
        <v>44121</v>
      </c>
      <c r="B1025" s="55" t="s">
        <v>173</v>
      </c>
      <c r="C1025" s="58">
        <v>1</v>
      </c>
      <c r="D1025" s="65">
        <v>0</v>
      </c>
      <c r="E1025" s="65">
        <v>70</v>
      </c>
      <c r="F1025" s="65">
        <f t="shared" si="36"/>
        <v>70</v>
      </c>
      <c r="G1025" s="57" t="s">
        <v>484</v>
      </c>
      <c r="H1025" s="55" t="s">
        <v>482</v>
      </c>
    </row>
    <row r="1026" spans="1:8">
      <c r="A1026" s="77">
        <v>44122</v>
      </c>
      <c r="B1026" s="55" t="s">
        <v>327</v>
      </c>
      <c r="C1026" s="58">
        <v>1</v>
      </c>
      <c r="D1026" s="65">
        <v>26.5</v>
      </c>
      <c r="E1026" s="65">
        <v>130</v>
      </c>
      <c r="F1026" s="65">
        <f t="shared" si="36"/>
        <v>103.5</v>
      </c>
      <c r="G1026" s="57" t="s">
        <v>484</v>
      </c>
      <c r="H1026" s="55" t="s">
        <v>482</v>
      </c>
    </row>
    <row r="1027" spans="1:8">
      <c r="A1027" s="77">
        <v>44123</v>
      </c>
      <c r="B1027" s="55" t="s">
        <v>379</v>
      </c>
      <c r="C1027" s="58">
        <v>1</v>
      </c>
      <c r="D1027" s="65">
        <v>15</v>
      </c>
      <c r="E1027" s="65">
        <v>35</v>
      </c>
      <c r="F1027" s="65">
        <f t="shared" si="36"/>
        <v>20</v>
      </c>
      <c r="G1027" s="57" t="s">
        <v>484</v>
      </c>
      <c r="H1027" s="55" t="s">
        <v>482</v>
      </c>
    </row>
    <row r="1028" spans="1:8">
      <c r="A1028" s="77">
        <v>44124</v>
      </c>
      <c r="B1028" s="55" t="s">
        <v>414</v>
      </c>
      <c r="C1028" s="58">
        <v>1</v>
      </c>
      <c r="D1028" s="65">
        <v>94</v>
      </c>
      <c r="E1028" s="65">
        <v>200</v>
      </c>
      <c r="F1028" s="65">
        <f t="shared" si="36"/>
        <v>106</v>
      </c>
      <c r="G1028" s="57" t="s">
        <v>484</v>
      </c>
      <c r="H1028" s="55" t="s">
        <v>482</v>
      </c>
    </row>
    <row r="1029" spans="1:8">
      <c r="A1029" s="77">
        <v>44125</v>
      </c>
      <c r="B1029" s="55" t="s">
        <v>410</v>
      </c>
      <c r="C1029" s="58">
        <v>1</v>
      </c>
      <c r="D1029" s="65">
        <v>6</v>
      </c>
      <c r="E1029" s="65">
        <v>20</v>
      </c>
      <c r="F1029" s="65">
        <f t="shared" si="36"/>
        <v>14</v>
      </c>
      <c r="G1029" s="57" t="s">
        <v>484</v>
      </c>
      <c r="H1029" s="55" t="s">
        <v>482</v>
      </c>
    </row>
    <row r="1030" spans="1:8">
      <c r="A1030" s="77">
        <v>44125</v>
      </c>
      <c r="B1030" s="55" t="s">
        <v>415</v>
      </c>
      <c r="C1030" s="58">
        <v>1</v>
      </c>
      <c r="D1030" s="65">
        <v>6</v>
      </c>
      <c r="E1030" s="65">
        <v>15</v>
      </c>
      <c r="F1030" s="65">
        <f t="shared" si="36"/>
        <v>9</v>
      </c>
      <c r="G1030" s="57" t="s">
        <v>484</v>
      </c>
      <c r="H1030" s="55" t="s">
        <v>482</v>
      </c>
    </row>
    <row r="1031" spans="1:8">
      <c r="A1031" s="77">
        <v>44125</v>
      </c>
      <c r="B1031" s="55" t="s">
        <v>365</v>
      </c>
      <c r="C1031" s="58">
        <v>1</v>
      </c>
      <c r="D1031" s="65">
        <v>15</v>
      </c>
      <c r="E1031" s="65">
        <v>30</v>
      </c>
      <c r="F1031" s="65">
        <f t="shared" si="36"/>
        <v>15</v>
      </c>
      <c r="G1031" s="57" t="s">
        <v>484</v>
      </c>
      <c r="H1031" s="55" t="s">
        <v>482</v>
      </c>
    </row>
    <row r="1032" spans="1:8">
      <c r="A1032" s="77">
        <v>44125</v>
      </c>
      <c r="B1032" s="59" t="s">
        <v>65</v>
      </c>
      <c r="C1032" s="58">
        <v>1</v>
      </c>
      <c r="D1032" s="52">
        <v>10.99</v>
      </c>
      <c r="E1032" s="63">
        <v>20</v>
      </c>
      <c r="F1032" s="65">
        <f t="shared" si="36"/>
        <v>9.01</v>
      </c>
      <c r="G1032" s="57" t="s">
        <v>484</v>
      </c>
      <c r="H1032" s="55" t="s">
        <v>482</v>
      </c>
    </row>
    <row r="1033" spans="1:8">
      <c r="A1033" s="77">
        <v>44125</v>
      </c>
      <c r="B1033" s="55" t="s">
        <v>410</v>
      </c>
      <c r="C1033" s="58">
        <v>1</v>
      </c>
      <c r="D1033" s="65">
        <v>6</v>
      </c>
      <c r="E1033" s="65">
        <v>20</v>
      </c>
      <c r="F1033" s="65">
        <f t="shared" si="36"/>
        <v>14</v>
      </c>
      <c r="G1033" s="57" t="s">
        <v>484</v>
      </c>
      <c r="H1033" s="55" t="s">
        <v>482</v>
      </c>
    </row>
    <row r="1034" spans="1:8">
      <c r="A1034" s="77">
        <v>44125</v>
      </c>
      <c r="B1034" s="55" t="s">
        <v>416</v>
      </c>
      <c r="C1034" s="58">
        <v>1</v>
      </c>
      <c r="D1034" s="65">
        <v>2.5</v>
      </c>
      <c r="E1034" s="65">
        <v>5</v>
      </c>
      <c r="F1034" s="65">
        <f t="shared" si="36"/>
        <v>2.5</v>
      </c>
      <c r="G1034" s="57" t="s">
        <v>484</v>
      </c>
      <c r="H1034" s="55" t="s">
        <v>482</v>
      </c>
    </row>
    <row r="1035" spans="1:8">
      <c r="A1035" s="77">
        <v>44125</v>
      </c>
      <c r="B1035" s="55" t="s">
        <v>410</v>
      </c>
      <c r="C1035" s="58">
        <v>1</v>
      </c>
      <c r="D1035" s="65">
        <v>6</v>
      </c>
      <c r="E1035" s="65">
        <v>22</v>
      </c>
      <c r="F1035" s="65">
        <f t="shared" si="36"/>
        <v>16</v>
      </c>
      <c r="G1035" s="57" t="s">
        <v>484</v>
      </c>
      <c r="H1035" s="55" t="s">
        <v>482</v>
      </c>
    </row>
    <row r="1036" spans="1:8">
      <c r="A1036" s="77">
        <v>44125</v>
      </c>
      <c r="B1036" s="55" t="s">
        <v>418</v>
      </c>
      <c r="C1036" s="58">
        <v>1</v>
      </c>
      <c r="D1036" s="65">
        <v>16.5</v>
      </c>
      <c r="E1036" s="65">
        <v>40</v>
      </c>
      <c r="F1036" s="65">
        <f t="shared" si="36"/>
        <v>23.5</v>
      </c>
      <c r="G1036" s="57" t="s">
        <v>484</v>
      </c>
      <c r="H1036" s="55" t="s">
        <v>482</v>
      </c>
    </row>
    <row r="1037" spans="1:8">
      <c r="A1037" s="77">
        <v>44125</v>
      </c>
      <c r="B1037" s="55" t="s">
        <v>304</v>
      </c>
      <c r="C1037" s="58">
        <v>1</v>
      </c>
      <c r="D1037" s="65">
        <v>3</v>
      </c>
      <c r="E1037" s="65">
        <v>15</v>
      </c>
      <c r="F1037" s="65">
        <f t="shared" si="36"/>
        <v>12</v>
      </c>
      <c r="G1037" s="57" t="s">
        <v>484</v>
      </c>
      <c r="H1037" s="55" t="s">
        <v>482</v>
      </c>
    </row>
    <row r="1038" spans="1:8">
      <c r="A1038" s="77">
        <v>44125</v>
      </c>
      <c r="B1038" s="55" t="s">
        <v>388</v>
      </c>
      <c r="C1038" s="58">
        <v>1</v>
      </c>
      <c r="D1038" s="65">
        <v>75</v>
      </c>
      <c r="E1038" s="65">
        <v>100</v>
      </c>
      <c r="F1038" s="65">
        <f t="shared" si="36"/>
        <v>25</v>
      </c>
      <c r="G1038" s="57" t="s">
        <v>484</v>
      </c>
      <c r="H1038" s="55" t="s">
        <v>482</v>
      </c>
    </row>
    <row r="1039" spans="1:8">
      <c r="A1039" s="77">
        <v>44125</v>
      </c>
      <c r="B1039" s="55" t="s">
        <v>410</v>
      </c>
      <c r="C1039" s="58">
        <v>1</v>
      </c>
      <c r="D1039" s="65">
        <v>6</v>
      </c>
      <c r="E1039" s="65">
        <v>20</v>
      </c>
      <c r="F1039" s="65">
        <f t="shared" si="36"/>
        <v>14</v>
      </c>
      <c r="G1039" s="57" t="s">
        <v>484</v>
      </c>
      <c r="H1039" s="55" t="s">
        <v>482</v>
      </c>
    </row>
    <row r="1040" spans="1:8">
      <c r="A1040" s="77">
        <v>44125</v>
      </c>
      <c r="B1040" s="55" t="s">
        <v>417</v>
      </c>
      <c r="C1040" s="58">
        <v>1</v>
      </c>
      <c r="D1040" s="65">
        <v>42</v>
      </c>
      <c r="E1040" s="65">
        <v>80</v>
      </c>
      <c r="F1040" s="65">
        <f t="shared" si="36"/>
        <v>38</v>
      </c>
      <c r="G1040" s="57" t="s">
        <v>484</v>
      </c>
      <c r="H1040" s="55" t="s">
        <v>482</v>
      </c>
    </row>
    <row r="1041" spans="1:8">
      <c r="A1041" s="77">
        <v>44125</v>
      </c>
      <c r="B1041" s="55" t="s">
        <v>246</v>
      </c>
      <c r="C1041" s="58">
        <v>1</v>
      </c>
      <c r="D1041" s="65">
        <v>10</v>
      </c>
      <c r="E1041" s="65">
        <v>40</v>
      </c>
      <c r="F1041" s="65">
        <f t="shared" si="36"/>
        <v>30</v>
      </c>
      <c r="G1041" s="57" t="s">
        <v>484</v>
      </c>
      <c r="H1041" s="55" t="s">
        <v>482</v>
      </c>
    </row>
    <row r="1042" spans="1:8">
      <c r="A1042" s="77">
        <v>44125</v>
      </c>
      <c r="B1042" s="55" t="s">
        <v>410</v>
      </c>
      <c r="C1042" s="58">
        <v>1</v>
      </c>
      <c r="D1042" s="65">
        <v>6</v>
      </c>
      <c r="E1042" s="65">
        <v>25</v>
      </c>
      <c r="F1042" s="65">
        <f t="shared" si="36"/>
        <v>19</v>
      </c>
      <c r="G1042" s="57" t="s">
        <v>484</v>
      </c>
      <c r="H1042" s="55" t="s">
        <v>482</v>
      </c>
    </row>
    <row r="1043" spans="1:8">
      <c r="A1043" s="77">
        <v>44125</v>
      </c>
      <c r="B1043" s="55" t="s">
        <v>407</v>
      </c>
      <c r="C1043" s="58">
        <v>1</v>
      </c>
      <c r="D1043" s="65">
        <v>125.1</v>
      </c>
      <c r="E1043" s="65">
        <v>300</v>
      </c>
      <c r="F1043" s="65">
        <f t="shared" si="36"/>
        <v>174.9</v>
      </c>
      <c r="G1043" s="57" t="s">
        <v>484</v>
      </c>
      <c r="H1043" s="55" t="s">
        <v>482</v>
      </c>
    </row>
    <row r="1044" spans="1:8">
      <c r="A1044" s="77">
        <v>44126</v>
      </c>
      <c r="B1044" s="55" t="s">
        <v>410</v>
      </c>
      <c r="C1044" s="58">
        <v>1</v>
      </c>
      <c r="D1044" s="65">
        <v>6</v>
      </c>
      <c r="E1044" s="65">
        <v>20</v>
      </c>
      <c r="F1044" s="65">
        <f t="shared" si="36"/>
        <v>14</v>
      </c>
      <c r="G1044" s="57" t="s">
        <v>484</v>
      </c>
      <c r="H1044" s="55" t="s">
        <v>482</v>
      </c>
    </row>
    <row r="1045" spans="1:8">
      <c r="A1045" s="77">
        <v>44127</v>
      </c>
      <c r="B1045" s="55" t="s">
        <v>419</v>
      </c>
      <c r="C1045" s="58">
        <v>1</v>
      </c>
      <c r="D1045" s="65">
        <v>7.5</v>
      </c>
      <c r="E1045" s="65">
        <v>15</v>
      </c>
      <c r="F1045" s="65">
        <f t="shared" si="36"/>
        <v>7.5</v>
      </c>
      <c r="G1045" s="57" t="s">
        <v>484</v>
      </c>
      <c r="H1045" s="55" t="s">
        <v>482</v>
      </c>
    </row>
    <row r="1046" spans="1:8">
      <c r="A1046" s="77">
        <v>44128</v>
      </c>
      <c r="B1046" s="55" t="s">
        <v>379</v>
      </c>
      <c r="C1046" s="58">
        <v>1</v>
      </c>
      <c r="D1046" s="65">
        <v>15</v>
      </c>
      <c r="E1046" s="65">
        <v>35</v>
      </c>
      <c r="F1046" s="65">
        <f t="shared" si="36"/>
        <v>20</v>
      </c>
      <c r="G1046" s="57" t="s">
        <v>484</v>
      </c>
      <c r="H1046" s="55" t="s">
        <v>482</v>
      </c>
    </row>
    <row r="1047" spans="1:8">
      <c r="A1047" s="77">
        <v>44129</v>
      </c>
      <c r="B1047" s="55" t="s">
        <v>168</v>
      </c>
      <c r="C1047" s="58">
        <v>1</v>
      </c>
      <c r="D1047" s="65">
        <v>22</v>
      </c>
      <c r="E1047" s="65">
        <v>60</v>
      </c>
      <c r="F1047" s="65">
        <f t="shared" si="36"/>
        <v>38</v>
      </c>
      <c r="G1047" s="57" t="s">
        <v>484</v>
      </c>
      <c r="H1047" s="55" t="s">
        <v>482</v>
      </c>
    </row>
    <row r="1048" spans="1:8">
      <c r="A1048" s="77">
        <v>44130</v>
      </c>
      <c r="B1048" s="55" t="s">
        <v>410</v>
      </c>
      <c r="C1048" s="58">
        <v>1</v>
      </c>
      <c r="D1048" s="65">
        <v>6</v>
      </c>
      <c r="E1048" s="65">
        <v>22</v>
      </c>
      <c r="F1048" s="65">
        <f t="shared" si="36"/>
        <v>16</v>
      </c>
      <c r="G1048" s="57" t="s">
        <v>484</v>
      </c>
      <c r="H1048" s="55" t="s">
        <v>482</v>
      </c>
    </row>
    <row r="1049" spans="1:8">
      <c r="A1049" s="77">
        <v>44131</v>
      </c>
      <c r="B1049" s="55" t="s">
        <v>410</v>
      </c>
      <c r="C1049" s="58">
        <v>1</v>
      </c>
      <c r="D1049" s="65">
        <v>6</v>
      </c>
      <c r="E1049" s="65">
        <v>22</v>
      </c>
      <c r="F1049" s="65">
        <f t="shared" si="36"/>
        <v>16</v>
      </c>
      <c r="G1049" s="57" t="s">
        <v>484</v>
      </c>
      <c r="H1049" s="55" t="s">
        <v>482</v>
      </c>
    </row>
    <row r="1050" spans="1:8">
      <c r="A1050" s="77">
        <v>44125</v>
      </c>
      <c r="B1050" s="55" t="s">
        <v>410</v>
      </c>
      <c r="C1050" s="58">
        <v>1</v>
      </c>
      <c r="D1050" s="65">
        <v>5</v>
      </c>
      <c r="E1050" s="65">
        <v>22</v>
      </c>
      <c r="F1050" s="65">
        <f t="shared" si="36"/>
        <v>17</v>
      </c>
      <c r="G1050" s="57" t="s">
        <v>484</v>
      </c>
      <c r="H1050" s="55" t="s">
        <v>482</v>
      </c>
    </row>
    <row r="1051" spans="1:8">
      <c r="A1051" s="77">
        <v>44125</v>
      </c>
      <c r="B1051" s="55" t="s">
        <v>410</v>
      </c>
      <c r="C1051" s="58">
        <v>1</v>
      </c>
      <c r="D1051" s="65">
        <v>6</v>
      </c>
      <c r="E1051" s="65">
        <v>22</v>
      </c>
      <c r="F1051" s="65">
        <f t="shared" si="36"/>
        <v>16</v>
      </c>
      <c r="G1051" s="57" t="s">
        <v>484</v>
      </c>
      <c r="H1051" s="55" t="s">
        <v>482</v>
      </c>
    </row>
    <row r="1052" spans="1:8">
      <c r="A1052" s="77">
        <v>44125</v>
      </c>
      <c r="B1052" s="55" t="s">
        <v>327</v>
      </c>
      <c r="C1052" s="58">
        <v>1</v>
      </c>
      <c r="D1052" s="65">
        <v>26.5</v>
      </c>
      <c r="E1052" s="65">
        <v>100</v>
      </c>
      <c r="F1052" s="65">
        <f t="shared" si="36"/>
        <v>73.5</v>
      </c>
      <c r="G1052" s="57" t="s">
        <v>484</v>
      </c>
      <c r="H1052" s="55" t="s">
        <v>482</v>
      </c>
    </row>
    <row r="1053" spans="1:8">
      <c r="A1053" s="77">
        <v>44125</v>
      </c>
      <c r="B1053" s="55" t="s">
        <v>421</v>
      </c>
      <c r="C1053" s="58">
        <v>1</v>
      </c>
      <c r="D1053" s="65">
        <v>55</v>
      </c>
      <c r="E1053" s="65">
        <v>70</v>
      </c>
      <c r="F1053" s="65">
        <f t="shared" si="36"/>
        <v>15</v>
      </c>
      <c r="G1053" s="57" t="s">
        <v>484</v>
      </c>
      <c r="H1053" s="55" t="s">
        <v>482</v>
      </c>
    </row>
    <row r="1054" spans="1:8">
      <c r="A1054" s="77">
        <v>44125</v>
      </c>
      <c r="B1054" s="55" t="s">
        <v>362</v>
      </c>
      <c r="C1054" s="58">
        <v>1</v>
      </c>
      <c r="D1054" s="65">
        <v>50</v>
      </c>
      <c r="E1054" s="65">
        <v>70</v>
      </c>
      <c r="F1054" s="65">
        <f t="shared" si="36"/>
        <v>20</v>
      </c>
      <c r="G1054" s="57" t="s">
        <v>484</v>
      </c>
      <c r="H1054" s="55" t="s">
        <v>482</v>
      </c>
    </row>
    <row r="1055" spans="1:8">
      <c r="A1055" s="77">
        <v>44126</v>
      </c>
      <c r="B1055" s="55" t="s">
        <v>327</v>
      </c>
      <c r="C1055" s="58">
        <v>1</v>
      </c>
      <c r="D1055" s="65">
        <v>21.19</v>
      </c>
      <c r="E1055" s="65">
        <v>110</v>
      </c>
      <c r="F1055" s="65">
        <f t="shared" si="36"/>
        <v>88.81</v>
      </c>
      <c r="G1055" s="57" t="s">
        <v>484</v>
      </c>
      <c r="H1055" s="55" t="s">
        <v>482</v>
      </c>
    </row>
    <row r="1056" spans="1:8">
      <c r="A1056" s="77">
        <v>44127</v>
      </c>
      <c r="B1056" s="55" t="s">
        <v>379</v>
      </c>
      <c r="C1056" s="58">
        <v>1</v>
      </c>
      <c r="D1056" s="65">
        <v>15</v>
      </c>
      <c r="E1056" s="65">
        <v>35</v>
      </c>
      <c r="F1056" s="65">
        <f t="shared" si="36"/>
        <v>20</v>
      </c>
      <c r="G1056" s="57" t="s">
        <v>484</v>
      </c>
      <c r="H1056" s="55" t="s">
        <v>482</v>
      </c>
    </row>
    <row r="1057" spans="1:8">
      <c r="A1057" s="77">
        <v>44128</v>
      </c>
      <c r="B1057" s="55" t="s">
        <v>410</v>
      </c>
      <c r="C1057" s="58">
        <v>1</v>
      </c>
      <c r="D1057" s="65">
        <v>6</v>
      </c>
      <c r="E1057" s="65">
        <v>20</v>
      </c>
      <c r="F1057" s="65">
        <f t="shared" si="36"/>
        <v>14</v>
      </c>
      <c r="G1057" s="57" t="s">
        <v>484</v>
      </c>
      <c r="H1057" s="55" t="s">
        <v>482</v>
      </c>
    </row>
    <row r="1058" spans="1:8">
      <c r="A1058" s="77">
        <v>44129</v>
      </c>
      <c r="B1058" s="55" t="s">
        <v>410</v>
      </c>
      <c r="C1058" s="58">
        <v>1</v>
      </c>
      <c r="D1058" s="65">
        <v>6</v>
      </c>
      <c r="E1058" s="65">
        <v>20</v>
      </c>
      <c r="F1058" s="65">
        <f t="shared" si="36"/>
        <v>14</v>
      </c>
      <c r="G1058" s="57" t="s">
        <v>484</v>
      </c>
      <c r="H1058" s="55" t="s">
        <v>482</v>
      </c>
    </row>
    <row r="1059" spans="1:8">
      <c r="A1059" s="77">
        <v>44130</v>
      </c>
      <c r="B1059" s="55" t="s">
        <v>101</v>
      </c>
      <c r="C1059" s="58">
        <v>1</v>
      </c>
      <c r="D1059" s="65">
        <v>2.5</v>
      </c>
      <c r="E1059" s="65">
        <v>10</v>
      </c>
      <c r="F1059" s="65">
        <f t="shared" ref="F1059:F1090" si="37">E1059-D1059</f>
        <v>7.5</v>
      </c>
      <c r="G1059" s="57" t="s">
        <v>484</v>
      </c>
      <c r="H1059" s="55" t="s">
        <v>482</v>
      </c>
    </row>
    <row r="1060" spans="1:8">
      <c r="A1060" s="77">
        <v>44131</v>
      </c>
      <c r="B1060" s="56" t="s">
        <v>450</v>
      </c>
      <c r="C1060" s="58">
        <v>1</v>
      </c>
      <c r="D1060" s="50">
        <v>13.5</v>
      </c>
      <c r="E1060" s="63">
        <v>36</v>
      </c>
      <c r="F1060" s="65">
        <f t="shared" si="37"/>
        <v>22.5</v>
      </c>
      <c r="G1060" s="57" t="s">
        <v>484</v>
      </c>
      <c r="H1060" s="55" t="s">
        <v>482</v>
      </c>
    </row>
    <row r="1061" spans="1:8">
      <c r="A1061" s="77">
        <v>44132</v>
      </c>
      <c r="B1061" s="56" t="s">
        <v>435</v>
      </c>
      <c r="C1061" s="58">
        <v>1</v>
      </c>
      <c r="D1061" s="50">
        <v>9</v>
      </c>
      <c r="E1061" s="63">
        <v>20</v>
      </c>
      <c r="F1061" s="65">
        <f t="shared" si="37"/>
        <v>11</v>
      </c>
      <c r="G1061" s="57" t="s">
        <v>484</v>
      </c>
      <c r="H1061" s="55" t="s">
        <v>482</v>
      </c>
    </row>
    <row r="1062" spans="1:8">
      <c r="A1062" s="77">
        <v>44133</v>
      </c>
      <c r="B1062" s="56" t="s">
        <v>435</v>
      </c>
      <c r="C1062" s="58">
        <v>1</v>
      </c>
      <c r="D1062" s="50">
        <v>6.5</v>
      </c>
      <c r="E1062" s="63">
        <v>20</v>
      </c>
      <c r="F1062" s="65">
        <f t="shared" si="37"/>
        <v>13.5</v>
      </c>
      <c r="G1062" s="57" t="s">
        <v>484</v>
      </c>
      <c r="H1062" s="55" t="s">
        <v>482</v>
      </c>
    </row>
    <row r="1063" spans="1:8">
      <c r="A1063" s="77">
        <v>44134</v>
      </c>
      <c r="B1063" s="56" t="s">
        <v>435</v>
      </c>
      <c r="C1063" s="58">
        <v>1</v>
      </c>
      <c r="D1063" s="50">
        <v>7.5</v>
      </c>
      <c r="E1063" s="63">
        <v>25</v>
      </c>
      <c r="F1063" s="65">
        <f t="shared" si="37"/>
        <v>17.5</v>
      </c>
      <c r="G1063" s="57" t="s">
        <v>484</v>
      </c>
      <c r="H1063" s="55" t="s">
        <v>482</v>
      </c>
    </row>
    <row r="1064" spans="1:8">
      <c r="A1064" s="77">
        <v>44135</v>
      </c>
      <c r="B1064" s="56" t="s">
        <v>435</v>
      </c>
      <c r="C1064" s="58">
        <v>1</v>
      </c>
      <c r="D1064" s="50">
        <v>7.5</v>
      </c>
      <c r="E1064" s="63">
        <v>20</v>
      </c>
      <c r="F1064" s="65">
        <f t="shared" si="37"/>
        <v>12.5</v>
      </c>
      <c r="G1064" s="57" t="s">
        <v>484</v>
      </c>
      <c r="H1064" s="55" t="s">
        <v>482</v>
      </c>
    </row>
    <row r="1065" spans="1:8">
      <c r="A1065" s="77">
        <v>44136</v>
      </c>
      <c r="B1065" s="55" t="s">
        <v>344</v>
      </c>
      <c r="C1065" s="58">
        <v>1</v>
      </c>
      <c r="D1065" s="65">
        <v>22</v>
      </c>
      <c r="E1065" s="65">
        <v>30</v>
      </c>
      <c r="F1065" s="65">
        <f t="shared" si="37"/>
        <v>8</v>
      </c>
      <c r="G1065" s="57" t="s">
        <v>484</v>
      </c>
      <c r="H1065" s="55" t="s">
        <v>482</v>
      </c>
    </row>
    <row r="1066" spans="1:8">
      <c r="A1066" s="77">
        <v>44137</v>
      </c>
      <c r="B1066" s="56" t="s">
        <v>432</v>
      </c>
      <c r="C1066" s="58">
        <v>1</v>
      </c>
      <c r="D1066" s="50">
        <v>25</v>
      </c>
      <c r="E1066" s="63">
        <v>55</v>
      </c>
      <c r="F1066" s="65">
        <f t="shared" si="37"/>
        <v>30</v>
      </c>
      <c r="G1066" s="57" t="s">
        <v>484</v>
      </c>
      <c r="H1066" s="55" t="s">
        <v>482</v>
      </c>
    </row>
    <row r="1067" spans="1:8">
      <c r="A1067" s="77">
        <v>44137</v>
      </c>
      <c r="B1067" s="56" t="s">
        <v>448</v>
      </c>
      <c r="C1067" s="58">
        <v>1</v>
      </c>
      <c r="D1067" s="50">
        <v>10</v>
      </c>
      <c r="E1067" s="63">
        <v>35</v>
      </c>
      <c r="F1067" s="65">
        <f t="shared" si="37"/>
        <v>25</v>
      </c>
      <c r="G1067" s="57" t="s">
        <v>484</v>
      </c>
      <c r="H1067" s="55" t="s">
        <v>482</v>
      </c>
    </row>
    <row r="1068" spans="1:8">
      <c r="A1068" s="77">
        <v>44137</v>
      </c>
      <c r="B1068" s="56" t="s">
        <v>448</v>
      </c>
      <c r="C1068" s="58">
        <v>1</v>
      </c>
      <c r="D1068" s="50">
        <v>10</v>
      </c>
      <c r="E1068" s="63">
        <v>35</v>
      </c>
      <c r="F1068" s="65">
        <f t="shared" si="37"/>
        <v>25</v>
      </c>
      <c r="G1068" s="57" t="s">
        <v>484</v>
      </c>
      <c r="H1068" s="55" t="s">
        <v>482</v>
      </c>
    </row>
    <row r="1069" spans="1:8">
      <c r="A1069" s="77">
        <v>44137</v>
      </c>
      <c r="B1069" s="55" t="s">
        <v>389</v>
      </c>
      <c r="C1069" s="58">
        <v>1</v>
      </c>
      <c r="D1069" s="65">
        <v>90</v>
      </c>
      <c r="E1069" s="65">
        <v>160</v>
      </c>
      <c r="F1069" s="65">
        <f t="shared" si="37"/>
        <v>70</v>
      </c>
      <c r="G1069" s="57" t="s">
        <v>484</v>
      </c>
      <c r="H1069" s="55" t="s">
        <v>482</v>
      </c>
    </row>
    <row r="1070" spans="1:8">
      <c r="A1070" s="77">
        <v>44137</v>
      </c>
      <c r="B1070" s="56" t="s">
        <v>425</v>
      </c>
      <c r="C1070" s="58">
        <v>1</v>
      </c>
      <c r="D1070" s="50">
        <v>7.5</v>
      </c>
      <c r="E1070" s="63">
        <v>15</v>
      </c>
      <c r="F1070" s="65">
        <f t="shared" si="37"/>
        <v>7.5</v>
      </c>
      <c r="G1070" s="57" t="s">
        <v>484</v>
      </c>
      <c r="H1070" s="55" t="s">
        <v>482</v>
      </c>
    </row>
    <row r="1071" spans="1:8">
      <c r="A1071" s="77">
        <v>44137</v>
      </c>
      <c r="B1071" s="56" t="s">
        <v>454</v>
      </c>
      <c r="C1071" s="58">
        <v>1</v>
      </c>
      <c r="D1071" s="50">
        <v>2.5</v>
      </c>
      <c r="E1071" s="63">
        <v>10</v>
      </c>
      <c r="F1071" s="65">
        <f t="shared" si="37"/>
        <v>7.5</v>
      </c>
      <c r="G1071" s="57" t="s">
        <v>484</v>
      </c>
      <c r="H1071" s="55" t="s">
        <v>482</v>
      </c>
    </row>
    <row r="1072" spans="1:8">
      <c r="A1072" s="77">
        <v>44137</v>
      </c>
      <c r="B1072" s="56" t="s">
        <v>451</v>
      </c>
      <c r="C1072" s="58">
        <v>1</v>
      </c>
      <c r="D1072" s="50">
        <v>0.5</v>
      </c>
      <c r="E1072" s="63">
        <v>2</v>
      </c>
      <c r="F1072" s="65">
        <f t="shared" si="37"/>
        <v>1.5</v>
      </c>
      <c r="G1072" s="57" t="s">
        <v>484</v>
      </c>
      <c r="H1072" s="55" t="s">
        <v>482</v>
      </c>
    </row>
    <row r="1073" spans="1:8">
      <c r="A1073" s="77">
        <v>44137</v>
      </c>
      <c r="B1073" s="56" t="s">
        <v>304</v>
      </c>
      <c r="C1073" s="58">
        <v>1</v>
      </c>
      <c r="D1073" s="50">
        <v>5</v>
      </c>
      <c r="E1073" s="63">
        <v>15</v>
      </c>
      <c r="F1073" s="65">
        <f t="shared" si="37"/>
        <v>10</v>
      </c>
      <c r="G1073" s="57" t="s">
        <v>484</v>
      </c>
      <c r="H1073" s="55" t="s">
        <v>482</v>
      </c>
    </row>
    <row r="1074" spans="1:8">
      <c r="A1074" s="77">
        <v>44137</v>
      </c>
      <c r="B1074" s="56" t="s">
        <v>423</v>
      </c>
      <c r="C1074" s="58">
        <v>1</v>
      </c>
      <c r="D1074" s="50">
        <v>10</v>
      </c>
      <c r="E1074" s="63">
        <v>20</v>
      </c>
      <c r="F1074" s="65">
        <f t="shared" si="37"/>
        <v>10</v>
      </c>
      <c r="G1074" s="57" t="s">
        <v>484</v>
      </c>
      <c r="H1074" s="55" t="s">
        <v>482</v>
      </c>
    </row>
    <row r="1075" spans="1:8">
      <c r="A1075" s="77">
        <v>44137</v>
      </c>
      <c r="B1075" s="55" t="s">
        <v>452</v>
      </c>
      <c r="C1075" s="58">
        <v>1</v>
      </c>
      <c r="D1075" s="65">
        <v>22</v>
      </c>
      <c r="E1075" s="65">
        <v>50</v>
      </c>
      <c r="F1075" s="65">
        <f t="shared" si="37"/>
        <v>28</v>
      </c>
      <c r="G1075" s="57" t="s">
        <v>484</v>
      </c>
      <c r="H1075" s="55" t="s">
        <v>482</v>
      </c>
    </row>
    <row r="1076" spans="1:8">
      <c r="A1076" s="77">
        <v>44137</v>
      </c>
      <c r="B1076" s="55" t="s">
        <v>168</v>
      </c>
      <c r="C1076" s="58">
        <v>1</v>
      </c>
      <c r="D1076" s="65">
        <v>22</v>
      </c>
      <c r="E1076" s="65">
        <v>40</v>
      </c>
      <c r="F1076" s="65">
        <f t="shared" si="37"/>
        <v>18</v>
      </c>
      <c r="G1076" s="57" t="s">
        <v>484</v>
      </c>
      <c r="H1076" s="55" t="s">
        <v>482</v>
      </c>
    </row>
    <row r="1077" spans="1:8">
      <c r="A1077" s="77">
        <v>44137</v>
      </c>
      <c r="B1077" s="55" t="s">
        <v>245</v>
      </c>
      <c r="C1077" s="58">
        <v>1</v>
      </c>
      <c r="D1077" s="65">
        <v>2.5</v>
      </c>
      <c r="E1077" s="65">
        <v>16.5</v>
      </c>
      <c r="F1077" s="65">
        <f t="shared" si="37"/>
        <v>14</v>
      </c>
      <c r="G1077" s="57" t="s">
        <v>484</v>
      </c>
      <c r="H1077" s="55" t="s">
        <v>482</v>
      </c>
    </row>
    <row r="1078" spans="1:8">
      <c r="A1078" s="77">
        <v>44138</v>
      </c>
      <c r="B1078" s="55" t="s">
        <v>245</v>
      </c>
      <c r="C1078" s="58">
        <v>1</v>
      </c>
      <c r="D1078" s="65">
        <v>2.5</v>
      </c>
      <c r="E1078" s="65">
        <v>16.5</v>
      </c>
      <c r="F1078" s="65">
        <f t="shared" si="37"/>
        <v>14</v>
      </c>
      <c r="G1078" s="57" t="s">
        <v>484</v>
      </c>
      <c r="H1078" s="55" t="s">
        <v>482</v>
      </c>
    </row>
    <row r="1079" spans="1:8">
      <c r="A1079" s="77">
        <v>44139</v>
      </c>
      <c r="B1079" s="55" t="s">
        <v>245</v>
      </c>
      <c r="C1079" s="58">
        <v>1</v>
      </c>
      <c r="D1079" s="65">
        <v>2.5</v>
      </c>
      <c r="E1079" s="65">
        <v>16.5</v>
      </c>
      <c r="F1079" s="65">
        <f t="shared" si="37"/>
        <v>14</v>
      </c>
      <c r="G1079" s="57" t="s">
        <v>484</v>
      </c>
      <c r="H1079" s="55" t="s">
        <v>482</v>
      </c>
    </row>
    <row r="1080" spans="1:8">
      <c r="A1080" s="77">
        <v>44140</v>
      </c>
      <c r="B1080" s="55" t="s">
        <v>245</v>
      </c>
      <c r="C1080" s="58">
        <v>1</v>
      </c>
      <c r="D1080" s="65">
        <v>2.5</v>
      </c>
      <c r="E1080" s="65">
        <v>15</v>
      </c>
      <c r="F1080" s="65">
        <f t="shared" si="37"/>
        <v>12.5</v>
      </c>
      <c r="G1080" s="57" t="s">
        <v>484</v>
      </c>
      <c r="H1080" s="55" t="s">
        <v>482</v>
      </c>
    </row>
    <row r="1081" spans="1:8">
      <c r="A1081" s="77">
        <v>44141</v>
      </c>
      <c r="B1081" s="56" t="s">
        <v>449</v>
      </c>
      <c r="C1081" s="58">
        <v>1</v>
      </c>
      <c r="D1081" s="50">
        <v>7</v>
      </c>
      <c r="E1081" s="63">
        <v>20</v>
      </c>
      <c r="F1081" s="65">
        <f t="shared" si="37"/>
        <v>13</v>
      </c>
      <c r="G1081" s="57" t="s">
        <v>484</v>
      </c>
      <c r="H1081" s="55" t="s">
        <v>482</v>
      </c>
    </row>
    <row r="1082" spans="1:8">
      <c r="A1082" s="77">
        <v>44142</v>
      </c>
      <c r="B1082" s="56" t="s">
        <v>431</v>
      </c>
      <c r="C1082" s="58">
        <v>1</v>
      </c>
      <c r="D1082" s="50">
        <v>15</v>
      </c>
      <c r="E1082" s="63">
        <v>30</v>
      </c>
      <c r="F1082" s="65">
        <f t="shared" si="37"/>
        <v>15</v>
      </c>
      <c r="G1082" s="57" t="s">
        <v>484</v>
      </c>
      <c r="H1082" s="55" t="s">
        <v>482</v>
      </c>
    </row>
    <row r="1083" spans="1:8">
      <c r="A1083" s="77">
        <v>44143</v>
      </c>
      <c r="B1083" s="56" t="s">
        <v>442</v>
      </c>
      <c r="C1083" s="58">
        <v>1</v>
      </c>
      <c r="D1083" s="50">
        <v>3</v>
      </c>
      <c r="E1083" s="63">
        <v>10</v>
      </c>
      <c r="F1083" s="65">
        <f t="shared" si="37"/>
        <v>7</v>
      </c>
      <c r="G1083" s="57" t="s">
        <v>484</v>
      </c>
      <c r="H1083" s="55" t="s">
        <v>482</v>
      </c>
    </row>
    <row r="1084" spans="1:8">
      <c r="A1084" s="77">
        <v>44144</v>
      </c>
      <c r="B1084" s="56" t="s">
        <v>445</v>
      </c>
      <c r="C1084" s="58">
        <v>1</v>
      </c>
      <c r="D1084" s="50">
        <v>20</v>
      </c>
      <c r="E1084" s="63">
        <v>40</v>
      </c>
      <c r="F1084" s="65">
        <f t="shared" si="37"/>
        <v>20</v>
      </c>
      <c r="G1084" s="57" t="s">
        <v>484</v>
      </c>
      <c r="H1084" s="55" t="s">
        <v>482</v>
      </c>
    </row>
    <row r="1085" spans="1:8">
      <c r="A1085" s="77">
        <v>44145</v>
      </c>
      <c r="B1085" s="56" t="s">
        <v>445</v>
      </c>
      <c r="C1085" s="58">
        <v>1</v>
      </c>
      <c r="D1085" s="50">
        <v>19</v>
      </c>
      <c r="E1085" s="63">
        <v>50</v>
      </c>
      <c r="F1085" s="65">
        <f t="shared" si="37"/>
        <v>31</v>
      </c>
      <c r="G1085" s="57" t="s">
        <v>484</v>
      </c>
      <c r="H1085" s="55" t="s">
        <v>482</v>
      </c>
    </row>
    <row r="1086" spans="1:8">
      <c r="A1086" s="77">
        <v>44146</v>
      </c>
      <c r="B1086" s="56" t="s">
        <v>146</v>
      </c>
      <c r="C1086" s="58">
        <v>1</v>
      </c>
      <c r="D1086" s="50">
        <v>32</v>
      </c>
      <c r="E1086" s="63">
        <v>60</v>
      </c>
      <c r="F1086" s="65">
        <f t="shared" si="37"/>
        <v>28</v>
      </c>
      <c r="G1086" s="57" t="s">
        <v>484</v>
      </c>
      <c r="H1086" s="55" t="s">
        <v>482</v>
      </c>
    </row>
    <row r="1087" spans="1:8">
      <c r="A1087" s="77">
        <v>44147</v>
      </c>
      <c r="B1087" s="55" t="s">
        <v>146</v>
      </c>
      <c r="C1087" s="58">
        <v>1</v>
      </c>
      <c r="D1087" s="65">
        <v>27</v>
      </c>
      <c r="E1087" s="65">
        <v>60</v>
      </c>
      <c r="F1087" s="65">
        <f t="shared" si="37"/>
        <v>33</v>
      </c>
      <c r="G1087" s="57" t="s">
        <v>484</v>
      </c>
      <c r="H1087" s="55" t="s">
        <v>482</v>
      </c>
    </row>
    <row r="1088" spans="1:8">
      <c r="A1088" s="77">
        <v>44148</v>
      </c>
      <c r="B1088" s="56" t="s">
        <v>146</v>
      </c>
      <c r="C1088" s="58">
        <v>1</v>
      </c>
      <c r="D1088" s="50">
        <v>32</v>
      </c>
      <c r="E1088" s="63">
        <v>50</v>
      </c>
      <c r="F1088" s="65">
        <f t="shared" si="37"/>
        <v>18</v>
      </c>
      <c r="G1088" s="57" t="s">
        <v>484</v>
      </c>
      <c r="H1088" s="55" t="s">
        <v>482</v>
      </c>
    </row>
    <row r="1089" spans="1:8">
      <c r="A1089" s="77">
        <v>44148</v>
      </c>
      <c r="B1089" s="56" t="s">
        <v>146</v>
      </c>
      <c r="C1089" s="58">
        <v>1</v>
      </c>
      <c r="D1089" s="50">
        <v>32</v>
      </c>
      <c r="E1089" s="63">
        <v>60</v>
      </c>
      <c r="F1089" s="65">
        <f t="shared" si="37"/>
        <v>28</v>
      </c>
      <c r="G1089" s="57" t="s">
        <v>484</v>
      </c>
      <c r="H1089" s="55" t="s">
        <v>482</v>
      </c>
    </row>
    <row r="1090" spans="1:8">
      <c r="A1090" s="77">
        <v>44148</v>
      </c>
      <c r="B1090" s="56" t="s">
        <v>146</v>
      </c>
      <c r="C1090" s="58">
        <v>1</v>
      </c>
      <c r="D1090" s="50">
        <v>32</v>
      </c>
      <c r="E1090" s="63">
        <v>70</v>
      </c>
      <c r="F1090" s="65">
        <f t="shared" si="37"/>
        <v>38</v>
      </c>
      <c r="G1090" s="57" t="s">
        <v>484</v>
      </c>
      <c r="H1090" s="55" t="s">
        <v>482</v>
      </c>
    </row>
    <row r="1091" spans="1:8">
      <c r="A1091" s="77">
        <v>44148</v>
      </c>
      <c r="B1091" s="56" t="s">
        <v>146</v>
      </c>
      <c r="C1091" s="58">
        <v>1</v>
      </c>
      <c r="D1091" s="50">
        <v>32</v>
      </c>
      <c r="E1091" s="63">
        <v>50</v>
      </c>
      <c r="F1091" s="65">
        <f t="shared" ref="F1091:F1122" si="38">E1091-D1091</f>
        <v>18</v>
      </c>
      <c r="G1091" s="57" t="s">
        <v>484</v>
      </c>
      <c r="H1091" s="55" t="s">
        <v>482</v>
      </c>
    </row>
    <row r="1092" spans="1:8">
      <c r="A1092" s="77">
        <v>44148</v>
      </c>
      <c r="B1092" s="56" t="s">
        <v>146</v>
      </c>
      <c r="C1092" s="58">
        <v>1</v>
      </c>
      <c r="D1092" s="50">
        <v>32</v>
      </c>
      <c r="E1092" s="63">
        <v>60</v>
      </c>
      <c r="F1092" s="65">
        <f t="shared" si="38"/>
        <v>28</v>
      </c>
      <c r="G1092" s="57" t="s">
        <v>484</v>
      </c>
      <c r="H1092" s="55" t="s">
        <v>482</v>
      </c>
    </row>
    <row r="1093" spans="1:8">
      <c r="A1093" s="77">
        <v>44148</v>
      </c>
      <c r="B1093" s="56" t="s">
        <v>146</v>
      </c>
      <c r="C1093" s="58">
        <v>1</v>
      </c>
      <c r="D1093" s="50">
        <v>32</v>
      </c>
      <c r="E1093" s="63">
        <v>60</v>
      </c>
      <c r="F1093" s="65">
        <f t="shared" si="38"/>
        <v>28</v>
      </c>
      <c r="G1093" s="57" t="s">
        <v>484</v>
      </c>
      <c r="H1093" s="55" t="s">
        <v>482</v>
      </c>
    </row>
    <row r="1094" spans="1:8">
      <c r="A1094" s="77">
        <v>44148</v>
      </c>
      <c r="B1094" s="56" t="s">
        <v>146</v>
      </c>
      <c r="C1094" s="58">
        <v>1</v>
      </c>
      <c r="D1094" s="50">
        <v>32</v>
      </c>
      <c r="E1094" s="63">
        <v>50</v>
      </c>
      <c r="F1094" s="65">
        <f t="shared" si="38"/>
        <v>18</v>
      </c>
      <c r="G1094" s="57" t="s">
        <v>484</v>
      </c>
      <c r="H1094" s="55" t="s">
        <v>482</v>
      </c>
    </row>
    <row r="1095" spans="1:8">
      <c r="A1095" s="77">
        <v>44148</v>
      </c>
      <c r="B1095" s="56" t="s">
        <v>146</v>
      </c>
      <c r="C1095" s="58">
        <v>1</v>
      </c>
      <c r="D1095" s="50">
        <v>32</v>
      </c>
      <c r="E1095" s="63">
        <v>60</v>
      </c>
      <c r="F1095" s="65">
        <f t="shared" si="38"/>
        <v>28</v>
      </c>
      <c r="G1095" s="57" t="s">
        <v>484</v>
      </c>
      <c r="H1095" s="55" t="s">
        <v>482</v>
      </c>
    </row>
    <row r="1096" spans="1:8">
      <c r="A1096" s="77">
        <v>44148</v>
      </c>
      <c r="B1096" s="56" t="s">
        <v>146</v>
      </c>
      <c r="C1096" s="58">
        <v>1</v>
      </c>
      <c r="D1096" s="50">
        <v>28</v>
      </c>
      <c r="E1096" s="63">
        <v>51</v>
      </c>
      <c r="F1096" s="65">
        <f t="shared" si="38"/>
        <v>23</v>
      </c>
      <c r="G1096" s="57" t="s">
        <v>484</v>
      </c>
      <c r="H1096" s="55" t="s">
        <v>482</v>
      </c>
    </row>
    <row r="1097" spans="1:8">
      <c r="A1097" s="77">
        <v>44148</v>
      </c>
      <c r="B1097" s="56" t="s">
        <v>455</v>
      </c>
      <c r="C1097" s="58">
        <v>1</v>
      </c>
      <c r="D1097" s="50">
        <v>2</v>
      </c>
      <c r="E1097" s="63">
        <v>10</v>
      </c>
      <c r="F1097" s="65">
        <f t="shared" si="38"/>
        <v>8</v>
      </c>
      <c r="G1097" s="57" t="s">
        <v>484</v>
      </c>
      <c r="H1097" s="55" t="s">
        <v>482</v>
      </c>
    </row>
    <row r="1098" spans="1:8">
      <c r="A1098" s="77">
        <v>44148</v>
      </c>
      <c r="B1098" s="56" t="s">
        <v>434</v>
      </c>
      <c r="C1098" s="58">
        <v>1</v>
      </c>
      <c r="D1098" s="50">
        <v>21</v>
      </c>
      <c r="E1098" s="63">
        <v>50</v>
      </c>
      <c r="F1098" s="65">
        <f t="shared" si="38"/>
        <v>29</v>
      </c>
      <c r="G1098" s="57" t="s">
        <v>484</v>
      </c>
      <c r="H1098" s="55" t="s">
        <v>482</v>
      </c>
    </row>
    <row r="1099" spans="1:8">
      <c r="A1099" s="77">
        <v>44148</v>
      </c>
      <c r="B1099" s="56" t="s">
        <v>434</v>
      </c>
      <c r="C1099" s="58">
        <v>1</v>
      </c>
      <c r="D1099" s="50">
        <v>21</v>
      </c>
      <c r="E1099" s="63">
        <v>40</v>
      </c>
      <c r="F1099" s="65">
        <f t="shared" si="38"/>
        <v>19</v>
      </c>
      <c r="G1099" s="57" t="s">
        <v>484</v>
      </c>
      <c r="H1099" s="55" t="s">
        <v>482</v>
      </c>
    </row>
    <row r="1100" spans="1:8">
      <c r="A1100" s="77">
        <v>44149</v>
      </c>
      <c r="B1100" s="56" t="s">
        <v>434</v>
      </c>
      <c r="C1100" s="58">
        <v>1</v>
      </c>
      <c r="D1100" s="50">
        <v>21</v>
      </c>
      <c r="E1100" s="63">
        <v>34</v>
      </c>
      <c r="F1100" s="65">
        <f t="shared" si="38"/>
        <v>13</v>
      </c>
      <c r="G1100" s="57" t="s">
        <v>484</v>
      </c>
      <c r="H1100" s="55" t="s">
        <v>482</v>
      </c>
    </row>
    <row r="1101" spans="1:8">
      <c r="A1101" s="77">
        <v>44150</v>
      </c>
      <c r="B1101" s="56" t="s">
        <v>434</v>
      </c>
      <c r="C1101" s="58">
        <v>1</v>
      </c>
      <c r="D1101" s="50">
        <v>21</v>
      </c>
      <c r="E1101" s="63">
        <v>34</v>
      </c>
      <c r="F1101" s="65">
        <f t="shared" si="38"/>
        <v>13</v>
      </c>
      <c r="G1101" s="57" t="s">
        <v>484</v>
      </c>
      <c r="H1101" s="55" t="s">
        <v>482</v>
      </c>
    </row>
    <row r="1102" spans="1:8">
      <c r="A1102" s="77">
        <v>44151</v>
      </c>
      <c r="B1102" s="56" t="s">
        <v>434</v>
      </c>
      <c r="C1102" s="58">
        <v>1</v>
      </c>
      <c r="D1102" s="50">
        <v>21</v>
      </c>
      <c r="E1102" s="63">
        <v>34</v>
      </c>
      <c r="F1102" s="65">
        <f t="shared" si="38"/>
        <v>13</v>
      </c>
      <c r="G1102" s="57" t="s">
        <v>484</v>
      </c>
      <c r="H1102" s="55" t="s">
        <v>482</v>
      </c>
    </row>
    <row r="1103" spans="1:8">
      <c r="A1103" s="77">
        <v>44152</v>
      </c>
      <c r="B1103" s="56" t="s">
        <v>434</v>
      </c>
      <c r="C1103" s="58">
        <v>1</v>
      </c>
      <c r="D1103" s="50">
        <v>21</v>
      </c>
      <c r="E1103" s="63">
        <v>34</v>
      </c>
      <c r="F1103" s="65">
        <f t="shared" si="38"/>
        <v>13</v>
      </c>
      <c r="G1103" s="57" t="s">
        <v>484</v>
      </c>
      <c r="H1103" s="55" t="s">
        <v>482</v>
      </c>
    </row>
    <row r="1104" spans="1:8">
      <c r="A1104" s="77">
        <v>44153</v>
      </c>
      <c r="B1104" s="56" t="s">
        <v>434</v>
      </c>
      <c r="C1104" s="58">
        <v>1</v>
      </c>
      <c r="D1104" s="50">
        <v>21</v>
      </c>
      <c r="E1104" s="63">
        <v>34</v>
      </c>
      <c r="F1104" s="65">
        <f t="shared" si="38"/>
        <v>13</v>
      </c>
      <c r="G1104" s="57" t="s">
        <v>484</v>
      </c>
      <c r="H1104" s="55" t="s">
        <v>482</v>
      </c>
    </row>
    <row r="1105" spans="1:8">
      <c r="A1105" s="77">
        <v>44154</v>
      </c>
      <c r="B1105" s="56" t="s">
        <v>434</v>
      </c>
      <c r="C1105" s="58">
        <v>1</v>
      </c>
      <c r="D1105" s="50">
        <v>21</v>
      </c>
      <c r="E1105" s="63">
        <v>40</v>
      </c>
      <c r="F1105" s="65">
        <f t="shared" si="38"/>
        <v>19</v>
      </c>
      <c r="G1105" s="57" t="s">
        <v>484</v>
      </c>
      <c r="H1105" s="77" t="s">
        <v>427</v>
      </c>
    </row>
    <row r="1106" spans="1:8">
      <c r="A1106" s="77">
        <v>44155</v>
      </c>
      <c r="B1106" s="56" t="s">
        <v>456</v>
      </c>
      <c r="C1106" s="58">
        <v>1</v>
      </c>
      <c r="D1106" s="50">
        <v>21</v>
      </c>
      <c r="E1106" s="63">
        <v>30</v>
      </c>
      <c r="F1106" s="65">
        <f t="shared" si="38"/>
        <v>9</v>
      </c>
      <c r="G1106" s="57" t="s">
        <v>484</v>
      </c>
      <c r="H1106" s="77" t="s">
        <v>427</v>
      </c>
    </row>
    <row r="1107" spans="1:8">
      <c r="A1107" s="77">
        <v>44156</v>
      </c>
      <c r="B1107" s="56" t="s">
        <v>440</v>
      </c>
      <c r="C1107" s="58">
        <v>1</v>
      </c>
      <c r="D1107" s="50">
        <v>6.5</v>
      </c>
      <c r="E1107" s="63">
        <v>17</v>
      </c>
      <c r="F1107" s="65">
        <f t="shared" si="38"/>
        <v>10.5</v>
      </c>
      <c r="G1107" s="57" t="s">
        <v>484</v>
      </c>
      <c r="H1107" s="55" t="s">
        <v>482</v>
      </c>
    </row>
    <row r="1108" spans="1:8">
      <c r="A1108" s="77">
        <v>44157</v>
      </c>
      <c r="B1108" s="56" t="s">
        <v>381</v>
      </c>
      <c r="C1108" s="58">
        <v>1</v>
      </c>
      <c r="D1108" s="50">
        <v>15</v>
      </c>
      <c r="E1108" s="63">
        <v>30</v>
      </c>
      <c r="F1108" s="65">
        <f t="shared" si="38"/>
        <v>15</v>
      </c>
      <c r="G1108" s="57" t="s">
        <v>484</v>
      </c>
      <c r="H1108" s="77" t="s">
        <v>427</v>
      </c>
    </row>
    <row r="1109" spans="1:8">
      <c r="A1109" s="77">
        <v>44158</v>
      </c>
      <c r="B1109" s="56" t="s">
        <v>438</v>
      </c>
      <c r="C1109" s="58">
        <v>1</v>
      </c>
      <c r="D1109" s="50">
        <v>20</v>
      </c>
      <c r="E1109" s="63">
        <v>40</v>
      </c>
      <c r="F1109" s="65">
        <f t="shared" si="38"/>
        <v>20</v>
      </c>
      <c r="G1109" s="57" t="s">
        <v>484</v>
      </c>
      <c r="H1109" s="77" t="s">
        <v>444</v>
      </c>
    </row>
    <row r="1110" spans="1:8">
      <c r="A1110" s="77">
        <v>44159</v>
      </c>
      <c r="B1110" s="56" t="s">
        <v>438</v>
      </c>
      <c r="C1110" s="58">
        <v>1</v>
      </c>
      <c r="D1110" s="50">
        <v>20</v>
      </c>
      <c r="E1110" s="63">
        <v>40</v>
      </c>
      <c r="F1110" s="65">
        <f t="shared" si="38"/>
        <v>20</v>
      </c>
      <c r="G1110" s="57" t="s">
        <v>484</v>
      </c>
      <c r="H1110" s="77" t="s">
        <v>444</v>
      </c>
    </row>
    <row r="1111" spans="1:8">
      <c r="A1111" s="77">
        <v>44159</v>
      </c>
      <c r="B1111" s="56" t="s">
        <v>438</v>
      </c>
      <c r="C1111" s="58">
        <v>1</v>
      </c>
      <c r="D1111" s="50">
        <v>20</v>
      </c>
      <c r="E1111" s="63">
        <v>40</v>
      </c>
      <c r="F1111" s="65">
        <f t="shared" si="38"/>
        <v>20</v>
      </c>
      <c r="G1111" s="57" t="s">
        <v>484</v>
      </c>
      <c r="H1111" s="77" t="s">
        <v>444</v>
      </c>
    </row>
    <row r="1112" spans="1:8">
      <c r="A1112" s="77">
        <v>44159</v>
      </c>
      <c r="B1112" s="56" t="s">
        <v>438</v>
      </c>
      <c r="C1112" s="58">
        <v>1</v>
      </c>
      <c r="D1112" s="50">
        <v>20</v>
      </c>
      <c r="E1112" s="63">
        <v>40</v>
      </c>
      <c r="F1112" s="65">
        <f t="shared" si="38"/>
        <v>20</v>
      </c>
      <c r="G1112" s="57" t="s">
        <v>484</v>
      </c>
      <c r="H1112" s="77" t="s">
        <v>444</v>
      </c>
    </row>
    <row r="1113" spans="1:8">
      <c r="A1113" s="77">
        <v>44159</v>
      </c>
      <c r="B1113" s="56" t="s">
        <v>439</v>
      </c>
      <c r="C1113" s="58">
        <v>1</v>
      </c>
      <c r="D1113" s="50">
        <v>18</v>
      </c>
      <c r="E1113" s="63">
        <v>40</v>
      </c>
      <c r="F1113" s="65">
        <f t="shared" si="38"/>
        <v>22</v>
      </c>
      <c r="G1113" s="57" t="s">
        <v>484</v>
      </c>
      <c r="H1113" s="77" t="s">
        <v>427</v>
      </c>
    </row>
    <row r="1114" spans="1:8">
      <c r="A1114" s="77">
        <v>44159</v>
      </c>
      <c r="B1114" s="56" t="s">
        <v>439</v>
      </c>
      <c r="C1114" s="58">
        <v>1</v>
      </c>
      <c r="D1114" s="50">
        <v>18</v>
      </c>
      <c r="E1114" s="63">
        <v>40</v>
      </c>
      <c r="F1114" s="65">
        <f t="shared" si="38"/>
        <v>22</v>
      </c>
      <c r="G1114" s="57" t="s">
        <v>484</v>
      </c>
      <c r="H1114" s="55" t="s">
        <v>482</v>
      </c>
    </row>
    <row r="1115" spans="1:8">
      <c r="A1115" s="77">
        <v>44159</v>
      </c>
      <c r="B1115" s="56" t="s">
        <v>439</v>
      </c>
      <c r="C1115" s="58">
        <v>1</v>
      </c>
      <c r="D1115" s="50">
        <v>18</v>
      </c>
      <c r="E1115" s="63">
        <v>40</v>
      </c>
      <c r="F1115" s="65">
        <f t="shared" si="38"/>
        <v>22</v>
      </c>
      <c r="G1115" s="57" t="s">
        <v>484</v>
      </c>
      <c r="H1115" s="77" t="s">
        <v>427</v>
      </c>
    </row>
    <row r="1116" spans="1:8">
      <c r="A1116" s="77">
        <v>44159</v>
      </c>
      <c r="B1116" s="56" t="s">
        <v>439</v>
      </c>
      <c r="C1116" s="58">
        <v>1</v>
      </c>
      <c r="D1116" s="50">
        <v>18</v>
      </c>
      <c r="E1116" s="63">
        <v>40</v>
      </c>
      <c r="F1116" s="65">
        <f t="shared" si="38"/>
        <v>22</v>
      </c>
      <c r="G1116" s="57" t="s">
        <v>484</v>
      </c>
      <c r="H1116" s="77" t="s">
        <v>427</v>
      </c>
    </row>
    <row r="1117" spans="1:8">
      <c r="A1117" s="77">
        <v>44159</v>
      </c>
      <c r="B1117" s="56" t="s">
        <v>447</v>
      </c>
      <c r="C1117" s="58">
        <v>1</v>
      </c>
      <c r="D1117" s="50">
        <v>6</v>
      </c>
      <c r="E1117" s="63">
        <v>10</v>
      </c>
      <c r="F1117" s="65">
        <f t="shared" si="38"/>
        <v>4</v>
      </c>
      <c r="G1117" s="57" t="s">
        <v>484</v>
      </c>
      <c r="H1117" s="77" t="s">
        <v>427</v>
      </c>
    </row>
    <row r="1118" spans="1:8">
      <c r="A1118" s="77">
        <v>44159</v>
      </c>
      <c r="B1118" s="56" t="s">
        <v>447</v>
      </c>
      <c r="C1118" s="58">
        <v>1</v>
      </c>
      <c r="D1118" s="50">
        <v>6</v>
      </c>
      <c r="E1118" s="63">
        <v>10</v>
      </c>
      <c r="F1118" s="65">
        <f t="shared" si="38"/>
        <v>4</v>
      </c>
      <c r="G1118" s="57" t="s">
        <v>484</v>
      </c>
      <c r="H1118" s="77" t="s">
        <v>427</v>
      </c>
    </row>
    <row r="1119" spans="1:8">
      <c r="A1119" s="77">
        <v>44159</v>
      </c>
      <c r="B1119" s="56" t="s">
        <v>447</v>
      </c>
      <c r="C1119" s="58">
        <v>1</v>
      </c>
      <c r="D1119" s="50">
        <v>6</v>
      </c>
      <c r="E1119" s="63">
        <v>10</v>
      </c>
      <c r="F1119" s="65">
        <f t="shared" si="38"/>
        <v>4</v>
      </c>
      <c r="G1119" s="57" t="s">
        <v>484</v>
      </c>
      <c r="H1119" s="77" t="s">
        <v>427</v>
      </c>
    </row>
    <row r="1120" spans="1:8">
      <c r="A1120" s="77">
        <v>44159</v>
      </c>
      <c r="B1120" s="56" t="s">
        <v>447</v>
      </c>
      <c r="C1120" s="58">
        <v>1</v>
      </c>
      <c r="D1120" s="50">
        <v>6</v>
      </c>
      <c r="E1120" s="63">
        <v>10</v>
      </c>
      <c r="F1120" s="65">
        <f t="shared" si="38"/>
        <v>4</v>
      </c>
      <c r="G1120" s="57" t="s">
        <v>484</v>
      </c>
      <c r="H1120" s="77" t="s">
        <v>427</v>
      </c>
    </row>
    <row r="1121" spans="1:10">
      <c r="A1121" s="77">
        <v>44159</v>
      </c>
      <c r="B1121" s="56" t="s">
        <v>447</v>
      </c>
      <c r="C1121" s="58">
        <v>1</v>
      </c>
      <c r="D1121" s="50">
        <v>6</v>
      </c>
      <c r="E1121" s="63">
        <v>10</v>
      </c>
      <c r="F1121" s="65">
        <f t="shared" si="38"/>
        <v>4</v>
      </c>
      <c r="G1121" s="57" t="s">
        <v>484</v>
      </c>
      <c r="H1121" s="77" t="s">
        <v>427</v>
      </c>
    </row>
    <row r="1122" spans="1:10">
      <c r="A1122" s="77">
        <v>44159</v>
      </c>
      <c r="B1122" s="56" t="s">
        <v>447</v>
      </c>
      <c r="C1122" s="58">
        <v>1</v>
      </c>
      <c r="D1122" s="50">
        <v>6</v>
      </c>
      <c r="E1122" s="63">
        <v>10</v>
      </c>
      <c r="F1122" s="65">
        <f t="shared" si="38"/>
        <v>4</v>
      </c>
      <c r="G1122" s="57" t="s">
        <v>484</v>
      </c>
      <c r="H1122" s="77" t="s">
        <v>427</v>
      </c>
    </row>
    <row r="1123" spans="1:10">
      <c r="A1123" s="77">
        <v>44159</v>
      </c>
      <c r="B1123" s="56" t="s">
        <v>447</v>
      </c>
      <c r="C1123" s="58">
        <v>1</v>
      </c>
      <c r="D1123" s="50">
        <v>6</v>
      </c>
      <c r="E1123" s="63">
        <v>10</v>
      </c>
      <c r="F1123" s="65">
        <f t="shared" ref="F1123:F1154" si="39">E1123-D1123</f>
        <v>4</v>
      </c>
      <c r="G1123" s="57" t="s">
        <v>484</v>
      </c>
      <c r="H1123" s="77" t="s">
        <v>427</v>
      </c>
    </row>
    <row r="1124" spans="1:10">
      <c r="A1124" s="77">
        <v>44159</v>
      </c>
      <c r="B1124" s="56" t="s">
        <v>447</v>
      </c>
      <c r="C1124" s="58">
        <v>1</v>
      </c>
      <c r="D1124" s="50">
        <v>6</v>
      </c>
      <c r="E1124" s="63">
        <v>10</v>
      </c>
      <c r="F1124" s="65">
        <f t="shared" si="39"/>
        <v>4</v>
      </c>
      <c r="G1124" s="57" t="s">
        <v>484</v>
      </c>
      <c r="H1124" s="77" t="s">
        <v>427</v>
      </c>
    </row>
    <row r="1125" spans="1:10">
      <c r="A1125" s="77">
        <v>44159</v>
      </c>
      <c r="B1125" s="56" t="s">
        <v>447</v>
      </c>
      <c r="C1125" s="58">
        <v>1</v>
      </c>
      <c r="D1125" s="50">
        <v>6</v>
      </c>
      <c r="E1125" s="63">
        <v>13</v>
      </c>
      <c r="F1125" s="65">
        <f t="shared" si="39"/>
        <v>7</v>
      </c>
      <c r="G1125" s="57" t="s">
        <v>484</v>
      </c>
      <c r="H1125" s="77" t="s">
        <v>427</v>
      </c>
    </row>
    <row r="1126" spans="1:10">
      <c r="A1126" s="77">
        <v>44159</v>
      </c>
      <c r="B1126" s="56" t="s">
        <v>447</v>
      </c>
      <c r="C1126" s="58">
        <v>1</v>
      </c>
      <c r="D1126" s="50">
        <v>6</v>
      </c>
      <c r="E1126" s="63">
        <v>13</v>
      </c>
      <c r="F1126" s="65">
        <f t="shared" si="39"/>
        <v>7</v>
      </c>
      <c r="G1126" s="57" t="s">
        <v>484</v>
      </c>
      <c r="H1126" s="77" t="s">
        <v>427</v>
      </c>
    </row>
    <row r="1127" spans="1:10">
      <c r="A1127" s="77">
        <v>44159</v>
      </c>
      <c r="B1127" s="56" t="s">
        <v>447</v>
      </c>
      <c r="C1127" s="58">
        <v>1</v>
      </c>
      <c r="D1127" s="50">
        <v>6</v>
      </c>
      <c r="E1127" s="63">
        <v>13</v>
      </c>
      <c r="F1127" s="65">
        <f t="shared" si="39"/>
        <v>7</v>
      </c>
      <c r="G1127" s="57" t="s">
        <v>484</v>
      </c>
      <c r="H1127" s="77" t="s">
        <v>427</v>
      </c>
    </row>
    <row r="1128" spans="1:10">
      <c r="A1128" s="77">
        <v>44159</v>
      </c>
      <c r="B1128" s="56" t="s">
        <v>447</v>
      </c>
      <c r="C1128" s="58">
        <v>1</v>
      </c>
      <c r="D1128" s="50">
        <v>6</v>
      </c>
      <c r="E1128" s="63">
        <v>13</v>
      </c>
      <c r="F1128" s="65">
        <f t="shared" si="39"/>
        <v>7</v>
      </c>
      <c r="G1128" s="57" t="s">
        <v>484</v>
      </c>
      <c r="H1128" s="77" t="s">
        <v>427</v>
      </c>
    </row>
    <row r="1129" spans="1:10">
      <c r="A1129" s="77">
        <v>44159</v>
      </c>
      <c r="B1129" s="56" t="s">
        <v>447</v>
      </c>
      <c r="C1129" s="58">
        <v>1</v>
      </c>
      <c r="D1129" s="50">
        <v>6</v>
      </c>
      <c r="E1129" s="63">
        <v>20</v>
      </c>
      <c r="F1129" s="65">
        <f t="shared" si="39"/>
        <v>14</v>
      </c>
      <c r="G1129" s="57" t="s">
        <v>484</v>
      </c>
      <c r="H1129" s="77" t="s">
        <v>427</v>
      </c>
    </row>
    <row r="1130" spans="1:10">
      <c r="A1130" s="77">
        <v>44159</v>
      </c>
      <c r="B1130" s="56" t="s">
        <v>447</v>
      </c>
      <c r="C1130" s="58">
        <v>1</v>
      </c>
      <c r="D1130" s="50">
        <v>6</v>
      </c>
      <c r="E1130" s="63">
        <v>10</v>
      </c>
      <c r="F1130" s="65">
        <f t="shared" si="39"/>
        <v>4</v>
      </c>
      <c r="G1130" s="57" t="s">
        <v>484</v>
      </c>
      <c r="H1130" s="77" t="s">
        <v>427</v>
      </c>
    </row>
    <row r="1131" spans="1:10">
      <c r="A1131" s="77">
        <v>44159</v>
      </c>
      <c r="B1131" s="56" t="s">
        <v>447</v>
      </c>
      <c r="C1131" s="58">
        <v>1</v>
      </c>
      <c r="D1131" s="50">
        <v>6</v>
      </c>
      <c r="E1131" s="63">
        <v>12</v>
      </c>
      <c r="F1131" s="65">
        <f t="shared" si="39"/>
        <v>6</v>
      </c>
      <c r="G1131" s="57" t="s">
        <v>484</v>
      </c>
      <c r="H1131" s="77" t="s">
        <v>427</v>
      </c>
    </row>
    <row r="1132" spans="1:10">
      <c r="A1132" s="77">
        <v>44159</v>
      </c>
      <c r="B1132" s="56" t="s">
        <v>447</v>
      </c>
      <c r="C1132" s="58">
        <v>1</v>
      </c>
      <c r="D1132" s="50">
        <v>6</v>
      </c>
      <c r="E1132" s="63">
        <v>22.95</v>
      </c>
      <c r="F1132" s="65">
        <f t="shared" si="39"/>
        <v>16.95</v>
      </c>
      <c r="G1132" s="57" t="s">
        <v>484</v>
      </c>
      <c r="H1132" s="77" t="s">
        <v>427</v>
      </c>
    </row>
    <row r="1133" spans="1:10">
      <c r="A1133" s="77">
        <v>44159</v>
      </c>
      <c r="B1133" s="56" t="s">
        <v>447</v>
      </c>
      <c r="C1133" s="58">
        <v>1</v>
      </c>
      <c r="D1133" s="50">
        <v>6</v>
      </c>
      <c r="E1133" s="63">
        <v>13</v>
      </c>
      <c r="F1133" s="65">
        <f t="shared" si="39"/>
        <v>7</v>
      </c>
      <c r="G1133" s="57" t="s">
        <v>484</v>
      </c>
      <c r="H1133" s="77" t="s">
        <v>427</v>
      </c>
    </row>
    <row r="1134" spans="1:10">
      <c r="A1134" s="77">
        <v>44159</v>
      </c>
      <c r="B1134" s="56" t="s">
        <v>447</v>
      </c>
      <c r="C1134" s="58">
        <v>1</v>
      </c>
      <c r="D1134" s="50">
        <v>6</v>
      </c>
      <c r="E1134" s="63">
        <v>20</v>
      </c>
      <c r="F1134" s="65">
        <f t="shared" si="39"/>
        <v>14</v>
      </c>
      <c r="G1134" s="57" t="s">
        <v>484</v>
      </c>
      <c r="H1134" s="55" t="s">
        <v>482</v>
      </c>
    </row>
    <row r="1135" spans="1:10">
      <c r="A1135" s="77">
        <v>44159</v>
      </c>
      <c r="B1135" s="56" t="s">
        <v>447</v>
      </c>
      <c r="C1135" s="58">
        <v>1</v>
      </c>
      <c r="D1135" s="65">
        <v>6</v>
      </c>
      <c r="E1135" s="65">
        <v>20</v>
      </c>
      <c r="F1135" s="65">
        <f t="shared" si="39"/>
        <v>14</v>
      </c>
      <c r="G1135" s="57" t="s">
        <v>484</v>
      </c>
      <c r="H1135" s="55" t="s">
        <v>482</v>
      </c>
      <c r="I1135" s="64"/>
      <c r="J1135" s="64"/>
    </row>
    <row r="1136" spans="1:10">
      <c r="A1136" s="77">
        <v>44159</v>
      </c>
      <c r="B1136" s="56" t="s">
        <v>447</v>
      </c>
      <c r="C1136" s="58">
        <v>1</v>
      </c>
      <c r="D1136" s="50">
        <v>6</v>
      </c>
      <c r="E1136" s="63">
        <v>20</v>
      </c>
      <c r="F1136" s="65">
        <f t="shared" si="39"/>
        <v>14</v>
      </c>
      <c r="G1136" s="57" t="s">
        <v>484</v>
      </c>
      <c r="H1136" s="55" t="s">
        <v>482</v>
      </c>
    </row>
    <row r="1137" spans="1:8">
      <c r="A1137" s="77">
        <v>44159</v>
      </c>
      <c r="B1137" s="56" t="s">
        <v>447</v>
      </c>
      <c r="C1137" s="58">
        <v>1</v>
      </c>
      <c r="D1137" s="50">
        <v>6</v>
      </c>
      <c r="E1137" s="63">
        <v>18</v>
      </c>
      <c r="F1137" s="65">
        <f t="shared" si="39"/>
        <v>12</v>
      </c>
      <c r="G1137" s="57" t="s">
        <v>484</v>
      </c>
      <c r="H1137" s="77" t="s">
        <v>427</v>
      </c>
    </row>
    <row r="1138" spans="1:8">
      <c r="A1138" s="77">
        <v>44159</v>
      </c>
      <c r="B1138" s="56" t="s">
        <v>447</v>
      </c>
      <c r="C1138" s="58">
        <v>1</v>
      </c>
      <c r="D1138" s="50">
        <v>6</v>
      </c>
      <c r="E1138" s="63">
        <v>18</v>
      </c>
      <c r="F1138" s="65">
        <f t="shared" si="39"/>
        <v>12</v>
      </c>
      <c r="G1138" s="57" t="s">
        <v>484</v>
      </c>
      <c r="H1138" s="77" t="s">
        <v>427</v>
      </c>
    </row>
    <row r="1139" spans="1:8">
      <c r="A1139" s="77">
        <v>44159</v>
      </c>
      <c r="B1139" s="56" t="s">
        <v>447</v>
      </c>
      <c r="C1139" s="58">
        <v>1</v>
      </c>
      <c r="D1139" s="50">
        <v>6</v>
      </c>
      <c r="E1139" s="63">
        <v>20</v>
      </c>
      <c r="F1139" s="65">
        <f t="shared" si="39"/>
        <v>14</v>
      </c>
      <c r="G1139" s="57" t="s">
        <v>484</v>
      </c>
      <c r="H1139" s="55" t="s">
        <v>482</v>
      </c>
    </row>
    <row r="1140" spans="1:8">
      <c r="A1140" s="77">
        <v>44159</v>
      </c>
      <c r="B1140" s="56" t="s">
        <v>447</v>
      </c>
      <c r="C1140" s="58">
        <v>1</v>
      </c>
      <c r="D1140" s="50">
        <v>6</v>
      </c>
      <c r="E1140" s="63">
        <v>20</v>
      </c>
      <c r="F1140" s="65">
        <f t="shared" si="39"/>
        <v>14</v>
      </c>
      <c r="G1140" s="57" t="s">
        <v>484</v>
      </c>
      <c r="H1140" s="55" t="s">
        <v>482</v>
      </c>
    </row>
    <row r="1141" spans="1:8">
      <c r="A1141" s="77">
        <v>44159</v>
      </c>
      <c r="B1141" s="56" t="s">
        <v>447</v>
      </c>
      <c r="C1141" s="58">
        <v>1</v>
      </c>
      <c r="D1141" s="50">
        <v>6</v>
      </c>
      <c r="E1141" s="63">
        <v>10</v>
      </c>
      <c r="F1141" s="65">
        <f t="shared" si="39"/>
        <v>4</v>
      </c>
      <c r="G1141" s="57" t="s">
        <v>484</v>
      </c>
      <c r="H1141" s="77" t="s">
        <v>427</v>
      </c>
    </row>
    <row r="1142" spans="1:8">
      <c r="A1142" s="77">
        <v>44159</v>
      </c>
      <c r="B1142" s="56" t="s">
        <v>447</v>
      </c>
      <c r="C1142" s="58">
        <v>1</v>
      </c>
      <c r="D1142" s="50">
        <v>6</v>
      </c>
      <c r="E1142" s="63">
        <v>10</v>
      </c>
      <c r="F1142" s="65">
        <f t="shared" si="39"/>
        <v>4</v>
      </c>
      <c r="G1142" s="57" t="s">
        <v>484</v>
      </c>
      <c r="H1142" s="77" t="s">
        <v>427</v>
      </c>
    </row>
    <row r="1143" spans="1:8">
      <c r="A1143" s="77">
        <v>44159</v>
      </c>
      <c r="B1143" s="56" t="s">
        <v>447</v>
      </c>
      <c r="C1143" s="58">
        <v>1</v>
      </c>
      <c r="D1143" s="50">
        <v>6</v>
      </c>
      <c r="E1143" s="63">
        <v>10</v>
      </c>
      <c r="F1143" s="65">
        <f t="shared" si="39"/>
        <v>4</v>
      </c>
      <c r="G1143" s="57" t="s">
        <v>484</v>
      </c>
      <c r="H1143" s="77" t="s">
        <v>427</v>
      </c>
    </row>
    <row r="1144" spans="1:8">
      <c r="A1144" s="77">
        <v>44159</v>
      </c>
      <c r="B1144" s="56" t="s">
        <v>447</v>
      </c>
      <c r="C1144" s="58">
        <v>1</v>
      </c>
      <c r="D1144" s="50">
        <v>6</v>
      </c>
      <c r="E1144" s="63">
        <v>10</v>
      </c>
      <c r="F1144" s="65">
        <f t="shared" si="39"/>
        <v>4</v>
      </c>
      <c r="G1144" s="57" t="s">
        <v>484</v>
      </c>
      <c r="H1144" s="77" t="s">
        <v>427</v>
      </c>
    </row>
    <row r="1145" spans="1:8">
      <c r="A1145" s="77">
        <v>44159</v>
      </c>
      <c r="B1145" s="56" t="s">
        <v>447</v>
      </c>
      <c r="C1145" s="58">
        <v>1</v>
      </c>
      <c r="D1145" s="50">
        <v>6</v>
      </c>
      <c r="E1145" s="63">
        <v>10</v>
      </c>
      <c r="F1145" s="65">
        <f t="shared" si="39"/>
        <v>4</v>
      </c>
      <c r="G1145" s="57" t="s">
        <v>484</v>
      </c>
      <c r="H1145" s="77" t="s">
        <v>427</v>
      </c>
    </row>
    <row r="1146" spans="1:8">
      <c r="A1146" s="77">
        <v>44159</v>
      </c>
      <c r="B1146" s="56" t="s">
        <v>447</v>
      </c>
      <c r="C1146" s="58">
        <v>1</v>
      </c>
      <c r="D1146" s="50">
        <v>6</v>
      </c>
      <c r="E1146" s="63">
        <v>10</v>
      </c>
      <c r="F1146" s="65">
        <f t="shared" si="39"/>
        <v>4</v>
      </c>
      <c r="G1146" s="57" t="s">
        <v>484</v>
      </c>
      <c r="H1146" s="77" t="s">
        <v>427</v>
      </c>
    </row>
    <row r="1147" spans="1:8">
      <c r="A1147" s="77">
        <v>44159</v>
      </c>
      <c r="B1147" s="56" t="s">
        <v>447</v>
      </c>
      <c r="C1147" s="58">
        <v>1</v>
      </c>
      <c r="D1147" s="50">
        <v>6</v>
      </c>
      <c r="E1147" s="63">
        <v>10</v>
      </c>
      <c r="F1147" s="65">
        <f t="shared" si="39"/>
        <v>4</v>
      </c>
      <c r="G1147" s="57" t="s">
        <v>484</v>
      </c>
      <c r="H1147" s="77" t="s">
        <v>427</v>
      </c>
    </row>
    <row r="1148" spans="1:8">
      <c r="A1148" s="77">
        <v>44159</v>
      </c>
      <c r="B1148" s="56" t="s">
        <v>447</v>
      </c>
      <c r="C1148" s="58">
        <v>1</v>
      </c>
      <c r="D1148" s="50">
        <v>6</v>
      </c>
      <c r="E1148" s="63">
        <v>10</v>
      </c>
      <c r="F1148" s="65">
        <f t="shared" si="39"/>
        <v>4</v>
      </c>
      <c r="G1148" s="57" t="s">
        <v>484</v>
      </c>
      <c r="H1148" s="77" t="s">
        <v>427</v>
      </c>
    </row>
    <row r="1149" spans="1:8">
      <c r="A1149" s="77">
        <v>44159</v>
      </c>
      <c r="B1149" s="56" t="s">
        <v>447</v>
      </c>
      <c r="C1149" s="58">
        <v>1</v>
      </c>
      <c r="D1149" s="50">
        <v>6</v>
      </c>
      <c r="E1149" s="63">
        <v>10</v>
      </c>
      <c r="F1149" s="65">
        <f t="shared" si="39"/>
        <v>4</v>
      </c>
      <c r="G1149" s="57" t="s">
        <v>484</v>
      </c>
      <c r="H1149" s="77" t="s">
        <v>427</v>
      </c>
    </row>
    <row r="1150" spans="1:8">
      <c r="A1150" s="77">
        <v>44159</v>
      </c>
      <c r="B1150" s="56" t="s">
        <v>447</v>
      </c>
      <c r="C1150" s="58">
        <v>1</v>
      </c>
      <c r="D1150" s="50">
        <v>6</v>
      </c>
      <c r="E1150" s="63">
        <v>10</v>
      </c>
      <c r="F1150" s="65">
        <f t="shared" si="39"/>
        <v>4</v>
      </c>
      <c r="G1150" s="57" t="s">
        <v>484</v>
      </c>
      <c r="H1150" s="77" t="s">
        <v>427</v>
      </c>
    </row>
    <row r="1151" spans="1:8">
      <c r="A1151" s="77">
        <v>44159</v>
      </c>
      <c r="B1151" s="56" t="s">
        <v>447</v>
      </c>
      <c r="C1151" s="58">
        <v>1</v>
      </c>
      <c r="D1151" s="50">
        <v>6</v>
      </c>
      <c r="E1151" s="63">
        <v>10</v>
      </c>
      <c r="F1151" s="65">
        <f t="shared" si="39"/>
        <v>4</v>
      </c>
      <c r="G1151" s="57" t="s">
        <v>484</v>
      </c>
      <c r="H1151" s="77" t="s">
        <v>427</v>
      </c>
    </row>
    <row r="1152" spans="1:8">
      <c r="A1152" s="77">
        <v>44159</v>
      </c>
      <c r="B1152" s="56" t="s">
        <v>447</v>
      </c>
      <c r="C1152" s="58">
        <v>1</v>
      </c>
      <c r="D1152" s="50">
        <v>6</v>
      </c>
      <c r="E1152" s="63">
        <v>10</v>
      </c>
      <c r="F1152" s="65">
        <f t="shared" si="39"/>
        <v>4</v>
      </c>
      <c r="G1152" s="57" t="s">
        <v>484</v>
      </c>
      <c r="H1152" s="77" t="s">
        <v>427</v>
      </c>
    </row>
    <row r="1153" spans="1:8">
      <c r="A1153" s="77">
        <v>44159</v>
      </c>
      <c r="B1153" s="56" t="s">
        <v>447</v>
      </c>
      <c r="C1153" s="58">
        <v>1</v>
      </c>
      <c r="D1153" s="50">
        <v>6</v>
      </c>
      <c r="E1153" s="63">
        <v>10</v>
      </c>
      <c r="F1153" s="65">
        <f t="shared" si="39"/>
        <v>4</v>
      </c>
      <c r="G1153" s="57" t="s">
        <v>484</v>
      </c>
      <c r="H1153" s="77" t="s">
        <v>427</v>
      </c>
    </row>
    <row r="1154" spans="1:8">
      <c r="A1154" s="77">
        <v>44159</v>
      </c>
      <c r="B1154" s="56" t="s">
        <v>447</v>
      </c>
      <c r="C1154" s="58">
        <v>1</v>
      </c>
      <c r="D1154" s="50">
        <v>6</v>
      </c>
      <c r="E1154" s="63">
        <v>10</v>
      </c>
      <c r="F1154" s="65">
        <f t="shared" si="39"/>
        <v>4</v>
      </c>
      <c r="G1154" s="57" t="s">
        <v>484</v>
      </c>
      <c r="H1154" s="77" t="s">
        <v>427</v>
      </c>
    </row>
    <row r="1155" spans="1:8">
      <c r="A1155" s="77">
        <v>44159</v>
      </c>
      <c r="B1155" s="56" t="s">
        <v>447</v>
      </c>
      <c r="C1155" s="58">
        <v>1</v>
      </c>
      <c r="D1155" s="50">
        <v>6</v>
      </c>
      <c r="E1155" s="63">
        <v>10</v>
      </c>
      <c r="F1155" s="65">
        <f t="shared" ref="F1155:F1186" si="40">E1155-D1155</f>
        <v>4</v>
      </c>
      <c r="G1155" s="57" t="s">
        <v>484</v>
      </c>
      <c r="H1155" s="77" t="s">
        <v>427</v>
      </c>
    </row>
    <row r="1156" spans="1:8">
      <c r="A1156" s="77">
        <v>44159</v>
      </c>
      <c r="B1156" s="56" t="s">
        <v>447</v>
      </c>
      <c r="C1156" s="58">
        <v>1</v>
      </c>
      <c r="D1156" s="50">
        <v>6</v>
      </c>
      <c r="E1156" s="63">
        <v>10</v>
      </c>
      <c r="F1156" s="65">
        <f t="shared" si="40"/>
        <v>4</v>
      </c>
      <c r="G1156" s="57" t="s">
        <v>484</v>
      </c>
      <c r="H1156" s="77" t="s">
        <v>427</v>
      </c>
    </row>
    <row r="1157" spans="1:8">
      <c r="A1157" s="77">
        <v>44159</v>
      </c>
      <c r="B1157" s="56" t="s">
        <v>457</v>
      </c>
      <c r="C1157" s="58">
        <v>1</v>
      </c>
      <c r="D1157" s="50">
        <v>25</v>
      </c>
      <c r="E1157" s="63">
        <v>50</v>
      </c>
      <c r="F1157" s="65">
        <f t="shared" si="40"/>
        <v>25</v>
      </c>
      <c r="G1157" s="57" t="s">
        <v>484</v>
      </c>
      <c r="H1157" s="77" t="s">
        <v>427</v>
      </c>
    </row>
    <row r="1158" spans="1:8">
      <c r="A1158" s="77">
        <v>44159</v>
      </c>
      <c r="B1158" s="56" t="s">
        <v>426</v>
      </c>
      <c r="C1158" s="58">
        <v>1</v>
      </c>
      <c r="D1158" s="50">
        <v>40</v>
      </c>
      <c r="E1158" s="63">
        <v>80</v>
      </c>
      <c r="F1158" s="65">
        <f t="shared" si="40"/>
        <v>40</v>
      </c>
      <c r="G1158" s="57" t="s">
        <v>484</v>
      </c>
      <c r="H1158" s="55" t="s">
        <v>482</v>
      </c>
    </row>
    <row r="1159" spans="1:8">
      <c r="A1159" s="77">
        <v>44159</v>
      </c>
      <c r="B1159" s="56" t="s">
        <v>424</v>
      </c>
      <c r="C1159" s="58">
        <v>1</v>
      </c>
      <c r="D1159" s="50">
        <v>33</v>
      </c>
      <c r="E1159" s="63">
        <v>70</v>
      </c>
      <c r="F1159" s="65">
        <f t="shared" si="40"/>
        <v>37</v>
      </c>
      <c r="G1159" s="57" t="s">
        <v>484</v>
      </c>
      <c r="H1159" s="55" t="s">
        <v>482</v>
      </c>
    </row>
    <row r="1160" spans="1:8">
      <c r="A1160" s="77">
        <v>44159</v>
      </c>
      <c r="B1160" s="56" t="s">
        <v>429</v>
      </c>
      <c r="C1160" s="58">
        <v>1</v>
      </c>
      <c r="D1160" s="50">
        <v>8</v>
      </c>
      <c r="E1160" s="63">
        <v>25</v>
      </c>
      <c r="F1160" s="65">
        <f t="shared" si="40"/>
        <v>17</v>
      </c>
      <c r="G1160" s="57" t="s">
        <v>484</v>
      </c>
      <c r="H1160" s="55" t="s">
        <v>482</v>
      </c>
    </row>
    <row r="1161" spans="1:8">
      <c r="A1161" s="77">
        <v>44159</v>
      </c>
      <c r="B1161" s="55" t="s">
        <v>420</v>
      </c>
      <c r="C1161" s="58">
        <v>1</v>
      </c>
      <c r="D1161" s="65">
        <v>20</v>
      </c>
      <c r="E1161" s="65">
        <v>40</v>
      </c>
      <c r="F1161" s="65">
        <f t="shared" si="40"/>
        <v>20</v>
      </c>
      <c r="G1161" s="57" t="s">
        <v>484</v>
      </c>
      <c r="H1161" s="55" t="s">
        <v>482</v>
      </c>
    </row>
    <row r="1162" spans="1:8">
      <c r="A1162" s="77">
        <v>44159</v>
      </c>
      <c r="B1162" s="56" t="s">
        <v>67</v>
      </c>
      <c r="C1162" s="58">
        <v>1</v>
      </c>
      <c r="D1162" s="50">
        <v>20</v>
      </c>
      <c r="E1162" s="63">
        <v>40</v>
      </c>
      <c r="F1162" s="65">
        <f t="shared" si="40"/>
        <v>20</v>
      </c>
      <c r="G1162" s="57" t="s">
        <v>484</v>
      </c>
      <c r="H1162" s="55" t="s">
        <v>482</v>
      </c>
    </row>
    <row r="1163" spans="1:8">
      <c r="A1163" s="77">
        <v>44159</v>
      </c>
      <c r="B1163" s="56" t="s">
        <v>436</v>
      </c>
      <c r="C1163" s="58">
        <v>1</v>
      </c>
      <c r="D1163" s="50">
        <v>25</v>
      </c>
      <c r="E1163" s="63">
        <v>45</v>
      </c>
      <c r="F1163" s="65">
        <f t="shared" si="40"/>
        <v>20</v>
      </c>
      <c r="G1163" s="57" t="s">
        <v>484</v>
      </c>
      <c r="H1163" s="77" t="s">
        <v>427</v>
      </c>
    </row>
    <row r="1164" spans="1:8">
      <c r="A1164" s="77">
        <v>44159</v>
      </c>
      <c r="B1164" s="56" t="s">
        <v>436</v>
      </c>
      <c r="C1164" s="58">
        <v>1</v>
      </c>
      <c r="D1164" s="50">
        <v>25</v>
      </c>
      <c r="E1164" s="63">
        <v>54</v>
      </c>
      <c r="F1164" s="65">
        <f t="shared" si="40"/>
        <v>29</v>
      </c>
      <c r="G1164" s="57" t="s">
        <v>484</v>
      </c>
      <c r="H1164" s="77" t="s">
        <v>427</v>
      </c>
    </row>
    <row r="1165" spans="1:8">
      <c r="A1165" s="77">
        <v>44159</v>
      </c>
      <c r="B1165" s="56" t="s">
        <v>430</v>
      </c>
      <c r="C1165" s="58">
        <v>1</v>
      </c>
      <c r="D1165" s="50">
        <v>2.5</v>
      </c>
      <c r="E1165" s="63">
        <v>10</v>
      </c>
      <c r="F1165" s="65">
        <f t="shared" si="40"/>
        <v>7.5</v>
      </c>
      <c r="G1165" s="57" t="s">
        <v>484</v>
      </c>
      <c r="H1165" s="55" t="s">
        <v>482</v>
      </c>
    </row>
    <row r="1166" spans="1:8">
      <c r="A1166" s="77">
        <v>44159</v>
      </c>
      <c r="B1166" s="56" t="s">
        <v>430</v>
      </c>
      <c r="C1166" s="58">
        <v>1</v>
      </c>
      <c r="D1166" s="50">
        <v>2</v>
      </c>
      <c r="E1166" s="63">
        <v>20</v>
      </c>
      <c r="F1166" s="65">
        <f t="shared" si="40"/>
        <v>18</v>
      </c>
      <c r="G1166" s="57" t="s">
        <v>484</v>
      </c>
      <c r="H1166" s="55" t="s">
        <v>482</v>
      </c>
    </row>
    <row r="1167" spans="1:8">
      <c r="A1167" s="77">
        <v>44159</v>
      </c>
      <c r="B1167" s="56" t="s">
        <v>422</v>
      </c>
      <c r="C1167" s="58">
        <v>1</v>
      </c>
      <c r="D1167" s="50">
        <v>12.5</v>
      </c>
      <c r="E1167" s="63">
        <v>25</v>
      </c>
      <c r="F1167" s="65">
        <f t="shared" si="40"/>
        <v>12.5</v>
      </c>
      <c r="G1167" s="57" t="s">
        <v>484</v>
      </c>
      <c r="H1167" s="55" t="s">
        <v>482</v>
      </c>
    </row>
    <row r="1168" spans="1:8">
      <c r="A1168" s="77">
        <v>44159</v>
      </c>
      <c r="B1168" s="56" t="s">
        <v>433</v>
      </c>
      <c r="C1168" s="58">
        <v>1</v>
      </c>
      <c r="D1168" s="50">
        <v>60</v>
      </c>
      <c r="E1168" s="63">
        <v>130</v>
      </c>
      <c r="F1168" s="65">
        <f t="shared" si="40"/>
        <v>70</v>
      </c>
      <c r="G1168" s="57" t="s">
        <v>484</v>
      </c>
      <c r="H1168" s="55" t="s">
        <v>482</v>
      </c>
    </row>
    <row r="1169" spans="1:8">
      <c r="A1169" s="77">
        <v>44159</v>
      </c>
      <c r="B1169" s="56" t="s">
        <v>441</v>
      </c>
      <c r="C1169" s="58">
        <v>1</v>
      </c>
      <c r="D1169" s="50">
        <v>6</v>
      </c>
      <c r="E1169" s="63">
        <v>12</v>
      </c>
      <c r="F1169" s="65">
        <f t="shared" si="40"/>
        <v>6</v>
      </c>
      <c r="G1169" s="57" t="s">
        <v>484</v>
      </c>
      <c r="H1169" s="55" t="s">
        <v>482</v>
      </c>
    </row>
    <row r="1170" spans="1:8">
      <c r="A1170" s="77">
        <v>44159</v>
      </c>
      <c r="B1170" s="55" t="s">
        <v>327</v>
      </c>
      <c r="C1170" s="58">
        <v>1</v>
      </c>
      <c r="D1170" s="65">
        <v>26.5</v>
      </c>
      <c r="E1170" s="65">
        <v>120</v>
      </c>
      <c r="F1170" s="65">
        <f t="shared" si="40"/>
        <v>93.5</v>
      </c>
      <c r="G1170" s="57" t="s">
        <v>484</v>
      </c>
      <c r="H1170" s="55" t="s">
        <v>482</v>
      </c>
    </row>
    <row r="1171" spans="1:8">
      <c r="A1171" s="77">
        <v>44159</v>
      </c>
      <c r="B1171" s="55" t="s">
        <v>327</v>
      </c>
      <c r="C1171" s="58">
        <v>1</v>
      </c>
      <c r="D1171" s="65">
        <v>21.19</v>
      </c>
      <c r="E1171" s="65">
        <v>120</v>
      </c>
      <c r="F1171" s="65">
        <f t="shared" si="40"/>
        <v>98.81</v>
      </c>
      <c r="G1171" s="57" t="s">
        <v>484</v>
      </c>
      <c r="H1171" s="55" t="s">
        <v>482</v>
      </c>
    </row>
    <row r="1172" spans="1:8">
      <c r="A1172" s="77">
        <v>44159</v>
      </c>
      <c r="B1172" s="55" t="s">
        <v>327</v>
      </c>
      <c r="C1172" s="58">
        <v>1</v>
      </c>
      <c r="D1172" s="65">
        <v>21.19</v>
      </c>
      <c r="E1172" s="65">
        <v>120</v>
      </c>
      <c r="F1172" s="65">
        <f t="shared" si="40"/>
        <v>98.81</v>
      </c>
      <c r="G1172" s="57" t="s">
        <v>484</v>
      </c>
      <c r="H1172" s="55" t="s">
        <v>482</v>
      </c>
    </row>
    <row r="1173" spans="1:8">
      <c r="A1173" s="77">
        <v>44159</v>
      </c>
      <c r="B1173" s="55" t="s">
        <v>327</v>
      </c>
      <c r="C1173" s="58">
        <v>1</v>
      </c>
      <c r="D1173" s="65">
        <v>21.19</v>
      </c>
      <c r="E1173" s="65">
        <v>100</v>
      </c>
      <c r="F1173" s="65">
        <f t="shared" si="40"/>
        <v>78.81</v>
      </c>
      <c r="G1173" s="57" t="s">
        <v>484</v>
      </c>
      <c r="H1173" s="55" t="s">
        <v>482</v>
      </c>
    </row>
    <row r="1174" spans="1:8">
      <c r="A1174" s="77">
        <v>44159</v>
      </c>
      <c r="B1174" s="56" t="s">
        <v>453</v>
      </c>
      <c r="C1174" s="58">
        <v>1</v>
      </c>
      <c r="D1174" s="50">
        <v>0.6</v>
      </c>
      <c r="E1174" s="63">
        <v>2</v>
      </c>
      <c r="F1174" s="65">
        <f t="shared" si="40"/>
        <v>1.4</v>
      </c>
      <c r="G1174" s="57" t="s">
        <v>484</v>
      </c>
      <c r="H1174" s="77" t="s">
        <v>427</v>
      </c>
    </row>
    <row r="1175" spans="1:8">
      <c r="A1175" s="77">
        <v>44159</v>
      </c>
      <c r="B1175" s="56" t="s">
        <v>453</v>
      </c>
      <c r="C1175" s="58">
        <v>1</v>
      </c>
      <c r="D1175" s="50">
        <v>0.6</v>
      </c>
      <c r="E1175" s="63">
        <v>2</v>
      </c>
      <c r="F1175" s="65">
        <f t="shared" si="40"/>
        <v>1.4</v>
      </c>
      <c r="G1175" s="57" t="s">
        <v>484</v>
      </c>
      <c r="H1175" s="77" t="s">
        <v>427</v>
      </c>
    </row>
    <row r="1176" spans="1:8">
      <c r="A1176" s="77">
        <v>44159</v>
      </c>
      <c r="B1176" s="56" t="s">
        <v>437</v>
      </c>
      <c r="C1176" s="58">
        <v>1</v>
      </c>
      <c r="D1176" s="50">
        <v>25</v>
      </c>
      <c r="E1176" s="63">
        <v>50</v>
      </c>
      <c r="F1176" s="65">
        <f t="shared" si="40"/>
        <v>25</v>
      </c>
      <c r="G1176" s="57" t="s">
        <v>484</v>
      </c>
      <c r="H1176" s="77" t="s">
        <v>427</v>
      </c>
    </row>
    <row r="1177" spans="1:8">
      <c r="A1177" s="77">
        <v>44159</v>
      </c>
      <c r="B1177" s="56" t="s">
        <v>437</v>
      </c>
      <c r="C1177" s="58">
        <v>1</v>
      </c>
      <c r="D1177" s="50">
        <v>25</v>
      </c>
      <c r="E1177" s="63">
        <v>50</v>
      </c>
      <c r="F1177" s="65">
        <f t="shared" si="40"/>
        <v>25</v>
      </c>
      <c r="G1177" s="57" t="s">
        <v>484</v>
      </c>
      <c r="H1177" s="77" t="s">
        <v>427</v>
      </c>
    </row>
    <row r="1178" spans="1:8">
      <c r="A1178" s="77">
        <v>44159</v>
      </c>
      <c r="B1178" s="56" t="s">
        <v>437</v>
      </c>
      <c r="C1178" s="58">
        <v>1</v>
      </c>
      <c r="D1178" s="50">
        <v>25</v>
      </c>
      <c r="E1178" s="63">
        <v>50</v>
      </c>
      <c r="F1178" s="65">
        <f t="shared" si="40"/>
        <v>25</v>
      </c>
      <c r="G1178" s="57" t="s">
        <v>484</v>
      </c>
      <c r="H1178" s="77" t="s">
        <v>427</v>
      </c>
    </row>
    <row r="1179" spans="1:8">
      <c r="A1179" s="77">
        <v>44159</v>
      </c>
      <c r="B1179" s="56" t="s">
        <v>437</v>
      </c>
      <c r="C1179" s="58">
        <v>1</v>
      </c>
      <c r="D1179" s="50">
        <v>25</v>
      </c>
      <c r="E1179" s="63">
        <v>50</v>
      </c>
      <c r="F1179" s="65">
        <f t="shared" si="40"/>
        <v>25</v>
      </c>
      <c r="G1179" s="57" t="s">
        <v>484</v>
      </c>
      <c r="H1179" s="77" t="s">
        <v>427</v>
      </c>
    </row>
    <row r="1180" spans="1:8">
      <c r="A1180" s="77">
        <v>44160</v>
      </c>
      <c r="B1180" s="56" t="s">
        <v>437</v>
      </c>
      <c r="C1180" s="58">
        <v>1</v>
      </c>
      <c r="D1180" s="50">
        <v>25</v>
      </c>
      <c r="E1180" s="63">
        <v>50</v>
      </c>
      <c r="F1180" s="65">
        <f t="shared" si="40"/>
        <v>25</v>
      </c>
      <c r="G1180" s="57" t="s">
        <v>484</v>
      </c>
      <c r="H1180" s="77" t="s">
        <v>427</v>
      </c>
    </row>
    <row r="1181" spans="1:8">
      <c r="A1181" s="77">
        <v>44161</v>
      </c>
      <c r="B1181" s="56" t="s">
        <v>437</v>
      </c>
      <c r="C1181" s="58">
        <v>1</v>
      </c>
      <c r="D1181" s="50">
        <v>25</v>
      </c>
      <c r="E1181" s="63">
        <v>50</v>
      </c>
      <c r="F1181" s="65">
        <f t="shared" si="40"/>
        <v>25</v>
      </c>
      <c r="G1181" s="57" t="s">
        <v>484</v>
      </c>
      <c r="H1181" s="77" t="s">
        <v>427</v>
      </c>
    </row>
    <row r="1182" spans="1:8">
      <c r="A1182" s="77">
        <v>44161</v>
      </c>
      <c r="B1182" s="56" t="s">
        <v>428</v>
      </c>
      <c r="C1182" s="58">
        <v>1</v>
      </c>
      <c r="D1182" s="50">
        <v>21</v>
      </c>
      <c r="E1182" s="63">
        <v>45</v>
      </c>
      <c r="F1182" s="65">
        <f t="shared" si="40"/>
        <v>24</v>
      </c>
      <c r="G1182" s="57" t="s">
        <v>484</v>
      </c>
      <c r="H1182" s="55" t="s">
        <v>482</v>
      </c>
    </row>
    <row r="1183" spans="1:8">
      <c r="A1183" s="77">
        <v>44161</v>
      </c>
      <c r="B1183" s="56" t="s">
        <v>458</v>
      </c>
      <c r="C1183" s="58">
        <v>1</v>
      </c>
      <c r="D1183" s="50">
        <v>7</v>
      </c>
      <c r="E1183" s="63">
        <v>12</v>
      </c>
      <c r="F1183" s="65">
        <f t="shared" si="40"/>
        <v>5</v>
      </c>
      <c r="G1183" s="57" t="s">
        <v>484</v>
      </c>
      <c r="H1183" s="77" t="s">
        <v>427</v>
      </c>
    </row>
    <row r="1184" spans="1:8">
      <c r="A1184" s="77">
        <v>44161</v>
      </c>
      <c r="B1184" s="56" t="s">
        <v>458</v>
      </c>
      <c r="C1184" s="58">
        <v>1</v>
      </c>
      <c r="D1184" s="50">
        <v>7</v>
      </c>
      <c r="E1184" s="63">
        <v>12</v>
      </c>
      <c r="F1184" s="65">
        <f t="shared" si="40"/>
        <v>5</v>
      </c>
      <c r="G1184" s="57" t="s">
        <v>484</v>
      </c>
      <c r="H1184" s="77" t="s">
        <v>427</v>
      </c>
    </row>
    <row r="1185" spans="1:8">
      <c r="A1185" s="77">
        <v>44161</v>
      </c>
      <c r="B1185" s="56" t="s">
        <v>434</v>
      </c>
      <c r="C1185" s="58">
        <v>1</v>
      </c>
      <c r="D1185" s="50">
        <v>21</v>
      </c>
      <c r="E1185" s="63">
        <v>30</v>
      </c>
      <c r="F1185" s="65">
        <f t="shared" si="40"/>
        <v>9</v>
      </c>
      <c r="G1185" s="57" t="s">
        <v>484</v>
      </c>
      <c r="H1185" s="77" t="s">
        <v>427</v>
      </c>
    </row>
    <row r="1186" spans="1:8">
      <c r="A1186" s="77">
        <v>44161</v>
      </c>
      <c r="B1186" s="56" t="s">
        <v>434</v>
      </c>
      <c r="C1186" s="58">
        <v>1</v>
      </c>
      <c r="D1186" s="50">
        <v>21</v>
      </c>
      <c r="E1186" s="63">
        <v>30</v>
      </c>
      <c r="F1186" s="65">
        <f t="shared" si="40"/>
        <v>9</v>
      </c>
      <c r="G1186" s="57" t="s">
        <v>484</v>
      </c>
      <c r="H1186" s="77" t="s">
        <v>427</v>
      </c>
    </row>
    <row r="1187" spans="1:8">
      <c r="A1187" s="77">
        <v>44161</v>
      </c>
      <c r="B1187" s="56" t="s">
        <v>447</v>
      </c>
      <c r="C1187" s="58">
        <v>1</v>
      </c>
      <c r="D1187" s="50">
        <v>6</v>
      </c>
      <c r="E1187" s="63">
        <v>10</v>
      </c>
      <c r="F1187" s="65">
        <f t="shared" ref="F1187:F1216" si="41">E1187-D1187</f>
        <v>4</v>
      </c>
      <c r="G1187" s="57" t="s">
        <v>484</v>
      </c>
      <c r="H1187" s="77" t="s">
        <v>427</v>
      </c>
    </row>
    <row r="1188" spans="1:8">
      <c r="A1188" s="77">
        <v>44161</v>
      </c>
      <c r="B1188" s="56" t="s">
        <v>447</v>
      </c>
      <c r="C1188" s="58">
        <v>1</v>
      </c>
      <c r="D1188" s="50">
        <v>6</v>
      </c>
      <c r="E1188" s="63">
        <v>10</v>
      </c>
      <c r="F1188" s="65">
        <f t="shared" si="41"/>
        <v>4</v>
      </c>
      <c r="G1188" s="57" t="s">
        <v>484</v>
      </c>
      <c r="H1188" s="77" t="s">
        <v>427</v>
      </c>
    </row>
    <row r="1189" spans="1:8">
      <c r="A1189" s="77">
        <v>44161</v>
      </c>
      <c r="B1189" s="56" t="s">
        <v>447</v>
      </c>
      <c r="C1189" s="58">
        <v>1</v>
      </c>
      <c r="D1189" s="50">
        <v>6</v>
      </c>
      <c r="E1189" s="63">
        <v>10</v>
      </c>
      <c r="F1189" s="65">
        <f t="shared" si="41"/>
        <v>4</v>
      </c>
      <c r="G1189" s="57" t="s">
        <v>484</v>
      </c>
      <c r="H1189" s="77" t="s">
        <v>427</v>
      </c>
    </row>
    <row r="1190" spans="1:8">
      <c r="A1190" s="77">
        <v>44161</v>
      </c>
      <c r="B1190" s="56" t="s">
        <v>447</v>
      </c>
      <c r="C1190" s="58">
        <v>1</v>
      </c>
      <c r="D1190" s="50">
        <v>6</v>
      </c>
      <c r="E1190" s="63">
        <v>10</v>
      </c>
      <c r="F1190" s="65">
        <f t="shared" si="41"/>
        <v>4</v>
      </c>
      <c r="G1190" s="57" t="s">
        <v>484</v>
      </c>
      <c r="H1190" s="77" t="s">
        <v>427</v>
      </c>
    </row>
    <row r="1191" spans="1:8">
      <c r="A1191" s="77">
        <v>44161</v>
      </c>
      <c r="B1191" s="56" t="s">
        <v>447</v>
      </c>
      <c r="C1191" s="58">
        <v>1</v>
      </c>
      <c r="D1191" s="50">
        <v>6</v>
      </c>
      <c r="E1191" s="63">
        <v>10</v>
      </c>
      <c r="F1191" s="65">
        <f t="shared" si="41"/>
        <v>4</v>
      </c>
      <c r="G1191" s="57" t="s">
        <v>484</v>
      </c>
      <c r="H1191" s="77" t="s">
        <v>427</v>
      </c>
    </row>
    <row r="1192" spans="1:8">
      <c r="A1192" s="77">
        <v>44161</v>
      </c>
      <c r="B1192" s="56" t="s">
        <v>447</v>
      </c>
      <c r="C1192" s="58">
        <v>1</v>
      </c>
      <c r="D1192" s="50">
        <v>6</v>
      </c>
      <c r="E1192" s="63">
        <v>10</v>
      </c>
      <c r="F1192" s="65">
        <f t="shared" si="41"/>
        <v>4</v>
      </c>
      <c r="G1192" s="57" t="s">
        <v>484</v>
      </c>
      <c r="H1192" s="77" t="s">
        <v>427</v>
      </c>
    </row>
    <row r="1193" spans="1:8">
      <c r="A1193" s="77">
        <v>44161</v>
      </c>
      <c r="B1193" s="56" t="s">
        <v>447</v>
      </c>
      <c r="C1193" s="58">
        <v>1</v>
      </c>
      <c r="D1193" s="50">
        <v>6</v>
      </c>
      <c r="E1193" s="63">
        <v>10</v>
      </c>
      <c r="F1193" s="65">
        <f t="shared" si="41"/>
        <v>4</v>
      </c>
      <c r="G1193" s="57" t="s">
        <v>484</v>
      </c>
      <c r="H1193" s="77" t="s">
        <v>427</v>
      </c>
    </row>
    <row r="1194" spans="1:8">
      <c r="A1194" s="77">
        <v>44161</v>
      </c>
      <c r="B1194" s="56" t="s">
        <v>447</v>
      </c>
      <c r="C1194" s="58">
        <v>1</v>
      </c>
      <c r="D1194" s="50">
        <v>6</v>
      </c>
      <c r="E1194" s="63">
        <v>10</v>
      </c>
      <c r="F1194" s="65">
        <f t="shared" si="41"/>
        <v>4</v>
      </c>
      <c r="G1194" s="57" t="s">
        <v>484</v>
      </c>
      <c r="H1194" s="77" t="s">
        <v>427</v>
      </c>
    </row>
    <row r="1195" spans="1:8">
      <c r="A1195" s="77">
        <v>44161</v>
      </c>
      <c r="B1195" s="56" t="s">
        <v>447</v>
      </c>
      <c r="C1195" s="58">
        <v>1</v>
      </c>
      <c r="D1195" s="50">
        <v>6</v>
      </c>
      <c r="E1195" s="63">
        <v>10</v>
      </c>
      <c r="F1195" s="65">
        <f t="shared" si="41"/>
        <v>4</v>
      </c>
      <c r="G1195" s="57" t="s">
        <v>484</v>
      </c>
      <c r="H1195" s="77" t="s">
        <v>427</v>
      </c>
    </row>
    <row r="1196" spans="1:8">
      <c r="A1196" s="77">
        <v>44161</v>
      </c>
      <c r="B1196" s="56" t="s">
        <v>447</v>
      </c>
      <c r="C1196" s="58">
        <v>1</v>
      </c>
      <c r="D1196" s="50">
        <v>6</v>
      </c>
      <c r="E1196" s="63">
        <v>10</v>
      </c>
      <c r="F1196" s="65">
        <f t="shared" si="41"/>
        <v>4</v>
      </c>
      <c r="G1196" s="57" t="s">
        <v>484</v>
      </c>
      <c r="H1196" s="77" t="s">
        <v>427</v>
      </c>
    </row>
    <row r="1197" spans="1:8">
      <c r="A1197" s="77">
        <v>44161</v>
      </c>
      <c r="B1197" s="56" t="s">
        <v>447</v>
      </c>
      <c r="C1197" s="58">
        <v>1</v>
      </c>
      <c r="D1197" s="50">
        <v>6</v>
      </c>
      <c r="E1197" s="63">
        <v>10</v>
      </c>
      <c r="F1197" s="65">
        <f t="shared" si="41"/>
        <v>4</v>
      </c>
      <c r="G1197" s="57" t="s">
        <v>484</v>
      </c>
      <c r="H1197" s="77" t="s">
        <v>427</v>
      </c>
    </row>
    <row r="1198" spans="1:8">
      <c r="A1198" s="77">
        <v>44161</v>
      </c>
      <c r="B1198" s="56" t="s">
        <v>447</v>
      </c>
      <c r="C1198" s="58">
        <v>1</v>
      </c>
      <c r="D1198" s="50">
        <v>6</v>
      </c>
      <c r="E1198" s="63">
        <v>10</v>
      </c>
      <c r="F1198" s="65">
        <f t="shared" si="41"/>
        <v>4</v>
      </c>
      <c r="G1198" s="57" t="s">
        <v>484</v>
      </c>
      <c r="H1198" s="77" t="s">
        <v>427</v>
      </c>
    </row>
    <row r="1199" spans="1:8">
      <c r="A1199" s="77">
        <v>44161</v>
      </c>
      <c r="B1199" s="56" t="s">
        <v>447</v>
      </c>
      <c r="C1199" s="58">
        <v>1</v>
      </c>
      <c r="D1199" s="50">
        <v>6</v>
      </c>
      <c r="E1199" s="63">
        <v>10</v>
      </c>
      <c r="F1199" s="65">
        <f t="shared" si="41"/>
        <v>4</v>
      </c>
      <c r="G1199" s="57" t="s">
        <v>484</v>
      </c>
      <c r="H1199" s="77" t="s">
        <v>427</v>
      </c>
    </row>
    <row r="1200" spans="1:8">
      <c r="A1200" s="77">
        <v>44161</v>
      </c>
      <c r="B1200" s="56" t="s">
        <v>447</v>
      </c>
      <c r="C1200" s="58">
        <v>1</v>
      </c>
      <c r="D1200" s="50">
        <v>6</v>
      </c>
      <c r="E1200" s="63">
        <v>10</v>
      </c>
      <c r="F1200" s="65">
        <f t="shared" si="41"/>
        <v>4</v>
      </c>
      <c r="G1200" s="57" t="s">
        <v>484</v>
      </c>
      <c r="H1200" s="77" t="s">
        <v>427</v>
      </c>
    </row>
    <row r="1201" spans="1:8">
      <c r="A1201" s="77">
        <v>44161</v>
      </c>
      <c r="B1201" s="56" t="s">
        <v>447</v>
      </c>
      <c r="C1201" s="58">
        <v>1</v>
      </c>
      <c r="D1201" s="50">
        <v>6</v>
      </c>
      <c r="E1201" s="63">
        <v>10</v>
      </c>
      <c r="F1201" s="65">
        <f t="shared" si="41"/>
        <v>4</v>
      </c>
      <c r="G1201" s="57" t="s">
        <v>484</v>
      </c>
      <c r="H1201" s="77" t="s">
        <v>427</v>
      </c>
    </row>
    <row r="1202" spans="1:8">
      <c r="A1202" s="77">
        <v>44161</v>
      </c>
      <c r="B1202" s="56" t="s">
        <v>447</v>
      </c>
      <c r="C1202" s="58">
        <v>1</v>
      </c>
      <c r="D1202" s="50">
        <v>6</v>
      </c>
      <c r="E1202" s="63">
        <v>10</v>
      </c>
      <c r="F1202" s="65">
        <f t="shared" si="41"/>
        <v>4</v>
      </c>
      <c r="G1202" s="57" t="s">
        <v>484</v>
      </c>
      <c r="H1202" s="77" t="s">
        <v>427</v>
      </c>
    </row>
    <row r="1203" spans="1:8">
      <c r="A1203" s="77">
        <v>44161</v>
      </c>
      <c r="B1203" s="56" t="s">
        <v>447</v>
      </c>
      <c r="C1203" s="58">
        <v>1</v>
      </c>
      <c r="D1203" s="50">
        <v>6</v>
      </c>
      <c r="E1203" s="63">
        <v>10</v>
      </c>
      <c r="F1203" s="65">
        <f t="shared" si="41"/>
        <v>4</v>
      </c>
      <c r="G1203" s="57" t="s">
        <v>484</v>
      </c>
      <c r="H1203" s="77" t="s">
        <v>427</v>
      </c>
    </row>
    <row r="1204" spans="1:8">
      <c r="A1204" s="77">
        <v>44161</v>
      </c>
      <c r="B1204" s="56" t="s">
        <v>447</v>
      </c>
      <c r="C1204" s="58">
        <v>1</v>
      </c>
      <c r="D1204" s="50">
        <v>6</v>
      </c>
      <c r="E1204" s="63">
        <v>10</v>
      </c>
      <c r="F1204" s="65">
        <f t="shared" si="41"/>
        <v>4</v>
      </c>
      <c r="G1204" s="57" t="s">
        <v>484</v>
      </c>
      <c r="H1204" s="77" t="s">
        <v>427</v>
      </c>
    </row>
    <row r="1205" spans="1:8">
      <c r="A1205" s="77">
        <v>44161</v>
      </c>
      <c r="B1205" s="56" t="s">
        <v>447</v>
      </c>
      <c r="C1205" s="58">
        <v>1</v>
      </c>
      <c r="D1205" s="65">
        <v>6</v>
      </c>
      <c r="E1205" s="63">
        <v>10</v>
      </c>
      <c r="F1205" s="65">
        <f t="shared" si="41"/>
        <v>4</v>
      </c>
      <c r="G1205" s="57" t="s">
        <v>484</v>
      </c>
      <c r="H1205" s="77" t="s">
        <v>427</v>
      </c>
    </row>
    <row r="1206" spans="1:8">
      <c r="A1206" s="77">
        <v>44161</v>
      </c>
      <c r="B1206" s="56" t="s">
        <v>447</v>
      </c>
      <c r="C1206" s="58">
        <v>1</v>
      </c>
      <c r="D1206" s="50">
        <v>6</v>
      </c>
      <c r="E1206" s="63">
        <v>10</v>
      </c>
      <c r="F1206" s="65">
        <f t="shared" si="41"/>
        <v>4</v>
      </c>
      <c r="G1206" s="57" t="s">
        <v>484</v>
      </c>
      <c r="H1206" s="77" t="s">
        <v>427</v>
      </c>
    </row>
    <row r="1207" spans="1:8">
      <c r="A1207" s="77">
        <v>44161</v>
      </c>
      <c r="B1207" s="56" t="s">
        <v>447</v>
      </c>
      <c r="C1207" s="58">
        <v>1</v>
      </c>
      <c r="D1207" s="50">
        <v>6</v>
      </c>
      <c r="E1207" s="63">
        <v>10</v>
      </c>
      <c r="F1207" s="65">
        <f t="shared" si="41"/>
        <v>4</v>
      </c>
      <c r="G1207" s="57" t="s">
        <v>484</v>
      </c>
      <c r="H1207" s="77" t="s">
        <v>427</v>
      </c>
    </row>
    <row r="1208" spans="1:8">
      <c r="A1208" s="77">
        <v>44161</v>
      </c>
      <c r="B1208" s="56" t="s">
        <v>447</v>
      </c>
      <c r="C1208" s="58">
        <v>1</v>
      </c>
      <c r="D1208" s="50">
        <v>6</v>
      </c>
      <c r="E1208" s="63">
        <v>10</v>
      </c>
      <c r="F1208" s="65">
        <f t="shared" si="41"/>
        <v>4</v>
      </c>
      <c r="G1208" s="57" t="s">
        <v>484</v>
      </c>
      <c r="H1208" s="77" t="s">
        <v>427</v>
      </c>
    </row>
    <row r="1209" spans="1:8">
      <c r="A1209" s="77">
        <v>44161</v>
      </c>
      <c r="B1209" s="56" t="s">
        <v>435</v>
      </c>
      <c r="C1209" s="58">
        <v>1</v>
      </c>
      <c r="D1209" s="50">
        <v>7.5</v>
      </c>
      <c r="E1209" s="63">
        <v>20</v>
      </c>
      <c r="F1209" s="65">
        <f t="shared" si="41"/>
        <v>12.5</v>
      </c>
      <c r="G1209" s="57" t="s">
        <v>484</v>
      </c>
      <c r="H1209" s="77" t="s">
        <v>427</v>
      </c>
    </row>
    <row r="1210" spans="1:8">
      <c r="A1210" s="77">
        <v>44161</v>
      </c>
      <c r="B1210" s="56" t="s">
        <v>435</v>
      </c>
      <c r="C1210" s="58">
        <v>1</v>
      </c>
      <c r="D1210" s="50">
        <v>7.5</v>
      </c>
      <c r="E1210" s="63">
        <v>20</v>
      </c>
      <c r="F1210" s="65">
        <f t="shared" si="41"/>
        <v>12.5</v>
      </c>
      <c r="G1210" s="57" t="s">
        <v>484</v>
      </c>
      <c r="H1210" s="77" t="s">
        <v>427</v>
      </c>
    </row>
    <row r="1211" spans="1:8">
      <c r="A1211" s="77">
        <v>44161</v>
      </c>
      <c r="B1211" s="56" t="s">
        <v>447</v>
      </c>
      <c r="C1211" s="58">
        <v>1</v>
      </c>
      <c r="D1211" s="50">
        <v>6</v>
      </c>
      <c r="E1211" s="63">
        <v>15</v>
      </c>
      <c r="F1211" s="65">
        <f t="shared" si="41"/>
        <v>9</v>
      </c>
      <c r="G1211" s="57" t="s">
        <v>484</v>
      </c>
      <c r="H1211" s="77" t="s">
        <v>427</v>
      </c>
    </row>
    <row r="1212" spans="1:8">
      <c r="A1212" s="77">
        <v>44161</v>
      </c>
      <c r="B1212" s="56" t="s">
        <v>447</v>
      </c>
      <c r="C1212" s="58">
        <v>1</v>
      </c>
      <c r="D1212" s="50">
        <v>6</v>
      </c>
      <c r="E1212" s="63">
        <v>23</v>
      </c>
      <c r="F1212" s="65">
        <f t="shared" si="41"/>
        <v>17</v>
      </c>
      <c r="G1212" s="57" t="s">
        <v>484</v>
      </c>
      <c r="H1212" s="77" t="s">
        <v>427</v>
      </c>
    </row>
    <row r="1213" spans="1:8">
      <c r="A1213" s="77">
        <v>44161</v>
      </c>
      <c r="B1213" s="56" t="s">
        <v>459</v>
      </c>
      <c r="C1213" s="58">
        <v>1</v>
      </c>
      <c r="D1213" s="50">
        <v>6</v>
      </c>
      <c r="E1213" s="63">
        <v>12</v>
      </c>
      <c r="F1213" s="65">
        <f t="shared" si="41"/>
        <v>6</v>
      </c>
      <c r="G1213" s="57" t="s">
        <v>484</v>
      </c>
      <c r="H1213" s="77" t="s">
        <v>427</v>
      </c>
    </row>
    <row r="1214" spans="1:8">
      <c r="A1214" s="77">
        <v>44161</v>
      </c>
      <c r="B1214" s="56" t="s">
        <v>460</v>
      </c>
      <c r="C1214" s="58">
        <v>1</v>
      </c>
      <c r="D1214" s="50">
        <v>25</v>
      </c>
      <c r="E1214" s="63">
        <v>50</v>
      </c>
      <c r="F1214" s="65">
        <f t="shared" si="41"/>
        <v>25</v>
      </c>
      <c r="G1214" s="57" t="s">
        <v>484</v>
      </c>
      <c r="H1214" s="77" t="s">
        <v>427</v>
      </c>
    </row>
    <row r="1215" spans="1:8">
      <c r="A1215" s="77">
        <v>44161</v>
      </c>
      <c r="B1215" s="56" t="s">
        <v>456</v>
      </c>
      <c r="C1215" s="58">
        <v>1</v>
      </c>
      <c r="D1215" s="50">
        <v>21</v>
      </c>
      <c r="E1215" s="63">
        <v>40</v>
      </c>
      <c r="F1215" s="65">
        <f t="shared" si="41"/>
        <v>19</v>
      </c>
      <c r="G1215" s="57" t="s">
        <v>484</v>
      </c>
      <c r="H1215" s="77" t="s">
        <v>427</v>
      </c>
    </row>
    <row r="1216" spans="1:8">
      <c r="A1216" s="77">
        <v>44161</v>
      </c>
      <c r="B1216" s="56" t="s">
        <v>447</v>
      </c>
      <c r="C1216" s="58">
        <v>1</v>
      </c>
      <c r="D1216" s="50">
        <v>6</v>
      </c>
      <c r="E1216" s="63">
        <v>10</v>
      </c>
      <c r="F1216" s="65">
        <f t="shared" si="41"/>
        <v>4</v>
      </c>
      <c r="G1216" s="57" t="s">
        <v>484</v>
      </c>
      <c r="H1216" s="77" t="s">
        <v>427</v>
      </c>
    </row>
    <row r="1217" spans="1:8">
      <c r="A1217" s="77">
        <v>44161</v>
      </c>
      <c r="B1217" s="55" t="s">
        <v>393</v>
      </c>
      <c r="C1217" s="58">
        <v>1</v>
      </c>
      <c r="D1217" s="65">
        <v>5</v>
      </c>
      <c r="E1217" s="65">
        <v>26.25</v>
      </c>
      <c r="F1217" s="65">
        <f t="shared" ref="F1217:F1248" si="42">E1217-D1217</f>
        <v>21.25</v>
      </c>
      <c r="G1217" s="57" t="s">
        <v>484</v>
      </c>
      <c r="H1217" s="77" t="s">
        <v>427</v>
      </c>
    </row>
    <row r="1218" spans="1:8">
      <c r="A1218" s="77">
        <v>44161</v>
      </c>
      <c r="B1218" s="55" t="s">
        <v>393</v>
      </c>
      <c r="C1218" s="58">
        <v>1</v>
      </c>
      <c r="D1218" s="65">
        <v>12</v>
      </c>
      <c r="E1218" s="65">
        <v>26.25</v>
      </c>
      <c r="F1218" s="65">
        <f t="shared" si="42"/>
        <v>14.25</v>
      </c>
      <c r="G1218" s="57" t="s">
        <v>484</v>
      </c>
      <c r="H1218" s="77" t="s">
        <v>427</v>
      </c>
    </row>
    <row r="1219" spans="1:8">
      <c r="A1219" s="77">
        <v>44161</v>
      </c>
      <c r="B1219" s="55" t="s">
        <v>450</v>
      </c>
      <c r="C1219" s="58">
        <v>1</v>
      </c>
      <c r="D1219" s="65">
        <v>15</v>
      </c>
      <c r="E1219" s="65">
        <v>36</v>
      </c>
      <c r="F1219" s="65">
        <f t="shared" si="42"/>
        <v>21</v>
      </c>
      <c r="G1219" s="57" t="s">
        <v>484</v>
      </c>
      <c r="H1219" s="77" t="s">
        <v>427</v>
      </c>
    </row>
    <row r="1220" spans="1:8">
      <c r="A1220" s="77">
        <v>44161</v>
      </c>
      <c r="B1220" s="56" t="s">
        <v>474</v>
      </c>
      <c r="C1220" s="58">
        <v>1</v>
      </c>
      <c r="D1220" s="50">
        <v>28</v>
      </c>
      <c r="E1220" s="63">
        <v>70</v>
      </c>
      <c r="F1220" s="65">
        <f t="shared" si="42"/>
        <v>42</v>
      </c>
      <c r="G1220" s="57" t="s">
        <v>484</v>
      </c>
      <c r="H1220" s="55" t="s">
        <v>482</v>
      </c>
    </row>
    <row r="1221" spans="1:8">
      <c r="A1221" s="77">
        <v>44161</v>
      </c>
      <c r="B1221" s="56" t="s">
        <v>435</v>
      </c>
      <c r="C1221" s="58">
        <v>1</v>
      </c>
      <c r="D1221" s="50">
        <v>7.5</v>
      </c>
      <c r="E1221" s="63">
        <v>20</v>
      </c>
      <c r="F1221" s="65">
        <f t="shared" si="42"/>
        <v>12.5</v>
      </c>
      <c r="G1221" s="57" t="s">
        <v>484</v>
      </c>
      <c r="H1221" s="55" t="s">
        <v>482</v>
      </c>
    </row>
    <row r="1222" spans="1:8">
      <c r="A1222" s="77">
        <v>44161</v>
      </c>
      <c r="B1222" s="56" t="s">
        <v>435</v>
      </c>
      <c r="C1222" s="58">
        <v>1</v>
      </c>
      <c r="D1222" s="50">
        <v>7.5</v>
      </c>
      <c r="E1222" s="63">
        <v>20</v>
      </c>
      <c r="F1222" s="65">
        <f t="shared" si="42"/>
        <v>12.5</v>
      </c>
      <c r="G1222" s="57" t="s">
        <v>484</v>
      </c>
      <c r="H1222" s="55" t="s">
        <v>482</v>
      </c>
    </row>
    <row r="1223" spans="1:8">
      <c r="A1223" s="77">
        <v>44161</v>
      </c>
      <c r="B1223" s="56" t="s">
        <v>448</v>
      </c>
      <c r="C1223" s="58">
        <v>1</v>
      </c>
      <c r="D1223" s="50">
        <v>5</v>
      </c>
      <c r="E1223" s="63">
        <v>25</v>
      </c>
      <c r="F1223" s="65">
        <f t="shared" si="42"/>
        <v>20</v>
      </c>
      <c r="G1223" s="57" t="s">
        <v>484</v>
      </c>
      <c r="H1223" s="55" t="s">
        <v>482</v>
      </c>
    </row>
    <row r="1224" spans="1:8">
      <c r="A1224" s="77">
        <v>44161</v>
      </c>
      <c r="B1224" s="56" t="s">
        <v>448</v>
      </c>
      <c r="C1224" s="58">
        <v>1</v>
      </c>
      <c r="D1224" s="50">
        <v>10</v>
      </c>
      <c r="E1224" s="63">
        <v>25</v>
      </c>
      <c r="F1224" s="65">
        <f t="shared" si="42"/>
        <v>15</v>
      </c>
      <c r="G1224" s="57" t="s">
        <v>484</v>
      </c>
      <c r="H1224" s="55" t="s">
        <v>482</v>
      </c>
    </row>
    <row r="1225" spans="1:8">
      <c r="A1225" s="77">
        <v>44161</v>
      </c>
      <c r="B1225" s="56" t="s">
        <v>443</v>
      </c>
      <c r="C1225" s="58">
        <v>1</v>
      </c>
      <c r="D1225" s="50">
        <v>7</v>
      </c>
      <c r="E1225" s="63">
        <v>20</v>
      </c>
      <c r="F1225" s="65">
        <f t="shared" si="42"/>
        <v>13</v>
      </c>
      <c r="G1225" s="57" t="s">
        <v>484</v>
      </c>
      <c r="H1225" s="55" t="s">
        <v>482</v>
      </c>
    </row>
    <row r="1226" spans="1:8">
      <c r="A1226" s="77">
        <v>44161</v>
      </c>
      <c r="B1226" s="56" t="s">
        <v>475</v>
      </c>
      <c r="C1226" s="58">
        <v>1</v>
      </c>
      <c r="D1226" s="50">
        <v>0</v>
      </c>
      <c r="E1226" s="63">
        <v>60</v>
      </c>
      <c r="F1226" s="65">
        <f t="shared" si="42"/>
        <v>60</v>
      </c>
      <c r="G1226" s="57" t="s">
        <v>484</v>
      </c>
      <c r="H1226" s="55" t="s">
        <v>482</v>
      </c>
    </row>
    <row r="1227" spans="1:8">
      <c r="A1227" s="77">
        <v>44161</v>
      </c>
      <c r="B1227" s="55" t="s">
        <v>288</v>
      </c>
      <c r="C1227" s="58">
        <v>1</v>
      </c>
      <c r="D1227" s="65">
        <v>10</v>
      </c>
      <c r="E1227" s="65">
        <v>30</v>
      </c>
      <c r="F1227" s="65">
        <f t="shared" si="42"/>
        <v>20</v>
      </c>
      <c r="G1227" s="57" t="s">
        <v>484</v>
      </c>
      <c r="H1227" s="55" t="s">
        <v>482</v>
      </c>
    </row>
    <row r="1228" spans="1:8">
      <c r="A1228" s="77">
        <v>44161</v>
      </c>
      <c r="B1228" s="56" t="s">
        <v>454</v>
      </c>
      <c r="C1228" s="58">
        <v>1</v>
      </c>
      <c r="D1228" s="50">
        <v>2.5</v>
      </c>
      <c r="E1228" s="63">
        <v>5</v>
      </c>
      <c r="F1228" s="65">
        <f t="shared" si="42"/>
        <v>2.5</v>
      </c>
      <c r="G1228" s="57" t="s">
        <v>484</v>
      </c>
      <c r="H1228" s="77" t="s">
        <v>427</v>
      </c>
    </row>
    <row r="1229" spans="1:8">
      <c r="A1229" s="77">
        <v>44161</v>
      </c>
      <c r="B1229" s="56" t="s">
        <v>462</v>
      </c>
      <c r="C1229" s="58">
        <v>1</v>
      </c>
      <c r="D1229" s="50">
        <v>0.54</v>
      </c>
      <c r="E1229" s="63">
        <v>2</v>
      </c>
      <c r="F1229" s="65">
        <f t="shared" si="42"/>
        <v>1.46</v>
      </c>
      <c r="G1229" s="57" t="s">
        <v>484</v>
      </c>
      <c r="H1229" s="77" t="s">
        <v>427</v>
      </c>
    </row>
    <row r="1230" spans="1:8">
      <c r="A1230" s="77">
        <v>44161</v>
      </c>
      <c r="B1230" s="56" t="s">
        <v>462</v>
      </c>
      <c r="C1230" s="58">
        <v>1</v>
      </c>
      <c r="D1230" s="50">
        <v>0.54</v>
      </c>
      <c r="E1230" s="63">
        <v>2</v>
      </c>
      <c r="F1230" s="65">
        <f t="shared" si="42"/>
        <v>1.46</v>
      </c>
      <c r="G1230" s="57" t="s">
        <v>484</v>
      </c>
      <c r="H1230" s="77" t="s">
        <v>427</v>
      </c>
    </row>
    <row r="1231" spans="1:8">
      <c r="A1231" s="77">
        <v>44161</v>
      </c>
      <c r="B1231" s="56" t="s">
        <v>462</v>
      </c>
      <c r="C1231" s="58">
        <v>1</v>
      </c>
      <c r="D1231" s="50">
        <v>0.54</v>
      </c>
      <c r="E1231" s="63">
        <v>2</v>
      </c>
      <c r="F1231" s="65">
        <f t="shared" si="42"/>
        <v>1.46</v>
      </c>
      <c r="G1231" s="57" t="s">
        <v>484</v>
      </c>
      <c r="H1231" s="77" t="s">
        <v>427</v>
      </c>
    </row>
    <row r="1232" spans="1:8">
      <c r="A1232" s="77">
        <v>44161</v>
      </c>
      <c r="B1232" s="56" t="s">
        <v>462</v>
      </c>
      <c r="C1232" s="58">
        <v>1</v>
      </c>
      <c r="D1232" s="50">
        <v>0.54</v>
      </c>
      <c r="E1232" s="63">
        <v>2</v>
      </c>
      <c r="F1232" s="65">
        <f t="shared" si="42"/>
        <v>1.46</v>
      </c>
      <c r="G1232" s="57" t="s">
        <v>484</v>
      </c>
      <c r="H1232" s="77" t="s">
        <v>427</v>
      </c>
    </row>
    <row r="1233" spans="1:8">
      <c r="A1233" s="77">
        <v>44161</v>
      </c>
      <c r="B1233" s="56" t="s">
        <v>462</v>
      </c>
      <c r="C1233" s="58">
        <v>1</v>
      </c>
      <c r="D1233" s="50">
        <v>0.54</v>
      </c>
      <c r="E1233" s="63">
        <v>2</v>
      </c>
      <c r="F1233" s="65">
        <f t="shared" si="42"/>
        <v>1.46</v>
      </c>
      <c r="G1233" s="57" t="s">
        <v>484</v>
      </c>
      <c r="H1233" s="77" t="s">
        <v>427</v>
      </c>
    </row>
    <row r="1234" spans="1:8">
      <c r="A1234" s="77">
        <v>44161</v>
      </c>
      <c r="B1234" s="56" t="s">
        <v>462</v>
      </c>
      <c r="C1234" s="58">
        <v>1</v>
      </c>
      <c r="D1234" s="50">
        <v>0.54</v>
      </c>
      <c r="E1234" s="63">
        <v>2</v>
      </c>
      <c r="F1234" s="65">
        <f t="shared" si="42"/>
        <v>1.46</v>
      </c>
      <c r="G1234" s="57" t="s">
        <v>484</v>
      </c>
      <c r="H1234" s="77" t="s">
        <v>427</v>
      </c>
    </row>
    <row r="1235" spans="1:8">
      <c r="A1235" s="77">
        <v>44161</v>
      </c>
      <c r="B1235" s="56" t="s">
        <v>462</v>
      </c>
      <c r="C1235" s="58">
        <v>1</v>
      </c>
      <c r="D1235" s="50">
        <v>0.54</v>
      </c>
      <c r="E1235" s="63">
        <v>2</v>
      </c>
      <c r="F1235" s="65">
        <f t="shared" si="42"/>
        <v>1.46</v>
      </c>
      <c r="G1235" s="57" t="s">
        <v>484</v>
      </c>
      <c r="H1235" s="77" t="s">
        <v>427</v>
      </c>
    </row>
    <row r="1236" spans="1:8">
      <c r="A1236" s="77">
        <v>44161</v>
      </c>
      <c r="B1236" s="56" t="s">
        <v>462</v>
      </c>
      <c r="C1236" s="58">
        <v>1</v>
      </c>
      <c r="D1236" s="50">
        <v>0.54</v>
      </c>
      <c r="E1236" s="63">
        <v>2</v>
      </c>
      <c r="F1236" s="65">
        <f t="shared" si="42"/>
        <v>1.46</v>
      </c>
      <c r="G1236" s="57" t="s">
        <v>484</v>
      </c>
      <c r="H1236" s="77" t="s">
        <v>427</v>
      </c>
    </row>
    <row r="1237" spans="1:8">
      <c r="A1237" s="77">
        <v>44161</v>
      </c>
      <c r="B1237" s="56" t="s">
        <v>462</v>
      </c>
      <c r="C1237" s="58">
        <v>1</v>
      </c>
      <c r="D1237" s="50">
        <v>0.54</v>
      </c>
      <c r="E1237" s="63">
        <v>2</v>
      </c>
      <c r="F1237" s="65">
        <f t="shared" si="42"/>
        <v>1.46</v>
      </c>
      <c r="G1237" s="57" t="s">
        <v>484</v>
      </c>
      <c r="H1237" s="77" t="s">
        <v>427</v>
      </c>
    </row>
    <row r="1238" spans="1:8">
      <c r="A1238" s="77">
        <v>44161</v>
      </c>
      <c r="B1238" s="56" t="s">
        <v>462</v>
      </c>
      <c r="C1238" s="58">
        <v>1</v>
      </c>
      <c r="D1238" s="50">
        <v>0.54</v>
      </c>
      <c r="E1238" s="63">
        <v>2</v>
      </c>
      <c r="F1238" s="65">
        <f t="shared" si="42"/>
        <v>1.46</v>
      </c>
      <c r="G1238" s="57" t="s">
        <v>484</v>
      </c>
      <c r="H1238" s="77" t="s">
        <v>427</v>
      </c>
    </row>
    <row r="1239" spans="1:8">
      <c r="A1239" s="77">
        <v>44161</v>
      </c>
      <c r="B1239" s="56" t="s">
        <v>462</v>
      </c>
      <c r="C1239" s="58">
        <v>1</v>
      </c>
      <c r="D1239" s="50">
        <v>0.54</v>
      </c>
      <c r="E1239" s="63">
        <v>2</v>
      </c>
      <c r="F1239" s="65">
        <f t="shared" si="42"/>
        <v>1.46</v>
      </c>
      <c r="G1239" s="57" t="s">
        <v>484</v>
      </c>
      <c r="H1239" s="77" t="s">
        <v>427</v>
      </c>
    </row>
    <row r="1240" spans="1:8">
      <c r="A1240" s="77">
        <v>44161</v>
      </c>
      <c r="B1240" s="56" t="s">
        <v>462</v>
      </c>
      <c r="C1240" s="58">
        <v>1</v>
      </c>
      <c r="D1240" s="50">
        <v>0.54</v>
      </c>
      <c r="E1240" s="63">
        <v>2</v>
      </c>
      <c r="F1240" s="65">
        <f t="shared" si="42"/>
        <v>1.46</v>
      </c>
      <c r="G1240" s="57" t="s">
        <v>484</v>
      </c>
      <c r="H1240" s="77" t="s">
        <v>427</v>
      </c>
    </row>
    <row r="1241" spans="1:8">
      <c r="A1241" s="77">
        <v>44161</v>
      </c>
      <c r="B1241" s="56" t="s">
        <v>462</v>
      </c>
      <c r="C1241" s="58">
        <v>1</v>
      </c>
      <c r="D1241" s="50">
        <v>0.54</v>
      </c>
      <c r="E1241" s="63">
        <v>2</v>
      </c>
      <c r="F1241" s="65">
        <f t="shared" si="42"/>
        <v>1.46</v>
      </c>
      <c r="G1241" s="57" t="s">
        <v>484</v>
      </c>
      <c r="H1241" s="77" t="s">
        <v>427</v>
      </c>
    </row>
    <row r="1242" spans="1:8">
      <c r="A1242" s="77">
        <v>44161</v>
      </c>
      <c r="B1242" s="56" t="s">
        <v>462</v>
      </c>
      <c r="C1242" s="58">
        <v>1</v>
      </c>
      <c r="D1242" s="50">
        <v>0.54</v>
      </c>
      <c r="E1242" s="63">
        <v>2</v>
      </c>
      <c r="F1242" s="65">
        <f t="shared" si="42"/>
        <v>1.46</v>
      </c>
      <c r="G1242" s="57" t="s">
        <v>484</v>
      </c>
      <c r="H1242" s="77" t="s">
        <v>427</v>
      </c>
    </row>
    <row r="1243" spans="1:8">
      <c r="A1243" s="77">
        <v>44161</v>
      </c>
      <c r="B1243" s="56" t="s">
        <v>462</v>
      </c>
      <c r="C1243" s="58">
        <v>1</v>
      </c>
      <c r="D1243" s="50">
        <v>0.54</v>
      </c>
      <c r="E1243" s="63">
        <v>2</v>
      </c>
      <c r="F1243" s="65">
        <f t="shared" si="42"/>
        <v>1.46</v>
      </c>
      <c r="G1243" s="57" t="s">
        <v>484</v>
      </c>
      <c r="H1243" s="77" t="s">
        <v>427</v>
      </c>
    </row>
    <row r="1244" spans="1:8">
      <c r="A1244" s="77">
        <v>44161</v>
      </c>
      <c r="B1244" s="56" t="s">
        <v>462</v>
      </c>
      <c r="C1244" s="58">
        <v>1</v>
      </c>
      <c r="D1244" s="50">
        <v>0.54</v>
      </c>
      <c r="E1244" s="63">
        <v>2</v>
      </c>
      <c r="F1244" s="65">
        <f t="shared" si="42"/>
        <v>1.46</v>
      </c>
      <c r="G1244" s="57" t="s">
        <v>484</v>
      </c>
      <c r="H1244" s="77" t="s">
        <v>427</v>
      </c>
    </row>
    <row r="1245" spans="1:8">
      <c r="A1245" s="77">
        <v>44161</v>
      </c>
      <c r="B1245" s="56" t="s">
        <v>462</v>
      </c>
      <c r="C1245" s="58">
        <v>1</v>
      </c>
      <c r="D1245" s="50">
        <v>0.54</v>
      </c>
      <c r="E1245" s="63">
        <v>2</v>
      </c>
      <c r="F1245" s="65">
        <f t="shared" si="42"/>
        <v>1.46</v>
      </c>
      <c r="G1245" s="57" t="s">
        <v>484</v>
      </c>
      <c r="H1245" s="77" t="s">
        <v>427</v>
      </c>
    </row>
    <row r="1246" spans="1:8">
      <c r="A1246" s="77">
        <v>44161</v>
      </c>
      <c r="B1246" s="56" t="s">
        <v>462</v>
      </c>
      <c r="C1246" s="58">
        <v>1</v>
      </c>
      <c r="D1246" s="50">
        <v>0.54</v>
      </c>
      <c r="E1246" s="63">
        <v>2</v>
      </c>
      <c r="F1246" s="65">
        <f t="shared" si="42"/>
        <v>1.46</v>
      </c>
      <c r="G1246" s="57" t="s">
        <v>484</v>
      </c>
      <c r="H1246" s="77" t="s">
        <v>427</v>
      </c>
    </row>
    <row r="1247" spans="1:8">
      <c r="A1247" s="77">
        <v>44161</v>
      </c>
      <c r="B1247" s="56" t="s">
        <v>462</v>
      </c>
      <c r="C1247" s="58">
        <v>1</v>
      </c>
      <c r="D1247" s="50">
        <v>0.54</v>
      </c>
      <c r="E1247" s="63">
        <v>2</v>
      </c>
      <c r="F1247" s="65">
        <f t="shared" si="42"/>
        <v>1.46</v>
      </c>
      <c r="G1247" s="57" t="s">
        <v>484</v>
      </c>
      <c r="H1247" s="77" t="s">
        <v>427</v>
      </c>
    </row>
    <row r="1248" spans="1:8">
      <c r="A1248" s="77">
        <v>44161</v>
      </c>
      <c r="B1248" s="56" t="s">
        <v>462</v>
      </c>
      <c r="C1248" s="58">
        <v>1</v>
      </c>
      <c r="D1248" s="50">
        <v>0.54</v>
      </c>
      <c r="E1248" s="63">
        <v>2</v>
      </c>
      <c r="F1248" s="65">
        <f t="shared" si="42"/>
        <v>1.46</v>
      </c>
      <c r="G1248" s="57" t="s">
        <v>484</v>
      </c>
      <c r="H1248" s="77" t="s">
        <v>427</v>
      </c>
    </row>
    <row r="1249" spans="1:8">
      <c r="A1249" s="77">
        <v>44161</v>
      </c>
      <c r="B1249" s="56" t="s">
        <v>462</v>
      </c>
      <c r="C1249" s="58">
        <v>1</v>
      </c>
      <c r="D1249" s="50">
        <v>0.54</v>
      </c>
      <c r="E1249" s="63">
        <v>2</v>
      </c>
      <c r="F1249" s="65">
        <f t="shared" ref="F1249:F1280" si="43">E1249-D1249</f>
        <v>1.46</v>
      </c>
      <c r="G1249" s="57" t="s">
        <v>484</v>
      </c>
      <c r="H1249" s="77" t="s">
        <v>427</v>
      </c>
    </row>
    <row r="1250" spans="1:8">
      <c r="A1250" s="77">
        <v>44161</v>
      </c>
      <c r="B1250" s="56" t="s">
        <v>462</v>
      </c>
      <c r="C1250" s="58">
        <v>1</v>
      </c>
      <c r="D1250" s="50">
        <v>0.54</v>
      </c>
      <c r="E1250" s="63">
        <v>2</v>
      </c>
      <c r="F1250" s="65">
        <f t="shared" si="43"/>
        <v>1.46</v>
      </c>
      <c r="G1250" s="57" t="s">
        <v>484</v>
      </c>
      <c r="H1250" s="77" t="s">
        <v>427</v>
      </c>
    </row>
    <row r="1251" spans="1:8">
      <c r="A1251" s="77">
        <v>44161</v>
      </c>
      <c r="B1251" s="56" t="s">
        <v>462</v>
      </c>
      <c r="C1251" s="58">
        <v>1</v>
      </c>
      <c r="D1251" s="50">
        <v>0.54</v>
      </c>
      <c r="E1251" s="63">
        <v>2</v>
      </c>
      <c r="F1251" s="65">
        <f t="shared" si="43"/>
        <v>1.46</v>
      </c>
      <c r="G1251" s="57" t="s">
        <v>484</v>
      </c>
      <c r="H1251" s="77" t="s">
        <v>427</v>
      </c>
    </row>
    <row r="1252" spans="1:8">
      <c r="A1252" s="77">
        <v>44161</v>
      </c>
      <c r="B1252" s="56" t="s">
        <v>462</v>
      </c>
      <c r="C1252" s="58">
        <v>1</v>
      </c>
      <c r="D1252" s="50">
        <v>0.54</v>
      </c>
      <c r="E1252" s="63">
        <v>2</v>
      </c>
      <c r="F1252" s="65">
        <f t="shared" si="43"/>
        <v>1.46</v>
      </c>
      <c r="G1252" s="57" t="s">
        <v>484</v>
      </c>
      <c r="H1252" s="77" t="s">
        <v>427</v>
      </c>
    </row>
    <row r="1253" spans="1:8">
      <c r="A1253" s="77">
        <v>44161</v>
      </c>
      <c r="B1253" s="56" t="s">
        <v>462</v>
      </c>
      <c r="C1253" s="58">
        <v>1</v>
      </c>
      <c r="D1253" s="50">
        <v>0.54</v>
      </c>
      <c r="E1253" s="63">
        <v>2</v>
      </c>
      <c r="F1253" s="65">
        <f t="shared" si="43"/>
        <v>1.46</v>
      </c>
      <c r="G1253" s="57" t="s">
        <v>484</v>
      </c>
      <c r="H1253" s="77" t="s">
        <v>427</v>
      </c>
    </row>
    <row r="1254" spans="1:8">
      <c r="A1254" s="77">
        <v>44161</v>
      </c>
      <c r="B1254" s="56" t="s">
        <v>462</v>
      </c>
      <c r="C1254" s="58">
        <v>1</v>
      </c>
      <c r="D1254" s="50">
        <v>0.54</v>
      </c>
      <c r="E1254" s="63">
        <v>2</v>
      </c>
      <c r="F1254" s="65">
        <f t="shared" si="43"/>
        <v>1.46</v>
      </c>
      <c r="G1254" s="57" t="s">
        <v>484</v>
      </c>
      <c r="H1254" s="77" t="s">
        <v>427</v>
      </c>
    </row>
    <row r="1255" spans="1:8">
      <c r="A1255" s="77">
        <v>44161</v>
      </c>
      <c r="B1255" s="56" t="s">
        <v>462</v>
      </c>
      <c r="C1255" s="58">
        <v>1</v>
      </c>
      <c r="D1255" s="50">
        <v>0.54</v>
      </c>
      <c r="E1255" s="63">
        <v>2</v>
      </c>
      <c r="F1255" s="65">
        <f t="shared" si="43"/>
        <v>1.46</v>
      </c>
      <c r="G1255" s="57" t="s">
        <v>484</v>
      </c>
      <c r="H1255" s="77" t="s">
        <v>427</v>
      </c>
    </row>
    <row r="1256" spans="1:8">
      <c r="A1256" s="77">
        <v>44161</v>
      </c>
      <c r="B1256" s="56" t="s">
        <v>462</v>
      </c>
      <c r="C1256" s="58">
        <v>1</v>
      </c>
      <c r="D1256" s="50">
        <v>0.54</v>
      </c>
      <c r="E1256" s="63">
        <v>2</v>
      </c>
      <c r="F1256" s="65">
        <f t="shared" si="43"/>
        <v>1.46</v>
      </c>
      <c r="G1256" s="57" t="s">
        <v>484</v>
      </c>
      <c r="H1256" s="77" t="s">
        <v>427</v>
      </c>
    </row>
    <row r="1257" spans="1:8">
      <c r="A1257" s="77">
        <v>44161</v>
      </c>
      <c r="B1257" s="56" t="s">
        <v>462</v>
      </c>
      <c r="C1257" s="58">
        <v>1</v>
      </c>
      <c r="D1257" s="50">
        <v>0.54</v>
      </c>
      <c r="E1257" s="63">
        <v>2</v>
      </c>
      <c r="F1257" s="65">
        <f t="shared" si="43"/>
        <v>1.46</v>
      </c>
      <c r="G1257" s="57" t="s">
        <v>484</v>
      </c>
      <c r="H1257" s="77" t="s">
        <v>427</v>
      </c>
    </row>
    <row r="1258" spans="1:8">
      <c r="A1258" s="77">
        <v>44161</v>
      </c>
      <c r="B1258" s="56" t="s">
        <v>462</v>
      </c>
      <c r="C1258" s="58">
        <v>1</v>
      </c>
      <c r="D1258" s="50">
        <v>0.54</v>
      </c>
      <c r="E1258" s="63">
        <v>2</v>
      </c>
      <c r="F1258" s="65">
        <f t="shared" si="43"/>
        <v>1.46</v>
      </c>
      <c r="G1258" s="57" t="s">
        <v>484</v>
      </c>
      <c r="H1258" s="77" t="s">
        <v>427</v>
      </c>
    </row>
    <row r="1259" spans="1:8">
      <c r="A1259" s="77">
        <v>44161</v>
      </c>
      <c r="B1259" s="56" t="s">
        <v>462</v>
      </c>
      <c r="C1259" s="58">
        <v>1</v>
      </c>
      <c r="D1259" s="50">
        <v>0.54</v>
      </c>
      <c r="E1259" s="63">
        <v>2</v>
      </c>
      <c r="F1259" s="65">
        <f t="shared" si="43"/>
        <v>1.46</v>
      </c>
      <c r="G1259" s="57" t="s">
        <v>484</v>
      </c>
      <c r="H1259" s="77" t="s">
        <v>427</v>
      </c>
    </row>
    <row r="1260" spans="1:8">
      <c r="A1260" s="77">
        <v>44161</v>
      </c>
      <c r="B1260" s="56" t="s">
        <v>462</v>
      </c>
      <c r="C1260" s="58">
        <v>1</v>
      </c>
      <c r="D1260" s="50">
        <v>0.54</v>
      </c>
      <c r="E1260" s="63">
        <v>2</v>
      </c>
      <c r="F1260" s="65">
        <f t="shared" si="43"/>
        <v>1.46</v>
      </c>
      <c r="G1260" s="57" t="s">
        <v>484</v>
      </c>
      <c r="H1260" s="77" t="s">
        <v>427</v>
      </c>
    </row>
    <row r="1261" spans="1:8">
      <c r="A1261" s="77">
        <v>44161</v>
      </c>
      <c r="B1261" s="56" t="s">
        <v>462</v>
      </c>
      <c r="C1261" s="58">
        <v>1</v>
      </c>
      <c r="D1261" s="50">
        <v>0.54</v>
      </c>
      <c r="E1261" s="63">
        <v>2</v>
      </c>
      <c r="F1261" s="65">
        <f t="shared" si="43"/>
        <v>1.46</v>
      </c>
      <c r="G1261" s="57" t="s">
        <v>484</v>
      </c>
      <c r="H1261" s="77" t="s">
        <v>427</v>
      </c>
    </row>
    <row r="1262" spans="1:8">
      <c r="A1262" s="77">
        <v>44161</v>
      </c>
      <c r="B1262" s="56" t="s">
        <v>462</v>
      </c>
      <c r="C1262" s="58">
        <v>1</v>
      </c>
      <c r="D1262" s="50">
        <v>0.54</v>
      </c>
      <c r="E1262" s="63">
        <v>2</v>
      </c>
      <c r="F1262" s="65">
        <f t="shared" si="43"/>
        <v>1.46</v>
      </c>
      <c r="G1262" s="57" t="s">
        <v>484</v>
      </c>
      <c r="H1262" s="77" t="s">
        <v>427</v>
      </c>
    </row>
    <row r="1263" spans="1:8">
      <c r="A1263" s="77">
        <v>44161</v>
      </c>
      <c r="B1263" s="56" t="s">
        <v>462</v>
      </c>
      <c r="C1263" s="58">
        <v>1</v>
      </c>
      <c r="D1263" s="50">
        <v>0.54</v>
      </c>
      <c r="E1263" s="63">
        <v>2</v>
      </c>
      <c r="F1263" s="65">
        <f t="shared" si="43"/>
        <v>1.46</v>
      </c>
      <c r="G1263" s="57" t="s">
        <v>484</v>
      </c>
      <c r="H1263" s="77" t="s">
        <v>427</v>
      </c>
    </row>
    <row r="1264" spans="1:8">
      <c r="A1264" s="77">
        <v>44161</v>
      </c>
      <c r="B1264" s="56" t="s">
        <v>462</v>
      </c>
      <c r="C1264" s="58">
        <v>1</v>
      </c>
      <c r="D1264" s="50">
        <v>0.54</v>
      </c>
      <c r="E1264" s="63">
        <v>2</v>
      </c>
      <c r="F1264" s="65">
        <f t="shared" si="43"/>
        <v>1.46</v>
      </c>
      <c r="G1264" s="57" t="s">
        <v>484</v>
      </c>
      <c r="H1264" s="77" t="s">
        <v>427</v>
      </c>
    </row>
    <row r="1265" spans="1:8">
      <c r="A1265" s="77">
        <v>44161</v>
      </c>
      <c r="B1265" s="56" t="s">
        <v>462</v>
      </c>
      <c r="C1265" s="58">
        <v>1</v>
      </c>
      <c r="D1265" s="50">
        <v>0.54</v>
      </c>
      <c r="E1265" s="63">
        <v>2</v>
      </c>
      <c r="F1265" s="65">
        <f t="shared" si="43"/>
        <v>1.46</v>
      </c>
      <c r="G1265" s="57" t="s">
        <v>484</v>
      </c>
      <c r="H1265" s="77" t="s">
        <v>427</v>
      </c>
    </row>
    <row r="1266" spans="1:8">
      <c r="A1266" s="77">
        <v>44161</v>
      </c>
      <c r="B1266" s="56" t="s">
        <v>462</v>
      </c>
      <c r="C1266" s="58">
        <v>1</v>
      </c>
      <c r="D1266" s="50">
        <v>0.54</v>
      </c>
      <c r="E1266" s="63">
        <v>2</v>
      </c>
      <c r="F1266" s="65">
        <f t="shared" si="43"/>
        <v>1.46</v>
      </c>
      <c r="G1266" s="57" t="s">
        <v>484</v>
      </c>
      <c r="H1266" s="77" t="s">
        <v>427</v>
      </c>
    </row>
    <row r="1267" spans="1:8">
      <c r="A1267" s="77">
        <v>44161</v>
      </c>
      <c r="B1267" s="56" t="s">
        <v>462</v>
      </c>
      <c r="C1267" s="58">
        <v>1</v>
      </c>
      <c r="D1267" s="50">
        <v>0.54</v>
      </c>
      <c r="E1267" s="63">
        <v>2</v>
      </c>
      <c r="F1267" s="65">
        <f t="shared" si="43"/>
        <v>1.46</v>
      </c>
      <c r="G1267" s="57" t="s">
        <v>484</v>
      </c>
      <c r="H1267" s="77" t="s">
        <v>427</v>
      </c>
    </row>
    <row r="1268" spans="1:8">
      <c r="A1268" s="77">
        <v>44161</v>
      </c>
      <c r="B1268" s="56" t="s">
        <v>462</v>
      </c>
      <c r="C1268" s="58">
        <v>1</v>
      </c>
      <c r="D1268" s="50">
        <v>0.54</v>
      </c>
      <c r="E1268" s="63">
        <v>2</v>
      </c>
      <c r="F1268" s="65">
        <f t="shared" si="43"/>
        <v>1.46</v>
      </c>
      <c r="G1268" s="57" t="s">
        <v>484</v>
      </c>
      <c r="H1268" s="77" t="s">
        <v>427</v>
      </c>
    </row>
    <row r="1269" spans="1:8">
      <c r="A1269" s="77">
        <v>44161</v>
      </c>
      <c r="B1269" s="56" t="s">
        <v>462</v>
      </c>
      <c r="C1269" s="58">
        <v>1</v>
      </c>
      <c r="D1269" s="50">
        <v>0.54</v>
      </c>
      <c r="E1269" s="63">
        <v>2</v>
      </c>
      <c r="F1269" s="65">
        <f t="shared" si="43"/>
        <v>1.46</v>
      </c>
      <c r="G1269" s="57" t="s">
        <v>484</v>
      </c>
      <c r="H1269" s="77" t="s">
        <v>427</v>
      </c>
    </row>
    <row r="1270" spans="1:8">
      <c r="A1270" s="77">
        <v>44161</v>
      </c>
      <c r="B1270" s="56" t="s">
        <v>462</v>
      </c>
      <c r="C1270" s="58">
        <v>1</v>
      </c>
      <c r="D1270" s="50">
        <v>0.54</v>
      </c>
      <c r="E1270" s="63">
        <v>2</v>
      </c>
      <c r="F1270" s="65">
        <f t="shared" si="43"/>
        <v>1.46</v>
      </c>
      <c r="G1270" s="57" t="s">
        <v>484</v>
      </c>
      <c r="H1270" s="77" t="s">
        <v>427</v>
      </c>
    </row>
    <row r="1271" spans="1:8">
      <c r="A1271" s="77">
        <v>44162</v>
      </c>
      <c r="B1271" s="56" t="s">
        <v>462</v>
      </c>
      <c r="C1271" s="58">
        <v>1</v>
      </c>
      <c r="D1271" s="50">
        <v>0.54</v>
      </c>
      <c r="E1271" s="63">
        <v>2</v>
      </c>
      <c r="F1271" s="65">
        <f t="shared" si="43"/>
        <v>1.46</v>
      </c>
      <c r="G1271" s="57" t="s">
        <v>484</v>
      </c>
      <c r="H1271" s="77" t="s">
        <v>427</v>
      </c>
    </row>
    <row r="1272" spans="1:8">
      <c r="A1272" s="77">
        <v>44163</v>
      </c>
      <c r="B1272" s="56" t="s">
        <v>462</v>
      </c>
      <c r="C1272" s="58">
        <v>1</v>
      </c>
      <c r="D1272" s="50">
        <v>0.54</v>
      </c>
      <c r="E1272" s="63">
        <v>2</v>
      </c>
      <c r="F1272" s="65">
        <f t="shared" si="43"/>
        <v>1.46</v>
      </c>
      <c r="G1272" s="57" t="s">
        <v>484</v>
      </c>
      <c r="H1272" s="77" t="s">
        <v>427</v>
      </c>
    </row>
    <row r="1273" spans="1:8">
      <c r="A1273" s="77">
        <v>44163</v>
      </c>
      <c r="B1273" s="56" t="s">
        <v>462</v>
      </c>
      <c r="C1273" s="58">
        <v>1</v>
      </c>
      <c r="D1273" s="50">
        <v>0.54</v>
      </c>
      <c r="E1273" s="63">
        <v>2</v>
      </c>
      <c r="F1273" s="65">
        <f t="shared" si="43"/>
        <v>1.46</v>
      </c>
      <c r="G1273" s="57" t="s">
        <v>484</v>
      </c>
      <c r="H1273" s="77" t="s">
        <v>427</v>
      </c>
    </row>
    <row r="1274" spans="1:8">
      <c r="A1274" s="77">
        <v>44163</v>
      </c>
      <c r="B1274" s="56" t="s">
        <v>462</v>
      </c>
      <c r="C1274" s="58">
        <v>1</v>
      </c>
      <c r="D1274" s="50">
        <v>0.54</v>
      </c>
      <c r="E1274" s="63">
        <v>2</v>
      </c>
      <c r="F1274" s="65">
        <f t="shared" si="43"/>
        <v>1.46</v>
      </c>
      <c r="G1274" s="57" t="s">
        <v>484</v>
      </c>
      <c r="H1274" s="77" t="s">
        <v>427</v>
      </c>
    </row>
    <row r="1275" spans="1:8">
      <c r="A1275" s="77">
        <v>44163</v>
      </c>
      <c r="B1275" s="56" t="s">
        <v>462</v>
      </c>
      <c r="C1275" s="58">
        <v>1</v>
      </c>
      <c r="D1275" s="50">
        <v>0.54</v>
      </c>
      <c r="E1275" s="63">
        <v>2</v>
      </c>
      <c r="F1275" s="65">
        <f t="shared" si="43"/>
        <v>1.46</v>
      </c>
      <c r="G1275" s="57" t="s">
        <v>484</v>
      </c>
      <c r="H1275" s="77" t="s">
        <v>427</v>
      </c>
    </row>
    <row r="1276" spans="1:8">
      <c r="A1276" s="77">
        <v>44163</v>
      </c>
      <c r="B1276" s="56" t="s">
        <v>462</v>
      </c>
      <c r="C1276" s="58">
        <v>1</v>
      </c>
      <c r="D1276" s="50">
        <v>0.54</v>
      </c>
      <c r="E1276" s="63">
        <v>2</v>
      </c>
      <c r="F1276" s="65">
        <f t="shared" si="43"/>
        <v>1.46</v>
      </c>
      <c r="G1276" s="57" t="s">
        <v>484</v>
      </c>
      <c r="H1276" s="77" t="s">
        <v>427</v>
      </c>
    </row>
    <row r="1277" spans="1:8">
      <c r="A1277" s="77">
        <v>44163</v>
      </c>
      <c r="B1277" s="55" t="s">
        <v>392</v>
      </c>
      <c r="C1277" s="58">
        <v>1</v>
      </c>
      <c r="D1277" s="65">
        <v>1.5</v>
      </c>
      <c r="E1277" s="65">
        <v>10</v>
      </c>
      <c r="F1277" s="65">
        <f t="shared" si="43"/>
        <v>8.5</v>
      </c>
      <c r="G1277" s="57" t="s">
        <v>484</v>
      </c>
      <c r="H1277" s="77" t="s">
        <v>427</v>
      </c>
    </row>
    <row r="1278" spans="1:8">
      <c r="A1278" s="77">
        <v>44163</v>
      </c>
      <c r="B1278" s="56" t="s">
        <v>466</v>
      </c>
      <c r="C1278" s="58">
        <v>1</v>
      </c>
      <c r="D1278" s="50">
        <v>58</v>
      </c>
      <c r="E1278" s="63">
        <v>100</v>
      </c>
      <c r="F1278" s="65">
        <f t="shared" si="43"/>
        <v>42</v>
      </c>
      <c r="G1278" s="57" t="s">
        <v>484</v>
      </c>
      <c r="H1278" s="55" t="s">
        <v>482</v>
      </c>
    </row>
    <row r="1279" spans="1:8">
      <c r="A1279" s="77">
        <v>44163</v>
      </c>
      <c r="B1279" s="55" t="s">
        <v>452</v>
      </c>
      <c r="C1279" s="58">
        <v>1</v>
      </c>
      <c r="D1279" s="65">
        <v>22</v>
      </c>
      <c r="E1279" s="65">
        <v>55</v>
      </c>
      <c r="F1279" s="65">
        <f t="shared" si="43"/>
        <v>33</v>
      </c>
      <c r="G1279" s="57" t="s">
        <v>484</v>
      </c>
      <c r="H1279" s="55" t="s">
        <v>482</v>
      </c>
    </row>
    <row r="1280" spans="1:8">
      <c r="A1280" s="77">
        <v>44163</v>
      </c>
      <c r="B1280" s="55" t="s">
        <v>452</v>
      </c>
      <c r="C1280" s="58">
        <v>1</v>
      </c>
      <c r="D1280" s="65">
        <v>22</v>
      </c>
      <c r="E1280" s="65">
        <v>40</v>
      </c>
      <c r="F1280" s="65">
        <f t="shared" si="43"/>
        <v>18</v>
      </c>
      <c r="G1280" s="57" t="s">
        <v>484</v>
      </c>
      <c r="H1280" s="55" t="s">
        <v>482</v>
      </c>
    </row>
    <row r="1281" spans="1:8">
      <c r="A1281" s="77">
        <v>44163</v>
      </c>
      <c r="B1281" s="56" t="s">
        <v>465</v>
      </c>
      <c r="C1281" s="58">
        <v>1</v>
      </c>
      <c r="D1281" s="50">
        <v>2.5</v>
      </c>
      <c r="E1281" s="63">
        <v>15</v>
      </c>
      <c r="F1281" s="65">
        <f t="shared" ref="F1281:F1303" si="44">E1281-D1281</f>
        <v>12.5</v>
      </c>
      <c r="G1281" s="57" t="s">
        <v>484</v>
      </c>
      <c r="H1281" s="55" t="s">
        <v>482</v>
      </c>
    </row>
    <row r="1282" spans="1:8">
      <c r="A1282" s="77">
        <v>44163</v>
      </c>
      <c r="B1282" s="56" t="s">
        <v>465</v>
      </c>
      <c r="C1282" s="58">
        <v>1</v>
      </c>
      <c r="D1282" s="50">
        <v>2.5</v>
      </c>
      <c r="E1282" s="63">
        <v>15</v>
      </c>
      <c r="F1282" s="65">
        <f t="shared" si="44"/>
        <v>12.5</v>
      </c>
      <c r="G1282" s="57" t="s">
        <v>484</v>
      </c>
      <c r="H1282" s="55" t="s">
        <v>482</v>
      </c>
    </row>
    <row r="1283" spans="1:8">
      <c r="A1283" s="77">
        <v>44163</v>
      </c>
      <c r="B1283" s="56" t="s">
        <v>477</v>
      </c>
      <c r="C1283" s="58">
        <v>1</v>
      </c>
      <c r="D1283" s="50">
        <v>60</v>
      </c>
      <c r="E1283" s="63">
        <v>120</v>
      </c>
      <c r="F1283" s="65">
        <f t="shared" si="44"/>
        <v>60</v>
      </c>
      <c r="G1283" s="57" t="s">
        <v>484</v>
      </c>
      <c r="H1283" s="55" t="s">
        <v>482</v>
      </c>
    </row>
    <row r="1284" spans="1:8">
      <c r="A1284" s="77">
        <v>44163</v>
      </c>
      <c r="B1284" s="56" t="s">
        <v>477</v>
      </c>
      <c r="C1284" s="58">
        <v>1</v>
      </c>
      <c r="D1284" s="50">
        <v>60</v>
      </c>
      <c r="E1284" s="63">
        <v>100</v>
      </c>
      <c r="F1284" s="65">
        <f t="shared" si="44"/>
        <v>40</v>
      </c>
      <c r="G1284" s="57" t="s">
        <v>484</v>
      </c>
      <c r="H1284" s="55" t="s">
        <v>482</v>
      </c>
    </row>
    <row r="1285" spans="1:8">
      <c r="A1285" s="77">
        <v>44163</v>
      </c>
      <c r="B1285" s="56" t="s">
        <v>477</v>
      </c>
      <c r="C1285" s="58">
        <v>1</v>
      </c>
      <c r="D1285" s="50">
        <v>60</v>
      </c>
      <c r="E1285" s="63">
        <v>100</v>
      </c>
      <c r="F1285" s="65">
        <f t="shared" si="44"/>
        <v>40</v>
      </c>
      <c r="G1285" s="57" t="s">
        <v>484</v>
      </c>
      <c r="H1285" s="55" t="s">
        <v>482</v>
      </c>
    </row>
    <row r="1286" spans="1:8">
      <c r="A1286" s="77">
        <v>44163</v>
      </c>
      <c r="B1286" s="56" t="s">
        <v>477</v>
      </c>
      <c r="C1286" s="58">
        <v>1</v>
      </c>
      <c r="D1286" s="50">
        <v>60</v>
      </c>
      <c r="E1286" s="63">
        <v>130</v>
      </c>
      <c r="F1286" s="65">
        <f t="shared" si="44"/>
        <v>70</v>
      </c>
      <c r="G1286" s="57" t="s">
        <v>484</v>
      </c>
      <c r="H1286" s="55" t="s">
        <v>482</v>
      </c>
    </row>
    <row r="1287" spans="1:8">
      <c r="A1287" s="77">
        <v>44163</v>
      </c>
      <c r="B1287" s="56" t="s">
        <v>476</v>
      </c>
      <c r="C1287" s="58">
        <v>1</v>
      </c>
      <c r="D1287" s="50">
        <v>35</v>
      </c>
      <c r="E1287" s="63">
        <v>80</v>
      </c>
      <c r="F1287" s="65">
        <f t="shared" si="44"/>
        <v>45</v>
      </c>
      <c r="G1287" s="57" t="s">
        <v>484</v>
      </c>
      <c r="H1287" s="55" t="s">
        <v>482</v>
      </c>
    </row>
    <row r="1288" spans="1:8">
      <c r="A1288" s="77">
        <v>44163</v>
      </c>
      <c r="B1288" s="56" t="s">
        <v>476</v>
      </c>
      <c r="C1288" s="58">
        <v>1</v>
      </c>
      <c r="D1288" s="50">
        <v>35</v>
      </c>
      <c r="E1288" s="63">
        <v>70</v>
      </c>
      <c r="F1288" s="65">
        <f t="shared" si="44"/>
        <v>35</v>
      </c>
      <c r="G1288" s="57" t="s">
        <v>484</v>
      </c>
      <c r="H1288" s="55" t="s">
        <v>482</v>
      </c>
    </row>
    <row r="1289" spans="1:8">
      <c r="A1289" s="77">
        <v>44163</v>
      </c>
      <c r="B1289" s="56" t="s">
        <v>476</v>
      </c>
      <c r="C1289" s="58">
        <v>1</v>
      </c>
      <c r="D1289" s="50">
        <v>35</v>
      </c>
      <c r="E1289" s="63">
        <v>70</v>
      </c>
      <c r="F1289" s="65">
        <f t="shared" si="44"/>
        <v>35</v>
      </c>
      <c r="G1289" s="57" t="s">
        <v>484</v>
      </c>
      <c r="H1289" s="55" t="s">
        <v>482</v>
      </c>
    </row>
    <row r="1290" spans="1:8">
      <c r="A1290" s="77">
        <v>44163</v>
      </c>
      <c r="B1290" s="56" t="s">
        <v>476</v>
      </c>
      <c r="C1290" s="58">
        <v>1</v>
      </c>
      <c r="D1290" s="50">
        <v>35</v>
      </c>
      <c r="E1290" s="63">
        <v>70</v>
      </c>
      <c r="F1290" s="65">
        <f t="shared" si="44"/>
        <v>35</v>
      </c>
      <c r="G1290" s="57" t="s">
        <v>484</v>
      </c>
      <c r="H1290" s="55" t="s">
        <v>482</v>
      </c>
    </row>
    <row r="1291" spans="1:8">
      <c r="A1291" s="77">
        <v>44163</v>
      </c>
      <c r="B1291" s="56" t="s">
        <v>476</v>
      </c>
      <c r="C1291" s="58">
        <v>1</v>
      </c>
      <c r="D1291" s="50">
        <v>35</v>
      </c>
      <c r="E1291" s="63">
        <v>70</v>
      </c>
      <c r="F1291" s="65">
        <f t="shared" si="44"/>
        <v>35</v>
      </c>
      <c r="G1291" s="57" t="s">
        <v>484</v>
      </c>
      <c r="H1291" s="55" t="s">
        <v>482</v>
      </c>
    </row>
    <row r="1292" spans="1:8">
      <c r="A1292" s="77">
        <v>44163</v>
      </c>
      <c r="B1292" s="56" t="s">
        <v>476</v>
      </c>
      <c r="C1292" s="58">
        <v>1</v>
      </c>
      <c r="D1292" s="50">
        <v>35</v>
      </c>
      <c r="E1292" s="63">
        <v>70</v>
      </c>
      <c r="F1292" s="65">
        <f t="shared" si="44"/>
        <v>35</v>
      </c>
      <c r="G1292" s="57" t="s">
        <v>484</v>
      </c>
      <c r="H1292" s="55" t="s">
        <v>482</v>
      </c>
    </row>
    <row r="1293" spans="1:8">
      <c r="A1293" s="77">
        <v>44163</v>
      </c>
      <c r="B1293" s="56" t="s">
        <v>464</v>
      </c>
      <c r="C1293" s="58">
        <v>1</v>
      </c>
      <c r="D1293" s="50">
        <v>8.5</v>
      </c>
      <c r="E1293" s="63">
        <v>10</v>
      </c>
      <c r="F1293" s="65">
        <f t="shared" si="44"/>
        <v>1.5</v>
      </c>
      <c r="G1293" s="57" t="s">
        <v>484</v>
      </c>
      <c r="H1293" s="77" t="s">
        <v>427</v>
      </c>
    </row>
    <row r="1294" spans="1:8">
      <c r="A1294" s="77">
        <v>44163</v>
      </c>
      <c r="B1294" s="56" t="s">
        <v>464</v>
      </c>
      <c r="C1294" s="58">
        <v>1</v>
      </c>
      <c r="D1294" s="50">
        <v>8.5</v>
      </c>
      <c r="E1294" s="63">
        <v>10</v>
      </c>
      <c r="F1294" s="65">
        <f t="shared" si="44"/>
        <v>1.5</v>
      </c>
      <c r="G1294" s="57" t="s">
        <v>484</v>
      </c>
      <c r="H1294" s="77" t="s">
        <v>427</v>
      </c>
    </row>
    <row r="1295" spans="1:8">
      <c r="A1295" s="77">
        <v>44163</v>
      </c>
      <c r="B1295" s="56" t="s">
        <v>464</v>
      </c>
      <c r="C1295" s="58">
        <v>1</v>
      </c>
      <c r="D1295" s="50">
        <v>8.5</v>
      </c>
      <c r="E1295" s="63">
        <v>10</v>
      </c>
      <c r="F1295" s="65">
        <f t="shared" si="44"/>
        <v>1.5</v>
      </c>
      <c r="G1295" s="57" t="s">
        <v>484</v>
      </c>
      <c r="H1295" s="77" t="s">
        <v>427</v>
      </c>
    </row>
    <row r="1296" spans="1:8">
      <c r="A1296" s="77">
        <v>44163</v>
      </c>
      <c r="B1296" s="56" t="s">
        <v>442</v>
      </c>
      <c r="C1296" s="58">
        <v>1</v>
      </c>
      <c r="D1296" s="50">
        <v>3</v>
      </c>
      <c r="E1296" s="63">
        <v>10</v>
      </c>
      <c r="F1296" s="65">
        <f t="shared" si="44"/>
        <v>7</v>
      </c>
      <c r="G1296" s="57" t="s">
        <v>484</v>
      </c>
      <c r="H1296" s="77" t="s">
        <v>427</v>
      </c>
    </row>
    <row r="1297" spans="1:8">
      <c r="A1297" s="77">
        <v>44163</v>
      </c>
      <c r="B1297" s="55" t="s">
        <v>146</v>
      </c>
      <c r="C1297" s="58">
        <v>1</v>
      </c>
      <c r="D1297" s="65">
        <v>28</v>
      </c>
      <c r="E1297" s="65">
        <v>60</v>
      </c>
      <c r="F1297" s="65">
        <f t="shared" si="44"/>
        <v>32</v>
      </c>
      <c r="G1297" s="57" t="s">
        <v>484</v>
      </c>
      <c r="H1297" s="77" t="s">
        <v>427</v>
      </c>
    </row>
    <row r="1298" spans="1:8">
      <c r="A1298" s="77">
        <v>44163</v>
      </c>
      <c r="B1298" s="56" t="s">
        <v>456</v>
      </c>
      <c r="C1298" s="58">
        <v>1</v>
      </c>
      <c r="D1298" s="50">
        <v>21</v>
      </c>
      <c r="E1298" s="63">
        <v>40</v>
      </c>
      <c r="F1298" s="65">
        <f t="shared" si="44"/>
        <v>19</v>
      </c>
      <c r="G1298" s="57" t="s">
        <v>484</v>
      </c>
      <c r="H1298" s="77" t="s">
        <v>427</v>
      </c>
    </row>
    <row r="1299" spans="1:8">
      <c r="A1299" s="77">
        <v>44163</v>
      </c>
      <c r="B1299" s="56" t="s">
        <v>456</v>
      </c>
      <c r="C1299" s="58">
        <v>1</v>
      </c>
      <c r="D1299" s="50">
        <v>21</v>
      </c>
      <c r="E1299" s="63">
        <v>40</v>
      </c>
      <c r="F1299" s="65">
        <f t="shared" si="44"/>
        <v>19</v>
      </c>
      <c r="G1299" s="57" t="s">
        <v>484</v>
      </c>
      <c r="H1299" s="77" t="s">
        <v>427</v>
      </c>
    </row>
    <row r="1300" spans="1:8">
      <c r="A1300" s="77">
        <v>44163</v>
      </c>
      <c r="B1300" s="56" t="s">
        <v>456</v>
      </c>
      <c r="C1300" s="58">
        <v>1</v>
      </c>
      <c r="D1300" s="50">
        <v>21</v>
      </c>
      <c r="E1300" s="63">
        <v>37</v>
      </c>
      <c r="F1300" s="65">
        <f t="shared" si="44"/>
        <v>16</v>
      </c>
      <c r="G1300" s="57" t="s">
        <v>484</v>
      </c>
      <c r="H1300" s="77" t="s">
        <v>427</v>
      </c>
    </row>
    <row r="1301" spans="1:8">
      <c r="A1301" s="77">
        <v>44163</v>
      </c>
      <c r="B1301" s="56" t="s">
        <v>456</v>
      </c>
      <c r="C1301" s="58">
        <v>1</v>
      </c>
      <c r="D1301" s="50">
        <v>22</v>
      </c>
      <c r="E1301" s="63">
        <v>37.5</v>
      </c>
      <c r="F1301" s="65">
        <f t="shared" si="44"/>
        <v>15.5</v>
      </c>
      <c r="G1301" s="57" t="s">
        <v>484</v>
      </c>
      <c r="H1301" s="77" t="s">
        <v>427</v>
      </c>
    </row>
    <row r="1302" spans="1:8">
      <c r="A1302" s="77">
        <v>44163</v>
      </c>
      <c r="B1302" s="56" t="s">
        <v>456</v>
      </c>
      <c r="C1302" s="58">
        <v>1</v>
      </c>
      <c r="D1302" s="50">
        <v>22</v>
      </c>
      <c r="E1302" s="63">
        <v>37.5</v>
      </c>
      <c r="F1302" s="65">
        <f t="shared" si="44"/>
        <v>15.5</v>
      </c>
      <c r="G1302" s="57" t="s">
        <v>484</v>
      </c>
      <c r="H1302" s="77" t="s">
        <v>427</v>
      </c>
    </row>
    <row r="1303" spans="1:8">
      <c r="A1303" s="77">
        <v>44163</v>
      </c>
      <c r="B1303" s="56" t="s">
        <v>456</v>
      </c>
      <c r="C1303" s="58">
        <v>1</v>
      </c>
      <c r="D1303" s="50">
        <v>22</v>
      </c>
      <c r="E1303" s="63">
        <v>37.5</v>
      </c>
      <c r="F1303" s="65">
        <f t="shared" si="44"/>
        <v>15.5</v>
      </c>
      <c r="G1303" s="57" t="s">
        <v>484</v>
      </c>
      <c r="H1303" s="77" t="s">
        <v>427</v>
      </c>
    </row>
    <row r="1304" spans="1:8">
      <c r="A1304" s="77">
        <v>44163</v>
      </c>
      <c r="B1304" s="56" t="s">
        <v>456</v>
      </c>
      <c r="C1304" s="58">
        <v>1</v>
      </c>
      <c r="D1304" s="50">
        <v>22</v>
      </c>
      <c r="E1304" s="63">
        <v>37.5</v>
      </c>
      <c r="F1304" s="65">
        <v>15.5</v>
      </c>
      <c r="G1304" s="57" t="s">
        <v>484</v>
      </c>
      <c r="H1304" s="77" t="s">
        <v>427</v>
      </c>
    </row>
    <row r="1305" spans="1:8">
      <c r="A1305" s="77">
        <v>44163</v>
      </c>
      <c r="B1305" s="56" t="s">
        <v>456</v>
      </c>
      <c r="C1305" s="58">
        <v>1</v>
      </c>
      <c r="D1305" s="50">
        <v>22</v>
      </c>
      <c r="E1305" s="63">
        <v>37</v>
      </c>
      <c r="F1305" s="65">
        <v>15</v>
      </c>
      <c r="G1305" s="57" t="s">
        <v>484</v>
      </c>
      <c r="H1305" s="77" t="s">
        <v>427</v>
      </c>
    </row>
    <row r="1306" spans="1:8">
      <c r="A1306" s="77">
        <v>44163</v>
      </c>
      <c r="B1306" s="56" t="s">
        <v>456</v>
      </c>
      <c r="C1306" s="58">
        <v>1</v>
      </c>
      <c r="D1306" s="50">
        <v>21</v>
      </c>
      <c r="E1306" s="63">
        <v>40</v>
      </c>
      <c r="F1306" s="65">
        <v>19</v>
      </c>
      <c r="G1306" s="57" t="s">
        <v>484</v>
      </c>
      <c r="H1306" s="77" t="s">
        <v>427</v>
      </c>
    </row>
    <row r="1307" spans="1:8">
      <c r="A1307" s="77">
        <v>44163</v>
      </c>
      <c r="B1307" s="56" t="s">
        <v>456</v>
      </c>
      <c r="C1307" s="58">
        <v>1</v>
      </c>
      <c r="D1307" s="50">
        <v>21</v>
      </c>
      <c r="E1307" s="63">
        <v>40</v>
      </c>
      <c r="F1307" s="65">
        <v>19</v>
      </c>
      <c r="G1307" s="57" t="s">
        <v>484</v>
      </c>
      <c r="H1307" s="77" t="s">
        <v>427</v>
      </c>
    </row>
    <row r="1308" spans="1:8">
      <c r="A1308" s="77">
        <v>44163</v>
      </c>
      <c r="B1308" s="56" t="s">
        <v>456</v>
      </c>
      <c r="C1308" s="58">
        <v>1</v>
      </c>
      <c r="D1308" s="50">
        <v>21</v>
      </c>
      <c r="E1308" s="63">
        <v>37</v>
      </c>
      <c r="F1308" s="65">
        <v>16</v>
      </c>
      <c r="G1308" s="57" t="s">
        <v>484</v>
      </c>
      <c r="H1308" s="77" t="s">
        <v>427</v>
      </c>
    </row>
    <row r="1309" spans="1:8">
      <c r="A1309" s="77">
        <v>44163</v>
      </c>
      <c r="B1309" s="56" t="s">
        <v>456</v>
      </c>
      <c r="C1309" s="58">
        <v>1</v>
      </c>
      <c r="D1309" s="50">
        <v>22</v>
      </c>
      <c r="E1309" s="63">
        <v>37.5</v>
      </c>
      <c r="F1309" s="65">
        <v>15.5</v>
      </c>
      <c r="G1309" s="57" t="s">
        <v>484</v>
      </c>
      <c r="H1309" s="77" t="s">
        <v>427</v>
      </c>
    </row>
    <row r="1310" spans="1:8">
      <c r="A1310" s="77">
        <v>44163</v>
      </c>
      <c r="B1310" s="56" t="s">
        <v>456</v>
      </c>
      <c r="C1310" s="58">
        <v>1</v>
      </c>
      <c r="D1310" s="50">
        <v>22</v>
      </c>
      <c r="E1310" s="63">
        <v>37.5</v>
      </c>
      <c r="F1310" s="65">
        <v>15.5</v>
      </c>
      <c r="G1310" s="57" t="s">
        <v>484</v>
      </c>
      <c r="H1310" s="77" t="s">
        <v>427</v>
      </c>
    </row>
    <row r="1311" spans="1:8">
      <c r="A1311" s="77">
        <v>44163</v>
      </c>
      <c r="B1311" s="56" t="s">
        <v>456</v>
      </c>
      <c r="C1311" s="58">
        <v>1</v>
      </c>
      <c r="D1311" s="50">
        <v>22</v>
      </c>
      <c r="E1311" s="63">
        <v>37.5</v>
      </c>
      <c r="F1311" s="65">
        <v>15.5</v>
      </c>
      <c r="G1311" s="57" t="s">
        <v>484</v>
      </c>
      <c r="H1311" s="77" t="s">
        <v>427</v>
      </c>
    </row>
    <row r="1312" spans="1:8">
      <c r="A1312" s="77">
        <v>44163</v>
      </c>
      <c r="B1312" s="56" t="s">
        <v>456</v>
      </c>
      <c r="C1312" s="58">
        <v>1</v>
      </c>
      <c r="D1312" s="50">
        <v>22</v>
      </c>
      <c r="E1312" s="63">
        <v>37.5</v>
      </c>
      <c r="F1312" s="65">
        <v>15.5</v>
      </c>
      <c r="G1312" s="57" t="s">
        <v>484</v>
      </c>
      <c r="H1312" s="77" t="s">
        <v>427</v>
      </c>
    </row>
    <row r="1313" spans="1:8">
      <c r="A1313" s="77">
        <v>44163</v>
      </c>
      <c r="B1313" s="56" t="s">
        <v>456</v>
      </c>
      <c r="C1313" s="58">
        <v>1</v>
      </c>
      <c r="D1313" s="50">
        <v>22</v>
      </c>
      <c r="E1313" s="63">
        <v>37.5</v>
      </c>
      <c r="F1313" s="65">
        <f t="shared" ref="F1313:F1344" si="45">E1313-D1313</f>
        <v>15.5</v>
      </c>
      <c r="G1313" s="57" t="s">
        <v>484</v>
      </c>
      <c r="H1313" s="77" t="s">
        <v>427</v>
      </c>
    </row>
    <row r="1314" spans="1:8">
      <c r="A1314" s="77">
        <v>44163</v>
      </c>
      <c r="B1314" s="56" t="s">
        <v>456</v>
      </c>
      <c r="C1314" s="58">
        <v>1</v>
      </c>
      <c r="D1314" s="50">
        <v>21</v>
      </c>
      <c r="E1314" s="63">
        <v>30</v>
      </c>
      <c r="F1314" s="65">
        <f t="shared" si="45"/>
        <v>9</v>
      </c>
      <c r="G1314" s="57" t="s">
        <v>484</v>
      </c>
      <c r="H1314" s="55" t="s">
        <v>482</v>
      </c>
    </row>
    <row r="1315" spans="1:8">
      <c r="A1315" s="77">
        <v>44163</v>
      </c>
      <c r="B1315" s="56" t="s">
        <v>456</v>
      </c>
      <c r="C1315" s="58">
        <v>1</v>
      </c>
      <c r="D1315" s="50">
        <v>22</v>
      </c>
      <c r="E1315" s="63">
        <v>37</v>
      </c>
      <c r="F1315" s="65">
        <f t="shared" si="45"/>
        <v>15</v>
      </c>
      <c r="G1315" s="57" t="s">
        <v>484</v>
      </c>
      <c r="H1315" s="77" t="s">
        <v>427</v>
      </c>
    </row>
    <row r="1316" spans="1:8">
      <c r="A1316" s="77">
        <v>44163</v>
      </c>
      <c r="B1316" s="56" t="s">
        <v>456</v>
      </c>
      <c r="C1316" s="58">
        <v>1</v>
      </c>
      <c r="D1316" s="50">
        <v>21</v>
      </c>
      <c r="E1316" s="63">
        <v>40</v>
      </c>
      <c r="F1316" s="65">
        <f t="shared" si="45"/>
        <v>19</v>
      </c>
      <c r="G1316" s="57" t="s">
        <v>484</v>
      </c>
      <c r="H1316" s="77" t="s">
        <v>427</v>
      </c>
    </row>
    <row r="1317" spans="1:8">
      <c r="A1317" s="77">
        <v>44163</v>
      </c>
      <c r="B1317" s="56" t="s">
        <v>456</v>
      </c>
      <c r="C1317" s="58">
        <v>1</v>
      </c>
      <c r="D1317" s="50">
        <v>21</v>
      </c>
      <c r="E1317" s="63">
        <v>40</v>
      </c>
      <c r="F1317" s="65">
        <f t="shared" si="45"/>
        <v>19</v>
      </c>
      <c r="G1317" s="57" t="s">
        <v>484</v>
      </c>
      <c r="H1317" s="77" t="s">
        <v>427</v>
      </c>
    </row>
    <row r="1318" spans="1:8">
      <c r="A1318" s="77">
        <v>44163</v>
      </c>
      <c r="B1318" s="56" t="s">
        <v>456</v>
      </c>
      <c r="C1318" s="58">
        <v>1</v>
      </c>
      <c r="D1318" s="50">
        <v>21</v>
      </c>
      <c r="E1318" s="63">
        <v>37</v>
      </c>
      <c r="F1318" s="65">
        <f t="shared" si="45"/>
        <v>16</v>
      </c>
      <c r="G1318" s="57" t="s">
        <v>484</v>
      </c>
      <c r="H1318" s="77" t="s">
        <v>427</v>
      </c>
    </row>
    <row r="1319" spans="1:8">
      <c r="A1319" s="77">
        <v>44163</v>
      </c>
      <c r="B1319" s="56" t="s">
        <v>456</v>
      </c>
      <c r="C1319" s="58">
        <v>1</v>
      </c>
      <c r="D1319" s="50">
        <v>22</v>
      </c>
      <c r="E1319" s="63">
        <v>37.5</v>
      </c>
      <c r="F1319" s="65">
        <f t="shared" si="45"/>
        <v>15.5</v>
      </c>
      <c r="G1319" s="57" t="s">
        <v>484</v>
      </c>
      <c r="H1319" s="77" t="s">
        <v>427</v>
      </c>
    </row>
    <row r="1320" spans="1:8">
      <c r="A1320" s="77">
        <v>44163</v>
      </c>
      <c r="B1320" s="56" t="s">
        <v>456</v>
      </c>
      <c r="C1320" s="58">
        <v>1</v>
      </c>
      <c r="D1320" s="50">
        <v>22</v>
      </c>
      <c r="E1320" s="63">
        <v>37.5</v>
      </c>
      <c r="F1320" s="65">
        <f t="shared" si="45"/>
        <v>15.5</v>
      </c>
      <c r="G1320" s="57" t="s">
        <v>484</v>
      </c>
      <c r="H1320" s="77" t="s">
        <v>427</v>
      </c>
    </row>
    <row r="1321" spans="1:8">
      <c r="A1321" s="77">
        <v>44163</v>
      </c>
      <c r="B1321" s="56" t="s">
        <v>456</v>
      </c>
      <c r="C1321" s="58">
        <v>1</v>
      </c>
      <c r="D1321" s="50">
        <v>22</v>
      </c>
      <c r="E1321" s="63">
        <v>37.5</v>
      </c>
      <c r="F1321" s="65">
        <f t="shared" si="45"/>
        <v>15.5</v>
      </c>
      <c r="G1321" s="57" t="s">
        <v>484</v>
      </c>
      <c r="H1321" s="77" t="s">
        <v>427</v>
      </c>
    </row>
    <row r="1322" spans="1:8">
      <c r="A1322" s="77">
        <v>44163</v>
      </c>
      <c r="B1322" s="56" t="s">
        <v>456</v>
      </c>
      <c r="C1322" s="58">
        <v>1</v>
      </c>
      <c r="D1322" s="50">
        <v>22</v>
      </c>
      <c r="E1322" s="63">
        <v>37.5</v>
      </c>
      <c r="F1322" s="65">
        <f t="shared" si="45"/>
        <v>15.5</v>
      </c>
      <c r="G1322" s="57" t="s">
        <v>484</v>
      </c>
      <c r="H1322" s="77" t="s">
        <v>427</v>
      </c>
    </row>
    <row r="1323" spans="1:8">
      <c r="A1323" s="77">
        <v>44163</v>
      </c>
      <c r="B1323" s="56" t="s">
        <v>456</v>
      </c>
      <c r="C1323" s="58">
        <v>1</v>
      </c>
      <c r="D1323" s="50">
        <v>21</v>
      </c>
      <c r="E1323" s="63">
        <v>30</v>
      </c>
      <c r="F1323" s="65">
        <f t="shared" si="45"/>
        <v>9</v>
      </c>
      <c r="G1323" s="57" t="s">
        <v>484</v>
      </c>
      <c r="H1323" s="55" t="s">
        <v>482</v>
      </c>
    </row>
    <row r="1324" spans="1:8">
      <c r="A1324" s="77">
        <v>44163</v>
      </c>
      <c r="B1324" s="56" t="s">
        <v>456</v>
      </c>
      <c r="C1324" s="58">
        <v>1</v>
      </c>
      <c r="D1324" s="50">
        <v>22</v>
      </c>
      <c r="E1324" s="63">
        <v>30</v>
      </c>
      <c r="F1324" s="65">
        <f t="shared" si="45"/>
        <v>8</v>
      </c>
      <c r="G1324" s="57" t="s">
        <v>484</v>
      </c>
      <c r="H1324" s="55" t="s">
        <v>482</v>
      </c>
    </row>
    <row r="1325" spans="1:8">
      <c r="A1325" s="77">
        <v>44163</v>
      </c>
      <c r="B1325" s="56" t="s">
        <v>456</v>
      </c>
      <c r="C1325" s="58">
        <v>1</v>
      </c>
      <c r="D1325" s="50">
        <v>22</v>
      </c>
      <c r="E1325" s="63">
        <v>30</v>
      </c>
      <c r="F1325" s="65">
        <f t="shared" si="45"/>
        <v>8</v>
      </c>
      <c r="G1325" s="57" t="s">
        <v>484</v>
      </c>
      <c r="H1325" s="55" t="s">
        <v>482</v>
      </c>
    </row>
    <row r="1326" spans="1:8">
      <c r="A1326" s="77">
        <v>44163</v>
      </c>
      <c r="B1326" s="56" t="s">
        <v>456</v>
      </c>
      <c r="C1326" s="58">
        <v>1</v>
      </c>
      <c r="D1326" s="50">
        <v>22</v>
      </c>
      <c r="E1326" s="63">
        <v>30</v>
      </c>
      <c r="F1326" s="65">
        <f t="shared" si="45"/>
        <v>8</v>
      </c>
      <c r="G1326" s="57" t="s">
        <v>484</v>
      </c>
      <c r="H1326" s="55" t="s">
        <v>482</v>
      </c>
    </row>
    <row r="1327" spans="1:8">
      <c r="A1327" s="77">
        <v>44164</v>
      </c>
      <c r="B1327" s="56" t="s">
        <v>456</v>
      </c>
      <c r="C1327" s="58">
        <v>1</v>
      </c>
      <c r="D1327" s="50">
        <v>22</v>
      </c>
      <c r="E1327" s="63">
        <v>30</v>
      </c>
      <c r="F1327" s="65">
        <f t="shared" si="45"/>
        <v>8</v>
      </c>
      <c r="G1327" s="57" t="s">
        <v>484</v>
      </c>
      <c r="H1327" s="55" t="s">
        <v>482</v>
      </c>
    </row>
    <row r="1328" spans="1:8">
      <c r="A1328" s="77">
        <v>44164</v>
      </c>
      <c r="B1328" s="56" t="s">
        <v>456</v>
      </c>
      <c r="C1328" s="58">
        <v>1</v>
      </c>
      <c r="D1328" s="50">
        <v>22</v>
      </c>
      <c r="E1328" s="63">
        <v>30</v>
      </c>
      <c r="F1328" s="65">
        <f t="shared" si="45"/>
        <v>8</v>
      </c>
      <c r="G1328" s="57" t="s">
        <v>484</v>
      </c>
      <c r="H1328" s="55" t="s">
        <v>482</v>
      </c>
    </row>
    <row r="1329" spans="1:8">
      <c r="A1329" s="77">
        <v>44164</v>
      </c>
      <c r="B1329" s="56" t="s">
        <v>470</v>
      </c>
      <c r="C1329" s="58">
        <v>1</v>
      </c>
      <c r="D1329" s="65">
        <v>6</v>
      </c>
      <c r="E1329" s="65">
        <v>10</v>
      </c>
      <c r="F1329" s="65">
        <f t="shared" si="45"/>
        <v>4</v>
      </c>
      <c r="G1329" s="57" t="s">
        <v>484</v>
      </c>
      <c r="H1329" s="77" t="s">
        <v>427</v>
      </c>
    </row>
    <row r="1330" spans="1:8">
      <c r="A1330" s="77">
        <v>44164</v>
      </c>
      <c r="B1330" s="56" t="s">
        <v>470</v>
      </c>
      <c r="C1330" s="58">
        <v>1</v>
      </c>
      <c r="D1330" s="65">
        <v>6</v>
      </c>
      <c r="E1330" s="65">
        <v>10</v>
      </c>
      <c r="F1330" s="65">
        <f t="shared" si="45"/>
        <v>4</v>
      </c>
      <c r="G1330" s="57" t="s">
        <v>484</v>
      </c>
      <c r="H1330" s="77" t="s">
        <v>427</v>
      </c>
    </row>
    <row r="1331" spans="1:8">
      <c r="A1331" s="77">
        <v>44164</v>
      </c>
      <c r="B1331" s="56" t="s">
        <v>478</v>
      </c>
      <c r="C1331" s="58">
        <v>1</v>
      </c>
      <c r="D1331" s="50">
        <v>17</v>
      </c>
      <c r="E1331" s="63">
        <v>55</v>
      </c>
      <c r="F1331" s="65">
        <f t="shared" si="45"/>
        <v>38</v>
      </c>
      <c r="G1331" s="57" t="s">
        <v>484</v>
      </c>
      <c r="H1331" s="55" t="s">
        <v>482</v>
      </c>
    </row>
    <row r="1332" spans="1:8">
      <c r="A1332" s="77">
        <v>44164</v>
      </c>
      <c r="B1332" s="56" t="s">
        <v>461</v>
      </c>
      <c r="C1332" s="58">
        <v>1</v>
      </c>
      <c r="D1332" s="50">
        <v>15</v>
      </c>
      <c r="E1332" s="63">
        <v>50</v>
      </c>
      <c r="F1332" s="65">
        <f t="shared" si="45"/>
        <v>35</v>
      </c>
      <c r="G1332" s="57" t="s">
        <v>484</v>
      </c>
      <c r="H1332" s="55" t="s">
        <v>482</v>
      </c>
    </row>
    <row r="1333" spans="1:8">
      <c r="A1333" s="77">
        <v>44164</v>
      </c>
      <c r="B1333" s="55" t="s">
        <v>461</v>
      </c>
      <c r="C1333" s="58">
        <v>1</v>
      </c>
      <c r="D1333" s="65">
        <v>15</v>
      </c>
      <c r="E1333" s="65">
        <v>30</v>
      </c>
      <c r="F1333" s="65">
        <f t="shared" si="45"/>
        <v>15</v>
      </c>
      <c r="G1333" s="57" t="s">
        <v>484</v>
      </c>
      <c r="H1333" s="77" t="s">
        <v>427</v>
      </c>
    </row>
    <row r="1334" spans="1:8">
      <c r="A1334" s="77">
        <v>44164</v>
      </c>
      <c r="B1334" s="56" t="s">
        <v>252</v>
      </c>
      <c r="C1334" s="58">
        <v>1</v>
      </c>
      <c r="D1334" s="50">
        <v>17</v>
      </c>
      <c r="E1334" s="63">
        <v>30</v>
      </c>
      <c r="F1334" s="65">
        <f t="shared" si="45"/>
        <v>13</v>
      </c>
      <c r="G1334" s="57" t="s">
        <v>484</v>
      </c>
      <c r="H1334" s="55" t="s">
        <v>482</v>
      </c>
    </row>
    <row r="1335" spans="1:8">
      <c r="A1335" s="77">
        <v>44164</v>
      </c>
      <c r="B1335" s="56" t="s">
        <v>252</v>
      </c>
      <c r="C1335" s="58">
        <v>1</v>
      </c>
      <c r="D1335" s="50">
        <v>17</v>
      </c>
      <c r="E1335" s="63">
        <v>30</v>
      </c>
      <c r="F1335" s="65">
        <f t="shared" si="45"/>
        <v>13</v>
      </c>
      <c r="G1335" s="57" t="s">
        <v>484</v>
      </c>
      <c r="H1335" s="55" t="s">
        <v>482</v>
      </c>
    </row>
    <row r="1336" spans="1:8">
      <c r="A1336" s="77">
        <v>44164</v>
      </c>
      <c r="B1336" s="56" t="s">
        <v>471</v>
      </c>
      <c r="C1336" s="58">
        <v>1</v>
      </c>
      <c r="D1336" s="65">
        <v>5</v>
      </c>
      <c r="E1336" s="65">
        <v>10</v>
      </c>
      <c r="F1336" s="65">
        <f t="shared" si="45"/>
        <v>5</v>
      </c>
      <c r="G1336" s="57" t="s">
        <v>484</v>
      </c>
      <c r="H1336" s="77" t="s">
        <v>427</v>
      </c>
    </row>
    <row r="1337" spans="1:8">
      <c r="A1337" s="77">
        <v>44164</v>
      </c>
      <c r="B1337" s="56" t="s">
        <v>469</v>
      </c>
      <c r="C1337" s="58">
        <v>1</v>
      </c>
      <c r="D1337" s="50">
        <v>18</v>
      </c>
      <c r="E1337" s="63">
        <v>30</v>
      </c>
      <c r="F1337" s="65">
        <f t="shared" si="45"/>
        <v>12</v>
      </c>
      <c r="G1337" s="57" t="s">
        <v>484</v>
      </c>
      <c r="H1337" s="77" t="s">
        <v>427</v>
      </c>
    </row>
    <row r="1338" spans="1:8">
      <c r="A1338" s="77">
        <v>44164</v>
      </c>
      <c r="B1338" s="56" t="s">
        <v>469</v>
      </c>
      <c r="C1338" s="58">
        <v>1</v>
      </c>
      <c r="D1338" s="50">
        <v>18</v>
      </c>
      <c r="E1338" s="63">
        <v>30</v>
      </c>
      <c r="F1338" s="65">
        <f t="shared" si="45"/>
        <v>12</v>
      </c>
      <c r="G1338" s="57" t="s">
        <v>484</v>
      </c>
      <c r="H1338" s="77" t="s">
        <v>427</v>
      </c>
    </row>
    <row r="1339" spans="1:8">
      <c r="A1339" s="77">
        <v>44164</v>
      </c>
      <c r="B1339" s="56" t="s">
        <v>469</v>
      </c>
      <c r="C1339" s="58">
        <v>1</v>
      </c>
      <c r="D1339" s="50">
        <v>18</v>
      </c>
      <c r="E1339" s="63">
        <v>30</v>
      </c>
      <c r="F1339" s="65">
        <f t="shared" si="45"/>
        <v>12</v>
      </c>
      <c r="G1339" s="57" t="s">
        <v>484</v>
      </c>
      <c r="H1339" s="77" t="s">
        <v>427</v>
      </c>
    </row>
    <row r="1340" spans="1:8">
      <c r="A1340" s="77">
        <v>44164</v>
      </c>
      <c r="B1340" s="56" t="s">
        <v>469</v>
      </c>
      <c r="C1340" s="58">
        <v>1</v>
      </c>
      <c r="D1340" s="50">
        <v>18</v>
      </c>
      <c r="E1340" s="63">
        <v>30</v>
      </c>
      <c r="F1340" s="65">
        <f t="shared" si="45"/>
        <v>12</v>
      </c>
      <c r="G1340" s="57" t="s">
        <v>484</v>
      </c>
      <c r="H1340" s="77" t="s">
        <v>427</v>
      </c>
    </row>
    <row r="1341" spans="1:8">
      <c r="A1341" s="77">
        <v>44164</v>
      </c>
      <c r="B1341" s="56" t="s">
        <v>469</v>
      </c>
      <c r="C1341" s="58">
        <v>1</v>
      </c>
      <c r="D1341" s="50">
        <v>18</v>
      </c>
      <c r="E1341" s="63">
        <v>30</v>
      </c>
      <c r="F1341" s="65">
        <f t="shared" si="45"/>
        <v>12</v>
      </c>
      <c r="G1341" s="57" t="s">
        <v>484</v>
      </c>
      <c r="H1341" s="77" t="s">
        <v>427</v>
      </c>
    </row>
    <row r="1342" spans="1:8">
      <c r="A1342" s="77">
        <v>44164</v>
      </c>
      <c r="B1342" s="56" t="s">
        <v>469</v>
      </c>
      <c r="C1342" s="58">
        <v>1</v>
      </c>
      <c r="D1342" s="50">
        <v>18</v>
      </c>
      <c r="E1342" s="63">
        <v>30</v>
      </c>
      <c r="F1342" s="65">
        <f t="shared" si="45"/>
        <v>12</v>
      </c>
      <c r="G1342" s="57" t="s">
        <v>484</v>
      </c>
      <c r="H1342" s="77" t="s">
        <v>427</v>
      </c>
    </row>
    <row r="1343" spans="1:8">
      <c r="A1343" s="77">
        <v>44164</v>
      </c>
      <c r="B1343" s="56" t="s">
        <v>469</v>
      </c>
      <c r="C1343" s="58">
        <v>1</v>
      </c>
      <c r="D1343" s="50">
        <v>18</v>
      </c>
      <c r="E1343" s="63">
        <v>30</v>
      </c>
      <c r="F1343" s="65">
        <f t="shared" si="45"/>
        <v>12</v>
      </c>
      <c r="G1343" s="57" t="s">
        <v>484</v>
      </c>
      <c r="H1343" s="77" t="s">
        <v>427</v>
      </c>
    </row>
    <row r="1344" spans="1:8">
      <c r="A1344" s="77">
        <v>44164</v>
      </c>
      <c r="B1344" s="56" t="s">
        <v>469</v>
      </c>
      <c r="C1344" s="58">
        <v>1</v>
      </c>
      <c r="D1344" s="50">
        <v>18</v>
      </c>
      <c r="E1344" s="63">
        <v>50</v>
      </c>
      <c r="F1344" s="65">
        <f t="shared" si="45"/>
        <v>32</v>
      </c>
      <c r="G1344" s="57" t="s">
        <v>484</v>
      </c>
      <c r="H1344" s="55" t="s">
        <v>482</v>
      </c>
    </row>
    <row r="1345" spans="1:8">
      <c r="A1345" s="77">
        <v>44164</v>
      </c>
      <c r="B1345" s="56" t="s">
        <v>447</v>
      </c>
      <c r="C1345" s="58">
        <v>1</v>
      </c>
      <c r="D1345" s="50">
        <v>6</v>
      </c>
      <c r="E1345" s="63">
        <v>13</v>
      </c>
      <c r="F1345" s="65">
        <f t="shared" ref="F1345:F1376" si="46">E1345-D1345</f>
        <v>7</v>
      </c>
      <c r="G1345" s="57" t="s">
        <v>484</v>
      </c>
      <c r="H1345" s="77" t="s">
        <v>427</v>
      </c>
    </row>
    <row r="1346" spans="1:8">
      <c r="A1346" s="77">
        <v>44164</v>
      </c>
      <c r="B1346" s="56" t="s">
        <v>447</v>
      </c>
      <c r="C1346" s="58">
        <v>1</v>
      </c>
      <c r="D1346" s="50">
        <v>6</v>
      </c>
      <c r="E1346" s="63">
        <v>13</v>
      </c>
      <c r="F1346" s="65">
        <f t="shared" si="46"/>
        <v>7</v>
      </c>
      <c r="G1346" s="57" t="s">
        <v>484</v>
      </c>
      <c r="H1346" s="77" t="s">
        <v>427</v>
      </c>
    </row>
    <row r="1347" spans="1:8">
      <c r="A1347" s="77">
        <v>44164</v>
      </c>
      <c r="B1347" s="56" t="s">
        <v>447</v>
      </c>
      <c r="C1347" s="58">
        <v>1</v>
      </c>
      <c r="D1347" s="50">
        <v>6</v>
      </c>
      <c r="E1347" s="63">
        <v>25.69</v>
      </c>
      <c r="F1347" s="65">
        <f t="shared" si="46"/>
        <v>19.690000000000001</v>
      </c>
      <c r="G1347" s="57" t="s">
        <v>484</v>
      </c>
      <c r="H1347" s="77" t="s">
        <v>427</v>
      </c>
    </row>
    <row r="1348" spans="1:8">
      <c r="A1348" s="77">
        <v>44164</v>
      </c>
      <c r="B1348" s="56" t="s">
        <v>447</v>
      </c>
      <c r="C1348" s="58">
        <v>1</v>
      </c>
      <c r="D1348" s="50">
        <v>6</v>
      </c>
      <c r="E1348" s="63">
        <v>11.56</v>
      </c>
      <c r="F1348" s="65">
        <f t="shared" si="46"/>
        <v>5.5600000000000005</v>
      </c>
      <c r="G1348" s="57" t="s">
        <v>484</v>
      </c>
      <c r="H1348" s="77" t="s">
        <v>427</v>
      </c>
    </row>
    <row r="1349" spans="1:8">
      <c r="A1349" s="77">
        <v>44164</v>
      </c>
      <c r="B1349" s="56" t="s">
        <v>447</v>
      </c>
      <c r="C1349" s="58">
        <v>1</v>
      </c>
      <c r="D1349" s="50">
        <v>6</v>
      </c>
      <c r="E1349" s="63">
        <v>13</v>
      </c>
      <c r="F1349" s="65">
        <f t="shared" si="46"/>
        <v>7</v>
      </c>
      <c r="G1349" s="57" t="s">
        <v>484</v>
      </c>
      <c r="H1349" s="77" t="s">
        <v>427</v>
      </c>
    </row>
    <row r="1350" spans="1:8">
      <c r="A1350" s="77">
        <v>44164</v>
      </c>
      <c r="B1350" s="56" t="s">
        <v>447</v>
      </c>
      <c r="C1350" s="58">
        <v>1</v>
      </c>
      <c r="D1350" s="50">
        <v>6</v>
      </c>
      <c r="E1350" s="63">
        <v>13</v>
      </c>
      <c r="F1350" s="65">
        <f t="shared" si="46"/>
        <v>7</v>
      </c>
      <c r="G1350" s="57" t="s">
        <v>484</v>
      </c>
      <c r="H1350" s="77" t="s">
        <v>427</v>
      </c>
    </row>
    <row r="1351" spans="1:8">
      <c r="A1351" s="77">
        <v>44164</v>
      </c>
      <c r="B1351" s="56" t="s">
        <v>447</v>
      </c>
      <c r="C1351" s="58">
        <v>1</v>
      </c>
      <c r="D1351" s="50">
        <v>6</v>
      </c>
      <c r="E1351" s="63">
        <v>13</v>
      </c>
      <c r="F1351" s="65">
        <f t="shared" si="46"/>
        <v>7</v>
      </c>
      <c r="G1351" s="57" t="s">
        <v>484</v>
      </c>
      <c r="H1351" s="77" t="s">
        <v>427</v>
      </c>
    </row>
    <row r="1352" spans="1:8">
      <c r="A1352" s="77">
        <v>44164</v>
      </c>
      <c r="B1352" s="56" t="s">
        <v>447</v>
      </c>
      <c r="C1352" s="58">
        <v>1</v>
      </c>
      <c r="D1352" s="50">
        <v>6</v>
      </c>
      <c r="E1352" s="63">
        <v>13</v>
      </c>
      <c r="F1352" s="65">
        <f t="shared" si="46"/>
        <v>7</v>
      </c>
      <c r="G1352" s="57" t="s">
        <v>484</v>
      </c>
      <c r="H1352" s="77" t="s">
        <v>427</v>
      </c>
    </row>
    <row r="1353" spans="1:8">
      <c r="A1353" s="77">
        <v>44164</v>
      </c>
      <c r="B1353" s="56" t="s">
        <v>447</v>
      </c>
      <c r="C1353" s="58">
        <v>1</v>
      </c>
      <c r="D1353" s="50">
        <v>6</v>
      </c>
      <c r="E1353" s="63">
        <v>10</v>
      </c>
      <c r="F1353" s="65">
        <f t="shared" si="46"/>
        <v>4</v>
      </c>
      <c r="G1353" s="57" t="s">
        <v>484</v>
      </c>
      <c r="H1353" s="77" t="s">
        <v>427</v>
      </c>
    </row>
    <row r="1354" spans="1:8">
      <c r="A1354" s="77">
        <v>44164</v>
      </c>
      <c r="B1354" s="56" t="s">
        <v>447</v>
      </c>
      <c r="C1354" s="58">
        <v>1</v>
      </c>
      <c r="D1354" s="50">
        <v>6</v>
      </c>
      <c r="E1354" s="63">
        <v>10</v>
      </c>
      <c r="F1354" s="65">
        <f t="shared" si="46"/>
        <v>4</v>
      </c>
      <c r="G1354" s="57" t="s">
        <v>484</v>
      </c>
      <c r="H1354" s="77" t="s">
        <v>427</v>
      </c>
    </row>
    <row r="1355" spans="1:8">
      <c r="A1355" s="77">
        <v>44164</v>
      </c>
      <c r="B1355" s="56" t="s">
        <v>447</v>
      </c>
      <c r="C1355" s="58">
        <v>1</v>
      </c>
      <c r="D1355" s="50">
        <v>6</v>
      </c>
      <c r="E1355" s="63">
        <v>10</v>
      </c>
      <c r="F1355" s="65">
        <f t="shared" si="46"/>
        <v>4</v>
      </c>
      <c r="G1355" s="57" t="s">
        <v>484</v>
      </c>
      <c r="H1355" s="77" t="s">
        <v>427</v>
      </c>
    </row>
    <row r="1356" spans="1:8">
      <c r="A1356" s="77">
        <v>44164</v>
      </c>
      <c r="B1356" s="56" t="s">
        <v>447</v>
      </c>
      <c r="C1356" s="58">
        <v>1</v>
      </c>
      <c r="D1356" s="50">
        <v>6</v>
      </c>
      <c r="E1356" s="63">
        <v>10</v>
      </c>
      <c r="F1356" s="65">
        <f t="shared" si="46"/>
        <v>4</v>
      </c>
      <c r="G1356" s="57" t="s">
        <v>484</v>
      </c>
      <c r="H1356" s="77" t="s">
        <v>427</v>
      </c>
    </row>
    <row r="1357" spans="1:8">
      <c r="A1357" s="77">
        <v>44164</v>
      </c>
      <c r="B1357" s="56" t="s">
        <v>447</v>
      </c>
      <c r="C1357" s="58">
        <v>1</v>
      </c>
      <c r="D1357" s="50">
        <v>6</v>
      </c>
      <c r="E1357" s="63">
        <v>10</v>
      </c>
      <c r="F1357" s="65">
        <f t="shared" si="46"/>
        <v>4</v>
      </c>
      <c r="G1357" s="57" t="s">
        <v>484</v>
      </c>
      <c r="H1357" s="77" t="s">
        <v>427</v>
      </c>
    </row>
    <row r="1358" spans="1:8">
      <c r="A1358" s="77">
        <v>44164</v>
      </c>
      <c r="B1358" s="56" t="s">
        <v>447</v>
      </c>
      <c r="C1358" s="58">
        <v>1</v>
      </c>
      <c r="D1358" s="50">
        <v>6</v>
      </c>
      <c r="E1358" s="63">
        <v>10</v>
      </c>
      <c r="F1358" s="65">
        <f t="shared" si="46"/>
        <v>4</v>
      </c>
      <c r="G1358" s="57" t="s">
        <v>484</v>
      </c>
      <c r="H1358" s="77" t="s">
        <v>427</v>
      </c>
    </row>
    <row r="1359" spans="1:8">
      <c r="A1359" s="77">
        <v>44164</v>
      </c>
      <c r="B1359" s="56" t="s">
        <v>447</v>
      </c>
      <c r="C1359" s="58">
        <v>1</v>
      </c>
      <c r="D1359" s="50">
        <v>6</v>
      </c>
      <c r="E1359" s="63">
        <v>10</v>
      </c>
      <c r="F1359" s="65">
        <f t="shared" si="46"/>
        <v>4</v>
      </c>
      <c r="G1359" s="57" t="s">
        <v>484</v>
      </c>
      <c r="H1359" s="77" t="s">
        <v>427</v>
      </c>
    </row>
    <row r="1360" spans="1:8">
      <c r="A1360" s="77">
        <v>44164</v>
      </c>
      <c r="B1360" s="56" t="s">
        <v>447</v>
      </c>
      <c r="C1360" s="58">
        <v>1</v>
      </c>
      <c r="D1360" s="50">
        <v>6</v>
      </c>
      <c r="E1360" s="63">
        <v>10</v>
      </c>
      <c r="F1360" s="65">
        <f t="shared" si="46"/>
        <v>4</v>
      </c>
      <c r="G1360" s="57" t="s">
        <v>484</v>
      </c>
      <c r="H1360" s="77" t="s">
        <v>427</v>
      </c>
    </row>
    <row r="1361" spans="1:8">
      <c r="A1361" s="77">
        <v>44164</v>
      </c>
      <c r="B1361" s="56" t="s">
        <v>447</v>
      </c>
      <c r="C1361" s="58">
        <v>1</v>
      </c>
      <c r="D1361" s="50">
        <v>6</v>
      </c>
      <c r="E1361" s="63">
        <v>10</v>
      </c>
      <c r="F1361" s="65">
        <f t="shared" si="46"/>
        <v>4</v>
      </c>
      <c r="G1361" s="57" t="s">
        <v>484</v>
      </c>
      <c r="H1361" s="77" t="s">
        <v>427</v>
      </c>
    </row>
    <row r="1362" spans="1:8">
      <c r="A1362" s="77">
        <v>44164</v>
      </c>
      <c r="B1362" s="56" t="s">
        <v>447</v>
      </c>
      <c r="C1362" s="58">
        <v>1</v>
      </c>
      <c r="D1362" s="50">
        <v>6</v>
      </c>
      <c r="E1362" s="63">
        <v>10</v>
      </c>
      <c r="F1362" s="65">
        <f t="shared" si="46"/>
        <v>4</v>
      </c>
      <c r="G1362" s="57" t="s">
        <v>484</v>
      </c>
      <c r="H1362" s="77" t="s">
        <v>427</v>
      </c>
    </row>
    <row r="1363" spans="1:8">
      <c r="A1363" s="77">
        <v>44164</v>
      </c>
      <c r="B1363" s="56" t="s">
        <v>447</v>
      </c>
      <c r="C1363" s="58">
        <v>1</v>
      </c>
      <c r="D1363" s="50">
        <v>6</v>
      </c>
      <c r="E1363" s="63">
        <v>10</v>
      </c>
      <c r="F1363" s="65">
        <f t="shared" si="46"/>
        <v>4</v>
      </c>
      <c r="G1363" s="57" t="s">
        <v>484</v>
      </c>
      <c r="H1363" s="77" t="s">
        <v>427</v>
      </c>
    </row>
    <row r="1364" spans="1:8">
      <c r="A1364" s="77">
        <v>44164</v>
      </c>
      <c r="B1364" s="56" t="s">
        <v>447</v>
      </c>
      <c r="C1364" s="58">
        <v>1</v>
      </c>
      <c r="D1364" s="50">
        <v>6</v>
      </c>
      <c r="E1364" s="63">
        <v>10</v>
      </c>
      <c r="F1364" s="65">
        <f t="shared" si="46"/>
        <v>4</v>
      </c>
      <c r="G1364" s="57" t="s">
        <v>484</v>
      </c>
      <c r="H1364" s="77" t="s">
        <v>427</v>
      </c>
    </row>
    <row r="1365" spans="1:8">
      <c r="A1365" s="77">
        <v>44164</v>
      </c>
      <c r="B1365" s="56" t="s">
        <v>447</v>
      </c>
      <c r="C1365" s="58">
        <v>1</v>
      </c>
      <c r="D1365" s="50">
        <v>6</v>
      </c>
      <c r="E1365" s="63">
        <v>10</v>
      </c>
      <c r="F1365" s="65">
        <f t="shared" si="46"/>
        <v>4</v>
      </c>
      <c r="G1365" s="57" t="s">
        <v>484</v>
      </c>
      <c r="H1365" s="77" t="s">
        <v>427</v>
      </c>
    </row>
    <row r="1366" spans="1:8">
      <c r="A1366" s="77">
        <v>44164</v>
      </c>
      <c r="B1366" s="56" t="s">
        <v>447</v>
      </c>
      <c r="C1366" s="58">
        <v>1</v>
      </c>
      <c r="D1366" s="50">
        <v>6</v>
      </c>
      <c r="E1366" s="63">
        <v>10</v>
      </c>
      <c r="F1366" s="65">
        <f t="shared" si="46"/>
        <v>4</v>
      </c>
      <c r="G1366" s="57" t="s">
        <v>484</v>
      </c>
      <c r="H1366" s="77" t="s">
        <v>427</v>
      </c>
    </row>
    <row r="1367" spans="1:8">
      <c r="A1367" s="77">
        <v>44164</v>
      </c>
      <c r="B1367" s="56" t="s">
        <v>447</v>
      </c>
      <c r="C1367" s="58">
        <v>1</v>
      </c>
      <c r="D1367" s="50">
        <v>6</v>
      </c>
      <c r="E1367" s="63">
        <v>10</v>
      </c>
      <c r="F1367" s="65">
        <f t="shared" si="46"/>
        <v>4</v>
      </c>
      <c r="G1367" s="57" t="s">
        <v>484</v>
      </c>
      <c r="H1367" s="77" t="s">
        <v>427</v>
      </c>
    </row>
    <row r="1368" spans="1:8">
      <c r="A1368" s="77">
        <v>44164</v>
      </c>
      <c r="B1368" s="56" t="s">
        <v>447</v>
      </c>
      <c r="C1368" s="58">
        <v>1</v>
      </c>
      <c r="D1368" s="50">
        <v>6</v>
      </c>
      <c r="E1368" s="63">
        <v>10</v>
      </c>
      <c r="F1368" s="65">
        <f t="shared" si="46"/>
        <v>4</v>
      </c>
      <c r="G1368" s="57" t="s">
        <v>484</v>
      </c>
      <c r="H1368" s="77" t="s">
        <v>427</v>
      </c>
    </row>
    <row r="1369" spans="1:8">
      <c r="A1369" s="77">
        <v>44164</v>
      </c>
      <c r="B1369" s="56" t="s">
        <v>447</v>
      </c>
      <c r="C1369" s="58">
        <v>1</v>
      </c>
      <c r="D1369" s="50">
        <v>6</v>
      </c>
      <c r="E1369" s="63">
        <v>10</v>
      </c>
      <c r="F1369" s="65">
        <f t="shared" si="46"/>
        <v>4</v>
      </c>
      <c r="G1369" s="57" t="s">
        <v>484</v>
      </c>
      <c r="H1369" s="77" t="s">
        <v>427</v>
      </c>
    </row>
    <row r="1370" spans="1:8">
      <c r="A1370" s="77">
        <v>44164</v>
      </c>
      <c r="B1370" s="56" t="s">
        <v>447</v>
      </c>
      <c r="C1370" s="58">
        <v>1</v>
      </c>
      <c r="D1370" s="50">
        <v>6</v>
      </c>
      <c r="E1370" s="63">
        <v>10</v>
      </c>
      <c r="F1370" s="65">
        <f t="shared" si="46"/>
        <v>4</v>
      </c>
      <c r="G1370" s="57" t="s">
        <v>484</v>
      </c>
      <c r="H1370" s="77" t="s">
        <v>427</v>
      </c>
    </row>
    <row r="1371" spans="1:8">
      <c r="A1371" s="77">
        <v>44164</v>
      </c>
      <c r="B1371" s="56" t="s">
        <v>447</v>
      </c>
      <c r="C1371" s="58">
        <v>1</v>
      </c>
      <c r="D1371" s="50">
        <v>6</v>
      </c>
      <c r="E1371" s="63">
        <v>10</v>
      </c>
      <c r="F1371" s="65">
        <f t="shared" si="46"/>
        <v>4</v>
      </c>
      <c r="G1371" s="57" t="s">
        <v>484</v>
      </c>
      <c r="H1371" s="77" t="s">
        <v>427</v>
      </c>
    </row>
    <row r="1372" spans="1:8">
      <c r="A1372" s="77">
        <v>44164</v>
      </c>
      <c r="B1372" s="56" t="s">
        <v>447</v>
      </c>
      <c r="C1372" s="58">
        <v>1</v>
      </c>
      <c r="D1372" s="50">
        <v>6</v>
      </c>
      <c r="E1372" s="63">
        <v>10</v>
      </c>
      <c r="F1372" s="65">
        <f t="shared" si="46"/>
        <v>4</v>
      </c>
      <c r="G1372" s="57" t="s">
        <v>484</v>
      </c>
      <c r="H1372" s="77" t="s">
        <v>427</v>
      </c>
    </row>
    <row r="1373" spans="1:8">
      <c r="A1373" s="77">
        <v>44164</v>
      </c>
      <c r="B1373" s="56" t="s">
        <v>447</v>
      </c>
      <c r="C1373" s="58">
        <v>1</v>
      </c>
      <c r="D1373" s="50">
        <v>6</v>
      </c>
      <c r="E1373" s="63">
        <v>10</v>
      </c>
      <c r="F1373" s="65">
        <f t="shared" si="46"/>
        <v>4</v>
      </c>
      <c r="G1373" s="57" t="s">
        <v>484</v>
      </c>
      <c r="H1373" s="77" t="s">
        <v>427</v>
      </c>
    </row>
    <row r="1374" spans="1:8">
      <c r="A1374" s="77">
        <v>44164</v>
      </c>
      <c r="B1374" s="56" t="s">
        <v>447</v>
      </c>
      <c r="C1374" s="58">
        <v>1</v>
      </c>
      <c r="D1374" s="50">
        <v>6</v>
      </c>
      <c r="E1374" s="63">
        <v>13</v>
      </c>
      <c r="F1374" s="65">
        <f t="shared" si="46"/>
        <v>7</v>
      </c>
      <c r="G1374" s="57" t="s">
        <v>484</v>
      </c>
      <c r="H1374" s="77" t="s">
        <v>427</v>
      </c>
    </row>
    <row r="1375" spans="1:8">
      <c r="A1375" s="77">
        <v>44164</v>
      </c>
      <c r="B1375" s="56" t="s">
        <v>447</v>
      </c>
      <c r="C1375" s="58">
        <v>1</v>
      </c>
      <c r="D1375" s="50">
        <v>6</v>
      </c>
      <c r="E1375" s="63">
        <v>13</v>
      </c>
      <c r="F1375" s="65">
        <f t="shared" si="46"/>
        <v>7</v>
      </c>
      <c r="G1375" s="57" t="s">
        <v>484</v>
      </c>
      <c r="H1375" s="77" t="s">
        <v>427</v>
      </c>
    </row>
    <row r="1376" spans="1:8">
      <c r="A1376" s="77">
        <v>44164</v>
      </c>
      <c r="B1376" s="56" t="s">
        <v>447</v>
      </c>
      <c r="C1376" s="58">
        <v>1</v>
      </c>
      <c r="D1376" s="50">
        <v>6</v>
      </c>
      <c r="E1376" s="63">
        <v>13</v>
      </c>
      <c r="F1376" s="65">
        <f t="shared" si="46"/>
        <v>7</v>
      </c>
      <c r="G1376" s="57" t="s">
        <v>484</v>
      </c>
      <c r="H1376" s="77" t="s">
        <v>427</v>
      </c>
    </row>
    <row r="1377" spans="1:8">
      <c r="A1377" s="77">
        <v>44164</v>
      </c>
      <c r="B1377" s="56" t="s">
        <v>447</v>
      </c>
      <c r="C1377" s="58">
        <v>1</v>
      </c>
      <c r="D1377" s="50">
        <v>6</v>
      </c>
      <c r="E1377" s="63">
        <v>13</v>
      </c>
      <c r="F1377" s="65">
        <f t="shared" ref="F1377:F1408" si="47">E1377-D1377</f>
        <v>7</v>
      </c>
      <c r="G1377" s="57" t="s">
        <v>484</v>
      </c>
      <c r="H1377" s="77" t="s">
        <v>427</v>
      </c>
    </row>
    <row r="1378" spans="1:8">
      <c r="A1378" s="77">
        <v>44164</v>
      </c>
      <c r="B1378" s="56" t="s">
        <v>447</v>
      </c>
      <c r="C1378" s="58">
        <v>1</v>
      </c>
      <c r="D1378" s="50">
        <v>6</v>
      </c>
      <c r="E1378" s="63">
        <v>13</v>
      </c>
      <c r="F1378" s="65">
        <f t="shared" si="47"/>
        <v>7</v>
      </c>
      <c r="G1378" s="57" t="s">
        <v>484</v>
      </c>
      <c r="H1378" s="77" t="s">
        <v>427</v>
      </c>
    </row>
    <row r="1379" spans="1:8">
      <c r="A1379" s="77">
        <v>44164</v>
      </c>
      <c r="B1379" s="56" t="s">
        <v>447</v>
      </c>
      <c r="C1379" s="58">
        <v>1</v>
      </c>
      <c r="D1379" s="50">
        <v>6</v>
      </c>
      <c r="E1379" s="63">
        <v>13</v>
      </c>
      <c r="F1379" s="65">
        <f t="shared" si="47"/>
        <v>7</v>
      </c>
      <c r="G1379" s="57" t="s">
        <v>484</v>
      </c>
      <c r="H1379" s="77" t="s">
        <v>427</v>
      </c>
    </row>
    <row r="1380" spans="1:8">
      <c r="A1380" s="77">
        <v>44164</v>
      </c>
      <c r="B1380" s="56" t="s">
        <v>447</v>
      </c>
      <c r="C1380" s="58">
        <v>1</v>
      </c>
      <c r="D1380" s="50">
        <v>6</v>
      </c>
      <c r="E1380" s="63">
        <v>13</v>
      </c>
      <c r="F1380" s="65">
        <f t="shared" si="47"/>
        <v>7</v>
      </c>
      <c r="G1380" s="57" t="s">
        <v>484</v>
      </c>
      <c r="H1380" s="77" t="s">
        <v>427</v>
      </c>
    </row>
    <row r="1381" spans="1:8">
      <c r="A1381" s="77">
        <v>44164</v>
      </c>
      <c r="B1381" s="56" t="s">
        <v>447</v>
      </c>
      <c r="C1381" s="58">
        <v>1</v>
      </c>
      <c r="D1381" s="50">
        <v>6</v>
      </c>
      <c r="E1381" s="63">
        <v>27.66</v>
      </c>
      <c r="F1381" s="65">
        <f t="shared" si="47"/>
        <v>21.66</v>
      </c>
      <c r="G1381" s="57" t="s">
        <v>484</v>
      </c>
      <c r="H1381" s="77" t="s">
        <v>427</v>
      </c>
    </row>
    <row r="1382" spans="1:8">
      <c r="A1382" s="77">
        <v>44164</v>
      </c>
      <c r="B1382" s="56" t="s">
        <v>447</v>
      </c>
      <c r="C1382" s="58">
        <v>1</v>
      </c>
      <c r="D1382" s="50">
        <v>6</v>
      </c>
      <c r="E1382" s="63">
        <v>15</v>
      </c>
      <c r="F1382" s="65">
        <f t="shared" si="47"/>
        <v>9</v>
      </c>
      <c r="G1382" s="57" t="s">
        <v>484</v>
      </c>
      <c r="H1382" s="77" t="s">
        <v>427</v>
      </c>
    </row>
    <row r="1383" spans="1:8">
      <c r="A1383" s="77">
        <v>44164</v>
      </c>
      <c r="B1383" s="56" t="s">
        <v>447</v>
      </c>
      <c r="C1383" s="58">
        <v>1</v>
      </c>
      <c r="D1383" s="50">
        <v>6</v>
      </c>
      <c r="E1383" s="63">
        <v>26.3</v>
      </c>
      <c r="F1383" s="65">
        <f t="shared" si="47"/>
        <v>20.3</v>
      </c>
      <c r="G1383" s="57" t="s">
        <v>484</v>
      </c>
      <c r="H1383" s="77" t="s">
        <v>427</v>
      </c>
    </row>
    <row r="1384" spans="1:8">
      <c r="A1384" s="77">
        <v>44164</v>
      </c>
      <c r="B1384" s="56" t="s">
        <v>447</v>
      </c>
      <c r="C1384" s="58">
        <v>1</v>
      </c>
      <c r="D1384" s="50">
        <v>6</v>
      </c>
      <c r="E1384" s="63">
        <v>32.549999999999997</v>
      </c>
      <c r="F1384" s="65">
        <f t="shared" si="47"/>
        <v>26.549999999999997</v>
      </c>
      <c r="G1384" s="57" t="s">
        <v>484</v>
      </c>
      <c r="H1384" s="77" t="s">
        <v>427</v>
      </c>
    </row>
    <row r="1385" spans="1:8">
      <c r="A1385" s="77">
        <v>44164</v>
      </c>
      <c r="B1385" s="56" t="s">
        <v>447</v>
      </c>
      <c r="C1385" s="58">
        <v>1</v>
      </c>
      <c r="D1385" s="50">
        <v>6</v>
      </c>
      <c r="E1385" s="63">
        <v>13</v>
      </c>
      <c r="F1385" s="65">
        <f t="shared" si="47"/>
        <v>7</v>
      </c>
      <c r="G1385" s="57" t="s">
        <v>484</v>
      </c>
      <c r="H1385" s="77" t="s">
        <v>427</v>
      </c>
    </row>
    <row r="1386" spans="1:8">
      <c r="A1386" s="77">
        <v>44164</v>
      </c>
      <c r="B1386" s="56" t="s">
        <v>447</v>
      </c>
      <c r="C1386" s="58">
        <v>1</v>
      </c>
      <c r="D1386" s="50">
        <v>6</v>
      </c>
      <c r="E1386" s="63">
        <v>13</v>
      </c>
      <c r="F1386" s="65">
        <f t="shared" si="47"/>
        <v>7</v>
      </c>
      <c r="G1386" s="57" t="s">
        <v>484</v>
      </c>
      <c r="H1386" s="77" t="s">
        <v>427</v>
      </c>
    </row>
    <row r="1387" spans="1:8">
      <c r="A1387" s="77">
        <v>44164</v>
      </c>
      <c r="B1387" s="56" t="s">
        <v>447</v>
      </c>
      <c r="C1387" s="58">
        <v>1</v>
      </c>
      <c r="D1387" s="50">
        <v>6</v>
      </c>
      <c r="E1387" s="63">
        <v>13</v>
      </c>
      <c r="F1387" s="65">
        <f t="shared" si="47"/>
        <v>7</v>
      </c>
      <c r="G1387" s="57" t="s">
        <v>484</v>
      </c>
      <c r="H1387" s="77" t="s">
        <v>427</v>
      </c>
    </row>
    <row r="1388" spans="1:8">
      <c r="A1388" s="77">
        <v>44164</v>
      </c>
      <c r="B1388" s="56" t="s">
        <v>447</v>
      </c>
      <c r="C1388" s="58">
        <v>1</v>
      </c>
      <c r="D1388" s="50">
        <v>6</v>
      </c>
      <c r="E1388" s="63">
        <v>15</v>
      </c>
      <c r="F1388" s="65">
        <f t="shared" si="47"/>
        <v>9</v>
      </c>
      <c r="G1388" s="57" t="s">
        <v>484</v>
      </c>
      <c r="H1388" s="77" t="s">
        <v>427</v>
      </c>
    </row>
    <row r="1389" spans="1:8">
      <c r="A1389" s="77">
        <v>44164</v>
      </c>
      <c r="B1389" s="56" t="s">
        <v>447</v>
      </c>
      <c r="C1389" s="58">
        <v>1</v>
      </c>
      <c r="D1389" s="50">
        <v>6</v>
      </c>
      <c r="E1389" s="63">
        <v>15</v>
      </c>
      <c r="F1389" s="65">
        <f t="shared" si="47"/>
        <v>9</v>
      </c>
      <c r="G1389" s="57" t="s">
        <v>484</v>
      </c>
      <c r="H1389" s="77" t="s">
        <v>427</v>
      </c>
    </row>
    <row r="1390" spans="1:8">
      <c r="A1390" s="77">
        <v>44164</v>
      </c>
      <c r="B1390" s="56" t="s">
        <v>447</v>
      </c>
      <c r="C1390" s="58">
        <v>1</v>
      </c>
      <c r="D1390" s="50">
        <v>6</v>
      </c>
      <c r="E1390" s="63">
        <v>15</v>
      </c>
      <c r="F1390" s="65">
        <f t="shared" si="47"/>
        <v>9</v>
      </c>
      <c r="G1390" s="57" t="s">
        <v>484</v>
      </c>
      <c r="H1390" s="77" t="s">
        <v>427</v>
      </c>
    </row>
    <row r="1391" spans="1:8">
      <c r="A1391" s="77">
        <v>44164</v>
      </c>
      <c r="B1391" s="56" t="s">
        <v>447</v>
      </c>
      <c r="C1391" s="58">
        <v>1</v>
      </c>
      <c r="D1391" s="50">
        <v>6</v>
      </c>
      <c r="E1391" s="63">
        <v>15</v>
      </c>
      <c r="F1391" s="65">
        <f t="shared" si="47"/>
        <v>9</v>
      </c>
      <c r="G1391" s="57" t="s">
        <v>484</v>
      </c>
      <c r="H1391" s="77" t="s">
        <v>427</v>
      </c>
    </row>
    <row r="1392" spans="1:8">
      <c r="A1392" s="77">
        <v>44164</v>
      </c>
      <c r="B1392" s="56" t="s">
        <v>447</v>
      </c>
      <c r="C1392" s="58">
        <v>1</v>
      </c>
      <c r="D1392" s="50">
        <v>6</v>
      </c>
      <c r="E1392" s="63">
        <v>18</v>
      </c>
      <c r="F1392" s="65">
        <f t="shared" si="47"/>
        <v>12</v>
      </c>
      <c r="G1392" s="57" t="s">
        <v>484</v>
      </c>
      <c r="H1392" s="77" t="s">
        <v>427</v>
      </c>
    </row>
    <row r="1393" spans="1:8">
      <c r="A1393" s="77">
        <v>44164</v>
      </c>
      <c r="B1393" s="56" t="s">
        <v>447</v>
      </c>
      <c r="C1393" s="58">
        <v>1</v>
      </c>
      <c r="D1393" s="50">
        <v>6</v>
      </c>
      <c r="E1393" s="63">
        <v>18</v>
      </c>
      <c r="F1393" s="65">
        <f t="shared" si="47"/>
        <v>12</v>
      </c>
      <c r="G1393" s="57" t="s">
        <v>484</v>
      </c>
      <c r="H1393" s="77" t="s">
        <v>427</v>
      </c>
    </row>
    <row r="1394" spans="1:8">
      <c r="A1394" s="77">
        <v>44164</v>
      </c>
      <c r="B1394" s="56" t="s">
        <v>447</v>
      </c>
      <c r="C1394" s="58">
        <v>1</v>
      </c>
      <c r="D1394" s="50">
        <v>6</v>
      </c>
      <c r="E1394" s="63">
        <v>20</v>
      </c>
      <c r="F1394" s="65">
        <f t="shared" si="47"/>
        <v>14</v>
      </c>
      <c r="G1394" s="57" t="s">
        <v>484</v>
      </c>
      <c r="H1394" s="77" t="s">
        <v>427</v>
      </c>
    </row>
    <row r="1395" spans="1:8">
      <c r="A1395" s="77">
        <v>44164</v>
      </c>
      <c r="B1395" s="56" t="s">
        <v>447</v>
      </c>
      <c r="C1395" s="58">
        <v>1</v>
      </c>
      <c r="D1395" s="50">
        <v>6</v>
      </c>
      <c r="E1395" s="63">
        <v>18</v>
      </c>
      <c r="F1395" s="65">
        <f t="shared" si="47"/>
        <v>12</v>
      </c>
      <c r="G1395" s="57" t="s">
        <v>484</v>
      </c>
      <c r="H1395" s="77" t="s">
        <v>427</v>
      </c>
    </row>
    <row r="1396" spans="1:8">
      <c r="A1396" s="77">
        <v>44164</v>
      </c>
      <c r="B1396" s="56" t="s">
        <v>447</v>
      </c>
      <c r="C1396" s="58">
        <v>1</v>
      </c>
      <c r="D1396" s="50">
        <v>6</v>
      </c>
      <c r="E1396" s="63">
        <v>20</v>
      </c>
      <c r="F1396" s="65">
        <f t="shared" si="47"/>
        <v>14</v>
      </c>
      <c r="G1396" s="57" t="s">
        <v>484</v>
      </c>
      <c r="H1396" s="55" t="s">
        <v>482</v>
      </c>
    </row>
    <row r="1397" spans="1:8">
      <c r="A1397" s="77">
        <v>44165</v>
      </c>
      <c r="B1397" s="56" t="s">
        <v>457</v>
      </c>
      <c r="C1397" s="58">
        <v>1</v>
      </c>
      <c r="D1397" s="50">
        <v>25</v>
      </c>
      <c r="E1397" s="63">
        <v>51.66</v>
      </c>
      <c r="F1397" s="65">
        <f t="shared" si="47"/>
        <v>26.659999999999997</v>
      </c>
      <c r="G1397" s="57" t="s">
        <v>484</v>
      </c>
      <c r="H1397" s="77" t="s">
        <v>427</v>
      </c>
    </row>
    <row r="1398" spans="1:8">
      <c r="A1398" s="77">
        <v>44166</v>
      </c>
      <c r="B1398" s="56" t="s">
        <v>457</v>
      </c>
      <c r="C1398" s="58">
        <v>1</v>
      </c>
      <c r="D1398" s="50">
        <v>25</v>
      </c>
      <c r="E1398" s="63">
        <v>51.66</v>
      </c>
      <c r="F1398" s="65">
        <f t="shared" si="47"/>
        <v>26.659999999999997</v>
      </c>
      <c r="G1398" s="57" t="s">
        <v>484</v>
      </c>
      <c r="H1398" s="77" t="s">
        <v>427</v>
      </c>
    </row>
    <row r="1399" spans="1:8">
      <c r="A1399" s="77">
        <v>44167</v>
      </c>
      <c r="B1399" s="56" t="s">
        <v>457</v>
      </c>
      <c r="C1399" s="58">
        <v>1</v>
      </c>
      <c r="D1399" s="50">
        <v>25</v>
      </c>
      <c r="E1399" s="63">
        <v>50.51</v>
      </c>
      <c r="F1399" s="65">
        <f t="shared" si="47"/>
        <v>25.509999999999998</v>
      </c>
      <c r="G1399" s="57" t="s">
        <v>484</v>
      </c>
      <c r="H1399" s="77" t="s">
        <v>427</v>
      </c>
    </row>
    <row r="1400" spans="1:8">
      <c r="A1400" s="77">
        <v>44168</v>
      </c>
      <c r="B1400" s="56" t="s">
        <v>457</v>
      </c>
      <c r="C1400" s="58">
        <v>1</v>
      </c>
      <c r="D1400" s="50">
        <v>25</v>
      </c>
      <c r="E1400" s="63">
        <v>50.98</v>
      </c>
      <c r="F1400" s="65">
        <f t="shared" si="47"/>
        <v>25.979999999999997</v>
      </c>
      <c r="G1400" s="57" t="s">
        <v>484</v>
      </c>
      <c r="H1400" s="77" t="s">
        <v>427</v>
      </c>
    </row>
    <row r="1401" spans="1:8">
      <c r="A1401" s="77">
        <v>44169</v>
      </c>
      <c r="B1401" s="56" t="s">
        <v>457</v>
      </c>
      <c r="C1401" s="58">
        <v>1</v>
      </c>
      <c r="D1401" s="50">
        <v>25</v>
      </c>
      <c r="E1401" s="63">
        <v>52.5</v>
      </c>
      <c r="F1401" s="65">
        <f t="shared" si="47"/>
        <v>27.5</v>
      </c>
      <c r="G1401" s="57" t="s">
        <v>484</v>
      </c>
      <c r="H1401" s="77" t="s">
        <v>427</v>
      </c>
    </row>
    <row r="1402" spans="1:8">
      <c r="A1402" s="77">
        <v>44170</v>
      </c>
      <c r="B1402" s="56" t="s">
        <v>457</v>
      </c>
      <c r="C1402" s="58">
        <v>1</v>
      </c>
      <c r="D1402" s="50">
        <v>25</v>
      </c>
      <c r="E1402" s="63">
        <v>52.5</v>
      </c>
      <c r="F1402" s="65">
        <f t="shared" si="47"/>
        <v>27.5</v>
      </c>
      <c r="G1402" s="57" t="s">
        <v>484</v>
      </c>
      <c r="H1402" s="77" t="s">
        <v>427</v>
      </c>
    </row>
    <row r="1403" spans="1:8">
      <c r="A1403" s="77">
        <v>44171</v>
      </c>
      <c r="B1403" s="56" t="s">
        <v>457</v>
      </c>
      <c r="C1403" s="58">
        <v>1</v>
      </c>
      <c r="D1403" s="50">
        <v>25</v>
      </c>
      <c r="E1403" s="63">
        <v>52.5</v>
      </c>
      <c r="F1403" s="65">
        <f t="shared" si="47"/>
        <v>27.5</v>
      </c>
      <c r="G1403" s="57" t="s">
        <v>484</v>
      </c>
      <c r="H1403" s="77" t="s">
        <v>427</v>
      </c>
    </row>
    <row r="1404" spans="1:8">
      <c r="A1404" s="77">
        <v>44172</v>
      </c>
      <c r="B1404" s="56" t="s">
        <v>457</v>
      </c>
      <c r="C1404" s="58">
        <v>1</v>
      </c>
      <c r="D1404" s="50">
        <v>25</v>
      </c>
      <c r="E1404" s="63">
        <v>52.5</v>
      </c>
      <c r="F1404" s="65">
        <f t="shared" si="47"/>
        <v>27.5</v>
      </c>
      <c r="G1404" s="57" t="s">
        <v>484</v>
      </c>
      <c r="H1404" s="77" t="s">
        <v>427</v>
      </c>
    </row>
    <row r="1405" spans="1:8">
      <c r="A1405" s="77">
        <v>44173</v>
      </c>
      <c r="B1405" s="56" t="s">
        <v>457</v>
      </c>
      <c r="C1405" s="58">
        <v>1</v>
      </c>
      <c r="D1405" s="50">
        <v>25</v>
      </c>
      <c r="E1405" s="63">
        <v>52</v>
      </c>
      <c r="F1405" s="65">
        <f t="shared" si="47"/>
        <v>27</v>
      </c>
      <c r="G1405" s="57" t="s">
        <v>484</v>
      </c>
      <c r="H1405" s="77" t="s">
        <v>427</v>
      </c>
    </row>
    <row r="1406" spans="1:8">
      <c r="A1406" s="77">
        <v>44174</v>
      </c>
      <c r="B1406" s="56" t="s">
        <v>457</v>
      </c>
      <c r="C1406" s="58">
        <v>1</v>
      </c>
      <c r="D1406" s="50">
        <v>25</v>
      </c>
      <c r="E1406" s="63">
        <v>52</v>
      </c>
      <c r="F1406" s="65">
        <f t="shared" si="47"/>
        <v>27</v>
      </c>
      <c r="G1406" s="57" t="s">
        <v>484</v>
      </c>
      <c r="H1406" s="77" t="s">
        <v>427</v>
      </c>
    </row>
    <row r="1407" spans="1:8">
      <c r="A1407" s="77">
        <v>44174</v>
      </c>
      <c r="B1407" s="56" t="s">
        <v>457</v>
      </c>
      <c r="C1407" s="58">
        <v>1</v>
      </c>
      <c r="D1407" s="50">
        <v>25</v>
      </c>
      <c r="E1407" s="63">
        <v>52.36</v>
      </c>
      <c r="F1407" s="65">
        <f t="shared" si="47"/>
        <v>27.36</v>
      </c>
      <c r="G1407" s="57" t="s">
        <v>484</v>
      </c>
      <c r="H1407" s="77" t="s">
        <v>427</v>
      </c>
    </row>
    <row r="1408" spans="1:8">
      <c r="A1408" s="77">
        <v>44174</v>
      </c>
      <c r="B1408" s="56" t="s">
        <v>457</v>
      </c>
      <c r="C1408" s="58">
        <v>1</v>
      </c>
      <c r="D1408" s="50">
        <v>25</v>
      </c>
      <c r="E1408" s="63">
        <v>50</v>
      </c>
      <c r="F1408" s="65">
        <f t="shared" si="47"/>
        <v>25</v>
      </c>
      <c r="G1408" s="57" t="s">
        <v>484</v>
      </c>
      <c r="H1408" s="77" t="s">
        <v>427</v>
      </c>
    </row>
    <row r="1409" spans="1:8">
      <c r="A1409" s="77">
        <v>44174</v>
      </c>
      <c r="B1409" s="56" t="s">
        <v>457</v>
      </c>
      <c r="C1409" s="58">
        <v>1</v>
      </c>
      <c r="D1409" s="50">
        <v>25</v>
      </c>
      <c r="E1409" s="63">
        <v>52.36</v>
      </c>
      <c r="F1409" s="65">
        <f t="shared" ref="F1409:F1440" si="48">E1409-D1409</f>
        <v>27.36</v>
      </c>
      <c r="G1409" s="57" t="s">
        <v>484</v>
      </c>
      <c r="H1409" s="77" t="s">
        <v>427</v>
      </c>
    </row>
    <row r="1410" spans="1:8">
      <c r="A1410" s="77">
        <v>44174</v>
      </c>
      <c r="B1410" s="56" t="s">
        <v>457</v>
      </c>
      <c r="C1410" s="58">
        <v>1</v>
      </c>
      <c r="D1410" s="50">
        <v>25</v>
      </c>
      <c r="E1410" s="63">
        <v>50</v>
      </c>
      <c r="F1410" s="65">
        <f t="shared" si="48"/>
        <v>25</v>
      </c>
      <c r="G1410" s="57" t="s">
        <v>484</v>
      </c>
      <c r="H1410" s="77" t="s">
        <v>427</v>
      </c>
    </row>
    <row r="1411" spans="1:8">
      <c r="A1411" s="77">
        <v>44174</v>
      </c>
      <c r="B1411" s="56" t="s">
        <v>457</v>
      </c>
      <c r="C1411" s="58">
        <v>1</v>
      </c>
      <c r="D1411" s="50">
        <v>25</v>
      </c>
      <c r="E1411" s="63">
        <v>50</v>
      </c>
      <c r="F1411" s="65">
        <f t="shared" si="48"/>
        <v>25</v>
      </c>
      <c r="G1411" s="57" t="s">
        <v>484</v>
      </c>
      <c r="H1411" s="77" t="s">
        <v>427</v>
      </c>
    </row>
    <row r="1412" spans="1:8">
      <c r="A1412" s="77">
        <v>44174</v>
      </c>
      <c r="B1412" s="56" t="s">
        <v>457</v>
      </c>
      <c r="C1412" s="58">
        <v>1</v>
      </c>
      <c r="D1412" s="50">
        <v>25</v>
      </c>
      <c r="E1412" s="63">
        <v>52</v>
      </c>
      <c r="F1412" s="65">
        <f t="shared" si="48"/>
        <v>27</v>
      </c>
      <c r="G1412" s="57" t="s">
        <v>484</v>
      </c>
      <c r="H1412" s="77" t="s">
        <v>427</v>
      </c>
    </row>
    <row r="1413" spans="1:8">
      <c r="A1413" s="77">
        <v>44174</v>
      </c>
      <c r="B1413" s="56" t="s">
        <v>457</v>
      </c>
      <c r="C1413" s="58">
        <v>1</v>
      </c>
      <c r="D1413" s="50">
        <v>25</v>
      </c>
      <c r="E1413" s="63">
        <v>52</v>
      </c>
      <c r="F1413" s="65">
        <f t="shared" si="48"/>
        <v>27</v>
      </c>
      <c r="G1413" s="57" t="s">
        <v>484</v>
      </c>
      <c r="H1413" s="77" t="s">
        <v>427</v>
      </c>
    </row>
    <row r="1414" spans="1:8">
      <c r="A1414" s="77">
        <v>44174</v>
      </c>
      <c r="B1414" s="56" t="s">
        <v>457</v>
      </c>
      <c r="C1414" s="58">
        <v>1</v>
      </c>
      <c r="D1414" s="50">
        <v>25</v>
      </c>
      <c r="E1414" s="63">
        <v>52</v>
      </c>
      <c r="F1414" s="65">
        <f t="shared" si="48"/>
        <v>27</v>
      </c>
      <c r="G1414" s="57" t="s">
        <v>484</v>
      </c>
      <c r="H1414" s="77" t="s">
        <v>427</v>
      </c>
    </row>
    <row r="1415" spans="1:8">
      <c r="A1415" s="77">
        <v>44174</v>
      </c>
      <c r="B1415" s="56" t="s">
        <v>457</v>
      </c>
      <c r="C1415" s="58">
        <v>1</v>
      </c>
      <c r="D1415" s="50">
        <v>25</v>
      </c>
      <c r="E1415" s="63">
        <v>52</v>
      </c>
      <c r="F1415" s="65">
        <f t="shared" si="48"/>
        <v>27</v>
      </c>
      <c r="G1415" s="57" t="s">
        <v>484</v>
      </c>
      <c r="H1415" s="77" t="s">
        <v>427</v>
      </c>
    </row>
    <row r="1416" spans="1:8">
      <c r="A1416" s="77">
        <v>44174</v>
      </c>
      <c r="B1416" s="56" t="s">
        <v>457</v>
      </c>
      <c r="C1416" s="58">
        <v>1</v>
      </c>
      <c r="D1416" s="50">
        <v>25</v>
      </c>
      <c r="E1416" s="63">
        <v>52</v>
      </c>
      <c r="F1416" s="65">
        <f t="shared" si="48"/>
        <v>27</v>
      </c>
      <c r="G1416" s="57" t="s">
        <v>484</v>
      </c>
      <c r="H1416" s="77" t="s">
        <v>427</v>
      </c>
    </row>
    <row r="1417" spans="1:8">
      <c r="A1417" s="77">
        <v>44174</v>
      </c>
      <c r="B1417" s="56" t="s">
        <v>446</v>
      </c>
      <c r="C1417" s="58">
        <v>1</v>
      </c>
      <c r="D1417" s="50">
        <v>2</v>
      </c>
      <c r="E1417" s="63">
        <v>10</v>
      </c>
      <c r="F1417" s="65">
        <f t="shared" si="48"/>
        <v>8</v>
      </c>
      <c r="G1417" s="57" t="s">
        <v>484</v>
      </c>
      <c r="H1417" s="77" t="s">
        <v>427</v>
      </c>
    </row>
    <row r="1418" spans="1:8">
      <c r="A1418" s="77">
        <v>44174</v>
      </c>
      <c r="B1418" s="56" t="s">
        <v>468</v>
      </c>
      <c r="C1418" s="58">
        <v>1</v>
      </c>
      <c r="D1418" s="50">
        <v>25</v>
      </c>
      <c r="E1418" s="63">
        <v>61.37</v>
      </c>
      <c r="F1418" s="65">
        <f t="shared" si="48"/>
        <v>36.369999999999997</v>
      </c>
      <c r="G1418" s="57" t="s">
        <v>484</v>
      </c>
      <c r="H1418" s="77" t="s">
        <v>427</v>
      </c>
    </row>
    <row r="1419" spans="1:8">
      <c r="A1419" s="77">
        <v>44174</v>
      </c>
      <c r="B1419" s="56" t="s">
        <v>472</v>
      </c>
      <c r="C1419" s="58">
        <v>1</v>
      </c>
      <c r="D1419" s="50">
        <v>15</v>
      </c>
      <c r="E1419" s="63">
        <v>30</v>
      </c>
      <c r="F1419" s="65">
        <f t="shared" si="48"/>
        <v>15</v>
      </c>
      <c r="G1419" s="57" t="s">
        <v>484</v>
      </c>
      <c r="H1419" s="55" t="s">
        <v>482</v>
      </c>
    </row>
    <row r="1420" spans="1:8">
      <c r="A1420" s="77">
        <v>44174</v>
      </c>
      <c r="B1420" s="56" t="s">
        <v>472</v>
      </c>
      <c r="C1420" s="58">
        <v>1</v>
      </c>
      <c r="D1420" s="50">
        <v>15</v>
      </c>
      <c r="E1420" s="63">
        <v>30</v>
      </c>
      <c r="F1420" s="65">
        <f t="shared" si="48"/>
        <v>15</v>
      </c>
      <c r="G1420" s="57" t="s">
        <v>484</v>
      </c>
      <c r="H1420" s="55" t="s">
        <v>482</v>
      </c>
    </row>
    <row r="1421" spans="1:8">
      <c r="A1421" s="77">
        <v>44174</v>
      </c>
      <c r="B1421" s="56" t="s">
        <v>467</v>
      </c>
      <c r="C1421" s="58">
        <v>1</v>
      </c>
      <c r="D1421" s="50">
        <v>12</v>
      </c>
      <c r="E1421" s="63">
        <v>25</v>
      </c>
      <c r="F1421" s="65">
        <f t="shared" si="48"/>
        <v>13</v>
      </c>
      <c r="G1421" s="57" t="s">
        <v>484</v>
      </c>
      <c r="H1421" s="55" t="s">
        <v>482</v>
      </c>
    </row>
    <row r="1422" spans="1:8">
      <c r="A1422" s="77">
        <v>44174</v>
      </c>
      <c r="B1422" s="55" t="s">
        <v>327</v>
      </c>
      <c r="C1422" s="58">
        <v>1</v>
      </c>
      <c r="D1422" s="50">
        <v>22</v>
      </c>
      <c r="E1422" s="63">
        <v>150</v>
      </c>
      <c r="F1422" s="65">
        <f t="shared" si="48"/>
        <v>128</v>
      </c>
      <c r="G1422" s="57" t="s">
        <v>484</v>
      </c>
      <c r="H1422" s="55" t="s">
        <v>482</v>
      </c>
    </row>
    <row r="1423" spans="1:8">
      <c r="A1423" s="77">
        <v>44174</v>
      </c>
      <c r="B1423" s="55" t="s">
        <v>327</v>
      </c>
      <c r="C1423" s="58">
        <v>1</v>
      </c>
      <c r="D1423" s="50">
        <v>22</v>
      </c>
      <c r="E1423" s="63">
        <v>100</v>
      </c>
      <c r="F1423" s="65">
        <f t="shared" si="48"/>
        <v>78</v>
      </c>
      <c r="G1423" s="57" t="s">
        <v>484</v>
      </c>
      <c r="H1423" s="55" t="s">
        <v>482</v>
      </c>
    </row>
    <row r="1424" spans="1:8">
      <c r="A1424" s="77">
        <v>44174</v>
      </c>
      <c r="B1424" s="55" t="s">
        <v>327</v>
      </c>
      <c r="C1424" s="58">
        <v>1</v>
      </c>
      <c r="D1424" s="65">
        <v>21.19</v>
      </c>
      <c r="E1424" s="65">
        <v>120</v>
      </c>
      <c r="F1424" s="65">
        <f t="shared" si="48"/>
        <v>98.81</v>
      </c>
      <c r="G1424" s="57" t="s">
        <v>484</v>
      </c>
      <c r="H1424" s="55" t="s">
        <v>482</v>
      </c>
    </row>
    <row r="1425" spans="1:8">
      <c r="A1425" s="77">
        <v>44174</v>
      </c>
      <c r="B1425" s="55" t="s">
        <v>327</v>
      </c>
      <c r="C1425" s="58">
        <v>1</v>
      </c>
      <c r="D1425" s="65">
        <v>21.19</v>
      </c>
      <c r="E1425" s="65">
        <v>120</v>
      </c>
      <c r="F1425" s="65">
        <f t="shared" si="48"/>
        <v>98.81</v>
      </c>
      <c r="G1425" s="57" t="s">
        <v>484</v>
      </c>
      <c r="H1425" s="55" t="s">
        <v>482</v>
      </c>
    </row>
    <row r="1426" spans="1:8">
      <c r="A1426" s="77">
        <v>44174</v>
      </c>
      <c r="B1426" s="55" t="s">
        <v>328</v>
      </c>
      <c r="C1426" s="58">
        <v>1</v>
      </c>
      <c r="D1426" s="50">
        <v>25</v>
      </c>
      <c r="E1426" s="63">
        <v>50</v>
      </c>
      <c r="F1426" s="65">
        <f t="shared" si="48"/>
        <v>25</v>
      </c>
      <c r="G1426" s="57" t="s">
        <v>484</v>
      </c>
      <c r="H1426" s="55" t="s">
        <v>482</v>
      </c>
    </row>
    <row r="1427" spans="1:8">
      <c r="A1427" s="77">
        <v>44174</v>
      </c>
      <c r="B1427" s="55" t="s">
        <v>473</v>
      </c>
      <c r="C1427" s="58">
        <v>1</v>
      </c>
      <c r="D1427" s="50">
        <v>25</v>
      </c>
      <c r="E1427" s="63">
        <v>80</v>
      </c>
      <c r="F1427" s="65">
        <f t="shared" si="48"/>
        <v>55</v>
      </c>
      <c r="G1427" s="57" t="s">
        <v>484</v>
      </c>
      <c r="H1427" s="55" t="s">
        <v>482</v>
      </c>
    </row>
    <row r="1428" spans="1:8">
      <c r="A1428" s="77">
        <v>44174</v>
      </c>
      <c r="B1428" s="55" t="s">
        <v>407</v>
      </c>
      <c r="C1428" s="58">
        <v>1</v>
      </c>
      <c r="D1428" s="65">
        <v>107.22</v>
      </c>
      <c r="E1428" s="65">
        <v>200</v>
      </c>
      <c r="F1428" s="65">
        <f t="shared" si="48"/>
        <v>92.78</v>
      </c>
      <c r="G1428" s="57" t="s">
        <v>484</v>
      </c>
      <c r="H1428" s="55" t="s">
        <v>482</v>
      </c>
    </row>
    <row r="1429" spans="1:8">
      <c r="A1429" s="77">
        <v>44174</v>
      </c>
      <c r="B1429" s="55" t="s">
        <v>407</v>
      </c>
      <c r="C1429" s="58">
        <v>1</v>
      </c>
      <c r="D1429" s="65">
        <v>107.22</v>
      </c>
      <c r="E1429" s="65">
        <v>208</v>
      </c>
      <c r="F1429" s="65">
        <f t="shared" si="48"/>
        <v>100.78</v>
      </c>
      <c r="G1429" s="57" t="s">
        <v>484</v>
      </c>
      <c r="H1429" s="55" t="s">
        <v>482</v>
      </c>
    </row>
    <row r="1430" spans="1:8">
      <c r="A1430" s="77">
        <v>44174</v>
      </c>
      <c r="B1430" s="55" t="s">
        <v>380</v>
      </c>
      <c r="C1430" s="58">
        <v>1</v>
      </c>
      <c r="D1430" s="50">
        <v>50</v>
      </c>
      <c r="E1430" s="63">
        <v>200</v>
      </c>
      <c r="F1430" s="65">
        <f t="shared" si="48"/>
        <v>150</v>
      </c>
      <c r="G1430" s="57" t="s">
        <v>484</v>
      </c>
      <c r="H1430" s="55" t="s">
        <v>482</v>
      </c>
    </row>
    <row r="1431" spans="1:8">
      <c r="A1431" s="77">
        <v>44175</v>
      </c>
      <c r="B1431" s="55" t="s">
        <v>463</v>
      </c>
      <c r="C1431" s="58">
        <v>1</v>
      </c>
      <c r="D1431" s="50">
        <v>50</v>
      </c>
      <c r="E1431" s="63">
        <v>200</v>
      </c>
      <c r="F1431" s="65">
        <f t="shared" si="48"/>
        <v>150</v>
      </c>
      <c r="G1431" s="57" t="s">
        <v>484</v>
      </c>
      <c r="H1431" s="55" t="s">
        <v>482</v>
      </c>
    </row>
    <row r="1432" spans="1:8">
      <c r="A1432" s="77">
        <v>44176</v>
      </c>
      <c r="B1432" s="55" t="s">
        <v>230</v>
      </c>
      <c r="C1432" s="58">
        <v>1</v>
      </c>
      <c r="D1432" s="65">
        <v>32</v>
      </c>
      <c r="E1432" s="65">
        <v>120</v>
      </c>
      <c r="F1432" s="65">
        <f t="shared" si="48"/>
        <v>88</v>
      </c>
      <c r="G1432" s="57" t="s">
        <v>484</v>
      </c>
      <c r="H1432" s="77" t="s">
        <v>427</v>
      </c>
    </row>
    <row r="1433" spans="1:8">
      <c r="A1433" s="77">
        <v>44177</v>
      </c>
      <c r="B1433" s="55" t="s">
        <v>479</v>
      </c>
      <c r="C1433" s="58">
        <v>1</v>
      </c>
      <c r="D1433" s="65">
        <v>2</v>
      </c>
      <c r="E1433" s="65">
        <v>10</v>
      </c>
      <c r="F1433" s="65">
        <f t="shared" si="48"/>
        <v>8</v>
      </c>
      <c r="G1433" s="57" t="s">
        <v>484</v>
      </c>
      <c r="H1433" s="77" t="s">
        <v>427</v>
      </c>
    </row>
    <row r="1434" spans="1:8">
      <c r="A1434" s="77">
        <v>44178</v>
      </c>
      <c r="B1434" s="55" t="s">
        <v>479</v>
      </c>
      <c r="C1434" s="58">
        <v>1</v>
      </c>
      <c r="D1434" s="65">
        <v>2</v>
      </c>
      <c r="E1434" s="65">
        <v>10</v>
      </c>
      <c r="F1434" s="65">
        <f t="shared" si="48"/>
        <v>8</v>
      </c>
      <c r="G1434" s="57" t="s">
        <v>484</v>
      </c>
      <c r="H1434" s="77" t="s">
        <v>427</v>
      </c>
    </row>
    <row r="1435" spans="1:8">
      <c r="A1435" s="77">
        <v>44179</v>
      </c>
      <c r="B1435" s="55" t="s">
        <v>479</v>
      </c>
      <c r="C1435" s="58">
        <v>1</v>
      </c>
      <c r="D1435" s="65">
        <v>2</v>
      </c>
      <c r="E1435" s="65">
        <v>10</v>
      </c>
      <c r="F1435" s="65">
        <f t="shared" si="48"/>
        <v>8</v>
      </c>
      <c r="G1435" s="57" t="s">
        <v>484</v>
      </c>
      <c r="H1435" s="77" t="s">
        <v>427</v>
      </c>
    </row>
    <row r="1436" spans="1:8">
      <c r="A1436" s="77">
        <v>44180</v>
      </c>
      <c r="B1436" s="55" t="s">
        <v>479</v>
      </c>
      <c r="C1436" s="58">
        <v>1</v>
      </c>
      <c r="D1436" s="65">
        <v>2</v>
      </c>
      <c r="E1436" s="65">
        <v>10</v>
      </c>
      <c r="F1436" s="65">
        <f t="shared" si="48"/>
        <v>8</v>
      </c>
      <c r="G1436" s="57" t="s">
        <v>484</v>
      </c>
      <c r="H1436" s="77" t="s">
        <v>427</v>
      </c>
    </row>
    <row r="1437" spans="1:8">
      <c r="A1437" s="77">
        <v>44181</v>
      </c>
      <c r="B1437" s="55" t="s">
        <v>479</v>
      </c>
      <c r="C1437" s="58">
        <v>1</v>
      </c>
      <c r="D1437" s="65">
        <v>2</v>
      </c>
      <c r="E1437" s="65">
        <v>10</v>
      </c>
      <c r="F1437" s="65">
        <f t="shared" si="48"/>
        <v>8</v>
      </c>
      <c r="G1437" s="57" t="s">
        <v>484</v>
      </c>
      <c r="H1437" s="77" t="s">
        <v>427</v>
      </c>
    </row>
    <row r="1438" spans="1:8">
      <c r="A1438" s="77">
        <v>44182</v>
      </c>
      <c r="B1438" s="55" t="s">
        <v>479</v>
      </c>
      <c r="C1438" s="58">
        <v>1</v>
      </c>
      <c r="D1438" s="65">
        <v>2</v>
      </c>
      <c r="E1438" s="65">
        <v>10</v>
      </c>
      <c r="F1438" s="65">
        <f t="shared" si="48"/>
        <v>8</v>
      </c>
      <c r="G1438" s="57" t="s">
        <v>484</v>
      </c>
      <c r="H1438" s="77" t="s">
        <v>427</v>
      </c>
    </row>
    <row r="1439" spans="1:8">
      <c r="A1439" s="77">
        <v>44182</v>
      </c>
      <c r="B1439" s="55" t="s">
        <v>479</v>
      </c>
      <c r="C1439" s="58">
        <v>1</v>
      </c>
      <c r="D1439" s="65">
        <v>2</v>
      </c>
      <c r="E1439" s="65">
        <v>10</v>
      </c>
      <c r="F1439" s="65">
        <f t="shared" si="48"/>
        <v>8</v>
      </c>
      <c r="G1439" s="57" t="s">
        <v>484</v>
      </c>
      <c r="H1439" s="77" t="s">
        <v>427</v>
      </c>
    </row>
    <row r="1440" spans="1:8">
      <c r="A1440" s="77">
        <v>44182</v>
      </c>
      <c r="B1440" s="55" t="s">
        <v>479</v>
      </c>
      <c r="C1440" s="58">
        <v>1</v>
      </c>
      <c r="D1440" s="65">
        <v>2</v>
      </c>
      <c r="E1440" s="65">
        <v>10</v>
      </c>
      <c r="F1440" s="65">
        <f t="shared" si="48"/>
        <v>8</v>
      </c>
      <c r="G1440" s="57" t="s">
        <v>484</v>
      </c>
      <c r="H1440" s="77" t="s">
        <v>427</v>
      </c>
    </row>
    <row r="1441" spans="1:8">
      <c r="A1441" s="77">
        <v>44182</v>
      </c>
      <c r="B1441" s="55" t="s">
        <v>479</v>
      </c>
      <c r="C1441" s="58">
        <v>1</v>
      </c>
      <c r="D1441" s="65">
        <v>2</v>
      </c>
      <c r="E1441" s="65">
        <v>10</v>
      </c>
      <c r="F1441" s="65">
        <f t="shared" ref="F1441:F1447" si="49">E1441-D1441</f>
        <v>8</v>
      </c>
      <c r="G1441" s="57" t="s">
        <v>484</v>
      </c>
      <c r="H1441" s="77" t="s">
        <v>427</v>
      </c>
    </row>
    <row r="1442" spans="1:8">
      <c r="A1442" s="77">
        <v>44182</v>
      </c>
      <c r="B1442" s="55" t="s">
        <v>479</v>
      </c>
      <c r="C1442" s="58">
        <v>1</v>
      </c>
      <c r="D1442" s="65">
        <v>2</v>
      </c>
      <c r="E1442" s="65">
        <v>10</v>
      </c>
      <c r="F1442" s="65">
        <f t="shared" si="49"/>
        <v>8</v>
      </c>
      <c r="G1442" s="57" t="s">
        <v>484</v>
      </c>
      <c r="H1442" s="77" t="s">
        <v>427</v>
      </c>
    </row>
    <row r="1443" spans="1:8">
      <c r="A1443" s="77">
        <v>44182</v>
      </c>
      <c r="B1443" s="55" t="s">
        <v>479</v>
      </c>
      <c r="C1443" s="58">
        <v>1</v>
      </c>
      <c r="D1443" s="65">
        <v>2</v>
      </c>
      <c r="E1443" s="65">
        <v>10</v>
      </c>
      <c r="F1443" s="65">
        <f t="shared" si="49"/>
        <v>8</v>
      </c>
      <c r="G1443" s="57" t="s">
        <v>484</v>
      </c>
      <c r="H1443" s="77" t="s">
        <v>427</v>
      </c>
    </row>
    <row r="1444" spans="1:8">
      <c r="A1444" s="77">
        <v>44182</v>
      </c>
      <c r="B1444" s="55" t="s">
        <v>479</v>
      </c>
      <c r="C1444" s="58">
        <v>1</v>
      </c>
      <c r="D1444" s="65">
        <v>2</v>
      </c>
      <c r="E1444" s="65">
        <v>10</v>
      </c>
      <c r="F1444" s="65">
        <f t="shared" si="49"/>
        <v>8</v>
      </c>
      <c r="G1444" s="57" t="s">
        <v>484</v>
      </c>
      <c r="H1444" s="77" t="s">
        <v>427</v>
      </c>
    </row>
    <row r="1445" spans="1:8">
      <c r="A1445" s="77">
        <v>44182</v>
      </c>
      <c r="B1445" s="55" t="s">
        <v>479</v>
      </c>
      <c r="C1445" s="58">
        <v>1</v>
      </c>
      <c r="D1445" s="65">
        <v>2</v>
      </c>
      <c r="E1445" s="65">
        <v>10</v>
      </c>
      <c r="F1445" s="65">
        <f t="shared" si="49"/>
        <v>8</v>
      </c>
      <c r="G1445" s="57" t="s">
        <v>484</v>
      </c>
      <c r="H1445" s="77" t="s">
        <v>427</v>
      </c>
    </row>
    <row r="1446" spans="1:8">
      <c r="A1446" s="77">
        <v>44182</v>
      </c>
      <c r="B1446" s="55" t="s">
        <v>479</v>
      </c>
      <c r="C1446" s="58">
        <v>1</v>
      </c>
      <c r="D1446" s="65">
        <v>2</v>
      </c>
      <c r="E1446" s="65">
        <v>10</v>
      </c>
      <c r="F1446" s="65">
        <f t="shared" si="49"/>
        <v>8</v>
      </c>
      <c r="G1446" s="57" t="s">
        <v>484</v>
      </c>
      <c r="H1446" s="77" t="s">
        <v>427</v>
      </c>
    </row>
    <row r="1447" spans="1:8">
      <c r="A1447" s="77">
        <v>44182</v>
      </c>
      <c r="B1447" s="55" t="s">
        <v>479</v>
      </c>
      <c r="C1447" s="58">
        <v>1</v>
      </c>
      <c r="D1447" s="65">
        <v>2</v>
      </c>
      <c r="E1447" s="65">
        <v>10</v>
      </c>
      <c r="F1447" s="65">
        <f t="shared" si="49"/>
        <v>8</v>
      </c>
      <c r="G1447" s="57" t="s">
        <v>484</v>
      </c>
      <c r="H1447" s="77" t="s">
        <v>427</v>
      </c>
    </row>
    <row r="1448" spans="1:8">
      <c r="A1448" s="77">
        <v>44182</v>
      </c>
      <c r="B1448" s="56" t="s">
        <v>456</v>
      </c>
      <c r="C1448" s="58">
        <v>1</v>
      </c>
      <c r="D1448" s="50">
        <v>21</v>
      </c>
      <c r="E1448" s="63">
        <v>40</v>
      </c>
      <c r="F1448" s="65">
        <v>19</v>
      </c>
      <c r="G1448" s="57" t="s">
        <v>484</v>
      </c>
      <c r="H1448" s="77" t="s">
        <v>427</v>
      </c>
    </row>
    <row r="1449" spans="1:8">
      <c r="A1449" s="77">
        <v>44183</v>
      </c>
      <c r="B1449" s="56" t="s">
        <v>456</v>
      </c>
      <c r="C1449" s="58">
        <v>1</v>
      </c>
      <c r="D1449" s="50">
        <v>21</v>
      </c>
      <c r="E1449" s="63">
        <v>40</v>
      </c>
      <c r="F1449" s="65">
        <v>19</v>
      </c>
      <c r="G1449" s="57" t="s">
        <v>484</v>
      </c>
      <c r="H1449" s="77" t="s">
        <v>427</v>
      </c>
    </row>
    <row r="1450" spans="1:8">
      <c r="A1450" s="77">
        <v>44184</v>
      </c>
      <c r="B1450" s="56" t="s">
        <v>456</v>
      </c>
      <c r="C1450" s="58">
        <v>1</v>
      </c>
      <c r="D1450" s="50">
        <v>21</v>
      </c>
      <c r="E1450" s="63">
        <v>37</v>
      </c>
      <c r="F1450" s="65">
        <v>16</v>
      </c>
      <c r="G1450" s="57" t="s">
        <v>484</v>
      </c>
      <c r="H1450" s="77" t="s">
        <v>427</v>
      </c>
    </row>
    <row r="1451" spans="1:8">
      <c r="A1451" s="77">
        <v>44185</v>
      </c>
      <c r="B1451" s="56" t="s">
        <v>456</v>
      </c>
      <c r="C1451" s="58">
        <v>1</v>
      </c>
      <c r="D1451" s="50">
        <v>22</v>
      </c>
      <c r="E1451" s="63">
        <v>37.5</v>
      </c>
      <c r="F1451" s="65">
        <v>15.5</v>
      </c>
      <c r="G1451" s="57" t="s">
        <v>484</v>
      </c>
      <c r="H1451" s="77" t="s">
        <v>427</v>
      </c>
    </row>
    <row r="1452" spans="1:8">
      <c r="A1452" s="77">
        <v>44186</v>
      </c>
      <c r="B1452" s="56" t="s">
        <v>456</v>
      </c>
      <c r="C1452" s="58">
        <v>1</v>
      </c>
      <c r="D1452" s="50">
        <v>22</v>
      </c>
      <c r="E1452" s="63">
        <v>37.5</v>
      </c>
      <c r="F1452" s="65">
        <v>15.5</v>
      </c>
      <c r="G1452" s="57" t="s">
        <v>484</v>
      </c>
      <c r="H1452" s="77" t="s">
        <v>427</v>
      </c>
    </row>
    <row r="1453" spans="1:8">
      <c r="A1453" s="77">
        <v>44187</v>
      </c>
      <c r="B1453" s="56" t="s">
        <v>456</v>
      </c>
      <c r="C1453" s="58">
        <v>1</v>
      </c>
      <c r="D1453" s="50">
        <v>22</v>
      </c>
      <c r="E1453" s="63">
        <v>37.5</v>
      </c>
      <c r="F1453" s="65">
        <v>15.5</v>
      </c>
      <c r="G1453" s="57" t="s">
        <v>484</v>
      </c>
      <c r="H1453" s="77" t="s">
        <v>427</v>
      </c>
    </row>
    <row r="1454" spans="1:8">
      <c r="A1454" s="77">
        <v>44188</v>
      </c>
      <c r="B1454" s="56" t="s">
        <v>456</v>
      </c>
      <c r="C1454" s="58">
        <v>1</v>
      </c>
      <c r="D1454" s="50">
        <v>22</v>
      </c>
      <c r="E1454" s="63">
        <v>37.5</v>
      </c>
      <c r="F1454" s="65">
        <v>15.5</v>
      </c>
      <c r="G1454" s="57" t="s">
        <v>484</v>
      </c>
      <c r="H1454" s="77" t="s">
        <v>427</v>
      </c>
    </row>
    <row r="1455" spans="1:8">
      <c r="A1455" s="77">
        <v>44189</v>
      </c>
      <c r="B1455" s="56" t="s">
        <v>456</v>
      </c>
      <c r="C1455" s="58">
        <v>1</v>
      </c>
      <c r="D1455" s="50">
        <v>22</v>
      </c>
      <c r="E1455" s="63">
        <v>37</v>
      </c>
      <c r="F1455" s="65">
        <v>15</v>
      </c>
      <c r="G1455" s="57" t="s">
        <v>484</v>
      </c>
      <c r="H1455" s="77" t="s">
        <v>427</v>
      </c>
    </row>
    <row r="1456" spans="1:8">
      <c r="A1456" s="77">
        <v>44190</v>
      </c>
      <c r="B1456" s="56" t="s">
        <v>456</v>
      </c>
      <c r="C1456" s="58">
        <v>1</v>
      </c>
      <c r="D1456" s="50">
        <v>21</v>
      </c>
      <c r="E1456" s="63">
        <v>40</v>
      </c>
      <c r="F1456" s="65">
        <v>19</v>
      </c>
      <c r="G1456" s="57" t="s">
        <v>484</v>
      </c>
      <c r="H1456" s="77" t="s">
        <v>427</v>
      </c>
    </row>
    <row r="1457" spans="1:8">
      <c r="A1457" s="77">
        <v>44190</v>
      </c>
      <c r="B1457" s="56" t="s">
        <v>456</v>
      </c>
      <c r="C1457" s="58">
        <v>1</v>
      </c>
      <c r="D1457" s="50">
        <v>21</v>
      </c>
      <c r="E1457" s="63">
        <v>40</v>
      </c>
      <c r="F1457" s="65">
        <v>19</v>
      </c>
      <c r="G1457" s="57" t="s">
        <v>484</v>
      </c>
      <c r="H1457" s="77" t="s">
        <v>427</v>
      </c>
    </row>
    <row r="1458" spans="1:8">
      <c r="A1458" s="77">
        <v>44190</v>
      </c>
      <c r="B1458" s="56" t="s">
        <v>456</v>
      </c>
      <c r="C1458" s="58">
        <v>1</v>
      </c>
      <c r="D1458" s="50">
        <v>21</v>
      </c>
      <c r="E1458" s="63">
        <v>37</v>
      </c>
      <c r="F1458" s="65">
        <v>16</v>
      </c>
      <c r="G1458" s="57" t="s">
        <v>484</v>
      </c>
      <c r="H1458" s="77" t="s">
        <v>427</v>
      </c>
    </row>
    <row r="1459" spans="1:8">
      <c r="A1459" s="77">
        <v>44190</v>
      </c>
      <c r="B1459" s="56" t="s">
        <v>456</v>
      </c>
      <c r="C1459" s="58">
        <v>1</v>
      </c>
      <c r="D1459" s="50">
        <v>22</v>
      </c>
      <c r="E1459" s="63">
        <v>37.5</v>
      </c>
      <c r="F1459" s="65">
        <v>15.5</v>
      </c>
      <c r="G1459" s="57" t="s">
        <v>484</v>
      </c>
      <c r="H1459" s="77" t="s">
        <v>427</v>
      </c>
    </row>
    <row r="1460" spans="1:8">
      <c r="A1460" s="77">
        <v>44190</v>
      </c>
      <c r="B1460" s="56" t="s">
        <v>456</v>
      </c>
      <c r="C1460" s="58">
        <v>1</v>
      </c>
      <c r="D1460" s="50">
        <v>22</v>
      </c>
      <c r="E1460" s="63">
        <v>37.5</v>
      </c>
      <c r="F1460" s="65">
        <v>15.5</v>
      </c>
      <c r="G1460" s="57" t="s">
        <v>484</v>
      </c>
      <c r="H1460" s="77" t="s">
        <v>427</v>
      </c>
    </row>
    <row r="1461" spans="1:8">
      <c r="A1461" s="77">
        <v>44190</v>
      </c>
      <c r="B1461" s="56" t="s">
        <v>456</v>
      </c>
      <c r="C1461" s="58">
        <v>1</v>
      </c>
      <c r="D1461" s="50">
        <v>22</v>
      </c>
      <c r="E1461" s="63">
        <v>37.5</v>
      </c>
      <c r="F1461" s="65">
        <v>15.5</v>
      </c>
      <c r="G1461" s="57" t="s">
        <v>484</v>
      </c>
      <c r="H1461" s="77" t="s">
        <v>427</v>
      </c>
    </row>
    <row r="1462" spans="1:8">
      <c r="A1462" s="77">
        <v>44190</v>
      </c>
      <c r="B1462" s="56" t="s">
        <v>456</v>
      </c>
      <c r="C1462" s="58">
        <v>1</v>
      </c>
      <c r="D1462" s="50">
        <v>22</v>
      </c>
      <c r="E1462" s="63">
        <v>37.5</v>
      </c>
      <c r="F1462" s="65">
        <v>15.5</v>
      </c>
      <c r="G1462" s="57" t="s">
        <v>484</v>
      </c>
      <c r="H1462" s="77" t="s">
        <v>427</v>
      </c>
    </row>
    <row r="1463" spans="1:8">
      <c r="A1463" s="77">
        <v>44190</v>
      </c>
      <c r="B1463" s="56" t="s">
        <v>456</v>
      </c>
      <c r="C1463" s="58">
        <v>1</v>
      </c>
      <c r="D1463" s="50">
        <v>22</v>
      </c>
      <c r="E1463" s="63">
        <v>37.5</v>
      </c>
      <c r="F1463" s="65">
        <v>15.5</v>
      </c>
      <c r="G1463" s="57" t="s">
        <v>484</v>
      </c>
      <c r="H1463" s="77" t="s">
        <v>427</v>
      </c>
    </row>
    <row r="1464" spans="1:8">
      <c r="A1464" s="77">
        <v>44190</v>
      </c>
      <c r="B1464" s="56" t="s">
        <v>456</v>
      </c>
      <c r="C1464" s="58">
        <v>1</v>
      </c>
      <c r="D1464" s="50">
        <v>22</v>
      </c>
      <c r="E1464" s="63">
        <v>37</v>
      </c>
      <c r="F1464" s="65">
        <v>15</v>
      </c>
      <c r="G1464" s="57" t="s">
        <v>484</v>
      </c>
      <c r="H1464" s="77" t="s">
        <v>427</v>
      </c>
    </row>
    <row r="1465" spans="1:8">
      <c r="A1465" s="77">
        <v>44190</v>
      </c>
      <c r="B1465" s="56" t="s">
        <v>480</v>
      </c>
      <c r="C1465" s="58">
        <v>1</v>
      </c>
      <c r="D1465" s="50">
        <v>6</v>
      </c>
      <c r="E1465" s="63">
        <v>15</v>
      </c>
      <c r="F1465" s="65">
        <v>15</v>
      </c>
      <c r="G1465" s="57" t="s">
        <v>484</v>
      </c>
      <c r="H1465" s="77" t="s">
        <v>427</v>
      </c>
    </row>
    <row r="1466" spans="1:8">
      <c r="A1466" s="77">
        <v>44190</v>
      </c>
      <c r="B1466" s="56" t="s">
        <v>480</v>
      </c>
      <c r="C1466" s="58">
        <v>1</v>
      </c>
      <c r="D1466" s="50">
        <v>6</v>
      </c>
      <c r="E1466" s="63">
        <v>15</v>
      </c>
      <c r="F1466" s="65">
        <v>15</v>
      </c>
      <c r="G1466" s="57" t="s">
        <v>484</v>
      </c>
      <c r="H1466" s="77" t="s">
        <v>427</v>
      </c>
    </row>
    <row r="1467" spans="1:8">
      <c r="A1467" s="77">
        <v>44190</v>
      </c>
      <c r="B1467" s="56" t="s">
        <v>480</v>
      </c>
      <c r="C1467" s="58">
        <v>1</v>
      </c>
      <c r="D1467" s="50">
        <v>6</v>
      </c>
      <c r="E1467" s="63">
        <v>15</v>
      </c>
      <c r="F1467" s="65">
        <v>15</v>
      </c>
      <c r="G1467" s="57" t="s">
        <v>484</v>
      </c>
      <c r="H1467" s="77" t="s">
        <v>427</v>
      </c>
    </row>
    <row r="1468" spans="1:8">
      <c r="A1468" s="77">
        <v>44190</v>
      </c>
      <c r="B1468" s="56" t="s">
        <v>480</v>
      </c>
      <c r="C1468" s="58">
        <v>1</v>
      </c>
      <c r="D1468" s="50">
        <v>6</v>
      </c>
      <c r="E1468" s="63">
        <v>15</v>
      </c>
      <c r="F1468" s="65">
        <v>15</v>
      </c>
      <c r="G1468" s="57" t="s">
        <v>484</v>
      </c>
      <c r="H1468" s="77" t="s">
        <v>427</v>
      </c>
    </row>
    <row r="1469" spans="1:8">
      <c r="A1469" s="77">
        <v>44190</v>
      </c>
      <c r="B1469" s="56" t="s">
        <v>480</v>
      </c>
      <c r="C1469" s="58">
        <v>1</v>
      </c>
      <c r="D1469" s="50">
        <v>6</v>
      </c>
      <c r="E1469" s="63">
        <v>15</v>
      </c>
      <c r="F1469" s="65">
        <v>15</v>
      </c>
      <c r="G1469" s="57" t="s">
        <v>484</v>
      </c>
      <c r="H1469" s="77" t="s">
        <v>427</v>
      </c>
    </row>
    <row r="1470" spans="1:8">
      <c r="A1470" s="77">
        <v>44190</v>
      </c>
      <c r="B1470" s="56" t="s">
        <v>480</v>
      </c>
      <c r="C1470" s="58">
        <v>1</v>
      </c>
      <c r="D1470" s="50">
        <v>6</v>
      </c>
      <c r="E1470" s="63">
        <v>15</v>
      </c>
      <c r="F1470" s="65">
        <v>15</v>
      </c>
      <c r="G1470" s="57" t="s">
        <v>484</v>
      </c>
      <c r="H1470" s="77" t="s">
        <v>427</v>
      </c>
    </row>
    <row r="1048339" spans="2:2">
      <c r="B1048339" s="55"/>
    </row>
  </sheetData>
  <conditionalFormatting sqref="A946 G945">
    <cfRule type="expression" dxfId="3096" priority="5106">
      <formula>A945 = "Pedidos"</formula>
    </cfRule>
    <cfRule type="expression" dxfId="3095" priority="5109">
      <formula>A945 = "Vendido"</formula>
    </cfRule>
    <cfRule type="expression" dxfId="3094" priority="5108">
      <formula>A945 = "Pendente"</formula>
    </cfRule>
    <cfRule type="expression" dxfId="3093" priority="5107">
      <formula>A945 = "Estoque"</formula>
    </cfRule>
    <cfRule type="expression" dxfId="3092" priority="5105">
      <formula>A945 = "Atacado"</formula>
    </cfRule>
  </conditionalFormatting>
  <conditionalFormatting sqref="A946">
    <cfRule type="expression" dxfId="3091" priority="5103">
      <formula>A946 ="Entregar"</formula>
    </cfRule>
    <cfRule type="expression" dxfId="3090" priority="5104">
      <formula>A946 = "Tem que compra"</formula>
    </cfRule>
    <cfRule type="expression" dxfId="3089" priority="5101">
      <formula>A946 ="Loja"</formula>
    </cfRule>
  </conditionalFormatting>
  <conditionalFormatting sqref="A948">
    <cfRule type="expression" dxfId="3088" priority="5442">
      <formula>A948 = "Tem que compra"</formula>
    </cfRule>
    <cfRule type="expression" dxfId="3087" priority="5439">
      <formula>A948 ="Loja"</formula>
    </cfRule>
    <cfRule type="expression" dxfId="3086" priority="5441">
      <formula>A948 ="Entregar"</formula>
    </cfRule>
  </conditionalFormatting>
  <conditionalFormatting sqref="B1:B940 B942:B944 B947 B949:B973 B976:B987 B989:B999 B1001:B1003 B1009:B1010 B1013:B1024 B1031 B1037:B1038 B1042 B1044:B1046 B1055:B1056 B1058:B1061 B1064:B1073 B1075:B1102 B1104:B1107 B1111 B1113:B1120 B1123:B1129 B1133 B1135:B1137 B1146 B1201:B1208 B1214:B1228 B1235:B1236 B1238:B1240 B1242:B1243 B1248 B1366:B1368 B1384:B1387 B1397:B1399 B1452:B1456 B1471:B1048576">
    <cfRule type="expression" dxfId="3085" priority="6594">
      <formula>G1 = "Pendente"</formula>
    </cfRule>
    <cfRule type="expression" dxfId="3084" priority="7413">
      <formula>G1 = "Loja"</formula>
    </cfRule>
    <cfRule type="expression" dxfId="3083" priority="6596">
      <formula>G1 = "Atacado"</formula>
    </cfRule>
    <cfRule type="expression" dxfId="3082" priority="6595">
      <formula>G1 = "Tem que compra"</formula>
    </cfRule>
  </conditionalFormatting>
  <conditionalFormatting sqref="B1:B940 B989:B999 B1037:B1038 B1058:B1061 B1064:B1073 B1075:B1102 B1135:B1137 B1201:B1208 B1214:B1228 B1235:B1236 B1238:B1240 B1242:B1243 B1248 B1366:B1368 B1384:B1387 B1452:B1456 B1471:B1048576 B1055:B1056">
    <cfRule type="expression" dxfId="3081" priority="6593">
      <formula>G1 = "Estoque"</formula>
    </cfRule>
  </conditionalFormatting>
  <conditionalFormatting sqref="B1:B940 B989:B999 B1059:B1061 B1064:B1073 B1075:B1102 B1135:B1137 B1201:B1208 B1214:B1228 B1235:B1236 B1238:B1240 B1242:B1243 B1248 B1366:B1368 B1384:B1387 B1452:B1456 B1471:B1048576 B1037:B1038">
    <cfRule type="expression" dxfId="3080" priority="6592">
      <formula>G1 = "Vendido"</formula>
    </cfRule>
  </conditionalFormatting>
  <conditionalFormatting sqref="B1:B940 B1064:B1073 B1059:B1061 B1075:B1102 B1135:B1137 B1354 B1145 B1151 B1153 B1167:B1169 B1172:B1191 B1194:B1195 B1197 B1199:B1208 B1217:B1229 B1233 B1235:B1243 B1425 B1432:B1456 B1467:B1048576 B1248 B1395:B1396 B1364:B1368 B1384:B1387">
    <cfRule type="expression" dxfId="3079" priority="6576">
      <formula>G1 = "Loja"</formula>
    </cfRule>
  </conditionalFormatting>
  <conditionalFormatting sqref="B485 B487 B489 B494:B498 B509:B572 B574 B579:B580 B582:B584 B590:B592 B594 B605:B692 B726:B729 B732:B759 B762:B841 B845:B918 B924:B940 B942:B944 B947 B949:B973 B976:B987 B989:B999 B1001:B1003 B1009:B1010 B1013:B1024 B1031 B1037:B1038 B1042 B1044:B1046 B1055:B1056 B1058:B1060 B1067:B1072 B1075:B1076 B1078:B1088 B1102 B1104:B1107 B1111 B1113:B1120 B1123:B1129 B1133 B1137 B1146 B1155 B1201:B1208 B1214:B1228 B1235:B1236 B1238:B1240 B1242:B1243 B1366:B1368 B1048339:B1048576">
    <cfRule type="expression" dxfId="3078" priority="8033">
      <formula>G485 = "Pendente"</formula>
    </cfRule>
    <cfRule type="expression" dxfId="3077" priority="8032">
      <formula>G485 = "Estoque"</formula>
    </cfRule>
    <cfRule type="expression" dxfId="3076" priority="8034">
      <formula>G485 = "Tem que compra"</formula>
    </cfRule>
    <cfRule type="expression" dxfId="3075" priority="8035">
      <formula>G485 = "Atacado"</formula>
    </cfRule>
  </conditionalFormatting>
  <conditionalFormatting sqref="B485 B487 B489 B494:B498 B509:B572 B574 B579:B580 B582:B584 B590:B592 B594 B605:B692 B726:B729 B732:B759 B762:B841 B845:B918 B924:B940 B942:B944 B947 B949:B973 B976:B987 B989:B999 B1001:B1003 B1009:B1010 B1013:B1024 B1031 B1037:B1038 B1042 B1044:B1046 B1055:B1056 B1058:B1060 B1067:B1072 B1075:B1076 B1078:B1088 B1102 B1104:B1107 B1111 B1113:B1120 B1123:B1129 B1133 B1137 B1146 B1201:B1208 B1214:B1228 B1235:B1236 B1238:B1240 B1242:B1243 B1366:B1368 B1048339:B1048576 B1155">
    <cfRule type="expression" dxfId="3074" priority="8031">
      <formula>G485 = "Vendido"</formula>
    </cfRule>
  </conditionalFormatting>
  <conditionalFormatting sqref="B772:B774">
    <cfRule type="expression" dxfId="3073" priority="61491">
      <formula>#REF! = "Estoque"</formula>
    </cfRule>
    <cfRule type="expression" dxfId="3072" priority="61494">
      <formula>#REF! = "Atacado"</formula>
    </cfRule>
    <cfRule type="expression" dxfId="3071" priority="61504">
      <formula>#REF! = "Vendido"</formula>
    </cfRule>
    <cfRule type="expression" dxfId="3070" priority="61503">
      <formula>#REF! = "Loja"</formula>
    </cfRule>
    <cfRule type="expression" dxfId="3069" priority="61490">
      <formula>#REF! = "Vendido"</formula>
    </cfRule>
    <cfRule type="expression" dxfId="3068" priority="61492">
      <formula>#REF! = "Pendente"</formula>
    </cfRule>
    <cfRule type="expression" dxfId="3067" priority="61493">
      <formula>#REF! = "Tem que compra"</formula>
    </cfRule>
    <cfRule type="expression" dxfId="3066" priority="61506">
      <formula>#REF! = "Pendente"</formula>
    </cfRule>
    <cfRule type="expression" dxfId="3065" priority="61505">
      <formula>#REF! = "Estoque"</formula>
    </cfRule>
    <cfRule type="expression" dxfId="3064" priority="61508">
      <formula>#REF! = "Atacado"</formula>
    </cfRule>
    <cfRule type="expression" dxfId="3063" priority="61507">
      <formula>#REF! = "Tem que compra"</formula>
    </cfRule>
    <cfRule type="expression" dxfId="3062" priority="61484">
      <formula>#REF! = "Loja"</formula>
    </cfRule>
  </conditionalFormatting>
  <conditionalFormatting sqref="B776">
    <cfRule type="expression" dxfId="3061" priority="6031">
      <formula>#REF! = "Vendido"</formula>
    </cfRule>
    <cfRule type="expression" dxfId="3060" priority="6027">
      <formula>#REF! = "Pendente"</formula>
    </cfRule>
    <cfRule type="expression" dxfId="3059" priority="6028">
      <formula>#REF! = "Tem que compra"</formula>
    </cfRule>
    <cfRule type="expression" dxfId="3058" priority="6029">
      <formula>#REF! = "Atacado"</formula>
    </cfRule>
    <cfRule type="expression" dxfId="3057" priority="6030">
      <formula>#REF! = "Loja"</formula>
    </cfRule>
    <cfRule type="expression" dxfId="3056" priority="6035">
      <formula>#REF! = "Atacado"</formula>
    </cfRule>
    <cfRule type="expression" dxfId="3055" priority="6033">
      <formula>#REF! = "Pendente"</formula>
    </cfRule>
    <cfRule type="expression" dxfId="3054" priority="6025">
      <formula>#REF! = "Vendido"</formula>
    </cfRule>
    <cfRule type="expression" dxfId="3053" priority="6024">
      <formula>#REF! = "Loja"</formula>
    </cfRule>
    <cfRule type="expression" dxfId="3052" priority="6034">
      <formula>#REF! = "Tem que compra"</formula>
    </cfRule>
    <cfRule type="expression" dxfId="3051" priority="6026">
      <formula>#REF! = "Estoque"</formula>
    </cfRule>
    <cfRule type="expression" dxfId="3050" priority="6032">
      <formula>#REF! = "Estoque"</formula>
    </cfRule>
  </conditionalFormatting>
  <conditionalFormatting sqref="B921">
    <cfRule type="expression" dxfId="3049" priority="5401">
      <formula>G921 = "Pendente"</formula>
    </cfRule>
    <cfRule type="expression" dxfId="3048" priority="5403">
      <formula>G921 = "Atacado"</formula>
    </cfRule>
    <cfRule type="expression" dxfId="3047" priority="5402">
      <formula>G921 = "Tem que compra"</formula>
    </cfRule>
  </conditionalFormatting>
  <conditionalFormatting sqref="B921:B923">
    <cfRule type="expression" dxfId="3046" priority="5390">
      <formula>G921 = "Estoque"</formula>
    </cfRule>
    <cfRule type="expression" dxfId="3045" priority="5389">
      <formula>G921 = "Vendido"</formula>
    </cfRule>
  </conditionalFormatting>
  <conditionalFormatting sqref="B922">
    <cfRule type="expression" dxfId="3044" priority="5398">
      <formula>G922 = "Atacado"</formula>
    </cfRule>
    <cfRule type="expression" dxfId="3043" priority="5397">
      <formula>G922 = "Tem que compra"</formula>
    </cfRule>
    <cfRule type="expression" dxfId="3042" priority="5396">
      <formula>G922 = "Pendente"</formula>
    </cfRule>
  </conditionalFormatting>
  <conditionalFormatting sqref="B923">
    <cfRule type="expression" dxfId="3041" priority="5393">
      <formula>G923 = "Atacado"</formula>
    </cfRule>
    <cfRule type="expression" dxfId="3040" priority="5392">
      <formula>G923 = "Tem que compra"</formula>
    </cfRule>
    <cfRule type="expression" dxfId="3039" priority="5391">
      <formula>G923 = "Pendente"</formula>
    </cfRule>
  </conditionalFormatting>
  <conditionalFormatting sqref="B941">
    <cfRule type="expression" dxfId="3038" priority="5306">
      <formula>G941 = "Pendente"</formula>
    </cfRule>
    <cfRule type="expression" dxfId="3037" priority="5296">
      <formula>G941 = "Loja"</formula>
    </cfRule>
    <cfRule type="expression" dxfId="3036" priority="5304">
      <formula>G941 = "Vendido"</formula>
    </cfRule>
    <cfRule type="expression" dxfId="3035" priority="5305">
      <formula>G941 = "Estoque"</formula>
    </cfRule>
    <cfRule type="expression" dxfId="3034" priority="5307">
      <formula>G941 = "Tem que compra"</formula>
    </cfRule>
    <cfRule type="expression" dxfId="3033" priority="5314">
      <formula>G941 = "Atacado"</formula>
    </cfRule>
    <cfRule type="expression" dxfId="3032" priority="5313">
      <formula>G941 = "Tem que compra"</formula>
    </cfRule>
    <cfRule type="expression" dxfId="3031" priority="5312">
      <formula>G941 = "Pendente"</formula>
    </cfRule>
    <cfRule type="expression" dxfId="3030" priority="5308">
      <formula>G941 = "Atacado"</formula>
    </cfRule>
  </conditionalFormatting>
  <conditionalFormatting sqref="B941:B944 B1055:B1058">
    <cfRule type="expression" dxfId="3029" priority="5309">
      <formula>G941 = "Loja"</formula>
    </cfRule>
    <cfRule type="expression" dxfId="3028" priority="5310">
      <formula>G941 = "Vendido"</formula>
    </cfRule>
  </conditionalFormatting>
  <conditionalFormatting sqref="B941:B944">
    <cfRule type="expression" dxfId="3027" priority="5311">
      <formula>G941 = "Estoque"</formula>
    </cfRule>
  </conditionalFormatting>
  <conditionalFormatting sqref="B945">
    <cfRule type="expression" dxfId="3026" priority="5112">
      <formula>G945 = "Pendente"</formula>
    </cfRule>
    <cfRule type="expression" dxfId="3025" priority="5113">
      <formula>G945 = "Tem que compra"</formula>
    </cfRule>
    <cfRule type="expression" dxfId="3024" priority="5114">
      <formula>G945 = "Atacado"</formula>
    </cfRule>
    <cfRule type="expression" dxfId="3023" priority="5115">
      <formula>G945 = "Loja"</formula>
    </cfRule>
    <cfRule type="expression" dxfId="3022" priority="5116">
      <formula>G945 = "Vendido"</formula>
    </cfRule>
    <cfRule type="expression" dxfId="3021" priority="5117">
      <formula>G945 = "Estoque"</formula>
    </cfRule>
    <cfRule type="expression" dxfId="3020" priority="5118">
      <formula>G945 = "Pendente"</formula>
    </cfRule>
    <cfRule type="expression" dxfId="3019" priority="5119">
      <formula>G945 = "Tem que compra"</formula>
    </cfRule>
    <cfRule type="expression" dxfId="3018" priority="5120">
      <formula>G945 = "Atacado"</formula>
    </cfRule>
  </conditionalFormatting>
  <conditionalFormatting sqref="B945:B946">
    <cfRule type="expression" dxfId="3017" priority="5089">
      <formula>G945 = "Estoque"</formula>
    </cfRule>
    <cfRule type="expression" dxfId="3016" priority="5087">
      <formula>G945 = "Loja"</formula>
    </cfRule>
    <cfRule type="expression" dxfId="3015" priority="5088">
      <formula>G945 = "Vendido"</formula>
    </cfRule>
  </conditionalFormatting>
  <conditionalFormatting sqref="B946">
    <cfRule type="expression" dxfId="3014" priority="5081">
      <formula>G946 = "Loja"</formula>
    </cfRule>
    <cfRule type="expression" dxfId="3013" priority="5090">
      <formula>G946 = "Pendente"</formula>
    </cfRule>
    <cfRule type="expression" dxfId="3012" priority="5091">
      <formula>G946 = "Tem que compra"</formula>
    </cfRule>
    <cfRule type="expression" dxfId="3011" priority="5092">
      <formula>G946 = "Atacado"</formula>
    </cfRule>
    <cfRule type="expression" dxfId="3010" priority="5082">
      <formula>G946 = "Vendido"</formula>
    </cfRule>
    <cfRule type="expression" dxfId="3009" priority="5083">
      <formula>G946 = "Estoque"</formula>
    </cfRule>
    <cfRule type="expression" dxfId="3008" priority="5084">
      <formula>G946 = "Pendente"</formula>
    </cfRule>
    <cfRule type="expression" dxfId="3007" priority="5085">
      <formula>G946 = "Tem que compra"</formula>
    </cfRule>
    <cfRule type="expression" dxfId="3006" priority="5086">
      <formula>G946 = "Atacado"</formula>
    </cfRule>
  </conditionalFormatting>
  <conditionalFormatting sqref="B947:B973">
    <cfRule type="expression" dxfId="3005" priority="5283">
      <formula>G947 = "Estoque"</formula>
    </cfRule>
    <cfRule type="expression" dxfId="3004" priority="5281">
      <formula>G947 = "Loja"</formula>
    </cfRule>
    <cfRule type="expression" dxfId="3003" priority="5282">
      <formula>G947 = "Vendido"</formula>
    </cfRule>
  </conditionalFormatting>
  <conditionalFormatting sqref="B948">
    <cfRule type="expression" dxfId="3002" priority="5284">
      <formula>G948 = "Pendente"</formula>
    </cfRule>
    <cfRule type="expression" dxfId="3001" priority="5286">
      <formula>G948 = "Atacado"</formula>
    </cfRule>
    <cfRule type="expression" dxfId="3000" priority="5285">
      <formula>G948 = "Tem que compra"</formula>
    </cfRule>
    <cfRule type="expression" dxfId="2999" priority="5275">
      <formula>G948 = "Loja"</formula>
    </cfRule>
    <cfRule type="expression" dxfId="2998" priority="5280">
      <formula>G948 = "Atacado"</formula>
    </cfRule>
    <cfRule type="expression" dxfId="2997" priority="5279">
      <formula>G948 = "Tem que compra"</formula>
    </cfRule>
    <cfRule type="expression" dxfId="2996" priority="5278">
      <formula>G948 = "Pendente"</formula>
    </cfRule>
    <cfRule type="expression" dxfId="2995" priority="5277">
      <formula>G948 = "Estoque"</formula>
    </cfRule>
    <cfRule type="expression" dxfId="2994" priority="5276">
      <formula>G948 = "Vendido"</formula>
    </cfRule>
  </conditionalFormatting>
  <conditionalFormatting sqref="B974">
    <cfRule type="expression" dxfId="2993" priority="5198">
      <formula>G974 = "Pendente"</formula>
    </cfRule>
    <cfRule type="expression" dxfId="2992" priority="5197">
      <formula>G974 = "Estoque"</formula>
    </cfRule>
    <cfRule type="expression" dxfId="2991" priority="5196">
      <formula>G974 = "Vendido"</formula>
    </cfRule>
    <cfRule type="expression" dxfId="2990" priority="5195">
      <formula>G974 = "Loja"</formula>
    </cfRule>
    <cfRule type="expression" dxfId="2989" priority="5193">
      <formula>G974 = "Tem que compra"</formula>
    </cfRule>
    <cfRule type="expression" dxfId="2988" priority="5192">
      <formula>G974 = "Pendente"</formula>
    </cfRule>
    <cfRule type="expression" dxfId="2987" priority="5194">
      <formula>G974 = "Atacado"</formula>
    </cfRule>
    <cfRule type="expression" dxfId="2986" priority="5200">
      <formula>G974 = "Atacado"</formula>
    </cfRule>
    <cfRule type="expression" dxfId="2985" priority="5199">
      <formula>G974 = "Tem que compra"</formula>
    </cfRule>
  </conditionalFormatting>
  <conditionalFormatting sqref="B974:B987">
    <cfRule type="expression" dxfId="2984" priority="5177">
      <formula>G974 = "Estoque"</formula>
    </cfRule>
    <cfRule type="expression" dxfId="2983" priority="5176">
      <formula>G974 = "Vendido"</formula>
    </cfRule>
  </conditionalFormatting>
  <conditionalFormatting sqref="B974:B999">
    <cfRule type="expression" dxfId="2982" priority="5175">
      <formula>G974 = "Loja"</formula>
    </cfRule>
  </conditionalFormatting>
  <conditionalFormatting sqref="B975">
    <cfRule type="expression" dxfId="2981" priority="5173">
      <formula>G975 = "Tem que compra"</formula>
    </cfRule>
    <cfRule type="expression" dxfId="2980" priority="5170">
      <formula>G975 = "Vendido"</formula>
    </cfRule>
    <cfRule type="expression" dxfId="2979" priority="5178">
      <formula>G975 = "Pendente"</formula>
    </cfRule>
    <cfRule type="expression" dxfId="2978" priority="5179">
      <formula>G975 = "Tem que compra"</formula>
    </cfRule>
    <cfRule type="expression" dxfId="2977" priority="5180">
      <formula>G975 = "Atacado"</formula>
    </cfRule>
    <cfRule type="expression" dxfId="2976" priority="5162">
      <formula>G975 = "Loja"</formula>
    </cfRule>
    <cfRule type="expression" dxfId="2975" priority="5172">
      <formula>G975 = "Pendente"</formula>
    </cfRule>
    <cfRule type="expression" dxfId="2974" priority="5171">
      <formula>G975 = "Estoque"</formula>
    </cfRule>
    <cfRule type="expression" dxfId="2973" priority="5174">
      <formula>G975 = "Atacado"</formula>
    </cfRule>
  </conditionalFormatting>
  <conditionalFormatting sqref="B988">
    <cfRule type="expression" dxfId="2972" priority="4941">
      <formula>G988 = "Loja"</formula>
    </cfRule>
    <cfRule type="expression" dxfId="2971" priority="4945">
      <formula>G988 = "Tem que compra"</formula>
    </cfRule>
    <cfRule type="expression" dxfId="2970" priority="4946">
      <formula>G988 = "Atacado"</formula>
    </cfRule>
    <cfRule type="expression" dxfId="2969" priority="4948">
      <formula>G988 = "Vendido"</formula>
    </cfRule>
    <cfRule type="expression" dxfId="2968" priority="4949">
      <formula>G988 = "Estoque"</formula>
    </cfRule>
    <cfRule type="expression" dxfId="2967" priority="4942">
      <formula>G988 = "Vendido"</formula>
    </cfRule>
    <cfRule type="expression" dxfId="2966" priority="4952">
      <formula>G988 = "Atacado"</formula>
    </cfRule>
    <cfRule type="expression" dxfId="2965" priority="4951">
      <formula>G988 = "Tem que compra"</formula>
    </cfRule>
    <cfRule type="expression" dxfId="2964" priority="4950">
      <formula>G988 = "Pendente"</formula>
    </cfRule>
    <cfRule type="expression" dxfId="2963" priority="4943">
      <formula>G988 = "Estoque"</formula>
    </cfRule>
    <cfRule type="expression" dxfId="2962" priority="4944">
      <formula>G988 = "Pendente"</formula>
    </cfRule>
  </conditionalFormatting>
  <conditionalFormatting sqref="B1000">
    <cfRule type="expression" dxfId="2961" priority="4871">
      <formula>G1000 = "Tem que compra"</formula>
    </cfRule>
    <cfRule type="expression" dxfId="2960" priority="4872">
      <formula>G1000 = "Atacado"</formula>
    </cfRule>
    <cfRule type="expression" dxfId="2959" priority="4866">
      <formula>G1000 = "Atacado"</formula>
    </cfRule>
    <cfRule type="expression" dxfId="2958" priority="4863">
      <formula>G1000 = "Estoque"</formula>
    </cfRule>
    <cfRule type="expression" dxfId="2957" priority="4864">
      <formula>G1000 = "Pendente"</formula>
    </cfRule>
    <cfRule type="expression" dxfId="2956" priority="4862">
      <formula>G1000 = "Vendido"</formula>
    </cfRule>
    <cfRule type="expression" dxfId="2955" priority="4854">
      <formula>G1000 = "Loja"</formula>
    </cfRule>
    <cfRule type="expression" dxfId="2954" priority="4865">
      <formula>G1000 = "Tem que compra"</formula>
    </cfRule>
    <cfRule type="expression" dxfId="2953" priority="4870">
      <formula>G1000 = "Pendente"</formula>
    </cfRule>
  </conditionalFormatting>
  <conditionalFormatting sqref="B1000:B1003">
    <cfRule type="expression" dxfId="2952" priority="4867">
      <formula>G1000 = "Loja"</formula>
    </cfRule>
    <cfRule type="expression" dxfId="2951" priority="4868">
      <formula>G1000 = "Vendido"</formula>
    </cfRule>
    <cfRule type="expression" dxfId="2950" priority="4869">
      <formula>G1000 = "Estoque"</formula>
    </cfRule>
  </conditionalFormatting>
  <conditionalFormatting sqref="B1004 B1053:B1054 B1211 B1278 B1298 B1300:B1302 B1314 B1327:B1328 B1330 B1343 B1354 B1358 B1362">
    <cfRule type="expression" dxfId="2949" priority="4846">
      <formula>G1004 = "Atacado"</formula>
    </cfRule>
    <cfRule type="expression" dxfId="2948" priority="4845">
      <formula>G1004 = "Tem que compra"</formula>
    </cfRule>
    <cfRule type="expression" dxfId="2947" priority="4844">
      <formula>G1004 = "Pendente"</formula>
    </cfRule>
    <cfRule type="expression" dxfId="2946" priority="4852">
      <formula>G1004 = "Atacado"</formula>
    </cfRule>
    <cfRule type="expression" dxfId="2945" priority="4851">
      <formula>G1004 = "Tem que compra"</formula>
    </cfRule>
    <cfRule type="expression" dxfId="2944" priority="4850">
      <formula>G1004 = "Pendente"</formula>
    </cfRule>
    <cfRule type="expression" dxfId="2943" priority="4849">
      <formula>G1004 = "Estoque"</formula>
    </cfRule>
    <cfRule type="expression" dxfId="2942" priority="4848">
      <formula>G1004 = "Vendido"</formula>
    </cfRule>
    <cfRule type="expression" dxfId="2941" priority="4847">
      <formula>G1004 = "Loja"</formula>
    </cfRule>
  </conditionalFormatting>
  <conditionalFormatting sqref="B1004:B1006 B1145:B1146 B1151 B1153 B1167:B1169 B1172:B1189 B1194:B1195 B1197 B1199:B1200 B1225 B1229 B1233 B1237 B1241 B1425 B1432:B1451 B1469:B1470">
    <cfRule type="expression" dxfId="2940" priority="4828">
      <formula>G1004 = "Vendido"</formula>
    </cfRule>
    <cfRule type="expression" dxfId="2939" priority="4829">
      <formula>G1004 = "Estoque"</formula>
    </cfRule>
  </conditionalFormatting>
  <conditionalFormatting sqref="B1004:B1006">
    <cfRule type="expression" dxfId="2938" priority="4827">
      <formula>G1004 = "Loja"</formula>
    </cfRule>
  </conditionalFormatting>
  <conditionalFormatting sqref="B1005:B1006 B1145 B1151 B1153 B1167:B1169 B1172:B1189 B1194:B1195 B1197 B1199:B1200 B1225 B1229 B1233 B1237 B1241 B1425 B1432:B1451 B1469:B1470">
    <cfRule type="expression" dxfId="2937" priority="4824">
      <formula>G1005 = "Pendente"</formula>
    </cfRule>
    <cfRule type="expression" dxfId="2936" priority="4825">
      <formula>G1005 = "Tem que compra"</formula>
    </cfRule>
    <cfRule type="expression" dxfId="2935" priority="4826">
      <formula>G1005 = "Atacado"</formula>
    </cfRule>
    <cfRule type="expression" dxfId="2934" priority="4830">
      <formula>G1005 = "Pendente"</formula>
    </cfRule>
    <cfRule type="expression" dxfId="2933" priority="4831">
      <formula>G1005 = "Tem que compra"</formula>
    </cfRule>
    <cfRule type="expression" dxfId="2932" priority="4832">
      <formula>G1005 = "Atacado"</formula>
    </cfRule>
  </conditionalFormatting>
  <conditionalFormatting sqref="B1005:B1007">
    <cfRule type="expression" dxfId="2931" priority="4807">
      <formula>G1005 = "Loja"</formula>
    </cfRule>
    <cfRule type="expression" dxfId="2930" priority="4808">
      <formula>G1005 = "Vendido"</formula>
    </cfRule>
    <cfRule type="expression" dxfId="2929" priority="4809">
      <formula>G1005 = "Estoque"</formula>
    </cfRule>
  </conditionalFormatting>
  <conditionalFormatting sqref="B1007">
    <cfRule type="expression" dxfId="2928" priority="4810">
      <formula>G1007 = "Pendente"</formula>
    </cfRule>
    <cfRule type="expression" dxfId="2927" priority="4811">
      <formula>G1007 = "Tem que compra"</formula>
    </cfRule>
    <cfRule type="expression" dxfId="2926" priority="4812">
      <formula>G1007 = "Atacado"</formula>
    </cfRule>
    <cfRule type="expression" dxfId="2925" priority="4804">
      <formula>G1007 = "Pendente"</formula>
    </cfRule>
    <cfRule type="expression" dxfId="2924" priority="4805">
      <formula>G1007 = "Tem que compra"</formula>
    </cfRule>
    <cfRule type="expression" dxfId="2923" priority="4806">
      <formula>G1007 = "Atacado"</formula>
    </cfRule>
  </conditionalFormatting>
  <conditionalFormatting sqref="B1007:B1010">
    <cfRule type="expression" dxfId="2922" priority="4788">
      <formula>G1007 = "Vendido"</formula>
    </cfRule>
    <cfRule type="expression" dxfId="2921" priority="4787">
      <formula>G1007 = "Loja"</formula>
    </cfRule>
    <cfRule type="expression" dxfId="2920" priority="4789">
      <formula>G1007 = "Estoque"</formula>
    </cfRule>
  </conditionalFormatting>
  <conditionalFormatting sqref="B1008">
    <cfRule type="expression" dxfId="2919" priority="4781">
      <formula>G1008 = "Loja"</formula>
    </cfRule>
    <cfRule type="expression" dxfId="2918" priority="4791">
      <formula>G1008 = "Tem que compra"</formula>
    </cfRule>
    <cfRule type="expression" dxfId="2917" priority="4786">
      <formula>G1008 = "Atacado"</formula>
    </cfRule>
    <cfRule type="expression" dxfId="2916" priority="4785">
      <formula>G1008 = "Tem que compra"</formula>
    </cfRule>
    <cfRule type="expression" dxfId="2915" priority="4783">
      <formula>G1008 = "Estoque"</formula>
    </cfRule>
    <cfRule type="expression" dxfId="2914" priority="4792">
      <formula>G1008 = "Atacado"</formula>
    </cfRule>
    <cfRule type="expression" dxfId="2913" priority="4782">
      <formula>G1008 = "Vendido"</formula>
    </cfRule>
    <cfRule type="expression" dxfId="2912" priority="4784">
      <formula>G1008 = "Pendente"</formula>
    </cfRule>
    <cfRule type="expression" dxfId="2911" priority="4790">
      <formula>G1008 = "Pendente"</formula>
    </cfRule>
  </conditionalFormatting>
  <conditionalFormatting sqref="B1011">
    <cfRule type="expression" dxfId="2910" priority="4765">
      <formula>G1011 = "Tem que compra"</formula>
    </cfRule>
    <cfRule type="expression" dxfId="2909" priority="4764">
      <formula>G1011 = "Pendente"</formula>
    </cfRule>
    <cfRule type="expression" dxfId="2908" priority="4772">
      <formula>G1011 = "Atacado"</formula>
    </cfRule>
    <cfRule type="expression" dxfId="2907" priority="4767">
      <formula>G1011 = "Loja"</formula>
    </cfRule>
    <cfRule type="expression" dxfId="2906" priority="4768">
      <formula>G1011 = "Vendido"</formula>
    </cfRule>
    <cfRule type="expression" dxfId="2905" priority="4766">
      <formula>G1011 = "Atacado"</formula>
    </cfRule>
    <cfRule type="expression" dxfId="2904" priority="4770">
      <formula>G1011 = "Pendente"</formula>
    </cfRule>
    <cfRule type="expression" dxfId="2903" priority="4771">
      <formula>G1011 = "Tem que compra"</formula>
    </cfRule>
    <cfRule type="expression" dxfId="2902" priority="4769">
      <formula>G1011 = "Estoque"</formula>
    </cfRule>
  </conditionalFormatting>
  <conditionalFormatting sqref="B1011:B1024">
    <cfRule type="expression" dxfId="2901" priority="4748">
      <formula>G1011 = "Vendido"</formula>
    </cfRule>
    <cfRule type="expression" dxfId="2900" priority="4747">
      <formula>G1011 = "Loja"</formula>
    </cfRule>
    <cfRule type="expression" dxfId="2899" priority="4749">
      <formula>G1011 = "Estoque"</formula>
    </cfRule>
  </conditionalFormatting>
  <conditionalFormatting sqref="B1012">
    <cfRule type="expression" dxfId="2898" priority="4744">
      <formula>G1012 = "Pendente"</formula>
    </cfRule>
    <cfRule type="expression" dxfId="2897" priority="4746">
      <formula>G1012 = "Atacado"</formula>
    </cfRule>
    <cfRule type="expression" dxfId="2896" priority="4745">
      <formula>G1012 = "Tem que compra"</formula>
    </cfRule>
    <cfRule type="expression" dxfId="2895" priority="4743">
      <formula>G1012 = "Estoque"</formula>
    </cfRule>
    <cfRule type="expression" dxfId="2894" priority="4742">
      <formula>G1012 = "Vendido"</formula>
    </cfRule>
    <cfRule type="expression" dxfId="2893" priority="4741">
      <formula>G1012 = "Loja"</formula>
    </cfRule>
    <cfRule type="expression" dxfId="2892" priority="4751">
      <formula>G1012 = "Tem que compra"</formula>
    </cfRule>
    <cfRule type="expression" dxfId="2891" priority="4750">
      <formula>G1012 = "Pendente"</formula>
    </cfRule>
    <cfRule type="expression" dxfId="2890" priority="4752">
      <formula>G1012 = "Atacado"</formula>
    </cfRule>
  </conditionalFormatting>
  <conditionalFormatting sqref="B1025:B1030">
    <cfRule type="expression" dxfId="2889" priority="4712">
      <formula>G1025 = "Atacado"</formula>
    </cfRule>
    <cfRule type="expression" dxfId="2888" priority="4711">
      <formula>G1025 = "Tem que compra"</formula>
    </cfRule>
    <cfRule type="expression" dxfId="2887" priority="4710">
      <formula>G1025 = "Pendente"</formula>
    </cfRule>
    <cfRule type="expression" dxfId="2886" priority="4706">
      <formula>G1025 = "Atacado"</formula>
    </cfRule>
    <cfRule type="expression" dxfId="2885" priority="4705">
      <formula>G1025 = "Tem que compra"</formula>
    </cfRule>
    <cfRule type="expression" dxfId="2884" priority="4704">
      <formula>G1025 = "Pendente"</formula>
    </cfRule>
    <cfRule type="expression" dxfId="2883" priority="4701">
      <formula>G1025 = "Loja"</formula>
    </cfRule>
    <cfRule type="expression" dxfId="2882" priority="4703">
      <formula>G1025 = "Estoque"</formula>
    </cfRule>
    <cfRule type="expression" dxfId="2881" priority="4702">
      <formula>G1025 = "Vendido"</formula>
    </cfRule>
  </conditionalFormatting>
  <conditionalFormatting sqref="B1025:B1031">
    <cfRule type="expression" dxfId="2880" priority="4708">
      <formula>G1025 = "Vendido"</formula>
    </cfRule>
    <cfRule type="expression" dxfId="2879" priority="4709">
      <formula>G1025 = "Estoque"</formula>
    </cfRule>
    <cfRule type="expression" dxfId="2878" priority="4707">
      <formula>G1025 = "Loja"</formula>
    </cfRule>
  </conditionalFormatting>
  <conditionalFormatting sqref="B1032">
    <cfRule type="expression" dxfId="2877" priority="4690">
      <formula>G1032 = "Tem que compra"</formula>
    </cfRule>
    <cfRule type="expression" dxfId="2876" priority="4689">
      <formula>G1032 = "Pendente"</formula>
    </cfRule>
    <cfRule type="expression" dxfId="2875" priority="4691">
      <formula>G1032 = "Atacado"</formula>
    </cfRule>
    <cfRule type="expression" dxfId="2874" priority="4692">
      <formula>G1032 = "Loja"</formula>
    </cfRule>
    <cfRule type="expression" dxfId="2873" priority="4688">
      <formula>G1032 = "Estoque"</formula>
    </cfRule>
    <cfRule type="expression" dxfId="2872" priority="4687">
      <formula>G1032 = "Vendido"</formula>
    </cfRule>
  </conditionalFormatting>
  <conditionalFormatting sqref="B1032:B1035">
    <cfRule type="expression" dxfId="2871" priority="4677">
      <formula>G1032 = "Loja"</formula>
    </cfRule>
  </conditionalFormatting>
  <conditionalFormatting sqref="B1033:B1035">
    <cfRule type="expression" dxfId="2870" priority="4673">
      <formula>G1033 = "Estoque"</formula>
    </cfRule>
    <cfRule type="expression" dxfId="2869" priority="4676">
      <formula>G1033 = "Atacado"</formula>
    </cfRule>
    <cfRule type="expression" dxfId="2868" priority="4675">
      <formula>G1033 = "Tem que compra"</formula>
    </cfRule>
    <cfRule type="expression" dxfId="2867" priority="4672">
      <formula>G1033 = "Vendido"</formula>
    </cfRule>
    <cfRule type="expression" dxfId="2866" priority="4674">
      <formula>G1033 = "Pendente"</formula>
    </cfRule>
  </conditionalFormatting>
  <conditionalFormatting sqref="B1033:B1038">
    <cfRule type="expression" dxfId="2865" priority="4662">
      <formula>G1033 = "Loja"</formula>
    </cfRule>
  </conditionalFormatting>
  <conditionalFormatting sqref="B1036">
    <cfRule type="expression" dxfId="2864" priority="4659">
      <formula>G1036 = "Pendente"</formula>
    </cfRule>
    <cfRule type="expression" dxfId="2863" priority="4657">
      <formula>G1036 = "Vendido"</formula>
    </cfRule>
    <cfRule type="expression" dxfId="2862" priority="4649">
      <formula>G1036 = "Loja"</formula>
    </cfRule>
    <cfRule type="expression" dxfId="2861" priority="4661">
      <formula>G1036 = "Atacado"</formula>
    </cfRule>
    <cfRule type="expression" dxfId="2860" priority="4658">
      <formula>G1036 = "Estoque"</formula>
    </cfRule>
    <cfRule type="expression" dxfId="2859" priority="4660">
      <formula>G1036 = "Tem que compra"</formula>
    </cfRule>
  </conditionalFormatting>
  <conditionalFormatting sqref="B1039">
    <cfRule type="expression" dxfId="2858" priority="4642">
      <formula>G1039 = "Loja"</formula>
    </cfRule>
    <cfRule type="expression" dxfId="2857" priority="4640">
      <formula>G1039 = "Tem que compra"</formula>
    </cfRule>
    <cfRule type="expression" dxfId="2856" priority="4643">
      <formula>G1039 = "Vendido"</formula>
    </cfRule>
    <cfRule type="expression" dxfId="2855" priority="4644">
      <formula>G1039 = "Estoque"</formula>
    </cfRule>
    <cfRule type="expression" dxfId="2854" priority="4639">
      <formula>G1039 = "Pendente"</formula>
    </cfRule>
    <cfRule type="expression" dxfId="2853" priority="4647">
      <formula>G1039 = "Atacado"</formula>
    </cfRule>
    <cfRule type="expression" dxfId="2852" priority="4646">
      <formula>G1039 = "Tem que compra"</formula>
    </cfRule>
    <cfRule type="expression" dxfId="2851" priority="4645">
      <formula>G1039 = "Pendente"</formula>
    </cfRule>
    <cfRule type="expression" dxfId="2850" priority="4641">
      <formula>G1039 = "Atacado"</formula>
    </cfRule>
  </conditionalFormatting>
  <conditionalFormatting sqref="B1039:B1040">
    <cfRule type="expression" dxfId="2849" priority="4624">
      <formula>G1039 = "Estoque"</formula>
    </cfRule>
    <cfRule type="expression" dxfId="2848" priority="4622">
      <formula>G1039 = "Loja"</formula>
    </cfRule>
    <cfRule type="expression" dxfId="2847" priority="4623">
      <formula>G1039 = "Vendido"</formula>
    </cfRule>
  </conditionalFormatting>
  <conditionalFormatting sqref="B1040">
    <cfRule type="expression" dxfId="2846" priority="4626">
      <formula>G1040 = "Tem que compra"</formula>
    </cfRule>
    <cfRule type="expression" dxfId="2845" priority="4620">
      <formula>G1040 = "Tem que compra"</formula>
    </cfRule>
    <cfRule type="expression" dxfId="2844" priority="4621">
      <formula>G1040 = "Atacado"</formula>
    </cfRule>
    <cfRule type="expression" dxfId="2843" priority="4619">
      <formula>G1040 = "Pendente"</formula>
    </cfRule>
    <cfRule type="expression" dxfId="2842" priority="4625">
      <formula>G1040 = "Pendente"</formula>
    </cfRule>
    <cfRule type="expression" dxfId="2841" priority="4627">
      <formula>G1040 = "Atacado"</formula>
    </cfRule>
  </conditionalFormatting>
  <conditionalFormatting sqref="B1040:B1042">
    <cfRule type="expression" dxfId="2840" priority="4602">
      <formula>G1040 = "Loja"</formula>
    </cfRule>
    <cfRule type="expression" dxfId="2839" priority="4604">
      <formula>G1040 = "Estoque"</formula>
    </cfRule>
    <cfRule type="expression" dxfId="2838" priority="4603">
      <formula>G1040 = "Vendido"</formula>
    </cfRule>
  </conditionalFormatting>
  <conditionalFormatting sqref="B1041">
    <cfRule type="expression" dxfId="2837" priority="4589">
      <formula>G1041 = "Loja"</formula>
    </cfRule>
    <cfRule type="expression" dxfId="2836" priority="4605">
      <formula>G1041 = "Pendente"</formula>
    </cfRule>
    <cfRule type="expression" dxfId="2835" priority="4601">
      <formula>G1041 = "Atacado"</formula>
    </cfRule>
    <cfRule type="expression" dxfId="2834" priority="4600">
      <formula>G1041 = "Tem que compra"</formula>
    </cfRule>
    <cfRule type="expression" dxfId="2833" priority="4607">
      <formula>G1041 = "Atacado"</formula>
    </cfRule>
    <cfRule type="expression" dxfId="2832" priority="4606">
      <formula>G1041 = "Tem que compra"</formula>
    </cfRule>
    <cfRule type="expression" dxfId="2831" priority="4599">
      <formula>G1041 = "Pendente"</formula>
    </cfRule>
    <cfRule type="expression" dxfId="2830" priority="4598">
      <formula>G1041 = "Estoque"</formula>
    </cfRule>
    <cfRule type="expression" dxfId="2829" priority="4597">
      <formula>G1041 = "Vendido"</formula>
    </cfRule>
  </conditionalFormatting>
  <conditionalFormatting sqref="B1043">
    <cfRule type="expression" dxfId="2828" priority="4585">
      <formula>G1043 = "Pendente"</formula>
    </cfRule>
    <cfRule type="expression" dxfId="2827" priority="4577">
      <formula>G1043 = "Vendido"</formula>
    </cfRule>
    <cfRule type="expression" dxfId="2826" priority="4586">
      <formula>G1043 = "Tem que compra"</formula>
    </cfRule>
    <cfRule type="expression" dxfId="2825" priority="4569">
      <formula>G1043 = "Loja"</formula>
    </cfRule>
    <cfRule type="expression" dxfId="2824" priority="4587">
      <formula>G1043 = "Atacado"</formula>
    </cfRule>
    <cfRule type="expression" dxfId="2823" priority="4579">
      <formula>G1043 = "Pendente"</formula>
    </cfRule>
    <cfRule type="expression" dxfId="2822" priority="4580">
      <formula>G1043 = "Tem que compra"</formula>
    </cfRule>
    <cfRule type="expression" dxfId="2821" priority="4581">
      <formula>G1043 = "Atacado"</formula>
    </cfRule>
    <cfRule type="expression" dxfId="2820" priority="4578">
      <formula>G1043 = "Estoque"</formula>
    </cfRule>
  </conditionalFormatting>
  <conditionalFormatting sqref="B1043:B1046">
    <cfRule type="expression" dxfId="2819" priority="4582">
      <formula>G1043 = "Loja"</formula>
    </cfRule>
    <cfRule type="expression" dxfId="2818" priority="4583">
      <formula>G1043 = "Vendido"</formula>
    </cfRule>
    <cfRule type="expression" dxfId="2817" priority="4584">
      <formula>G1043 = "Estoque"</formula>
    </cfRule>
  </conditionalFormatting>
  <conditionalFormatting sqref="B1047">
    <cfRule type="expression" dxfId="2816" priority="4566">
      <formula>G1047 = "Tem que compra"</formula>
    </cfRule>
    <cfRule type="expression" dxfId="2815" priority="4565">
      <formula>G1047 = "Pendente"</formula>
    </cfRule>
    <cfRule type="expression" dxfId="2814" priority="4564">
      <formula>G1047 = "Estoque"</formula>
    </cfRule>
    <cfRule type="expression" dxfId="2813" priority="4563">
      <formula>G1047 = "Vendido"</formula>
    </cfRule>
    <cfRule type="expression" dxfId="2812" priority="4560">
      <formula>G1047 = "Tem que compra"</formula>
    </cfRule>
    <cfRule type="expression" dxfId="2811" priority="4562">
      <formula>G1047 = "Loja"</formula>
    </cfRule>
    <cfRule type="expression" dxfId="2810" priority="4559">
      <formula>G1047 = "Pendente"</formula>
    </cfRule>
    <cfRule type="expression" dxfId="2809" priority="4567">
      <formula>G1047 = "Atacado"</formula>
    </cfRule>
    <cfRule type="expression" dxfId="2808" priority="4561">
      <formula>G1047 = "Atacado"</formula>
    </cfRule>
  </conditionalFormatting>
  <conditionalFormatting sqref="B1047:B1054">
    <cfRule type="expression" dxfId="2807" priority="4530">
      <formula>G1047 = "Loja"</formula>
    </cfRule>
    <cfRule type="expression" dxfId="2806" priority="4532">
      <formula>G1047 = "Estoque"</formula>
    </cfRule>
    <cfRule type="expression" dxfId="2805" priority="4531">
      <formula>G1047 = "Vendido"</formula>
    </cfRule>
  </conditionalFormatting>
  <conditionalFormatting sqref="B1048:B1052">
    <cfRule type="expression" dxfId="2804" priority="4527">
      <formula>G1048 = "Pendente"</formula>
    </cfRule>
    <cfRule type="expression" dxfId="2803" priority="4524">
      <formula>G1048 = "Loja"</formula>
    </cfRule>
    <cfRule type="expression" dxfId="2802" priority="4525">
      <formula>G1048 = "Vendido"</formula>
    </cfRule>
    <cfRule type="expression" dxfId="2801" priority="4528">
      <formula>G1048 = "Tem que compra"</formula>
    </cfRule>
    <cfRule type="expression" dxfId="2800" priority="4529">
      <formula>G1048 = "Atacado"</formula>
    </cfRule>
    <cfRule type="expression" dxfId="2799" priority="4534">
      <formula>G1048 = "Tem que compra"</formula>
    </cfRule>
    <cfRule type="expression" dxfId="2798" priority="4526">
      <formula>G1048 = "Estoque"</formula>
    </cfRule>
    <cfRule type="expression" dxfId="2797" priority="4535">
      <formula>G1048 = "Atacado"</formula>
    </cfRule>
    <cfRule type="expression" dxfId="2796" priority="4533">
      <formula>G1048 = "Pendente"</formula>
    </cfRule>
  </conditionalFormatting>
  <conditionalFormatting sqref="B1057">
    <cfRule type="expression" dxfId="2795" priority="4989">
      <formula>G1057 = "Estoque"</formula>
    </cfRule>
    <cfRule type="expression" dxfId="2794" priority="4985">
      <formula>G1057 = "Tem que compra"</formula>
    </cfRule>
    <cfRule type="expression" dxfId="2793" priority="4981">
      <formula>G1057 = "Loja"</formula>
    </cfRule>
    <cfRule type="expression" dxfId="2792" priority="4982">
      <formula>G1057 = "Vendido"</formula>
    </cfRule>
    <cfRule type="expression" dxfId="2791" priority="4986">
      <formula>G1057 = "Atacado"</formula>
    </cfRule>
    <cfRule type="expression" dxfId="2790" priority="4990">
      <formula>G1057 = "Pendente"</formula>
    </cfRule>
    <cfRule type="expression" dxfId="2789" priority="4991">
      <formula>G1057 = "Tem que compra"</formula>
    </cfRule>
    <cfRule type="expression" dxfId="2788" priority="4983">
      <formula>G1057 = "Estoque"</formula>
    </cfRule>
    <cfRule type="expression" dxfId="2787" priority="4984">
      <formula>G1057 = "Pendente"</formula>
    </cfRule>
    <cfRule type="expression" dxfId="2786" priority="4992">
      <formula>G1057 = "Atacado"</formula>
    </cfRule>
  </conditionalFormatting>
  <conditionalFormatting sqref="B1059:B1060">
    <cfRule type="expression" dxfId="2785" priority="5354">
      <formula>G1059 = "Vendido"</formula>
    </cfRule>
    <cfRule type="expression" dxfId="2784" priority="5355">
      <formula>G1059 = "Estoque"</formula>
    </cfRule>
    <cfRule type="expression" dxfId="2783" priority="5357">
      <formula>G1059 = "Tem que compra"</formula>
    </cfRule>
    <cfRule type="expression" dxfId="2782" priority="5358">
      <formula>G1059 = "Atacado"</formula>
    </cfRule>
    <cfRule type="expression" dxfId="2781" priority="5356">
      <formula>G1059 = "Pendente"</formula>
    </cfRule>
  </conditionalFormatting>
  <conditionalFormatting sqref="B1059:B1061">
    <cfRule type="expression" dxfId="2780" priority="5475">
      <formula>G1059 = "Loja"</formula>
    </cfRule>
  </conditionalFormatting>
  <conditionalFormatting sqref="B1060">
    <cfRule type="expression" dxfId="2779" priority="5353">
      <formula>G1060 = "Atacado"</formula>
    </cfRule>
    <cfRule type="expression" dxfId="2778" priority="5352">
      <formula>G1060 = "Tem que compra"</formula>
    </cfRule>
    <cfRule type="expression" dxfId="2777" priority="5349">
      <formula>G1060 = "Vendido"</formula>
    </cfRule>
    <cfRule type="expression" dxfId="2776" priority="5351">
      <formula>G1060 = "Pendente"</formula>
    </cfRule>
    <cfRule type="expression" dxfId="2775" priority="5350">
      <formula>G1060 = "Estoque"</formula>
    </cfRule>
  </conditionalFormatting>
  <conditionalFormatting sqref="B1061">
    <cfRule type="expression" dxfId="2774" priority="5514">
      <formula>G1061 = "Tem que compra"</formula>
    </cfRule>
    <cfRule type="expression" dxfId="2773" priority="5515">
      <formula>G1061 = "Atacado"</formula>
    </cfRule>
    <cfRule type="expression" dxfId="2772" priority="5513">
      <formula>G1061 = "Pendente"</formula>
    </cfRule>
    <cfRule type="expression" dxfId="2771" priority="5512">
      <formula>G1061 = "Estoque"</formula>
    </cfRule>
    <cfRule type="expression" dxfId="2770" priority="5511">
      <formula>G1061 = "Vendido"</formula>
    </cfRule>
  </conditionalFormatting>
  <conditionalFormatting sqref="B1062">
    <cfRule type="expression" dxfId="2769" priority="3548">
      <formula>G1062 = "Estoque"</formula>
    </cfRule>
    <cfRule type="expression" dxfId="2768" priority="3533">
      <formula>G1062 = "Vendido"</formula>
    </cfRule>
    <cfRule type="expression" dxfId="2767" priority="3532">
      <formula>G1062 = "Loja"</formula>
    </cfRule>
    <cfRule type="expression" dxfId="2766" priority="3536">
      <formula>G1062 = "Tem que compra"</formula>
    </cfRule>
    <cfRule type="expression" dxfId="2765" priority="3537">
      <formula>G1062 = "Atacado"</formula>
    </cfRule>
    <cfRule type="expression" dxfId="2764" priority="3547">
      <formula>G1062 = "Vendido"</formula>
    </cfRule>
    <cfRule type="expression" dxfId="2763" priority="3535">
      <formula>G1062 = "Pendente"</formula>
    </cfRule>
    <cfRule type="expression" dxfId="2762" priority="3534">
      <formula>G1062 = "Estoque"</formula>
    </cfRule>
    <cfRule type="expression" dxfId="2761" priority="3551">
      <formula>G1062 = "Atacado"</formula>
    </cfRule>
    <cfRule type="expression" dxfId="2760" priority="3550">
      <formula>G1062 = "Tem que compra"</formula>
    </cfRule>
    <cfRule type="expression" dxfId="2759" priority="3549">
      <formula>G1062 = "Pendente"</formula>
    </cfRule>
    <cfRule type="expression" dxfId="2758" priority="3539">
      <formula>G1062 = "Loja"</formula>
    </cfRule>
  </conditionalFormatting>
  <conditionalFormatting sqref="B1062:B1063">
    <cfRule type="expression" dxfId="2757" priority="3552">
      <formula>G1062 = "Loja"</formula>
    </cfRule>
  </conditionalFormatting>
  <conditionalFormatting sqref="B1063">
    <cfRule type="expression" dxfId="2756" priority="3555">
      <formula>G1063 = "Estoque"</formula>
    </cfRule>
    <cfRule type="expression" dxfId="2755" priority="3560">
      <formula>G1063 = "Loja"</formula>
    </cfRule>
    <cfRule type="expression" dxfId="2754" priority="3558">
      <formula>G1063 = "Atacado"</formula>
    </cfRule>
    <cfRule type="expression" dxfId="2753" priority="3557">
      <formula>G1063 = "Tem que compra"</formula>
    </cfRule>
    <cfRule type="expression" dxfId="2752" priority="3556">
      <formula>G1063 = "Pendente"</formula>
    </cfRule>
    <cfRule type="expression" dxfId="2751" priority="3569">
      <formula>G1063 = "Estoque"</formula>
    </cfRule>
    <cfRule type="expression" dxfId="2750" priority="3572">
      <formula>G1063 = "Atacado"</formula>
    </cfRule>
    <cfRule type="expression" dxfId="2749" priority="3571">
      <formula>G1063 = "Tem que compra"</formula>
    </cfRule>
    <cfRule type="expression" dxfId="2748" priority="3570">
      <formula>G1063 = "Pendente"</formula>
    </cfRule>
    <cfRule type="expression" dxfId="2747" priority="3554">
      <formula>G1063 = "Vendido"</formula>
    </cfRule>
    <cfRule type="expression" dxfId="2746" priority="3568">
      <formula>G1063 = "Vendido"</formula>
    </cfRule>
  </conditionalFormatting>
  <conditionalFormatting sqref="B1063:B1066">
    <cfRule type="expression" dxfId="2745" priority="3573">
      <formula>G1063 = "Loja"</formula>
    </cfRule>
  </conditionalFormatting>
  <conditionalFormatting sqref="B1064:B1065">
    <cfRule type="expression" dxfId="2744" priority="5520">
      <formula>G1064 = "Atacado"</formula>
    </cfRule>
    <cfRule type="expression" dxfId="2743" priority="5519">
      <formula>G1064 = "Tem que compra"</formula>
    </cfRule>
    <cfRule type="expression" dxfId="2742" priority="5518">
      <formula>G1064 = "Pendente"</formula>
    </cfRule>
  </conditionalFormatting>
  <conditionalFormatting sqref="B1064:B1066">
    <cfRule type="expression" dxfId="2741" priority="5465">
      <formula>G1064 = "Vendido"</formula>
    </cfRule>
    <cfRule type="expression" dxfId="2740" priority="5466">
      <formula>G1064 = "Estoque"</formula>
    </cfRule>
  </conditionalFormatting>
  <conditionalFormatting sqref="B1066">
    <cfRule type="expression" dxfId="2739" priority="5468">
      <formula>G1066 = "Tem que compra"</formula>
    </cfRule>
    <cfRule type="expression" dxfId="2738" priority="5469">
      <formula>G1066 = "Atacado"</formula>
    </cfRule>
    <cfRule type="expression" dxfId="2737" priority="5467">
      <formula>G1066 = "Pendente"</formula>
    </cfRule>
  </conditionalFormatting>
  <conditionalFormatting sqref="B1073">
    <cfRule type="expression" dxfId="2736" priority="5500">
      <formula>G1073 = "Atacado"</formula>
    </cfRule>
    <cfRule type="expression" dxfId="2735" priority="5498">
      <formula>G1073 = "Pendente"</formula>
    </cfRule>
    <cfRule type="expression" dxfId="2734" priority="5499">
      <formula>G1073 = "Tem que compra"</formula>
    </cfRule>
  </conditionalFormatting>
  <conditionalFormatting sqref="B1073:B1074">
    <cfRule type="expression" dxfId="2733" priority="5344">
      <formula>G1073 = "Estoque"</formula>
    </cfRule>
    <cfRule type="expression" dxfId="2732" priority="5343">
      <formula>G1073 = "Vendido"</formula>
    </cfRule>
  </conditionalFormatting>
  <conditionalFormatting sqref="B1074">
    <cfRule type="expression" dxfId="2731" priority="5340">
      <formula>G1074 = "Pendente"</formula>
    </cfRule>
    <cfRule type="expression" dxfId="2730" priority="5339">
      <formula>G1074 = "Estoque"</formula>
    </cfRule>
    <cfRule type="expression" dxfId="2729" priority="5338">
      <formula>G1074 = "Vendido"</formula>
    </cfRule>
    <cfRule type="expression" dxfId="2728" priority="5337">
      <formula>G1074 = "Loja"</formula>
    </cfRule>
    <cfRule type="expression" dxfId="2727" priority="5347">
      <formula>G1074 = "Atacado"</formula>
    </cfRule>
    <cfRule type="expression" dxfId="2726" priority="5348">
      <formula>G1074 = "Loja"</formula>
    </cfRule>
    <cfRule type="expression" dxfId="2725" priority="5346">
      <formula>G1074 = "Tem que compra"</formula>
    </cfRule>
    <cfRule type="expression" dxfId="2724" priority="5345">
      <formula>G1074 = "Pendente"</formula>
    </cfRule>
    <cfRule type="expression" dxfId="2723" priority="5342">
      <formula>G1074 = "Atacado"</formula>
    </cfRule>
    <cfRule type="expression" dxfId="2722" priority="5341">
      <formula>G1074 = "Tem que compra"</formula>
    </cfRule>
  </conditionalFormatting>
  <conditionalFormatting sqref="B1077">
    <cfRule type="expression" dxfId="2721" priority="5507">
      <formula>G1077 = "Estoque"</formula>
    </cfRule>
    <cfRule type="expression" dxfId="2720" priority="5506">
      <formula>G1077 = "Vendido"</formula>
    </cfRule>
    <cfRule type="expression" dxfId="2719" priority="5510">
      <formula>G1077 = "Atacado"</formula>
    </cfRule>
    <cfRule type="expression" dxfId="2718" priority="5509">
      <formula>G1077 = "Tem que compra"</formula>
    </cfRule>
    <cfRule type="expression" dxfId="2717" priority="5508">
      <formula>G1077 = "Pendente"</formula>
    </cfRule>
  </conditionalFormatting>
  <conditionalFormatting sqref="B1085">
    <cfRule type="expression" dxfId="2716" priority="5456">
      <formula>G1085 = "Tem que compra"</formula>
    </cfRule>
    <cfRule type="expression" dxfId="2715" priority="5457">
      <formula>G1085 = "Atacado"</formula>
    </cfRule>
    <cfRule type="expression" dxfId="2714" priority="5455">
      <formula>G1085 = "Pendente"</formula>
    </cfRule>
  </conditionalFormatting>
  <conditionalFormatting sqref="B1085:B1087">
    <cfRule type="expression" dxfId="2713" priority="5453">
      <formula>G1085 = "Vendido"</formula>
    </cfRule>
    <cfRule type="expression" dxfId="2712" priority="5454">
      <formula>G1085 = "Estoque"</formula>
    </cfRule>
  </conditionalFormatting>
  <conditionalFormatting sqref="B1086:B1087">
    <cfRule type="expression" dxfId="2711" priority="5478">
      <formula>G1086 = "Pendente"</formula>
    </cfRule>
    <cfRule type="expression" dxfId="2710" priority="5479">
      <formula>G1086 = "Tem que compra"</formula>
    </cfRule>
    <cfRule type="expression" dxfId="2709" priority="5480">
      <formula>G1086 = "Atacado"</formula>
    </cfRule>
  </conditionalFormatting>
  <conditionalFormatting sqref="B1089">
    <cfRule type="expression" dxfId="2708" priority="5458">
      <formula>G1089 = "Loja"</formula>
    </cfRule>
    <cfRule type="expression" dxfId="2707" priority="5459">
      <formula>G1089 = "Vendido"</formula>
    </cfRule>
    <cfRule type="expression" dxfId="2706" priority="5460">
      <formula>G1089 = "Estoque"</formula>
    </cfRule>
    <cfRule type="expression" dxfId="2705" priority="5462">
      <formula>G1089 = "Tem que compra"</formula>
    </cfRule>
    <cfRule type="expression" dxfId="2704" priority="5463">
      <formula>G1089 = "Atacado"</formula>
    </cfRule>
    <cfRule type="expression" dxfId="2703" priority="5461">
      <formula>G1089 = "Pendente"</formula>
    </cfRule>
  </conditionalFormatting>
  <conditionalFormatting sqref="B1101">
    <cfRule type="expression" dxfId="2702" priority="5501">
      <formula>G1101 = "Vendido"</formula>
    </cfRule>
    <cfRule type="expression" dxfId="2701" priority="5503">
      <formula>G1101 = "Pendente"</formula>
    </cfRule>
    <cfRule type="expression" dxfId="2700" priority="5502">
      <formula>G1101 = "Estoque"</formula>
    </cfRule>
    <cfRule type="expression" dxfId="2699" priority="5505">
      <formula>G1101 = "Atacado"</formula>
    </cfRule>
    <cfRule type="expression" dxfId="2698" priority="5504">
      <formula>G1101 = "Tem que compra"</formula>
    </cfRule>
  </conditionalFormatting>
  <conditionalFormatting sqref="B1103">
    <cfRule type="expression" dxfId="2697" priority="4416">
      <formula>G1103 = "Pendente"</formula>
    </cfRule>
    <cfRule type="expression" dxfId="2696" priority="4415">
      <formula>G1103 = "Estoque"</formula>
    </cfRule>
    <cfRule type="expression" dxfId="2695" priority="4421">
      <formula>G1103 = "Estoque"</formula>
    </cfRule>
    <cfRule type="expression" dxfId="2694" priority="4414">
      <formula>G1103 = "Vendido"</formula>
    </cfRule>
    <cfRule type="expression" dxfId="2693" priority="4422">
      <formula>G1103 = "Pendente"</formula>
    </cfRule>
    <cfRule type="expression" dxfId="2692" priority="4406">
      <formula>G1103 = "Loja"</formula>
    </cfRule>
    <cfRule type="expression" dxfId="2691" priority="4417">
      <formula>G1103 = "Tem que compra"</formula>
    </cfRule>
    <cfRule type="expression" dxfId="2690" priority="4424">
      <formula>G1103 = "Atacado"</formula>
    </cfRule>
    <cfRule type="expression" dxfId="2689" priority="4418">
      <formula>G1103 = "Atacado"</formula>
    </cfRule>
    <cfRule type="expression" dxfId="2688" priority="4419">
      <formula>G1103 = "Loja"</formula>
    </cfRule>
    <cfRule type="expression" dxfId="2687" priority="4420">
      <formula>G1103 = "Vendido"</formula>
    </cfRule>
    <cfRule type="expression" dxfId="2686" priority="4423">
      <formula>G1103 = "Tem que compra"</formula>
    </cfRule>
  </conditionalFormatting>
  <conditionalFormatting sqref="B1104:B1108">
    <cfRule type="expression" dxfId="2685" priority="4927">
      <formula>G1104 = "Loja"</formula>
    </cfRule>
    <cfRule type="expression" dxfId="2684" priority="4928">
      <formula>G1104 = "Vendido"</formula>
    </cfRule>
    <cfRule type="expression" dxfId="2683" priority="4929">
      <formula>G1104 = "Estoque"</formula>
    </cfRule>
  </conditionalFormatting>
  <conditionalFormatting sqref="B1108">
    <cfRule type="expression" dxfId="2682" priority="4926">
      <formula>G1108 = "Atacado"</formula>
    </cfRule>
    <cfRule type="expression" dxfId="2681" priority="4932">
      <formula>G1108 = "Atacado"</formula>
    </cfRule>
    <cfRule type="expression" dxfId="2680" priority="4931">
      <formula>G1108 = "Tem que compra"</formula>
    </cfRule>
    <cfRule type="expression" dxfId="2679" priority="4930">
      <formula>G1108 = "Pendente"</formula>
    </cfRule>
    <cfRule type="expression" dxfId="2678" priority="4925">
      <formula>G1108 = "Tem que compra"</formula>
    </cfRule>
    <cfRule type="expression" dxfId="2677" priority="4924">
      <formula>G1108 = "Pendente"</formula>
    </cfRule>
  </conditionalFormatting>
  <conditionalFormatting sqref="B1108:B1110">
    <cfRule type="expression" dxfId="2676" priority="4889">
      <formula>G1108 = "Estoque"</formula>
    </cfRule>
    <cfRule type="expression" dxfId="2675" priority="4887">
      <formula>G1108 = "Loja"</formula>
    </cfRule>
    <cfRule type="expression" dxfId="2674" priority="4888">
      <formula>G1108 = "Vendido"</formula>
    </cfRule>
  </conditionalFormatting>
  <conditionalFormatting sqref="B1109">
    <cfRule type="expression" dxfId="2673" priority="4884">
      <formula>G1109 = "Pendente"</formula>
    </cfRule>
    <cfRule type="expression" dxfId="2672" priority="4885">
      <formula>G1109 = "Tem que compra"</formula>
    </cfRule>
    <cfRule type="expression" dxfId="2671" priority="4881">
      <formula>G1109 = "Loja"</formula>
    </cfRule>
    <cfRule type="expression" dxfId="2670" priority="4891">
      <formula>G1109 = "Tem que compra"</formula>
    </cfRule>
    <cfRule type="expression" dxfId="2669" priority="4892">
      <formula>G1109 = "Atacado"</formula>
    </cfRule>
    <cfRule type="expression" dxfId="2668" priority="4886">
      <formula>G1109 = "Atacado"</formula>
    </cfRule>
    <cfRule type="expression" dxfId="2667" priority="4883">
      <formula>G1109 = "Estoque"</formula>
    </cfRule>
    <cfRule type="expression" dxfId="2666" priority="4890">
      <formula>G1109 = "Pendente"</formula>
    </cfRule>
    <cfRule type="expression" dxfId="2665" priority="4882">
      <formula>G1109 = "Vendido"</formula>
    </cfRule>
  </conditionalFormatting>
  <conditionalFormatting sqref="B1110">
    <cfRule type="expression" dxfId="2664" priority="4910">
      <formula>G1110 = "Pendente"</formula>
    </cfRule>
    <cfRule type="expression" dxfId="2663" priority="4911">
      <formula>G1110 = "Tem que compra"</formula>
    </cfRule>
    <cfRule type="expression" dxfId="2662" priority="4904">
      <formula>G1110 = "Pendente"</formula>
    </cfRule>
    <cfRule type="expression" dxfId="2661" priority="4906">
      <formula>G1110 = "Atacado"</formula>
    </cfRule>
    <cfRule type="expression" dxfId="2660" priority="4912">
      <formula>G1110 = "Atacado"</formula>
    </cfRule>
    <cfRule type="expression" dxfId="2659" priority="4905">
      <formula>G1110 = "Tem que compra"</formula>
    </cfRule>
  </conditionalFormatting>
  <conditionalFormatting sqref="B1110:B1111">
    <cfRule type="expression" dxfId="2658" priority="4909">
      <formula>G1110 = "Estoque"</formula>
    </cfRule>
    <cfRule type="expression" dxfId="2657" priority="4907">
      <formula>G1110 = "Loja"</formula>
    </cfRule>
    <cfRule type="expression" dxfId="2656" priority="4908">
      <formula>G1110 = "Vendido"</formula>
    </cfRule>
  </conditionalFormatting>
  <conditionalFormatting sqref="B1112">
    <cfRule type="expression" dxfId="2655" priority="3577">
      <formula>G1112 = "Pendente"</formula>
    </cfRule>
    <cfRule type="expression" dxfId="2654" priority="3574">
      <formula>G1112 = "Loja"</formula>
    </cfRule>
    <cfRule type="expression" dxfId="2653" priority="3575">
      <formula>G1112 = "Vendido"</formula>
    </cfRule>
    <cfRule type="expression" dxfId="2652" priority="3576">
      <formula>G1112 = "Estoque"</formula>
    </cfRule>
    <cfRule type="expression" dxfId="2651" priority="3585">
      <formula>G1112 = "Atacado"</formula>
    </cfRule>
    <cfRule type="expression" dxfId="2650" priority="3584">
      <formula>G1112 = "Tem que compra"</formula>
    </cfRule>
    <cfRule type="expression" dxfId="2649" priority="3583">
      <formula>G1112 = "Pendente"</formula>
    </cfRule>
    <cfRule type="expression" dxfId="2648" priority="3582">
      <formula>G1112 = "Estoque"</formula>
    </cfRule>
    <cfRule type="expression" dxfId="2647" priority="3581">
      <formula>G1112 = "Vendido"</formula>
    </cfRule>
    <cfRule type="expression" dxfId="2646" priority="3578">
      <formula>G1112 = "Tem que compra"</formula>
    </cfRule>
    <cfRule type="expression" dxfId="2645" priority="3580">
      <formula>G1112 = "Loja"</formula>
    </cfRule>
    <cfRule type="expression" dxfId="2644" priority="3579">
      <formula>G1112 = "Atacado"</formula>
    </cfRule>
  </conditionalFormatting>
  <conditionalFormatting sqref="B1113:B1122">
    <cfRule type="expression" dxfId="2643" priority="4179">
      <formula>G1113 = "Loja"</formula>
    </cfRule>
    <cfRule type="expression" dxfId="2642" priority="4180">
      <formula>G1113 = "Vendido"</formula>
    </cfRule>
    <cfRule type="expression" dxfId="2641" priority="4181">
      <formula>G1113 = "Estoque"</formula>
    </cfRule>
  </conditionalFormatting>
  <conditionalFormatting sqref="B1121:B1122">
    <cfRule type="expression" dxfId="2640" priority="4174">
      <formula>G1121 = "Vendido"</formula>
    </cfRule>
    <cfRule type="expression" dxfId="2639" priority="4175">
      <formula>G1121 = "Estoque"</formula>
    </cfRule>
    <cfRule type="expression" dxfId="2638" priority="4177">
      <formula>G1121 = "Tem que compra"</formula>
    </cfRule>
    <cfRule type="expression" dxfId="2637" priority="4178">
      <formula>G1121 = "Atacado"</formula>
    </cfRule>
    <cfRule type="expression" dxfId="2636" priority="4166">
      <formula>G1121 = "Loja"</formula>
    </cfRule>
    <cfRule type="expression" dxfId="2635" priority="4184">
      <formula>G1121 = "Atacado"</formula>
    </cfRule>
    <cfRule type="expression" dxfId="2634" priority="4176">
      <formula>G1121 = "Pendente"</formula>
    </cfRule>
    <cfRule type="expression" dxfId="2633" priority="4182">
      <formula>G1121 = "Pendente"</formula>
    </cfRule>
    <cfRule type="expression" dxfId="2632" priority="4183">
      <formula>G1121 = "Tem que compra"</formula>
    </cfRule>
  </conditionalFormatting>
  <conditionalFormatting sqref="B1123:B1130">
    <cfRule type="expression" dxfId="2631" priority="4727">
      <formula>G1123 = "Loja"</formula>
    </cfRule>
    <cfRule type="expression" dxfId="2630" priority="4728">
      <formula>G1123 = "Vendido"</formula>
    </cfRule>
    <cfRule type="expression" dxfId="2629" priority="4729">
      <formula>G1123 = "Estoque"</formula>
    </cfRule>
  </conditionalFormatting>
  <conditionalFormatting sqref="B1130">
    <cfRule type="expression" dxfId="2628" priority="4725">
      <formula>G1130 = "Tem que compra"</formula>
    </cfRule>
    <cfRule type="expression" dxfId="2627" priority="4724">
      <formula>G1130 = "Pendente"</formula>
    </cfRule>
    <cfRule type="expression" dxfId="2626" priority="4726">
      <formula>G1130 = "Atacado"</formula>
    </cfRule>
    <cfRule type="expression" dxfId="2625" priority="4731">
      <formula>G1130 = "Tem que compra"</formula>
    </cfRule>
    <cfRule type="expression" dxfId="2624" priority="4732">
      <formula>G1130 = "Atacado"</formula>
    </cfRule>
    <cfRule type="expression" dxfId="2623" priority="4730">
      <formula>G1130 = "Pendente"</formula>
    </cfRule>
  </conditionalFormatting>
  <conditionalFormatting sqref="B1130:B1132">
    <cfRule type="expression" dxfId="2622" priority="3951">
      <formula>G1130 = "Loja"</formula>
    </cfRule>
    <cfRule type="expression" dxfId="2621" priority="3952">
      <formula>G1130 = "Vendido"</formula>
    </cfRule>
    <cfRule type="expression" dxfId="2620" priority="3953">
      <formula>G1130 = "Estoque"</formula>
    </cfRule>
  </conditionalFormatting>
  <conditionalFormatting sqref="B1131">
    <cfRule type="expression" dxfId="2619" priority="3949">
      <formula>G1131 = "Tem que compra"</formula>
    </cfRule>
    <cfRule type="expression" dxfId="2618" priority="3950">
      <formula>G1131 = "Atacado"</formula>
    </cfRule>
    <cfRule type="expression" dxfId="2617" priority="3955">
      <formula>G1131 = "Tem que compra"</formula>
    </cfRule>
    <cfRule type="expression" dxfId="2616" priority="3956">
      <formula>G1131 = "Atacado"</formula>
    </cfRule>
    <cfRule type="expression" dxfId="2615" priority="3954">
      <formula>G1131 = "Pendente"</formula>
    </cfRule>
    <cfRule type="expression" dxfId="2614" priority="3945">
      <formula>G1131 = "Loja"</formula>
    </cfRule>
    <cfRule type="expression" dxfId="2613" priority="3946">
      <formula>G1131 = "Vendido"</formula>
    </cfRule>
    <cfRule type="expression" dxfId="2612" priority="3947">
      <formula>G1131 = "Estoque"</formula>
    </cfRule>
    <cfRule type="expression" dxfId="2611" priority="3948">
      <formula>G1131 = "Pendente"</formula>
    </cfRule>
  </conditionalFormatting>
  <conditionalFormatting sqref="B1132">
    <cfRule type="expression" dxfId="2610" priority="3960">
      <formula>G1132 = "Pendente"</formula>
    </cfRule>
    <cfRule type="expression" dxfId="2609" priority="3961">
      <formula>G1132 = "Tem que compra"</formula>
    </cfRule>
    <cfRule type="expression" dxfId="2608" priority="3962">
      <formula>G1132 = "Atacado"</formula>
    </cfRule>
    <cfRule type="expression" dxfId="2607" priority="3963">
      <formula>G1132 = "Loja"</formula>
    </cfRule>
    <cfRule type="expression" dxfId="2606" priority="3966">
      <formula>G1132 = "Pendente"</formula>
    </cfRule>
    <cfRule type="expression" dxfId="2605" priority="3965">
      <formula>G1132 = "Estoque"</formula>
    </cfRule>
    <cfRule type="expression" dxfId="2604" priority="3964">
      <formula>G1132 = "Vendido"</formula>
    </cfRule>
    <cfRule type="expression" dxfId="2603" priority="3968">
      <formula>G1132 = "Atacado"</formula>
    </cfRule>
    <cfRule type="expression" dxfId="2602" priority="3967">
      <formula>G1132 = "Tem que compra"</formula>
    </cfRule>
  </conditionalFormatting>
  <conditionalFormatting sqref="B1133:B1134">
    <cfRule type="expression" dxfId="2601" priority="4478">
      <formula>G1133 = "Loja"</formula>
    </cfRule>
  </conditionalFormatting>
  <conditionalFormatting sqref="B1133:B1135">
    <cfRule type="expression" dxfId="2600" priority="4480">
      <formula>G1133 = "Estoque"</formula>
    </cfRule>
    <cfRule type="expression" dxfId="2599" priority="4479">
      <formula>G1133 = "Vendido"</formula>
    </cfRule>
  </conditionalFormatting>
  <conditionalFormatting sqref="B1134">
    <cfRule type="expression" dxfId="2598" priority="4476">
      <formula>G1134 = "Tem que compra"</formula>
    </cfRule>
    <cfRule type="expression" dxfId="2597" priority="4477">
      <formula>G1134 = "Atacado"</formula>
    </cfRule>
    <cfRule type="expression" dxfId="2596" priority="4472">
      <formula>G1134 = "Loja"</formula>
    </cfRule>
    <cfRule type="expression" dxfId="2595" priority="4473">
      <formula>G1134 = "Vendido"</formula>
    </cfRule>
    <cfRule type="expression" dxfId="2594" priority="4475">
      <formula>G1134 = "Pendente"</formula>
    </cfRule>
    <cfRule type="expression" dxfId="2593" priority="4474">
      <formula>G1134 = "Estoque"</formula>
    </cfRule>
    <cfRule type="expression" dxfId="2592" priority="4483">
      <formula>G1134 = "Atacado"</formula>
    </cfRule>
    <cfRule type="expression" dxfId="2591" priority="4482">
      <formula>G1134 = "Tem que compra"</formula>
    </cfRule>
    <cfRule type="expression" dxfId="2590" priority="4481">
      <formula>G1134 = "Pendente"</formula>
    </cfRule>
  </conditionalFormatting>
  <conditionalFormatting sqref="B1135">
    <cfRule type="expression" dxfId="2589" priority="5474">
      <formula>G1135 = "Atacado"</formula>
    </cfRule>
    <cfRule type="expression" dxfId="2588" priority="5473">
      <formula>G1135 = "Tem que compra"</formula>
    </cfRule>
    <cfRule type="expression" dxfId="2587" priority="5472">
      <formula>G1135 = "Pendente"</formula>
    </cfRule>
    <cfRule type="expression" dxfId="2586" priority="5490">
      <formula>G1135 = "Atacado"</formula>
    </cfRule>
    <cfRule type="expression" dxfId="2585" priority="5486">
      <formula>G1135 = "Vendido"</formula>
    </cfRule>
    <cfRule type="expression" dxfId="2584" priority="5489">
      <formula>G1135 = "Tem que compra"</formula>
    </cfRule>
    <cfRule type="expression" dxfId="2583" priority="5488">
      <formula>G1135 = "Pendente"</formula>
    </cfRule>
    <cfRule type="expression" dxfId="2582" priority="5487">
      <formula>G1135 = "Estoque"</formula>
    </cfRule>
  </conditionalFormatting>
  <conditionalFormatting sqref="B1138">
    <cfRule type="expression" dxfId="2581" priority="3719">
      <formula>G1138 = "Loja"</formula>
    </cfRule>
    <cfRule type="expression" dxfId="2580" priority="3718">
      <formula>G1138 = "Atacado"</formula>
    </cfRule>
    <cfRule type="expression" dxfId="2579" priority="3717">
      <formula>G1138 = "Tem que compra"</formula>
    </cfRule>
    <cfRule type="expression" dxfId="2578" priority="3716">
      <formula>G1138 = "Pendente"</formula>
    </cfRule>
    <cfRule type="expression" dxfId="2577" priority="3720">
      <formula>G1138 = "Vendido"</formula>
    </cfRule>
    <cfRule type="expression" dxfId="2576" priority="3715">
      <formula>G1138 = "Estoque"</formula>
    </cfRule>
    <cfRule type="expression" dxfId="2575" priority="3724">
      <formula>G1138 = "Atacado"</formula>
    </cfRule>
    <cfRule type="expression" dxfId="2574" priority="3723">
      <formula>G1138 = "Tem que compra"</formula>
    </cfRule>
    <cfRule type="expression" dxfId="2573" priority="3721">
      <formula>G1138 = "Estoque"</formula>
    </cfRule>
    <cfRule type="expression" dxfId="2572" priority="3722">
      <formula>G1138 = "Pendente"</formula>
    </cfRule>
    <cfRule type="expression" dxfId="2571" priority="3714">
      <formula>G1138 = "Vendido"</formula>
    </cfRule>
  </conditionalFormatting>
  <conditionalFormatting sqref="B1138:B1139">
    <cfRule type="expression" dxfId="2570" priority="3704">
      <formula>G1138 = "Loja"</formula>
    </cfRule>
  </conditionalFormatting>
  <conditionalFormatting sqref="B1139">
    <cfRule type="expression" dxfId="2569" priority="3703">
      <formula>G1139 = "Atacado"</formula>
    </cfRule>
    <cfRule type="expression" dxfId="2568" priority="3702">
      <formula>G1139 = "Tem que compra"</formula>
    </cfRule>
    <cfRule type="expression" dxfId="2567" priority="3701">
      <formula>G1139 = "Pendente"</formula>
    </cfRule>
  </conditionalFormatting>
  <conditionalFormatting sqref="B1139:B1141">
    <cfRule type="expression" dxfId="2566" priority="3694">
      <formula>G1139 = "Estoque"</formula>
    </cfRule>
    <cfRule type="expression" dxfId="2565" priority="3693">
      <formula>G1139 = "Vendido"</formula>
    </cfRule>
    <cfRule type="expression" dxfId="2564" priority="3692">
      <formula>G1139 = "Loja"</formula>
    </cfRule>
  </conditionalFormatting>
  <conditionalFormatting sqref="B1140:B1141">
    <cfRule type="expression" dxfId="2563" priority="3695">
      <formula>G1140 = "Pendente"</formula>
    </cfRule>
    <cfRule type="expression" dxfId="2562" priority="3697">
      <formula>G1140 = "Atacado"</formula>
    </cfRule>
    <cfRule type="expression" dxfId="2561" priority="3691">
      <formula>G1140 = "Atacado"</formula>
    </cfRule>
    <cfRule type="expression" dxfId="2560" priority="3690">
      <formula>G1140 = "Tem que compra"</formula>
    </cfRule>
    <cfRule type="expression" dxfId="2559" priority="3696">
      <formula>G1140 = "Tem que compra"</formula>
    </cfRule>
    <cfRule type="expression" dxfId="2558" priority="3689">
      <formula>G1140 = "Pendente"</formula>
    </cfRule>
  </conditionalFormatting>
  <conditionalFormatting sqref="B1140:B1143">
    <cfRule type="expression" dxfId="2557" priority="3640">
      <formula>G1140 = "Loja"</formula>
    </cfRule>
    <cfRule type="expression" dxfId="2556" priority="3641">
      <formula>G1140 = "Vendido"</formula>
    </cfRule>
    <cfRule type="expression" dxfId="2555" priority="3642">
      <formula>G1140 = "Estoque"</formula>
    </cfRule>
  </conditionalFormatting>
  <conditionalFormatting sqref="B1142">
    <cfRule type="expression" dxfId="2554" priority="3636">
      <formula>G1142 = "Estoque"</formula>
    </cfRule>
    <cfRule type="expression" dxfId="2553" priority="3635">
      <formula>G1142 = "Vendido"</formula>
    </cfRule>
    <cfRule type="expression" dxfId="2552" priority="3643">
      <formula>G1142 = "Pendente"</formula>
    </cfRule>
    <cfRule type="expression" dxfId="2551" priority="3644">
      <formula>G1142 = "Tem que compra"</formula>
    </cfRule>
    <cfRule type="expression" dxfId="2550" priority="3645">
      <formula>G1142 = "Atacado"</formula>
    </cfRule>
    <cfRule type="expression" dxfId="2549" priority="3639">
      <formula>G1142 = "Atacado"</formula>
    </cfRule>
    <cfRule type="expression" dxfId="2548" priority="3638">
      <formula>G1142 = "Tem que compra"</formula>
    </cfRule>
    <cfRule type="expression" dxfId="2547" priority="3637">
      <formula>G1142 = "Pendente"</formula>
    </cfRule>
    <cfRule type="expression" dxfId="2546" priority="3634">
      <formula>G1142 = "Loja"</formula>
    </cfRule>
  </conditionalFormatting>
  <conditionalFormatting sqref="B1143">
    <cfRule type="expression" dxfId="2545" priority="3657">
      <formula>G1143 = "Pendente"</formula>
    </cfRule>
    <cfRule type="expression" dxfId="2544" priority="3658">
      <formula>G1143 = "Tem que compra"</formula>
    </cfRule>
    <cfRule type="expression" dxfId="2543" priority="3659">
      <formula>G1143 = "Atacado"</formula>
    </cfRule>
    <cfRule type="expression" dxfId="2542" priority="3665">
      <formula>G1143 = "Atacado"</formula>
    </cfRule>
    <cfRule type="expression" dxfId="2541" priority="3664">
      <formula>G1143 = "Tem que compra"</formula>
    </cfRule>
    <cfRule type="expression" dxfId="2540" priority="3663">
      <formula>G1143 = "Pendente"</formula>
    </cfRule>
  </conditionalFormatting>
  <conditionalFormatting sqref="B1143:B1144">
    <cfRule type="expression" dxfId="2539" priority="3660">
      <formula>G1143 = "Loja"</formula>
    </cfRule>
    <cfRule type="expression" dxfId="2538" priority="3661">
      <formula>G1143 = "Vendido"</formula>
    </cfRule>
    <cfRule type="expression" dxfId="2537" priority="3662">
      <formula>G1143 = "Estoque"</formula>
    </cfRule>
  </conditionalFormatting>
  <conditionalFormatting sqref="B1144">
    <cfRule type="expression" dxfId="2536" priority="3676">
      <formula>G1144 = "Tem que compra"</formula>
    </cfRule>
    <cfRule type="expression" dxfId="2535" priority="3675">
      <formula>G1144 = "Pendente"</formula>
    </cfRule>
    <cfRule type="expression" dxfId="2534" priority="3671">
      <formula>G1144 = "Atacado"</formula>
    </cfRule>
    <cfRule type="expression" dxfId="2533" priority="3670">
      <formula>G1144 = "Tem que compra"</formula>
    </cfRule>
    <cfRule type="expression" dxfId="2532" priority="3669">
      <formula>G1144 = "Pendente"</formula>
    </cfRule>
    <cfRule type="expression" dxfId="2531" priority="3677">
      <formula>G1144 = "Atacado"</formula>
    </cfRule>
  </conditionalFormatting>
  <conditionalFormatting sqref="B1144:B1145">
    <cfRule type="expression" dxfId="2530" priority="3672">
      <formula>G1144 = "Loja"</formula>
    </cfRule>
    <cfRule type="expression" dxfId="2529" priority="3673">
      <formula>G1144 = "Vendido"</formula>
    </cfRule>
    <cfRule type="expression" dxfId="2528" priority="3674">
      <formula>G1144 = "Estoque"</formula>
    </cfRule>
  </conditionalFormatting>
  <conditionalFormatting sqref="B1146:B1147">
    <cfRule type="expression" dxfId="2527" priority="4463">
      <formula>G1146 = "Loja"</formula>
    </cfRule>
  </conditionalFormatting>
  <conditionalFormatting sqref="B1147">
    <cfRule type="expression" dxfId="2526" priority="4460">
      <formula>G1147 = "Pendente"</formula>
    </cfRule>
    <cfRule type="expression" dxfId="2525" priority="4462">
      <formula>G1147 = "Atacado"</formula>
    </cfRule>
    <cfRule type="expression" dxfId="2524" priority="4461">
      <formula>G1147 = "Tem que compra"</formula>
    </cfRule>
  </conditionalFormatting>
  <conditionalFormatting sqref="B1147:B1149">
    <cfRule type="expression" dxfId="2523" priority="4453">
      <formula>G1147 = "Estoque"</formula>
    </cfRule>
    <cfRule type="expression" dxfId="2522" priority="4452">
      <formula>G1147 = "Vendido"</formula>
    </cfRule>
    <cfRule type="expression" dxfId="2521" priority="4451">
      <formula>G1147 = "Loja"</formula>
    </cfRule>
  </conditionalFormatting>
  <conditionalFormatting sqref="B1148:B1149">
    <cfRule type="expression" dxfId="2520" priority="4456">
      <formula>G1148 = "Atacado"</formula>
    </cfRule>
    <cfRule type="expression" dxfId="2519" priority="4455">
      <formula>G1148 = "Tem que compra"</formula>
    </cfRule>
    <cfRule type="expression" dxfId="2518" priority="4454">
      <formula>G1148 = "Pendente"</formula>
    </cfRule>
    <cfRule type="expression" dxfId="2517" priority="4450">
      <formula>G1148 = "Atacado"</formula>
    </cfRule>
    <cfRule type="expression" dxfId="2516" priority="4449">
      <formula>G1148 = "Tem que compra"</formula>
    </cfRule>
    <cfRule type="expression" dxfId="2515" priority="4448">
      <formula>G1148 = "Pendente"</formula>
    </cfRule>
  </conditionalFormatting>
  <conditionalFormatting sqref="B1148:B1151">
    <cfRule type="expression" dxfId="2514" priority="4431">
      <formula>G1148 = "Loja"</formula>
    </cfRule>
    <cfRule type="expression" dxfId="2513" priority="4432">
      <formula>G1148 = "Vendido"</formula>
    </cfRule>
    <cfRule type="expression" dxfId="2512" priority="4433">
      <formula>G1148 = "Estoque"</formula>
    </cfRule>
  </conditionalFormatting>
  <conditionalFormatting sqref="B1150">
    <cfRule type="expression" dxfId="2511" priority="4434">
      <formula>G1150 = "Pendente"</formula>
    </cfRule>
    <cfRule type="expression" dxfId="2510" priority="4435">
      <formula>G1150 = "Tem que compra"</formula>
    </cfRule>
    <cfRule type="expression" dxfId="2509" priority="4436">
      <formula>G1150 = "Atacado"</formula>
    </cfRule>
    <cfRule type="expression" dxfId="2508" priority="4426">
      <formula>G1150 = "Vendido"</formula>
    </cfRule>
    <cfRule type="expression" dxfId="2507" priority="4427">
      <formula>G1150 = "Estoque"</formula>
    </cfRule>
    <cfRule type="expression" dxfId="2506" priority="4425">
      <formula>G1150 = "Loja"</formula>
    </cfRule>
    <cfRule type="expression" dxfId="2505" priority="4428">
      <formula>G1150 = "Pendente"</formula>
    </cfRule>
    <cfRule type="expression" dxfId="2504" priority="4429">
      <formula>G1150 = "Tem que compra"</formula>
    </cfRule>
    <cfRule type="expression" dxfId="2503" priority="4430">
      <formula>G1150 = "Atacado"</formula>
    </cfRule>
  </conditionalFormatting>
  <conditionalFormatting sqref="B1152">
    <cfRule type="expression" dxfId="2502" priority="4403">
      <formula>G1152 = "Tem que compra"</formula>
    </cfRule>
    <cfRule type="expression" dxfId="2501" priority="4386">
      <formula>G1152 = "Loja"</formula>
    </cfRule>
    <cfRule type="expression" dxfId="2500" priority="4402">
      <formula>G1152 = "Pendente"</formula>
    </cfRule>
    <cfRule type="expression" dxfId="2499" priority="4404">
      <formula>G1152 = "Atacado"</formula>
    </cfRule>
    <cfRule type="expression" dxfId="2498" priority="4398">
      <formula>G1152 = "Atacado"</formula>
    </cfRule>
    <cfRule type="expression" dxfId="2497" priority="4397">
      <formula>G1152 = "Tem que compra"</formula>
    </cfRule>
    <cfRule type="expression" dxfId="2496" priority="4396">
      <formula>G1152 = "Pendente"</formula>
    </cfRule>
    <cfRule type="expression" dxfId="2495" priority="4395">
      <formula>G1152 = "Estoque"</formula>
    </cfRule>
    <cfRule type="expression" dxfId="2494" priority="4394">
      <formula>G1152 = "Vendido"</formula>
    </cfRule>
  </conditionalFormatting>
  <conditionalFormatting sqref="B1152:B1153">
    <cfRule type="expression" dxfId="2493" priority="4400">
      <formula>G1152 = "Vendido"</formula>
    </cfRule>
    <cfRule type="expression" dxfId="2492" priority="4401">
      <formula>G1152 = "Estoque"</formula>
    </cfRule>
    <cfRule type="expression" dxfId="2491" priority="4399">
      <formula>G1152 = "Loja"</formula>
    </cfRule>
  </conditionalFormatting>
  <conditionalFormatting sqref="B1154">
    <cfRule type="expression" dxfId="2490" priority="4366">
      <formula>G1154 = "Loja"</formula>
    </cfRule>
    <cfRule type="expression" dxfId="2489" priority="4374">
      <formula>G1154 = "Vendido"</formula>
    </cfRule>
    <cfRule type="expression" dxfId="2488" priority="4375">
      <formula>G1154 = "Estoque"</formula>
    </cfRule>
    <cfRule type="expression" dxfId="2487" priority="4376">
      <formula>G1154 = "Pendente"</formula>
    </cfRule>
    <cfRule type="expression" dxfId="2486" priority="4377">
      <formula>G1154 = "Tem que compra"</formula>
    </cfRule>
    <cfRule type="expression" dxfId="2485" priority="4378">
      <formula>G1154 = "Atacado"</formula>
    </cfRule>
    <cfRule type="expression" dxfId="2484" priority="4380">
      <formula>G1154 = "Vendido"</formula>
    </cfRule>
    <cfRule type="expression" dxfId="2483" priority="4381">
      <formula>G1154 = "Estoque"</formula>
    </cfRule>
    <cfRule type="expression" dxfId="2482" priority="4382">
      <formula>G1154 = "Pendente"</formula>
    </cfRule>
    <cfRule type="expression" dxfId="2481" priority="4383">
      <formula>G1154 = "Tem que compra"</formula>
    </cfRule>
    <cfRule type="expression" dxfId="2480" priority="4384">
      <formula>G1154 = "Atacado"</formula>
    </cfRule>
  </conditionalFormatting>
  <conditionalFormatting sqref="B1154:B1155">
    <cfRule type="expression" dxfId="2479" priority="4379">
      <formula>G1154 = "Loja"</formula>
    </cfRule>
  </conditionalFormatting>
  <conditionalFormatting sqref="B1156">
    <cfRule type="expression" dxfId="2478" priority="4364">
      <formula>G1156 = "Atacado"</formula>
    </cfRule>
    <cfRule type="expression" dxfId="2477" priority="4362">
      <formula>G1156 = "Pendente"</formula>
    </cfRule>
    <cfRule type="expression" dxfId="2476" priority="4361">
      <formula>G1156 = "Estoque"</formula>
    </cfRule>
    <cfRule type="expression" dxfId="2475" priority="4360">
      <formula>G1156 = "Vendido"</formula>
    </cfRule>
    <cfRule type="expression" dxfId="2474" priority="4359">
      <formula>G1156 = "Loja"</formula>
    </cfRule>
    <cfRule type="expression" dxfId="2473" priority="4358">
      <formula>G1156 = "Atacado"</formula>
    </cfRule>
    <cfRule type="expression" dxfId="2472" priority="4357">
      <formula>G1156 = "Tem que compra"</formula>
    </cfRule>
    <cfRule type="expression" dxfId="2471" priority="4356">
      <formula>G1156 = "Pendente"</formula>
    </cfRule>
    <cfRule type="expression" dxfId="2470" priority="4363">
      <formula>G1156 = "Tem que compra"</formula>
    </cfRule>
  </conditionalFormatting>
  <conditionalFormatting sqref="B1156:B1157">
    <cfRule type="expression" dxfId="2469" priority="4340">
      <formula>G1156 = "Vendido"</formula>
    </cfRule>
    <cfRule type="expression" dxfId="2468" priority="4339">
      <formula>G1156 = "Loja"</formula>
    </cfRule>
    <cfRule type="expression" dxfId="2467" priority="4341">
      <formula>G1156 = "Estoque"</formula>
    </cfRule>
  </conditionalFormatting>
  <conditionalFormatting sqref="B1157">
    <cfRule type="expression" dxfId="2466" priority="4336">
      <formula>G1157 = "Pendente"</formula>
    </cfRule>
    <cfRule type="expression" dxfId="2465" priority="4338">
      <formula>G1157 = "Atacado"</formula>
    </cfRule>
    <cfRule type="expression" dxfId="2464" priority="4337">
      <formula>G1157 = "Tem que compra"</formula>
    </cfRule>
    <cfRule type="expression" dxfId="2463" priority="4344">
      <formula>G1157 = "Atacado"</formula>
    </cfRule>
    <cfRule type="expression" dxfId="2462" priority="4343">
      <formula>G1157 = "Tem que compra"</formula>
    </cfRule>
    <cfRule type="expression" dxfId="2461" priority="4342">
      <formula>G1157 = "Pendente"</formula>
    </cfRule>
  </conditionalFormatting>
  <conditionalFormatting sqref="B1157:B1158">
    <cfRule type="expression" dxfId="2460" priority="4320">
      <formula>G1157 = "Vendido"</formula>
    </cfRule>
    <cfRule type="expression" dxfId="2459" priority="4319">
      <formula>G1157 = "Loja"</formula>
    </cfRule>
    <cfRule type="expression" dxfId="2458" priority="4321">
      <formula>G1157 = "Estoque"</formula>
    </cfRule>
  </conditionalFormatting>
  <conditionalFormatting sqref="B1158">
    <cfRule type="expression" dxfId="2457" priority="4318">
      <formula>G1158 = "Atacado"</formula>
    </cfRule>
    <cfRule type="expression" dxfId="2456" priority="4317">
      <formula>G1158 = "Tem que compra"</formula>
    </cfRule>
    <cfRule type="expression" dxfId="2455" priority="4316">
      <formula>G1158 = "Pendente"</formula>
    </cfRule>
    <cfRule type="expression" dxfId="2454" priority="4322">
      <formula>G1158 = "Pendente"</formula>
    </cfRule>
    <cfRule type="expression" dxfId="2453" priority="4323">
      <formula>G1158 = "Tem que compra"</formula>
    </cfRule>
    <cfRule type="expression" dxfId="2452" priority="4324">
      <formula>G1158 = "Atacado"</formula>
    </cfRule>
  </conditionalFormatting>
  <conditionalFormatting sqref="B1158:B1165">
    <cfRule type="expression" dxfId="2451" priority="4300">
      <formula>G1158 = "Vendido"</formula>
    </cfRule>
    <cfRule type="expression" dxfId="2450" priority="4299">
      <formula>G1158 = "Loja"</formula>
    </cfRule>
    <cfRule type="expression" dxfId="2449" priority="4301">
      <formula>G1158 = "Estoque"</formula>
    </cfRule>
  </conditionalFormatting>
  <conditionalFormatting sqref="B1159:B1165">
    <cfRule type="expression" dxfId="2448" priority="4298">
      <formula>G1159 = "Atacado"</formula>
    </cfRule>
    <cfRule type="expression" dxfId="2447" priority="4296">
      <formula>G1159 = "Pendente"</formula>
    </cfRule>
    <cfRule type="expression" dxfId="2446" priority="4297">
      <formula>G1159 = "Tem que compra"</formula>
    </cfRule>
    <cfRule type="expression" dxfId="2445" priority="4304">
      <formula>G1159 = "Atacado"</formula>
    </cfRule>
    <cfRule type="expression" dxfId="2444" priority="4303">
      <formula>G1159 = "Tem que compra"</formula>
    </cfRule>
    <cfRule type="expression" dxfId="2443" priority="4302">
      <formula>G1159 = "Pendente"</formula>
    </cfRule>
  </conditionalFormatting>
  <conditionalFormatting sqref="B1159:B1169">
    <cfRule type="expression" dxfId="2442" priority="4279">
      <formula>G1159 = "Loja"</formula>
    </cfRule>
    <cfRule type="expression" dxfId="2441" priority="4280">
      <formula>G1159 = "Vendido"</formula>
    </cfRule>
    <cfRule type="expression" dxfId="2440" priority="4281">
      <formula>G1159 = "Estoque"</formula>
    </cfRule>
  </conditionalFormatting>
  <conditionalFormatting sqref="B1166">
    <cfRule type="expression" dxfId="2439" priority="4266">
      <formula>G1166 = "Loja"</formula>
    </cfRule>
    <cfRule type="expression" dxfId="2438" priority="4275">
      <formula>G1166 = "Estoque"</formula>
    </cfRule>
    <cfRule type="expression" dxfId="2437" priority="4274">
      <formula>G1166 = "Vendido"</formula>
    </cfRule>
    <cfRule type="expression" dxfId="2436" priority="4283">
      <formula>G1166 = "Tem que compra"</formula>
    </cfRule>
    <cfRule type="expression" dxfId="2435" priority="4282">
      <formula>G1166 = "Pendente"</formula>
    </cfRule>
    <cfRule type="expression" dxfId="2434" priority="4284">
      <formula>G1166 = "Atacado"</formula>
    </cfRule>
    <cfRule type="expression" dxfId="2433" priority="4278">
      <formula>G1166 = "Atacado"</formula>
    </cfRule>
    <cfRule type="expression" dxfId="2432" priority="4277">
      <formula>G1166 = "Tem que compra"</formula>
    </cfRule>
    <cfRule type="expression" dxfId="2431" priority="4276">
      <formula>G1166 = "Pendente"</formula>
    </cfRule>
  </conditionalFormatting>
  <conditionalFormatting sqref="B1170">
    <cfRule type="expression" dxfId="2430" priority="4260">
      <formula>G1170 = "Vendido"</formula>
    </cfRule>
    <cfRule type="expression" dxfId="2429" priority="4263">
      <formula>G1170 = "Tem que compra"</formula>
    </cfRule>
    <cfRule type="expression" dxfId="2428" priority="4262">
      <formula>G1170 = "Pendente"</formula>
    </cfRule>
    <cfRule type="expression" dxfId="2427" priority="4259">
      <formula>G1170 = "Loja"</formula>
    </cfRule>
    <cfRule type="expression" dxfId="2426" priority="4258">
      <formula>G1170 = "Atacado"</formula>
    </cfRule>
    <cfRule type="expression" dxfId="2425" priority="4257">
      <formula>G1170 = "Tem que compra"</formula>
    </cfRule>
    <cfRule type="expression" dxfId="2424" priority="4256">
      <formula>G1170 = "Pendente"</formula>
    </cfRule>
    <cfRule type="expression" dxfId="2423" priority="4264">
      <formula>G1170 = "Atacado"</formula>
    </cfRule>
    <cfRule type="expression" dxfId="2422" priority="4261">
      <formula>G1170 = "Estoque"</formula>
    </cfRule>
  </conditionalFormatting>
  <conditionalFormatting sqref="B1170:B1171">
    <cfRule type="expression" dxfId="2421" priority="4240">
      <formula>G1170 = "Vendido"</formula>
    </cfRule>
    <cfRule type="expression" dxfId="2420" priority="4241">
      <formula>G1170 = "Estoque"</formula>
    </cfRule>
  </conditionalFormatting>
  <conditionalFormatting sqref="B1170:B1189">
    <cfRule type="expression" dxfId="2419" priority="4239">
      <formula>G1170 = "Loja"</formula>
    </cfRule>
  </conditionalFormatting>
  <conditionalFormatting sqref="B1171">
    <cfRule type="expression" dxfId="2418" priority="4243">
      <formula>G1171 = "Tem que compra"</formula>
    </cfRule>
    <cfRule type="expression" dxfId="2417" priority="4234">
      <formula>G1171 = "Vendido"</formula>
    </cfRule>
    <cfRule type="expression" dxfId="2416" priority="4235">
      <formula>G1171 = "Estoque"</formula>
    </cfRule>
    <cfRule type="expression" dxfId="2415" priority="4236">
      <formula>G1171 = "Pendente"</formula>
    </cfRule>
    <cfRule type="expression" dxfId="2414" priority="4237">
      <formula>G1171 = "Tem que compra"</formula>
    </cfRule>
    <cfRule type="expression" dxfId="2413" priority="4226">
      <formula>G1171 = "Loja"</formula>
    </cfRule>
    <cfRule type="expression" dxfId="2412" priority="4242">
      <formula>G1171 = "Pendente"</formula>
    </cfRule>
    <cfRule type="expression" dxfId="2411" priority="4244">
      <formula>G1171 = "Atacado"</formula>
    </cfRule>
    <cfRule type="expression" dxfId="2410" priority="4238">
      <formula>G1171 = "Atacado"</formula>
    </cfRule>
  </conditionalFormatting>
  <conditionalFormatting sqref="B1172:B1191">
    <cfRule type="expression" dxfId="2409" priority="4512">
      <formula>G1172 = "Estoque"</formula>
    </cfRule>
    <cfRule type="expression" dxfId="2408" priority="4511">
      <formula>G1172 = "Vendido"</formula>
    </cfRule>
  </conditionalFormatting>
  <conditionalFormatting sqref="B1190:B1191">
    <cfRule type="expression" dxfId="2407" priority="4513">
      <formula>G1190 = "Pendente"</formula>
    </cfRule>
    <cfRule type="expression" dxfId="2406" priority="4507">
      <formula>G1190 = "Pendente"</formula>
    </cfRule>
    <cfRule type="expression" dxfId="2405" priority="4508">
      <formula>G1190 = "Tem que compra"</formula>
    </cfRule>
    <cfRule type="expression" dxfId="2404" priority="4509">
      <formula>G1190 = "Atacado"</formula>
    </cfRule>
    <cfRule type="expression" dxfId="2403" priority="4510">
      <formula>G1190 = "Loja"</formula>
    </cfRule>
    <cfRule type="expression" dxfId="2402" priority="4514">
      <formula>G1190 = "Tem que compra"</formula>
    </cfRule>
    <cfRule type="expression" dxfId="2401" priority="4515">
      <formula>G1190 = "Atacado"</formula>
    </cfRule>
  </conditionalFormatting>
  <conditionalFormatting sqref="B1190:B1192">
    <cfRule type="expression" dxfId="2400" priority="4221">
      <formula>G1190 = "Estoque"</formula>
    </cfRule>
    <cfRule type="expression" dxfId="2399" priority="4220">
      <formula>G1190 = "Vendido"</formula>
    </cfRule>
  </conditionalFormatting>
  <conditionalFormatting sqref="B1192">
    <cfRule type="expression" dxfId="2398" priority="4223">
      <formula>G1192 = "Tem que compra"</formula>
    </cfRule>
    <cfRule type="expression" dxfId="2397" priority="4222">
      <formula>G1192 = "Pendente"</formula>
    </cfRule>
    <cfRule type="expression" dxfId="2396" priority="4217">
      <formula>G1192 = "Tem que compra"</formula>
    </cfRule>
    <cfRule type="expression" dxfId="2395" priority="4218">
      <formula>G1192 = "Atacado"</formula>
    </cfRule>
    <cfRule type="expression" dxfId="2394" priority="4219">
      <formula>G1192 = "Loja"</formula>
    </cfRule>
    <cfRule type="expression" dxfId="2393" priority="4224">
      <formula>G1192 = "Atacado"</formula>
    </cfRule>
    <cfRule type="expression" dxfId="2392" priority="4216">
      <formula>G1192 = "Pendente"</formula>
    </cfRule>
  </conditionalFormatting>
  <conditionalFormatting sqref="B1192:B1195">
    <cfRule type="expression" dxfId="2391" priority="4199">
      <formula>G1192 = "Loja"</formula>
    </cfRule>
    <cfRule type="expression" dxfId="2390" priority="4200">
      <formula>G1192 = "Vendido"</formula>
    </cfRule>
    <cfRule type="expression" dxfId="2389" priority="4201">
      <formula>G1192 = "Estoque"</formula>
    </cfRule>
  </conditionalFormatting>
  <conditionalFormatting sqref="B1193">
    <cfRule type="expression" dxfId="2388" priority="4194">
      <formula>G1193 = "Vendido"</formula>
    </cfRule>
    <cfRule type="expression" dxfId="2387" priority="4195">
      <formula>G1193 = "Estoque"</formula>
    </cfRule>
    <cfRule type="expression" dxfId="2386" priority="4196">
      <formula>G1193 = "Pendente"</formula>
    </cfRule>
    <cfRule type="expression" dxfId="2385" priority="4197">
      <formula>G1193 = "Tem que compra"</formula>
    </cfRule>
    <cfRule type="expression" dxfId="2384" priority="4198">
      <formula>G1193 = "Atacado"</formula>
    </cfRule>
    <cfRule type="expression" dxfId="2383" priority="4186">
      <formula>G1193 = "Loja"</formula>
    </cfRule>
    <cfRule type="expression" dxfId="2382" priority="4202">
      <formula>G1193 = "Pendente"</formula>
    </cfRule>
    <cfRule type="expression" dxfId="2381" priority="4203">
      <formula>G1193 = "Tem que compra"</formula>
    </cfRule>
    <cfRule type="expression" dxfId="2380" priority="4204">
      <formula>G1193 = "Atacado"</formula>
    </cfRule>
  </conditionalFormatting>
  <conditionalFormatting sqref="B1196">
    <cfRule type="expression" dxfId="2379" priority="4163">
      <formula>G1196 = "Tem que compra"</formula>
    </cfRule>
    <cfRule type="expression" dxfId="2378" priority="4162">
      <formula>G1196 = "Pendente"</formula>
    </cfRule>
    <cfRule type="expression" dxfId="2377" priority="4164">
      <formula>G1196 = "Atacado"</formula>
    </cfRule>
    <cfRule type="expression" dxfId="2376" priority="4157">
      <formula>G1196 = "Tem que compra"</formula>
    </cfRule>
    <cfRule type="expression" dxfId="2375" priority="4156">
      <formula>G1196 = "Pendente"</formula>
    </cfRule>
    <cfRule type="expression" dxfId="2374" priority="4155">
      <formula>G1196 = "Estoque"</formula>
    </cfRule>
    <cfRule type="expression" dxfId="2373" priority="4154">
      <formula>G1196 = "Vendido"</formula>
    </cfRule>
    <cfRule type="expression" dxfId="2372" priority="4146">
      <formula>G1196 = "Loja"</formula>
    </cfRule>
    <cfRule type="expression" dxfId="2371" priority="4158">
      <formula>G1196 = "Atacado"</formula>
    </cfRule>
  </conditionalFormatting>
  <conditionalFormatting sqref="B1196:B1197">
    <cfRule type="expression" dxfId="2370" priority="4159">
      <formula>G1196 = "Loja"</formula>
    </cfRule>
    <cfRule type="expression" dxfId="2369" priority="4160">
      <formula>G1196 = "Vendido"</formula>
    </cfRule>
    <cfRule type="expression" dxfId="2368" priority="4161">
      <formula>G1196 = "Estoque"</formula>
    </cfRule>
  </conditionalFormatting>
  <conditionalFormatting sqref="B1198">
    <cfRule type="expression" dxfId="2367" priority="4136">
      <formula>G1198 = "Pendente"</formula>
    </cfRule>
    <cfRule type="expression" dxfId="2366" priority="4137">
      <formula>G1198 = "Tem que compra"</formula>
    </cfRule>
    <cfRule type="expression" dxfId="2365" priority="4134">
      <formula>G1198 = "Vendido"</formula>
    </cfRule>
    <cfRule type="expression" dxfId="2364" priority="4135">
      <formula>G1198 = "Estoque"</formula>
    </cfRule>
    <cfRule type="expression" dxfId="2363" priority="4126">
      <formula>G1198 = "Loja"</formula>
    </cfRule>
    <cfRule type="expression" dxfId="2362" priority="4144">
      <formula>G1198 = "Atacado"</formula>
    </cfRule>
    <cfRule type="expression" dxfId="2361" priority="4143">
      <formula>G1198 = "Tem que compra"</formula>
    </cfRule>
    <cfRule type="expression" dxfId="2360" priority="4142">
      <formula>G1198 = "Pendente"</formula>
    </cfRule>
    <cfRule type="expression" dxfId="2359" priority="4138">
      <formula>G1198 = "Atacado"</formula>
    </cfRule>
  </conditionalFormatting>
  <conditionalFormatting sqref="B1198:B1200">
    <cfRule type="expression" dxfId="2358" priority="4140">
      <formula>G1198 = "Vendido"</formula>
    </cfRule>
    <cfRule type="expression" dxfId="2357" priority="4139">
      <formula>G1198 = "Loja"</formula>
    </cfRule>
    <cfRule type="expression" dxfId="2356" priority="4141">
      <formula>G1198 = "Estoque"</formula>
    </cfRule>
  </conditionalFormatting>
  <conditionalFormatting sqref="B1209">
    <cfRule type="expression" dxfId="2355" priority="3145">
      <formula>G1209 = "Atacado"</formula>
    </cfRule>
    <cfRule type="expression" dxfId="2354" priority="3144">
      <formula>G1209 = "Tem que compra"</formula>
    </cfRule>
    <cfRule type="expression" dxfId="2353" priority="3150">
      <formula>G1209 = "Tem que compra"</formula>
    </cfRule>
    <cfRule type="expression" dxfId="2352" priority="3146">
      <formula>G1209 = "Loja"</formula>
    </cfRule>
    <cfRule type="expression" dxfId="2351" priority="3147">
      <formula>G1209 = "Vendido"</formula>
    </cfRule>
    <cfRule type="expression" dxfId="2350" priority="3148">
      <formula>G1209 = "Estoque"</formula>
    </cfRule>
    <cfRule type="expression" dxfId="2349" priority="3151">
      <formula>G1209 = "Atacado"</formula>
    </cfRule>
    <cfRule type="expression" dxfId="2348" priority="3149">
      <formula>G1209 = "Pendente"</formula>
    </cfRule>
    <cfRule type="expression" dxfId="2347" priority="3143">
      <formula>G1209 = "Pendente"</formula>
    </cfRule>
  </conditionalFormatting>
  <conditionalFormatting sqref="B1209:B1211">
    <cfRule type="expression" dxfId="2346" priority="2624">
      <formula>G1209 = "Estoque"</formula>
    </cfRule>
    <cfRule type="expression" dxfId="2345" priority="2623">
      <formula>G1209 = "Vendido"</formula>
    </cfRule>
    <cfRule type="expression" dxfId="2344" priority="2622">
      <formula>G1209 = "Loja"</formula>
    </cfRule>
  </conditionalFormatting>
  <conditionalFormatting sqref="B1210">
    <cfRule type="expression" dxfId="2343" priority="2621">
      <formula>G1210 = "Atacado"</formula>
    </cfRule>
    <cfRule type="expression" dxfId="2342" priority="2619">
      <formula>G1210 = "Pendente"</formula>
    </cfRule>
    <cfRule type="expression" dxfId="2341" priority="2620">
      <formula>G1210 = "Tem que compra"</formula>
    </cfRule>
    <cfRule type="expression" dxfId="2340" priority="2617">
      <formula>G1210 = "Vendido"</formula>
    </cfRule>
    <cfRule type="expression" dxfId="2339" priority="2616">
      <formula>G1210 = "Loja"</formula>
    </cfRule>
    <cfRule type="expression" dxfId="2338" priority="2618">
      <formula>G1210 = "Estoque"</formula>
    </cfRule>
    <cfRule type="expression" dxfId="2337" priority="2626">
      <formula>G1210 = "Tem que compra"</formula>
    </cfRule>
    <cfRule type="expression" dxfId="2336" priority="2627">
      <formula>G1210 = "Atacado"</formula>
    </cfRule>
    <cfRule type="expression" dxfId="2335" priority="2625">
      <formula>G1210 = "Pendente"</formula>
    </cfRule>
  </conditionalFormatting>
  <conditionalFormatting sqref="B1212">
    <cfRule type="expression" dxfId="2334" priority="2609">
      <formula>G1212 = "Atacado"</formula>
    </cfRule>
    <cfRule type="expression" dxfId="2333" priority="2608">
      <formula>G1212 = "Tem que compra"</formula>
    </cfRule>
    <cfRule type="expression" dxfId="2332" priority="2614">
      <formula>G1212 = "Tem que compra"</formula>
    </cfRule>
    <cfRule type="expression" dxfId="2331" priority="2615">
      <formula>G1212 = "Atacado"</formula>
    </cfRule>
    <cfRule type="expression" dxfId="2330" priority="2606">
      <formula>G1212 = "Estoque"</formula>
    </cfRule>
    <cfRule type="expression" dxfId="2329" priority="2605">
      <formula>G1212 = "Vendido"</formula>
    </cfRule>
    <cfRule type="expression" dxfId="2328" priority="2604">
      <formula>G1212 = "Loja"</formula>
    </cfRule>
    <cfRule type="expression" dxfId="2327" priority="2613">
      <formula>G1212 = "Pendente"</formula>
    </cfRule>
    <cfRule type="expression" dxfId="2326" priority="2607">
      <formula>G1212 = "Pendente"</formula>
    </cfRule>
  </conditionalFormatting>
  <conditionalFormatting sqref="B1212:B1213">
    <cfRule type="expression" dxfId="2325" priority="2612">
      <formula>G1212 = "Estoque"</formula>
    </cfRule>
    <cfRule type="expression" dxfId="2324" priority="2611">
      <formula>G1212 = "Vendido"</formula>
    </cfRule>
    <cfRule type="expression" dxfId="2323" priority="2610">
      <formula>G1212 = "Loja"</formula>
    </cfRule>
  </conditionalFormatting>
  <conditionalFormatting sqref="B1213">
    <cfRule type="expression" dxfId="2322" priority="3176">
      <formula>G1213 = "Estoque"</formula>
    </cfRule>
    <cfRule type="expression" dxfId="2321" priority="3171">
      <formula>G1213 = "Pendente"</formula>
    </cfRule>
    <cfRule type="expression" dxfId="2320" priority="3172">
      <formula>G1213 = "Tem que compra"</formula>
    </cfRule>
    <cfRule type="expression" dxfId="2319" priority="3173">
      <formula>G1213 = "Atacado"</formula>
    </cfRule>
    <cfRule type="expression" dxfId="2318" priority="3175">
      <formula>G1213 = "Vendido"</formula>
    </cfRule>
    <cfRule type="expression" dxfId="2317" priority="3177">
      <formula>G1213 = "Pendente"</formula>
    </cfRule>
    <cfRule type="expression" dxfId="2316" priority="3178">
      <formula>G1213 = "Tem que compra"</formula>
    </cfRule>
    <cfRule type="expression" dxfId="2315" priority="3179">
      <formula>G1213 = "Atacado"</formula>
    </cfRule>
  </conditionalFormatting>
  <conditionalFormatting sqref="B1213:B1216">
    <cfRule type="expression" dxfId="2314" priority="3174">
      <formula>G1213 = "Loja"</formula>
    </cfRule>
  </conditionalFormatting>
  <conditionalFormatting sqref="B1221">
    <cfRule type="expression" dxfId="2313" priority="3226">
      <formula>G1221 = "Estoque"</formula>
    </cfRule>
    <cfRule type="expression" dxfId="2312" priority="3227">
      <formula>G1221 = "Pendente"</formula>
    </cfRule>
    <cfRule type="expression" dxfId="2311" priority="3233">
      <formula>G1221 = "Pendente"</formula>
    </cfRule>
    <cfRule type="expression" dxfId="2310" priority="3229">
      <formula>G1221 = "Atacado"</formula>
    </cfRule>
    <cfRule type="expression" dxfId="2309" priority="3232">
      <formula>G1221 = "Estoque"</formula>
    </cfRule>
    <cfRule type="expression" dxfId="2308" priority="3225">
      <formula>G1221 = "Vendido"</formula>
    </cfRule>
    <cfRule type="expression" dxfId="2307" priority="3231">
      <formula>G1221 = "Vendido"</formula>
    </cfRule>
    <cfRule type="expression" dxfId="2306" priority="3230">
      <formula>G1221 = "Loja"</formula>
    </cfRule>
    <cfRule type="expression" dxfId="2305" priority="3228">
      <formula>G1221 = "Tem que compra"</formula>
    </cfRule>
    <cfRule type="expression" dxfId="2304" priority="3235">
      <formula>G1221 = "Atacado"</formula>
    </cfRule>
    <cfRule type="expression" dxfId="2303" priority="3234">
      <formula>G1221 = "Tem que compra"</formula>
    </cfRule>
  </conditionalFormatting>
  <conditionalFormatting sqref="B1225 B1237 B1241">
    <cfRule type="expression" dxfId="2302" priority="4823">
      <formula>G1225 = "Estoque"</formula>
    </cfRule>
  </conditionalFormatting>
  <conditionalFormatting sqref="B1229:B1230">
    <cfRule type="expression" dxfId="2301" priority="2600">
      <formula>G1229 = "Estoque"</formula>
    </cfRule>
    <cfRule type="expression" dxfId="2300" priority="2598">
      <formula>G1229 = "Loja"</formula>
    </cfRule>
    <cfRule type="expression" dxfId="2299" priority="2599">
      <formula>G1229 = "Vendido"</formula>
    </cfRule>
  </conditionalFormatting>
  <conditionalFormatting sqref="B1230">
    <cfRule type="expression" dxfId="2298" priority="2603">
      <formula>G1230 = "Atacado"</formula>
    </cfRule>
    <cfRule type="expression" dxfId="2297" priority="2602">
      <formula>G1230 = "Tem que compra"</formula>
    </cfRule>
    <cfRule type="expression" dxfId="2296" priority="2601">
      <formula>G1230 = "Pendente"</formula>
    </cfRule>
    <cfRule type="expression" dxfId="2295" priority="2597">
      <formula>G1230 = "Atacado"</formula>
    </cfRule>
    <cfRule type="expression" dxfId="2294" priority="2595">
      <formula>G1230 = "Pendente"</formula>
    </cfRule>
    <cfRule type="expression" dxfId="2293" priority="2596">
      <formula>G1230 = "Tem que compra"</formula>
    </cfRule>
  </conditionalFormatting>
  <conditionalFormatting sqref="B1230:B1231">
    <cfRule type="expression" dxfId="2292" priority="2578">
      <formula>G1230 = "Loja"</formula>
    </cfRule>
    <cfRule type="expression" dxfId="2291" priority="2580">
      <formula>G1230 = "Estoque"</formula>
    </cfRule>
    <cfRule type="expression" dxfId="2290" priority="2579">
      <formula>G1230 = "Vendido"</formula>
    </cfRule>
  </conditionalFormatting>
  <conditionalFormatting sqref="B1231">
    <cfRule type="expression" dxfId="2289" priority="2582">
      <formula>G1231 = "Tem que compra"</formula>
    </cfRule>
    <cfRule type="expression" dxfId="2288" priority="2576">
      <formula>G1231 = "Tem que compra"</formula>
    </cfRule>
    <cfRule type="expression" dxfId="2287" priority="2583">
      <formula>G1231 = "Atacado"</formula>
    </cfRule>
    <cfRule type="expression" dxfId="2286" priority="2575">
      <formula>G1231 = "Pendente"</formula>
    </cfRule>
    <cfRule type="expression" dxfId="2285" priority="2581">
      <formula>G1231 = "Pendente"</formula>
    </cfRule>
    <cfRule type="expression" dxfId="2284" priority="2577">
      <formula>G1231 = "Atacado"</formula>
    </cfRule>
  </conditionalFormatting>
  <conditionalFormatting sqref="B1231:B1233">
    <cfRule type="expression" dxfId="2283" priority="2560">
      <formula>G1231 = "Estoque"</formula>
    </cfRule>
    <cfRule type="expression" dxfId="2282" priority="2559">
      <formula>G1231 = "Vendido"</formula>
    </cfRule>
    <cfRule type="expression" dxfId="2281" priority="2558">
      <formula>G1231 = "Loja"</formula>
    </cfRule>
  </conditionalFormatting>
  <conditionalFormatting sqref="B1232">
    <cfRule type="expression" dxfId="2280" priority="2562">
      <formula>G1232 = "Tem que compra"</formula>
    </cfRule>
    <cfRule type="expression" dxfId="2279" priority="2561">
      <formula>G1232 = "Pendente"</formula>
    </cfRule>
    <cfRule type="expression" dxfId="2278" priority="2545">
      <formula>G1232 = "Loja"</formula>
    </cfRule>
    <cfRule type="expression" dxfId="2277" priority="2563">
      <formula>G1232 = "Atacado"</formula>
    </cfRule>
    <cfRule type="expression" dxfId="2276" priority="2557">
      <formula>G1232 = "Atacado"</formula>
    </cfRule>
    <cfRule type="expression" dxfId="2275" priority="2556">
      <formula>G1232 = "Tem que compra"</formula>
    </cfRule>
    <cfRule type="expression" dxfId="2274" priority="2555">
      <formula>G1232 = "Pendente"</formula>
    </cfRule>
    <cfRule type="expression" dxfId="2273" priority="2554">
      <formula>G1232 = "Estoque"</formula>
    </cfRule>
    <cfRule type="expression" dxfId="2272" priority="2553">
      <formula>G1232 = "Vendido"</formula>
    </cfRule>
  </conditionalFormatting>
  <conditionalFormatting sqref="B1234:B1242">
    <cfRule type="expression" dxfId="2271" priority="2533">
      <formula>G1234 = "Vendido"</formula>
    </cfRule>
    <cfRule type="expression" dxfId="2270" priority="2534">
      <formula>G1234 = "Estoque"</formula>
    </cfRule>
    <cfRule type="expression" dxfId="2269" priority="2540">
      <formula>G1234 = "Estoque"</formula>
    </cfRule>
    <cfRule type="expression" dxfId="2268" priority="2535">
      <formula>G1234 = "Pendente"</formula>
    </cfRule>
    <cfRule type="expression" dxfId="2267" priority="2536">
      <formula>G1234 = "Tem que compra"</formula>
    </cfRule>
    <cfRule type="expression" dxfId="2266" priority="2537">
      <formula>G1234 = "Atacado"</formula>
    </cfRule>
    <cfRule type="expression" dxfId="2265" priority="2538">
      <formula>G1234 = "Loja"</formula>
    </cfRule>
    <cfRule type="expression" dxfId="2264" priority="2539">
      <formula>G1234 = "Vendido"</formula>
    </cfRule>
    <cfRule type="expression" dxfId="2263" priority="2541">
      <formula>G1234 = "Pendente"</formula>
    </cfRule>
    <cfRule type="expression" dxfId="2262" priority="2542">
      <formula>G1234 = "Tem que compra"</formula>
    </cfRule>
    <cfRule type="expression" dxfId="2261" priority="2543">
      <formula>G1234 = "Atacado"</formula>
    </cfRule>
    <cfRule type="expression" dxfId="2260" priority="2525">
      <formula>G1234 = "Loja"</formula>
    </cfRule>
  </conditionalFormatting>
  <conditionalFormatting sqref="B1237 B1241 B1225">
    <cfRule type="expression" dxfId="2259" priority="4822">
      <formula>G1225 = "Vendido"</formula>
    </cfRule>
  </conditionalFormatting>
  <conditionalFormatting sqref="B1237">
    <cfRule type="expression" dxfId="2258" priority="3217">
      <formula>G1237 = "Loja"</formula>
    </cfRule>
  </conditionalFormatting>
  <conditionalFormatting sqref="B1244">
    <cfRule type="expression" dxfId="2257" priority="2408">
      <formula>G1244 = "Vendido"</formula>
    </cfRule>
    <cfRule type="expression" dxfId="2256" priority="2407">
      <formula>G1244 = "Loja"</formula>
    </cfRule>
    <cfRule type="expression" dxfId="2255" priority="2406">
      <formula>G1244 = "Atacado"</formula>
    </cfRule>
    <cfRule type="expression" dxfId="2254" priority="2405">
      <formula>G1244 = "Tem que compra"</formula>
    </cfRule>
    <cfRule type="expression" dxfId="2253" priority="2404">
      <formula>G1244 = "Pendente"</formula>
    </cfRule>
    <cfRule type="expression" dxfId="2252" priority="2403">
      <formula>G1244 = "Estoque"</formula>
    </cfRule>
    <cfRule type="expression" dxfId="2251" priority="2402">
      <formula>G1244 = "Vendido"</formula>
    </cfRule>
    <cfRule type="expression" dxfId="2250" priority="2400">
      <formula>G1244 = "Atacado"</formula>
    </cfRule>
    <cfRule type="expression" dxfId="2249" priority="2399">
      <formula>G1244 = "Tem que compra"</formula>
    </cfRule>
    <cfRule type="expression" dxfId="2248" priority="2398">
      <formula>G1244 = "Pendente"</formula>
    </cfRule>
    <cfRule type="expression" dxfId="2247" priority="2401">
      <formula>G1244 = "Loja"</formula>
    </cfRule>
    <cfRule type="expression" dxfId="2246" priority="2418">
      <formula>G1244 = "Atacado"</formula>
    </cfRule>
    <cfRule type="expression" dxfId="2245" priority="2417">
      <formula>G1244 = "Tem que compra"</formula>
    </cfRule>
    <cfRule type="expression" dxfId="2244" priority="2416">
      <formula>G1244 = "Pendente"</formula>
    </cfRule>
    <cfRule type="expression" dxfId="2243" priority="2415">
      <formula>G1244 = "Estoque"</formula>
    </cfRule>
    <cfRule type="expression" dxfId="2242" priority="2414">
      <formula>G1244 = "Vendido"</formula>
    </cfRule>
    <cfRule type="expression" dxfId="2241" priority="2413">
      <formula>G1244 = "Loja"</formula>
    </cfRule>
    <cfRule type="expression" dxfId="2240" priority="2412">
      <formula>G1244 = "Atacado"</formula>
    </cfRule>
    <cfRule type="expression" dxfId="2239" priority="2411">
      <formula>G1244 = "Tem que compra"</formula>
    </cfRule>
    <cfRule type="expression" dxfId="2238" priority="2410">
      <formula>G1244 = "Pendente"</formula>
    </cfRule>
    <cfRule type="expression" dxfId="2237" priority="2409">
      <formula>G1244 = "Estoque"</formula>
    </cfRule>
  </conditionalFormatting>
  <conditionalFormatting sqref="B1244:B1245 B1395">
    <cfRule type="expression" dxfId="2236" priority="2391">
      <formula>G1244 = "Estoque"</formula>
    </cfRule>
    <cfRule type="expression" dxfId="2235" priority="2390">
      <formula>G1244 = "Vendido"</formula>
    </cfRule>
  </conditionalFormatting>
  <conditionalFormatting sqref="B1244:B1245">
    <cfRule type="expression" dxfId="2234" priority="2389">
      <formula>G1244 = "Loja"</formula>
    </cfRule>
  </conditionalFormatting>
  <conditionalFormatting sqref="B1245 B1395">
    <cfRule type="expression" dxfId="2233" priority="2382">
      <formula>G1245 = "Atacado"</formula>
    </cfRule>
    <cfRule type="expression" dxfId="2232" priority="2392">
      <formula>G1245 = "Pendente"</formula>
    </cfRule>
    <cfRule type="expression" dxfId="2231" priority="2388">
      <formula>G1245 = "Atacado"</formula>
    </cfRule>
    <cfRule type="expression" dxfId="2230" priority="2387">
      <formula>G1245 = "Tem que compra"</formula>
    </cfRule>
    <cfRule type="expression" dxfId="2229" priority="2386">
      <formula>G1245 = "Pendente"</formula>
    </cfRule>
    <cfRule type="expression" dxfId="2228" priority="2375">
      <formula>G1245 = "Tem que compra"</formula>
    </cfRule>
    <cfRule type="expression" dxfId="2227" priority="2383">
      <formula>G1245 = "Loja"</formula>
    </cfRule>
    <cfRule type="expression" dxfId="2226" priority="2374">
      <formula>G1245 = "Pendente"</formula>
    </cfRule>
    <cfRule type="expression" dxfId="2225" priority="2394">
      <formula>G1245 = "Atacado"</formula>
    </cfRule>
    <cfRule type="expression" dxfId="2224" priority="2393">
      <formula>G1245 = "Tem que compra"</formula>
    </cfRule>
    <cfRule type="expression" dxfId="2223" priority="2381">
      <formula>G1245 = "Tem que compra"</formula>
    </cfRule>
    <cfRule type="expression" dxfId="2222" priority="2380">
      <formula>G1245 = "Pendente"</formula>
    </cfRule>
    <cfRule type="expression" dxfId="2221" priority="2379">
      <formula>G1245 = "Estoque"</formula>
    </cfRule>
    <cfRule type="expression" dxfId="2220" priority="2385">
      <formula>G1245 = "Estoque"</formula>
    </cfRule>
    <cfRule type="expression" dxfId="2219" priority="2378">
      <formula>G1245 = "Vendido"</formula>
    </cfRule>
    <cfRule type="expression" dxfId="2218" priority="2384">
      <formula>G1245 = "Vendido"</formula>
    </cfRule>
    <cfRule type="expression" dxfId="2217" priority="2377">
      <formula>G1245 = "Loja"</formula>
    </cfRule>
    <cfRule type="expression" dxfId="2216" priority="2376">
      <formula>G1245 = "Atacado"</formula>
    </cfRule>
  </conditionalFormatting>
  <conditionalFormatting sqref="B1245:B1246">
    <cfRule type="expression" dxfId="2215" priority="2367">
      <formula>G1245 = "Estoque"</formula>
    </cfRule>
    <cfRule type="expression" dxfId="2214" priority="2365">
      <formula>G1245 = "Loja"</formula>
    </cfRule>
    <cfRule type="expression" dxfId="2213" priority="2366">
      <formula>G1245 = "Vendido"</formula>
    </cfRule>
  </conditionalFormatting>
  <conditionalFormatting sqref="B1246">
    <cfRule type="expression" dxfId="2212" priority="2360">
      <formula>G1246 = "Vendido"</formula>
    </cfRule>
    <cfRule type="expression" dxfId="2211" priority="2361">
      <formula>G1246 = "Estoque"</formula>
    </cfRule>
    <cfRule type="expression" dxfId="2210" priority="2358">
      <formula>G1246 = "Atacado"</formula>
    </cfRule>
    <cfRule type="expression" dxfId="2209" priority="2354">
      <formula>G1246 = "Vendido"</formula>
    </cfRule>
    <cfRule type="expression" dxfId="2208" priority="2359">
      <formula>G1246 = "Loja"</formula>
    </cfRule>
    <cfRule type="expression" dxfId="2207" priority="2370">
      <formula>G1246 = "Atacado"</formula>
    </cfRule>
    <cfRule type="expression" dxfId="2206" priority="2350">
      <formula>G1246 = "Pendente"</formula>
    </cfRule>
    <cfRule type="expression" dxfId="2205" priority="2351">
      <formula>G1246 = "Tem que compra"</formula>
    </cfRule>
    <cfRule type="expression" dxfId="2204" priority="2362">
      <formula>G1246 = "Pendente"</formula>
    </cfRule>
    <cfRule type="expression" dxfId="2203" priority="2352">
      <formula>G1246 = "Atacado"</formula>
    </cfRule>
    <cfRule type="expression" dxfId="2202" priority="2353">
      <formula>G1246 = "Loja"</formula>
    </cfRule>
    <cfRule type="expression" dxfId="2201" priority="2368">
      <formula>G1246 = "Pendente"</formula>
    </cfRule>
    <cfRule type="expression" dxfId="2200" priority="2369">
      <formula>G1246 = "Tem que compra"</formula>
    </cfRule>
    <cfRule type="expression" dxfId="2199" priority="2364">
      <formula>G1246 = "Atacado"</formula>
    </cfRule>
    <cfRule type="expression" dxfId="2198" priority="2363">
      <formula>G1246 = "Tem que compra"</formula>
    </cfRule>
    <cfRule type="expression" dxfId="2197" priority="2355">
      <formula>G1246 = "Estoque"</formula>
    </cfRule>
    <cfRule type="expression" dxfId="2196" priority="2356">
      <formula>G1246 = "Pendente"</formula>
    </cfRule>
    <cfRule type="expression" dxfId="2195" priority="2357">
      <formula>G1246 = "Tem que compra"</formula>
    </cfRule>
  </conditionalFormatting>
  <conditionalFormatting sqref="B1246:B1248">
    <cfRule type="expression" dxfId="2194" priority="2343">
      <formula>G1246 = "Estoque"</formula>
    </cfRule>
    <cfRule type="expression" dxfId="2193" priority="2342">
      <formula>G1246 = "Vendido"</formula>
    </cfRule>
    <cfRule type="expression" dxfId="2192" priority="2341">
      <formula>G1246 = "Loja"</formula>
    </cfRule>
  </conditionalFormatting>
  <conditionalFormatting sqref="B1247">
    <cfRule type="expression" dxfId="2191" priority="2337">
      <formula>G1247 = "Estoque"</formula>
    </cfRule>
    <cfRule type="expression" dxfId="2190" priority="2339">
      <formula>G1247 = "Tem que compra"</formula>
    </cfRule>
    <cfRule type="expression" dxfId="2189" priority="2340">
      <formula>G1247 = "Atacado"</formula>
    </cfRule>
    <cfRule type="expression" dxfId="2188" priority="2331">
      <formula>G1247 = "Estoque"</formula>
    </cfRule>
    <cfRule type="expression" dxfId="2187" priority="2333">
      <formula>G1247 = "Tem que compra"</formula>
    </cfRule>
    <cfRule type="expression" dxfId="2186" priority="2332">
      <formula>G1247 = "Pendente"</formula>
    </cfRule>
    <cfRule type="expression" dxfId="2185" priority="2326">
      <formula>G1247 = "Pendente"</formula>
    </cfRule>
    <cfRule type="expression" dxfId="2184" priority="2330">
      <formula>G1247 = "Vendido"</formula>
    </cfRule>
    <cfRule type="expression" dxfId="2183" priority="2344">
      <formula>G1247 = "Pendente"</formula>
    </cfRule>
    <cfRule type="expression" dxfId="2182" priority="2334">
      <formula>G1247 = "Atacado"</formula>
    </cfRule>
    <cfRule type="expression" dxfId="2181" priority="2335">
      <formula>G1247 = "Loja"</formula>
    </cfRule>
    <cfRule type="expression" dxfId="2180" priority="2336">
      <formula>G1247 = "Vendido"</formula>
    </cfRule>
    <cfRule type="expression" dxfId="2179" priority="2338">
      <formula>G1247 = "Pendente"</formula>
    </cfRule>
    <cfRule type="expression" dxfId="2178" priority="2346">
      <formula>G1247 = "Atacado"</formula>
    </cfRule>
    <cfRule type="expression" dxfId="2177" priority="2345">
      <formula>G1247 = "Tem que compra"</formula>
    </cfRule>
    <cfRule type="expression" dxfId="2176" priority="2323">
      <formula>G1247 = "Loja"</formula>
    </cfRule>
    <cfRule type="expression" dxfId="2175" priority="2324">
      <formula>G1247 = "Vendido"</formula>
    </cfRule>
    <cfRule type="expression" dxfId="2174" priority="2325">
      <formula>G1247 = "Estoque"</formula>
    </cfRule>
    <cfRule type="expression" dxfId="2173" priority="2327">
      <formula>G1247 = "Tem que compra"</formula>
    </cfRule>
    <cfRule type="expression" dxfId="2172" priority="2328">
      <formula>G1247 = "Atacado"</formula>
    </cfRule>
    <cfRule type="expression" dxfId="2171" priority="2329">
      <formula>G1247 = "Loja"</formula>
    </cfRule>
  </conditionalFormatting>
  <conditionalFormatting sqref="B1248">
    <cfRule type="expression" dxfId="2170" priority="2429">
      <formula>G1248 = "Tem que compra"</formula>
    </cfRule>
    <cfRule type="expression" dxfId="2169" priority="2432">
      <formula>G1248 = "Estoque"</formula>
    </cfRule>
    <cfRule type="expression" dxfId="2168" priority="2431">
      <formula>G1248 = "Vendido"</formula>
    </cfRule>
    <cfRule type="expression" dxfId="2167" priority="2505">
      <formula>G1248 = "Loja"</formula>
    </cfRule>
    <cfRule type="expression" dxfId="2166" priority="2435">
      <formula>G1248 = "Atacado"</formula>
    </cfRule>
    <cfRule type="expression" dxfId="2165" priority="2434">
      <formula>G1248 = "Tem que compra"</formula>
    </cfRule>
    <cfRule type="expression" dxfId="2164" priority="2433">
      <formula>G1248 = "Pendente"</formula>
    </cfRule>
    <cfRule type="expression" dxfId="2163" priority="2430">
      <formula>G1248 = "Atacado"</formula>
    </cfRule>
    <cfRule type="expression" dxfId="2162" priority="2518">
      <formula>G1248 = "Loja"</formula>
    </cfRule>
    <cfRule type="expression" dxfId="2161" priority="2517">
      <formula>G1248 = "Atacado"</formula>
    </cfRule>
    <cfRule type="expression" dxfId="2160" priority="2424">
      <formula>G1248 = "Atacado"</formula>
    </cfRule>
    <cfRule type="expression" dxfId="2159" priority="2423">
      <formula>G1248 = "Tem que compra"</formula>
    </cfRule>
    <cfRule type="expression" dxfId="2158" priority="2516">
      <formula>G1248 = "Tem que compra"</formula>
    </cfRule>
    <cfRule type="expression" dxfId="2157" priority="2515">
      <formula>G1248 = "Pendente"</formula>
    </cfRule>
    <cfRule type="expression" dxfId="2156" priority="2520">
      <formula>G1248 = "Estoque"</formula>
    </cfRule>
    <cfRule type="expression" dxfId="2155" priority="2425">
      <formula>G1248 = "Loja"</formula>
    </cfRule>
    <cfRule type="expression" dxfId="2154" priority="2514">
      <formula>G1248 = "Estoque"</formula>
    </cfRule>
    <cfRule type="expression" dxfId="2153" priority="2519">
      <formula>G1248 = "Vendido"</formula>
    </cfRule>
    <cfRule type="expression" dxfId="2152" priority="2513">
      <formula>G1248 = "Vendido"</formula>
    </cfRule>
    <cfRule type="expression" dxfId="2151" priority="2428">
      <formula>G1248 = "Pendente"</formula>
    </cfRule>
    <cfRule type="expression" dxfId="2150" priority="2422">
      <formula>G1248 = "Pendente"</formula>
    </cfRule>
    <cfRule type="expression" dxfId="2149" priority="2426">
      <formula>G1248 = "Vendido"</formula>
    </cfRule>
    <cfRule type="expression" dxfId="2148" priority="2427">
      <formula>G1248 = "Estoque"</formula>
    </cfRule>
    <cfRule type="expression" dxfId="2147" priority="2523">
      <formula>G1248 = "Atacado"</formula>
    </cfRule>
    <cfRule type="expression" dxfId="2146" priority="2522">
      <formula>G1248 = "Tem que compra"</formula>
    </cfRule>
    <cfRule type="expression" dxfId="2145" priority="2521">
      <formula>G1248 = "Pendente"</formula>
    </cfRule>
  </conditionalFormatting>
  <conditionalFormatting sqref="B1249:B1250">
    <cfRule type="expression" dxfId="2144" priority="2313">
      <formula>G1249 = "Estoque"</formula>
    </cfRule>
    <cfRule type="expression" dxfId="2143" priority="2314">
      <formula>G1249 = "Pendente"</formula>
    </cfRule>
    <cfRule type="expression" dxfId="2142" priority="2315">
      <formula>G1249 = "Tem que compra"</formula>
    </cfRule>
    <cfRule type="expression" dxfId="2141" priority="2317">
      <formula>G1249 = "Loja"</formula>
    </cfRule>
    <cfRule type="expression" dxfId="2140" priority="2318">
      <formula>G1249 = "Vendido"</formula>
    </cfRule>
    <cfRule type="expression" dxfId="2139" priority="2298">
      <formula>G1249 = "Vendido"</formula>
    </cfRule>
    <cfRule type="expression" dxfId="2138" priority="2319">
      <formula>G1249 = "Estoque"</formula>
    </cfRule>
    <cfRule type="expression" dxfId="2137" priority="2320">
      <formula>G1249 = "Pendente"</formula>
    </cfRule>
    <cfRule type="expression" dxfId="2136" priority="2321">
      <formula>G1249 = "Tem que compra"</formula>
    </cfRule>
    <cfRule type="expression" dxfId="2135" priority="2322">
      <formula>G1249 = "Atacado"</formula>
    </cfRule>
    <cfRule type="expression" dxfId="2134" priority="2294">
      <formula>G1249 = "Pendente"</formula>
    </cfRule>
    <cfRule type="expression" dxfId="2133" priority="2295">
      <formula>G1249 = "Tem que compra"</formula>
    </cfRule>
    <cfRule type="expression" dxfId="2132" priority="2296">
      <formula>G1249 = "Atacado"</formula>
    </cfRule>
    <cfRule type="expression" dxfId="2131" priority="2297">
      <formula>G1249 = "Loja"</formula>
    </cfRule>
    <cfRule type="expression" dxfId="2130" priority="2299">
      <formula>G1249 = "Estoque"</formula>
    </cfRule>
    <cfRule type="expression" dxfId="2129" priority="2300">
      <formula>G1249 = "Pendente"</formula>
    </cfRule>
    <cfRule type="expression" dxfId="2128" priority="2301">
      <formula>G1249 = "Tem que compra"</formula>
    </cfRule>
    <cfRule type="expression" dxfId="2127" priority="2302">
      <formula>G1249 = "Atacado"</formula>
    </cfRule>
    <cfRule type="expression" dxfId="2126" priority="2304">
      <formula>G1249 = "Loja"</formula>
    </cfRule>
    <cfRule type="expression" dxfId="2125" priority="2312">
      <formula>G1249 = "Vendido"</formula>
    </cfRule>
    <cfRule type="expression" dxfId="2124" priority="2316">
      <formula>G1249 = "Atacado"</formula>
    </cfRule>
  </conditionalFormatting>
  <conditionalFormatting sqref="B1249:B1251">
    <cfRule type="expression" dxfId="2123" priority="2277">
      <formula>G1249 = "Loja"</formula>
    </cfRule>
    <cfRule type="expression" dxfId="2122" priority="2278">
      <formula>G1249 = "Vendido"</formula>
    </cfRule>
    <cfRule type="expression" dxfId="2121" priority="2279">
      <formula>G1249 = "Estoque"</formula>
    </cfRule>
  </conditionalFormatting>
  <conditionalFormatting sqref="B1251">
    <cfRule type="expression" dxfId="2120" priority="2272">
      <formula>G1251 = "Vendido"</formula>
    </cfRule>
    <cfRule type="expression" dxfId="2119" priority="2273">
      <formula>G1251 = "Estoque"</formula>
    </cfRule>
    <cfRule type="expression" dxfId="2118" priority="2274">
      <formula>G1251 = "Pendente"</formula>
    </cfRule>
    <cfRule type="expression" dxfId="2117" priority="2275">
      <formula>G1251 = "Tem que compra"</formula>
    </cfRule>
    <cfRule type="expression" dxfId="2116" priority="2276">
      <formula>G1251 = "Atacado"</formula>
    </cfRule>
    <cfRule type="expression" dxfId="2115" priority="2280">
      <formula>G1251 = "Pendente"</formula>
    </cfRule>
    <cfRule type="expression" dxfId="2114" priority="2264">
      <formula>G1251 = "Loja"</formula>
    </cfRule>
    <cfRule type="expression" dxfId="2113" priority="2262">
      <formula>G1251 = "Atacado"</formula>
    </cfRule>
    <cfRule type="expression" dxfId="2112" priority="2261">
      <formula>G1251 = "Tem que compra"</formula>
    </cfRule>
    <cfRule type="expression" dxfId="2111" priority="2260">
      <formula>G1251 = "Pendente"</formula>
    </cfRule>
    <cfRule type="expression" dxfId="2110" priority="2259">
      <formula>G1251 = "Estoque"</formula>
    </cfRule>
    <cfRule type="expression" dxfId="2109" priority="2258">
      <formula>G1251 = "Vendido"</formula>
    </cfRule>
    <cfRule type="expression" dxfId="2108" priority="2257">
      <formula>G1251 = "Loja"</formula>
    </cfRule>
    <cfRule type="expression" dxfId="2107" priority="2256">
      <formula>G1251 = "Atacado"</formula>
    </cfRule>
    <cfRule type="expression" dxfId="2106" priority="2255">
      <formula>G1251 = "Tem que compra"</formula>
    </cfRule>
    <cfRule type="expression" dxfId="2105" priority="2254">
      <formula>G1251 = "Pendente"</formula>
    </cfRule>
    <cfRule type="expression" dxfId="2104" priority="2281">
      <formula>G1251 = "Tem que compra"</formula>
    </cfRule>
    <cfRule type="expression" dxfId="2103" priority="2282">
      <formula>G1251 = "Atacado"</formula>
    </cfRule>
  </conditionalFormatting>
  <conditionalFormatting sqref="B1251:B1252">
    <cfRule type="expression" dxfId="2102" priority="2210">
      <formula>G1251 = "Vendido"</formula>
    </cfRule>
    <cfRule type="expression" dxfId="2101" priority="2211">
      <formula>G1251 = "Estoque"</formula>
    </cfRule>
    <cfRule type="expression" dxfId="2100" priority="2209">
      <formula>G1251 = "Loja"</formula>
    </cfRule>
  </conditionalFormatting>
  <conditionalFormatting sqref="B1252">
    <cfRule type="expression" dxfId="2099" priority="2214">
      <formula>G1252 = "Atacado"</formula>
    </cfRule>
    <cfRule type="expression" dxfId="2098" priority="2208">
      <formula>G1252 = "Atacado"</formula>
    </cfRule>
    <cfRule type="expression" dxfId="2097" priority="2212">
      <formula>G1252 = "Pendente"</formula>
    </cfRule>
    <cfRule type="expression" dxfId="2096" priority="2213">
      <formula>G1252 = "Tem que compra"</formula>
    </cfRule>
    <cfRule type="expression" dxfId="2095" priority="2207">
      <formula>G1252 = "Tem que compra"</formula>
    </cfRule>
    <cfRule type="expression" dxfId="2094" priority="2206">
      <formula>G1252 = "Pendente"</formula>
    </cfRule>
  </conditionalFormatting>
  <conditionalFormatting sqref="B1252:B1253">
    <cfRule type="expression" dxfId="2093" priority="2190">
      <formula>G1252 = "Vendido"</formula>
    </cfRule>
    <cfRule type="expression" dxfId="2092" priority="2191">
      <formula>G1252 = "Estoque"</formula>
    </cfRule>
    <cfRule type="expression" dxfId="2091" priority="2189">
      <formula>G1252 = "Loja"</formula>
    </cfRule>
  </conditionalFormatting>
  <conditionalFormatting sqref="B1253">
    <cfRule type="expression" dxfId="2090" priority="2187">
      <formula>G1253 = "Tem que compra"</formula>
    </cfRule>
    <cfRule type="expression" dxfId="2089" priority="2188">
      <formula>G1253 = "Atacado"</formula>
    </cfRule>
    <cfRule type="expression" dxfId="2088" priority="2192">
      <formula>G1253 = "Pendente"</formula>
    </cfRule>
    <cfRule type="expression" dxfId="2087" priority="2193">
      <formula>G1253 = "Tem que compra"</formula>
    </cfRule>
    <cfRule type="expression" dxfId="2086" priority="2194">
      <formula>G1253 = "Atacado"</formula>
    </cfRule>
    <cfRule type="expression" dxfId="2085" priority="2186">
      <formula>G1253 = "Pendente"</formula>
    </cfRule>
  </conditionalFormatting>
  <conditionalFormatting sqref="B1253:B1255">
    <cfRule type="expression" dxfId="2084" priority="2169">
      <formula>G1253 = "Loja"</formula>
    </cfRule>
    <cfRule type="expression" dxfId="2083" priority="2170">
      <formula>G1253 = "Vendido"</formula>
    </cfRule>
    <cfRule type="expression" dxfId="2082" priority="2171">
      <formula>G1253 = "Estoque"</formula>
    </cfRule>
  </conditionalFormatting>
  <conditionalFormatting sqref="B1254">
    <cfRule type="expression" dxfId="2081" priority="2172">
      <formula>G1254 = "Pendente"</formula>
    </cfRule>
    <cfRule type="expression" dxfId="2080" priority="2173">
      <formula>G1254 = "Tem que compra"</formula>
    </cfRule>
    <cfRule type="expression" dxfId="2079" priority="2163">
      <formula>G1254 = "Loja"</formula>
    </cfRule>
    <cfRule type="expression" dxfId="2078" priority="2174">
      <formula>G1254 = "Atacado"</formula>
    </cfRule>
    <cfRule type="expression" dxfId="2077" priority="2167">
      <formula>G1254 = "Tem que compra"</formula>
    </cfRule>
    <cfRule type="expression" dxfId="2076" priority="2168">
      <formula>G1254 = "Atacado"</formula>
    </cfRule>
    <cfRule type="expression" dxfId="2075" priority="2165">
      <formula>G1254 = "Estoque"</formula>
    </cfRule>
    <cfRule type="expression" dxfId="2074" priority="2166">
      <formula>G1254 = "Pendente"</formula>
    </cfRule>
    <cfRule type="expression" dxfId="2073" priority="2164">
      <formula>G1254 = "Vendido"</formula>
    </cfRule>
  </conditionalFormatting>
  <conditionalFormatting sqref="B1255">
    <cfRule type="expression" dxfId="2072" priority="2237">
      <formula>G1255 = "Loja"</formula>
    </cfRule>
    <cfRule type="expression" dxfId="2071" priority="2238">
      <formula>G1255 = "Vendido"</formula>
    </cfRule>
    <cfRule type="expression" dxfId="2070" priority="2240">
      <formula>G1255 = "Pendente"</formula>
    </cfRule>
    <cfRule type="expression" dxfId="2069" priority="2241">
      <formula>G1255 = "Tem que compra"</formula>
    </cfRule>
    <cfRule type="expression" dxfId="2068" priority="2242">
      <formula>G1255 = "Atacado"</formula>
    </cfRule>
    <cfRule type="expression" dxfId="2067" priority="2239">
      <formula>G1255 = "Estoque"</formula>
    </cfRule>
    <cfRule type="expression" dxfId="2066" priority="2234">
      <formula>G1255 = "Pendente"</formula>
    </cfRule>
    <cfRule type="expression" dxfId="2065" priority="2235">
      <formula>G1255 = "Tem que compra"</formula>
    </cfRule>
    <cfRule type="expression" dxfId="2064" priority="2236">
      <formula>G1255 = "Atacado"</formula>
    </cfRule>
  </conditionalFormatting>
  <conditionalFormatting sqref="B1256:B1258">
    <cfRule type="expression" dxfId="2063" priority="2092">
      <formula>G1256 = "Atacado"</formula>
    </cfRule>
    <cfRule type="expression" dxfId="2062" priority="2093">
      <formula>G1256 = "Loja"</formula>
    </cfRule>
    <cfRule type="expression" dxfId="2061" priority="2098">
      <formula>G1256 = "Atacado"</formula>
    </cfRule>
    <cfRule type="expression" dxfId="2060" priority="2097">
      <formula>G1256 = "Tem que compra"</formula>
    </cfRule>
    <cfRule type="expression" dxfId="2059" priority="2096">
      <formula>G1256 = "Pendente"</formula>
    </cfRule>
    <cfRule type="expression" dxfId="2058" priority="2095">
      <formula>G1256 = "Estoque"</formula>
    </cfRule>
    <cfRule type="expression" dxfId="2057" priority="2088">
      <formula>G1256 = "Vendido"</formula>
    </cfRule>
    <cfRule type="expression" dxfId="2056" priority="2087">
      <formula>G1256 = "Loja"</formula>
    </cfRule>
    <cfRule type="expression" dxfId="2055" priority="2094">
      <formula>G1256 = "Vendido"</formula>
    </cfRule>
    <cfRule type="expression" dxfId="2054" priority="2089">
      <formula>G1256 = "Estoque"</formula>
    </cfRule>
    <cfRule type="expression" dxfId="2053" priority="2090">
      <formula>G1256 = "Pendente"</formula>
    </cfRule>
    <cfRule type="expression" dxfId="2052" priority="2091">
      <formula>G1256 = "Tem que compra"</formula>
    </cfRule>
  </conditionalFormatting>
  <conditionalFormatting sqref="B1259:B1265">
    <cfRule type="expression" dxfId="2051" priority="2161">
      <formula>G1259 = "Tem que compra"</formula>
    </cfRule>
    <cfRule type="expression" dxfId="2050" priority="2160">
      <formula>G1259 = "Pendente"</formula>
    </cfRule>
    <cfRule type="expression" dxfId="2049" priority="2158">
      <formula>G1259 = "Vendido"</formula>
    </cfRule>
    <cfRule type="expression" dxfId="2048" priority="2157">
      <formula>G1259 = "Loja"</formula>
    </cfRule>
    <cfRule type="expression" dxfId="2047" priority="2156">
      <formula>G1259 = "Atacado"</formula>
    </cfRule>
    <cfRule type="expression" dxfId="2046" priority="2154">
      <formula>G1259 = "Pendente"</formula>
    </cfRule>
    <cfRule type="expression" dxfId="2045" priority="2159">
      <formula>G1259 = "Estoque"</formula>
    </cfRule>
    <cfRule type="expression" dxfId="2044" priority="2152">
      <formula>G1259 = "Vendido"</formula>
    </cfRule>
    <cfRule type="expression" dxfId="2043" priority="2144">
      <formula>G1259 = "Loja"</formula>
    </cfRule>
    <cfRule type="expression" dxfId="2042" priority="2155">
      <formula>G1259 = "Tem que compra"</formula>
    </cfRule>
    <cfRule type="expression" dxfId="2041" priority="2162">
      <formula>G1259 = "Atacado"</formula>
    </cfRule>
    <cfRule type="expression" dxfId="2040" priority="2153">
      <formula>G1259 = "Estoque"</formula>
    </cfRule>
  </conditionalFormatting>
  <conditionalFormatting sqref="B1262">
    <cfRule type="expression" dxfId="2039" priority="2139">
      <formula>G1262 = "Estoque"</formula>
    </cfRule>
    <cfRule type="expression" dxfId="2038" priority="2138">
      <formula>G1262 = "Vendido"</formula>
    </cfRule>
    <cfRule type="expression" dxfId="2037" priority="2137">
      <formula>G1262 = "Loja"</formula>
    </cfRule>
    <cfRule type="expression" dxfId="2036" priority="2136">
      <formula>G1262 = "Atacado"</formula>
    </cfRule>
    <cfRule type="expression" dxfId="2035" priority="2135">
      <formula>G1262 = "Tem que compra"</formula>
    </cfRule>
    <cfRule type="expression" dxfId="2034" priority="2134">
      <formula>G1262 = "Pendente"</formula>
    </cfRule>
    <cfRule type="expression" dxfId="2033" priority="2133">
      <formula>G1262 = "Estoque"</formula>
    </cfRule>
    <cfRule type="expression" dxfId="2032" priority="2132">
      <formula>G1262 = "Vendido"</formula>
    </cfRule>
    <cfRule type="expression" dxfId="2031" priority="2124">
      <formula>G1262 = "Loja"</formula>
    </cfRule>
    <cfRule type="expression" dxfId="2030" priority="2142">
      <formula>G1262 = "Atacado"</formula>
    </cfRule>
    <cfRule type="expression" dxfId="2029" priority="2141">
      <formula>G1262 = "Tem que compra"</formula>
    </cfRule>
    <cfRule type="expression" dxfId="2028" priority="2140">
      <formula>G1262 = "Pendente"</formula>
    </cfRule>
  </conditionalFormatting>
  <conditionalFormatting sqref="B1266">
    <cfRule type="expression" dxfId="2027" priority="2073">
      <formula>G1266 = "Loja"</formula>
    </cfRule>
    <cfRule type="expression" dxfId="2026" priority="2074">
      <formula>G1266 = "Vendido"</formula>
    </cfRule>
    <cfRule type="expression" dxfId="2025" priority="2075">
      <formula>G1266 = "Estoque"</formula>
    </cfRule>
    <cfRule type="expression" dxfId="2024" priority="2077">
      <formula>G1266 = "Tem que compra"</formula>
    </cfRule>
    <cfRule type="expression" dxfId="2023" priority="2078">
      <formula>G1266 = "Atacado"</formula>
    </cfRule>
    <cfRule type="expression" dxfId="2022" priority="2071">
      <formula>G1266 = "Tem que compra"</formula>
    </cfRule>
    <cfRule type="expression" dxfId="2021" priority="2070">
      <formula>G1266 = "Pendente"</formula>
    </cfRule>
    <cfRule type="expression" dxfId="2020" priority="2072">
      <formula>G1266 = "Atacado"</formula>
    </cfRule>
    <cfRule type="expression" dxfId="2019" priority="2076">
      <formula>G1266 = "Pendente"</formula>
    </cfRule>
  </conditionalFormatting>
  <conditionalFormatting sqref="B1266:B1267">
    <cfRule type="expression" dxfId="2018" priority="2062">
      <formula>G1266 = "Vendido"</formula>
    </cfRule>
    <cfRule type="expression" dxfId="2017" priority="2063">
      <formula>G1266 = "Estoque"</formula>
    </cfRule>
    <cfRule type="expression" dxfId="2016" priority="2061">
      <formula>G1266 = "Loja"</formula>
    </cfRule>
  </conditionalFormatting>
  <conditionalFormatting sqref="B1267">
    <cfRule type="expression" dxfId="2015" priority="2059">
      <formula>G1267 = "Tem que compra"</formula>
    </cfRule>
    <cfRule type="expression" dxfId="2014" priority="2060">
      <formula>G1267 = "Atacado"</formula>
    </cfRule>
    <cfRule type="expression" dxfId="2013" priority="2064">
      <formula>G1267 = "Pendente"</formula>
    </cfRule>
    <cfRule type="expression" dxfId="2012" priority="2065">
      <formula>G1267 = "Tem que compra"</formula>
    </cfRule>
    <cfRule type="expression" dxfId="2011" priority="2066">
      <formula>G1267 = "Atacado"</formula>
    </cfRule>
    <cfRule type="expression" dxfId="2010" priority="2058">
      <formula>G1267 = "Pendente"</formula>
    </cfRule>
  </conditionalFormatting>
  <conditionalFormatting sqref="B1267:B1268">
    <cfRule type="expression" dxfId="2009" priority="2041">
      <formula>G1267 = "Loja"</formula>
    </cfRule>
    <cfRule type="expression" dxfId="2008" priority="2042">
      <formula>G1267 = "Vendido"</formula>
    </cfRule>
    <cfRule type="expression" dxfId="2007" priority="2043">
      <formula>G1267 = "Estoque"</formula>
    </cfRule>
  </conditionalFormatting>
  <conditionalFormatting sqref="B1268">
    <cfRule type="expression" dxfId="2006" priority="2039">
      <formula>G1268 = "Tem que compra"</formula>
    </cfRule>
    <cfRule type="expression" dxfId="2005" priority="2040">
      <formula>G1268 = "Atacado"</formula>
    </cfRule>
    <cfRule type="expression" dxfId="2004" priority="2038">
      <formula>G1268 = "Pendente"</formula>
    </cfRule>
    <cfRule type="expression" dxfId="2003" priority="2044">
      <formula>G1268 = "Pendente"</formula>
    </cfRule>
    <cfRule type="expression" dxfId="2002" priority="2045">
      <formula>G1268 = "Tem que compra"</formula>
    </cfRule>
    <cfRule type="expression" dxfId="2001" priority="2046">
      <formula>G1268 = "Atacado"</formula>
    </cfRule>
  </conditionalFormatting>
  <conditionalFormatting sqref="B1268:B1272">
    <cfRule type="expression" dxfId="2000" priority="487">
      <formula>G1268 = "Estoque"</formula>
    </cfRule>
    <cfRule type="expression" dxfId="1999" priority="485">
      <formula>G1268 = "Loja"</formula>
    </cfRule>
    <cfRule type="expression" dxfId="1998" priority="486">
      <formula>G1268 = "Vendido"</formula>
    </cfRule>
  </conditionalFormatting>
  <conditionalFormatting sqref="B1269:B1272">
    <cfRule type="expression" dxfId="1997" priority="484">
      <formula>G1269 = "Atacado"</formula>
    </cfRule>
    <cfRule type="expression" dxfId="1996" priority="482">
      <formula>G1269 = "Pendente"</formula>
    </cfRule>
    <cfRule type="expression" dxfId="1995" priority="490">
      <formula>G1269 = "Atacado"</formula>
    </cfRule>
    <cfRule type="expression" dxfId="1994" priority="489">
      <formula>G1269 = "Tem que compra"</formula>
    </cfRule>
    <cfRule type="expression" dxfId="1993" priority="488">
      <formula>G1269 = "Pendente"</formula>
    </cfRule>
    <cfRule type="expression" dxfId="1992" priority="472">
      <formula>G1269 = "Loja"</formula>
    </cfRule>
    <cfRule type="expression" dxfId="1991" priority="480">
      <formula>G1269 = "Vendido"</formula>
    </cfRule>
    <cfRule type="expression" dxfId="1990" priority="481">
      <formula>G1269 = "Estoque"</formula>
    </cfRule>
    <cfRule type="expression" dxfId="1989" priority="483">
      <formula>G1269 = "Tem que compra"</formula>
    </cfRule>
  </conditionalFormatting>
  <conditionalFormatting sqref="B1270">
    <cfRule type="expression" dxfId="1988" priority="469">
      <formula>G1270 = "Tem que compra"</formula>
    </cfRule>
    <cfRule type="expression" dxfId="1987" priority="461">
      <formula>G1270 = "Estoque"</formula>
    </cfRule>
    <cfRule type="expression" dxfId="1986" priority="460">
      <formula>G1270 = "Vendido"</formula>
    </cfRule>
    <cfRule type="expression" dxfId="1985" priority="452">
      <formula>G1270 = "Loja"</formula>
    </cfRule>
    <cfRule type="expression" dxfId="1984" priority="470">
      <formula>G1270 = "Atacado"</formula>
    </cfRule>
    <cfRule type="expression" dxfId="1983" priority="462">
      <formula>G1270 = "Pendente"</formula>
    </cfRule>
    <cfRule type="expression" dxfId="1982" priority="468">
      <formula>G1270 = "Pendente"</formula>
    </cfRule>
    <cfRule type="expression" dxfId="1981" priority="463">
      <formula>G1270 = "Tem que compra"</formula>
    </cfRule>
    <cfRule type="expression" dxfId="1980" priority="464">
      <formula>G1270 = "Atacado"</formula>
    </cfRule>
    <cfRule type="expression" dxfId="1979" priority="465">
      <formula>G1270 = "Loja"</formula>
    </cfRule>
    <cfRule type="expression" dxfId="1978" priority="466">
      <formula>G1270 = "Vendido"</formula>
    </cfRule>
    <cfRule type="expression" dxfId="1977" priority="467">
      <formula>G1270 = "Estoque"</formula>
    </cfRule>
  </conditionalFormatting>
  <conditionalFormatting sqref="B1273:B1277">
    <cfRule type="expression" dxfId="1976" priority="2020">
      <formula>G1273 = "Atacado"</formula>
    </cfRule>
    <cfRule type="expression" dxfId="1975" priority="2021">
      <formula>G1273 = "Loja"</formula>
    </cfRule>
    <cfRule type="expression" dxfId="1974" priority="2016">
      <formula>G1273 = "Vendido"</formula>
    </cfRule>
    <cfRule type="expression" dxfId="1973" priority="2008">
      <formula>G1273 = "Loja"</formula>
    </cfRule>
    <cfRule type="expression" dxfId="1972" priority="2017">
      <formula>G1273 = "Estoque"</formula>
    </cfRule>
    <cfRule type="expression" dxfId="1971" priority="2026">
      <formula>G1273 = "Atacado"</formula>
    </cfRule>
    <cfRule type="expression" dxfId="1970" priority="2018">
      <formula>G1273 = "Pendente"</formula>
    </cfRule>
    <cfRule type="expression" dxfId="1969" priority="2024">
      <formula>G1273 = "Pendente"</formula>
    </cfRule>
    <cfRule type="expression" dxfId="1968" priority="2019">
      <formula>G1273 = "Tem que compra"</formula>
    </cfRule>
    <cfRule type="expression" dxfId="1967" priority="2025">
      <formula>G1273 = "Tem que compra"</formula>
    </cfRule>
  </conditionalFormatting>
  <conditionalFormatting sqref="B1273:B1278">
    <cfRule type="expression" dxfId="1966" priority="2022">
      <formula>G1273 = "Vendido"</formula>
    </cfRule>
    <cfRule type="expression" dxfId="1965" priority="2023">
      <formula>G1273 = "Estoque"</formula>
    </cfRule>
  </conditionalFormatting>
  <conditionalFormatting sqref="B1274">
    <cfRule type="expression" dxfId="1964" priority="2006">
      <formula>G1274 = "Atacado"</formula>
    </cfRule>
    <cfRule type="expression" dxfId="1963" priority="2005">
      <formula>G1274 = "Tem que compra"</formula>
    </cfRule>
    <cfRule type="expression" dxfId="1962" priority="2004">
      <formula>G1274 = "Pendente"</formula>
    </cfRule>
    <cfRule type="expression" dxfId="1961" priority="2003">
      <formula>G1274 = "Estoque"</formula>
    </cfRule>
    <cfRule type="expression" dxfId="1960" priority="2001">
      <formula>G1274 = "Loja"</formula>
    </cfRule>
    <cfRule type="expression" dxfId="1959" priority="2000">
      <formula>G1274 = "Atacado"</formula>
    </cfRule>
    <cfRule type="expression" dxfId="1958" priority="1998">
      <formula>G1274 = "Pendente"</formula>
    </cfRule>
    <cfRule type="expression" dxfId="1957" priority="1997">
      <formula>G1274 = "Estoque"</formula>
    </cfRule>
    <cfRule type="expression" dxfId="1956" priority="1996">
      <formula>G1274 = "Vendido"</formula>
    </cfRule>
    <cfRule type="expression" dxfId="1955" priority="1988">
      <formula>G1274 = "Loja"</formula>
    </cfRule>
    <cfRule type="expression" dxfId="1954" priority="1999">
      <formula>G1274 = "Tem que compra"</formula>
    </cfRule>
    <cfRule type="expression" dxfId="1953" priority="2002">
      <formula>G1274 = "Vendido"</formula>
    </cfRule>
  </conditionalFormatting>
  <conditionalFormatting sqref="B1278:B1279">
    <cfRule type="expression" dxfId="1952" priority="1953">
      <formula>G1278 = "Loja"</formula>
    </cfRule>
  </conditionalFormatting>
  <conditionalFormatting sqref="B1279">
    <cfRule type="expression" dxfId="1951" priority="1950">
      <formula>G1279 = "Pendente"</formula>
    </cfRule>
    <cfRule type="expression" dxfId="1950" priority="1952">
      <formula>G1279 = "Atacado"</formula>
    </cfRule>
    <cfRule type="expression" dxfId="1949" priority="1954">
      <formula>G1279 = "Vendido"</formula>
    </cfRule>
    <cfRule type="expression" dxfId="1948" priority="1955">
      <formula>G1279 = "Estoque"</formula>
    </cfRule>
    <cfRule type="expression" dxfId="1947" priority="1956">
      <formula>G1279 = "Pendente"</formula>
    </cfRule>
    <cfRule type="expression" dxfId="1946" priority="1957">
      <formula>G1279 = "Tem que compra"</formula>
    </cfRule>
    <cfRule type="expression" dxfId="1945" priority="1958">
      <formula>G1279 = "Atacado"</formula>
    </cfRule>
    <cfRule type="expression" dxfId="1944" priority="1951">
      <formula>G1279 = "Tem que compra"</formula>
    </cfRule>
  </conditionalFormatting>
  <conditionalFormatting sqref="B1279:B1280">
    <cfRule type="expression" dxfId="1943" priority="1934">
      <formula>G1279 = "Vendido"</formula>
    </cfRule>
    <cfRule type="expression" dxfId="1942" priority="1933">
      <formula>G1279 = "Loja"</formula>
    </cfRule>
    <cfRule type="expression" dxfId="1941" priority="1935">
      <formula>G1279 = "Estoque"</formula>
    </cfRule>
  </conditionalFormatting>
  <conditionalFormatting sqref="B1280">
    <cfRule type="expression" dxfId="1940" priority="1932">
      <formula>G1280 = "Atacado"</formula>
    </cfRule>
    <cfRule type="expression" dxfId="1939" priority="1931">
      <formula>G1280 = "Tem que compra"</formula>
    </cfRule>
    <cfRule type="expression" dxfId="1938" priority="1930">
      <formula>G1280 = "Pendente"</formula>
    </cfRule>
    <cfRule type="expression" dxfId="1937" priority="1938">
      <formula>G1280 = "Atacado"</formula>
    </cfRule>
    <cfRule type="expression" dxfId="1936" priority="1937">
      <formula>G1280 = "Tem que compra"</formula>
    </cfRule>
    <cfRule type="expression" dxfId="1935" priority="1936">
      <formula>G1280 = "Pendente"</formula>
    </cfRule>
  </conditionalFormatting>
  <conditionalFormatting sqref="B1280:B1282">
    <cfRule type="expression" dxfId="1934" priority="1915">
      <formula>G1280 = "Estoque"</formula>
    </cfRule>
    <cfRule type="expression" dxfId="1933" priority="1914">
      <formula>G1280 = "Vendido"</formula>
    </cfRule>
    <cfRule type="expression" dxfId="1932" priority="1913">
      <formula>G1280 = "Loja"</formula>
    </cfRule>
  </conditionalFormatting>
  <conditionalFormatting sqref="B1281">
    <cfRule type="expression" dxfId="1931" priority="1918">
      <formula>G1281 = "Atacado"</formula>
    </cfRule>
    <cfRule type="expression" dxfId="1930" priority="1917">
      <formula>G1281 = "Tem que compra"</formula>
    </cfRule>
    <cfRule type="expression" dxfId="1929" priority="1916">
      <formula>G1281 = "Pendente"</formula>
    </cfRule>
    <cfRule type="expression" dxfId="1928" priority="1912">
      <formula>G1281 = "Atacado"</formula>
    </cfRule>
    <cfRule type="expression" dxfId="1927" priority="1911">
      <formula>G1281 = "Tem que compra"</formula>
    </cfRule>
    <cfRule type="expression" dxfId="1926" priority="1910">
      <formula>G1281 = "Pendente"</formula>
    </cfRule>
    <cfRule type="expression" dxfId="1925" priority="1909">
      <formula>G1281 = "Estoque"</formula>
    </cfRule>
    <cfRule type="expression" dxfId="1924" priority="1908">
      <formula>G1281 = "Vendido"</formula>
    </cfRule>
    <cfRule type="expression" dxfId="1923" priority="1907">
      <formula>G1281 = "Loja"</formula>
    </cfRule>
  </conditionalFormatting>
  <conditionalFormatting sqref="B1282">
    <cfRule type="expression" dxfId="1922" priority="1982">
      <formula>G1282 = "Vendido"</formula>
    </cfRule>
    <cfRule type="expression" dxfId="1921" priority="1978">
      <formula>G1282 = "Pendente"</formula>
    </cfRule>
    <cfRule type="expression" dxfId="1920" priority="1981">
      <formula>G1282 = "Loja"</formula>
    </cfRule>
    <cfRule type="expression" dxfId="1919" priority="1983">
      <formula>G1282 = "Estoque"</formula>
    </cfRule>
    <cfRule type="expression" dxfId="1918" priority="1979">
      <formula>G1282 = "Tem que compra"</formula>
    </cfRule>
    <cfRule type="expression" dxfId="1917" priority="1984">
      <formula>G1282 = "Pendente"</formula>
    </cfRule>
    <cfRule type="expression" dxfId="1916" priority="1980">
      <formula>G1282 = "Atacado"</formula>
    </cfRule>
    <cfRule type="expression" dxfId="1915" priority="1985">
      <formula>G1282 = "Tem que compra"</formula>
    </cfRule>
    <cfRule type="expression" dxfId="1914" priority="1986">
      <formula>G1282 = "Atacado"</formula>
    </cfRule>
  </conditionalFormatting>
  <conditionalFormatting sqref="B1283:B1284">
    <cfRule type="expression" dxfId="1913" priority="1885">
      <formula>G1283 = "Loja"</formula>
    </cfRule>
    <cfRule type="expression" dxfId="1912" priority="1887">
      <formula>G1283 = "Estoque"</formula>
    </cfRule>
    <cfRule type="expression" dxfId="1911" priority="1884">
      <formula>G1283 = "Atacado"</formula>
    </cfRule>
    <cfRule type="expression" dxfId="1910" priority="1883">
      <formula>G1283 = "Tem que compra"</formula>
    </cfRule>
    <cfRule type="expression" dxfId="1909" priority="1882">
      <formula>G1283 = "Pendente"</formula>
    </cfRule>
    <cfRule type="expression" dxfId="1908" priority="1888">
      <formula>G1283 = "Pendente"</formula>
    </cfRule>
    <cfRule type="expression" dxfId="1907" priority="1889">
      <formula>G1283 = "Tem que compra"</formula>
    </cfRule>
    <cfRule type="expression" dxfId="1906" priority="1886">
      <formula>G1283 = "Vendido"</formula>
    </cfRule>
    <cfRule type="expression" dxfId="1905" priority="1890">
      <formula>G1283 = "Atacado"</formula>
    </cfRule>
  </conditionalFormatting>
  <conditionalFormatting sqref="B1283:B1286">
    <cfRule type="expression" dxfId="1904" priority="1847">
      <formula>G1283 = "Estoque"</formula>
    </cfRule>
    <cfRule type="expression" dxfId="1903" priority="1846">
      <formula>G1283 = "Vendido"</formula>
    </cfRule>
    <cfRule type="expression" dxfId="1902" priority="1845">
      <formula>G1283 = "Loja"</formula>
    </cfRule>
  </conditionalFormatting>
  <conditionalFormatting sqref="B1285">
    <cfRule type="expression" dxfId="1901" priority="1848">
      <formula>G1285 = "Pendente"</formula>
    </cfRule>
    <cfRule type="expression" dxfId="1900" priority="1844">
      <formula>G1285 = "Atacado"</formula>
    </cfRule>
    <cfRule type="expression" dxfId="1899" priority="1843">
      <formula>G1285 = "Tem que compra"</formula>
    </cfRule>
    <cfRule type="expression" dxfId="1898" priority="1842">
      <formula>G1285 = "Pendente"</formula>
    </cfRule>
    <cfRule type="expression" dxfId="1897" priority="1849">
      <formula>G1285 = "Tem que compra"</formula>
    </cfRule>
    <cfRule type="expression" dxfId="1896" priority="1840">
      <formula>G1285 = "Vendido"</formula>
    </cfRule>
    <cfRule type="expression" dxfId="1895" priority="1839">
      <formula>G1285 = "Loja"</formula>
    </cfRule>
    <cfRule type="expression" dxfId="1894" priority="1850">
      <formula>G1285 = "Atacado"</formula>
    </cfRule>
    <cfRule type="expression" dxfId="1893" priority="1841">
      <formula>G1285 = "Estoque"</formula>
    </cfRule>
  </conditionalFormatting>
  <conditionalFormatting sqref="B1286">
    <cfRule type="expression" dxfId="1892" priority="1864">
      <formula>G1286 = "Atacado"</formula>
    </cfRule>
    <cfRule type="expression" dxfId="1891" priority="1863">
      <formula>G1286 = "Tem que compra"</formula>
    </cfRule>
    <cfRule type="expression" dxfId="1890" priority="1862">
      <formula>G1286 = "Pendente"</formula>
    </cfRule>
    <cfRule type="expression" dxfId="1889" priority="1869">
      <formula>G1286 = "Tem que compra"</formula>
    </cfRule>
    <cfRule type="expression" dxfId="1888" priority="1870">
      <formula>G1286 = "Atacado"</formula>
    </cfRule>
    <cfRule type="expression" dxfId="1887" priority="1868">
      <formula>G1286 = "Pendente"</formula>
    </cfRule>
    <cfRule type="expression" dxfId="1886" priority="1867">
      <formula>G1286 = "Estoque"</formula>
    </cfRule>
    <cfRule type="expression" dxfId="1885" priority="1866">
      <formula>G1286 = "Vendido"</formula>
    </cfRule>
    <cfRule type="expression" dxfId="1884" priority="1865">
      <formula>G1286 = "Loja"</formula>
    </cfRule>
  </conditionalFormatting>
  <conditionalFormatting sqref="B1287">
    <cfRule type="expression" dxfId="1883" priority="1828">
      <formula>G1287 = "Pendente"</formula>
    </cfRule>
    <cfRule type="expression" dxfId="1882" priority="1827">
      <formula>G1287 = "Estoque"</formula>
    </cfRule>
    <cfRule type="expression" dxfId="1881" priority="1826">
      <formula>G1287 = "Vendido"</formula>
    </cfRule>
    <cfRule type="expression" dxfId="1880" priority="1825">
      <formula>G1287 = "Loja"</formula>
    </cfRule>
    <cfRule type="expression" dxfId="1879" priority="1824">
      <formula>G1287 = "Atacado"</formula>
    </cfRule>
    <cfRule type="expression" dxfId="1878" priority="1823">
      <formula>G1287 = "Tem que compra"</formula>
    </cfRule>
    <cfRule type="expression" dxfId="1877" priority="1822">
      <formula>G1287 = "Pendente"</formula>
    </cfRule>
    <cfRule type="expression" dxfId="1876" priority="1830">
      <formula>G1287 = "Atacado"</formula>
    </cfRule>
    <cfRule type="expression" dxfId="1875" priority="1829">
      <formula>G1287 = "Tem que compra"</formula>
    </cfRule>
  </conditionalFormatting>
  <conditionalFormatting sqref="B1287:B1288">
    <cfRule type="expression" dxfId="1874" priority="1806">
      <formula>G1287 = "Vendido"</formula>
    </cfRule>
    <cfRule type="expression" dxfId="1873" priority="1805">
      <formula>G1287 = "Loja"</formula>
    </cfRule>
    <cfRule type="expression" dxfId="1872" priority="1807">
      <formula>G1287 = "Estoque"</formula>
    </cfRule>
  </conditionalFormatting>
  <conditionalFormatting sqref="B1288">
    <cfRule type="expression" dxfId="1871" priority="1804">
      <formula>G1288 = "Atacado"</formula>
    </cfRule>
    <cfRule type="expression" dxfId="1870" priority="1803">
      <formula>G1288 = "Tem que compra"</formula>
    </cfRule>
    <cfRule type="expression" dxfId="1869" priority="1802">
      <formula>G1288 = "Pendente"</formula>
    </cfRule>
    <cfRule type="expression" dxfId="1868" priority="1810">
      <formula>G1288 = "Atacado"</formula>
    </cfRule>
    <cfRule type="expression" dxfId="1867" priority="1809">
      <formula>G1288 = "Tem que compra"</formula>
    </cfRule>
    <cfRule type="expression" dxfId="1866" priority="1808">
      <formula>G1288 = "Pendente"</formula>
    </cfRule>
  </conditionalFormatting>
  <conditionalFormatting sqref="B1288:B1298">
    <cfRule type="expression" dxfId="1865" priority="1787">
      <formula>G1288 = "Estoque"</formula>
    </cfRule>
    <cfRule type="expression" dxfId="1864" priority="1786">
      <formula>G1288 = "Vendido"</formula>
    </cfRule>
    <cfRule type="expression" dxfId="1863" priority="1785">
      <formula>G1288 = "Loja"</formula>
    </cfRule>
  </conditionalFormatting>
  <conditionalFormatting sqref="B1289:B1297">
    <cfRule type="expression" dxfId="1862" priority="1780">
      <formula>G1289 = "Vendido"</formula>
    </cfRule>
    <cfRule type="expression" dxfId="1861" priority="1789">
      <formula>G1289 = "Tem que compra"</formula>
    </cfRule>
    <cfRule type="expression" dxfId="1860" priority="1788">
      <formula>G1289 = "Pendente"</formula>
    </cfRule>
    <cfRule type="expression" dxfId="1859" priority="1784">
      <formula>G1289 = "Atacado"</formula>
    </cfRule>
    <cfRule type="expression" dxfId="1858" priority="1783">
      <formula>G1289 = "Tem que compra"</formula>
    </cfRule>
    <cfRule type="expression" dxfId="1857" priority="1782">
      <formula>G1289 = "Pendente"</formula>
    </cfRule>
    <cfRule type="expression" dxfId="1856" priority="1781">
      <formula>G1289 = "Estoque"</formula>
    </cfRule>
    <cfRule type="expression" dxfId="1855" priority="1779">
      <formula>G1289 = "Loja"</formula>
    </cfRule>
    <cfRule type="expression" dxfId="1854" priority="1790">
      <formula>G1289 = "Atacado"</formula>
    </cfRule>
  </conditionalFormatting>
  <conditionalFormatting sqref="B1299">
    <cfRule type="expression" dxfId="1853" priority="1772">
      <formula>G1299 = "Atacado"</formula>
    </cfRule>
    <cfRule type="expression" dxfId="1852" priority="1771">
      <formula>G1299 = "Tem que compra"</formula>
    </cfRule>
    <cfRule type="expression" dxfId="1851" priority="1770">
      <formula>G1299 = "Pendente"</formula>
    </cfRule>
    <cfRule type="expression" dxfId="1850" priority="1776">
      <formula>G1299 = "Pendente"</formula>
    </cfRule>
    <cfRule type="expression" dxfId="1849" priority="1777">
      <formula>G1299 = "Tem que compra"</formula>
    </cfRule>
    <cfRule type="expression" dxfId="1848" priority="1778">
      <formula>G1299 = "Atacado"</formula>
    </cfRule>
    <cfRule type="expression" dxfId="1847" priority="1769">
      <formula>G1299 = "Estoque"</formula>
    </cfRule>
    <cfRule type="expression" dxfId="1846" priority="1768">
      <formula>G1299 = "Vendido"</formula>
    </cfRule>
    <cfRule type="expression" dxfId="1845" priority="1767">
      <formula>G1299 = "Loja"</formula>
    </cfRule>
  </conditionalFormatting>
  <conditionalFormatting sqref="B1299:B1302">
    <cfRule type="expression" dxfId="1844" priority="1773">
      <formula>G1299 = "Loja"</formula>
    </cfRule>
    <cfRule type="expression" dxfId="1843" priority="1774">
      <formula>G1299 = "Vendido"</formula>
    </cfRule>
    <cfRule type="expression" dxfId="1842" priority="1775">
      <formula>G1299 = "Estoque"</formula>
    </cfRule>
  </conditionalFormatting>
  <conditionalFormatting sqref="B1303">
    <cfRule type="expression" dxfId="1841" priority="1757">
      <formula>G1303 = "Tem que compra"</formula>
    </cfRule>
    <cfRule type="expression" dxfId="1840" priority="1756">
      <formula>G1303 = "Pendente"</formula>
    </cfRule>
    <cfRule type="expression" dxfId="1839" priority="1750">
      <formula>G1303 = "Pendente"</formula>
    </cfRule>
    <cfRule type="expression" dxfId="1838" priority="1758">
      <formula>G1303 = "Atacado"</formula>
    </cfRule>
    <cfRule type="expression" dxfId="1837" priority="1753">
      <formula>G1303 = "Loja"</formula>
    </cfRule>
    <cfRule type="expression" dxfId="1836" priority="1751">
      <formula>G1303 = "Tem que compra"</formula>
    </cfRule>
    <cfRule type="expression" dxfId="1835" priority="1752">
      <formula>G1303 = "Atacado"</formula>
    </cfRule>
    <cfRule type="expression" dxfId="1834" priority="1754">
      <formula>G1303 = "Vendido"</formula>
    </cfRule>
    <cfRule type="expression" dxfId="1833" priority="1755">
      <formula>G1303 = "Estoque"</formula>
    </cfRule>
  </conditionalFormatting>
  <conditionalFormatting sqref="B1303:B1304">
    <cfRule type="expression" dxfId="1832" priority="407">
      <formula>G1303 = "Estoque"</formula>
    </cfRule>
    <cfRule type="expression" dxfId="1831" priority="406">
      <formula>G1303 = "Vendido"</formula>
    </cfRule>
    <cfRule type="expression" dxfId="1830" priority="405">
      <formula>G1303 = "Loja"</formula>
    </cfRule>
  </conditionalFormatting>
  <conditionalFormatting sqref="B1304">
    <cfRule type="expression" dxfId="1829" priority="410">
      <formula>G1304 = "Atacado"</formula>
    </cfRule>
    <cfRule type="expression" dxfId="1828" priority="409">
      <formula>G1304 = "Tem que compra"</formula>
    </cfRule>
    <cfRule type="expression" dxfId="1827" priority="408">
      <formula>G1304 = "Pendente"</formula>
    </cfRule>
    <cfRule type="expression" dxfId="1826" priority="404">
      <formula>G1304 = "Atacado"</formula>
    </cfRule>
    <cfRule type="expression" dxfId="1825" priority="403">
      <formula>G1304 = "Tem que compra"</formula>
    </cfRule>
    <cfRule type="expression" dxfId="1824" priority="402">
      <formula>G1304 = "Pendente"</formula>
    </cfRule>
  </conditionalFormatting>
  <conditionalFormatting sqref="B1304:B1305">
    <cfRule type="expression" dxfId="1823" priority="385">
      <formula>G1304 = "Loja"</formula>
    </cfRule>
    <cfRule type="expression" dxfId="1822" priority="386">
      <formula>G1304 = "Vendido"</formula>
    </cfRule>
    <cfRule type="expression" dxfId="1821" priority="387">
      <formula>G1304 = "Estoque"</formula>
    </cfRule>
  </conditionalFormatting>
  <conditionalFormatting sqref="B1305">
    <cfRule type="expression" dxfId="1820" priority="389">
      <formula>G1305 = "Tem que compra"</formula>
    </cfRule>
    <cfRule type="expression" dxfId="1819" priority="390">
      <formula>G1305 = "Atacado"</formula>
    </cfRule>
    <cfRule type="expression" dxfId="1818" priority="382">
      <formula>G1305 = "Pendente"</formula>
    </cfRule>
    <cfRule type="expression" dxfId="1817" priority="383">
      <formula>G1305 = "Tem que compra"</formula>
    </cfRule>
    <cfRule type="expression" dxfId="1816" priority="384">
      <formula>G1305 = "Atacado"</formula>
    </cfRule>
    <cfRule type="expression" dxfId="1815" priority="388">
      <formula>G1305 = "Pendente"</formula>
    </cfRule>
  </conditionalFormatting>
  <conditionalFormatting sqref="B1305:B1313">
    <cfRule type="expression" dxfId="1814" priority="365">
      <formula>G1305 = "Loja"</formula>
    </cfRule>
    <cfRule type="expression" dxfId="1813" priority="367">
      <formula>G1305 = "Estoque"</formula>
    </cfRule>
    <cfRule type="expression" dxfId="1812" priority="366">
      <formula>G1305 = "Vendido"</formula>
    </cfRule>
  </conditionalFormatting>
  <conditionalFormatting sqref="B1306:B1312">
    <cfRule type="expression" dxfId="1811" priority="368">
      <formula>G1306 = "Pendente"</formula>
    </cfRule>
    <cfRule type="expression" dxfId="1810" priority="359">
      <formula>G1306 = "Loja"</formula>
    </cfRule>
    <cfRule type="expression" dxfId="1809" priority="360">
      <formula>G1306 = "Vendido"</formula>
    </cfRule>
    <cfRule type="expression" dxfId="1808" priority="362">
      <formula>G1306 = "Pendente"</formula>
    </cfRule>
    <cfRule type="expression" dxfId="1807" priority="370">
      <formula>G1306 = "Atacado"</formula>
    </cfRule>
    <cfRule type="expression" dxfId="1806" priority="369">
      <formula>G1306 = "Tem que compra"</formula>
    </cfRule>
    <cfRule type="expression" dxfId="1805" priority="361">
      <formula>G1306 = "Estoque"</formula>
    </cfRule>
    <cfRule type="expression" dxfId="1804" priority="363">
      <formula>G1306 = "Tem que compra"</formula>
    </cfRule>
    <cfRule type="expression" dxfId="1803" priority="364">
      <formula>G1306 = "Atacado"</formula>
    </cfRule>
  </conditionalFormatting>
  <conditionalFormatting sqref="B1313">
    <cfRule type="expression" dxfId="1802" priority="1738">
      <formula>G1313 = "Atacado"</formula>
    </cfRule>
    <cfRule type="expression" dxfId="1801" priority="1736">
      <formula>G1313 = "Pendente"</formula>
    </cfRule>
    <cfRule type="expression" dxfId="1800" priority="1737">
      <formula>G1313 = "Tem que compra"</formula>
    </cfRule>
    <cfRule type="expression" dxfId="1799" priority="1732">
      <formula>G1313 = "Atacado"</formula>
    </cfRule>
    <cfRule type="expression" dxfId="1798" priority="1730">
      <formula>G1313 = "Pendente"</formula>
    </cfRule>
    <cfRule type="expression" dxfId="1797" priority="1731">
      <formula>G1313 = "Tem que compra"</formula>
    </cfRule>
  </conditionalFormatting>
  <conditionalFormatting sqref="B1313:B1314">
    <cfRule type="expression" dxfId="1796" priority="1734">
      <formula>G1313 = "Vendido"</formula>
    </cfRule>
    <cfRule type="expression" dxfId="1795" priority="1733">
      <formula>G1313 = "Loja"</formula>
    </cfRule>
    <cfRule type="expression" dxfId="1794" priority="1735">
      <formula>G1313 = "Estoque"</formula>
    </cfRule>
  </conditionalFormatting>
  <conditionalFormatting sqref="B1315">
    <cfRule type="expression" dxfId="1793" priority="1717">
      <formula>G1315 = "Tem que compra"</formula>
    </cfRule>
    <cfRule type="expression" dxfId="1792" priority="1716">
      <formula>G1315 = "Pendente"</formula>
    </cfRule>
    <cfRule type="expression" dxfId="1791" priority="1715">
      <formula>G1315 = "Estoque"</formula>
    </cfRule>
    <cfRule type="expression" dxfId="1790" priority="1710">
      <formula>G1315 = "Pendente"</formula>
    </cfRule>
    <cfRule type="expression" dxfId="1789" priority="1711">
      <formula>G1315 = "Tem que compra"</formula>
    </cfRule>
    <cfRule type="expression" dxfId="1788" priority="1712">
      <formula>G1315 = "Atacado"</formula>
    </cfRule>
    <cfRule type="expression" dxfId="1787" priority="1714">
      <formula>G1315 = "Vendido"</formula>
    </cfRule>
    <cfRule type="expression" dxfId="1786" priority="1713">
      <formula>G1315 = "Loja"</formula>
    </cfRule>
    <cfRule type="expression" dxfId="1785" priority="1718">
      <formula>G1315 = "Atacado"</formula>
    </cfRule>
  </conditionalFormatting>
  <conditionalFormatting sqref="B1315:B1328">
    <cfRule type="expression" dxfId="1784" priority="1695">
      <formula>G1315 = "Estoque"</formula>
    </cfRule>
    <cfRule type="expression" dxfId="1783" priority="1693">
      <formula>G1315 = "Loja"</formula>
    </cfRule>
    <cfRule type="expression" dxfId="1782" priority="1694">
      <formula>G1315 = "Vendido"</formula>
    </cfRule>
  </conditionalFormatting>
  <conditionalFormatting sqref="B1316:B1326">
    <cfRule type="expression" dxfId="1781" priority="1692">
      <formula>G1316 = "Atacado"</formula>
    </cfRule>
    <cfRule type="expression" dxfId="1780" priority="1691">
      <formula>G1316 = "Tem que compra"</formula>
    </cfRule>
    <cfRule type="expression" dxfId="1779" priority="1698">
      <formula>G1316 = "Atacado"</formula>
    </cfRule>
    <cfRule type="expression" dxfId="1778" priority="1697">
      <formula>G1316 = "Tem que compra"</formula>
    </cfRule>
    <cfRule type="expression" dxfId="1777" priority="1696">
      <formula>G1316 = "Pendente"</formula>
    </cfRule>
    <cfRule type="expression" dxfId="1776" priority="1688">
      <formula>G1316 = "Vendido"</formula>
    </cfRule>
    <cfRule type="expression" dxfId="1775" priority="1689">
      <formula>G1316 = "Estoque"</formula>
    </cfRule>
    <cfRule type="expression" dxfId="1774" priority="1687">
      <formula>G1316 = "Loja"</formula>
    </cfRule>
    <cfRule type="expression" dxfId="1773" priority="1690">
      <formula>G1316 = "Pendente"</formula>
    </cfRule>
  </conditionalFormatting>
  <conditionalFormatting sqref="B1329">
    <cfRule type="expression" dxfId="1772" priority="1678">
      <formula>G1329 = "Pendente"</formula>
    </cfRule>
    <cfRule type="expression" dxfId="1771" priority="1679">
      <formula>G1329 = "Tem que compra"</formula>
    </cfRule>
    <cfRule type="expression" dxfId="1770" priority="1680">
      <formula>G1329 = "Atacado"</formula>
    </cfRule>
    <cfRule type="expression" dxfId="1769" priority="1684">
      <formula>G1329 = "Pendente"</formula>
    </cfRule>
    <cfRule type="expression" dxfId="1768" priority="1685">
      <formula>G1329 = "Tem que compra"</formula>
    </cfRule>
    <cfRule type="expression" dxfId="1767" priority="1686">
      <formula>G1329 = "Atacado"</formula>
    </cfRule>
    <cfRule type="expression" dxfId="1766" priority="1676">
      <formula>G1329 = "Vendido"</formula>
    </cfRule>
    <cfRule type="expression" dxfId="1765" priority="1675">
      <formula>G1329 = "Loja"</formula>
    </cfRule>
    <cfRule type="expression" dxfId="1764" priority="1677">
      <formula>G1329 = "Estoque"</formula>
    </cfRule>
  </conditionalFormatting>
  <conditionalFormatting sqref="B1329:B1330">
    <cfRule type="expression" dxfId="1763" priority="1681">
      <formula>G1329 = "Loja"</formula>
    </cfRule>
    <cfRule type="expression" dxfId="1762" priority="1683">
      <formula>G1329 = "Estoque"</formula>
    </cfRule>
    <cfRule type="expression" dxfId="1761" priority="1682">
      <formula>G1329 = "Vendido"</formula>
    </cfRule>
  </conditionalFormatting>
  <conditionalFormatting sqref="B1331">
    <cfRule type="expression" dxfId="1760" priority="1666">
      <formula>G1331 = "Atacado"</formula>
    </cfRule>
    <cfRule type="expression" dxfId="1759" priority="1658">
      <formula>G1331 = "Pendente"</formula>
    </cfRule>
    <cfRule type="expression" dxfId="1758" priority="1659">
      <formula>G1331 = "Tem que compra"</formula>
    </cfRule>
    <cfRule type="expression" dxfId="1757" priority="1665">
      <formula>G1331 = "Tem que compra"</formula>
    </cfRule>
    <cfRule type="expression" dxfId="1756" priority="1661">
      <formula>G1331 = "Loja"</formula>
    </cfRule>
    <cfRule type="expression" dxfId="1755" priority="1663">
      <formula>G1331 = "Estoque"</formula>
    </cfRule>
    <cfRule type="expression" dxfId="1754" priority="1662">
      <formula>G1331 = "Vendido"</formula>
    </cfRule>
    <cfRule type="expression" dxfId="1753" priority="1664">
      <formula>G1331 = "Pendente"</formula>
    </cfRule>
    <cfRule type="expression" dxfId="1752" priority="1660">
      <formula>G1331 = "Atacado"</formula>
    </cfRule>
  </conditionalFormatting>
  <conditionalFormatting sqref="B1331:B1332">
    <cfRule type="expression" dxfId="1751" priority="1642">
      <formula>G1331 = "Vendido"</formula>
    </cfRule>
    <cfRule type="expression" dxfId="1750" priority="1643">
      <formula>G1331 = "Estoque"</formula>
    </cfRule>
    <cfRule type="expression" dxfId="1749" priority="1641">
      <formula>G1331 = "Loja"</formula>
    </cfRule>
  </conditionalFormatting>
  <conditionalFormatting sqref="B1332">
    <cfRule type="expression" dxfId="1748" priority="1638">
      <formula>G1332 = "Pendente"</formula>
    </cfRule>
    <cfRule type="expression" dxfId="1747" priority="1639">
      <formula>G1332 = "Tem que compra"</formula>
    </cfRule>
    <cfRule type="expression" dxfId="1746" priority="1640">
      <formula>G1332 = "Atacado"</formula>
    </cfRule>
    <cfRule type="expression" dxfId="1745" priority="1644">
      <formula>G1332 = "Pendente"</formula>
    </cfRule>
    <cfRule type="expression" dxfId="1744" priority="1645">
      <formula>G1332 = "Tem que compra"</formula>
    </cfRule>
    <cfRule type="expression" dxfId="1743" priority="1646">
      <formula>G1332 = "Atacado"</formula>
    </cfRule>
  </conditionalFormatting>
  <conditionalFormatting sqref="B1332:B1333">
    <cfRule type="expression" dxfId="1742" priority="1621">
      <formula>G1332 = "Loja"</formula>
    </cfRule>
    <cfRule type="expression" dxfId="1741" priority="1623">
      <formula>G1332 = "Estoque"</formula>
    </cfRule>
    <cfRule type="expression" dxfId="1740" priority="1622">
      <formula>G1332 = "Vendido"</formula>
    </cfRule>
  </conditionalFormatting>
  <conditionalFormatting sqref="B1333">
    <cfRule type="expression" dxfId="1739" priority="1618">
      <formula>G1333 = "Pendente"</formula>
    </cfRule>
    <cfRule type="expression" dxfId="1738" priority="1626">
      <formula>G1333 = "Atacado"</formula>
    </cfRule>
    <cfRule type="expression" dxfId="1737" priority="1625">
      <formula>G1333 = "Tem que compra"</formula>
    </cfRule>
    <cfRule type="expression" dxfId="1736" priority="1624">
      <formula>G1333 = "Pendente"</formula>
    </cfRule>
    <cfRule type="expression" dxfId="1735" priority="1619">
      <formula>G1333 = "Tem que compra"</formula>
    </cfRule>
    <cfRule type="expression" dxfId="1734" priority="1620">
      <formula>G1333 = "Atacado"</formula>
    </cfRule>
  </conditionalFormatting>
  <conditionalFormatting sqref="B1333:B1334">
    <cfRule type="expression" dxfId="1733" priority="1601">
      <formula>G1333 = "Loja"</formula>
    </cfRule>
    <cfRule type="expression" dxfId="1732" priority="1602">
      <formula>G1333 = "Vendido"</formula>
    </cfRule>
    <cfRule type="expression" dxfId="1731" priority="1603">
      <formula>G1333 = "Estoque"</formula>
    </cfRule>
  </conditionalFormatting>
  <conditionalFormatting sqref="B1334">
    <cfRule type="expression" dxfId="1730" priority="1606">
      <formula>G1334 = "Atacado"</formula>
    </cfRule>
    <cfRule type="expression" dxfId="1729" priority="1605">
      <formula>G1334 = "Tem que compra"</formula>
    </cfRule>
    <cfRule type="expression" dxfId="1728" priority="1598">
      <formula>G1334 = "Pendente"</formula>
    </cfRule>
    <cfRule type="expression" dxfId="1727" priority="1599">
      <formula>G1334 = "Tem que compra"</formula>
    </cfRule>
    <cfRule type="expression" dxfId="1726" priority="1600">
      <formula>G1334 = "Atacado"</formula>
    </cfRule>
    <cfRule type="expression" dxfId="1725" priority="1604">
      <formula>G1334 = "Pendente"</formula>
    </cfRule>
  </conditionalFormatting>
  <conditionalFormatting sqref="B1334:B1335">
    <cfRule type="expression" dxfId="1724" priority="1583">
      <formula>G1334 = "Estoque"</formula>
    </cfRule>
    <cfRule type="expression" dxfId="1723" priority="1581">
      <formula>G1334 = "Loja"</formula>
    </cfRule>
    <cfRule type="expression" dxfId="1722" priority="1582">
      <formula>G1334 = "Vendido"</formula>
    </cfRule>
  </conditionalFormatting>
  <conditionalFormatting sqref="B1335">
    <cfRule type="expression" dxfId="1721" priority="1578">
      <formula>G1335 = "Pendente"</formula>
    </cfRule>
    <cfRule type="expression" dxfId="1720" priority="1579">
      <formula>G1335 = "Tem que compra"</formula>
    </cfRule>
    <cfRule type="expression" dxfId="1719" priority="1580">
      <formula>G1335 = "Atacado"</formula>
    </cfRule>
    <cfRule type="expression" dxfId="1718" priority="1584">
      <formula>G1335 = "Pendente"</formula>
    </cfRule>
    <cfRule type="expression" dxfId="1717" priority="1585">
      <formula>G1335 = "Tem que compra"</formula>
    </cfRule>
    <cfRule type="expression" dxfId="1716" priority="1586">
      <formula>G1335 = "Atacado"</formula>
    </cfRule>
  </conditionalFormatting>
  <conditionalFormatting sqref="B1335:B1338">
    <cfRule type="expression" dxfId="1715" priority="1563">
      <formula>G1335 = "Estoque"</formula>
    </cfRule>
    <cfRule type="expression" dxfId="1714" priority="1561">
      <formula>G1335 = "Loja"</formula>
    </cfRule>
    <cfRule type="expression" dxfId="1713" priority="1562">
      <formula>G1335 = "Vendido"</formula>
    </cfRule>
  </conditionalFormatting>
  <conditionalFormatting sqref="B1336:B1338">
    <cfRule type="expression" dxfId="1712" priority="1560">
      <formula>G1336 = "Atacado"</formula>
    </cfRule>
    <cfRule type="expression" dxfId="1711" priority="1558">
      <formula>G1336 = "Pendente"</formula>
    </cfRule>
    <cfRule type="expression" dxfId="1710" priority="1559">
      <formula>G1336 = "Tem que compra"</formula>
    </cfRule>
    <cfRule type="expression" dxfId="1709" priority="1564">
      <formula>G1336 = "Pendente"</formula>
    </cfRule>
    <cfRule type="expression" dxfId="1708" priority="1565">
      <formula>G1336 = "Tem que compra"</formula>
    </cfRule>
    <cfRule type="expression" dxfId="1707" priority="1566">
      <formula>G1336 = "Atacado"</formula>
    </cfRule>
  </conditionalFormatting>
  <conditionalFormatting sqref="B1336:B1339">
    <cfRule type="expression" dxfId="1706" priority="1541">
      <formula>G1336 = "Loja"</formula>
    </cfRule>
    <cfRule type="expression" dxfId="1705" priority="1543">
      <formula>G1336 = "Estoque"</formula>
    </cfRule>
    <cfRule type="expression" dxfId="1704" priority="1542">
      <formula>G1336 = "Vendido"</formula>
    </cfRule>
  </conditionalFormatting>
  <conditionalFormatting sqref="B1339">
    <cfRule type="expression" dxfId="1703" priority="1539">
      <formula>G1339 = "Tem que compra"</formula>
    </cfRule>
    <cfRule type="expression" dxfId="1702" priority="1546">
      <formula>G1339 = "Atacado"</formula>
    </cfRule>
    <cfRule type="expression" dxfId="1701" priority="1545">
      <formula>G1339 = "Tem que compra"</formula>
    </cfRule>
    <cfRule type="expression" dxfId="1700" priority="1544">
      <formula>G1339 = "Pendente"</formula>
    </cfRule>
    <cfRule type="expression" dxfId="1699" priority="1540">
      <formula>G1339 = "Atacado"</formula>
    </cfRule>
    <cfRule type="expression" dxfId="1698" priority="1538">
      <formula>G1339 = "Pendente"</formula>
    </cfRule>
  </conditionalFormatting>
  <conditionalFormatting sqref="B1339:B1341">
    <cfRule type="expression" dxfId="1697" priority="145">
      <formula>G1339 = "Estoque"</formula>
    </cfRule>
    <cfRule type="expression" dxfId="1696" priority="144">
      <formula>G1339 = "Vendido"</formula>
    </cfRule>
    <cfRule type="expression" dxfId="1695" priority="143">
      <formula>G1339 = "Loja"</formula>
    </cfRule>
  </conditionalFormatting>
  <conditionalFormatting sqref="B1340">
    <cfRule type="expression" dxfId="1694" priority="138">
      <formula>G1340 = "Vendido"</formula>
    </cfRule>
    <cfRule type="expression" dxfId="1693" priority="148">
      <formula>G1340 = "Atacado"</formula>
    </cfRule>
    <cfRule type="expression" dxfId="1692" priority="147">
      <formula>G1340 = "Tem que compra"</formula>
    </cfRule>
    <cfRule type="expression" dxfId="1691" priority="146">
      <formula>G1340 = "Pendente"</formula>
    </cfRule>
    <cfRule type="expression" dxfId="1690" priority="130">
      <formula>G1340 = "Loja"</formula>
    </cfRule>
    <cfRule type="expression" dxfId="1689" priority="142">
      <formula>G1340 = "Atacado"</formula>
    </cfRule>
    <cfRule type="expression" dxfId="1688" priority="141">
      <formula>G1340 = "Tem que compra"</formula>
    </cfRule>
    <cfRule type="expression" dxfId="1687" priority="140">
      <formula>G1340 = "Pendente"</formula>
    </cfRule>
    <cfRule type="expression" dxfId="1686" priority="139">
      <formula>G1340 = "Estoque"</formula>
    </cfRule>
  </conditionalFormatting>
  <conditionalFormatting sqref="B1341">
    <cfRule type="expression" dxfId="1685" priority="159">
      <formula>G1341 = "Tem que compra"</formula>
    </cfRule>
    <cfRule type="expression" dxfId="1684" priority="158">
      <formula>G1341 = "Pendente"</formula>
    </cfRule>
    <cfRule type="expression" dxfId="1683" priority="153">
      <formula>G1341 = "Tem que compra"</formula>
    </cfRule>
    <cfRule type="expression" dxfId="1682" priority="152">
      <formula>G1341 = "Pendente"</formula>
    </cfRule>
    <cfRule type="expression" dxfId="1681" priority="154">
      <formula>G1341 = "Atacado"</formula>
    </cfRule>
    <cfRule type="expression" dxfId="1680" priority="160">
      <formula>G1341 = "Atacado"</formula>
    </cfRule>
  </conditionalFormatting>
  <conditionalFormatting sqref="B1341:B1342">
    <cfRule type="expression" dxfId="1679" priority="155">
      <formula>G1341 = "Loja"</formula>
    </cfRule>
    <cfRule type="expression" dxfId="1678" priority="156">
      <formula>G1341 = "Vendido"</formula>
    </cfRule>
    <cfRule type="expression" dxfId="1677" priority="157">
      <formula>G1341 = "Estoque"</formula>
    </cfRule>
  </conditionalFormatting>
  <conditionalFormatting sqref="B1342">
    <cfRule type="expression" dxfId="1676" priority="1532">
      <formula>G1342 = "Pendente"</formula>
    </cfRule>
    <cfRule type="expression" dxfId="1675" priority="1526">
      <formula>G1342 = "Pendente"</formula>
    </cfRule>
    <cfRule type="expression" dxfId="1674" priority="1527">
      <formula>G1342 = "Tem que compra"</formula>
    </cfRule>
    <cfRule type="expression" dxfId="1673" priority="1528">
      <formula>G1342 = "Atacado"</formula>
    </cfRule>
    <cfRule type="expression" dxfId="1672" priority="1533">
      <formula>G1342 = "Tem que compra"</formula>
    </cfRule>
    <cfRule type="expression" dxfId="1671" priority="1534">
      <formula>G1342 = "Atacado"</formula>
    </cfRule>
  </conditionalFormatting>
  <conditionalFormatting sqref="B1342:B1343">
    <cfRule type="expression" dxfId="1670" priority="1531">
      <formula>G1342 = "Estoque"</formula>
    </cfRule>
    <cfRule type="expression" dxfId="1669" priority="1529">
      <formula>G1342 = "Loja"</formula>
    </cfRule>
    <cfRule type="expression" dxfId="1668" priority="1530">
      <formula>G1342 = "Vendido"</formula>
    </cfRule>
  </conditionalFormatting>
  <conditionalFormatting sqref="B1344">
    <cfRule type="expression" dxfId="1667" priority="1477">
      <formula>G1344 = "Estoque"</formula>
    </cfRule>
    <cfRule type="expression" dxfId="1666" priority="1478">
      <formula>G1344 = "Pendente"</formula>
    </cfRule>
    <cfRule type="expression" dxfId="1665" priority="1479">
      <formula>G1344 = "Tem que compra"</formula>
    </cfRule>
    <cfRule type="expression" dxfId="1664" priority="1475">
      <formula>G1344 = "Loja"</formula>
    </cfRule>
    <cfRule type="expression" dxfId="1663" priority="1480">
      <formula>G1344 = "Atacado"</formula>
    </cfRule>
    <cfRule type="expression" dxfId="1662" priority="1484">
      <formula>G1344 = "Pendente"</formula>
    </cfRule>
    <cfRule type="expression" dxfId="1661" priority="1485">
      <formula>G1344 = "Tem que compra"</formula>
    </cfRule>
    <cfRule type="expression" dxfId="1660" priority="1486">
      <formula>G1344 = "Atacado"</formula>
    </cfRule>
    <cfRule type="expression" dxfId="1659" priority="1476">
      <formula>G1344 = "Vendido"</formula>
    </cfRule>
  </conditionalFormatting>
  <conditionalFormatting sqref="B1344:B1345">
    <cfRule type="expression" dxfId="1658" priority="1481">
      <formula>G1344 = "Loja"</formula>
    </cfRule>
    <cfRule type="expression" dxfId="1657" priority="1482">
      <formula>G1344 = "Vendido"</formula>
    </cfRule>
    <cfRule type="expression" dxfId="1656" priority="1483">
      <formula>G1344 = "Estoque"</formula>
    </cfRule>
  </conditionalFormatting>
  <conditionalFormatting sqref="B1345">
    <cfRule type="expression" dxfId="1655" priority="1504">
      <formula>G1345 = "Pendente"</formula>
    </cfRule>
    <cfRule type="expression" dxfId="1654" priority="1505">
      <formula>G1345 = "Tem que compra"</formula>
    </cfRule>
    <cfRule type="expression" dxfId="1653" priority="1501">
      <formula>G1345 = "Loja"</formula>
    </cfRule>
    <cfRule type="expression" dxfId="1652" priority="1498">
      <formula>G1345 = "Pendente"</formula>
    </cfRule>
    <cfRule type="expression" dxfId="1651" priority="1499">
      <formula>G1345 = "Tem que compra"</formula>
    </cfRule>
    <cfRule type="expression" dxfId="1650" priority="1500">
      <formula>G1345 = "Atacado"</formula>
    </cfRule>
    <cfRule type="expression" dxfId="1649" priority="1502">
      <formula>G1345 = "Vendido"</formula>
    </cfRule>
    <cfRule type="expression" dxfId="1648" priority="1506">
      <formula>G1345 = "Atacado"</formula>
    </cfRule>
    <cfRule type="expression" dxfId="1647" priority="1503">
      <formula>G1345 = "Estoque"</formula>
    </cfRule>
  </conditionalFormatting>
  <conditionalFormatting sqref="B1346">
    <cfRule type="expression" dxfId="1646" priority="1458">
      <formula>G1346 = "Pendente"</formula>
    </cfRule>
    <cfRule type="expression" dxfId="1645" priority="1464">
      <formula>G1346 = "Pendente"</formula>
    </cfRule>
    <cfRule type="expression" dxfId="1644" priority="1465">
      <formula>G1346 = "Tem que compra"</formula>
    </cfRule>
    <cfRule type="expression" dxfId="1643" priority="1462">
      <formula>G1346 = "Vendido"</formula>
    </cfRule>
    <cfRule type="expression" dxfId="1642" priority="1459">
      <formula>G1346 = "Tem que compra"</formula>
    </cfRule>
    <cfRule type="expression" dxfId="1641" priority="1463">
      <formula>G1346 = "Estoque"</formula>
    </cfRule>
    <cfRule type="expression" dxfId="1640" priority="1466">
      <formula>G1346 = "Atacado"</formula>
    </cfRule>
    <cfRule type="expression" dxfId="1639" priority="1460">
      <formula>G1346 = "Atacado"</formula>
    </cfRule>
    <cfRule type="expression" dxfId="1638" priority="1461">
      <formula>G1346 = "Loja"</formula>
    </cfRule>
  </conditionalFormatting>
  <conditionalFormatting sqref="B1346:B1347">
    <cfRule type="expression" dxfId="1637" priority="1442">
      <formula>G1346 = "Vendido"</formula>
    </cfRule>
    <cfRule type="expression" dxfId="1636" priority="1443">
      <formula>G1346 = "Estoque"</formula>
    </cfRule>
    <cfRule type="expression" dxfId="1635" priority="1441">
      <formula>G1346 = "Loja"</formula>
    </cfRule>
  </conditionalFormatting>
  <conditionalFormatting sqref="B1347">
    <cfRule type="expression" dxfId="1634" priority="1445">
      <formula>G1347 = "Tem que compra"</formula>
    </cfRule>
    <cfRule type="expression" dxfId="1633" priority="1444">
      <formula>G1347 = "Pendente"</formula>
    </cfRule>
    <cfRule type="expression" dxfId="1632" priority="1440">
      <formula>G1347 = "Atacado"</formula>
    </cfRule>
    <cfRule type="expression" dxfId="1631" priority="1439">
      <formula>G1347 = "Tem que compra"</formula>
    </cfRule>
    <cfRule type="expression" dxfId="1630" priority="1438">
      <formula>G1347 = "Pendente"</formula>
    </cfRule>
    <cfRule type="expression" dxfId="1629" priority="1446">
      <formula>G1347 = "Atacado"</formula>
    </cfRule>
  </conditionalFormatting>
  <conditionalFormatting sqref="B1347:B1357">
    <cfRule type="expression" dxfId="1628" priority="1429">
      <formula>G1347 = "Loja"</formula>
    </cfRule>
  </conditionalFormatting>
  <conditionalFormatting sqref="B1347:B1358 B1364:B1365">
    <cfRule type="expression" dxfId="1627" priority="1430">
      <formula>G1347 = "Vendido"</formula>
    </cfRule>
    <cfRule type="expression" dxfId="1626" priority="1431">
      <formula>G1347 = "Estoque"</formula>
    </cfRule>
  </conditionalFormatting>
  <conditionalFormatting sqref="B1348:B1357 B1364:B1365">
    <cfRule type="expression" dxfId="1625" priority="1416">
      <formula>G1348 = "Loja"</formula>
    </cfRule>
    <cfRule type="expression" dxfId="1624" priority="1424">
      <formula>G1348 = "Vendido"</formula>
    </cfRule>
    <cfRule type="expression" dxfId="1623" priority="1425">
      <formula>G1348 = "Estoque"</formula>
    </cfRule>
  </conditionalFormatting>
  <conditionalFormatting sqref="B1350">
    <cfRule type="expression" dxfId="1622" priority="1412">
      <formula>G1350 = "Pendente"</formula>
    </cfRule>
    <cfRule type="expression" dxfId="1621" priority="1414">
      <formula>G1350 = "Atacado"</formula>
    </cfRule>
    <cfRule type="expression" dxfId="1620" priority="1413">
      <formula>G1350 = "Tem que compra"</formula>
    </cfRule>
    <cfRule type="expression" dxfId="1619" priority="1396">
      <formula>G1350 = "Loja"</formula>
    </cfRule>
    <cfRule type="expression" dxfId="1618" priority="1409">
      <formula>G1350 = "Loja"</formula>
    </cfRule>
    <cfRule type="expression" dxfId="1617" priority="1411">
      <formula>G1350 = "Estoque"</formula>
    </cfRule>
    <cfRule type="expression" dxfId="1616" priority="1404">
      <formula>G1350 = "Vendido"</formula>
    </cfRule>
    <cfRule type="expression" dxfId="1615" priority="1406">
      <formula>G1350 = "Pendente"</formula>
    </cfRule>
    <cfRule type="expression" dxfId="1614" priority="1410">
      <formula>G1350 = "Vendido"</formula>
    </cfRule>
    <cfRule type="expression" dxfId="1613" priority="1405">
      <formula>G1350 = "Estoque"</formula>
    </cfRule>
    <cfRule type="expression" dxfId="1612" priority="1407">
      <formula>G1350 = "Tem que compra"</formula>
    </cfRule>
    <cfRule type="expression" dxfId="1611" priority="1408">
      <formula>G1350 = "Atacado"</formula>
    </cfRule>
  </conditionalFormatting>
  <conditionalFormatting sqref="B1354">
    <cfRule type="expression" dxfId="1610" priority="4843">
      <formula>G1354 = "Estoque"</formula>
    </cfRule>
    <cfRule type="expression" dxfId="1609" priority="4842">
      <formula>G1354 = "Vendido"</formula>
    </cfRule>
  </conditionalFormatting>
  <conditionalFormatting sqref="B1358:B1359">
    <cfRule type="expression" dxfId="1608" priority="1389">
      <formula>G1358 = "Loja"</formula>
    </cfRule>
  </conditionalFormatting>
  <conditionalFormatting sqref="B1359">
    <cfRule type="expression" dxfId="1607" priority="1390">
      <formula>G1359 = "Vendido"</formula>
    </cfRule>
    <cfRule type="expression" dxfId="1606" priority="1394">
      <formula>G1359 = "Atacado"</formula>
    </cfRule>
    <cfRule type="expression" dxfId="1605" priority="1393">
      <formula>G1359 = "Tem que compra"</formula>
    </cfRule>
    <cfRule type="expression" dxfId="1604" priority="1388">
      <formula>G1359 = "Atacado"</formula>
    </cfRule>
    <cfRule type="expression" dxfId="1603" priority="1387">
      <formula>G1359 = "Tem que compra"</formula>
    </cfRule>
    <cfRule type="expression" dxfId="1602" priority="1386">
      <formula>G1359 = "Pendente"</formula>
    </cfRule>
    <cfRule type="expression" dxfId="1601" priority="1392">
      <formula>G1359 = "Pendente"</formula>
    </cfRule>
    <cfRule type="expression" dxfId="1600" priority="1391">
      <formula>G1359 = "Estoque"</formula>
    </cfRule>
  </conditionalFormatting>
  <conditionalFormatting sqref="B1359:B1360">
    <cfRule type="expression" dxfId="1599" priority="1369">
      <formula>G1359 = "Loja"</formula>
    </cfRule>
    <cfRule type="expression" dxfId="1598" priority="1370">
      <formula>G1359 = "Vendido"</formula>
    </cfRule>
    <cfRule type="expression" dxfId="1597" priority="1371">
      <formula>G1359 = "Estoque"</formula>
    </cfRule>
  </conditionalFormatting>
  <conditionalFormatting sqref="B1360">
    <cfRule type="expression" dxfId="1596" priority="1372">
      <formula>G1360 = "Pendente"</formula>
    </cfRule>
    <cfRule type="expression" dxfId="1595" priority="1373">
      <formula>G1360 = "Tem que compra"</formula>
    </cfRule>
    <cfRule type="expression" dxfId="1594" priority="1374">
      <formula>G1360 = "Atacado"</formula>
    </cfRule>
    <cfRule type="expression" dxfId="1593" priority="1368">
      <formula>G1360 = "Atacado"</formula>
    </cfRule>
    <cfRule type="expression" dxfId="1592" priority="1366">
      <formula>G1360 = "Pendente"</formula>
    </cfRule>
    <cfRule type="expression" dxfId="1591" priority="1367">
      <formula>G1360 = "Tem que compra"</formula>
    </cfRule>
  </conditionalFormatting>
  <conditionalFormatting sqref="B1360:B1362">
    <cfRule type="expression" dxfId="1590" priority="1349">
      <formula>G1360 = "Loja"</formula>
    </cfRule>
    <cfRule type="expression" dxfId="1589" priority="1350">
      <formula>G1360 = "Vendido"</formula>
    </cfRule>
    <cfRule type="expression" dxfId="1588" priority="1351">
      <formula>G1360 = "Estoque"</formula>
    </cfRule>
  </conditionalFormatting>
  <conditionalFormatting sqref="B1361">
    <cfRule type="expression" dxfId="1587" priority="1336">
      <formula>G1361 = "Loja"</formula>
    </cfRule>
    <cfRule type="expression" dxfId="1586" priority="1344">
      <formula>G1361 = "Vendido"</formula>
    </cfRule>
    <cfRule type="expression" dxfId="1585" priority="1345">
      <formula>G1361 = "Estoque"</formula>
    </cfRule>
    <cfRule type="expression" dxfId="1584" priority="1346">
      <formula>G1361 = "Pendente"</formula>
    </cfRule>
    <cfRule type="expression" dxfId="1583" priority="1347">
      <formula>G1361 = "Tem que compra"</formula>
    </cfRule>
    <cfRule type="expression" dxfId="1582" priority="1348">
      <formula>G1361 = "Atacado"</formula>
    </cfRule>
    <cfRule type="expression" dxfId="1581" priority="1353">
      <formula>G1361 = "Tem que compra"</formula>
    </cfRule>
    <cfRule type="expression" dxfId="1580" priority="1352">
      <formula>G1361 = "Pendente"</formula>
    </cfRule>
    <cfRule type="expression" dxfId="1579" priority="1354">
      <formula>G1361 = "Atacado"</formula>
    </cfRule>
  </conditionalFormatting>
  <conditionalFormatting sqref="B1363:B1365">
    <cfRule type="expression" dxfId="1578" priority="1316">
      <formula>G1363 = "Loja"</formula>
    </cfRule>
    <cfRule type="expression" dxfId="1577" priority="1324">
      <formula>G1363 = "Vendido"</formula>
    </cfRule>
    <cfRule type="expression" dxfId="1576" priority="1333">
      <formula>G1363 = "Tem que compra"</formula>
    </cfRule>
    <cfRule type="expression" dxfId="1575" priority="1332">
      <formula>G1363 = "Pendente"</formula>
    </cfRule>
    <cfRule type="expression" dxfId="1574" priority="1331">
      <formula>G1363 = "Estoque"</formula>
    </cfRule>
    <cfRule type="expression" dxfId="1573" priority="1330">
      <formula>G1363 = "Vendido"</formula>
    </cfRule>
    <cfRule type="expression" dxfId="1572" priority="1329">
      <formula>G1363 = "Loja"</formula>
    </cfRule>
    <cfRule type="expression" dxfId="1571" priority="1328">
      <formula>G1363 = "Atacado"</formula>
    </cfRule>
    <cfRule type="expression" dxfId="1570" priority="1327">
      <formula>G1363 = "Tem que compra"</formula>
    </cfRule>
    <cfRule type="expression" dxfId="1569" priority="1326">
      <formula>G1363 = "Pendente"</formula>
    </cfRule>
    <cfRule type="expression" dxfId="1568" priority="1325">
      <formula>G1363 = "Estoque"</formula>
    </cfRule>
    <cfRule type="expression" dxfId="1567" priority="1334">
      <formula>G1363 = "Atacado"</formula>
    </cfRule>
  </conditionalFormatting>
  <conditionalFormatting sqref="B1364:B1365 B1348:B1357">
    <cfRule type="expression" dxfId="1566" priority="1434">
      <formula>G1348 = "Atacado"</formula>
    </cfRule>
    <cfRule type="expression" dxfId="1565" priority="1433">
      <formula>G1348 = "Tem que compra"</formula>
    </cfRule>
    <cfRule type="expression" dxfId="1564" priority="1432">
      <formula>G1348 = "Pendente"</formula>
    </cfRule>
    <cfRule type="expression" dxfId="1563" priority="1428">
      <formula>G1348 = "Atacado"</formula>
    </cfRule>
    <cfRule type="expression" dxfId="1562" priority="1427">
      <formula>G1348 = "Tem que compra"</formula>
    </cfRule>
    <cfRule type="expression" dxfId="1561" priority="1426">
      <formula>G1348 = "Pendente"</formula>
    </cfRule>
  </conditionalFormatting>
  <conditionalFormatting sqref="B1368">
    <cfRule type="expression" dxfId="1560" priority="1290">
      <formula>G1368 = "Vendido"</formula>
    </cfRule>
    <cfRule type="expression" dxfId="1559" priority="1289">
      <formula>G1368 = "Loja"</formula>
    </cfRule>
    <cfRule type="expression" dxfId="1558" priority="1288">
      <formula>G1368 = "Atacado"</formula>
    </cfRule>
    <cfRule type="expression" dxfId="1557" priority="1294">
      <formula>G1368 = "Atacado"</formula>
    </cfRule>
    <cfRule type="expression" dxfId="1556" priority="1293">
      <formula>G1368 = "Tem que compra"</formula>
    </cfRule>
    <cfRule type="expression" dxfId="1555" priority="1292">
      <formula>G1368 = "Pendente"</formula>
    </cfRule>
    <cfRule type="expression" dxfId="1554" priority="1291">
      <formula>G1368 = "Estoque"</formula>
    </cfRule>
    <cfRule type="expression" dxfId="1553" priority="1287">
      <formula>G1368 = "Tem que compra"</formula>
    </cfRule>
    <cfRule type="expression" dxfId="1552" priority="1286">
      <formula>G1368 = "Pendente"</formula>
    </cfRule>
  </conditionalFormatting>
  <conditionalFormatting sqref="B1368:B1375">
    <cfRule type="expression" dxfId="1551" priority="1109">
      <formula>G1368 = "Loja"</formula>
    </cfRule>
    <cfRule type="expression" dxfId="1550" priority="1110">
      <formula>G1368 = "Vendido"</formula>
    </cfRule>
    <cfRule type="expression" dxfId="1549" priority="1111">
      <formula>G1368 = "Estoque"</formula>
    </cfRule>
  </conditionalFormatting>
  <conditionalFormatting sqref="B1369:B1375">
    <cfRule type="expression" dxfId="1548" priority="1101">
      <formula>G1369 = "Tem que compra"</formula>
    </cfRule>
    <cfRule type="expression" dxfId="1547" priority="1102">
      <formula>G1369 = "Atacado"</formula>
    </cfRule>
    <cfRule type="expression" dxfId="1546" priority="1103">
      <formula>G1369 = "Loja"</formula>
    </cfRule>
    <cfRule type="expression" dxfId="1545" priority="1104">
      <formula>G1369 = "Vendido"</formula>
    </cfRule>
    <cfRule type="expression" dxfId="1544" priority="1105">
      <formula>G1369 = "Estoque"</formula>
    </cfRule>
    <cfRule type="expression" dxfId="1543" priority="1106">
      <formula>G1369 = "Pendente"</formula>
    </cfRule>
    <cfRule type="expression" dxfId="1542" priority="1113">
      <formula>G1369 = "Tem que compra"</formula>
    </cfRule>
    <cfRule type="expression" dxfId="1541" priority="1091">
      <formula>G1369 = "Loja"</formula>
    </cfRule>
    <cfRule type="expression" dxfId="1540" priority="1099">
      <formula>G1369 = "Estoque"</formula>
    </cfRule>
    <cfRule type="expression" dxfId="1539" priority="1092">
      <formula>G1369 = "Vendido"</formula>
    </cfRule>
    <cfRule type="expression" dxfId="1538" priority="1093">
      <formula>G1369 = "Estoque"</formula>
    </cfRule>
    <cfRule type="expression" dxfId="1537" priority="1094">
      <formula>G1369 = "Pendente"</formula>
    </cfRule>
    <cfRule type="expression" dxfId="1536" priority="1114">
      <formula>G1369 = "Atacado"</formula>
    </cfRule>
    <cfRule type="expression" dxfId="1535" priority="1095">
      <formula>G1369 = "Tem que compra"</formula>
    </cfRule>
    <cfRule type="expression" dxfId="1534" priority="1096">
      <formula>G1369 = "Atacado"</formula>
    </cfRule>
    <cfRule type="expression" dxfId="1533" priority="1097">
      <formula>G1369 = "Loja"</formula>
    </cfRule>
    <cfRule type="expression" dxfId="1532" priority="1098">
      <formula>G1369 = "Vendido"</formula>
    </cfRule>
    <cfRule type="expression" dxfId="1531" priority="1107">
      <formula>G1369 = "Tem que compra"</formula>
    </cfRule>
    <cfRule type="expression" dxfId="1530" priority="1100">
      <formula>G1369 = "Pendente"</formula>
    </cfRule>
    <cfRule type="expression" dxfId="1529" priority="1112">
      <formula>G1369 = "Pendente"</formula>
    </cfRule>
    <cfRule type="expression" dxfId="1528" priority="1108">
      <formula>G1369 = "Atacado"</formula>
    </cfRule>
  </conditionalFormatting>
  <conditionalFormatting sqref="B1376:B1378">
    <cfRule type="expression" dxfId="1527" priority="1231">
      <formula>G1376 = "Estoque"</formula>
    </cfRule>
    <cfRule type="expression" dxfId="1526" priority="1227">
      <formula>G1376 = "Tem que compra"</formula>
    </cfRule>
    <cfRule type="expression" dxfId="1525" priority="1228">
      <formula>G1376 = "Atacado"</formula>
    </cfRule>
    <cfRule type="expression" dxfId="1524" priority="1229">
      <formula>G1376 = "Loja"</formula>
    </cfRule>
    <cfRule type="expression" dxfId="1523" priority="1230">
      <formula>G1376 = "Vendido"</formula>
    </cfRule>
    <cfRule type="expression" dxfId="1522" priority="1232">
      <formula>G1376 = "Pendente"</formula>
    </cfRule>
    <cfRule type="expression" dxfId="1521" priority="1233">
      <formula>G1376 = "Tem que compra"</formula>
    </cfRule>
    <cfRule type="expression" dxfId="1520" priority="1234">
      <formula>G1376 = "Atacado"</formula>
    </cfRule>
    <cfRule type="expression" dxfId="1519" priority="1226">
      <formula>G1376 = "Pendente"</formula>
    </cfRule>
  </conditionalFormatting>
  <conditionalFormatting sqref="B1376:B1379">
    <cfRule type="expression" dxfId="1518" priority="1209">
      <formula>G1376 = "Loja"</formula>
    </cfRule>
    <cfRule type="expression" dxfId="1517" priority="1210">
      <formula>G1376 = "Vendido"</formula>
    </cfRule>
    <cfRule type="expression" dxfId="1516" priority="1211">
      <formula>G1376 = "Estoque"</formula>
    </cfRule>
  </conditionalFormatting>
  <conditionalFormatting sqref="B1379">
    <cfRule type="expression" dxfId="1515" priority="1214">
      <formula>G1379 = "Atacado"</formula>
    </cfRule>
    <cfRule type="expression" dxfId="1514" priority="1207">
      <formula>G1379 = "Tem que compra"</formula>
    </cfRule>
    <cfRule type="expression" dxfId="1513" priority="1213">
      <formula>G1379 = "Tem que compra"</formula>
    </cfRule>
    <cfRule type="expression" dxfId="1512" priority="1212">
      <formula>G1379 = "Pendente"</formula>
    </cfRule>
    <cfRule type="expression" dxfId="1511" priority="1206">
      <formula>G1379 = "Pendente"</formula>
    </cfRule>
    <cfRule type="expression" dxfId="1510" priority="1208">
      <formula>G1379 = "Atacado"</formula>
    </cfRule>
  </conditionalFormatting>
  <conditionalFormatting sqref="B1379:B1380">
    <cfRule type="expression" dxfId="1509" priority="1182">
      <formula>G1379 = "Vendido"</formula>
    </cfRule>
    <cfRule type="expression" dxfId="1508" priority="1183">
      <formula>G1379 = "Estoque"</formula>
    </cfRule>
    <cfRule type="expression" dxfId="1507" priority="1181">
      <formula>G1379 = "Loja"</formula>
    </cfRule>
  </conditionalFormatting>
  <conditionalFormatting sqref="B1380">
    <cfRule type="expression" dxfId="1506" priority="1186">
      <formula>G1380 = "Atacado"</formula>
    </cfRule>
    <cfRule type="expression" dxfId="1505" priority="1185">
      <formula>G1380 = "Tem que compra"</formula>
    </cfRule>
    <cfRule type="expression" dxfId="1504" priority="1184">
      <formula>G1380 = "Pendente"</formula>
    </cfRule>
    <cfRule type="expression" dxfId="1503" priority="1178">
      <formula>G1380 = "Pendente"</formula>
    </cfRule>
    <cfRule type="expression" dxfId="1502" priority="1179">
      <formula>G1380 = "Tem que compra"</formula>
    </cfRule>
    <cfRule type="expression" dxfId="1501" priority="1180">
      <formula>G1380 = "Atacado"</formula>
    </cfRule>
  </conditionalFormatting>
  <conditionalFormatting sqref="B1380:B1381">
    <cfRule type="expression" dxfId="1500" priority="1161">
      <formula>G1380 = "Loja"</formula>
    </cfRule>
    <cfRule type="expression" dxfId="1499" priority="1162">
      <formula>G1380 = "Vendido"</formula>
    </cfRule>
    <cfRule type="expression" dxfId="1498" priority="1163">
      <formula>G1380 = "Estoque"</formula>
    </cfRule>
  </conditionalFormatting>
  <conditionalFormatting sqref="B1381">
    <cfRule type="expression" dxfId="1497" priority="1158">
      <formula>G1381 = "Pendente"</formula>
    </cfRule>
    <cfRule type="expression" dxfId="1496" priority="1159">
      <formula>G1381 = "Tem que compra"</formula>
    </cfRule>
    <cfRule type="expression" dxfId="1495" priority="1160">
      <formula>G1381 = "Atacado"</formula>
    </cfRule>
    <cfRule type="expression" dxfId="1494" priority="1164">
      <formula>G1381 = "Pendente"</formula>
    </cfRule>
    <cfRule type="expression" dxfId="1493" priority="1165">
      <formula>G1381 = "Tem que compra"</formula>
    </cfRule>
    <cfRule type="expression" dxfId="1492" priority="1166">
      <formula>G1381 = "Atacado"</formula>
    </cfRule>
  </conditionalFormatting>
  <conditionalFormatting sqref="B1381:B1382">
    <cfRule type="expression" dxfId="1491" priority="1141">
      <formula>G1381 = "Loja"</formula>
    </cfRule>
    <cfRule type="expression" dxfId="1490" priority="1142">
      <formula>G1381 = "Vendido"</formula>
    </cfRule>
    <cfRule type="expression" dxfId="1489" priority="1143">
      <formula>G1381 = "Estoque"</formula>
    </cfRule>
  </conditionalFormatting>
  <conditionalFormatting sqref="B1382">
    <cfRule type="expression" dxfId="1488" priority="1138">
      <formula>G1382 = "Pendente"</formula>
    </cfRule>
    <cfRule type="expression" dxfId="1487" priority="1146">
      <formula>G1382 = "Atacado"</formula>
    </cfRule>
    <cfRule type="expression" dxfId="1486" priority="1145">
      <formula>G1382 = "Tem que compra"</formula>
    </cfRule>
    <cfRule type="expression" dxfId="1485" priority="1144">
      <formula>G1382 = "Pendente"</formula>
    </cfRule>
    <cfRule type="expression" dxfId="1484" priority="1140">
      <formula>G1382 = "Atacado"</formula>
    </cfRule>
    <cfRule type="expression" dxfId="1483" priority="1139">
      <formula>G1382 = "Tem que compra"</formula>
    </cfRule>
  </conditionalFormatting>
  <conditionalFormatting sqref="B1382:B1387">
    <cfRule type="expression" dxfId="1482" priority="1122">
      <formula>G1382 = "Vendido"</formula>
    </cfRule>
    <cfRule type="expression" dxfId="1481" priority="1123">
      <formula>G1382 = "Estoque"</formula>
    </cfRule>
    <cfRule type="expression" dxfId="1480" priority="1121">
      <formula>G1382 = "Loja"</formula>
    </cfRule>
  </conditionalFormatting>
  <conditionalFormatting sqref="B1383:B1387">
    <cfRule type="expression" dxfId="1479" priority="1124">
      <formula>G1383 = "Pendente"</formula>
    </cfRule>
    <cfRule type="expression" dxfId="1478" priority="1125">
      <formula>G1383 = "Tem que compra"</formula>
    </cfRule>
    <cfRule type="expression" dxfId="1477" priority="1119">
      <formula>G1383 = "Tem que compra"</formula>
    </cfRule>
    <cfRule type="expression" dxfId="1476" priority="1126">
      <formula>G1383 = "Atacado"</formula>
    </cfRule>
    <cfRule type="expression" dxfId="1475" priority="1118">
      <formula>G1383 = "Pendente"</formula>
    </cfRule>
    <cfRule type="expression" dxfId="1474" priority="1120">
      <formula>G1383 = "Atacado"</formula>
    </cfRule>
  </conditionalFormatting>
  <conditionalFormatting sqref="B1383:B1392">
    <cfRule type="expression" dxfId="1473" priority="1061">
      <formula>G1383 = "Loja"</formula>
    </cfRule>
    <cfRule type="expression" dxfId="1472" priority="1062">
      <formula>G1383 = "Vendido"</formula>
    </cfRule>
    <cfRule type="expression" dxfId="1471" priority="1063">
      <formula>G1383 = "Estoque"</formula>
    </cfRule>
  </conditionalFormatting>
  <conditionalFormatting sqref="B1388:B1392">
    <cfRule type="expression" dxfId="1470" priority="1050">
      <formula>G1388 = "Vendido"</formula>
    </cfRule>
    <cfRule type="expression" dxfId="1469" priority="1051">
      <formula>G1388 = "Estoque"</formula>
    </cfRule>
    <cfRule type="expression" dxfId="1468" priority="1052">
      <formula>G1388 = "Pendente"</formula>
    </cfRule>
    <cfRule type="expression" dxfId="1467" priority="1053">
      <formula>G1388 = "Tem que compra"</formula>
    </cfRule>
    <cfRule type="expression" dxfId="1466" priority="1066">
      <formula>G1388 = "Atacado"</formula>
    </cfRule>
    <cfRule type="expression" dxfId="1465" priority="1055">
      <formula>G1388 = "Loja"</formula>
    </cfRule>
    <cfRule type="expression" dxfId="1464" priority="1057">
      <formula>G1388 = "Estoque"</formula>
    </cfRule>
    <cfRule type="expression" dxfId="1463" priority="1059">
      <formula>G1388 = "Tem que compra"</formula>
    </cfRule>
    <cfRule type="expression" dxfId="1462" priority="1060">
      <formula>G1388 = "Atacado"</formula>
    </cfRule>
    <cfRule type="expression" dxfId="1461" priority="1056">
      <formula>G1388 = "Vendido"</formula>
    </cfRule>
    <cfRule type="expression" dxfId="1460" priority="1054">
      <formula>G1388 = "Atacado"</formula>
    </cfRule>
    <cfRule type="expression" dxfId="1459" priority="1047">
      <formula>G1388 = "Tem que compra"</formula>
    </cfRule>
    <cfRule type="expression" dxfId="1458" priority="1046">
      <formula>G1388 = "Pendente"</formula>
    </cfRule>
    <cfRule type="expression" dxfId="1457" priority="1064">
      <formula>G1388 = "Pendente"</formula>
    </cfRule>
    <cfRule type="expression" dxfId="1456" priority="1065">
      <formula>G1388 = "Tem que compra"</formula>
    </cfRule>
    <cfRule type="expression" dxfId="1455" priority="1058">
      <formula>G1388 = "Pendente"</formula>
    </cfRule>
    <cfRule type="expression" dxfId="1454" priority="1048">
      <formula>G1388 = "Atacado"</formula>
    </cfRule>
    <cfRule type="expression" dxfId="1453" priority="1049">
      <formula>G1388 = "Loja"</formula>
    </cfRule>
  </conditionalFormatting>
  <conditionalFormatting sqref="B1388:B1393">
    <cfRule type="expression" dxfId="1452" priority="1005">
      <formula>G1388 = "Loja"</formula>
    </cfRule>
    <cfRule type="expression" dxfId="1451" priority="1007">
      <formula>G1388 = "Estoque"</formula>
    </cfRule>
    <cfRule type="expression" dxfId="1450" priority="1006">
      <formula>G1388 = "Vendido"</formula>
    </cfRule>
  </conditionalFormatting>
  <conditionalFormatting sqref="B1393">
    <cfRule type="expression" dxfId="1449" priority="990">
      <formula>G1393 = "Pendente"</formula>
    </cfRule>
    <cfRule type="expression" dxfId="1448" priority="991">
      <formula>G1393 = "Tem que compra"</formula>
    </cfRule>
    <cfRule type="expression" dxfId="1447" priority="992">
      <formula>G1393 = "Atacado"</formula>
    </cfRule>
    <cfRule type="expression" dxfId="1446" priority="993">
      <formula>G1393 = "Loja"</formula>
    </cfRule>
    <cfRule type="expression" dxfId="1445" priority="995">
      <formula>G1393 = "Estoque"</formula>
    </cfRule>
    <cfRule type="expression" dxfId="1444" priority="994">
      <formula>G1393 = "Vendido"</formula>
    </cfRule>
    <cfRule type="expression" dxfId="1443" priority="996">
      <formula>G1393 = "Pendente"</formula>
    </cfRule>
    <cfRule type="expression" dxfId="1442" priority="1010">
      <formula>G1393 = "Atacado"</formula>
    </cfRule>
    <cfRule type="expression" dxfId="1441" priority="1009">
      <formula>G1393 = "Tem que compra"</formula>
    </cfRule>
    <cfRule type="expression" dxfId="1440" priority="1008">
      <formula>G1393 = "Pendente"</formula>
    </cfRule>
    <cfRule type="expression" dxfId="1439" priority="1004">
      <formula>G1393 = "Atacado"</formula>
    </cfRule>
    <cfRule type="expression" dxfId="1438" priority="1003">
      <formula>G1393 = "Tem que compra"</formula>
    </cfRule>
    <cfRule type="expression" dxfId="1437" priority="1002">
      <formula>G1393 = "Pendente"</formula>
    </cfRule>
    <cfRule type="expression" dxfId="1436" priority="1001">
      <formula>G1393 = "Estoque"</formula>
    </cfRule>
    <cfRule type="expression" dxfId="1435" priority="1000">
      <formula>G1393 = "Vendido"</formula>
    </cfRule>
    <cfRule type="expression" dxfId="1434" priority="999">
      <formula>G1393 = "Loja"</formula>
    </cfRule>
    <cfRule type="expression" dxfId="1433" priority="998">
      <formula>G1393 = "Atacado"</formula>
    </cfRule>
    <cfRule type="expression" dxfId="1432" priority="997">
      <formula>G1393 = "Tem que compra"</formula>
    </cfRule>
  </conditionalFormatting>
  <conditionalFormatting sqref="B1393:B1394">
    <cfRule type="expression" dxfId="1431" priority="439">
      <formula>G1393 = "Estoque"</formula>
    </cfRule>
    <cfRule type="expression" dxfId="1430" priority="438">
      <formula>G1393 = "Vendido"</formula>
    </cfRule>
  </conditionalFormatting>
  <conditionalFormatting sqref="B1393:B1395">
    <cfRule type="expression" dxfId="1429" priority="437">
      <formula>G1393 = "Loja"</formula>
    </cfRule>
  </conditionalFormatting>
  <conditionalFormatting sqref="B1394">
    <cfRule type="expression" dxfId="1428" priority="425">
      <formula>G1394 = "Loja"</formula>
    </cfRule>
    <cfRule type="expression" dxfId="1427" priority="426">
      <formula>G1394 = "Vendido"</formula>
    </cfRule>
    <cfRule type="expression" dxfId="1426" priority="427">
      <formula>G1394 = "Estoque"</formula>
    </cfRule>
    <cfRule type="expression" dxfId="1425" priority="428">
      <formula>G1394 = "Pendente"</formula>
    </cfRule>
    <cfRule type="expression" dxfId="1424" priority="429">
      <formula>G1394 = "Tem que compra"</formula>
    </cfRule>
    <cfRule type="expression" dxfId="1423" priority="430">
      <formula>G1394 = "Atacado"</formula>
    </cfRule>
    <cfRule type="expression" dxfId="1422" priority="432">
      <formula>G1394 = "Vendido"</formula>
    </cfRule>
    <cfRule type="expression" dxfId="1421" priority="441">
      <formula>G1394 = "Tem que compra"</formula>
    </cfRule>
    <cfRule type="expression" dxfId="1420" priority="440">
      <formula>G1394 = "Pendente"</formula>
    </cfRule>
    <cfRule type="expression" dxfId="1419" priority="434">
      <formula>G1394 = "Pendente"</formula>
    </cfRule>
    <cfRule type="expression" dxfId="1418" priority="435">
      <formula>G1394 = "Tem que compra"</formula>
    </cfRule>
    <cfRule type="expression" dxfId="1417" priority="420">
      <formula>G1394 = "Vendido"</formula>
    </cfRule>
    <cfRule type="expression" dxfId="1416" priority="431">
      <formula>G1394 = "Loja"</formula>
    </cfRule>
    <cfRule type="expression" dxfId="1415" priority="419">
      <formula>G1394 = "Loja"</formula>
    </cfRule>
    <cfRule type="expression" dxfId="1414" priority="421">
      <formula>G1394 = "Estoque"</formula>
    </cfRule>
    <cfRule type="expression" dxfId="1413" priority="422">
      <formula>G1394 = "Pendente"</formula>
    </cfRule>
    <cfRule type="expression" dxfId="1412" priority="442">
      <formula>G1394 = "Atacado"</formula>
    </cfRule>
    <cfRule type="expression" dxfId="1411" priority="423">
      <formula>G1394 = "Tem que compra"</formula>
    </cfRule>
    <cfRule type="expression" dxfId="1410" priority="436">
      <formula>G1394 = "Atacado"</formula>
    </cfRule>
    <cfRule type="expression" dxfId="1409" priority="424">
      <formula>G1394 = "Atacado"</formula>
    </cfRule>
    <cfRule type="expression" dxfId="1408" priority="433">
      <formula>G1394 = "Estoque"</formula>
    </cfRule>
  </conditionalFormatting>
  <conditionalFormatting sqref="B1395:B1399">
    <cfRule type="expression" dxfId="1407" priority="1031">
      <formula>G1395 = "Estoque"</formula>
    </cfRule>
    <cfRule type="expression" dxfId="1406" priority="1030">
      <formula>G1395 = "Vendido"</formula>
    </cfRule>
  </conditionalFormatting>
  <conditionalFormatting sqref="B1396">
    <cfRule type="expression" dxfId="1405" priority="1018">
      <formula>G1396 = "Vendido"</formula>
    </cfRule>
    <cfRule type="expression" dxfId="1404" priority="1017">
      <formula>G1396 = "Loja"</formula>
    </cfRule>
    <cfRule type="expression" dxfId="1403" priority="1016">
      <formula>G1396 = "Atacado"</formula>
    </cfRule>
    <cfRule type="expression" dxfId="1402" priority="1015">
      <formula>G1396 = "Tem que compra"</formula>
    </cfRule>
    <cfRule type="expression" dxfId="1401" priority="1014">
      <formula>G1396 = "Pendente"</formula>
    </cfRule>
    <cfRule type="expression" dxfId="1400" priority="1013">
      <formula>G1396 = "Estoque"</formula>
    </cfRule>
    <cfRule type="expression" dxfId="1399" priority="1012">
      <formula>G1396 = "Vendido"</formula>
    </cfRule>
    <cfRule type="expression" dxfId="1398" priority="1025">
      <formula>G1396 = "Estoque"</formula>
    </cfRule>
    <cfRule type="expression" dxfId="1397" priority="1034">
      <formula>G1396 = "Atacado"</formula>
    </cfRule>
    <cfRule type="expression" dxfId="1396" priority="1033">
      <formula>G1396 = "Tem que compra"</formula>
    </cfRule>
    <cfRule type="expression" dxfId="1395" priority="1032">
      <formula>G1396 = "Pendente"</formula>
    </cfRule>
    <cfRule type="expression" dxfId="1394" priority="1028">
      <formula>G1396 = "Atacado"</formula>
    </cfRule>
    <cfRule type="expression" dxfId="1393" priority="1027">
      <formula>G1396 = "Tem que compra"</formula>
    </cfRule>
    <cfRule type="expression" dxfId="1392" priority="1026">
      <formula>G1396 = "Pendente"</formula>
    </cfRule>
    <cfRule type="expression" dxfId="1391" priority="1024">
      <formula>G1396 = "Vendido"</formula>
    </cfRule>
    <cfRule type="expression" dxfId="1390" priority="1023">
      <formula>G1396 = "Loja"</formula>
    </cfRule>
    <cfRule type="expression" dxfId="1389" priority="1022">
      <formula>G1396 = "Atacado"</formula>
    </cfRule>
    <cfRule type="expression" dxfId="1388" priority="1021">
      <formula>G1396 = "Tem que compra"</formula>
    </cfRule>
    <cfRule type="expression" dxfId="1387" priority="1020">
      <formula>G1396 = "Pendente"</formula>
    </cfRule>
    <cfRule type="expression" dxfId="1386" priority="1019">
      <formula>G1396 = "Estoque"</formula>
    </cfRule>
  </conditionalFormatting>
  <conditionalFormatting sqref="B1396:B1399">
    <cfRule type="expression" dxfId="1385" priority="1029">
      <formula>G1396 = "Loja"</formula>
    </cfRule>
  </conditionalFormatting>
  <conditionalFormatting sqref="B1400">
    <cfRule type="expression" dxfId="1384" priority="983">
      <formula>G1400 = "Estoque"</formula>
    </cfRule>
    <cfRule type="expression" dxfId="1383" priority="984">
      <formula>G1400 = "Pendente"</formula>
    </cfRule>
    <cfRule type="expression" dxfId="1382" priority="978">
      <formula>G1400 = "Pendente"</formula>
    </cfRule>
    <cfRule type="expression" dxfId="1381" priority="979">
      <formula>G1400 = "Tem que compra"</formula>
    </cfRule>
    <cfRule type="expression" dxfId="1380" priority="980">
      <formula>G1400 = "Atacado"</formula>
    </cfRule>
    <cfRule type="expression" dxfId="1379" priority="981">
      <formula>G1400 = "Loja"</formula>
    </cfRule>
    <cfRule type="expression" dxfId="1378" priority="982">
      <formula>G1400 = "Vendido"</formula>
    </cfRule>
    <cfRule type="expression" dxfId="1377" priority="985">
      <formula>G1400 = "Tem que compra"</formula>
    </cfRule>
    <cfRule type="expression" dxfId="1376" priority="986">
      <formula>G1400 = "Atacado"</formula>
    </cfRule>
  </conditionalFormatting>
  <conditionalFormatting sqref="B1400:B1401">
    <cfRule type="expression" dxfId="1375" priority="963">
      <formula>G1400 = "Estoque"</formula>
    </cfRule>
    <cfRule type="expression" dxfId="1374" priority="962">
      <formula>G1400 = "Vendido"</formula>
    </cfRule>
    <cfRule type="expression" dxfId="1373" priority="961">
      <formula>G1400 = "Loja"</formula>
    </cfRule>
  </conditionalFormatting>
  <conditionalFormatting sqref="B1401">
    <cfRule type="expression" dxfId="1372" priority="959">
      <formula>G1401 = "Tem que compra"</formula>
    </cfRule>
    <cfRule type="expression" dxfId="1371" priority="966">
      <formula>G1401 = "Atacado"</formula>
    </cfRule>
    <cfRule type="expression" dxfId="1370" priority="965">
      <formula>G1401 = "Tem que compra"</formula>
    </cfRule>
    <cfRule type="expression" dxfId="1369" priority="964">
      <formula>G1401 = "Pendente"</formula>
    </cfRule>
    <cfRule type="expression" dxfId="1368" priority="960">
      <formula>G1401 = "Atacado"</formula>
    </cfRule>
    <cfRule type="expression" dxfId="1367" priority="958">
      <formula>G1401 = "Pendente"</formula>
    </cfRule>
  </conditionalFormatting>
  <conditionalFormatting sqref="B1401:B1402">
    <cfRule type="expression" dxfId="1366" priority="921">
      <formula>G1401 = "Loja"</formula>
    </cfRule>
    <cfRule type="expression" dxfId="1365" priority="922">
      <formula>G1401 = "Vendido"</formula>
    </cfRule>
    <cfRule type="expression" dxfId="1364" priority="923">
      <formula>G1401 = "Estoque"</formula>
    </cfRule>
  </conditionalFormatting>
  <conditionalFormatting sqref="B1402">
    <cfRule type="expression" dxfId="1363" priority="918">
      <formula>G1402 = "Pendente"</formula>
    </cfRule>
    <cfRule type="expression" dxfId="1362" priority="920">
      <formula>G1402 = "Atacado"</formula>
    </cfRule>
    <cfRule type="expression" dxfId="1361" priority="926">
      <formula>G1402 = "Atacado"</formula>
    </cfRule>
    <cfRule type="expression" dxfId="1360" priority="925">
      <formula>G1402 = "Tem que compra"</formula>
    </cfRule>
    <cfRule type="expression" dxfId="1359" priority="924">
      <formula>G1402 = "Pendente"</formula>
    </cfRule>
    <cfRule type="expression" dxfId="1358" priority="919">
      <formula>G1402 = "Tem que compra"</formula>
    </cfRule>
  </conditionalFormatting>
  <conditionalFormatting sqref="B1402:B1403">
    <cfRule type="expression" dxfId="1357" priority="903">
      <formula>G1402 = "Estoque"</formula>
    </cfRule>
    <cfRule type="expression" dxfId="1356" priority="901">
      <formula>G1402 = "Loja"</formula>
    </cfRule>
    <cfRule type="expression" dxfId="1355" priority="902">
      <formula>G1402 = "Vendido"</formula>
    </cfRule>
  </conditionalFormatting>
  <conditionalFormatting sqref="B1403">
    <cfRule type="expression" dxfId="1354" priority="905">
      <formula>G1403 = "Tem que compra"</formula>
    </cfRule>
    <cfRule type="expression" dxfId="1353" priority="906">
      <formula>G1403 = "Atacado"</formula>
    </cfRule>
    <cfRule type="expression" dxfId="1352" priority="904">
      <formula>G1403 = "Pendente"</formula>
    </cfRule>
    <cfRule type="expression" dxfId="1351" priority="900">
      <formula>G1403 = "Atacado"</formula>
    </cfRule>
    <cfRule type="expression" dxfId="1350" priority="899">
      <formula>G1403 = "Tem que compra"</formula>
    </cfRule>
    <cfRule type="expression" dxfId="1349" priority="898">
      <formula>G1403 = "Pendente"</formula>
    </cfRule>
  </conditionalFormatting>
  <conditionalFormatting sqref="B1403:B1409">
    <cfRule type="expression" dxfId="1348" priority="882">
      <formula>G1403 = "Vendido"</formula>
    </cfRule>
    <cfRule type="expression" dxfId="1347" priority="881">
      <formula>G1403 = "Loja"</formula>
    </cfRule>
    <cfRule type="expression" dxfId="1346" priority="883">
      <formula>G1403 = "Estoque"</formula>
    </cfRule>
  </conditionalFormatting>
  <conditionalFormatting sqref="B1404:B1409">
    <cfRule type="expression" dxfId="1345" priority="880">
      <formula>G1404 = "Atacado"</formula>
    </cfRule>
    <cfRule type="expression" dxfId="1344" priority="879">
      <formula>G1404 = "Tem que compra"</formula>
    </cfRule>
    <cfRule type="expression" dxfId="1343" priority="878">
      <formula>G1404 = "Pendente"</formula>
    </cfRule>
    <cfRule type="expression" dxfId="1342" priority="886">
      <formula>G1404 = "Atacado"</formula>
    </cfRule>
    <cfRule type="expression" dxfId="1341" priority="885">
      <formula>G1404 = "Tem que compra"</formula>
    </cfRule>
    <cfRule type="expression" dxfId="1340" priority="884">
      <formula>G1404 = "Pendente"</formula>
    </cfRule>
  </conditionalFormatting>
  <conditionalFormatting sqref="B1404:B1410">
    <cfRule type="expression" dxfId="1339" priority="862">
      <formula>G1404 = "Vendido"</formula>
    </cfRule>
    <cfRule type="expression" dxfId="1338" priority="863">
      <formula>G1404 = "Estoque"</formula>
    </cfRule>
    <cfRule type="expression" dxfId="1337" priority="861">
      <formula>G1404 = "Loja"</formula>
    </cfRule>
  </conditionalFormatting>
  <conditionalFormatting sqref="B1410">
    <cfRule type="expression" dxfId="1336" priority="858">
      <formula>G1410 = "Pendente"</formula>
    </cfRule>
    <cfRule type="expression" dxfId="1335" priority="866">
      <formula>G1410 = "Atacado"</formula>
    </cfRule>
    <cfRule type="expression" dxfId="1334" priority="865">
      <formula>G1410 = "Tem que compra"</formula>
    </cfRule>
    <cfRule type="expression" dxfId="1333" priority="864">
      <formula>G1410 = "Pendente"</formula>
    </cfRule>
    <cfRule type="expression" dxfId="1332" priority="860">
      <formula>G1410 = "Atacado"</formula>
    </cfRule>
    <cfRule type="expression" dxfId="1331" priority="859">
      <formula>G1410 = "Tem que compra"</formula>
    </cfRule>
  </conditionalFormatting>
  <conditionalFormatting sqref="B1410:B1411">
    <cfRule type="expression" dxfId="1330" priority="843">
      <formula>G1410 = "Estoque"</formula>
    </cfRule>
    <cfRule type="expression" dxfId="1329" priority="842">
      <formula>G1410 = "Vendido"</formula>
    </cfRule>
    <cfRule type="expression" dxfId="1328" priority="841">
      <formula>G1410 = "Loja"</formula>
    </cfRule>
  </conditionalFormatting>
  <conditionalFormatting sqref="B1411">
    <cfRule type="expression" dxfId="1327" priority="838">
      <formula>G1411 = "Pendente"</formula>
    </cfRule>
    <cfRule type="expression" dxfId="1326" priority="846">
      <formula>G1411 = "Atacado"</formula>
    </cfRule>
    <cfRule type="expression" dxfId="1325" priority="844">
      <formula>G1411 = "Pendente"</formula>
    </cfRule>
    <cfRule type="expression" dxfId="1324" priority="845">
      <formula>G1411 = "Tem que compra"</formula>
    </cfRule>
    <cfRule type="expression" dxfId="1323" priority="840">
      <formula>G1411 = "Atacado"</formula>
    </cfRule>
    <cfRule type="expression" dxfId="1322" priority="839">
      <formula>G1411 = "Tem que compra"</formula>
    </cfRule>
  </conditionalFormatting>
  <conditionalFormatting sqref="B1411:B1412">
    <cfRule type="expression" dxfId="1321" priority="811">
      <formula>G1411 = "Estoque"</formula>
    </cfRule>
    <cfRule type="expression" dxfId="1320" priority="810">
      <formula>G1411 = "Vendido"</formula>
    </cfRule>
    <cfRule type="expression" dxfId="1319" priority="809">
      <formula>G1411 = "Loja"</formula>
    </cfRule>
  </conditionalFormatting>
  <conditionalFormatting sqref="B1412">
    <cfRule type="expression" dxfId="1318" priority="806">
      <formula>G1412 = "Pendente"</formula>
    </cfRule>
    <cfRule type="expression" dxfId="1317" priority="807">
      <formula>G1412 = "Tem que compra"</formula>
    </cfRule>
    <cfRule type="expression" dxfId="1316" priority="813">
      <formula>G1412 = "Tem que compra"</formula>
    </cfRule>
    <cfRule type="expression" dxfId="1315" priority="812">
      <formula>G1412 = "Pendente"</formula>
    </cfRule>
    <cfRule type="expression" dxfId="1314" priority="814">
      <formula>G1412 = "Atacado"</formula>
    </cfRule>
    <cfRule type="expression" dxfId="1313" priority="808">
      <formula>G1412 = "Atacado"</formula>
    </cfRule>
  </conditionalFormatting>
  <conditionalFormatting sqref="B1412:B1413">
    <cfRule type="expression" dxfId="1312" priority="778">
      <formula>G1412 = "Vendido"</formula>
    </cfRule>
    <cfRule type="expression" dxfId="1311" priority="777">
      <formula>G1412 = "Loja"</formula>
    </cfRule>
    <cfRule type="expression" dxfId="1310" priority="779">
      <formula>G1412 = "Estoque"</formula>
    </cfRule>
  </conditionalFormatting>
  <conditionalFormatting sqref="B1413">
    <cfRule type="expression" dxfId="1309" priority="782">
      <formula>G1413 = "Atacado"</formula>
    </cfRule>
    <cfRule type="expression" dxfId="1308" priority="774">
      <formula>G1413 = "Pendente"</formula>
    </cfRule>
    <cfRule type="expression" dxfId="1307" priority="775">
      <formula>G1413 = "Tem que compra"</formula>
    </cfRule>
    <cfRule type="expression" dxfId="1306" priority="776">
      <formula>G1413 = "Atacado"</formula>
    </cfRule>
    <cfRule type="expression" dxfId="1305" priority="781">
      <formula>G1413 = "Tem que compra"</formula>
    </cfRule>
    <cfRule type="expression" dxfId="1304" priority="780">
      <formula>G1413 = "Pendente"</formula>
    </cfRule>
  </conditionalFormatting>
  <conditionalFormatting sqref="B1413:B1416">
    <cfRule type="expression" dxfId="1303" priority="766">
      <formula>G1413 = "Vendido"</formula>
    </cfRule>
    <cfRule type="expression" dxfId="1302" priority="765">
      <formula>G1413 = "Loja"</formula>
    </cfRule>
    <cfRule type="expression" dxfId="1301" priority="767">
      <formula>G1413 = "Estoque"</formula>
    </cfRule>
  </conditionalFormatting>
  <conditionalFormatting sqref="B1414:B1416">
    <cfRule type="expression" dxfId="1300" priority="770">
      <formula>G1414 = "Atacado"</formula>
    </cfRule>
    <cfRule type="expression" dxfId="1299" priority="762">
      <formula>G1414 = "Pendente"</formula>
    </cfRule>
    <cfRule type="expression" dxfId="1298" priority="763">
      <formula>G1414 = "Tem que compra"</formula>
    </cfRule>
    <cfRule type="expression" dxfId="1297" priority="769">
      <formula>G1414 = "Tem que compra"</formula>
    </cfRule>
    <cfRule type="expression" dxfId="1296" priority="764">
      <formula>G1414 = "Atacado"</formula>
    </cfRule>
    <cfRule type="expression" dxfId="1295" priority="768">
      <formula>G1414 = "Pendente"</formula>
    </cfRule>
  </conditionalFormatting>
  <conditionalFormatting sqref="B1414:B1420">
    <cfRule type="expression" dxfId="1294" priority="746">
      <formula>G1414 = "Vendido"</formula>
    </cfRule>
    <cfRule type="expression" dxfId="1293" priority="747">
      <formula>G1414 = "Estoque"</formula>
    </cfRule>
    <cfRule type="expression" dxfId="1292" priority="745">
      <formula>G1414 = "Loja"</formula>
    </cfRule>
  </conditionalFormatting>
  <conditionalFormatting sqref="B1417:B1420">
    <cfRule type="expression" dxfId="1291" priority="742">
      <formula>G1417 = "Pendente"</formula>
    </cfRule>
    <cfRule type="expression" dxfId="1290" priority="743">
      <formula>G1417 = "Tem que compra"</formula>
    </cfRule>
    <cfRule type="expression" dxfId="1289" priority="744">
      <formula>G1417 = "Atacado"</formula>
    </cfRule>
    <cfRule type="expression" dxfId="1288" priority="750">
      <formula>G1417 = "Atacado"</formula>
    </cfRule>
    <cfRule type="expression" dxfId="1287" priority="749">
      <formula>G1417 = "Tem que compra"</formula>
    </cfRule>
    <cfRule type="expression" dxfId="1286" priority="748">
      <formula>G1417 = "Pendente"</formula>
    </cfRule>
  </conditionalFormatting>
  <conditionalFormatting sqref="B1417:B1421">
    <cfRule type="expression" dxfId="1285" priority="725">
      <formula>G1417 = "Loja"</formula>
    </cfRule>
    <cfRule type="expression" dxfId="1284" priority="726">
      <formula>G1417 = "Vendido"</formula>
    </cfRule>
    <cfRule type="expression" dxfId="1283" priority="727">
      <formula>G1417 = "Estoque"</formula>
    </cfRule>
  </conditionalFormatting>
  <conditionalFormatting sqref="B1421">
    <cfRule type="expression" dxfId="1282" priority="723">
      <formula>G1421 = "Tem que compra"</formula>
    </cfRule>
    <cfRule type="expression" dxfId="1281" priority="724">
      <formula>G1421 = "Atacado"</formula>
    </cfRule>
    <cfRule type="expression" dxfId="1280" priority="728">
      <formula>G1421 = "Pendente"</formula>
    </cfRule>
    <cfRule type="expression" dxfId="1279" priority="730">
      <formula>G1421 = "Atacado"</formula>
    </cfRule>
    <cfRule type="expression" dxfId="1278" priority="729">
      <formula>G1421 = "Tem que compra"</formula>
    </cfRule>
    <cfRule type="expression" dxfId="1277" priority="722">
      <formula>G1421 = "Pendente"</formula>
    </cfRule>
  </conditionalFormatting>
  <conditionalFormatting sqref="B1421:B1422">
    <cfRule type="expression" dxfId="1276" priority="706">
      <formula>G1421 = "Vendido"</formula>
    </cfRule>
    <cfRule type="expression" dxfId="1275" priority="705">
      <formula>G1421 = "Loja"</formula>
    </cfRule>
    <cfRule type="expression" dxfId="1274" priority="707">
      <formula>G1421 = "Estoque"</formula>
    </cfRule>
  </conditionalFormatting>
  <conditionalFormatting sqref="B1422">
    <cfRule type="expression" dxfId="1273" priority="702">
      <formula>G1422 = "Pendente"</formula>
    </cfRule>
    <cfRule type="expression" dxfId="1272" priority="703">
      <formula>G1422 = "Tem que compra"</formula>
    </cfRule>
    <cfRule type="expression" dxfId="1271" priority="704">
      <formula>G1422 = "Atacado"</formula>
    </cfRule>
    <cfRule type="expression" dxfId="1270" priority="708">
      <formula>G1422 = "Pendente"</formula>
    </cfRule>
    <cfRule type="expression" dxfId="1269" priority="709">
      <formula>G1422 = "Tem que compra"</formula>
    </cfRule>
    <cfRule type="expression" dxfId="1268" priority="710">
      <formula>G1422 = "Atacado"</formula>
    </cfRule>
  </conditionalFormatting>
  <conditionalFormatting sqref="B1422:B1423">
    <cfRule type="expression" dxfId="1267" priority="685">
      <formula>G1422 = "Loja"</formula>
    </cfRule>
    <cfRule type="expression" dxfId="1266" priority="686">
      <formula>G1422 = "Vendido"</formula>
    </cfRule>
    <cfRule type="expression" dxfId="1265" priority="687">
      <formula>G1422 = "Estoque"</formula>
    </cfRule>
  </conditionalFormatting>
  <conditionalFormatting sqref="B1423">
    <cfRule type="expression" dxfId="1264" priority="684">
      <formula>G1423 = "Atacado"</formula>
    </cfRule>
    <cfRule type="expression" dxfId="1263" priority="688">
      <formula>G1423 = "Pendente"</formula>
    </cfRule>
    <cfRule type="expression" dxfId="1262" priority="689">
      <formula>G1423 = "Tem que compra"</formula>
    </cfRule>
    <cfRule type="expression" dxfId="1261" priority="683">
      <formula>G1423 = "Tem que compra"</formula>
    </cfRule>
    <cfRule type="expression" dxfId="1260" priority="682">
      <formula>G1423 = "Pendente"</formula>
    </cfRule>
    <cfRule type="expression" dxfId="1259" priority="690">
      <formula>G1423 = "Atacado"</formula>
    </cfRule>
  </conditionalFormatting>
  <conditionalFormatting sqref="B1423:B1425">
    <cfRule type="expression" dxfId="1258" priority="667">
      <formula>G1423 = "Estoque"</formula>
    </cfRule>
    <cfRule type="expression" dxfId="1257" priority="666">
      <formula>G1423 = "Vendido"</formula>
    </cfRule>
    <cfRule type="expression" dxfId="1256" priority="665">
      <formula>G1423 = "Loja"</formula>
    </cfRule>
  </conditionalFormatting>
  <conditionalFormatting sqref="B1424">
    <cfRule type="expression" dxfId="1255" priority="661">
      <formula>G1424 = "Estoque"</formula>
    </cfRule>
    <cfRule type="expression" dxfId="1254" priority="660">
      <formula>G1424 = "Vendido"</formula>
    </cfRule>
    <cfRule type="expression" dxfId="1253" priority="659">
      <formula>G1424 = "Loja"</formula>
    </cfRule>
    <cfRule type="expression" dxfId="1252" priority="668">
      <formula>G1424 = "Pendente"</formula>
    </cfRule>
    <cfRule type="expression" dxfId="1251" priority="670">
      <formula>G1424 = "Atacado"</formula>
    </cfRule>
    <cfRule type="expression" dxfId="1250" priority="669">
      <formula>G1424 = "Tem que compra"</formula>
    </cfRule>
    <cfRule type="expression" dxfId="1249" priority="664">
      <formula>G1424 = "Atacado"</formula>
    </cfRule>
    <cfRule type="expression" dxfId="1248" priority="663">
      <formula>G1424 = "Tem que compra"</formula>
    </cfRule>
    <cfRule type="expression" dxfId="1247" priority="662">
      <formula>G1424 = "Pendente"</formula>
    </cfRule>
  </conditionalFormatting>
  <conditionalFormatting sqref="B1426">
    <cfRule type="expression" dxfId="1246" priority="611">
      <formula>G1426 = "Tem que compra"</formula>
    </cfRule>
    <cfRule type="expression" dxfId="1245" priority="613">
      <formula>G1426 = "Loja"</formula>
    </cfRule>
    <cfRule type="expression" dxfId="1244" priority="612">
      <formula>G1426 = "Atacado"</formula>
    </cfRule>
    <cfRule type="expression" dxfId="1243" priority="614">
      <formula>G1426 = "Vendido"</formula>
    </cfRule>
    <cfRule type="expression" dxfId="1242" priority="618">
      <formula>G1426 = "Atacado"</formula>
    </cfRule>
    <cfRule type="expression" dxfId="1241" priority="615">
      <formula>G1426 = "Estoque"</formula>
    </cfRule>
    <cfRule type="expression" dxfId="1240" priority="616">
      <formula>G1426 = "Pendente"</formula>
    </cfRule>
    <cfRule type="expression" dxfId="1239" priority="617">
      <formula>G1426 = "Tem que compra"</formula>
    </cfRule>
    <cfRule type="expression" dxfId="1238" priority="610">
      <formula>G1426 = "Pendente"</formula>
    </cfRule>
  </conditionalFormatting>
  <conditionalFormatting sqref="B1426:B1427">
    <cfRule type="expression" dxfId="1237" priority="581">
      <formula>G1426 = "Loja"</formula>
    </cfRule>
    <cfRule type="expression" dxfId="1236" priority="582">
      <formula>G1426 = "Vendido"</formula>
    </cfRule>
    <cfRule type="expression" dxfId="1235" priority="583">
      <formula>G1426 = "Estoque"</formula>
    </cfRule>
  </conditionalFormatting>
  <conditionalFormatting sqref="B1427">
    <cfRule type="expression" dxfId="1234" priority="578">
      <formula>G1427 = "Pendente"</formula>
    </cfRule>
    <cfRule type="expression" dxfId="1233" priority="586">
      <formula>G1427 = "Atacado"</formula>
    </cfRule>
    <cfRule type="expression" dxfId="1232" priority="579">
      <formula>G1427 = "Tem que compra"</formula>
    </cfRule>
    <cfRule type="expression" dxfId="1231" priority="580">
      <formula>G1427 = "Atacado"</formula>
    </cfRule>
    <cfRule type="expression" dxfId="1230" priority="584">
      <formula>G1427 = "Pendente"</formula>
    </cfRule>
    <cfRule type="expression" dxfId="1229" priority="585">
      <formula>G1427 = "Tem que compra"</formula>
    </cfRule>
  </conditionalFormatting>
  <conditionalFormatting sqref="B1427:B1428">
    <cfRule type="expression" dxfId="1228" priority="569">
      <formula>G1427 = "Loja"</formula>
    </cfRule>
    <cfRule type="expression" dxfId="1227" priority="570">
      <formula>G1427 = "Vendido"</formula>
    </cfRule>
    <cfRule type="expression" dxfId="1226" priority="571">
      <formula>G1427 = "Estoque"</formula>
    </cfRule>
  </conditionalFormatting>
  <conditionalFormatting sqref="B1428">
    <cfRule type="expression" dxfId="1225" priority="568">
      <formula>G1428 = "Atacado"</formula>
    </cfRule>
    <cfRule type="expression" dxfId="1224" priority="572">
      <formula>G1428 = "Pendente"</formula>
    </cfRule>
    <cfRule type="expression" dxfId="1223" priority="573">
      <formula>G1428 = "Tem que compra"</formula>
    </cfRule>
    <cfRule type="expression" dxfId="1222" priority="574">
      <formula>G1428 = "Atacado"</formula>
    </cfRule>
    <cfRule type="expression" dxfId="1221" priority="566">
      <formula>G1428 = "Pendente"</formula>
    </cfRule>
    <cfRule type="expression" dxfId="1220" priority="567">
      <formula>G1428 = "Tem que compra"</formula>
    </cfRule>
  </conditionalFormatting>
  <conditionalFormatting sqref="B1428:B1429">
    <cfRule type="expression" dxfId="1219" priority="531">
      <formula>G1428 = "Estoque"</formula>
    </cfRule>
    <cfRule type="expression" dxfId="1218" priority="530">
      <formula>G1428 = "Vendido"</formula>
    </cfRule>
    <cfRule type="expression" dxfId="1217" priority="529">
      <formula>G1428 = "Loja"</formula>
    </cfRule>
  </conditionalFormatting>
  <conditionalFormatting sqref="B1429">
    <cfRule type="expression" dxfId="1216" priority="532">
      <formula>G1429 = "Pendente"</formula>
    </cfRule>
    <cfRule type="expression" dxfId="1215" priority="533">
      <formula>G1429 = "Tem que compra"</formula>
    </cfRule>
    <cfRule type="expression" dxfId="1214" priority="534">
      <formula>G1429 = "Atacado"</formula>
    </cfRule>
    <cfRule type="expression" dxfId="1213" priority="528">
      <formula>G1429 = "Atacado"</formula>
    </cfRule>
    <cfRule type="expression" dxfId="1212" priority="527">
      <formula>G1429 = "Tem que compra"</formula>
    </cfRule>
    <cfRule type="expression" dxfId="1211" priority="526">
      <formula>G1429 = "Pendente"</formula>
    </cfRule>
  </conditionalFormatting>
  <conditionalFormatting sqref="B1429:B1430">
    <cfRule type="expression" dxfId="1210" priority="511">
      <formula>G1429 = "Estoque"</formula>
    </cfRule>
    <cfRule type="expression" dxfId="1209" priority="510">
      <formula>G1429 = "Vendido"</formula>
    </cfRule>
    <cfRule type="expression" dxfId="1208" priority="509">
      <formula>G1429 = "Loja"</formula>
    </cfRule>
  </conditionalFormatting>
  <conditionalFormatting sqref="B1430">
    <cfRule type="expression" dxfId="1207" priority="508">
      <formula>G1430 = "Atacado"</formula>
    </cfRule>
    <cfRule type="expression" dxfId="1206" priority="507">
      <formula>G1430 = "Tem que compra"</formula>
    </cfRule>
    <cfRule type="expression" dxfId="1205" priority="514">
      <formula>G1430 = "Atacado"</formula>
    </cfRule>
    <cfRule type="expression" dxfId="1204" priority="512">
      <formula>G1430 = "Pendente"</formula>
    </cfRule>
    <cfRule type="expression" dxfId="1203" priority="506">
      <formula>G1430 = "Pendente"</formula>
    </cfRule>
    <cfRule type="expression" dxfId="1202" priority="513">
      <formula>G1430 = "Tem que compra"</formula>
    </cfRule>
  </conditionalFormatting>
  <conditionalFormatting sqref="B1430:B1451">
    <cfRule type="expression" dxfId="1201" priority="498">
      <formula>G1430 = "Vendido"</formula>
    </cfRule>
    <cfRule type="expression" dxfId="1200" priority="499">
      <formula>G1430 = "Estoque"</formula>
    </cfRule>
    <cfRule type="expression" dxfId="1199" priority="497">
      <formula>G1430 = "Loja"</formula>
    </cfRule>
  </conditionalFormatting>
  <conditionalFormatting sqref="B1431">
    <cfRule type="expression" dxfId="1198" priority="494">
      <formula>G1431 = "Pendente"</formula>
    </cfRule>
    <cfRule type="expression" dxfId="1197" priority="495">
      <formula>G1431 = "Tem que compra"</formula>
    </cfRule>
    <cfRule type="expression" dxfId="1196" priority="492">
      <formula>G1431 = "Vendido"</formula>
    </cfRule>
    <cfRule type="expression" dxfId="1195" priority="491">
      <formula>G1431 = "Loja"</formula>
    </cfRule>
    <cfRule type="expression" dxfId="1194" priority="496">
      <formula>G1431 = "Atacado"</formula>
    </cfRule>
    <cfRule type="expression" dxfId="1193" priority="493">
      <formula>G1431 = "Estoque"</formula>
    </cfRule>
    <cfRule type="expression" dxfId="1192" priority="500">
      <formula>G1431 = "Pendente"</formula>
    </cfRule>
    <cfRule type="expression" dxfId="1191" priority="501">
      <formula>G1431 = "Tem que compra"</formula>
    </cfRule>
    <cfRule type="expression" dxfId="1190" priority="502">
      <formula>G1431 = "Atacado"</formula>
    </cfRule>
  </conditionalFormatting>
  <conditionalFormatting sqref="B1457:B1461">
    <cfRule type="expression" dxfId="1189" priority="350">
      <formula>G1457 = "Loja"</formula>
    </cfRule>
    <cfRule type="expression" dxfId="1188" priority="349">
      <formula>G1457 = "Atacado"</formula>
    </cfRule>
    <cfRule type="expression" dxfId="1187" priority="348">
      <formula>G1457 = "Tem que compra"</formula>
    </cfRule>
    <cfRule type="expression" dxfId="1186" priority="346">
      <formula>G1457 = "Estoque"</formula>
    </cfRule>
    <cfRule type="expression" dxfId="1185" priority="347">
      <formula>G1457 = "Pendente"</formula>
    </cfRule>
    <cfRule type="expression" dxfId="1184" priority="345">
      <formula>G1457 = "Vendido"</formula>
    </cfRule>
  </conditionalFormatting>
  <conditionalFormatting sqref="B1457:B1466">
    <cfRule type="expression" dxfId="1183" priority="335">
      <formula>G1457 = "Loja"</formula>
    </cfRule>
  </conditionalFormatting>
  <conditionalFormatting sqref="B1462:B1466">
    <cfRule type="expression" dxfId="1182" priority="332">
      <formula>G1462 = "Pendente"</formula>
    </cfRule>
    <cfRule type="expression" dxfId="1181" priority="334">
      <formula>G1462 = "Atacado"</formula>
    </cfRule>
    <cfRule type="expression" dxfId="1180" priority="333">
      <formula>G1462 = "Tem que compra"</formula>
    </cfRule>
  </conditionalFormatting>
  <conditionalFormatting sqref="B1462:B1467">
    <cfRule type="expression" dxfId="1179" priority="309">
      <formula>G1462 = "Estoque"</formula>
    </cfRule>
    <cfRule type="expression" dxfId="1178" priority="307">
      <formula>G1462 = "Loja"</formula>
    </cfRule>
    <cfRule type="expression" dxfId="1177" priority="308">
      <formula>G1462 = "Vendido"</formula>
    </cfRule>
  </conditionalFormatting>
  <conditionalFormatting sqref="B1467">
    <cfRule type="expression" dxfId="1176" priority="310">
      <formula>G1467 = "Pendente"</formula>
    </cfRule>
    <cfRule type="expression" dxfId="1175" priority="311">
      <formula>G1467 = "Tem que compra"</formula>
    </cfRule>
    <cfRule type="expression" dxfId="1174" priority="305">
      <formula>G1467 = "Tem que compra"</formula>
    </cfRule>
    <cfRule type="expression" dxfId="1173" priority="304">
      <formula>G1467 = "Pendente"</formula>
    </cfRule>
    <cfRule type="expression" dxfId="1172" priority="306">
      <formula>G1467 = "Atacado"</formula>
    </cfRule>
    <cfRule type="expression" dxfId="1171" priority="312">
      <formula>G1467 = "Atacado"</formula>
    </cfRule>
  </conditionalFormatting>
  <conditionalFormatting sqref="B1467:B1470">
    <cfRule type="expression" dxfId="1170" priority="296">
      <formula>G1467 = "Vendido"</formula>
    </cfRule>
    <cfRule type="expression" dxfId="1169" priority="297">
      <formula>G1467 = "Estoque"</formula>
    </cfRule>
  </conditionalFormatting>
  <conditionalFormatting sqref="B1468">
    <cfRule type="expression" dxfId="1168" priority="289">
      <formula>G1468 = "Loja"</formula>
    </cfRule>
    <cfRule type="expression" dxfId="1167" priority="290">
      <formula>G1468 = "Vendido"</formula>
    </cfRule>
    <cfRule type="expression" dxfId="1166" priority="298">
      <formula>G1468 = "Pendente"</formula>
    </cfRule>
    <cfRule type="expression" dxfId="1165" priority="299">
      <formula>G1468 = "Tem que compra"</formula>
    </cfRule>
    <cfRule type="expression" dxfId="1164" priority="300">
      <formula>G1468 = "Atacado"</formula>
    </cfRule>
    <cfRule type="expression" dxfId="1163" priority="294">
      <formula>G1468 = "Atacado"</formula>
    </cfRule>
    <cfRule type="expression" dxfId="1162" priority="291">
      <formula>G1468 = "Estoque"</formula>
    </cfRule>
    <cfRule type="expression" dxfId="1161" priority="293">
      <formula>G1468 = "Tem que compra"</formula>
    </cfRule>
    <cfRule type="expression" dxfId="1160" priority="292">
      <formula>G1468 = "Pendente"</formula>
    </cfRule>
  </conditionalFormatting>
  <conditionalFormatting sqref="E715">
    <cfRule type="expression" dxfId="1159" priority="7028">
      <formula>E715 = "Vendido"</formula>
    </cfRule>
    <cfRule type="expression" dxfId="1158" priority="7027">
      <formula>E715 = "Pendente"</formula>
    </cfRule>
    <cfRule type="expression" dxfId="1157" priority="7018">
      <formula>E715 = "Estoque"</formula>
    </cfRule>
    <cfRule type="expression" dxfId="1156" priority="7026">
      <formula>E715 = "Estoque"</formula>
    </cfRule>
    <cfRule type="expression" dxfId="1155" priority="7025">
      <formula>E715 = "Pedidos"</formula>
    </cfRule>
    <cfRule type="expression" dxfId="1154" priority="7024">
      <formula>E715 = "Atacado"</formula>
    </cfRule>
    <cfRule type="expression" dxfId="1153" priority="7023">
      <formula>E715 = "Tem que compra"</formula>
    </cfRule>
    <cfRule type="expression" dxfId="1152" priority="7021">
      <formula>E715 ="Entregar"</formula>
    </cfRule>
    <cfRule type="expression" dxfId="1151" priority="7020">
      <formula>E715 = "Vendido"</formula>
    </cfRule>
    <cfRule type="expression" dxfId="1150" priority="7019">
      <formula>E715 = "Pendente"</formula>
    </cfRule>
    <cfRule type="expression" dxfId="1149" priority="7017">
      <formula>E715 = "Pedidos"</formula>
    </cfRule>
  </conditionalFormatting>
  <conditionalFormatting sqref="E715:E716">
    <cfRule type="expression" dxfId="1148" priority="6999">
      <formula>E715 = "Loja"</formula>
    </cfRule>
    <cfRule type="expression" dxfId="1147" priority="7008">
      <formula>E715 = "Tem que compra"</formula>
    </cfRule>
    <cfRule type="expression" dxfId="1146" priority="7009">
      <formula>E715 = "Atacado"</formula>
    </cfRule>
  </conditionalFormatting>
  <conditionalFormatting sqref="E716">
    <cfRule type="expression" dxfId="1145" priority="7004">
      <formula>E716 = "Pendente"</formula>
    </cfRule>
    <cfRule type="expression" dxfId="1144" priority="7003">
      <formula>E716 = "Estoque"</formula>
    </cfRule>
    <cfRule type="expression" dxfId="1143" priority="7006">
      <formula>E716 ="Entregar"</formula>
    </cfRule>
    <cfRule type="expression" dxfId="1142" priority="7005">
      <formula>E716 = "Vendido"</formula>
    </cfRule>
    <cfRule type="expression" dxfId="1141" priority="7001">
      <formula>E716 = "Atacado"</formula>
    </cfRule>
    <cfRule type="expression" dxfId="1140" priority="7000">
      <formula>E716 = "Tem que compra"</formula>
    </cfRule>
    <cfRule type="expression" dxfId="1139" priority="7011">
      <formula>E716 = "Estoque"</formula>
    </cfRule>
    <cfRule type="expression" dxfId="1138" priority="7012">
      <formula>E716 = "Pendente"</formula>
    </cfRule>
    <cfRule type="expression" dxfId="1137" priority="7013">
      <formula>E716 = "Vendido"</formula>
    </cfRule>
    <cfRule type="expression" dxfId="1136" priority="7002">
      <formula>E716 = "Pedidos"</formula>
    </cfRule>
    <cfRule type="expression" dxfId="1135" priority="7010">
      <formula>E716 = "Pedidos"</formula>
    </cfRule>
  </conditionalFormatting>
  <conditionalFormatting sqref="F776:F777">
    <cfRule type="expression" dxfId="1134" priority="6021">
      <formula>F776 = "Estoque"</formula>
    </cfRule>
    <cfRule type="expression" dxfId="1133" priority="6022">
      <formula>F776 = "Pendente"</formula>
    </cfRule>
    <cfRule type="expression" dxfId="1132" priority="6023">
      <formula>F776 = "Vendido"</formula>
    </cfRule>
    <cfRule type="expression" dxfId="1131" priority="6018">
      <formula>F776 = "Tem que compra"</formula>
    </cfRule>
    <cfRule type="expression" dxfId="1130" priority="6017">
      <formula>F776 ="Entregar"</formula>
    </cfRule>
    <cfRule type="expression" dxfId="1129" priority="6016">
      <formula>F776 ="Loja"</formula>
    </cfRule>
    <cfRule type="expression" dxfId="1128" priority="6019">
      <formula>F776 = "Atacado"</formula>
    </cfRule>
    <cfRule type="expression" dxfId="1127" priority="6020">
      <formula>F776 = "Pedidos"</formula>
    </cfRule>
  </conditionalFormatting>
  <conditionalFormatting sqref="F796:F797">
    <cfRule type="expression" dxfId="1126" priority="5995">
      <formula>F796 = "Estoque"</formula>
    </cfRule>
    <cfRule type="expression" dxfId="1125" priority="5997">
      <formula>F796 = "Vendido"</formula>
    </cfRule>
    <cfRule type="expression" dxfId="1124" priority="5996">
      <formula>F796 = "Pendente"</formula>
    </cfRule>
    <cfRule type="expression" dxfId="1123" priority="5994">
      <formula>F796 = "Pedidos"</formula>
    </cfRule>
    <cfRule type="expression" dxfId="1122" priority="5993">
      <formula>F796 = "Atacado"</formula>
    </cfRule>
    <cfRule type="expression" dxfId="1121" priority="5992">
      <formula>F796 = "Tem que compra"</formula>
    </cfRule>
    <cfRule type="expression" dxfId="1120" priority="5991">
      <formula>F796 ="Entregar"</formula>
    </cfRule>
    <cfRule type="expression" dxfId="1119" priority="5990">
      <formula>F796 ="Loja"</formula>
    </cfRule>
  </conditionalFormatting>
  <conditionalFormatting sqref="F1074">
    <cfRule type="expression" dxfId="1118" priority="5332">
      <formula>F1074 = "Atacado"</formula>
    </cfRule>
    <cfRule type="expression" dxfId="1117" priority="5334">
      <formula>F1074 = "Estoque"</formula>
    </cfRule>
    <cfRule type="expression" dxfId="1116" priority="5333">
      <formula>F1074 = "Pedidos"</formula>
    </cfRule>
    <cfRule type="expression" dxfId="1115" priority="5330">
      <formula>F1074 ="Entregar"</formula>
    </cfRule>
    <cfRule type="expression" dxfId="1114" priority="5336">
      <formula>F1074 = "Vendido"</formula>
    </cfRule>
    <cfRule type="expression" dxfId="1113" priority="5335">
      <formula>F1074 = "Pendente"</formula>
    </cfRule>
    <cfRule type="expression" dxfId="1112" priority="5329">
      <formula>F1074 ="Loja"</formula>
    </cfRule>
    <cfRule type="expression" dxfId="1111" priority="5331">
      <formula>F1074 = "Tem que compra"</formula>
    </cfRule>
  </conditionalFormatting>
  <conditionalFormatting sqref="G1:G1048576">
    <cfRule type="expression" dxfId="1110" priority="6587">
      <formula>G1 = "Atacado"</formula>
    </cfRule>
    <cfRule type="expression" dxfId="1109" priority="6586">
      <formula>G1 = "Tem que compra"</formula>
    </cfRule>
    <cfRule type="expression" dxfId="1108" priority="6589">
      <formula>G1 = "Estoque"</formula>
    </cfRule>
    <cfRule type="expression" dxfId="1107" priority="6591">
      <formula>G1 = "Vendido"</formula>
    </cfRule>
    <cfRule type="expression" dxfId="1106" priority="6590">
      <formula>G1 = "Pendente"</formula>
    </cfRule>
    <cfRule type="expression" dxfId="1105" priority="6588">
      <formula>G1 = "Pedidos"</formula>
    </cfRule>
  </conditionalFormatting>
  <conditionalFormatting sqref="G1:G1470">
    <cfRule type="expression" dxfId="1104" priority="3540">
      <formula>G1 ="Entregar"</formula>
    </cfRule>
  </conditionalFormatting>
  <conditionalFormatting sqref="G729">
    <cfRule type="expression" dxfId="1103" priority="6326">
      <formula>G729 = "Estoque"</formula>
    </cfRule>
    <cfRule type="expression" dxfId="1102" priority="6323">
      <formula>G729 = "Tem que compra"</formula>
    </cfRule>
    <cfRule type="expression" dxfId="1101" priority="6328">
      <formula>G729 = "Vendido"</formula>
    </cfRule>
    <cfRule type="expression" dxfId="1100" priority="6324">
      <formula>G729 = "Atacado"</formula>
    </cfRule>
    <cfRule type="expression" dxfId="1099" priority="6327">
      <formula>G729 = "Pendente"</formula>
    </cfRule>
    <cfRule type="expression" dxfId="1098" priority="6325">
      <formula>G729 = "Pedidos"</formula>
    </cfRule>
  </conditionalFormatting>
  <conditionalFormatting sqref="G731">
    <cfRule type="expression" dxfId="1097" priority="6277">
      <formula>G731 = "Tem que compra"</formula>
    </cfRule>
    <cfRule type="expression" dxfId="1096" priority="6278">
      <formula>G731 = "Atacado"</formula>
    </cfRule>
    <cfRule type="expression" dxfId="1095" priority="6279">
      <formula>G731 = "Pedidos"</formula>
    </cfRule>
    <cfRule type="expression" dxfId="1094" priority="6281">
      <formula>G731 = "Pendente"</formula>
    </cfRule>
    <cfRule type="expression" dxfId="1093" priority="6282">
      <formula>G731 = "Vendido"</formula>
    </cfRule>
    <cfRule type="expression" dxfId="1092" priority="6280">
      <formula>G731 = "Estoque"</formula>
    </cfRule>
  </conditionalFormatting>
  <conditionalFormatting sqref="G733">
    <cfRule type="expression" dxfId="1091" priority="6260">
      <formula>G733 = "Pendente"</formula>
    </cfRule>
    <cfRule type="expression" dxfId="1090" priority="6261">
      <formula>G733 = "Vendido"</formula>
    </cfRule>
    <cfRule type="expression" dxfId="1089" priority="6258">
      <formula>G733 = "Pedidos"</formula>
    </cfRule>
    <cfRule type="expression" dxfId="1088" priority="6259">
      <formula>G733 = "Estoque"</formula>
    </cfRule>
    <cfRule type="expression" dxfId="1087" priority="6257">
      <formula>G733 = "Atacado"</formula>
    </cfRule>
  </conditionalFormatting>
  <conditionalFormatting sqref="G733:G740">
    <cfRule type="expression" dxfId="1086" priority="6131">
      <formula>G733 = "Tem que compra"</formula>
    </cfRule>
  </conditionalFormatting>
  <conditionalFormatting sqref="G734">
    <cfRule type="expression" dxfId="1085" priority="6219">
      <formula>G734 = "Vendido"</formula>
    </cfRule>
    <cfRule type="expression" dxfId="1084" priority="6217">
      <formula>G734 = "Estoque"</formula>
    </cfRule>
    <cfRule type="expression" dxfId="1083" priority="6218">
      <formula>G734 = "Pendente"</formula>
    </cfRule>
    <cfRule type="expression" dxfId="1082" priority="6216">
      <formula>G734 = "Pedidos"</formula>
    </cfRule>
    <cfRule type="expression" dxfId="1081" priority="6215">
      <formula>G734 = "Atacado"</formula>
    </cfRule>
  </conditionalFormatting>
  <conditionalFormatting sqref="G735:G738">
    <cfRule type="expression" dxfId="1080" priority="6194">
      <formula>G735 = "Atacado"</formula>
    </cfRule>
    <cfRule type="expression" dxfId="1079" priority="6198">
      <formula>G735 = "Vendido"</formula>
    </cfRule>
    <cfRule type="expression" dxfId="1078" priority="6197">
      <formula>G735 = "Pendente"</formula>
    </cfRule>
    <cfRule type="expression" dxfId="1077" priority="6196">
      <formula>G735 = "Estoque"</formula>
    </cfRule>
    <cfRule type="expression" dxfId="1076" priority="6195">
      <formula>G735 = "Pedidos"</formula>
    </cfRule>
  </conditionalFormatting>
  <conditionalFormatting sqref="G739">
    <cfRule type="expression" dxfId="1075" priority="6153">
      <formula>G739 = "Atacado"</formula>
    </cfRule>
    <cfRule type="expression" dxfId="1074" priority="6156">
      <formula>G739 = "Pendente"</formula>
    </cfRule>
    <cfRule type="expression" dxfId="1073" priority="6157">
      <formula>G739 = "Vendido"</formula>
    </cfRule>
    <cfRule type="expression" dxfId="1072" priority="6154">
      <formula>G739 = "Pedidos"</formula>
    </cfRule>
    <cfRule type="expression" dxfId="1071" priority="6155">
      <formula>G739 = "Estoque"</formula>
    </cfRule>
  </conditionalFormatting>
  <conditionalFormatting sqref="G740">
    <cfRule type="expression" dxfId="1070" priority="6135">
      <formula>G740 = "Pendente"</formula>
    </cfRule>
    <cfRule type="expression" dxfId="1069" priority="6136">
      <formula>G740 = "Vendido"</formula>
    </cfRule>
    <cfRule type="expression" dxfId="1068" priority="6133">
      <formula>G740 = "Pedidos"</formula>
    </cfRule>
    <cfRule type="expression" dxfId="1067" priority="6134">
      <formula>G740 = "Estoque"</formula>
    </cfRule>
    <cfRule type="expression" dxfId="1066" priority="6132">
      <formula>G740 = "Atacado"</formula>
    </cfRule>
  </conditionalFormatting>
  <conditionalFormatting sqref="G772">
    <cfRule type="expression" dxfId="1065" priority="6064">
      <formula>G772 = "Vendido"</formula>
    </cfRule>
    <cfRule type="expression" dxfId="1064" priority="6062">
      <formula>G772 = "Estoque"</formula>
    </cfRule>
    <cfRule type="expression" dxfId="1063" priority="6063">
      <formula>G772 = "Pendente"</formula>
    </cfRule>
    <cfRule type="expression" dxfId="1062" priority="6061">
      <formula>G772 = "Pedidos"</formula>
    </cfRule>
    <cfRule type="expression" dxfId="1061" priority="6060">
      <formula>G772 = "Atacado"</formula>
    </cfRule>
  </conditionalFormatting>
  <conditionalFormatting sqref="G772:G774">
    <cfRule type="expression" dxfId="1060" priority="6043">
      <formula>G772 = "Tem que compra"</formula>
    </cfRule>
  </conditionalFormatting>
  <conditionalFormatting sqref="G773">
    <cfRule type="expression" dxfId="1059" priority="6056">
      <formula>G773 = "Vendido"</formula>
    </cfRule>
    <cfRule type="expression" dxfId="1058" priority="6055">
      <formula>G773 = "Pendente"</formula>
    </cfRule>
    <cfRule type="expression" dxfId="1057" priority="6052">
      <formula>G773 = "Atacado"</formula>
    </cfRule>
    <cfRule type="expression" dxfId="1056" priority="6053">
      <formula>G773 = "Pedidos"</formula>
    </cfRule>
    <cfRule type="expression" dxfId="1055" priority="6054">
      <formula>G773 = "Estoque"</formula>
    </cfRule>
  </conditionalFormatting>
  <conditionalFormatting sqref="G774">
    <cfRule type="expression" dxfId="1054" priority="6045">
      <formula>G774 = "Pedidos"</formula>
    </cfRule>
    <cfRule type="expression" dxfId="1053" priority="6046">
      <formula>G774 = "Estoque"</formula>
    </cfRule>
    <cfRule type="expression" dxfId="1052" priority="6047">
      <formula>G774 = "Pendente"</formula>
    </cfRule>
    <cfRule type="expression" dxfId="1051" priority="6048">
      <formula>G774 = "Vendido"</formula>
    </cfRule>
    <cfRule type="expression" dxfId="1050" priority="6044">
      <formula>G774 = "Atacado"</formula>
    </cfRule>
  </conditionalFormatting>
  <conditionalFormatting sqref="G796">
    <cfRule type="expression" dxfId="1049" priority="5985">
      <formula>G796 = "Atacado"</formula>
    </cfRule>
    <cfRule type="expression" dxfId="1048" priority="5986">
      <formula>G796 = "Pedidos"</formula>
    </cfRule>
    <cfRule type="expression" dxfId="1047" priority="5987">
      <formula>G796 = "Estoque"</formula>
    </cfRule>
    <cfRule type="expression" dxfId="1046" priority="5988">
      <formula>G796 = "Pendente"</formula>
    </cfRule>
    <cfRule type="expression" dxfId="1045" priority="5989">
      <formula>G796 = "Vendido"</formula>
    </cfRule>
  </conditionalFormatting>
  <conditionalFormatting sqref="G796:G797">
    <cfRule type="expression" dxfId="1044" priority="5976">
      <formula>G796 = "Tem que compra"</formula>
    </cfRule>
  </conditionalFormatting>
  <conditionalFormatting sqref="G797">
    <cfRule type="expression" dxfId="1043" priority="5981">
      <formula>G797 = "Vendido"</formula>
    </cfRule>
    <cfRule type="expression" dxfId="1042" priority="5977">
      <formula>G797 = "Atacado"</formula>
    </cfRule>
    <cfRule type="expression" dxfId="1041" priority="5979">
      <formula>G797 = "Estoque"</formula>
    </cfRule>
    <cfRule type="expression" dxfId="1040" priority="5980">
      <formula>G797 = "Pendente"</formula>
    </cfRule>
    <cfRule type="expression" dxfId="1039" priority="5978">
      <formula>G797 = "Pedidos"</formula>
    </cfRule>
  </conditionalFormatting>
  <conditionalFormatting sqref="G810">
    <cfRule type="expression" dxfId="1038" priority="5968">
      <formula>G810 = "Tem que compra"</formula>
    </cfRule>
    <cfRule type="expression" dxfId="1037" priority="5973">
      <formula>G810 = "Vendido"</formula>
    </cfRule>
    <cfRule type="expression" dxfId="1036" priority="5971">
      <formula>G810 = "Estoque"</formula>
    </cfRule>
    <cfRule type="expression" dxfId="1035" priority="5969">
      <formula>G810 = "Atacado"</formula>
    </cfRule>
    <cfRule type="expression" dxfId="1034" priority="5970">
      <formula>G810 = "Pedidos"</formula>
    </cfRule>
    <cfRule type="expression" dxfId="1033" priority="5972">
      <formula>G810 = "Pendente"</formula>
    </cfRule>
  </conditionalFormatting>
  <conditionalFormatting sqref="G826">
    <cfRule type="expression" dxfId="1032" priority="5963">
      <formula>G826 = "Estoque"</formula>
    </cfRule>
    <cfRule type="expression" dxfId="1031" priority="5964">
      <formula>G826 = "Pendente"</formula>
    </cfRule>
    <cfRule type="expression" dxfId="1030" priority="5965">
      <formula>G826 = "Vendido"</formula>
    </cfRule>
    <cfRule type="expression" dxfId="1029" priority="5962">
      <formula>G826 = "Pedidos"</formula>
    </cfRule>
    <cfRule type="expression" dxfId="1028" priority="5961">
      <formula>G826 = "Atacado"</formula>
    </cfRule>
    <cfRule type="expression" dxfId="1027" priority="5960">
      <formula>G826 = "Tem que compra"</formula>
    </cfRule>
  </conditionalFormatting>
  <conditionalFormatting sqref="G831">
    <cfRule type="expression" dxfId="1026" priority="5941">
      <formula>G831 = "Atacado"</formula>
    </cfRule>
    <cfRule type="expression" dxfId="1025" priority="5940">
      <formula>G831 = "Tem que compra"</formula>
    </cfRule>
    <cfRule type="expression" dxfId="1024" priority="5945">
      <formula>G831 = "Vendido"</formula>
    </cfRule>
    <cfRule type="expression" dxfId="1023" priority="5944">
      <formula>G831 = "Pendente"</formula>
    </cfRule>
    <cfRule type="expression" dxfId="1022" priority="5943">
      <formula>G831 = "Estoque"</formula>
    </cfRule>
    <cfRule type="expression" dxfId="1021" priority="5942">
      <formula>G831 = "Pedidos"</formula>
    </cfRule>
  </conditionalFormatting>
  <conditionalFormatting sqref="G843">
    <cfRule type="expression" dxfId="1020" priority="6476">
      <formula>G843 = "Tem que compra"</formula>
    </cfRule>
    <cfRule type="expression" dxfId="1019" priority="6477">
      <formula>G843 = "Atacado"</formula>
    </cfRule>
    <cfRule type="expression" dxfId="1018" priority="6478">
      <formula>G843 = "Pedidos"</formula>
    </cfRule>
    <cfRule type="expression" dxfId="1017" priority="6479">
      <formula>G843 = "Estoque"</formula>
    </cfRule>
    <cfRule type="expression" dxfId="1016" priority="6480">
      <formula>G843 = "Pendente"</formula>
    </cfRule>
    <cfRule type="expression" dxfId="1015" priority="6481">
      <formula>G843 = "Vendido"</formula>
    </cfRule>
  </conditionalFormatting>
  <conditionalFormatting sqref="G845:G853 G857:G871 G875:G899">
    <cfRule type="expression" dxfId="1014" priority="6462">
      <formula>G845 = "Atacado"</formula>
    </cfRule>
    <cfRule type="expression" dxfId="1013" priority="6463">
      <formula>G845 = "Pedidos"</formula>
    </cfRule>
    <cfRule type="expression" dxfId="1012" priority="6464">
      <formula>G845 = "Estoque"</formula>
    </cfRule>
    <cfRule type="expression" dxfId="1011" priority="6465">
      <formula>G845 = "Pendente"</formula>
    </cfRule>
    <cfRule type="expression" dxfId="1010" priority="6466">
      <formula>G845 = "Vendido"</formula>
    </cfRule>
  </conditionalFormatting>
  <conditionalFormatting sqref="G845:G914">
    <cfRule type="expression" dxfId="1009" priority="5712">
      <formula>G845 = "Tem que compra"</formula>
    </cfRule>
  </conditionalFormatting>
  <conditionalFormatting sqref="G854:G856">
    <cfRule type="expression" dxfId="1008" priority="5859">
      <formula>G854 = "Vendido"</formula>
    </cfRule>
    <cfRule type="expression" dxfId="1007" priority="5855">
      <formula>G854 = "Atacado"</formula>
    </cfRule>
    <cfRule type="expression" dxfId="1006" priority="5856">
      <formula>G854 = "Pedidos"</formula>
    </cfRule>
    <cfRule type="expression" dxfId="1005" priority="5857">
      <formula>G854 = "Estoque"</formula>
    </cfRule>
    <cfRule type="expression" dxfId="1004" priority="5858">
      <formula>G854 = "Pendente"</formula>
    </cfRule>
  </conditionalFormatting>
  <conditionalFormatting sqref="G872:G874">
    <cfRule type="expression" dxfId="1003" priority="5832">
      <formula>G872 = "Vendido"</formula>
    </cfRule>
    <cfRule type="expression" dxfId="1002" priority="5831">
      <formula>G872 = "Pendente"</formula>
    </cfRule>
    <cfRule type="expression" dxfId="1001" priority="5830">
      <formula>G872 = "Estoque"</formula>
    </cfRule>
    <cfRule type="expression" dxfId="1000" priority="5829">
      <formula>G872 = "Pedidos"</formula>
    </cfRule>
    <cfRule type="expression" dxfId="999" priority="5828">
      <formula>G872 = "Atacado"</formula>
    </cfRule>
  </conditionalFormatting>
  <conditionalFormatting sqref="G900">
    <cfRule type="expression" dxfId="998" priority="5721">
      <formula>G900 = "Atacado"</formula>
    </cfRule>
    <cfRule type="expression" dxfId="997" priority="5722">
      <formula>G900 = "Pedidos"</formula>
    </cfRule>
    <cfRule type="expression" dxfId="996" priority="5725">
      <formula>G900 = "Vendido"</formula>
    </cfRule>
    <cfRule type="expression" dxfId="995" priority="5724">
      <formula>G900 = "Pendente"</formula>
    </cfRule>
    <cfRule type="expression" dxfId="994" priority="5723">
      <formula>G900 = "Estoque"</formula>
    </cfRule>
  </conditionalFormatting>
  <conditionalFormatting sqref="G901:G914">
    <cfRule type="expression" dxfId="993" priority="5717">
      <formula>G901 = "Vendido"</formula>
    </cfRule>
    <cfRule type="expression" dxfId="992" priority="5715">
      <formula>G901 = "Estoque"</formula>
    </cfRule>
    <cfRule type="expression" dxfId="991" priority="5713">
      <formula>G901 = "Atacado"</formula>
    </cfRule>
    <cfRule type="expression" dxfId="990" priority="5714">
      <formula>G901 = "Pedidos"</formula>
    </cfRule>
    <cfRule type="expression" dxfId="989" priority="5716">
      <formula>G901 = "Pendente"</formula>
    </cfRule>
  </conditionalFormatting>
  <conditionalFormatting sqref="G941">
    <cfRule type="expression" dxfId="988" priority="5302">
      <formula>G941 = "Pendente"</formula>
    </cfRule>
    <cfRule type="expression" dxfId="987" priority="5303">
      <formula>G941 = "Vendido"</formula>
    </cfRule>
    <cfRule type="expression" dxfId="986" priority="5299">
      <formula>G941 = "Atacado"</formula>
    </cfRule>
    <cfRule type="expression" dxfId="985" priority="5301">
      <formula>G941 = "Estoque"</formula>
    </cfRule>
    <cfRule type="expression" dxfId="984" priority="5300">
      <formula>G941 = "Pedidos"</formula>
    </cfRule>
  </conditionalFormatting>
  <conditionalFormatting sqref="G941:G988">
    <cfRule type="expression" dxfId="983" priority="4935">
      <formula>G941 = "Tem que compra"</formula>
    </cfRule>
  </conditionalFormatting>
  <conditionalFormatting sqref="G942:G944 G949:G953 A948 G955:G958 G960:G973 G976:G987 G947 G1111">
    <cfRule type="expression" dxfId="982" priority="5447">
      <formula>A942 = "Vendido"</formula>
    </cfRule>
    <cfRule type="expression" dxfId="981" priority="5445">
      <formula>A942 = "Estoque"</formula>
    </cfRule>
    <cfRule type="expression" dxfId="980" priority="5444">
      <formula>A942 = "Pedidos"</formula>
    </cfRule>
    <cfRule type="expression" dxfId="979" priority="5443">
      <formula>A942 = "Atacado"</formula>
    </cfRule>
    <cfRule type="expression" dxfId="978" priority="5446">
      <formula>A942 = "Pendente"</formula>
    </cfRule>
  </conditionalFormatting>
  <conditionalFormatting sqref="G946">
    <cfRule type="expression" dxfId="977" priority="5098">
      <formula>G946 = "Estoque"</formula>
    </cfRule>
    <cfRule type="expression" dxfId="976" priority="5099">
      <formula>G946 = "Pendente"</formula>
    </cfRule>
    <cfRule type="expression" dxfId="975" priority="5097">
      <formula>G946 = "Pedidos"</formula>
    </cfRule>
    <cfRule type="expression" dxfId="974" priority="5096">
      <formula>G946 = "Atacado"</formula>
    </cfRule>
    <cfRule type="expression" dxfId="973" priority="5100">
      <formula>G946 = "Vendido"</formula>
    </cfRule>
  </conditionalFormatting>
  <conditionalFormatting sqref="G948">
    <cfRule type="expression" dxfId="972" priority="5294">
      <formula>G948 = "Vendido"</formula>
    </cfRule>
    <cfRule type="expression" dxfId="971" priority="5290">
      <formula>G948 = "Atacado"</formula>
    </cfRule>
    <cfRule type="expression" dxfId="970" priority="5291">
      <formula>G948 = "Pedidos"</formula>
    </cfRule>
    <cfRule type="expression" dxfId="969" priority="5293">
      <formula>G948 = "Pendente"</formula>
    </cfRule>
    <cfRule type="expression" dxfId="968" priority="5292">
      <formula>G948 = "Estoque"</formula>
    </cfRule>
  </conditionalFormatting>
  <conditionalFormatting sqref="G954">
    <cfRule type="expression" dxfId="967" priority="5272">
      <formula>G954 = "Estoque"</formula>
    </cfRule>
    <cfRule type="expression" dxfId="966" priority="5271">
      <formula>G954 = "Pedidos"</formula>
    </cfRule>
    <cfRule type="expression" dxfId="965" priority="5273">
      <formula>G954 = "Pendente"</formula>
    </cfRule>
    <cfRule type="expression" dxfId="964" priority="5270">
      <formula>G954 = "Atacado"</formula>
    </cfRule>
    <cfRule type="expression" dxfId="963" priority="5274">
      <formula>G954 = "Vendido"</formula>
    </cfRule>
  </conditionalFormatting>
  <conditionalFormatting sqref="G959">
    <cfRule type="expression" dxfId="962" priority="5262">
      <formula>G959 = "Atacado"</formula>
    </cfRule>
    <cfRule type="expression" dxfId="961" priority="5263">
      <formula>G959 = "Pedidos"</formula>
    </cfRule>
    <cfRule type="expression" dxfId="960" priority="5264">
      <formula>G959 = "Estoque"</formula>
    </cfRule>
    <cfRule type="expression" dxfId="959" priority="5265">
      <formula>G959 = "Pendente"</formula>
    </cfRule>
    <cfRule type="expression" dxfId="958" priority="5266">
      <formula>G959 = "Vendido"</formula>
    </cfRule>
  </conditionalFormatting>
  <conditionalFormatting sqref="G974">
    <cfRule type="expression" dxfId="957" priority="5187">
      <formula>G974 = "Estoque"</formula>
    </cfRule>
    <cfRule type="expression" dxfId="956" priority="5186">
      <formula>G974 = "Pedidos"</formula>
    </cfRule>
    <cfRule type="expression" dxfId="955" priority="5185">
      <formula>G974 = "Atacado"</formula>
    </cfRule>
    <cfRule type="expression" dxfId="954" priority="5188">
      <formula>G974 = "Pendente"</formula>
    </cfRule>
    <cfRule type="expression" dxfId="953" priority="5189">
      <formula>G974 = "Vendido"</formula>
    </cfRule>
  </conditionalFormatting>
  <conditionalFormatting sqref="G975">
    <cfRule type="expression" dxfId="952" priority="5166">
      <formula>G975 = "Pedidos"</formula>
    </cfRule>
    <cfRule type="expression" dxfId="951" priority="5169">
      <formula>G975 = "Vendido"</formula>
    </cfRule>
    <cfRule type="expression" dxfId="950" priority="5168">
      <formula>G975 = "Pendente"</formula>
    </cfRule>
    <cfRule type="expression" dxfId="949" priority="5167">
      <formula>G975 = "Estoque"</formula>
    </cfRule>
    <cfRule type="expression" dxfId="948" priority="5165">
      <formula>G975 = "Atacado"</formula>
    </cfRule>
  </conditionalFormatting>
  <conditionalFormatting sqref="G988">
    <cfRule type="expression" dxfId="947" priority="4938">
      <formula>G988 = "Estoque"</formula>
    </cfRule>
    <cfRule type="expression" dxfId="946" priority="4939">
      <formula>G988 = "Pendente"</formula>
    </cfRule>
    <cfRule type="expression" dxfId="945" priority="4940">
      <formula>G988 = "Vendido"</formula>
    </cfRule>
    <cfRule type="expression" dxfId="944" priority="4937">
      <formula>G988 = "Pedidos"</formula>
    </cfRule>
    <cfRule type="expression" dxfId="943" priority="4936">
      <formula>G988 = "Atacado"</formula>
    </cfRule>
  </conditionalFormatting>
  <conditionalFormatting sqref="G1000">
    <cfRule type="expression" dxfId="942" priority="4860">
      <formula>G1000 = "Pendente"</formula>
    </cfRule>
    <cfRule type="expression" dxfId="941" priority="4861">
      <formula>G1000 = "Vendido"</formula>
    </cfRule>
    <cfRule type="expression" dxfId="940" priority="4859">
      <formula>G1000 = "Estoque"</formula>
    </cfRule>
    <cfRule type="expression" dxfId="939" priority="4856">
      <formula>G1000 = "Tem que compra"</formula>
    </cfRule>
    <cfRule type="expression" dxfId="938" priority="4857">
      <formula>G1000 = "Atacado"</formula>
    </cfRule>
    <cfRule type="expression" dxfId="937" priority="4858">
      <formula>G1000 = "Pedidos"</formula>
    </cfRule>
  </conditionalFormatting>
  <conditionalFormatting sqref="G1004">
    <cfRule type="expression" dxfId="936" priority="4837">
      <formula>G1004 = "Atacado"</formula>
    </cfRule>
    <cfRule type="expression" dxfId="935" priority="4838">
      <formula>G1004 = "Pedidos"</formula>
    </cfRule>
    <cfRule type="expression" dxfId="934" priority="4839">
      <formula>G1004 = "Estoque"</formula>
    </cfRule>
    <cfRule type="expression" dxfId="933" priority="4841">
      <formula>G1004 = "Vendido"</formula>
    </cfRule>
    <cfRule type="expression" dxfId="932" priority="4840">
      <formula>G1004 = "Pendente"</formula>
    </cfRule>
  </conditionalFormatting>
  <conditionalFormatting sqref="G1004:G1008">
    <cfRule type="expression" dxfId="931" priority="4775">
      <formula>G1004 = "Tem que compra"</formula>
    </cfRule>
  </conditionalFormatting>
  <conditionalFormatting sqref="G1005:G1006">
    <cfRule type="expression" dxfId="930" priority="4817">
      <formula>G1005 = "Atacado"</formula>
    </cfRule>
    <cfRule type="expression" dxfId="929" priority="4818">
      <formula>G1005 = "Pedidos"</formula>
    </cfRule>
    <cfRule type="expression" dxfId="928" priority="4819">
      <formula>G1005 = "Estoque"</formula>
    </cfRule>
    <cfRule type="expression" dxfId="927" priority="4821">
      <formula>G1005 = "Vendido"</formula>
    </cfRule>
    <cfRule type="expression" dxfId="926" priority="4820">
      <formula>G1005 = "Pendente"</formula>
    </cfRule>
  </conditionalFormatting>
  <conditionalFormatting sqref="G1007">
    <cfRule type="expression" dxfId="925" priority="4800">
      <formula>G1007 = "Vendido"</formula>
    </cfRule>
    <cfRule type="expression" dxfId="924" priority="4799">
      <formula>G1007 = "Pendente"</formula>
    </cfRule>
    <cfRule type="expression" dxfId="923" priority="4798">
      <formula>G1007 = "Estoque"</formula>
    </cfRule>
    <cfRule type="expression" dxfId="922" priority="4796">
      <formula>G1007 = "Atacado"</formula>
    </cfRule>
    <cfRule type="expression" dxfId="921" priority="4797">
      <formula>G1007 = "Pedidos"</formula>
    </cfRule>
  </conditionalFormatting>
  <conditionalFormatting sqref="G1008">
    <cfRule type="expression" dxfId="920" priority="4776">
      <formula>G1008 = "Atacado"</formula>
    </cfRule>
    <cfRule type="expression" dxfId="919" priority="4777">
      <formula>G1008 = "Pedidos"</formula>
    </cfRule>
    <cfRule type="expression" dxfId="918" priority="4778">
      <formula>G1008 = "Estoque"</formula>
    </cfRule>
    <cfRule type="expression" dxfId="917" priority="4779">
      <formula>G1008 = "Pendente"</formula>
    </cfRule>
    <cfRule type="expression" dxfId="916" priority="4780">
      <formula>G1008 = "Vendido"</formula>
    </cfRule>
  </conditionalFormatting>
  <conditionalFormatting sqref="G1011">
    <cfRule type="expression" dxfId="915" priority="4760">
      <formula>G1011 = "Vendido"</formula>
    </cfRule>
    <cfRule type="expression" dxfId="914" priority="4759">
      <formula>G1011 = "Pendente"</formula>
    </cfRule>
    <cfRule type="expression" dxfId="913" priority="4757">
      <formula>G1011 = "Pedidos"</formula>
    </cfRule>
    <cfRule type="expression" dxfId="912" priority="4756">
      <formula>G1011 = "Atacado"</formula>
    </cfRule>
    <cfRule type="expression" dxfId="911" priority="4758">
      <formula>G1011 = "Estoque"</formula>
    </cfRule>
  </conditionalFormatting>
  <conditionalFormatting sqref="G1011:G1012">
    <cfRule type="expression" dxfId="910" priority="4735">
      <formula>G1011 = "Tem que compra"</formula>
    </cfRule>
  </conditionalFormatting>
  <conditionalFormatting sqref="G1012">
    <cfRule type="expression" dxfId="909" priority="4739">
      <formula>G1012 = "Pendente"</formula>
    </cfRule>
    <cfRule type="expression" dxfId="908" priority="4737">
      <formula>G1012 = "Pedidos"</formula>
    </cfRule>
    <cfRule type="expression" dxfId="907" priority="4740">
      <formula>G1012 = "Vendido"</formula>
    </cfRule>
    <cfRule type="expression" dxfId="906" priority="4736">
      <formula>G1012 = "Atacado"</formula>
    </cfRule>
    <cfRule type="expression" dxfId="905" priority="4738">
      <formula>G1012 = "Estoque"</formula>
    </cfRule>
  </conditionalFormatting>
  <conditionalFormatting sqref="G1025:G1030">
    <cfRule type="expression" dxfId="904" priority="4697">
      <formula>G1025 = "Pedidos"</formula>
    </cfRule>
    <cfRule type="expression" dxfId="903" priority="4695">
      <formula>G1025 = "Tem que compra"</formula>
    </cfRule>
    <cfRule type="expression" dxfId="902" priority="4699">
      <formula>G1025 = "Pendente"</formula>
    </cfRule>
    <cfRule type="expression" dxfId="901" priority="4700">
      <formula>G1025 = "Vendido"</formula>
    </cfRule>
    <cfRule type="expression" dxfId="900" priority="4698">
      <formula>G1025 = "Estoque"</formula>
    </cfRule>
    <cfRule type="expression" dxfId="899" priority="4696">
      <formula>G1025 = "Atacado"</formula>
    </cfRule>
  </conditionalFormatting>
  <conditionalFormatting sqref="G1032">
    <cfRule type="expression" dxfId="898" priority="4686">
      <formula>G1032 = "Vendido"</formula>
    </cfRule>
    <cfRule type="expression" dxfId="897" priority="4682">
      <formula>G1032 = "Atacado"</formula>
    </cfRule>
    <cfRule type="expression" dxfId="896" priority="4683">
      <formula>G1032 = "Pedidos"</formula>
    </cfRule>
    <cfRule type="expression" dxfId="895" priority="4684">
      <formula>G1032 = "Estoque"</formula>
    </cfRule>
    <cfRule type="expression" dxfId="894" priority="4685">
      <formula>G1032 = "Pendente"</formula>
    </cfRule>
  </conditionalFormatting>
  <conditionalFormatting sqref="G1032:G1036">
    <cfRule type="expression" dxfId="893" priority="4651">
      <formula>G1032 = "Tem que compra"</formula>
    </cfRule>
  </conditionalFormatting>
  <conditionalFormatting sqref="G1033:G1035">
    <cfRule type="expression" dxfId="892" priority="4668">
      <formula>G1033 = "Pedidos"</formula>
    </cfRule>
    <cfRule type="expression" dxfId="891" priority="4667">
      <formula>G1033 = "Atacado"</formula>
    </cfRule>
    <cfRule type="expression" dxfId="890" priority="4670">
      <formula>G1033 = "Pendente"</formula>
    </cfRule>
    <cfRule type="expression" dxfId="889" priority="4671">
      <formula>G1033 = "Vendido"</formula>
    </cfRule>
    <cfRule type="expression" dxfId="888" priority="4669">
      <formula>G1033 = "Estoque"</formula>
    </cfRule>
  </conditionalFormatting>
  <conditionalFormatting sqref="G1036">
    <cfRule type="expression" dxfId="887" priority="4653">
      <formula>G1036 = "Pedidos"</formula>
    </cfRule>
    <cfRule type="expression" dxfId="886" priority="4655">
      <formula>G1036 = "Pendente"</formula>
    </cfRule>
    <cfRule type="expression" dxfId="885" priority="4656">
      <formula>G1036 = "Vendido"</formula>
    </cfRule>
    <cfRule type="expression" dxfId="884" priority="4654">
      <formula>G1036 = "Estoque"</formula>
    </cfRule>
    <cfRule type="expression" dxfId="883" priority="4652">
      <formula>G1036 = "Atacado"</formula>
    </cfRule>
  </conditionalFormatting>
  <conditionalFormatting sqref="G1039">
    <cfRule type="expression" dxfId="882" priority="4633">
      <formula>G1039 = "Pedidos"</formula>
    </cfRule>
    <cfRule type="expression" dxfId="881" priority="4632">
      <formula>G1039 = "Atacado"</formula>
    </cfRule>
    <cfRule type="expression" dxfId="880" priority="4635">
      <formula>G1039 = "Pendente"</formula>
    </cfRule>
    <cfRule type="expression" dxfId="879" priority="4636">
      <formula>G1039 = "Vendido"</formula>
    </cfRule>
    <cfRule type="expression" dxfId="878" priority="4634">
      <formula>G1039 = "Estoque"</formula>
    </cfRule>
  </conditionalFormatting>
  <conditionalFormatting sqref="G1039:G1041">
    <cfRule type="expression" dxfId="877" priority="4591">
      <formula>G1039 = "Tem que compra"</formula>
    </cfRule>
  </conditionalFormatting>
  <conditionalFormatting sqref="G1040">
    <cfRule type="expression" dxfId="876" priority="4616">
      <formula>G1040 = "Vendido"</formula>
    </cfRule>
    <cfRule type="expression" dxfId="875" priority="4612">
      <formula>G1040 = "Atacado"</formula>
    </cfRule>
    <cfRule type="expression" dxfId="874" priority="4613">
      <formula>G1040 = "Pedidos"</formula>
    </cfRule>
    <cfRule type="expression" dxfId="873" priority="4614">
      <formula>G1040 = "Estoque"</formula>
    </cfRule>
    <cfRule type="expression" dxfId="872" priority="4615">
      <formula>G1040 = "Pendente"</formula>
    </cfRule>
  </conditionalFormatting>
  <conditionalFormatting sqref="G1041">
    <cfRule type="expression" dxfId="871" priority="4596">
      <formula>G1041 = "Vendido"</formula>
    </cfRule>
    <cfRule type="expression" dxfId="870" priority="4595">
      <formula>G1041 = "Pendente"</formula>
    </cfRule>
    <cfRule type="expression" dxfId="869" priority="4594">
      <formula>G1041 = "Estoque"</formula>
    </cfRule>
    <cfRule type="expression" dxfId="868" priority="4593">
      <formula>G1041 = "Pedidos"</formula>
    </cfRule>
    <cfRule type="expression" dxfId="867" priority="4592">
      <formula>G1041 = "Atacado"</formula>
    </cfRule>
  </conditionalFormatting>
  <conditionalFormatting sqref="G1043">
    <cfRule type="expression" dxfId="866" priority="4573">
      <formula>G1043 = "Pedidos"</formula>
    </cfRule>
    <cfRule type="expression" dxfId="865" priority="4575">
      <formula>G1043 = "Pendente"</formula>
    </cfRule>
    <cfRule type="expression" dxfId="864" priority="4576">
      <formula>G1043 = "Vendido"</formula>
    </cfRule>
    <cfRule type="expression" dxfId="863" priority="4572">
      <formula>G1043 = "Atacado"</formula>
    </cfRule>
    <cfRule type="expression" dxfId="862" priority="4574">
      <formula>G1043 = "Estoque"</formula>
    </cfRule>
    <cfRule type="expression" dxfId="861" priority="4571">
      <formula>G1043 = "Tem que compra"</formula>
    </cfRule>
  </conditionalFormatting>
  <conditionalFormatting sqref="G1048:G1052">
    <cfRule type="expression" dxfId="860" priority="4519">
      <formula>G1048 = "Atacado"</formula>
    </cfRule>
    <cfRule type="expression" dxfId="859" priority="4518">
      <formula>G1048 = "Tem que compra"</formula>
    </cfRule>
    <cfRule type="expression" dxfId="858" priority="4520">
      <formula>G1048 = "Pedidos"</formula>
    </cfRule>
    <cfRule type="expression" dxfId="857" priority="4521">
      <formula>G1048 = "Estoque"</formula>
    </cfRule>
    <cfRule type="expression" dxfId="856" priority="4522">
      <formula>G1048 = "Pendente"</formula>
    </cfRule>
    <cfRule type="expression" dxfId="855" priority="4523">
      <formula>G1048 = "Vendido"</formula>
    </cfRule>
  </conditionalFormatting>
  <conditionalFormatting sqref="G1057">
    <cfRule type="expression" dxfId="854" priority="4975">
      <formula>G1057 = "Tem que compra"</formula>
    </cfRule>
    <cfRule type="expression" dxfId="853" priority="4976">
      <formula>G1057 = "Atacado"</formula>
    </cfRule>
    <cfRule type="expression" dxfId="852" priority="4980">
      <formula>G1057 = "Vendido"</formula>
    </cfRule>
    <cfRule type="expression" dxfId="851" priority="4979">
      <formula>G1057 = "Pendente"</formula>
    </cfRule>
    <cfRule type="expression" dxfId="850" priority="4977">
      <formula>G1057 = "Pedidos"</formula>
    </cfRule>
    <cfRule type="expression" dxfId="849" priority="4978">
      <formula>G1057 = "Estoque"</formula>
    </cfRule>
  </conditionalFormatting>
  <conditionalFormatting sqref="G1062">
    <cfRule type="expression" dxfId="848" priority="3544">
      <formula>G1062 = "Estoque"</formula>
    </cfRule>
    <cfRule type="expression" dxfId="847" priority="3542">
      <formula>G1062 = "Atacado"</formula>
    </cfRule>
    <cfRule type="expression" dxfId="846" priority="3545">
      <formula>G1062 = "Pendente"</formula>
    </cfRule>
    <cfRule type="expression" dxfId="845" priority="3546">
      <formula>G1062 = "Vendido"</formula>
    </cfRule>
    <cfRule type="expression" dxfId="844" priority="3543">
      <formula>G1062 = "Pedidos"</formula>
    </cfRule>
  </conditionalFormatting>
  <conditionalFormatting sqref="G1062:G1063">
    <cfRule type="expression" dxfId="843" priority="3541">
      <formula>G1062 = "Tem que compra"</formula>
    </cfRule>
  </conditionalFormatting>
  <conditionalFormatting sqref="G1063">
    <cfRule type="expression" dxfId="842" priority="3567">
      <formula>G1063 = "Vendido"</formula>
    </cfRule>
    <cfRule type="expression" dxfId="841" priority="3566">
      <formula>G1063 = "Pendente"</formula>
    </cfRule>
    <cfRule type="expression" dxfId="840" priority="3565">
      <formula>G1063 = "Estoque"</formula>
    </cfRule>
    <cfRule type="expression" dxfId="839" priority="3563">
      <formula>G1063 = "Atacado"</formula>
    </cfRule>
    <cfRule type="expression" dxfId="838" priority="3564">
      <formula>G1063 = "Pedidos"</formula>
    </cfRule>
  </conditionalFormatting>
  <conditionalFormatting sqref="G1064:G1137">
    <cfRule type="expression" dxfId="837" priority="4165">
      <formula>G1064 ="Loja"</formula>
    </cfRule>
    <cfRule type="expression" dxfId="836" priority="4167">
      <formula>G1064 ="Entregar"</formula>
    </cfRule>
  </conditionalFormatting>
  <conditionalFormatting sqref="G1074">
    <cfRule type="expression" dxfId="835" priority="5328">
      <formula>G1074 = "Vendido"</formula>
    </cfRule>
    <cfRule type="expression" dxfId="834" priority="5327">
      <formula>G1074 = "Pendente"</formula>
    </cfRule>
    <cfRule type="expression" dxfId="833" priority="5326">
      <formula>G1074 = "Estoque"</formula>
    </cfRule>
    <cfRule type="expression" dxfId="832" priority="5323">
      <formula>G1074 = "Tem que compra"</formula>
    </cfRule>
    <cfRule type="expression" dxfId="831" priority="5324">
      <formula>G1074 = "Atacado"</formula>
    </cfRule>
    <cfRule type="expression" dxfId="830" priority="5325">
      <formula>G1074 = "Pedidos"</formula>
    </cfRule>
  </conditionalFormatting>
  <conditionalFormatting sqref="G1103">
    <cfRule type="expression" dxfId="829" priority="4409">
      <formula>G1103 = "Atacado"</formula>
    </cfRule>
    <cfRule type="expression" dxfId="828" priority="4410">
      <formula>G1103 = "Pedidos"</formula>
    </cfRule>
    <cfRule type="expression" dxfId="827" priority="4411">
      <formula>G1103 = "Estoque"</formula>
    </cfRule>
    <cfRule type="expression" dxfId="826" priority="4412">
      <formula>G1103 = "Pendente"</formula>
    </cfRule>
    <cfRule type="expression" dxfId="825" priority="4413">
      <formula>G1103 = "Vendido"</formula>
    </cfRule>
    <cfRule type="expression" dxfId="824" priority="4408">
      <formula>G1103 = "Tem que compra"</formula>
    </cfRule>
  </conditionalFormatting>
  <conditionalFormatting sqref="G1108">
    <cfRule type="expression" dxfId="823" priority="4917">
      <formula>G1108 = "Pedidos"</formula>
    </cfRule>
    <cfRule type="expression" dxfId="822" priority="4918">
      <formula>G1108 = "Estoque"</formula>
    </cfRule>
    <cfRule type="expression" dxfId="821" priority="4919">
      <formula>G1108 = "Pendente"</formula>
    </cfRule>
    <cfRule type="expression" dxfId="820" priority="4920">
      <formula>G1108 = "Vendido"</formula>
    </cfRule>
    <cfRule type="expression" dxfId="819" priority="4916">
      <formula>G1108 = "Atacado"</formula>
    </cfRule>
  </conditionalFormatting>
  <conditionalFormatting sqref="G1108:G1112">
    <cfRule type="expression" dxfId="818" priority="4875">
      <formula>G1108 = "Tem que compra"</formula>
    </cfRule>
  </conditionalFormatting>
  <conditionalFormatting sqref="G1109">
    <cfRule type="expression" dxfId="817" priority="4880">
      <formula>G1109 = "Vendido"</formula>
    </cfRule>
    <cfRule type="expression" dxfId="816" priority="4876">
      <formula>G1109 = "Atacado"</formula>
    </cfRule>
    <cfRule type="expression" dxfId="815" priority="4877">
      <formula>G1109 = "Pedidos"</formula>
    </cfRule>
    <cfRule type="expression" dxfId="814" priority="4878">
      <formula>G1109 = "Estoque"</formula>
    </cfRule>
    <cfRule type="expression" dxfId="813" priority="4879">
      <formula>G1109 = "Pendente"</formula>
    </cfRule>
  </conditionalFormatting>
  <conditionalFormatting sqref="G1110">
    <cfRule type="expression" dxfId="812" priority="4899">
      <formula>G1110 = "Pendente"</formula>
    </cfRule>
    <cfRule type="expression" dxfId="811" priority="4896">
      <formula>G1110 = "Atacado"</formula>
    </cfRule>
    <cfRule type="expression" dxfId="810" priority="4898">
      <formula>G1110 = "Estoque"</formula>
    </cfRule>
    <cfRule type="expression" dxfId="809" priority="4897">
      <formula>G1110 = "Pedidos"</formula>
    </cfRule>
    <cfRule type="expression" dxfId="808" priority="4900">
      <formula>G1110 = "Vendido"</formula>
    </cfRule>
  </conditionalFormatting>
  <conditionalFormatting sqref="G1112">
    <cfRule type="expression" dxfId="807" priority="4958">
      <formula>G1112 = "Estoque"</formula>
    </cfRule>
    <cfRule type="expression" dxfId="806" priority="4957">
      <formula>G1112 = "Pedidos"</formula>
    </cfRule>
    <cfRule type="expression" dxfId="805" priority="4959">
      <formula>G1112 = "Pendente"</formula>
    </cfRule>
    <cfRule type="expression" dxfId="804" priority="4960">
      <formula>G1112 = "Vendido"</formula>
    </cfRule>
    <cfRule type="expression" dxfId="803" priority="4956">
      <formula>G1112 = "Atacado"</formula>
    </cfRule>
  </conditionalFormatting>
  <conditionalFormatting sqref="G1121:G1122">
    <cfRule type="expression" dxfId="802" priority="4173">
      <formula>G1121 = "Vendido"</formula>
    </cfRule>
    <cfRule type="expression" dxfId="801" priority="4172">
      <formula>G1121 = "Pendente"</formula>
    </cfRule>
    <cfRule type="expression" dxfId="800" priority="4171">
      <formula>G1121 = "Estoque"</formula>
    </cfRule>
    <cfRule type="expression" dxfId="799" priority="4170">
      <formula>G1121 = "Pedidos"</formula>
    </cfRule>
    <cfRule type="expression" dxfId="798" priority="4169">
      <formula>G1121 = "Atacado"</formula>
    </cfRule>
    <cfRule type="expression" dxfId="797" priority="4168">
      <formula>G1121 = "Tem que compra"</formula>
    </cfRule>
  </conditionalFormatting>
  <conditionalFormatting sqref="G1130">
    <cfRule type="expression" dxfId="796" priority="4719">
      <formula>G1130 = "Pendente"</formula>
    </cfRule>
    <cfRule type="expression" dxfId="795" priority="4718">
      <formula>G1130 = "Estoque"</formula>
    </cfRule>
    <cfRule type="expression" dxfId="794" priority="4717">
      <formula>G1130 = "Pedidos"</formula>
    </cfRule>
    <cfRule type="expression" dxfId="793" priority="4716">
      <formula>G1130 = "Atacado"</formula>
    </cfRule>
    <cfRule type="expression" dxfId="792" priority="4715">
      <formula>G1130 = "Tem que compra"</formula>
    </cfRule>
    <cfRule type="expression" dxfId="791" priority="4720">
      <formula>G1130 = "Vendido"</formula>
    </cfRule>
  </conditionalFormatting>
  <conditionalFormatting sqref="G1132">
    <cfRule type="expression" dxfId="790" priority="3970">
      <formula>G1132 ="Entregar"</formula>
    </cfRule>
    <cfRule type="expression" dxfId="789" priority="3971">
      <formula>G1132 = "Tem que compra"</formula>
    </cfRule>
    <cfRule type="expression" dxfId="788" priority="3972">
      <formula>G1132 = "Atacado"</formula>
    </cfRule>
    <cfRule type="expression" dxfId="787" priority="3975">
      <formula>G1132 = "Pendente"</formula>
    </cfRule>
    <cfRule type="expression" dxfId="786" priority="3974">
      <formula>G1132 = "Estoque"</formula>
    </cfRule>
    <cfRule type="expression" dxfId="785" priority="3973">
      <formula>G1132 = "Pedidos"</formula>
    </cfRule>
    <cfRule type="expression" dxfId="784" priority="3969">
      <formula>G1132 ="Loja"</formula>
    </cfRule>
    <cfRule type="expression" dxfId="783" priority="3976">
      <formula>G1132 = "Vendido"</formula>
    </cfRule>
  </conditionalFormatting>
  <conditionalFormatting sqref="G1134">
    <cfRule type="expression" dxfId="782" priority="4471">
      <formula>G1134 = "Vendido"</formula>
    </cfRule>
    <cfRule type="expression" dxfId="781" priority="4467">
      <formula>G1134 = "Atacado"</formula>
    </cfRule>
    <cfRule type="expression" dxfId="780" priority="4466">
      <formula>G1134 = "Tem que compra"</formula>
    </cfRule>
    <cfRule type="expression" dxfId="779" priority="4468">
      <formula>G1134 = "Pedidos"</formula>
    </cfRule>
    <cfRule type="expression" dxfId="778" priority="4469">
      <formula>G1134 = "Estoque"</formula>
    </cfRule>
    <cfRule type="expression" dxfId="777" priority="4470">
      <formula>G1134 = "Pendente"</formula>
    </cfRule>
  </conditionalFormatting>
  <conditionalFormatting sqref="G1138:G1139">
    <cfRule type="expression" dxfId="776" priority="3710">
      <formula>G1138 = "Pedidos"</formula>
    </cfRule>
    <cfRule type="expression" dxfId="775" priority="3711">
      <formula>G1138 = "Estoque"</formula>
    </cfRule>
    <cfRule type="expression" dxfId="774" priority="3712">
      <formula>G1138 = "Pendente"</formula>
    </cfRule>
    <cfRule type="expression" dxfId="773" priority="3713">
      <formula>G1138 = "Vendido"</formula>
    </cfRule>
    <cfRule type="expression" dxfId="772" priority="3709">
      <formula>G1138 = "Atacado"</formula>
    </cfRule>
  </conditionalFormatting>
  <conditionalFormatting sqref="G1138:G1145">
    <cfRule type="expression" dxfId="771" priority="3649">
      <formula>G1138 = "Tem que compra"</formula>
    </cfRule>
  </conditionalFormatting>
  <conditionalFormatting sqref="G1138:G1216">
    <cfRule type="expression" dxfId="770" priority="2628">
      <formula>G1138 ="Loja"</formula>
    </cfRule>
  </conditionalFormatting>
  <conditionalFormatting sqref="G1138:G1217">
    <cfRule type="expression" dxfId="769" priority="2629">
      <formula>G1138 ="Entregar"</formula>
    </cfRule>
  </conditionalFormatting>
  <conditionalFormatting sqref="G1140:G1141 G1144:G1145">
    <cfRule type="expression" dxfId="768" priority="3685">
      <formula>G1140 = "Pendente"</formula>
    </cfRule>
    <cfRule type="expression" dxfId="767" priority="3686">
      <formula>G1140 = "Vendido"</formula>
    </cfRule>
    <cfRule type="expression" dxfId="766" priority="3684">
      <formula>G1140 = "Estoque"</formula>
    </cfRule>
    <cfRule type="expression" dxfId="765" priority="3683">
      <formula>G1140 = "Pedidos"</formula>
    </cfRule>
    <cfRule type="expression" dxfId="764" priority="3682">
      <formula>G1140 = "Atacado"</formula>
    </cfRule>
  </conditionalFormatting>
  <conditionalFormatting sqref="G1142:G1143">
    <cfRule type="expression" dxfId="763" priority="3653">
      <formula>G1142 = "Pendente"</formula>
    </cfRule>
    <cfRule type="expression" dxfId="762" priority="3652">
      <formula>G1142 = "Estoque"</formula>
    </cfRule>
    <cfRule type="expression" dxfId="761" priority="3650">
      <formula>G1142 = "Atacado"</formula>
    </cfRule>
    <cfRule type="expression" dxfId="760" priority="3651">
      <formula>G1142 = "Pedidos"</formula>
    </cfRule>
    <cfRule type="expression" dxfId="759" priority="3654">
      <formula>G1142 = "Vendido"</formula>
    </cfRule>
  </conditionalFormatting>
  <conditionalFormatting sqref="G1148:G1151 G1153">
    <cfRule type="expression" dxfId="758" priority="4445">
      <formula>G1148 = "Vendido"</formula>
    </cfRule>
    <cfRule type="expression" dxfId="757" priority="4443">
      <formula>G1148 = "Estoque"</formula>
    </cfRule>
    <cfRule type="expression" dxfId="756" priority="4442">
      <formula>G1148 = "Pedidos"</formula>
    </cfRule>
    <cfRule type="expression" dxfId="755" priority="4441">
      <formula>G1148 = "Atacado"</formula>
    </cfRule>
    <cfRule type="expression" dxfId="754" priority="4444">
      <formula>G1148 = "Pendente"</formula>
    </cfRule>
  </conditionalFormatting>
  <conditionalFormatting sqref="G1148:G1208">
    <cfRule type="expression" dxfId="753" priority="4063">
      <formula>G1148 = "Tem que compra"</formula>
    </cfRule>
  </conditionalFormatting>
  <conditionalFormatting sqref="G1152">
    <cfRule type="expression" dxfId="752" priority="4393">
      <formula>G1152 = "Vendido"</formula>
    </cfRule>
    <cfRule type="expression" dxfId="751" priority="4391">
      <formula>G1152 = "Estoque"</formula>
    </cfRule>
    <cfRule type="expression" dxfId="750" priority="4389">
      <formula>G1152 = "Atacado"</formula>
    </cfRule>
    <cfRule type="expression" dxfId="749" priority="4390">
      <formula>G1152 = "Pedidos"</formula>
    </cfRule>
    <cfRule type="expression" dxfId="748" priority="4392">
      <formula>G1152 = "Pendente"</formula>
    </cfRule>
  </conditionalFormatting>
  <conditionalFormatting sqref="G1154">
    <cfRule type="expression" dxfId="747" priority="4370">
      <formula>G1154 = "Pedidos"</formula>
    </cfRule>
    <cfRule type="expression" dxfId="746" priority="4371">
      <formula>G1154 = "Estoque"</formula>
    </cfRule>
    <cfRule type="expression" dxfId="745" priority="4372">
      <formula>G1154 = "Pendente"</formula>
    </cfRule>
    <cfRule type="expression" dxfId="744" priority="4369">
      <formula>G1154 = "Atacado"</formula>
    </cfRule>
    <cfRule type="expression" dxfId="743" priority="4373">
      <formula>G1154 = "Vendido"</formula>
    </cfRule>
  </conditionalFormatting>
  <conditionalFormatting sqref="G1155 G1190:G1191 G1194:G1195 G1208 G1216">
    <cfRule type="expression" dxfId="742" priority="4502">
      <formula>G1155 = "Estoque"</formula>
    </cfRule>
    <cfRule type="expression" dxfId="741" priority="4503">
      <formula>G1155 = "Pendente"</formula>
    </cfRule>
    <cfRule type="expression" dxfId="740" priority="4504">
      <formula>G1155 = "Vendido"</formula>
    </cfRule>
    <cfRule type="expression" dxfId="739" priority="4501">
      <formula>G1155 = "Pedidos"</formula>
    </cfRule>
    <cfRule type="expression" dxfId="738" priority="4500">
      <formula>G1155 = "Atacado"</formula>
    </cfRule>
  </conditionalFormatting>
  <conditionalFormatting sqref="G1155">
    <cfRule type="expression" dxfId="737" priority="5221">
      <formula>G1155 = "Pedidos"</formula>
    </cfRule>
    <cfRule type="expression" dxfId="736" priority="5222">
      <formula>G1155 = "Estoque"</formula>
    </cfRule>
    <cfRule type="expression" dxfId="735" priority="5223">
      <formula>G1155 = "Pendente"</formula>
    </cfRule>
    <cfRule type="expression" dxfId="734" priority="5224">
      <formula>G1155 = "Vendido"</formula>
    </cfRule>
    <cfRule type="expression" dxfId="733" priority="5218">
      <formula>G1155 ="Entregar"</formula>
    </cfRule>
    <cfRule type="expression" dxfId="732" priority="5219">
      <formula>G1155 = "Tem que compra"</formula>
    </cfRule>
    <cfRule type="expression" dxfId="731" priority="5216">
      <formula>G1155 ="Loja"</formula>
    </cfRule>
    <cfRule type="expression" dxfId="730" priority="5220">
      <formula>G1155 = "Atacado"</formula>
    </cfRule>
  </conditionalFormatting>
  <conditionalFormatting sqref="G1156">
    <cfRule type="expression" dxfId="729" priority="4353">
      <formula>G1156 = "Vendido"</formula>
    </cfRule>
    <cfRule type="expression" dxfId="728" priority="4350">
      <formula>G1156 = "Pedidos"</formula>
    </cfRule>
    <cfRule type="expression" dxfId="727" priority="4352">
      <formula>G1156 = "Pendente"</formula>
    </cfRule>
    <cfRule type="expression" dxfId="726" priority="4351">
      <formula>G1156 = "Estoque"</formula>
    </cfRule>
    <cfRule type="expression" dxfId="725" priority="4349">
      <formula>G1156 = "Atacado"</formula>
    </cfRule>
  </conditionalFormatting>
  <conditionalFormatting sqref="G1157">
    <cfRule type="expression" dxfId="724" priority="4332">
      <formula>G1157 = "Pendente"</formula>
    </cfRule>
    <cfRule type="expression" dxfId="723" priority="4333">
      <formula>G1157 = "Vendido"</formula>
    </cfRule>
    <cfRule type="expression" dxfId="722" priority="4329">
      <formula>G1157 = "Atacado"</formula>
    </cfRule>
    <cfRule type="expression" dxfId="721" priority="4331">
      <formula>G1157 = "Estoque"</formula>
    </cfRule>
    <cfRule type="expression" dxfId="720" priority="4330">
      <formula>G1157 = "Pedidos"</formula>
    </cfRule>
  </conditionalFormatting>
  <conditionalFormatting sqref="G1158">
    <cfRule type="expression" dxfId="719" priority="4313">
      <formula>G1158 = "Vendido"</formula>
    </cfRule>
    <cfRule type="expression" dxfId="718" priority="4312">
      <formula>G1158 = "Pendente"</formula>
    </cfRule>
    <cfRule type="expression" dxfId="717" priority="4310">
      <formula>G1158 = "Pedidos"</formula>
    </cfRule>
    <cfRule type="expression" dxfId="716" priority="4311">
      <formula>G1158 = "Estoque"</formula>
    </cfRule>
    <cfRule type="expression" dxfId="715" priority="4309">
      <formula>G1158 = "Atacado"</formula>
    </cfRule>
  </conditionalFormatting>
  <conditionalFormatting sqref="G1159:G1165 G1167:G1169 G1172:G1189">
    <cfRule type="expression" dxfId="714" priority="4292">
      <formula>G1159 = "Pendente"</formula>
    </cfRule>
    <cfRule type="expression" dxfId="713" priority="4293">
      <formula>G1159 = "Vendido"</formula>
    </cfRule>
    <cfRule type="expression" dxfId="712" priority="4291">
      <formula>G1159 = "Estoque"</formula>
    </cfRule>
    <cfRule type="expression" dxfId="711" priority="4289">
      <formula>G1159 = "Atacado"</formula>
    </cfRule>
    <cfRule type="expression" dxfId="710" priority="4290">
      <formula>G1159 = "Pedidos"</formula>
    </cfRule>
  </conditionalFormatting>
  <conditionalFormatting sqref="G1166">
    <cfRule type="expression" dxfId="709" priority="4272">
      <formula>G1166 = "Pendente"</formula>
    </cfRule>
    <cfRule type="expression" dxfId="708" priority="4273">
      <formula>G1166 = "Vendido"</formula>
    </cfRule>
    <cfRule type="expression" dxfId="707" priority="4269">
      <formula>G1166 = "Atacado"</formula>
    </cfRule>
    <cfRule type="expression" dxfId="706" priority="4271">
      <formula>G1166 = "Estoque"</formula>
    </cfRule>
    <cfRule type="expression" dxfId="705" priority="4270">
      <formula>G1166 = "Pedidos"</formula>
    </cfRule>
  </conditionalFormatting>
  <conditionalFormatting sqref="G1170">
    <cfRule type="expression" dxfId="704" priority="4250">
      <formula>G1170 = "Pedidos"</formula>
    </cfRule>
    <cfRule type="expression" dxfId="703" priority="4253">
      <formula>G1170 = "Vendido"</formula>
    </cfRule>
    <cfRule type="expression" dxfId="702" priority="4249">
      <formula>G1170 = "Atacado"</formula>
    </cfRule>
    <cfRule type="expression" dxfId="701" priority="4252">
      <formula>G1170 = "Pendente"</formula>
    </cfRule>
    <cfRule type="expression" dxfId="700" priority="4251">
      <formula>G1170 = "Estoque"</formula>
    </cfRule>
  </conditionalFormatting>
  <conditionalFormatting sqref="G1171">
    <cfRule type="expression" dxfId="699" priority="4232">
      <formula>G1171 = "Pendente"</formula>
    </cfRule>
    <cfRule type="expression" dxfId="698" priority="4229">
      <formula>G1171 = "Atacado"</formula>
    </cfRule>
    <cfRule type="expression" dxfId="697" priority="4230">
      <formula>G1171 = "Pedidos"</formula>
    </cfRule>
    <cfRule type="expression" dxfId="696" priority="4231">
      <formula>G1171 = "Estoque"</formula>
    </cfRule>
    <cfRule type="expression" dxfId="695" priority="4233">
      <formula>G1171 = "Vendido"</formula>
    </cfRule>
  </conditionalFormatting>
  <conditionalFormatting sqref="G1192">
    <cfRule type="expression" dxfId="694" priority="4211">
      <formula>G1192 = "Estoque"</formula>
    </cfRule>
    <cfRule type="expression" dxfId="693" priority="4212">
      <formula>G1192 = "Pendente"</formula>
    </cfRule>
    <cfRule type="expression" dxfId="692" priority="4213">
      <formula>G1192 = "Vendido"</formula>
    </cfRule>
    <cfRule type="expression" dxfId="691" priority="4210">
      <formula>G1192 = "Pedidos"</formula>
    </cfRule>
    <cfRule type="expression" dxfId="690" priority="4209">
      <formula>G1192 = "Atacado"</formula>
    </cfRule>
  </conditionalFormatting>
  <conditionalFormatting sqref="G1193">
    <cfRule type="expression" dxfId="689" priority="4189">
      <formula>G1193 = "Atacado"</formula>
    </cfRule>
    <cfRule type="expression" dxfId="688" priority="4190">
      <formula>G1193 = "Pedidos"</formula>
    </cfRule>
    <cfRule type="expression" dxfId="687" priority="4191">
      <formula>G1193 = "Estoque"</formula>
    </cfRule>
    <cfRule type="expression" dxfId="686" priority="4192">
      <formula>G1193 = "Pendente"</formula>
    </cfRule>
    <cfRule type="expression" dxfId="685" priority="4193">
      <formula>G1193 = "Vendido"</formula>
    </cfRule>
  </conditionalFormatting>
  <conditionalFormatting sqref="G1196">
    <cfRule type="expression" dxfId="684" priority="4072">
      <formula>G1196 = "Atacado"</formula>
    </cfRule>
    <cfRule type="expression" dxfId="683" priority="4076">
      <formula>G1196 = "Vendido"</formula>
    </cfRule>
    <cfRule type="expression" dxfId="682" priority="4075">
      <formula>G1196 = "Pendente"</formula>
    </cfRule>
    <cfRule type="expression" dxfId="681" priority="4074">
      <formula>G1196 = "Estoque"</formula>
    </cfRule>
    <cfRule type="expression" dxfId="680" priority="4073">
      <formula>G1196 = "Pedidos"</formula>
    </cfRule>
  </conditionalFormatting>
  <conditionalFormatting sqref="G1197">
    <cfRule type="expression" dxfId="679" priority="4066">
      <formula>G1197 = "Estoque"</formula>
    </cfRule>
    <cfRule type="expression" dxfId="678" priority="4064">
      <formula>G1197 = "Atacado"</formula>
    </cfRule>
    <cfRule type="expression" dxfId="677" priority="4068">
      <formula>G1197 = "Vendido"</formula>
    </cfRule>
    <cfRule type="expression" dxfId="676" priority="4067">
      <formula>G1197 = "Pendente"</formula>
    </cfRule>
    <cfRule type="expression" dxfId="675" priority="4065">
      <formula>G1197 = "Pedidos"</formula>
    </cfRule>
  </conditionalFormatting>
  <conditionalFormatting sqref="G1198:G1207">
    <cfRule type="expression" dxfId="674" priority="4131">
      <formula>G1198 = "Estoque"</formula>
    </cfRule>
    <cfRule type="expression" dxfId="673" priority="4132">
      <formula>G1198 = "Pendente"</formula>
    </cfRule>
    <cfRule type="expression" dxfId="672" priority="4133">
      <formula>G1198 = "Vendido"</formula>
    </cfRule>
    <cfRule type="expression" dxfId="671" priority="4129">
      <formula>G1198 = "Atacado"</formula>
    </cfRule>
    <cfRule type="expression" dxfId="670" priority="4130">
      <formula>G1198 = "Pedidos"</formula>
    </cfRule>
  </conditionalFormatting>
  <conditionalFormatting sqref="G1209 G1211">
    <cfRule type="expression" dxfId="669" priority="3159">
      <formula>G1209 = "Vendido"</formula>
    </cfRule>
    <cfRule type="expression" dxfId="668" priority="3158">
      <formula>G1209 = "Pendente"</formula>
    </cfRule>
    <cfRule type="expression" dxfId="667" priority="3157">
      <formula>G1209 = "Estoque"</formula>
    </cfRule>
    <cfRule type="expression" dxfId="666" priority="3156">
      <formula>G1209 = "Pedidos"</formula>
    </cfRule>
    <cfRule type="expression" dxfId="665" priority="3155">
      <formula>G1209 = "Atacado"</formula>
    </cfRule>
    <cfRule type="expression" dxfId="664" priority="3154">
      <formula>G1209 = "Tem que compra"</formula>
    </cfRule>
  </conditionalFormatting>
  <conditionalFormatting sqref="G1210">
    <cfRule type="expression" dxfId="663" priority="2631">
      <formula>G1210 = "Atacado"</formula>
    </cfRule>
    <cfRule type="expression" dxfId="662" priority="2630">
      <formula>G1210 = "Tem que compra"</formula>
    </cfRule>
    <cfRule type="expression" dxfId="661" priority="2632">
      <formula>G1210 = "Pedidos"</formula>
    </cfRule>
    <cfRule type="expression" dxfId="660" priority="2633">
      <formula>G1210 = "Estoque"</formula>
    </cfRule>
    <cfRule type="expression" dxfId="659" priority="2634">
      <formula>G1210 = "Pendente"</formula>
    </cfRule>
    <cfRule type="expression" dxfId="658" priority="2635">
      <formula>G1210 = "Vendido"</formula>
    </cfRule>
  </conditionalFormatting>
  <conditionalFormatting sqref="G1212:G1213">
    <cfRule type="expression" dxfId="657" priority="3164">
      <formula>G1212 = "Atacado"</formula>
    </cfRule>
    <cfRule type="expression" dxfId="656" priority="3168">
      <formula>G1212 = "Vendido"</formula>
    </cfRule>
    <cfRule type="expression" dxfId="655" priority="3167">
      <formula>G1212 = "Pendente"</formula>
    </cfRule>
    <cfRule type="expression" dxfId="654" priority="3166">
      <formula>G1212 = "Estoque"</formula>
    </cfRule>
    <cfRule type="expression" dxfId="653" priority="3165">
      <formula>G1212 = "Pedidos"</formula>
    </cfRule>
    <cfRule type="expression" dxfId="652" priority="3163">
      <formula>G1212 = "Tem que compra"</formula>
    </cfRule>
  </conditionalFormatting>
  <conditionalFormatting sqref="G1216">
    <cfRule type="expression" dxfId="651" priority="4499">
      <formula>G1216 = "Tem que compra"</formula>
    </cfRule>
  </conditionalFormatting>
  <conditionalFormatting sqref="G1217">
    <cfRule type="expression" dxfId="650" priority="2650">
      <formula>G1217 = "Tem que compra"</formula>
    </cfRule>
    <cfRule type="expression" dxfId="649" priority="2651">
      <formula>G1217 = "Atacado"</formula>
    </cfRule>
    <cfRule type="expression" dxfId="648" priority="2652">
      <formula>G1217 = "Pedidos"</formula>
    </cfRule>
    <cfRule type="expression" dxfId="647" priority="2653">
      <formula>G1217 = "Estoque"</formula>
    </cfRule>
    <cfRule type="expression" dxfId="646" priority="2654">
      <formula>G1217 = "Pendente"</formula>
    </cfRule>
    <cfRule type="expression" dxfId="645" priority="2655">
      <formula>G1217 = "Vendido"</formula>
    </cfRule>
  </conditionalFormatting>
  <conditionalFormatting sqref="G1:G1470">
    <cfRule type="expression" dxfId="644" priority="3538">
      <formula>G1 ="Loja"</formula>
    </cfRule>
  </conditionalFormatting>
  <conditionalFormatting sqref="G1218:G1228 G1245:G1248 G1384:G1387 G1471:G1048576">
    <cfRule type="expression" dxfId="643" priority="6585">
      <formula>G1218 ="Entregar"</formula>
    </cfRule>
  </conditionalFormatting>
  <conditionalFormatting sqref="G1221 G1225 G1229 G1233 G1237 G1241">
    <cfRule type="expression" dxfId="642" priority="3220">
      <formula>G1221 = "Atacado"</formula>
    </cfRule>
    <cfRule type="expression" dxfId="641" priority="3222">
      <formula>G1221 = "Estoque"</formula>
    </cfRule>
    <cfRule type="expression" dxfId="640" priority="3223">
      <formula>G1221 = "Pendente"</formula>
    </cfRule>
    <cfRule type="expression" dxfId="639" priority="3224">
      <formula>G1221 = "Vendido"</formula>
    </cfRule>
    <cfRule type="expression" dxfId="638" priority="3221">
      <formula>G1221 = "Pedidos"</formula>
    </cfRule>
  </conditionalFormatting>
  <conditionalFormatting sqref="G1221 G1225 G1235:G1243">
    <cfRule type="expression" dxfId="637" priority="3218">
      <formula>G1221 ="Entregar"</formula>
    </cfRule>
  </conditionalFormatting>
  <conditionalFormatting sqref="G1221 G1225 G1237 G1241 G1229 G1233">
    <cfRule type="expression" dxfId="636" priority="3219">
      <formula>G1221 = "Tem que compra"</formula>
    </cfRule>
  </conditionalFormatting>
  <conditionalFormatting sqref="G1229:G1242">
    <cfRule type="expression" dxfId="635" priority="2526">
      <formula>G1229 ="Entregar"</formula>
    </cfRule>
    <cfRule type="expression" dxfId="634" priority="2524">
      <formula>G1229 ="Loja"</formula>
    </cfRule>
  </conditionalFormatting>
  <conditionalFormatting sqref="G1230">
    <cfRule type="expression" dxfId="633" priority="2591">
      <formula>G1230 = "Pendente"</formula>
    </cfRule>
    <cfRule type="expression" dxfId="632" priority="2587">
      <formula>G1230 = "Tem que compra"</formula>
    </cfRule>
    <cfRule type="expression" dxfId="631" priority="2588">
      <formula>G1230 = "Atacado"</formula>
    </cfRule>
    <cfRule type="expression" dxfId="630" priority="2589">
      <formula>G1230 = "Pedidos"</formula>
    </cfRule>
    <cfRule type="expression" dxfId="629" priority="2590">
      <formula>G1230 = "Estoque"</formula>
    </cfRule>
    <cfRule type="expression" dxfId="628" priority="2592">
      <formula>G1230 = "Vendido"</formula>
    </cfRule>
  </conditionalFormatting>
  <conditionalFormatting sqref="G1231">
    <cfRule type="expression" dxfId="627" priority="2569">
      <formula>G1231 = "Pedidos"</formula>
    </cfRule>
    <cfRule type="expression" dxfId="626" priority="2570">
      <formula>G1231 = "Estoque"</formula>
    </cfRule>
    <cfRule type="expression" dxfId="625" priority="2571">
      <formula>G1231 = "Pendente"</formula>
    </cfRule>
    <cfRule type="expression" dxfId="624" priority="2567">
      <formula>G1231 = "Tem que compra"</formula>
    </cfRule>
    <cfRule type="expression" dxfId="623" priority="2572">
      <formula>G1231 = "Vendido"</formula>
    </cfRule>
    <cfRule type="expression" dxfId="622" priority="2568">
      <formula>G1231 = "Atacado"</formula>
    </cfRule>
  </conditionalFormatting>
  <conditionalFormatting sqref="G1232">
    <cfRule type="expression" dxfId="621" priority="2547">
      <formula>G1232 = "Tem que compra"</formula>
    </cfRule>
    <cfRule type="expression" dxfId="620" priority="2548">
      <formula>G1232 = "Atacado"</formula>
    </cfRule>
    <cfRule type="expression" dxfId="619" priority="2549">
      <formula>G1232 = "Pedidos"</formula>
    </cfRule>
    <cfRule type="expression" dxfId="618" priority="2550">
      <formula>G1232 = "Estoque"</formula>
    </cfRule>
    <cfRule type="expression" dxfId="617" priority="2551">
      <formula>G1232 = "Pendente"</formula>
    </cfRule>
    <cfRule type="expression" dxfId="616" priority="2552">
      <formula>G1232 = "Vendido"</formula>
    </cfRule>
  </conditionalFormatting>
  <conditionalFormatting sqref="G1234:G1242">
    <cfRule type="expression" dxfId="615" priority="2530">
      <formula>G1234 = "Estoque"</formula>
    </cfRule>
    <cfRule type="expression" dxfId="614" priority="2529">
      <formula>G1234 = "Pedidos"</formula>
    </cfRule>
    <cfRule type="expression" dxfId="613" priority="2527">
      <formula>G1234 = "Tem que compra"</formula>
    </cfRule>
    <cfRule type="expression" dxfId="612" priority="2528">
      <formula>G1234 = "Atacado"</formula>
    </cfRule>
    <cfRule type="expression" dxfId="611" priority="2532">
      <formula>G1234 = "Vendido"</formula>
    </cfRule>
    <cfRule type="expression" dxfId="610" priority="2531">
      <formula>G1234 = "Pendente"</formula>
    </cfRule>
  </conditionalFormatting>
  <conditionalFormatting sqref="G1235:G1243 G1221 G1225">
    <cfRule type="expression" dxfId="609" priority="3216">
      <formula>G1221 ="Loja"</formula>
    </cfRule>
  </conditionalFormatting>
  <conditionalFormatting sqref="G1244:G1248">
    <cfRule type="expression" dxfId="608" priority="2510">
      <formula>G1244 = "Estoque"</formula>
    </cfRule>
    <cfRule type="expression" dxfId="607" priority="2507">
      <formula>G1244 = "Tem que compra"</formula>
    </cfRule>
    <cfRule type="expression" dxfId="606" priority="2508">
      <formula>G1244 = "Atacado"</formula>
    </cfRule>
    <cfRule type="expression" dxfId="605" priority="2509">
      <formula>G1244 = "Pedidos"</formula>
    </cfRule>
    <cfRule type="expression" dxfId="604" priority="2511">
      <formula>G1244 = "Pendente"</formula>
    </cfRule>
    <cfRule type="expression" dxfId="603" priority="2512">
      <formula>G1244 = "Vendido"</formula>
    </cfRule>
  </conditionalFormatting>
  <conditionalFormatting sqref="G1244:G1250">
    <cfRule type="expression" dxfId="602" priority="2303">
      <formula>G1244 ="Loja"</formula>
    </cfRule>
    <cfRule type="expression" dxfId="601" priority="2305">
      <formula>G1244 ="Entregar"</formula>
    </cfRule>
  </conditionalFormatting>
  <conditionalFormatting sqref="G1245:G1248 G1384:G1387">
    <cfRule type="expression" dxfId="600" priority="6575">
      <formula>G1245 ="Loja"</formula>
    </cfRule>
  </conditionalFormatting>
  <conditionalFormatting sqref="G1249:G1250">
    <cfRule type="expression" dxfId="599" priority="2290">
      <formula>G1249 = "Pendente"</formula>
    </cfRule>
    <cfRule type="expression" dxfId="598" priority="2291">
      <formula>G1249 = "Vendido"</formula>
    </cfRule>
    <cfRule type="expression" dxfId="597" priority="2306">
      <formula>G1249 = "Tem que compra"</formula>
    </cfRule>
    <cfRule type="expression" dxfId="596" priority="2307">
      <formula>G1249 = "Atacado"</formula>
    </cfRule>
    <cfRule type="expression" dxfId="595" priority="2308">
      <formula>G1249 = "Pedidos"</formula>
    </cfRule>
    <cfRule type="expression" dxfId="594" priority="2309">
      <formula>G1249 = "Estoque"</formula>
    </cfRule>
    <cfRule type="expression" dxfId="593" priority="2310">
      <formula>G1249 = "Pendente"</formula>
    </cfRule>
    <cfRule type="expression" dxfId="592" priority="2311">
      <formula>G1249 = "Vendido"</formula>
    </cfRule>
    <cfRule type="expression" dxfId="591" priority="2286">
      <formula>G1249 = "Tem que compra"</formula>
    </cfRule>
    <cfRule type="expression" dxfId="590" priority="2287">
      <formula>G1249 = "Atacado"</formula>
    </cfRule>
    <cfRule type="expression" dxfId="589" priority="2288">
      <formula>G1249 = "Pedidos"</formula>
    </cfRule>
    <cfRule type="expression" dxfId="588" priority="2289">
      <formula>G1249 = "Estoque"</formula>
    </cfRule>
  </conditionalFormatting>
  <conditionalFormatting sqref="G1249:G1251">
    <cfRule type="expression" dxfId="587" priority="2263">
      <formula>G1249 ="Loja"</formula>
    </cfRule>
    <cfRule type="expression" dxfId="586" priority="2265">
      <formula>G1249 ="Entregar"</formula>
    </cfRule>
  </conditionalFormatting>
  <conditionalFormatting sqref="G1251">
    <cfRule type="expression" dxfId="585" priority="2270">
      <formula>G1251 = "Pendente"</formula>
    </cfRule>
    <cfRule type="expression" dxfId="584" priority="2267">
      <formula>G1251 = "Atacado"</formula>
    </cfRule>
    <cfRule type="expression" dxfId="583" priority="2251">
      <formula>G1251 = "Vendido"</formula>
    </cfRule>
    <cfRule type="expression" dxfId="582" priority="2247">
      <formula>G1251 = "Atacado"</formula>
    </cfRule>
    <cfRule type="expression" dxfId="581" priority="2246">
      <formula>G1251 = "Tem que compra"</formula>
    </cfRule>
    <cfRule type="expression" dxfId="580" priority="2266">
      <formula>G1251 = "Tem que compra"</formula>
    </cfRule>
    <cfRule type="expression" dxfId="579" priority="2271">
      <formula>G1251 = "Vendido"</formula>
    </cfRule>
    <cfRule type="expression" dxfId="578" priority="2268">
      <formula>G1251 = "Pedidos"</formula>
    </cfRule>
    <cfRule type="expression" dxfId="577" priority="2269">
      <formula>G1251 = "Estoque"</formula>
    </cfRule>
    <cfRule type="expression" dxfId="576" priority="2250">
      <formula>G1251 = "Pendente"</formula>
    </cfRule>
    <cfRule type="expression" dxfId="575" priority="2249">
      <formula>G1251 = "Estoque"</formula>
    </cfRule>
    <cfRule type="expression" dxfId="574" priority="2248">
      <formula>G1251 = "Pedidos"</formula>
    </cfRule>
  </conditionalFormatting>
  <conditionalFormatting sqref="G1251:G1258">
    <cfRule type="expression" dxfId="573" priority="2100">
      <formula>G1251 ="Entregar"</formula>
    </cfRule>
    <cfRule type="expression" dxfId="572" priority="2099">
      <formula>G1251 ="Loja"</formula>
    </cfRule>
  </conditionalFormatting>
  <conditionalFormatting sqref="G1252">
    <cfRule type="expression" dxfId="571" priority="2221">
      <formula>G1252 = "Pendente"</formula>
    </cfRule>
    <cfRule type="expression" dxfId="570" priority="2222">
      <formula>G1252 = "Vendido"</formula>
    </cfRule>
    <cfRule type="expression" dxfId="569" priority="2217">
      <formula>G1252 = "Tem que compra"</formula>
    </cfRule>
    <cfRule type="expression" dxfId="568" priority="2218">
      <formula>G1252 = "Atacado"</formula>
    </cfRule>
    <cfRule type="expression" dxfId="567" priority="2219">
      <formula>G1252 = "Pedidos"</formula>
    </cfRule>
    <cfRule type="expression" dxfId="566" priority="2220">
      <formula>G1252 = "Estoque"</formula>
    </cfRule>
  </conditionalFormatting>
  <conditionalFormatting sqref="G1253">
    <cfRule type="expression" dxfId="565" priority="2197">
      <formula>G1253 = "Tem que compra"</formula>
    </cfRule>
    <cfRule type="expression" dxfId="564" priority="2198">
      <formula>G1253 = "Atacado"</formula>
    </cfRule>
    <cfRule type="expression" dxfId="563" priority="2199">
      <formula>G1253 = "Pedidos"</formula>
    </cfRule>
    <cfRule type="expression" dxfId="562" priority="2200">
      <formula>G1253 = "Estoque"</formula>
    </cfRule>
    <cfRule type="expression" dxfId="561" priority="2201">
      <formula>G1253 = "Pendente"</formula>
    </cfRule>
    <cfRule type="expression" dxfId="560" priority="2202">
      <formula>G1253 = "Vendido"</formula>
    </cfRule>
  </conditionalFormatting>
  <conditionalFormatting sqref="G1254">
    <cfRule type="expression" dxfId="559" priority="2180">
      <formula>G1254 = "Estoque"</formula>
    </cfRule>
    <cfRule type="expression" dxfId="558" priority="2181">
      <formula>G1254 = "Pendente"</formula>
    </cfRule>
    <cfRule type="expression" dxfId="557" priority="2182">
      <formula>G1254 = "Vendido"</formula>
    </cfRule>
    <cfRule type="expression" dxfId="556" priority="2178">
      <formula>G1254 = "Atacado"</formula>
    </cfRule>
    <cfRule type="expression" dxfId="555" priority="2179">
      <formula>G1254 = "Pedidos"</formula>
    </cfRule>
    <cfRule type="expression" dxfId="554" priority="2177">
      <formula>G1254 = "Tem que compra"</formula>
    </cfRule>
  </conditionalFormatting>
  <conditionalFormatting sqref="G1255">
    <cfRule type="expression" dxfId="553" priority="2230">
      <formula>G1255 = "Pendente"</formula>
    </cfRule>
    <cfRule type="expression" dxfId="552" priority="2226">
      <formula>G1255 = "Tem que compra"</formula>
    </cfRule>
    <cfRule type="expression" dxfId="551" priority="2227">
      <formula>G1255 = "Atacado"</formula>
    </cfRule>
    <cfRule type="expression" dxfId="550" priority="2231">
      <formula>G1255 = "Vendido"</formula>
    </cfRule>
    <cfRule type="expression" dxfId="549" priority="2228">
      <formula>G1255 = "Pedidos"</formula>
    </cfRule>
    <cfRule type="expression" dxfId="548" priority="2229">
      <formula>G1255 = "Estoque"</formula>
    </cfRule>
  </conditionalFormatting>
  <conditionalFormatting sqref="G1256">
    <cfRule type="expression" dxfId="547" priority="2114">
      <formula>G1256 = "Vendido"</formula>
    </cfRule>
    <cfRule type="expression" dxfId="546" priority="2113">
      <formula>G1256 = "Pendente"</formula>
    </cfRule>
    <cfRule type="expression" dxfId="545" priority="2112">
      <formula>G1256 = "Estoque"</formula>
    </cfRule>
    <cfRule type="expression" dxfId="544" priority="2111">
      <formula>G1256 = "Pedidos"</formula>
    </cfRule>
    <cfRule type="expression" dxfId="543" priority="2110">
      <formula>G1256 = "Atacado"</formula>
    </cfRule>
    <cfRule type="expression" dxfId="542" priority="2109">
      <formula>G1256 = "Tem que compra"</formula>
    </cfRule>
  </conditionalFormatting>
  <conditionalFormatting sqref="G1257">
    <cfRule type="expression" dxfId="541" priority="2120">
      <formula>G1257 = "Estoque"</formula>
    </cfRule>
    <cfRule type="expression" dxfId="540" priority="2122">
      <formula>G1257 = "Vendido"</formula>
    </cfRule>
    <cfRule type="expression" dxfId="539" priority="2121">
      <formula>G1257 = "Pendente"</formula>
    </cfRule>
    <cfRule type="expression" dxfId="538" priority="2119">
      <formula>G1257 = "Pedidos"</formula>
    </cfRule>
    <cfRule type="expression" dxfId="537" priority="2118">
      <formula>G1257 = "Atacado"</formula>
    </cfRule>
    <cfRule type="expression" dxfId="536" priority="2117">
      <formula>G1257 = "Tem que compra"</formula>
    </cfRule>
  </conditionalFormatting>
  <conditionalFormatting sqref="G1258">
    <cfRule type="expression" dxfId="535" priority="2104">
      <formula>G1258 = "Estoque"</formula>
    </cfRule>
    <cfRule type="expression" dxfId="534" priority="2101">
      <formula>G1258 = "Tem que compra"</formula>
    </cfRule>
    <cfRule type="expression" dxfId="533" priority="2102">
      <formula>G1258 = "Atacado"</formula>
    </cfRule>
    <cfRule type="expression" dxfId="532" priority="2103">
      <formula>G1258 = "Pedidos"</formula>
    </cfRule>
    <cfRule type="expression" dxfId="531" priority="2105">
      <formula>G1258 = "Pendente"</formula>
    </cfRule>
    <cfRule type="expression" dxfId="530" priority="2106">
      <formula>G1258 = "Vendido"</formula>
    </cfRule>
  </conditionalFormatting>
  <conditionalFormatting sqref="G1259:G1265">
    <cfRule type="expression" dxfId="529" priority="2150">
      <formula>G1259 = "Pendente"</formula>
    </cfRule>
    <cfRule type="expression" dxfId="528" priority="2151">
      <formula>G1259 = "Vendido"</formula>
    </cfRule>
    <cfRule type="expression" dxfId="527" priority="2145">
      <formula>G1259 ="Entregar"</formula>
    </cfRule>
    <cfRule type="expression" dxfId="526" priority="2143">
      <formula>G1259 ="Loja"</formula>
    </cfRule>
    <cfRule type="expression" dxfId="525" priority="2146">
      <formula>G1259 = "Tem que compra"</formula>
    </cfRule>
    <cfRule type="expression" dxfId="524" priority="2147">
      <formula>G1259 = "Atacado"</formula>
    </cfRule>
    <cfRule type="expression" dxfId="523" priority="2148">
      <formula>G1259 = "Pedidos"</formula>
    </cfRule>
    <cfRule type="expression" dxfId="522" priority="2149">
      <formula>G1259 = "Estoque"</formula>
    </cfRule>
  </conditionalFormatting>
  <conditionalFormatting sqref="G1262">
    <cfRule type="expression" dxfId="521" priority="2123">
      <formula>G1262 ="Loja"</formula>
    </cfRule>
    <cfRule type="expression" dxfId="520" priority="2126">
      <formula>G1262 = "Tem que compra"</formula>
    </cfRule>
    <cfRule type="expression" dxfId="519" priority="2127">
      <formula>G1262 = "Atacado"</formula>
    </cfRule>
    <cfRule type="expression" dxfId="518" priority="2125">
      <formula>G1262 ="Entregar"</formula>
    </cfRule>
    <cfRule type="expression" dxfId="517" priority="2128">
      <formula>G1262 = "Pedidos"</formula>
    </cfRule>
    <cfRule type="expression" dxfId="516" priority="2129">
      <formula>G1262 = "Estoque"</formula>
    </cfRule>
    <cfRule type="expression" dxfId="515" priority="2130">
      <formula>G1262 = "Pendente"</formula>
    </cfRule>
    <cfRule type="expression" dxfId="514" priority="2131">
      <formula>G1262 = "Vendido"</formula>
    </cfRule>
  </conditionalFormatting>
  <conditionalFormatting sqref="G1266">
    <cfRule type="expression" dxfId="513" priority="2084">
      <formula>G1266 = "Estoque"</formula>
    </cfRule>
    <cfRule type="expression" dxfId="512" priority="2081">
      <formula>G1266 = "Tem que compra"</formula>
    </cfRule>
    <cfRule type="expression" dxfId="511" priority="2083">
      <formula>G1266 = "Pedidos"</formula>
    </cfRule>
    <cfRule type="expression" dxfId="510" priority="2082">
      <formula>G1266 = "Atacado"</formula>
    </cfRule>
    <cfRule type="expression" dxfId="509" priority="2086">
      <formula>G1266 = "Vendido"</formula>
    </cfRule>
    <cfRule type="expression" dxfId="508" priority="2085">
      <formula>G1266 = "Pendente"</formula>
    </cfRule>
  </conditionalFormatting>
  <conditionalFormatting sqref="G1266:G1272">
    <cfRule type="expression" dxfId="507" priority="473">
      <formula>G1266 ="Entregar"</formula>
    </cfRule>
    <cfRule type="expression" dxfId="506" priority="471">
      <formula>G1266 ="Loja"</formula>
    </cfRule>
  </conditionalFormatting>
  <conditionalFormatting sqref="G1267">
    <cfRule type="expression" dxfId="505" priority="2052">
      <formula>G1267 = "Pedidos"</formula>
    </cfRule>
    <cfRule type="expression" dxfId="504" priority="2051">
      <formula>G1267 = "Atacado"</formula>
    </cfRule>
    <cfRule type="expression" dxfId="503" priority="2050">
      <formula>G1267 = "Tem que compra"</formula>
    </cfRule>
    <cfRule type="expression" dxfId="502" priority="2053">
      <formula>G1267 = "Estoque"</formula>
    </cfRule>
    <cfRule type="expression" dxfId="501" priority="2054">
      <formula>G1267 = "Pendente"</formula>
    </cfRule>
    <cfRule type="expression" dxfId="500" priority="2055">
      <formula>G1267 = "Vendido"</formula>
    </cfRule>
  </conditionalFormatting>
  <conditionalFormatting sqref="G1268">
    <cfRule type="expression" dxfId="499" priority="2035">
      <formula>G1268 = "Vendido"</formula>
    </cfRule>
    <cfRule type="expression" dxfId="498" priority="2034">
      <formula>G1268 = "Pendente"</formula>
    </cfRule>
    <cfRule type="expression" dxfId="497" priority="2030">
      <formula>G1268 = "Tem que compra"</formula>
    </cfRule>
    <cfRule type="expression" dxfId="496" priority="2033">
      <formula>G1268 = "Estoque"</formula>
    </cfRule>
    <cfRule type="expression" dxfId="495" priority="2032">
      <formula>G1268 = "Pedidos"</formula>
    </cfRule>
    <cfRule type="expression" dxfId="494" priority="2031">
      <formula>G1268 = "Atacado"</formula>
    </cfRule>
  </conditionalFormatting>
  <conditionalFormatting sqref="G1269:G1272">
    <cfRule type="expression" dxfId="493" priority="474">
      <formula>G1269 = "Tem que compra"</formula>
    </cfRule>
    <cfRule type="expression" dxfId="492" priority="475">
      <formula>G1269 = "Atacado"</formula>
    </cfRule>
    <cfRule type="expression" dxfId="491" priority="476">
      <formula>G1269 = "Pedidos"</formula>
    </cfRule>
    <cfRule type="expression" dxfId="490" priority="477">
      <formula>G1269 = "Estoque"</formula>
    </cfRule>
    <cfRule type="expression" dxfId="489" priority="478">
      <formula>G1269 = "Pendente"</formula>
    </cfRule>
    <cfRule type="expression" dxfId="488" priority="479">
      <formula>G1269 = "Vendido"</formula>
    </cfRule>
  </conditionalFormatting>
  <conditionalFormatting sqref="G1270">
    <cfRule type="expression" dxfId="487" priority="458">
      <formula>G1270 = "Pendente"</formula>
    </cfRule>
    <cfRule type="expression" dxfId="486" priority="457">
      <formula>G1270 = "Estoque"</formula>
    </cfRule>
    <cfRule type="expression" dxfId="485" priority="459">
      <formula>G1270 = "Vendido"</formula>
    </cfRule>
    <cfRule type="expression" dxfId="484" priority="455">
      <formula>G1270 = "Atacado"</formula>
    </cfRule>
    <cfRule type="expression" dxfId="483" priority="454">
      <formula>G1270 = "Tem que compra"</formula>
    </cfRule>
    <cfRule type="expression" dxfId="482" priority="453">
      <formula>G1270 ="Entregar"</formula>
    </cfRule>
    <cfRule type="expression" dxfId="481" priority="451">
      <formula>G1270 ="Loja"</formula>
    </cfRule>
    <cfRule type="expression" dxfId="480" priority="456">
      <formula>G1270 = "Pedidos"</formula>
    </cfRule>
  </conditionalFormatting>
  <conditionalFormatting sqref="G1273:G1277">
    <cfRule type="expression" dxfId="479" priority="2010">
      <formula>G1273 = "Tem que compra"</formula>
    </cfRule>
    <cfRule type="expression" dxfId="478" priority="2011">
      <formula>G1273 = "Atacado"</formula>
    </cfRule>
    <cfRule type="expression" dxfId="477" priority="2007">
      <formula>G1273 ="Loja"</formula>
    </cfRule>
    <cfRule type="expression" dxfId="476" priority="2012">
      <formula>G1273 = "Pedidos"</formula>
    </cfRule>
    <cfRule type="expression" dxfId="475" priority="2009">
      <formula>G1273 ="Entregar"</formula>
    </cfRule>
    <cfRule type="expression" dxfId="474" priority="2014">
      <formula>G1273 = "Pendente"</formula>
    </cfRule>
    <cfRule type="expression" dxfId="473" priority="2013">
      <formula>G1273 = "Estoque"</formula>
    </cfRule>
    <cfRule type="expression" dxfId="472" priority="2015">
      <formula>G1273 = "Vendido"</formula>
    </cfRule>
  </conditionalFormatting>
  <conditionalFormatting sqref="G1274 G1278">
    <cfRule type="expression" dxfId="471" priority="1994">
      <formula>G1274 = "Pendente"</formula>
    </cfRule>
    <cfRule type="expression" dxfId="470" priority="1993">
      <formula>G1274 = "Estoque"</formula>
    </cfRule>
    <cfRule type="expression" dxfId="469" priority="1992">
      <formula>G1274 = "Pedidos"</formula>
    </cfRule>
    <cfRule type="expression" dxfId="468" priority="1991">
      <formula>G1274 = "Atacado"</formula>
    </cfRule>
    <cfRule type="expression" dxfId="467" priority="1990">
      <formula>G1274 = "Tem que compra"</formula>
    </cfRule>
    <cfRule type="expression" dxfId="466" priority="1995">
      <formula>G1274 = "Vendido"</formula>
    </cfRule>
  </conditionalFormatting>
  <conditionalFormatting sqref="G1274">
    <cfRule type="expression" dxfId="465" priority="1989">
      <formula>G1274 ="Entregar"</formula>
    </cfRule>
    <cfRule type="expression" dxfId="464" priority="1987">
      <formula>G1274 ="Loja"</formula>
    </cfRule>
  </conditionalFormatting>
  <conditionalFormatting sqref="G1278:G1339">
    <cfRule type="expression" dxfId="463" priority="372">
      <formula>G1278 ="Entregar"</formula>
    </cfRule>
  </conditionalFormatting>
  <conditionalFormatting sqref="G1278:G1341">
    <cfRule type="expression" dxfId="462" priority="129">
      <formula>G1278 ="Loja"</formula>
    </cfRule>
  </conditionalFormatting>
  <conditionalFormatting sqref="G1279">
    <cfRule type="expression" dxfId="461" priority="1965">
      <formula>G1279 = "Pendente"</formula>
    </cfRule>
    <cfRule type="expression" dxfId="460" priority="1963">
      <formula>G1279 = "Pedidos"</formula>
    </cfRule>
    <cfRule type="expression" dxfId="459" priority="1964">
      <formula>G1279 = "Estoque"</formula>
    </cfRule>
    <cfRule type="expression" dxfId="458" priority="1966">
      <formula>G1279 = "Vendido"</formula>
    </cfRule>
    <cfRule type="expression" dxfId="457" priority="1961">
      <formula>G1279 = "Tem que compra"</formula>
    </cfRule>
    <cfRule type="expression" dxfId="456" priority="1962">
      <formula>G1279 = "Atacado"</formula>
    </cfRule>
  </conditionalFormatting>
  <conditionalFormatting sqref="G1280">
    <cfRule type="expression" dxfId="455" priority="1941">
      <formula>G1280 = "Tem que compra"</formula>
    </cfRule>
    <cfRule type="expression" dxfId="454" priority="1946">
      <formula>G1280 = "Vendido"</formula>
    </cfRule>
    <cfRule type="expression" dxfId="453" priority="1945">
      <formula>G1280 = "Pendente"</formula>
    </cfRule>
    <cfRule type="expression" dxfId="452" priority="1944">
      <formula>G1280 = "Estoque"</formula>
    </cfRule>
    <cfRule type="expression" dxfId="451" priority="1943">
      <formula>G1280 = "Pedidos"</formula>
    </cfRule>
    <cfRule type="expression" dxfId="450" priority="1942">
      <formula>G1280 = "Atacado"</formula>
    </cfRule>
  </conditionalFormatting>
  <conditionalFormatting sqref="G1281">
    <cfRule type="expression" dxfId="449" priority="1923">
      <formula>G1281 = "Pedidos"</formula>
    </cfRule>
    <cfRule type="expression" dxfId="448" priority="1922">
      <formula>G1281 = "Atacado"</formula>
    </cfRule>
    <cfRule type="expression" dxfId="447" priority="1921">
      <formula>G1281 = "Tem que compra"</formula>
    </cfRule>
    <cfRule type="expression" dxfId="446" priority="1926">
      <formula>G1281 = "Vendido"</formula>
    </cfRule>
    <cfRule type="expression" dxfId="445" priority="1925">
      <formula>G1281 = "Pendente"</formula>
    </cfRule>
    <cfRule type="expression" dxfId="444" priority="1924">
      <formula>G1281 = "Estoque"</formula>
    </cfRule>
  </conditionalFormatting>
  <conditionalFormatting sqref="G1282">
    <cfRule type="expression" dxfId="443" priority="1975">
      <formula>G1282 = "Vendido"</formula>
    </cfRule>
    <cfRule type="expression" dxfId="442" priority="1970">
      <formula>G1282 = "Tem que compra"</formula>
    </cfRule>
    <cfRule type="expression" dxfId="441" priority="1971">
      <formula>G1282 = "Atacado"</formula>
    </cfRule>
    <cfRule type="expression" dxfId="440" priority="1972">
      <formula>G1282 = "Pedidos"</formula>
    </cfRule>
    <cfRule type="expression" dxfId="439" priority="1974">
      <formula>G1282 = "Pendente"</formula>
    </cfRule>
    <cfRule type="expression" dxfId="438" priority="1973">
      <formula>G1282 = "Estoque"</formula>
    </cfRule>
  </conditionalFormatting>
  <conditionalFormatting sqref="G1283">
    <cfRule type="expression" dxfId="437" priority="1894">
      <formula>G1283 = "Atacado"</formula>
    </cfRule>
    <cfRule type="expression" dxfId="436" priority="1897">
      <formula>G1283 = "Pendente"</formula>
    </cfRule>
    <cfRule type="expression" dxfId="435" priority="1896">
      <formula>G1283 = "Estoque"</formula>
    </cfRule>
    <cfRule type="expression" dxfId="434" priority="1895">
      <formula>G1283 = "Pedidos"</formula>
    </cfRule>
    <cfRule type="expression" dxfId="433" priority="1893">
      <formula>G1283 = "Tem que compra"</formula>
    </cfRule>
    <cfRule type="expression" dxfId="432" priority="1898">
      <formula>G1283 = "Vendido"</formula>
    </cfRule>
  </conditionalFormatting>
  <conditionalFormatting sqref="G1284">
    <cfRule type="expression" dxfId="431" priority="1901">
      <formula>G1284 = "Tem que compra"</formula>
    </cfRule>
    <cfRule type="expression" dxfId="430" priority="1904">
      <formula>G1284 = "Estoque"</formula>
    </cfRule>
    <cfRule type="expression" dxfId="429" priority="1903">
      <formula>G1284 = "Pedidos"</formula>
    </cfRule>
    <cfRule type="expression" dxfId="428" priority="1902">
      <formula>G1284 = "Atacado"</formula>
    </cfRule>
    <cfRule type="expression" dxfId="427" priority="1906">
      <formula>G1284 = "Vendido"</formula>
    </cfRule>
    <cfRule type="expression" dxfId="426" priority="1905">
      <formula>G1284 = "Pendente"</formula>
    </cfRule>
  </conditionalFormatting>
  <conditionalFormatting sqref="G1285">
    <cfRule type="expression" dxfId="425" priority="1853">
      <formula>G1285 = "Tem que compra"</formula>
    </cfRule>
    <cfRule type="expression" dxfId="424" priority="1854">
      <formula>G1285 = "Atacado"</formula>
    </cfRule>
    <cfRule type="expression" dxfId="423" priority="1855">
      <formula>G1285 = "Pedidos"</formula>
    </cfRule>
    <cfRule type="expression" dxfId="422" priority="1857">
      <formula>G1285 = "Pendente"</formula>
    </cfRule>
    <cfRule type="expression" dxfId="421" priority="1858">
      <formula>G1285 = "Vendido"</formula>
    </cfRule>
    <cfRule type="expression" dxfId="420" priority="1856">
      <formula>G1285 = "Estoque"</formula>
    </cfRule>
  </conditionalFormatting>
  <conditionalFormatting sqref="G1286 G1298:G1302 G1314 G1327:G1330 G1343">
    <cfRule type="expression" dxfId="419" priority="1877">
      <formula>G1286 = "Pendente"</formula>
    </cfRule>
    <cfRule type="expression" dxfId="418" priority="1875">
      <formula>G1286 = "Pedidos"</formula>
    </cfRule>
    <cfRule type="expression" dxfId="417" priority="1876">
      <formula>G1286 = "Estoque"</formula>
    </cfRule>
    <cfRule type="expression" dxfId="416" priority="1874">
      <formula>G1286 = "Atacado"</formula>
    </cfRule>
    <cfRule type="expression" dxfId="415" priority="1873">
      <formula>G1286 = "Tem que compra"</formula>
    </cfRule>
    <cfRule type="expression" dxfId="414" priority="1878">
      <formula>G1286 = "Vendido"</formula>
    </cfRule>
  </conditionalFormatting>
  <conditionalFormatting sqref="G1287">
    <cfRule type="expression" dxfId="413" priority="1837">
      <formula>G1287 = "Pendente"</formula>
    </cfRule>
    <cfRule type="expression" dxfId="412" priority="1838">
      <formula>G1287 = "Vendido"</formula>
    </cfRule>
    <cfRule type="expression" dxfId="411" priority="1833">
      <formula>G1287 = "Tem que compra"</formula>
    </cfRule>
    <cfRule type="expression" dxfId="410" priority="1834">
      <formula>G1287 = "Atacado"</formula>
    </cfRule>
    <cfRule type="expression" dxfId="409" priority="1835">
      <formula>G1287 = "Pedidos"</formula>
    </cfRule>
    <cfRule type="expression" dxfId="408" priority="1836">
      <formula>G1287 = "Estoque"</formula>
    </cfRule>
  </conditionalFormatting>
  <conditionalFormatting sqref="G1288">
    <cfRule type="expression" dxfId="407" priority="1817">
      <formula>G1288 = "Pendente"</formula>
    </cfRule>
    <cfRule type="expression" dxfId="406" priority="1818">
      <formula>G1288 = "Vendido"</formula>
    </cfRule>
    <cfRule type="expression" dxfId="405" priority="1813">
      <formula>G1288 = "Tem que compra"</formula>
    </cfRule>
    <cfRule type="expression" dxfId="404" priority="1816">
      <formula>G1288 = "Estoque"</formula>
    </cfRule>
    <cfRule type="expression" dxfId="403" priority="1815">
      <formula>G1288 = "Pedidos"</formula>
    </cfRule>
    <cfRule type="expression" dxfId="402" priority="1814">
      <formula>G1288 = "Atacado"</formula>
    </cfRule>
  </conditionalFormatting>
  <conditionalFormatting sqref="G1289:G1297">
    <cfRule type="expression" dxfId="401" priority="1794">
      <formula>G1289 = "Atacado"</formula>
    </cfRule>
    <cfRule type="expression" dxfId="400" priority="1795">
      <formula>G1289 = "Pedidos"</formula>
    </cfRule>
    <cfRule type="expression" dxfId="399" priority="1796">
      <formula>G1289 = "Estoque"</formula>
    </cfRule>
    <cfRule type="expression" dxfId="398" priority="1797">
      <formula>G1289 = "Pendente"</formula>
    </cfRule>
    <cfRule type="expression" dxfId="397" priority="1793">
      <formula>G1289 = "Tem que compra"</formula>
    </cfRule>
    <cfRule type="expression" dxfId="396" priority="1798">
      <formula>G1289 = "Vendido"</formula>
    </cfRule>
  </conditionalFormatting>
  <conditionalFormatting sqref="G1303">
    <cfRule type="expression" dxfId="395" priority="1762">
      <formula>G1303 = "Atacado"</formula>
    </cfRule>
    <cfRule type="expression" dxfId="394" priority="1761">
      <formula>G1303 = "Tem que compra"</formula>
    </cfRule>
    <cfRule type="expression" dxfId="393" priority="1763">
      <formula>G1303 = "Pedidos"</formula>
    </cfRule>
    <cfRule type="expression" dxfId="392" priority="1766">
      <formula>G1303 = "Vendido"</formula>
    </cfRule>
    <cfRule type="expression" dxfId="391" priority="1765">
      <formula>G1303 = "Pendente"</formula>
    </cfRule>
    <cfRule type="expression" dxfId="390" priority="1764">
      <formula>G1303 = "Estoque"</formula>
    </cfRule>
  </conditionalFormatting>
  <conditionalFormatting sqref="G1304">
    <cfRule type="expression" dxfId="389" priority="415">
      <formula>G1304 = "Pedidos"</formula>
    </cfRule>
    <cfRule type="expression" dxfId="388" priority="416">
      <formula>G1304 = "Estoque"</formula>
    </cfRule>
    <cfRule type="expression" dxfId="387" priority="417">
      <formula>G1304 = "Pendente"</formula>
    </cfRule>
    <cfRule type="expression" dxfId="386" priority="418">
      <formula>G1304 = "Vendido"</formula>
    </cfRule>
    <cfRule type="expression" dxfId="385" priority="413">
      <formula>G1304 = "Tem que compra"</formula>
    </cfRule>
    <cfRule type="expression" dxfId="384" priority="414">
      <formula>G1304 = "Atacado"</formula>
    </cfRule>
  </conditionalFormatting>
  <conditionalFormatting sqref="G1305">
    <cfRule type="expression" dxfId="383" priority="394">
      <formula>G1305 = "Atacado"</formula>
    </cfRule>
    <cfRule type="expression" dxfId="382" priority="395">
      <formula>G1305 = "Pedidos"</formula>
    </cfRule>
    <cfRule type="expression" dxfId="381" priority="393">
      <formula>G1305 = "Tem que compra"</formula>
    </cfRule>
    <cfRule type="expression" dxfId="380" priority="397">
      <formula>G1305 = "Pendente"</formula>
    </cfRule>
    <cfRule type="expression" dxfId="379" priority="396">
      <formula>G1305 = "Estoque"</formula>
    </cfRule>
    <cfRule type="expression" dxfId="378" priority="398">
      <formula>G1305 = "Vendido"</formula>
    </cfRule>
  </conditionalFormatting>
  <conditionalFormatting sqref="G1306:G1312">
    <cfRule type="expression" dxfId="377" priority="376">
      <formula>G1306 = "Estoque"</formula>
    </cfRule>
    <cfRule type="expression" dxfId="376" priority="373">
      <formula>G1306 = "Tem que compra"</formula>
    </cfRule>
    <cfRule type="expression" dxfId="375" priority="378">
      <formula>G1306 = "Vendido"</formula>
    </cfRule>
    <cfRule type="expression" dxfId="374" priority="375">
      <formula>G1306 = "Pedidos"</formula>
    </cfRule>
    <cfRule type="expression" dxfId="373" priority="374">
      <formula>G1306 = "Atacado"</formula>
    </cfRule>
    <cfRule type="expression" dxfId="372" priority="377">
      <formula>G1306 = "Pendente"</formula>
    </cfRule>
  </conditionalFormatting>
  <conditionalFormatting sqref="G1313">
    <cfRule type="expression" dxfId="371" priority="1743">
      <formula>G1313 = "Pedidos"</formula>
    </cfRule>
    <cfRule type="expression" dxfId="370" priority="1745">
      <formula>G1313 = "Pendente"</formula>
    </cfRule>
    <cfRule type="expression" dxfId="369" priority="1744">
      <formula>G1313 = "Estoque"</formula>
    </cfRule>
    <cfRule type="expression" dxfId="368" priority="1746">
      <formula>G1313 = "Vendido"</formula>
    </cfRule>
    <cfRule type="expression" dxfId="367" priority="1742">
      <formula>G1313 = "Atacado"</formula>
    </cfRule>
    <cfRule type="expression" dxfId="366" priority="1741">
      <formula>G1313 = "Tem que compra"</formula>
    </cfRule>
  </conditionalFormatting>
  <conditionalFormatting sqref="G1315">
    <cfRule type="expression" dxfId="365" priority="1725">
      <formula>G1315 = "Pendente"</formula>
    </cfRule>
    <cfRule type="expression" dxfId="364" priority="1726">
      <formula>G1315 = "Vendido"</formula>
    </cfRule>
    <cfRule type="expression" dxfId="363" priority="1721">
      <formula>G1315 = "Tem que compra"</formula>
    </cfRule>
    <cfRule type="expression" dxfId="362" priority="1722">
      <formula>G1315 = "Atacado"</formula>
    </cfRule>
    <cfRule type="expression" dxfId="361" priority="1723">
      <formula>G1315 = "Pedidos"</formula>
    </cfRule>
    <cfRule type="expression" dxfId="360" priority="1724">
      <formula>G1315 = "Estoque"</formula>
    </cfRule>
  </conditionalFormatting>
  <conditionalFormatting sqref="G1316:G1326">
    <cfRule type="expression" dxfId="359" priority="1704">
      <formula>G1316 = "Estoque"</formula>
    </cfRule>
    <cfRule type="expression" dxfId="358" priority="1703">
      <formula>G1316 = "Pedidos"</formula>
    </cfRule>
    <cfRule type="expression" dxfId="357" priority="1702">
      <formula>G1316 = "Atacado"</formula>
    </cfRule>
    <cfRule type="expression" dxfId="356" priority="1701">
      <formula>G1316 = "Tem que compra"</formula>
    </cfRule>
    <cfRule type="expression" dxfId="355" priority="1705">
      <formula>G1316 = "Pendente"</formula>
    </cfRule>
    <cfRule type="expression" dxfId="354" priority="1706">
      <formula>G1316 = "Vendido"</formula>
    </cfRule>
  </conditionalFormatting>
  <conditionalFormatting sqref="G1331">
    <cfRule type="expression" dxfId="353" priority="1671">
      <formula>G1331 = "Pedidos"</formula>
    </cfRule>
    <cfRule type="expression" dxfId="352" priority="1669">
      <formula>G1331 = "Tem que compra"</formula>
    </cfRule>
    <cfRule type="expression" dxfId="351" priority="1670">
      <formula>G1331 = "Atacado"</formula>
    </cfRule>
    <cfRule type="expression" dxfId="350" priority="1672">
      <formula>G1331 = "Estoque"</formula>
    </cfRule>
    <cfRule type="expression" dxfId="349" priority="1673">
      <formula>G1331 = "Pendente"</formula>
    </cfRule>
    <cfRule type="expression" dxfId="348" priority="1674">
      <formula>G1331 = "Vendido"</formula>
    </cfRule>
  </conditionalFormatting>
  <conditionalFormatting sqref="G1332">
    <cfRule type="expression" dxfId="347" priority="1651">
      <formula>G1332 = "Pedidos"</formula>
    </cfRule>
    <cfRule type="expression" dxfId="346" priority="1649">
      <formula>G1332 = "Tem que compra"</formula>
    </cfRule>
    <cfRule type="expression" dxfId="345" priority="1650">
      <formula>G1332 = "Atacado"</formula>
    </cfRule>
    <cfRule type="expression" dxfId="344" priority="1654">
      <formula>G1332 = "Vendido"</formula>
    </cfRule>
    <cfRule type="expression" dxfId="343" priority="1653">
      <formula>G1332 = "Pendente"</formula>
    </cfRule>
    <cfRule type="expression" dxfId="342" priority="1652">
      <formula>G1332 = "Estoque"</formula>
    </cfRule>
  </conditionalFormatting>
  <conditionalFormatting sqref="G1333">
    <cfRule type="expression" dxfId="341" priority="1632">
      <formula>G1333 = "Estoque"</formula>
    </cfRule>
    <cfRule type="expression" dxfId="340" priority="1633">
      <formula>G1333 = "Pendente"</formula>
    </cfRule>
    <cfRule type="expression" dxfId="339" priority="1629">
      <formula>G1333 = "Tem que compra"</formula>
    </cfRule>
    <cfRule type="expression" dxfId="338" priority="1630">
      <formula>G1333 = "Atacado"</formula>
    </cfRule>
    <cfRule type="expression" dxfId="337" priority="1631">
      <formula>G1333 = "Pedidos"</formula>
    </cfRule>
    <cfRule type="expression" dxfId="336" priority="1634">
      <formula>G1333 = "Vendido"</formula>
    </cfRule>
  </conditionalFormatting>
  <conditionalFormatting sqref="G1334">
    <cfRule type="expression" dxfId="335" priority="1610">
      <formula>G1334 = "Atacado"</formula>
    </cfRule>
    <cfRule type="expression" dxfId="334" priority="1609">
      <formula>G1334 = "Tem que compra"</formula>
    </cfRule>
    <cfRule type="expression" dxfId="333" priority="1612">
      <formula>G1334 = "Estoque"</formula>
    </cfRule>
    <cfRule type="expression" dxfId="332" priority="1611">
      <formula>G1334 = "Pedidos"</formula>
    </cfRule>
    <cfRule type="expression" dxfId="331" priority="1614">
      <formula>G1334 = "Vendido"</formula>
    </cfRule>
    <cfRule type="expression" dxfId="330" priority="1613">
      <formula>G1334 = "Pendente"</formula>
    </cfRule>
  </conditionalFormatting>
  <conditionalFormatting sqref="G1335">
    <cfRule type="expression" dxfId="329" priority="1593">
      <formula>G1335 = "Pendente"</formula>
    </cfRule>
    <cfRule type="expression" dxfId="328" priority="1594">
      <formula>G1335 = "Vendido"</formula>
    </cfRule>
    <cfRule type="expression" dxfId="327" priority="1590">
      <formula>G1335 = "Atacado"</formula>
    </cfRule>
    <cfRule type="expression" dxfId="326" priority="1592">
      <formula>G1335 = "Estoque"</formula>
    </cfRule>
    <cfRule type="expression" dxfId="325" priority="1591">
      <formula>G1335 = "Pedidos"</formula>
    </cfRule>
    <cfRule type="expression" dxfId="324" priority="1589">
      <formula>G1335 = "Tem que compra"</formula>
    </cfRule>
  </conditionalFormatting>
  <conditionalFormatting sqref="G1336:G1338">
    <cfRule type="expression" dxfId="323" priority="1574">
      <formula>G1336 = "Vendido"</formula>
    </cfRule>
    <cfRule type="expression" dxfId="322" priority="1573">
      <formula>G1336 = "Pendente"</formula>
    </cfRule>
    <cfRule type="expression" dxfId="321" priority="1572">
      <formula>G1336 = "Estoque"</formula>
    </cfRule>
    <cfRule type="expression" dxfId="320" priority="1571">
      <formula>G1336 = "Pedidos"</formula>
    </cfRule>
    <cfRule type="expression" dxfId="319" priority="1570">
      <formula>G1336 = "Atacado"</formula>
    </cfRule>
    <cfRule type="expression" dxfId="318" priority="1569">
      <formula>G1336 = "Tem que compra"</formula>
    </cfRule>
  </conditionalFormatting>
  <conditionalFormatting sqref="G1339">
    <cfRule type="expression" dxfId="317" priority="1550">
      <formula>G1339 = "Atacado"</formula>
    </cfRule>
    <cfRule type="expression" dxfId="316" priority="1551">
      <formula>G1339 = "Pedidos"</formula>
    </cfRule>
    <cfRule type="expression" dxfId="315" priority="1553">
      <formula>G1339 = "Pendente"</formula>
    </cfRule>
    <cfRule type="expression" dxfId="314" priority="1554">
      <formula>G1339 = "Vendido"</formula>
    </cfRule>
    <cfRule type="expression" dxfId="313" priority="1552">
      <formula>G1339 = "Estoque"</formula>
    </cfRule>
    <cfRule type="expression" dxfId="312" priority="1549">
      <formula>G1339 = "Tem que compra"</formula>
    </cfRule>
  </conditionalFormatting>
  <conditionalFormatting sqref="G1340">
    <cfRule type="expression" dxfId="311" priority="131">
      <formula>G1340 ="Entregar"</formula>
    </cfRule>
    <cfRule type="expression" dxfId="310" priority="132">
      <formula>G1340 = "Tem que compra"</formula>
    </cfRule>
    <cfRule type="expression" dxfId="309" priority="136">
      <formula>G1340 = "Pendente"</formula>
    </cfRule>
    <cfRule type="expression" dxfId="308" priority="133">
      <formula>G1340 = "Atacado"</formula>
    </cfRule>
    <cfRule type="expression" dxfId="307" priority="137">
      <formula>G1340 = "Vendido"</formula>
    </cfRule>
    <cfRule type="expression" dxfId="306" priority="135">
      <formula>G1340 = "Estoque"</formula>
    </cfRule>
    <cfRule type="expression" dxfId="305" priority="134">
      <formula>G1340 = "Pedidos"</formula>
    </cfRule>
  </conditionalFormatting>
  <conditionalFormatting sqref="G1341">
    <cfRule type="expression" dxfId="304" priority="168">
      <formula>G1341 = "Vendido"</formula>
    </cfRule>
    <cfRule type="expression" dxfId="303" priority="167">
      <formula>G1341 = "Pendente"</formula>
    </cfRule>
    <cfRule type="expression" dxfId="302" priority="166">
      <formula>G1341 = "Estoque"</formula>
    </cfRule>
    <cfRule type="expression" dxfId="301" priority="165">
      <formula>G1341 = "Pedidos"</formula>
    </cfRule>
    <cfRule type="expression" dxfId="300" priority="164">
      <formula>G1341 = "Atacado"</formula>
    </cfRule>
    <cfRule type="expression" dxfId="299" priority="163">
      <formula>G1341 = "Tem que compra"</formula>
    </cfRule>
    <cfRule type="expression" dxfId="298" priority="162">
      <formula>G1341 ="Entregar"</formula>
    </cfRule>
  </conditionalFormatting>
  <conditionalFormatting sqref="G1342">
    <cfRule type="expression" dxfId="297" priority="1519">
      <formula>G1342 = "Atacado"</formula>
    </cfRule>
    <cfRule type="expression" dxfId="296" priority="1518">
      <formula>G1342 = "Tem que compra"</formula>
    </cfRule>
    <cfRule type="expression" dxfId="295" priority="1521">
      <formula>G1342 = "Estoque"</formula>
    </cfRule>
    <cfRule type="expression" dxfId="294" priority="1523">
      <formula>G1342 = "Vendido"</formula>
    </cfRule>
    <cfRule type="expression" dxfId="293" priority="1522">
      <formula>G1342 = "Pendente"</formula>
    </cfRule>
    <cfRule type="expression" dxfId="292" priority="1520">
      <formula>G1342 = "Pedidos"</formula>
    </cfRule>
  </conditionalFormatting>
  <conditionalFormatting sqref="G1342:G1357 G1364:G1371">
    <cfRule type="expression" dxfId="291" priority="1417">
      <formula>G1342 ="Entregar"</formula>
    </cfRule>
    <cfRule type="expression" dxfId="290" priority="1415">
      <formula>G1342 ="Loja"</formula>
    </cfRule>
  </conditionalFormatting>
  <conditionalFormatting sqref="G1344">
    <cfRule type="expression" dxfId="289" priority="1491">
      <formula>G1344 = "Pedidos"</formula>
    </cfRule>
    <cfRule type="expression" dxfId="288" priority="1490">
      <formula>G1344 = "Atacado"</formula>
    </cfRule>
    <cfRule type="expression" dxfId="287" priority="1489">
      <formula>G1344 = "Tem que compra"</formula>
    </cfRule>
    <cfRule type="expression" dxfId="286" priority="1494">
      <formula>G1344 = "Vendido"</formula>
    </cfRule>
    <cfRule type="expression" dxfId="285" priority="1493">
      <formula>G1344 = "Pendente"</formula>
    </cfRule>
    <cfRule type="expression" dxfId="284" priority="1492">
      <formula>G1344 = "Estoque"</formula>
    </cfRule>
  </conditionalFormatting>
  <conditionalFormatting sqref="G1345">
    <cfRule type="expression" dxfId="283" priority="1509">
      <formula>G1345 = "Tem que compra"</formula>
    </cfRule>
    <cfRule type="expression" dxfId="282" priority="1511">
      <formula>G1345 = "Pedidos"</formula>
    </cfRule>
    <cfRule type="expression" dxfId="281" priority="1510">
      <formula>G1345 = "Atacado"</formula>
    </cfRule>
    <cfRule type="expression" dxfId="280" priority="1512">
      <formula>G1345 = "Estoque"</formula>
    </cfRule>
    <cfRule type="expression" dxfId="279" priority="1513">
      <formula>G1345 = "Pendente"</formula>
    </cfRule>
    <cfRule type="expression" dxfId="278" priority="1514">
      <formula>G1345 = "Vendido"</formula>
    </cfRule>
  </conditionalFormatting>
  <conditionalFormatting sqref="G1346">
    <cfRule type="expression" dxfId="277" priority="1469">
      <formula>G1346 = "Tem que compra"</formula>
    </cfRule>
    <cfRule type="expression" dxfId="276" priority="1470">
      <formula>G1346 = "Atacado"</formula>
    </cfRule>
    <cfRule type="expression" dxfId="275" priority="1473">
      <formula>G1346 = "Pendente"</formula>
    </cfRule>
    <cfRule type="expression" dxfId="274" priority="1471">
      <formula>G1346 = "Pedidos"</formula>
    </cfRule>
    <cfRule type="expression" dxfId="273" priority="1472">
      <formula>G1346 = "Estoque"</formula>
    </cfRule>
    <cfRule type="expression" dxfId="272" priority="1474">
      <formula>G1346 = "Vendido"</formula>
    </cfRule>
  </conditionalFormatting>
  <conditionalFormatting sqref="G1347">
    <cfRule type="expression" dxfId="271" priority="1449">
      <formula>G1347 = "Tem que compra"</formula>
    </cfRule>
    <cfRule type="expression" dxfId="270" priority="1452">
      <formula>G1347 = "Estoque"</formula>
    </cfRule>
    <cfRule type="expression" dxfId="269" priority="1451">
      <formula>G1347 = "Pedidos"</formula>
    </cfRule>
    <cfRule type="expression" dxfId="268" priority="1450">
      <formula>G1347 = "Atacado"</formula>
    </cfRule>
    <cfRule type="expression" dxfId="267" priority="1454">
      <formula>G1347 = "Vendido"</formula>
    </cfRule>
    <cfRule type="expression" dxfId="266" priority="1453">
      <formula>G1347 = "Pendente"</formula>
    </cfRule>
  </conditionalFormatting>
  <conditionalFormatting sqref="G1350 G1354 G1358 G1362">
    <cfRule type="expression" dxfId="265" priority="1399">
      <formula>G1350 = "Atacado"</formula>
    </cfRule>
    <cfRule type="expression" dxfId="264" priority="1398">
      <formula>G1350 = "Tem que compra"</formula>
    </cfRule>
    <cfRule type="expression" dxfId="263" priority="1403">
      <formula>G1350 = "Vendido"</formula>
    </cfRule>
    <cfRule type="expression" dxfId="262" priority="1402">
      <formula>G1350 = "Pendente"</formula>
    </cfRule>
    <cfRule type="expression" dxfId="261" priority="1401">
      <formula>G1350 = "Estoque"</formula>
    </cfRule>
    <cfRule type="expression" dxfId="260" priority="1400">
      <formula>G1350 = "Pedidos"</formula>
    </cfRule>
  </conditionalFormatting>
  <conditionalFormatting sqref="G1350 G1354">
    <cfRule type="expression" dxfId="259" priority="1397">
      <formula>G1350 ="Entregar"</formula>
    </cfRule>
    <cfRule type="expression" dxfId="258" priority="1395">
      <formula>G1350 ="Loja"</formula>
    </cfRule>
  </conditionalFormatting>
  <conditionalFormatting sqref="G1358:G1365">
    <cfRule type="expression" dxfId="257" priority="1315">
      <formula>G1358 ="Loja"</formula>
    </cfRule>
    <cfRule type="expression" dxfId="256" priority="1317">
      <formula>G1358 ="Entregar"</formula>
    </cfRule>
  </conditionalFormatting>
  <conditionalFormatting sqref="G1359">
    <cfRule type="expression" dxfId="255" priority="1381">
      <formula>G1359 = "Estoque"</formula>
    </cfRule>
    <cfRule type="expression" dxfId="254" priority="1380">
      <formula>G1359 = "Pedidos"</formula>
    </cfRule>
    <cfRule type="expression" dxfId="253" priority="1379">
      <formula>G1359 = "Atacado"</formula>
    </cfRule>
    <cfRule type="expression" dxfId="252" priority="1378">
      <formula>G1359 = "Tem que compra"</formula>
    </cfRule>
    <cfRule type="expression" dxfId="251" priority="1383">
      <formula>G1359 = "Vendido"</formula>
    </cfRule>
    <cfRule type="expression" dxfId="250" priority="1382">
      <formula>G1359 = "Pendente"</formula>
    </cfRule>
  </conditionalFormatting>
  <conditionalFormatting sqref="G1360">
    <cfRule type="expression" dxfId="249" priority="1363">
      <formula>G1360 = "Vendido"</formula>
    </cfRule>
    <cfRule type="expression" dxfId="248" priority="1358">
      <formula>G1360 = "Tem que compra"</formula>
    </cfRule>
    <cfRule type="expression" dxfId="247" priority="1360">
      <formula>G1360 = "Pedidos"</formula>
    </cfRule>
    <cfRule type="expression" dxfId="246" priority="1361">
      <formula>G1360 = "Estoque"</formula>
    </cfRule>
    <cfRule type="expression" dxfId="245" priority="1362">
      <formula>G1360 = "Pendente"</formula>
    </cfRule>
    <cfRule type="expression" dxfId="244" priority="1359">
      <formula>G1360 = "Atacado"</formula>
    </cfRule>
  </conditionalFormatting>
  <conditionalFormatting sqref="G1361">
    <cfRule type="expression" dxfId="243" priority="1338">
      <formula>G1361 = "Tem que compra"</formula>
    </cfRule>
    <cfRule type="expression" dxfId="242" priority="1343">
      <formula>G1361 = "Vendido"</formula>
    </cfRule>
    <cfRule type="expression" dxfId="241" priority="1342">
      <formula>G1361 = "Pendente"</formula>
    </cfRule>
    <cfRule type="expression" dxfId="240" priority="1341">
      <formula>G1361 = "Estoque"</formula>
    </cfRule>
    <cfRule type="expression" dxfId="239" priority="1339">
      <formula>G1361 = "Atacado"</formula>
    </cfRule>
    <cfRule type="expression" dxfId="238" priority="1340">
      <formula>G1361 = "Pedidos"</formula>
    </cfRule>
  </conditionalFormatting>
  <conditionalFormatting sqref="G1363:G1365">
    <cfRule type="expression" dxfId="237" priority="1323">
      <formula>G1363 = "Vendido"</formula>
    </cfRule>
    <cfRule type="expression" dxfId="236" priority="1322">
      <formula>G1363 = "Pendente"</formula>
    </cfRule>
    <cfRule type="expression" dxfId="235" priority="1321">
      <formula>G1363 = "Estoque"</formula>
    </cfRule>
    <cfRule type="expression" dxfId="234" priority="1320">
      <formula>G1363 = "Pedidos"</formula>
    </cfRule>
    <cfRule type="expression" dxfId="233" priority="1319">
      <formula>G1363 = "Atacado"</formula>
    </cfRule>
    <cfRule type="expression" dxfId="232" priority="1318">
      <formula>G1363 = "Tem que compra"</formula>
    </cfRule>
  </conditionalFormatting>
  <conditionalFormatting sqref="G1364:G1365 G1348:G1357">
    <cfRule type="expression" dxfId="231" priority="1420">
      <formula>G1348 = "Pedidos"</formula>
    </cfRule>
    <cfRule type="expression" dxfId="230" priority="1418">
      <formula>G1348 = "Tem que compra"</formula>
    </cfRule>
    <cfRule type="expression" dxfId="229" priority="1421">
      <formula>G1348 = "Estoque"</formula>
    </cfRule>
    <cfRule type="expression" dxfId="228" priority="1422">
      <formula>G1348 = "Pendente"</formula>
    </cfRule>
    <cfRule type="expression" dxfId="227" priority="1423">
      <formula>G1348 = "Vendido"</formula>
    </cfRule>
    <cfRule type="expression" dxfId="226" priority="1419">
      <formula>G1348 = "Atacado"</formula>
    </cfRule>
  </conditionalFormatting>
  <conditionalFormatting sqref="G1368 G1370">
    <cfRule type="expression" dxfId="225" priority="1280">
      <formula>G1368 = "Pedidos"</formula>
    </cfRule>
    <cfRule type="expression" dxfId="224" priority="1283">
      <formula>G1368 = "Vendido"</formula>
    </cfRule>
    <cfRule type="expression" dxfId="223" priority="1282">
      <formula>G1368 = "Pendente"</formula>
    </cfRule>
    <cfRule type="expression" dxfId="222" priority="1281">
      <formula>G1368 = "Estoque"</formula>
    </cfRule>
    <cfRule type="expression" dxfId="221" priority="1279">
      <formula>G1368 = "Atacado"</formula>
    </cfRule>
    <cfRule type="expression" dxfId="220" priority="1278">
      <formula>G1368 = "Tem que compra"</formula>
    </cfRule>
    <cfRule type="expression" dxfId="219" priority="1277">
      <formula>G1368 ="Entregar"</formula>
    </cfRule>
    <cfRule type="expression" dxfId="218" priority="1275">
      <formula>G1368 ="Loja"</formula>
    </cfRule>
  </conditionalFormatting>
  <conditionalFormatting sqref="G1372:G1374">
    <cfRule type="expression" dxfId="217" priority="1274">
      <formula>G1372 = "Vendido"</formula>
    </cfRule>
    <cfRule type="expression" dxfId="216" priority="1273">
      <formula>G1372 = "Pendente"</formula>
    </cfRule>
    <cfRule type="expression" dxfId="215" priority="1272">
      <formula>G1372 = "Estoque"</formula>
    </cfRule>
    <cfRule type="expression" dxfId="214" priority="1271">
      <formula>G1372 = "Pedidos"</formula>
    </cfRule>
    <cfRule type="expression" dxfId="213" priority="1270">
      <formula>G1372 = "Atacado"</formula>
    </cfRule>
    <cfRule type="expression" dxfId="212" priority="1269">
      <formula>G1372 = "Tem que compra"</formula>
    </cfRule>
  </conditionalFormatting>
  <conditionalFormatting sqref="G1372:G1470">
    <cfRule type="expression" dxfId="211" priority="314">
      <formula>G1372 ="Entregar"</formula>
    </cfRule>
  </conditionalFormatting>
  <conditionalFormatting sqref="G1372:G1048576">
    <cfRule type="expression" dxfId="210" priority="201">
      <formula>G1372 ="Loja"</formula>
    </cfRule>
  </conditionalFormatting>
  <conditionalFormatting sqref="G1375">
    <cfRule type="expression" dxfId="209" priority="1254">
      <formula>G1375 = "Vendido"</formula>
    </cfRule>
    <cfRule type="expression" dxfId="208" priority="1253">
      <formula>G1375 = "Pendente"</formula>
    </cfRule>
    <cfRule type="expression" dxfId="207" priority="1252">
      <formula>G1375 = "Estoque"</formula>
    </cfRule>
    <cfRule type="expression" dxfId="206" priority="1251">
      <formula>G1375 = "Pedidos"</formula>
    </cfRule>
    <cfRule type="expression" dxfId="205" priority="1250">
      <formula>G1375 = "Atacado"</formula>
    </cfRule>
    <cfRule type="expression" dxfId="204" priority="1249">
      <formula>G1375 = "Tem que compra"</formula>
    </cfRule>
  </conditionalFormatting>
  <conditionalFormatting sqref="G1376:G1378">
    <cfRule type="expression" dxfId="203" priority="1223">
      <formula>G1376 = "Vendido"</formula>
    </cfRule>
    <cfRule type="expression" dxfId="202" priority="1222">
      <formula>G1376 = "Pendente"</formula>
    </cfRule>
    <cfRule type="expression" dxfId="201" priority="1221">
      <formula>G1376 = "Estoque"</formula>
    </cfRule>
    <cfRule type="expression" dxfId="200" priority="1220">
      <formula>G1376 = "Pedidos"</formula>
    </cfRule>
    <cfRule type="expression" dxfId="199" priority="1219">
      <formula>G1376 = "Atacado"</formula>
    </cfRule>
    <cfRule type="expression" dxfId="198" priority="1218">
      <formula>G1376 = "Tem que compra"</formula>
    </cfRule>
  </conditionalFormatting>
  <conditionalFormatting sqref="G1379">
    <cfRule type="expression" dxfId="197" priority="1203">
      <formula>G1379 = "Vendido"</formula>
    </cfRule>
    <cfRule type="expression" dxfId="196" priority="1202">
      <formula>G1379 = "Pendente"</formula>
    </cfRule>
    <cfRule type="expression" dxfId="195" priority="1201">
      <formula>G1379 = "Estoque"</formula>
    </cfRule>
    <cfRule type="expression" dxfId="194" priority="1200">
      <formula>G1379 = "Pedidos"</formula>
    </cfRule>
    <cfRule type="expression" dxfId="193" priority="1199">
      <formula>G1379 = "Atacado"</formula>
    </cfRule>
    <cfRule type="expression" dxfId="192" priority="1198">
      <formula>G1379 = "Tem que compra"</formula>
    </cfRule>
  </conditionalFormatting>
  <conditionalFormatting sqref="G1380">
    <cfRule type="expression" dxfId="191" priority="1194">
      <formula>G1380 = "Vendido"</formula>
    </cfRule>
    <cfRule type="expression" dxfId="190" priority="1193">
      <formula>G1380 = "Pendente"</formula>
    </cfRule>
    <cfRule type="expression" dxfId="189" priority="1192">
      <formula>G1380 = "Estoque"</formula>
    </cfRule>
    <cfRule type="expression" dxfId="188" priority="1191">
      <formula>G1380 = "Pedidos"</formula>
    </cfRule>
    <cfRule type="expression" dxfId="187" priority="1190">
      <formula>G1380 = "Atacado"</formula>
    </cfRule>
    <cfRule type="expression" dxfId="186" priority="1189">
      <formula>G1380 = "Tem que compra"</formula>
    </cfRule>
  </conditionalFormatting>
  <conditionalFormatting sqref="G1381">
    <cfRule type="expression" dxfId="185" priority="1174">
      <formula>G1381 = "Vendido"</formula>
    </cfRule>
    <cfRule type="expression" dxfId="184" priority="1173">
      <formula>G1381 = "Pendente"</formula>
    </cfRule>
    <cfRule type="expression" dxfId="183" priority="1172">
      <formula>G1381 = "Estoque"</formula>
    </cfRule>
    <cfRule type="expression" dxfId="182" priority="1171">
      <formula>G1381 = "Pedidos"</formula>
    </cfRule>
    <cfRule type="expression" dxfId="181" priority="1170">
      <formula>G1381 = "Atacado"</formula>
    </cfRule>
    <cfRule type="expression" dxfId="180" priority="1169">
      <formula>G1381 = "Tem que compra"</formula>
    </cfRule>
  </conditionalFormatting>
  <conditionalFormatting sqref="G1382">
    <cfRule type="expression" dxfId="179" priority="1154">
      <formula>G1382 = "Vendido"</formula>
    </cfRule>
    <cfRule type="expression" dxfId="178" priority="1153">
      <formula>G1382 = "Pendente"</formula>
    </cfRule>
    <cfRule type="expression" dxfId="177" priority="1152">
      <formula>G1382 = "Estoque"</formula>
    </cfRule>
    <cfRule type="expression" dxfId="176" priority="1151">
      <formula>G1382 = "Pedidos"</formula>
    </cfRule>
    <cfRule type="expression" dxfId="175" priority="1150">
      <formula>G1382 = "Atacado"</formula>
    </cfRule>
    <cfRule type="expression" dxfId="174" priority="1149">
      <formula>G1382 = "Tem que compra"</formula>
    </cfRule>
  </conditionalFormatting>
  <conditionalFormatting sqref="G1383:G1387">
    <cfRule type="expression" dxfId="173" priority="1134">
      <formula>G1383 = "Vendido"</formula>
    </cfRule>
    <cfRule type="expression" dxfId="172" priority="1133">
      <formula>G1383 = "Pendente"</formula>
    </cfRule>
    <cfRule type="expression" dxfId="171" priority="1132">
      <formula>G1383 = "Estoque"</formula>
    </cfRule>
    <cfRule type="expression" dxfId="170" priority="1131">
      <formula>G1383 = "Pedidos"</formula>
    </cfRule>
    <cfRule type="expression" dxfId="169" priority="1130">
      <formula>G1383 = "Atacado"</formula>
    </cfRule>
    <cfRule type="expression" dxfId="168" priority="1129">
      <formula>G1383 = "Tem que compra"</formula>
    </cfRule>
  </conditionalFormatting>
  <conditionalFormatting sqref="G1388">
    <cfRule type="expression" dxfId="167" priority="1087">
      <formula>G1388 = "Pedidos"</formula>
    </cfRule>
    <cfRule type="expression" dxfId="166" priority="1090">
      <formula>G1388 = "Vendido"</formula>
    </cfRule>
    <cfRule type="expression" dxfId="165" priority="1089">
      <formula>G1388 = "Pendente"</formula>
    </cfRule>
    <cfRule type="expression" dxfId="164" priority="1088">
      <formula>G1388 = "Estoque"</formula>
    </cfRule>
    <cfRule type="expression" dxfId="163" priority="1086">
      <formula>G1388 = "Atacado"</formula>
    </cfRule>
    <cfRule type="expression" dxfId="162" priority="1085">
      <formula>G1388 = "Tem que compra"</formula>
    </cfRule>
  </conditionalFormatting>
  <conditionalFormatting sqref="G1389:G1391">
    <cfRule type="expression" dxfId="161" priority="1081">
      <formula>G1389 = "Pendente"</formula>
    </cfRule>
    <cfRule type="expression" dxfId="160" priority="1080">
      <formula>G1389 = "Estoque"</formula>
    </cfRule>
    <cfRule type="expression" dxfId="159" priority="1079">
      <formula>G1389 = "Pedidos"</formula>
    </cfRule>
    <cfRule type="expression" dxfId="158" priority="1078">
      <formula>G1389 = "Atacado"</formula>
    </cfRule>
    <cfRule type="expression" dxfId="157" priority="1077">
      <formula>G1389 = "Tem que compra"</formula>
    </cfRule>
    <cfRule type="expression" dxfId="156" priority="1082">
      <formula>G1389 = "Vendido"</formula>
    </cfRule>
  </conditionalFormatting>
  <conditionalFormatting sqref="G1392">
    <cfRule type="expression" dxfId="155" priority="1074">
      <formula>G1392 = "Vendido"</formula>
    </cfRule>
    <cfRule type="expression" dxfId="154" priority="1073">
      <formula>G1392 = "Pendente"</formula>
    </cfRule>
    <cfRule type="expression" dxfId="153" priority="1072">
      <formula>G1392 = "Estoque"</formula>
    </cfRule>
    <cfRule type="expression" dxfId="152" priority="1071">
      <formula>G1392 = "Pedidos"</formula>
    </cfRule>
    <cfRule type="expression" dxfId="151" priority="1070">
      <formula>G1392 = "Atacado"</formula>
    </cfRule>
    <cfRule type="expression" dxfId="150" priority="1069">
      <formula>G1392 = "Tem que compra"</formula>
    </cfRule>
  </conditionalFormatting>
  <conditionalFormatting sqref="G1394">
    <cfRule type="expression" dxfId="149" priority="449">
      <formula>G1394 = "Pendente"</formula>
    </cfRule>
    <cfRule type="expression" dxfId="148" priority="448">
      <formula>G1394 = "Estoque"</formula>
    </cfRule>
    <cfRule type="expression" dxfId="147" priority="447">
      <formula>G1394 = "Pedidos"</formula>
    </cfRule>
    <cfRule type="expression" dxfId="146" priority="446">
      <formula>G1394 = "Atacado"</formula>
    </cfRule>
    <cfRule type="expression" dxfId="145" priority="445">
      <formula>G1394 = "Tem que compra"</formula>
    </cfRule>
    <cfRule type="expression" dxfId="144" priority="450">
      <formula>G1394 = "Vendido"</formula>
    </cfRule>
  </conditionalFormatting>
  <conditionalFormatting sqref="G1395">
    <cfRule type="expression" dxfId="143" priority="1042">
      <formula>G1395 = "Vendido"</formula>
    </cfRule>
    <cfRule type="expression" dxfId="142" priority="1041">
      <formula>G1395 = "Pendente"</formula>
    </cfRule>
    <cfRule type="expression" dxfId="141" priority="1040">
      <formula>G1395 = "Estoque"</formula>
    </cfRule>
    <cfRule type="expression" dxfId="140" priority="1039">
      <formula>G1395 = "Pedidos"</formula>
    </cfRule>
    <cfRule type="expression" dxfId="139" priority="1038">
      <formula>G1395 = "Atacado"</formula>
    </cfRule>
    <cfRule type="expression" dxfId="138" priority="1037">
      <formula>G1395 = "Tem que compra"</formula>
    </cfRule>
  </conditionalFormatting>
  <conditionalFormatting sqref="G1400">
    <cfRule type="expression" dxfId="137" priority="974">
      <formula>G1400 = "Vendido"</formula>
    </cfRule>
    <cfRule type="expression" dxfId="136" priority="973">
      <formula>G1400 = "Pendente"</formula>
    </cfRule>
    <cfRule type="expression" dxfId="135" priority="972">
      <formula>G1400 = "Estoque"</formula>
    </cfRule>
    <cfRule type="expression" dxfId="134" priority="971">
      <formula>G1400 = "Pedidos"</formula>
    </cfRule>
    <cfRule type="expression" dxfId="133" priority="970">
      <formula>G1400 = "Atacado"</formula>
    </cfRule>
    <cfRule type="expression" dxfId="132" priority="969">
      <formula>G1400 = "Tem que compra"</formula>
    </cfRule>
  </conditionalFormatting>
  <conditionalFormatting sqref="G1401">
    <cfRule type="expression" dxfId="131" priority="955">
      <formula>G1401 = "Vendido"</formula>
    </cfRule>
    <cfRule type="expression" dxfId="130" priority="954">
      <formula>G1401 = "Pendente"</formula>
    </cfRule>
    <cfRule type="expression" dxfId="129" priority="953">
      <formula>G1401 = "Estoque"</formula>
    </cfRule>
    <cfRule type="expression" dxfId="128" priority="952">
      <formula>G1401 = "Pedidos"</formula>
    </cfRule>
    <cfRule type="expression" dxfId="127" priority="951">
      <formula>G1401 = "Atacado"</formula>
    </cfRule>
    <cfRule type="expression" dxfId="126" priority="950">
      <formula>G1401 = "Tem que compra"</formula>
    </cfRule>
  </conditionalFormatting>
  <conditionalFormatting sqref="G1402">
    <cfRule type="expression" dxfId="125" priority="915">
      <formula>G1402 = "Vendido"</formula>
    </cfRule>
    <cfRule type="expression" dxfId="124" priority="914">
      <formula>G1402 = "Pendente"</formula>
    </cfRule>
    <cfRule type="expression" dxfId="123" priority="913">
      <formula>G1402 = "Estoque"</formula>
    </cfRule>
    <cfRule type="expression" dxfId="122" priority="912">
      <formula>G1402 = "Pedidos"</formula>
    </cfRule>
    <cfRule type="expression" dxfId="121" priority="911">
      <formula>G1402 = "Atacado"</formula>
    </cfRule>
    <cfRule type="expression" dxfId="120" priority="910">
      <formula>G1402 = "Tem que compra"</formula>
    </cfRule>
  </conditionalFormatting>
  <conditionalFormatting sqref="G1403">
    <cfRule type="expression" dxfId="119" priority="935">
      <formula>G1403 = "Vendido"</formula>
    </cfRule>
    <cfRule type="expression" dxfId="118" priority="934">
      <formula>G1403 = "Pendente"</formula>
    </cfRule>
    <cfRule type="expression" dxfId="117" priority="933">
      <formula>G1403 = "Estoque"</formula>
    </cfRule>
    <cfRule type="expression" dxfId="116" priority="932">
      <formula>G1403 = "Pedidos"</formula>
    </cfRule>
    <cfRule type="expression" dxfId="115" priority="931">
      <formula>G1403 = "Atacado"</formula>
    </cfRule>
    <cfRule type="expression" dxfId="114" priority="930">
      <formula>G1403 = "Tem que compra"</formula>
    </cfRule>
  </conditionalFormatting>
  <conditionalFormatting sqref="G1404:G1409">
    <cfRule type="expression" dxfId="113" priority="894">
      <formula>G1404 = "Vendido"</formula>
    </cfRule>
    <cfRule type="expression" dxfId="112" priority="893">
      <formula>G1404 = "Pendente"</formula>
    </cfRule>
    <cfRule type="expression" dxfId="111" priority="892">
      <formula>G1404 = "Estoque"</formula>
    </cfRule>
    <cfRule type="expression" dxfId="110" priority="891">
      <formula>G1404 = "Pedidos"</formula>
    </cfRule>
    <cfRule type="expression" dxfId="109" priority="890">
      <formula>G1404 = "Atacado"</formula>
    </cfRule>
    <cfRule type="expression" dxfId="108" priority="889">
      <formula>G1404 = "Tem que compra"</formula>
    </cfRule>
  </conditionalFormatting>
  <conditionalFormatting sqref="G1410">
    <cfRule type="expression" dxfId="107" priority="874">
      <formula>G1410 = "Vendido"</formula>
    </cfRule>
    <cfRule type="expression" dxfId="106" priority="873">
      <formula>G1410 = "Pendente"</formula>
    </cfRule>
    <cfRule type="expression" dxfId="105" priority="872">
      <formula>G1410 = "Estoque"</formula>
    </cfRule>
    <cfRule type="expression" dxfId="104" priority="871">
      <formula>G1410 = "Pedidos"</formula>
    </cfRule>
    <cfRule type="expression" dxfId="103" priority="870">
      <formula>G1410 = "Atacado"</formula>
    </cfRule>
    <cfRule type="expression" dxfId="102" priority="869">
      <formula>G1410 = "Tem que compra"</formula>
    </cfRule>
  </conditionalFormatting>
  <conditionalFormatting sqref="G1411">
    <cfRule type="expression" dxfId="101" priority="854">
      <formula>G1411 = "Vendido"</formula>
    </cfRule>
    <cfRule type="expression" dxfId="100" priority="853">
      <formula>G1411 = "Pendente"</formula>
    </cfRule>
    <cfRule type="expression" dxfId="99" priority="852">
      <formula>G1411 = "Estoque"</formula>
    </cfRule>
    <cfRule type="expression" dxfId="98" priority="851">
      <formula>G1411 = "Pedidos"</formula>
    </cfRule>
    <cfRule type="expression" dxfId="97" priority="850">
      <formula>G1411 = "Atacado"</formula>
    </cfRule>
    <cfRule type="expression" dxfId="96" priority="849">
      <formula>G1411 = "Tem que compra"</formula>
    </cfRule>
  </conditionalFormatting>
  <conditionalFormatting sqref="G1412">
    <cfRule type="expression" dxfId="95" priority="833">
      <formula>G1412 = "Pendente"</formula>
    </cfRule>
    <cfRule type="expression" dxfId="94" priority="834">
      <formula>G1412 = "Vendido"</formula>
    </cfRule>
    <cfRule type="expression" dxfId="93" priority="832">
      <formula>G1412 = "Estoque"</formula>
    </cfRule>
    <cfRule type="expression" dxfId="92" priority="831">
      <formula>G1412 = "Pedidos"</formula>
    </cfRule>
    <cfRule type="expression" dxfId="91" priority="830">
      <formula>G1412 = "Atacado"</formula>
    </cfRule>
    <cfRule type="expression" dxfId="90" priority="829">
      <formula>G1412 = "Tem que compra"</formula>
    </cfRule>
  </conditionalFormatting>
  <conditionalFormatting sqref="G1413">
    <cfRule type="expression" dxfId="89" priority="785">
      <formula>G1413 = "Tem que compra"</formula>
    </cfRule>
    <cfRule type="expression" dxfId="88" priority="790">
      <formula>G1413 = "Vendido"</formula>
    </cfRule>
    <cfRule type="expression" dxfId="87" priority="789">
      <formula>G1413 = "Pendente"</formula>
    </cfRule>
    <cfRule type="expression" dxfId="86" priority="788">
      <formula>G1413 = "Estoque"</formula>
    </cfRule>
    <cfRule type="expression" dxfId="85" priority="787">
      <formula>G1413 = "Pedidos"</formula>
    </cfRule>
    <cfRule type="expression" dxfId="84" priority="786">
      <formula>G1413 = "Atacado"</formula>
    </cfRule>
  </conditionalFormatting>
  <conditionalFormatting sqref="G1414:G1416 G1421 G1425">
    <cfRule type="expression" dxfId="83" priority="758">
      <formula>G1414 = "Vendido"</formula>
    </cfRule>
    <cfRule type="expression" dxfId="82" priority="757">
      <formula>G1414 = "Pendente"</formula>
    </cfRule>
    <cfRule type="expression" dxfId="81" priority="756">
      <formula>G1414 = "Estoque"</formula>
    </cfRule>
    <cfRule type="expression" dxfId="80" priority="753">
      <formula>G1414 = "Tem que compra"</formula>
    </cfRule>
    <cfRule type="expression" dxfId="79" priority="755">
      <formula>G1414 = "Pedidos"</formula>
    </cfRule>
    <cfRule type="expression" dxfId="78" priority="754">
      <formula>G1414 = "Atacado"</formula>
    </cfRule>
  </conditionalFormatting>
  <conditionalFormatting sqref="G1417:G1420">
    <cfRule type="expression" dxfId="77" priority="738">
      <formula>G1417 = "Vendido"</formula>
    </cfRule>
    <cfRule type="expression" dxfId="76" priority="736">
      <formula>G1417 = "Estoque"</formula>
    </cfRule>
    <cfRule type="expression" dxfId="75" priority="735">
      <formula>G1417 = "Pedidos"</formula>
    </cfRule>
    <cfRule type="expression" dxfId="74" priority="734">
      <formula>G1417 = "Atacado"</formula>
    </cfRule>
    <cfRule type="expression" dxfId="73" priority="733">
      <formula>G1417 = "Tem que compra"</formula>
    </cfRule>
    <cfRule type="expression" dxfId="72" priority="737">
      <formula>G1417 = "Pendente"</formula>
    </cfRule>
  </conditionalFormatting>
  <conditionalFormatting sqref="G1422">
    <cfRule type="expression" dxfId="71" priority="716">
      <formula>G1422 = "Estoque"</formula>
    </cfRule>
    <cfRule type="expression" dxfId="70" priority="717">
      <formula>G1422 = "Pendente"</formula>
    </cfRule>
    <cfRule type="expression" dxfId="69" priority="715">
      <formula>G1422 = "Pedidos"</formula>
    </cfRule>
    <cfRule type="expression" dxfId="68" priority="714">
      <formula>G1422 = "Atacado"</formula>
    </cfRule>
    <cfRule type="expression" dxfId="67" priority="713">
      <formula>G1422 = "Tem que compra"</formula>
    </cfRule>
    <cfRule type="expression" dxfId="66" priority="718">
      <formula>G1422 = "Vendido"</formula>
    </cfRule>
  </conditionalFormatting>
  <conditionalFormatting sqref="G1423">
    <cfRule type="expression" dxfId="65" priority="695">
      <formula>G1423 = "Pedidos"</formula>
    </cfRule>
    <cfRule type="expression" dxfId="64" priority="696">
      <formula>G1423 = "Estoque"</formula>
    </cfRule>
    <cfRule type="expression" dxfId="63" priority="697">
      <formula>G1423 = "Pendente"</formula>
    </cfRule>
    <cfRule type="expression" dxfId="62" priority="693">
      <formula>G1423 = "Tem que compra"</formula>
    </cfRule>
    <cfRule type="expression" dxfId="61" priority="698">
      <formula>G1423 = "Vendido"</formula>
    </cfRule>
    <cfRule type="expression" dxfId="60" priority="694">
      <formula>G1423 = "Atacado"</formula>
    </cfRule>
  </conditionalFormatting>
  <conditionalFormatting sqref="G1424">
    <cfRule type="expression" dxfId="59" priority="677">
      <formula>G1424 = "Pendente"</formula>
    </cfRule>
    <cfRule type="expression" dxfId="58" priority="676">
      <formula>G1424 = "Estoque"</formula>
    </cfRule>
    <cfRule type="expression" dxfId="57" priority="674">
      <formula>G1424 = "Atacado"</formula>
    </cfRule>
    <cfRule type="expression" dxfId="56" priority="675">
      <formula>G1424 = "Pedidos"</formula>
    </cfRule>
    <cfRule type="expression" dxfId="55" priority="678">
      <formula>G1424 = "Vendido"</formula>
    </cfRule>
    <cfRule type="expression" dxfId="54" priority="673">
      <formula>G1424 = "Tem que compra"</formula>
    </cfRule>
  </conditionalFormatting>
  <conditionalFormatting sqref="G1426">
    <cfRule type="expression" dxfId="53" priority="625">
      <formula>G1426 = "Pendente"</formula>
    </cfRule>
    <cfRule type="expression" dxfId="52" priority="624">
      <formula>G1426 = "Estoque"</formula>
    </cfRule>
    <cfRule type="expression" dxfId="51" priority="622">
      <formula>G1426 = "Atacado"</formula>
    </cfRule>
    <cfRule type="expression" dxfId="50" priority="621">
      <formula>G1426 = "Tem que compra"</formula>
    </cfRule>
    <cfRule type="expression" dxfId="49" priority="623">
      <formula>G1426 = "Pedidos"</formula>
    </cfRule>
    <cfRule type="expression" dxfId="48" priority="626">
      <formula>G1426 = "Vendido"</formula>
    </cfRule>
  </conditionalFormatting>
  <conditionalFormatting sqref="G1427">
    <cfRule type="expression" dxfId="47" priority="592">
      <formula>G1427 = "Estoque"</formula>
    </cfRule>
    <cfRule type="expression" dxfId="46" priority="591">
      <formula>G1427 = "Pedidos"</formula>
    </cfRule>
    <cfRule type="expression" dxfId="45" priority="590">
      <formula>G1427 = "Atacado"</formula>
    </cfRule>
    <cfRule type="expression" dxfId="44" priority="589">
      <formula>G1427 = "Tem que compra"</formula>
    </cfRule>
    <cfRule type="expression" dxfId="43" priority="594">
      <formula>G1427 = "Vendido"</formula>
    </cfRule>
    <cfRule type="expression" dxfId="42" priority="593">
      <formula>G1427 = "Pendente"</formula>
    </cfRule>
  </conditionalFormatting>
  <conditionalFormatting sqref="G1428">
    <cfRule type="expression" dxfId="41" priority="562">
      <formula>G1428 = "Vendido"</formula>
    </cfRule>
    <cfRule type="expression" dxfId="40" priority="560">
      <formula>G1428 = "Estoque"</formula>
    </cfRule>
    <cfRule type="expression" dxfId="39" priority="558">
      <formula>G1428 = "Atacado"</formula>
    </cfRule>
    <cfRule type="expression" dxfId="38" priority="557">
      <formula>G1428 = "Tem que compra"</formula>
    </cfRule>
    <cfRule type="expression" dxfId="37" priority="561">
      <formula>G1428 = "Pendente"</formula>
    </cfRule>
    <cfRule type="expression" dxfId="36" priority="559">
      <formula>G1428 = "Pedidos"</formula>
    </cfRule>
  </conditionalFormatting>
  <conditionalFormatting sqref="G1429:G1451">
    <cfRule type="expression" dxfId="35" priority="517">
      <formula>G1429 = "Tem que compra"</formula>
    </cfRule>
    <cfRule type="expression" dxfId="34" priority="522">
      <formula>G1429 = "Vendido"</formula>
    </cfRule>
    <cfRule type="expression" dxfId="33" priority="521">
      <formula>G1429 = "Pendente"</formula>
    </cfRule>
    <cfRule type="expression" dxfId="32" priority="520">
      <formula>G1429 = "Estoque"</formula>
    </cfRule>
    <cfRule type="expression" dxfId="31" priority="519">
      <formula>G1429 = "Pedidos"</formula>
    </cfRule>
    <cfRule type="expression" dxfId="30" priority="518">
      <formula>G1429 = "Atacado"</formula>
    </cfRule>
  </conditionalFormatting>
  <conditionalFormatting sqref="G1452:G1456">
    <cfRule type="expression" dxfId="29" priority="358">
      <formula>G1452 = "Vendido"</formula>
    </cfRule>
    <cfRule type="expression" dxfId="28" priority="357">
      <formula>G1452 = "Pendente"</formula>
    </cfRule>
    <cfRule type="expression" dxfId="27" priority="356">
      <formula>G1452 = "Estoque"</formula>
    </cfRule>
    <cfRule type="expression" dxfId="26" priority="355">
      <formula>G1452 = "Pedidos"</formula>
    </cfRule>
    <cfRule type="expression" dxfId="25" priority="354">
      <formula>G1452 = "Atacado"</formula>
    </cfRule>
    <cfRule type="expression" dxfId="24" priority="353">
      <formula>G1452 = "Tem que compra"</formula>
    </cfRule>
  </conditionalFormatting>
  <conditionalFormatting sqref="G1457:G1461">
    <cfRule type="expression" dxfId="23" priority="342">
      <formula>G1457 = "Pendente"</formula>
    </cfRule>
    <cfRule type="expression" dxfId="22" priority="341">
      <formula>G1457 = "Estoque"</formula>
    </cfRule>
    <cfRule type="expression" dxfId="21" priority="340">
      <formula>G1457 = "Pedidos"</formula>
    </cfRule>
    <cfRule type="expression" dxfId="20" priority="339">
      <formula>G1457 = "Atacado"</formula>
    </cfRule>
    <cfRule type="expression" dxfId="19" priority="338">
      <formula>G1457 = "Tem que compra"</formula>
    </cfRule>
    <cfRule type="expression" dxfId="18" priority="343">
      <formula>G1457 = "Vendido"</formula>
    </cfRule>
  </conditionalFormatting>
  <conditionalFormatting sqref="G1462:G1466">
    <cfRule type="expression" dxfId="17" priority="326">
      <formula>G1462 = "Estoque"</formula>
    </cfRule>
    <cfRule type="expression" dxfId="16" priority="325">
      <formula>G1462 = "Pedidos"</formula>
    </cfRule>
    <cfRule type="expression" dxfId="15" priority="324">
      <formula>G1462 = "Atacado"</formula>
    </cfRule>
    <cfRule type="expression" dxfId="14" priority="323">
      <formula>G1462 = "Tem que compra"</formula>
    </cfRule>
    <cfRule type="expression" dxfId="13" priority="328">
      <formula>G1462 = "Vendido"</formula>
    </cfRule>
    <cfRule type="expression" dxfId="12" priority="327">
      <formula>G1462 = "Pendente"</formula>
    </cfRule>
  </conditionalFormatting>
  <conditionalFormatting sqref="G1467:G1470">
    <cfRule type="expression" dxfId="11" priority="320">
      <formula>G1467 = "Vendido"</formula>
    </cfRule>
    <cfRule type="expression" dxfId="10" priority="319">
      <formula>G1467 = "Pendente"</formula>
    </cfRule>
    <cfRule type="expression" dxfId="9" priority="315">
      <formula>G1467 = "Tem que compra"</formula>
    </cfRule>
    <cfRule type="expression" dxfId="8" priority="316">
      <formula>G1467 = "Atacado"</formula>
    </cfRule>
    <cfRule type="expression" dxfId="7" priority="318">
      <formula>G1467 = "Estoque"</formula>
    </cfRule>
    <cfRule type="expression" dxfId="6" priority="317">
      <formula>G1467 = "Pedidos"</formula>
    </cfRule>
  </conditionalFormatting>
  <conditionalFormatting sqref="K65 K118:K121">
    <cfRule type="expression" dxfId="5" priority="61473">
      <formula>#REF! = "Estoque"</formula>
    </cfRule>
    <cfRule type="expression" dxfId="4" priority="61474">
      <formula>#REF! = "Pendente"</formula>
    </cfRule>
    <cfRule type="expression" dxfId="3" priority="61475">
      <formula>#REF! = "Tem que compra"</formula>
    </cfRule>
    <cfRule type="expression" dxfId="2" priority="61476">
      <formula>#REF! = "Atacado"</formula>
    </cfRule>
    <cfRule type="expression" dxfId="1" priority="61472">
      <formula>#REF! = "Vendido"</formula>
    </cfRule>
    <cfRule type="expression" dxfId="0" priority="61471">
      <formula>#REF! = "Entregar"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zoomScale="160" zoomScaleNormal="160" workbookViewId="0">
      <selection activeCell="B7" sqref="B7"/>
    </sheetView>
  </sheetViews>
  <sheetFormatPr defaultRowHeight="15"/>
  <cols>
    <col min="1" max="1" width="13.42578125" customWidth="1"/>
    <col min="2" max="2" width="20.42578125" bestFit="1" customWidth="1"/>
    <col min="3" max="5" width="14.5703125" style="18" bestFit="1" customWidth="1"/>
    <col min="6" max="6" width="13" customWidth="1"/>
  </cols>
  <sheetData>
    <row r="1" spans="1:6" ht="24" customHeight="1">
      <c r="A1" s="79" t="s">
        <v>262</v>
      </c>
      <c r="B1" s="79"/>
      <c r="C1" s="79"/>
      <c r="D1" s="79"/>
      <c r="E1" s="79"/>
      <c r="F1" s="79"/>
    </row>
    <row r="2" spans="1:6" ht="24" customHeight="1">
      <c r="A2" s="3"/>
      <c r="B2" s="3" t="s">
        <v>49</v>
      </c>
      <c r="C2" s="31">
        <f>SUM(C4:C1048576)</f>
        <v>200</v>
      </c>
      <c r="D2" s="31">
        <f>SUM(D4:D1048576)</f>
        <v>400</v>
      </c>
      <c r="E2" s="31">
        <f>SUM(E4:E1048576)</f>
        <v>200</v>
      </c>
      <c r="F2" s="3"/>
    </row>
    <row r="3" spans="1:6" ht="21.75" customHeight="1">
      <c r="A3" s="3" t="s">
        <v>29</v>
      </c>
      <c r="B3" s="3" t="s">
        <v>88</v>
      </c>
      <c r="C3" s="31" t="s">
        <v>39</v>
      </c>
      <c r="D3" s="31" t="s">
        <v>268</v>
      </c>
      <c r="E3" s="31" t="s">
        <v>28</v>
      </c>
      <c r="F3" s="3" t="s">
        <v>263</v>
      </c>
    </row>
    <row r="4" spans="1:6">
      <c r="A4" s="8" t="s">
        <v>266</v>
      </c>
      <c r="B4" s="8" t="s">
        <v>264</v>
      </c>
      <c r="C4" s="17">
        <v>20</v>
      </c>
      <c r="D4" s="17">
        <v>40</v>
      </c>
      <c r="E4" s="17">
        <f t="shared" ref="E4:E13" si="0">D4-C4</f>
        <v>20</v>
      </c>
      <c r="F4" s="8"/>
    </row>
    <row r="5" spans="1:6">
      <c r="A5" s="8" t="s">
        <v>267</v>
      </c>
      <c r="B5" s="8" t="s">
        <v>264</v>
      </c>
      <c r="C5" s="17">
        <v>20</v>
      </c>
      <c r="D5" s="17">
        <v>40</v>
      </c>
      <c r="E5" s="17">
        <f t="shared" si="0"/>
        <v>20</v>
      </c>
      <c r="F5" s="8"/>
    </row>
    <row r="6" spans="1:6">
      <c r="A6" s="8" t="s">
        <v>265</v>
      </c>
      <c r="B6" s="8" t="s">
        <v>264</v>
      </c>
      <c r="C6" s="17">
        <v>20</v>
      </c>
      <c r="D6" s="17">
        <v>40</v>
      </c>
      <c r="E6" s="17">
        <f t="shared" si="0"/>
        <v>20</v>
      </c>
      <c r="F6" s="8"/>
    </row>
    <row r="7" spans="1:6">
      <c r="A7" s="8" t="s">
        <v>266</v>
      </c>
      <c r="B7" s="8" t="s">
        <v>269</v>
      </c>
      <c r="C7" s="17">
        <v>20</v>
      </c>
      <c r="D7" s="17">
        <v>40</v>
      </c>
      <c r="E7" s="17">
        <f t="shared" si="0"/>
        <v>20</v>
      </c>
      <c r="F7" s="8"/>
    </row>
    <row r="8" spans="1:6">
      <c r="A8" s="8" t="s">
        <v>267</v>
      </c>
      <c r="B8" s="8" t="s">
        <v>269</v>
      </c>
      <c r="C8" s="17">
        <v>20</v>
      </c>
      <c r="D8" s="17">
        <v>40</v>
      </c>
      <c r="E8" s="17">
        <f t="shared" si="0"/>
        <v>20</v>
      </c>
      <c r="F8" s="8"/>
    </row>
    <row r="9" spans="1:6">
      <c r="A9" s="8" t="s">
        <v>265</v>
      </c>
      <c r="B9" s="8" t="s">
        <v>269</v>
      </c>
      <c r="C9" s="17">
        <v>20</v>
      </c>
      <c r="D9" s="17">
        <v>40</v>
      </c>
      <c r="E9" s="17">
        <f t="shared" si="0"/>
        <v>20</v>
      </c>
      <c r="F9" s="8"/>
    </row>
    <row r="10" spans="1:6">
      <c r="A10" s="8" t="s">
        <v>266</v>
      </c>
      <c r="B10" s="8" t="s">
        <v>270</v>
      </c>
      <c r="C10" s="17">
        <v>20</v>
      </c>
      <c r="D10" s="17">
        <v>40</v>
      </c>
      <c r="E10" s="17">
        <f t="shared" si="0"/>
        <v>20</v>
      </c>
      <c r="F10" s="8"/>
    </row>
    <row r="11" spans="1:6">
      <c r="A11" s="8" t="s">
        <v>267</v>
      </c>
      <c r="B11" s="8" t="s">
        <v>270</v>
      </c>
      <c r="C11" s="17">
        <v>20</v>
      </c>
      <c r="D11" s="17">
        <v>40</v>
      </c>
      <c r="E11" s="17">
        <f t="shared" si="0"/>
        <v>20</v>
      </c>
      <c r="F11" s="8"/>
    </row>
    <row r="12" spans="1:6">
      <c r="A12" s="8" t="s">
        <v>265</v>
      </c>
      <c r="B12" s="8" t="s">
        <v>270</v>
      </c>
      <c r="C12" s="17">
        <v>20</v>
      </c>
      <c r="D12" s="17">
        <v>40</v>
      </c>
      <c r="E12" s="17">
        <f t="shared" si="0"/>
        <v>20</v>
      </c>
      <c r="F12" s="8"/>
    </row>
    <row r="13" spans="1:6">
      <c r="A13" s="8" t="s">
        <v>271</v>
      </c>
      <c r="B13" s="8" t="s">
        <v>270</v>
      </c>
      <c r="C13" s="17">
        <v>20</v>
      </c>
      <c r="D13" s="17">
        <v>40</v>
      </c>
      <c r="E13" s="17">
        <f t="shared" si="0"/>
        <v>20</v>
      </c>
      <c r="F13" s="8"/>
    </row>
    <row r="14" spans="1:6">
      <c r="A14" s="8"/>
      <c r="B14" s="8"/>
      <c r="C14" s="17"/>
      <c r="D14" s="17"/>
      <c r="E14" s="17"/>
      <c r="F14" s="8"/>
    </row>
    <row r="15" spans="1:6">
      <c r="A15" s="8"/>
      <c r="B15" s="8"/>
      <c r="C15" s="17"/>
      <c r="D15" s="17"/>
      <c r="E15" s="17"/>
      <c r="F15" s="8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Gastos</vt:lpstr>
      <vt:lpstr>Controlde de entrega</vt:lpstr>
      <vt:lpstr>Vendas 20</vt:lpstr>
      <vt:lpstr>cha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USERPROFILE</dc:creator>
  <cp:lastModifiedBy>leo</cp:lastModifiedBy>
  <cp:lastPrinted>2019-09-18T14:42:05Z</cp:lastPrinted>
  <dcterms:created xsi:type="dcterms:W3CDTF">2017-11-10T16:59:36Z</dcterms:created>
  <dcterms:modified xsi:type="dcterms:W3CDTF">2026-07-15T15:25:56Z</dcterms:modified>
</cp:coreProperties>
</file>