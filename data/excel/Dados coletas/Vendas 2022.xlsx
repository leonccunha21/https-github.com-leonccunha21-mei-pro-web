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Leo\Dropbox\FINANCEIRO - LOJA\Financeiro\Açoes e Declaraçoes\2022\"/>
    </mc:Choice>
  </mc:AlternateContent>
  <xr:revisionPtr revIDLastSave="0" documentId="13_ncr:1_{2B13952F-A580-4248-B9C4-CA9DB967075A}" xr6:coauthVersionLast="47" xr6:coauthVersionMax="47" xr10:uidLastSave="{00000000-0000-0000-0000-000000000000}"/>
  <bookViews>
    <workbookView xWindow="-120" yWindow="-120" windowWidth="20730" windowHeight="11760" activeTab="3" xr2:uid="{00000000-000D-0000-FFFF-FFFF00000000}"/>
  </bookViews>
  <sheets>
    <sheet name="devedores" sheetId="4" r:id="rId1"/>
    <sheet name="Relatorio" sheetId="3" r:id="rId2"/>
    <sheet name="vendas" sheetId="1" r:id="rId3"/>
    <sheet name="V. S. N." sheetId="6" r:id="rId4"/>
  </sheets>
  <definedNames>
    <definedName name="_FilterDatabase" localSheetId="0" hidden="1">devedores!$A$1:$E$18</definedName>
    <definedName name="_FilterDatabase" localSheetId="1" hidden="1">Relatorio!$A$61:$G$67</definedName>
    <definedName name="_FilterDatabase" localSheetId="2" hidden="1">vendas!$A$140:$I$220</definedName>
    <definedName name="_xlnm._FilterDatabase" localSheetId="2" hidden="1">vendas!$A$595:$I$675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4" i="6" l="1"/>
  <c r="B53" i="6"/>
  <c r="B52" i="6"/>
  <c r="C52" i="6"/>
  <c r="E16" i="6"/>
  <c r="C16" i="6"/>
  <c r="B16" i="6"/>
  <c r="D16" i="6"/>
  <c r="F16" i="6"/>
  <c r="I735" i="1" l="1"/>
  <c r="E735" i="1"/>
  <c r="G15" i="6"/>
  <c r="F853" i="1"/>
  <c r="F852" i="1"/>
  <c r="F851" i="1"/>
  <c r="F847" i="1" l="1"/>
  <c r="B11" i="4"/>
  <c r="C13" i="4"/>
  <c r="E13" i="4" s="1"/>
  <c r="F839" i="1"/>
  <c r="F833" i="1"/>
  <c r="F830" i="1"/>
  <c r="F823" i="1"/>
  <c r="F824" i="1"/>
  <c r="F825" i="1"/>
  <c r="F826" i="1"/>
  <c r="F827" i="1"/>
  <c r="F828" i="1"/>
  <c r="F832" i="1"/>
  <c r="F834" i="1"/>
  <c r="F835" i="1"/>
  <c r="F836" i="1"/>
  <c r="F837" i="1"/>
  <c r="F838" i="1"/>
  <c r="F840" i="1"/>
  <c r="F841" i="1"/>
  <c r="F842" i="1"/>
  <c r="F843" i="1"/>
  <c r="F844" i="1"/>
  <c r="F845" i="1"/>
  <c r="F846" i="1"/>
  <c r="F848" i="1"/>
  <c r="F849" i="1"/>
  <c r="F850" i="1"/>
  <c r="F854" i="1"/>
  <c r="F855" i="1"/>
  <c r="F856" i="1"/>
  <c r="F857" i="1"/>
  <c r="F858" i="1"/>
  <c r="F859" i="1"/>
  <c r="F860" i="1"/>
  <c r="F861" i="1"/>
  <c r="F862" i="1"/>
  <c r="F863" i="1"/>
  <c r="F864" i="1"/>
  <c r="F865" i="1"/>
  <c r="F866" i="1"/>
  <c r="F867" i="1"/>
  <c r="F868" i="1"/>
  <c r="F869" i="1"/>
  <c r="F870" i="1"/>
  <c r="F871" i="1"/>
  <c r="F872" i="1"/>
  <c r="F873" i="1"/>
  <c r="F874" i="1"/>
  <c r="F875" i="1"/>
  <c r="F876" i="1"/>
  <c r="F877" i="1"/>
  <c r="F878" i="1"/>
  <c r="F879" i="1"/>
  <c r="F880" i="1"/>
  <c r="F881" i="1"/>
  <c r="F882" i="1"/>
  <c r="F883" i="1"/>
  <c r="F884" i="1"/>
  <c r="F885" i="1"/>
  <c r="F886" i="1"/>
  <c r="F887" i="1"/>
  <c r="F888" i="1"/>
  <c r="F889" i="1"/>
  <c r="F890" i="1"/>
  <c r="F891" i="1"/>
  <c r="F892" i="1"/>
  <c r="F893" i="1"/>
  <c r="F894" i="1"/>
  <c r="F895" i="1"/>
  <c r="F896" i="1"/>
  <c r="F897" i="1"/>
  <c r="F898" i="1"/>
  <c r="F899" i="1"/>
  <c r="F900" i="1"/>
  <c r="F901" i="1"/>
  <c r="F902" i="1"/>
  <c r="F903" i="1"/>
  <c r="F904" i="1"/>
  <c r="F905" i="1"/>
  <c r="F906" i="1"/>
  <c r="F907" i="1"/>
  <c r="F908" i="1"/>
  <c r="F909" i="1"/>
  <c r="F910" i="1"/>
  <c r="F911" i="1"/>
  <c r="F912" i="1"/>
  <c r="F913" i="1"/>
  <c r="F914" i="1"/>
  <c r="F915" i="1"/>
  <c r="F916" i="1"/>
  <c r="F917" i="1"/>
  <c r="F918" i="1"/>
  <c r="F818" i="1"/>
  <c r="F817"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220"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56" i="1"/>
  <c r="J457"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8" i="1"/>
  <c r="J551" i="1"/>
  <c r="J552" i="1"/>
  <c r="J553" i="1"/>
  <c r="J554" i="1"/>
  <c r="J555" i="1"/>
  <c r="J556" i="1"/>
  <c r="J557" i="1"/>
  <c r="J558" i="1"/>
  <c r="J559" i="1"/>
  <c r="J560" i="1"/>
  <c r="J561" i="1"/>
  <c r="J562" i="1"/>
  <c r="J563" i="1"/>
  <c r="J564" i="1"/>
  <c r="J565" i="1"/>
  <c r="J566" i="1"/>
  <c r="J567" i="1"/>
  <c r="J568" i="1"/>
  <c r="J569" i="1"/>
  <c r="J570" i="1"/>
  <c r="J571" i="1"/>
  <c r="J572" i="1"/>
  <c r="J573" i="1"/>
  <c r="J574" i="1"/>
  <c r="J575" i="1"/>
  <c r="J576" i="1"/>
  <c r="J577" i="1"/>
  <c r="J578" i="1"/>
  <c r="J579" i="1"/>
  <c r="J580" i="1"/>
  <c r="J581" i="1"/>
  <c r="J582" i="1"/>
  <c r="J583" i="1"/>
  <c r="J584" i="1"/>
  <c r="J585" i="1"/>
  <c r="J586" i="1"/>
  <c r="J587" i="1"/>
  <c r="J588" i="1"/>
  <c r="J589" i="1"/>
  <c r="J590" i="1"/>
  <c r="J591" i="1"/>
  <c r="J592" i="1"/>
  <c r="J593" i="1"/>
  <c r="J676" i="1"/>
  <c r="J677" i="1"/>
  <c r="J680" i="1"/>
  <c r="J716" i="1"/>
  <c r="J717" i="1"/>
  <c r="J718" i="1"/>
  <c r="J719" i="1"/>
  <c r="J720" i="1"/>
  <c r="J721" i="1"/>
  <c r="J722" i="1"/>
  <c r="J723" i="1"/>
  <c r="J724" i="1"/>
  <c r="J725" i="1"/>
  <c r="J726" i="1"/>
  <c r="J727" i="1"/>
  <c r="J728" i="1"/>
  <c r="J729" i="1"/>
  <c r="J730" i="1"/>
  <c r="J731" i="1"/>
  <c r="J732" i="1"/>
  <c r="J733" i="1"/>
  <c r="J734" i="1"/>
  <c r="J777" i="1"/>
  <c r="J778" i="1"/>
  <c r="J779" i="1"/>
  <c r="J780" i="1"/>
  <c r="J781" i="1"/>
  <c r="J782" i="1"/>
  <c r="J783" i="1"/>
  <c r="J784" i="1"/>
  <c r="J785" i="1"/>
  <c r="J786" i="1"/>
  <c r="J787" i="1"/>
  <c r="J788" i="1"/>
  <c r="J789" i="1"/>
  <c r="J790" i="1"/>
  <c r="J791" i="1"/>
  <c r="J792" i="1"/>
  <c r="J793" i="1"/>
  <c r="J794" i="1"/>
  <c r="J795" i="1"/>
  <c r="J796" i="1"/>
  <c r="J797" i="1"/>
  <c r="J798" i="1"/>
  <c r="J800" i="1"/>
  <c r="F809" i="1"/>
  <c r="F816" i="1"/>
  <c r="F819" i="1"/>
  <c r="F820" i="1"/>
  <c r="F821" i="1"/>
  <c r="F822" i="1"/>
  <c r="F829" i="1"/>
  <c r="F831" i="1"/>
  <c r="F808" i="1"/>
  <c r="F805" i="1"/>
  <c r="F804" i="1"/>
  <c r="I801" i="1"/>
  <c r="AC13" i="3" s="1"/>
  <c r="D801" i="1"/>
  <c r="X13" i="3" s="1"/>
  <c r="H801" i="1"/>
  <c r="E801" i="1"/>
  <c r="Y13" i="3" s="1"/>
  <c r="AB13" i="3" l="1"/>
  <c r="H735" i="1"/>
  <c r="G801" i="1"/>
  <c r="AA13" i="3" s="1"/>
  <c r="F774" i="1"/>
  <c r="J774" i="1" s="1"/>
  <c r="F772" i="1" l="1"/>
  <c r="J772" i="1" s="1"/>
  <c r="G13" i="6" l="1"/>
  <c r="G16" i="6" s="1"/>
  <c r="F765" i="1"/>
  <c r="J765" i="1" s="1"/>
  <c r="C12" i="4"/>
  <c r="E12" i="4" s="1"/>
  <c r="F763" i="1"/>
  <c r="J763" i="1" s="1"/>
  <c r="F754" i="1"/>
  <c r="J754" i="1" s="1"/>
  <c r="F755" i="1"/>
  <c r="J755" i="1" s="1"/>
  <c r="F756" i="1"/>
  <c r="J756" i="1" s="1"/>
  <c r="F757" i="1"/>
  <c r="J757" i="1" s="1"/>
  <c r="F758" i="1"/>
  <c r="J758" i="1" s="1"/>
  <c r="F759" i="1"/>
  <c r="J759" i="1" s="1"/>
  <c r="F760" i="1"/>
  <c r="J760" i="1" s="1"/>
  <c r="F761" i="1"/>
  <c r="J761" i="1" s="1"/>
  <c r="F762" i="1"/>
  <c r="J762" i="1" s="1"/>
  <c r="F753" i="1"/>
  <c r="J753" i="1" s="1"/>
  <c r="B9" i="4"/>
  <c r="K46" i="3"/>
  <c r="J46" i="3"/>
  <c r="I46" i="3"/>
  <c r="F741" i="1"/>
  <c r="J741" i="1" s="1"/>
  <c r="F740" i="1"/>
  <c r="J740" i="1" s="1"/>
  <c r="F739" i="1"/>
  <c r="J739" i="1" s="1"/>
  <c r="F742" i="1"/>
  <c r="J742" i="1" s="1"/>
  <c r="F743" i="1"/>
  <c r="J743" i="1" s="1"/>
  <c r="F744" i="1"/>
  <c r="J744" i="1" s="1"/>
  <c r="F745" i="1"/>
  <c r="J745" i="1" s="1"/>
  <c r="F746" i="1"/>
  <c r="J746" i="1" s="1"/>
  <c r="F747" i="1"/>
  <c r="J747" i="1" s="1"/>
  <c r="F748" i="1"/>
  <c r="J748" i="1" s="1"/>
  <c r="F749" i="1"/>
  <c r="J749" i="1" s="1"/>
  <c r="F750" i="1"/>
  <c r="J750" i="1" s="1"/>
  <c r="F751" i="1"/>
  <c r="J751" i="1" s="1"/>
  <c r="F752" i="1"/>
  <c r="J752" i="1" s="1"/>
  <c r="F764" i="1"/>
  <c r="J764" i="1" s="1"/>
  <c r="F766" i="1"/>
  <c r="J766" i="1" s="1"/>
  <c r="F767" i="1"/>
  <c r="J767" i="1" s="1"/>
  <c r="F768" i="1"/>
  <c r="J768" i="1" s="1"/>
  <c r="F769" i="1"/>
  <c r="J769" i="1" s="1"/>
  <c r="F770" i="1"/>
  <c r="J770" i="1" s="1"/>
  <c r="F771" i="1"/>
  <c r="J771" i="1" s="1"/>
  <c r="F773" i="1"/>
  <c r="J773" i="1" s="1"/>
  <c r="F775" i="1"/>
  <c r="J775" i="1" s="1"/>
  <c r="F776" i="1"/>
  <c r="J776" i="1" s="1"/>
  <c r="F799" i="1"/>
  <c r="J799" i="1" s="1"/>
  <c r="F802" i="1"/>
  <c r="F803" i="1"/>
  <c r="F806" i="1"/>
  <c r="F807" i="1"/>
  <c r="F810" i="1"/>
  <c r="F811" i="1"/>
  <c r="F812" i="1"/>
  <c r="F813" i="1"/>
  <c r="F814" i="1"/>
  <c r="F815" i="1"/>
  <c r="F738" i="1"/>
  <c r="J738" i="1" s="1"/>
  <c r="F737" i="1"/>
  <c r="J737" i="1" s="1"/>
  <c r="F736" i="1"/>
  <c r="AC12" i="3"/>
  <c r="Y12" i="3"/>
  <c r="D735" i="1"/>
  <c r="X12" i="3" s="1"/>
  <c r="F715" i="1"/>
  <c r="J715" i="1" s="1"/>
  <c r="F714" i="1"/>
  <c r="J714" i="1" s="1"/>
  <c r="F713" i="1"/>
  <c r="J713" i="1" s="1"/>
  <c r="F712" i="1"/>
  <c r="J712" i="1" s="1"/>
  <c r="I678" i="1"/>
  <c r="H678" i="1"/>
  <c r="E678" i="1"/>
  <c r="D678" i="1"/>
  <c r="J736" i="1" l="1"/>
  <c r="F735" i="1"/>
  <c r="F801" i="1"/>
  <c r="G735" i="1"/>
  <c r="AA12" i="3" s="1"/>
  <c r="AB12" i="3"/>
  <c r="G678" i="1"/>
  <c r="F711" i="1"/>
  <c r="J711" i="1" s="1"/>
  <c r="H2" i="1"/>
  <c r="C11" i="4"/>
  <c r="E11" i="4" s="1"/>
  <c r="F710" i="1"/>
  <c r="J710" i="1" s="1"/>
  <c r="Z13" i="3" l="1"/>
  <c r="J801" i="1"/>
  <c r="F709" i="1"/>
  <c r="J709" i="1" s="1"/>
  <c r="F706" i="1"/>
  <c r="J706" i="1" s="1"/>
  <c r="F707" i="1"/>
  <c r="J707" i="1" s="1"/>
  <c r="F708" i="1"/>
  <c r="J708" i="1" s="1"/>
  <c r="F705" i="1"/>
  <c r="J705" i="1" s="1"/>
  <c r="F704" i="1"/>
  <c r="J704" i="1" s="1"/>
  <c r="F703" i="1"/>
  <c r="J703" i="1" s="1"/>
  <c r="F702" i="1"/>
  <c r="J702" i="1" s="1"/>
  <c r="F701" i="1"/>
  <c r="J701" i="1" s="1"/>
  <c r="F700" i="1"/>
  <c r="J700" i="1" s="1"/>
  <c r="F699" i="1"/>
  <c r="J699" i="1" s="1"/>
  <c r="F698" i="1"/>
  <c r="J698" i="1" s="1"/>
  <c r="F697" i="1"/>
  <c r="J697" i="1" s="1"/>
  <c r="Z12" i="3" l="1"/>
  <c r="J735" i="1"/>
  <c r="F696" i="1"/>
  <c r="J696" i="1" s="1"/>
  <c r="F695" i="1"/>
  <c r="J695" i="1" s="1"/>
  <c r="F694" i="1"/>
  <c r="J694" i="1" s="1"/>
  <c r="F693" i="1"/>
  <c r="J693" i="1" s="1"/>
  <c r="F692" i="1"/>
  <c r="J692" i="1" s="1"/>
  <c r="F691" i="1"/>
  <c r="J691" i="1" s="1"/>
  <c r="F690" i="1"/>
  <c r="J690" i="1" s="1"/>
  <c r="F689" i="1"/>
  <c r="J689" i="1" s="1"/>
  <c r="F688" i="1" l="1"/>
  <c r="J688" i="1" s="1"/>
  <c r="F687" i="1"/>
  <c r="J687" i="1" s="1"/>
  <c r="F686" i="1"/>
  <c r="J686" i="1" s="1"/>
  <c r="F685" i="1"/>
  <c r="J685" i="1" s="1"/>
  <c r="F684" i="1"/>
  <c r="J684" i="1" s="1"/>
  <c r="F683" i="1"/>
  <c r="J683" i="1" s="1"/>
  <c r="F682" i="1"/>
  <c r="J682" i="1" s="1"/>
  <c r="F681" i="1"/>
  <c r="J681" i="1" s="1"/>
  <c r="F679" i="1"/>
  <c r="J679" i="1" s="1"/>
  <c r="AC11" i="3"/>
  <c r="AB11" i="3"/>
  <c r="Y11" i="3"/>
  <c r="X11" i="3"/>
  <c r="I594" i="1"/>
  <c r="AC10" i="3" s="1"/>
  <c r="F652" i="1"/>
  <c r="J652" i="1" s="1"/>
  <c r="F651" i="1"/>
  <c r="J651" i="1" s="1"/>
  <c r="E653" i="1"/>
  <c r="E594" i="1" s="1"/>
  <c r="Y10" i="3" s="1"/>
  <c r="D653" i="1"/>
  <c r="D594" i="1" s="1"/>
  <c r="X10" i="3" s="1"/>
  <c r="F670" i="1"/>
  <c r="J670" i="1" s="1"/>
  <c r="F668" i="1"/>
  <c r="J668" i="1" s="1"/>
  <c r="F659" i="1"/>
  <c r="J659" i="1" s="1"/>
  <c r="F658" i="1"/>
  <c r="J658" i="1" s="1"/>
  <c r="F656" i="1"/>
  <c r="J656" i="1" s="1"/>
  <c r="F648" i="1"/>
  <c r="J648" i="1" s="1"/>
  <c r="F647" i="1"/>
  <c r="J647" i="1" s="1"/>
  <c r="F646" i="1"/>
  <c r="J646" i="1" s="1"/>
  <c r="H594" i="1"/>
  <c r="F640" i="1"/>
  <c r="J640" i="1" s="1"/>
  <c r="F638" i="1"/>
  <c r="J638" i="1" s="1"/>
  <c r="F635" i="1"/>
  <c r="J635" i="1" s="1"/>
  <c r="F633" i="1"/>
  <c r="J633" i="1" s="1"/>
  <c r="F631" i="1"/>
  <c r="J631" i="1" s="1"/>
  <c r="F626" i="1"/>
  <c r="J626" i="1" s="1"/>
  <c r="I75" i="1"/>
  <c r="H75" i="1"/>
  <c r="G2" i="1"/>
  <c r="F625" i="1"/>
  <c r="J625" i="1" s="1"/>
  <c r="F624" i="1"/>
  <c r="J624" i="1" s="1"/>
  <c r="F623" i="1"/>
  <c r="J623" i="1" s="1"/>
  <c r="F622" i="1"/>
  <c r="J622" i="1" s="1"/>
  <c r="F621" i="1"/>
  <c r="J621" i="1" s="1"/>
  <c r="L7" i="6"/>
  <c r="F614" i="1"/>
  <c r="J614" i="1" s="1"/>
  <c r="C9" i="4"/>
  <c r="E9" i="4" s="1"/>
  <c r="F611" i="1"/>
  <c r="J611" i="1" s="1"/>
  <c r="F612" i="1"/>
  <c r="J612" i="1" s="1"/>
  <c r="F613" i="1"/>
  <c r="J613" i="1" s="1"/>
  <c r="F615" i="1"/>
  <c r="J615" i="1" s="1"/>
  <c r="F616" i="1"/>
  <c r="J616" i="1" s="1"/>
  <c r="F617" i="1"/>
  <c r="J617" i="1" s="1"/>
  <c r="F618" i="1"/>
  <c r="J618" i="1" s="1"/>
  <c r="F619" i="1"/>
  <c r="J619" i="1" s="1"/>
  <c r="F620" i="1"/>
  <c r="J620" i="1" s="1"/>
  <c r="F627" i="1"/>
  <c r="J627" i="1" s="1"/>
  <c r="F628" i="1"/>
  <c r="J628" i="1" s="1"/>
  <c r="F630" i="1"/>
  <c r="J630" i="1" s="1"/>
  <c r="F632" i="1"/>
  <c r="J632" i="1" s="1"/>
  <c r="F634" i="1"/>
  <c r="J634" i="1" s="1"/>
  <c r="F636" i="1"/>
  <c r="J636" i="1" s="1"/>
  <c r="F637" i="1"/>
  <c r="J637" i="1" s="1"/>
  <c r="F639" i="1"/>
  <c r="J639" i="1" s="1"/>
  <c r="F641" i="1"/>
  <c r="J641" i="1" s="1"/>
  <c r="F642" i="1"/>
  <c r="J642" i="1" s="1"/>
  <c r="F643" i="1"/>
  <c r="J643" i="1" s="1"/>
  <c r="F644" i="1"/>
  <c r="J644" i="1" s="1"/>
  <c r="F645" i="1"/>
  <c r="J645" i="1" s="1"/>
  <c r="F649" i="1"/>
  <c r="J649" i="1" s="1"/>
  <c r="F650" i="1"/>
  <c r="J650" i="1" s="1"/>
  <c r="F654" i="1"/>
  <c r="J654" i="1" s="1"/>
  <c r="F655" i="1"/>
  <c r="J655" i="1" s="1"/>
  <c r="F657" i="1"/>
  <c r="J657" i="1" s="1"/>
  <c r="F660" i="1"/>
  <c r="J660" i="1" s="1"/>
  <c r="F661" i="1"/>
  <c r="J661" i="1" s="1"/>
  <c r="F662" i="1"/>
  <c r="J662" i="1" s="1"/>
  <c r="F663" i="1"/>
  <c r="J663" i="1" s="1"/>
  <c r="F664" i="1"/>
  <c r="J664" i="1" s="1"/>
  <c r="F665" i="1"/>
  <c r="J665" i="1" s="1"/>
  <c r="F666" i="1"/>
  <c r="J666" i="1" s="1"/>
  <c r="F667" i="1"/>
  <c r="J667" i="1" s="1"/>
  <c r="F669" i="1"/>
  <c r="J669" i="1" s="1"/>
  <c r="F671" i="1"/>
  <c r="J671" i="1" s="1"/>
  <c r="F672" i="1"/>
  <c r="J672" i="1" s="1"/>
  <c r="F673" i="1"/>
  <c r="J673" i="1" s="1"/>
  <c r="F674" i="1"/>
  <c r="J674" i="1" s="1"/>
  <c r="F675" i="1"/>
  <c r="J675" i="1" s="1"/>
  <c r="F610" i="1"/>
  <c r="J610" i="1" s="1"/>
  <c r="F603" i="1"/>
  <c r="J603" i="1" s="1"/>
  <c r="F604" i="1"/>
  <c r="J604" i="1" s="1"/>
  <c r="F605" i="1"/>
  <c r="J605" i="1" s="1"/>
  <c r="F606" i="1"/>
  <c r="J606" i="1" s="1"/>
  <c r="F607" i="1"/>
  <c r="J607" i="1" s="1"/>
  <c r="F608" i="1"/>
  <c r="J608" i="1" s="1"/>
  <c r="F596" i="1"/>
  <c r="J596" i="1" s="1"/>
  <c r="F597" i="1"/>
  <c r="J597" i="1" s="1"/>
  <c r="F598" i="1"/>
  <c r="J598" i="1" s="1"/>
  <c r="F599" i="1"/>
  <c r="J599" i="1" s="1"/>
  <c r="F600" i="1"/>
  <c r="J600" i="1" s="1"/>
  <c r="F601" i="1"/>
  <c r="J601" i="1" s="1"/>
  <c r="F602" i="1"/>
  <c r="J602" i="1" s="1"/>
  <c r="F609" i="1"/>
  <c r="J609" i="1" s="1"/>
  <c r="F595" i="1"/>
  <c r="J595" i="1" s="1"/>
  <c r="I519" i="1"/>
  <c r="AC9" i="3" s="1"/>
  <c r="E519" i="1"/>
  <c r="Y9" i="3" s="1"/>
  <c r="D519" i="1"/>
  <c r="X9" i="3" s="1"/>
  <c r="F547" i="1"/>
  <c r="J547" i="1" s="1"/>
  <c r="F537" i="1"/>
  <c r="J537" i="1" s="1"/>
  <c r="F538" i="1"/>
  <c r="J538" i="1" s="1"/>
  <c r="F535" i="1"/>
  <c r="J535" i="1" s="1"/>
  <c r="F532" i="1"/>
  <c r="J532" i="1" s="1"/>
  <c r="F530" i="1"/>
  <c r="J530" i="1" s="1"/>
  <c r="F528" i="1"/>
  <c r="J528" i="1" s="1"/>
  <c r="I450" i="1"/>
  <c r="H519" i="1"/>
  <c r="AB9" i="3" s="1"/>
  <c r="F522" i="1"/>
  <c r="J522" i="1" s="1"/>
  <c r="F523" i="1"/>
  <c r="J523" i="1" s="1"/>
  <c r="F524" i="1"/>
  <c r="J524" i="1" s="1"/>
  <c r="F525" i="1"/>
  <c r="J525" i="1" s="1"/>
  <c r="F526" i="1"/>
  <c r="J526" i="1" s="1"/>
  <c r="F527" i="1"/>
  <c r="J527" i="1" s="1"/>
  <c r="F529" i="1"/>
  <c r="J529" i="1" s="1"/>
  <c r="F531" i="1"/>
  <c r="J531" i="1" s="1"/>
  <c r="F533" i="1"/>
  <c r="J533" i="1" s="1"/>
  <c r="F534" i="1"/>
  <c r="J534" i="1" s="1"/>
  <c r="F536" i="1"/>
  <c r="J536" i="1" s="1"/>
  <c r="F539" i="1"/>
  <c r="J539" i="1" s="1"/>
  <c r="F540" i="1"/>
  <c r="J540" i="1" s="1"/>
  <c r="F541" i="1"/>
  <c r="J541" i="1" s="1"/>
  <c r="F542" i="1"/>
  <c r="J542" i="1" s="1"/>
  <c r="F543" i="1"/>
  <c r="J543" i="1" s="1"/>
  <c r="F544" i="1"/>
  <c r="J544" i="1" s="1"/>
  <c r="F545" i="1"/>
  <c r="J545" i="1" s="1"/>
  <c r="F546" i="1"/>
  <c r="J546" i="1" s="1"/>
  <c r="F548" i="1"/>
  <c r="J548" i="1" s="1"/>
  <c r="F549" i="1"/>
  <c r="J549" i="1" s="1"/>
  <c r="F550" i="1"/>
  <c r="J550" i="1" s="1"/>
  <c r="F521" i="1"/>
  <c r="J521" i="1" s="1"/>
  <c r="F520" i="1"/>
  <c r="J520" i="1" s="1"/>
  <c r="D450" i="1"/>
  <c r="E517" i="1"/>
  <c r="E450" i="1" s="1"/>
  <c r="F476" i="1"/>
  <c r="J476" i="1" s="1"/>
  <c r="H450" i="1"/>
  <c r="F678" i="1" l="1"/>
  <c r="F653" i="1"/>
  <c r="J653" i="1" s="1"/>
  <c r="AA11" i="3"/>
  <c r="G594" i="1"/>
  <c r="AA10" i="3" s="1"/>
  <c r="F629" i="1"/>
  <c r="J629" i="1" s="1"/>
  <c r="AB10" i="3"/>
  <c r="F519" i="1"/>
  <c r="G519" i="1"/>
  <c r="AA9" i="3" s="1"/>
  <c r="F471" i="1"/>
  <c r="J471" i="1" s="1"/>
  <c r="F460" i="1"/>
  <c r="J460" i="1" s="1"/>
  <c r="F465" i="1"/>
  <c r="J465" i="1" s="1"/>
  <c r="Z11" i="3" l="1"/>
  <c r="J678" i="1"/>
  <c r="Z9" i="3"/>
  <c r="J519" i="1"/>
  <c r="F594" i="1"/>
  <c r="F458" i="1"/>
  <c r="J458" i="1" s="1"/>
  <c r="F459" i="1"/>
  <c r="J459" i="1" s="1"/>
  <c r="F461" i="1"/>
  <c r="J461" i="1" s="1"/>
  <c r="F462" i="1"/>
  <c r="J462" i="1" s="1"/>
  <c r="F463" i="1"/>
  <c r="J463" i="1" s="1"/>
  <c r="F464" i="1"/>
  <c r="J464" i="1" s="1"/>
  <c r="F466" i="1"/>
  <c r="J466" i="1" s="1"/>
  <c r="F467" i="1"/>
  <c r="J467" i="1" s="1"/>
  <c r="F468" i="1"/>
  <c r="J468" i="1" s="1"/>
  <c r="F469" i="1"/>
  <c r="J469" i="1" s="1"/>
  <c r="F470" i="1"/>
  <c r="J470" i="1" s="1"/>
  <c r="F472" i="1"/>
  <c r="J472" i="1" s="1"/>
  <c r="F473" i="1"/>
  <c r="J473" i="1" s="1"/>
  <c r="F474" i="1"/>
  <c r="J474" i="1" s="1"/>
  <c r="F475" i="1"/>
  <c r="J475" i="1" s="1"/>
  <c r="F477" i="1"/>
  <c r="J477" i="1" s="1"/>
  <c r="F478" i="1"/>
  <c r="J478" i="1" s="1"/>
  <c r="F479" i="1"/>
  <c r="J479" i="1" s="1"/>
  <c r="F480" i="1"/>
  <c r="J480" i="1" s="1"/>
  <c r="F481" i="1"/>
  <c r="J481" i="1" s="1"/>
  <c r="F482" i="1"/>
  <c r="J482" i="1" s="1"/>
  <c r="F517" i="1"/>
  <c r="J517" i="1" s="1"/>
  <c r="F455" i="1"/>
  <c r="J455" i="1" s="1"/>
  <c r="F454" i="1"/>
  <c r="J454" i="1" s="1"/>
  <c r="F453" i="1"/>
  <c r="J453" i="1" s="1"/>
  <c r="F452" i="1"/>
  <c r="J452" i="1" s="1"/>
  <c r="F451" i="1"/>
  <c r="J451" i="1" s="1"/>
  <c r="Z10" i="3" l="1"/>
  <c r="J594" i="1"/>
  <c r="F450" i="1"/>
  <c r="X8" i="3"/>
  <c r="AC8" i="3"/>
  <c r="Y8" i="3"/>
  <c r="Z8" i="3" l="1"/>
  <c r="J450" i="1"/>
  <c r="G450" i="1"/>
  <c r="AA8" i="3" s="1"/>
  <c r="AB8" i="3"/>
  <c r="F407" i="1"/>
  <c r="J407" i="1" s="1"/>
  <c r="F406" i="1"/>
  <c r="J406" i="1" s="1"/>
  <c r="Q4" i="6" l="1"/>
  <c r="Q10" i="6" s="1"/>
  <c r="F387" i="1"/>
  <c r="F386" i="1"/>
  <c r="F385" i="1"/>
  <c r="F384" i="1"/>
  <c r="J384" i="1" s="1"/>
  <c r="F388" i="1"/>
  <c r="F389" i="1"/>
  <c r="F390" i="1"/>
  <c r="F391" i="1"/>
  <c r="F392" i="1"/>
  <c r="F393" i="1"/>
  <c r="F394" i="1"/>
  <c r="F395" i="1"/>
  <c r="F396" i="1"/>
  <c r="F397" i="1"/>
  <c r="F398" i="1"/>
  <c r="F399" i="1"/>
  <c r="F400" i="1"/>
  <c r="F401" i="1"/>
  <c r="F402" i="1"/>
  <c r="F403" i="1"/>
  <c r="F404" i="1"/>
  <c r="F405" i="1"/>
  <c r="F408" i="1"/>
  <c r="F409" i="1"/>
  <c r="I411" i="1"/>
  <c r="I413" i="1"/>
  <c r="I414" i="1"/>
  <c r="I416" i="1"/>
  <c r="I417" i="1"/>
  <c r="I419" i="1"/>
  <c r="I420" i="1"/>
  <c r="I421" i="1"/>
  <c r="I423" i="1"/>
  <c r="I424" i="1"/>
  <c r="I425" i="1"/>
  <c r="I427" i="1"/>
  <c r="I429" i="1"/>
  <c r="I431" i="1"/>
  <c r="I432" i="1"/>
  <c r="I433" i="1"/>
  <c r="I435" i="1"/>
  <c r="I436" i="1"/>
  <c r="I437" i="1"/>
  <c r="I439" i="1"/>
  <c r="I440" i="1"/>
  <c r="I441" i="1"/>
  <c r="I443" i="1"/>
  <c r="I445" i="1"/>
  <c r="I446" i="1"/>
  <c r="I447" i="1"/>
  <c r="I448" i="1"/>
  <c r="F449" i="1"/>
  <c r="I444" i="1"/>
  <c r="I406" i="1"/>
  <c r="I407" i="1"/>
  <c r="I410" i="1"/>
  <c r="I412" i="1"/>
  <c r="I415" i="1"/>
  <c r="I418" i="1"/>
  <c r="I422" i="1"/>
  <c r="I426" i="1"/>
  <c r="I428" i="1"/>
  <c r="I430" i="1"/>
  <c r="I434" i="1"/>
  <c r="I438" i="1"/>
  <c r="I442" i="1"/>
  <c r="I394" i="1" l="1"/>
  <c r="J394" i="1"/>
  <c r="I405" i="1"/>
  <c r="J405" i="1"/>
  <c r="I401" i="1"/>
  <c r="J401" i="1"/>
  <c r="I397" i="1"/>
  <c r="J397" i="1"/>
  <c r="I393" i="1"/>
  <c r="J393" i="1"/>
  <c r="I389" i="1"/>
  <c r="J389" i="1"/>
  <c r="I386" i="1"/>
  <c r="J386" i="1"/>
  <c r="I408" i="1"/>
  <c r="J408" i="1"/>
  <c r="I398" i="1"/>
  <c r="J398" i="1"/>
  <c r="I390" i="1"/>
  <c r="J390" i="1"/>
  <c r="I404" i="1"/>
  <c r="J404" i="1"/>
  <c r="I400" i="1"/>
  <c r="J400" i="1"/>
  <c r="I396" i="1"/>
  <c r="J396" i="1"/>
  <c r="I392" i="1"/>
  <c r="J392" i="1"/>
  <c r="I388" i="1"/>
  <c r="J388" i="1"/>
  <c r="I387" i="1"/>
  <c r="J387" i="1"/>
  <c r="I402" i="1"/>
  <c r="J402" i="1"/>
  <c r="I385" i="1"/>
  <c r="J385" i="1"/>
  <c r="I449" i="1"/>
  <c r="J449" i="1"/>
  <c r="I409" i="1"/>
  <c r="J409" i="1"/>
  <c r="I403" i="1"/>
  <c r="J403" i="1"/>
  <c r="I399" i="1"/>
  <c r="J399" i="1"/>
  <c r="I395" i="1"/>
  <c r="J395" i="1"/>
  <c r="I391" i="1"/>
  <c r="J391" i="1"/>
  <c r="I384" i="1"/>
  <c r="F383" i="1"/>
  <c r="D383" i="1"/>
  <c r="X7" i="3" s="1"/>
  <c r="F341" i="1"/>
  <c r="F340" i="1"/>
  <c r="I140" i="1"/>
  <c r="I297" i="1"/>
  <c r="H297" i="1"/>
  <c r="E297" i="1"/>
  <c r="I383" i="1"/>
  <c r="AC7" i="3" s="1"/>
  <c r="H383" i="1"/>
  <c r="E383" i="1"/>
  <c r="Y7" i="3" s="1"/>
  <c r="F327" i="1"/>
  <c r="D322" i="1"/>
  <c r="D297" i="1" s="1"/>
  <c r="F321" i="1"/>
  <c r="F344" i="1"/>
  <c r="D6" i="4"/>
  <c r="F315" i="1"/>
  <c r="F314" i="1"/>
  <c r="F313" i="1"/>
  <c r="F312" i="1"/>
  <c r="F311" i="1"/>
  <c r="F307" i="1"/>
  <c r="F308" i="1"/>
  <c r="F217" i="1"/>
  <c r="J217" i="1" s="1"/>
  <c r="F215" i="1"/>
  <c r="J215" i="1" s="1"/>
  <c r="F183" i="1"/>
  <c r="J183" i="1" s="1"/>
  <c r="F184" i="1"/>
  <c r="J184" i="1" s="1"/>
  <c r="F185" i="1"/>
  <c r="J185" i="1" s="1"/>
  <c r="F186" i="1"/>
  <c r="J186" i="1" s="1"/>
  <c r="F187" i="1"/>
  <c r="J187" i="1" s="1"/>
  <c r="F188" i="1"/>
  <c r="J188" i="1" s="1"/>
  <c r="F189" i="1"/>
  <c r="J189" i="1" s="1"/>
  <c r="F190" i="1"/>
  <c r="J190" i="1" s="1"/>
  <c r="F191" i="1"/>
  <c r="J191" i="1" s="1"/>
  <c r="F192" i="1"/>
  <c r="J192" i="1" s="1"/>
  <c r="F193" i="1"/>
  <c r="J193" i="1" s="1"/>
  <c r="F194" i="1"/>
  <c r="J194" i="1" s="1"/>
  <c r="F195" i="1"/>
  <c r="J195" i="1" s="1"/>
  <c r="F196" i="1"/>
  <c r="J196" i="1" s="1"/>
  <c r="F197" i="1"/>
  <c r="J197" i="1" s="1"/>
  <c r="F198" i="1"/>
  <c r="J198" i="1" s="1"/>
  <c r="F199" i="1"/>
  <c r="J199" i="1" s="1"/>
  <c r="F200" i="1"/>
  <c r="J200" i="1" s="1"/>
  <c r="F201" i="1"/>
  <c r="J201" i="1" s="1"/>
  <c r="F202" i="1"/>
  <c r="J202" i="1" s="1"/>
  <c r="F203" i="1"/>
  <c r="J203" i="1" s="1"/>
  <c r="F204" i="1"/>
  <c r="J204" i="1" s="1"/>
  <c r="F205" i="1"/>
  <c r="J205" i="1" s="1"/>
  <c r="F206" i="1"/>
  <c r="J206" i="1" s="1"/>
  <c r="F207" i="1"/>
  <c r="J207" i="1" s="1"/>
  <c r="F208" i="1"/>
  <c r="J208" i="1" s="1"/>
  <c r="F209" i="1"/>
  <c r="J209" i="1" s="1"/>
  <c r="F210" i="1"/>
  <c r="J210" i="1" s="1"/>
  <c r="F211" i="1"/>
  <c r="J211" i="1" s="1"/>
  <c r="F212" i="1"/>
  <c r="J212" i="1" s="1"/>
  <c r="F213" i="1"/>
  <c r="J213" i="1" s="1"/>
  <c r="F214" i="1"/>
  <c r="J214" i="1" s="1"/>
  <c r="F216" i="1"/>
  <c r="J216" i="1" s="1"/>
  <c r="F182" i="1"/>
  <c r="J182" i="1" s="1"/>
  <c r="E75" i="1"/>
  <c r="H221" i="1"/>
  <c r="H140" i="1"/>
  <c r="D91" i="1"/>
  <c r="F91" i="1" s="1"/>
  <c r="J91" i="1" s="1"/>
  <c r="AD8" i="3"/>
  <c r="AD9" i="3"/>
  <c r="AD10" i="3"/>
  <c r="AD11" i="3"/>
  <c r="AD12" i="3"/>
  <c r="AD13" i="3"/>
  <c r="U3" i="3"/>
  <c r="U4" i="3"/>
  <c r="U5" i="3"/>
  <c r="U6" i="3"/>
  <c r="U7" i="3"/>
  <c r="U8" i="3"/>
  <c r="U9" i="3"/>
  <c r="U10" i="3"/>
  <c r="U11" i="3"/>
  <c r="U12" i="3"/>
  <c r="U13" i="3"/>
  <c r="U14" i="3"/>
  <c r="U2" i="3"/>
  <c r="F304" i="1"/>
  <c r="F303" i="1"/>
  <c r="F302" i="1"/>
  <c r="F299" i="1"/>
  <c r="F300" i="1"/>
  <c r="F342" i="1"/>
  <c r="F301" i="1"/>
  <c r="F305" i="1"/>
  <c r="F306" i="1"/>
  <c r="F309" i="1"/>
  <c r="F310" i="1"/>
  <c r="F316" i="1"/>
  <c r="F317" i="1"/>
  <c r="F318" i="1"/>
  <c r="F343" i="1"/>
  <c r="F319" i="1"/>
  <c r="F320" i="1"/>
  <c r="F323" i="1"/>
  <c r="F324" i="1"/>
  <c r="F325" i="1"/>
  <c r="F326" i="1"/>
  <c r="F328" i="1"/>
  <c r="F329" i="1"/>
  <c r="F330" i="1"/>
  <c r="F331" i="1"/>
  <c r="F332" i="1"/>
  <c r="F333" i="1"/>
  <c r="F334" i="1"/>
  <c r="F335" i="1"/>
  <c r="F336" i="1"/>
  <c r="F337" i="1"/>
  <c r="F338" i="1"/>
  <c r="F339" i="1"/>
  <c r="I345" i="1"/>
  <c r="I346" i="1"/>
  <c r="I347" i="1"/>
  <c r="I348" i="1"/>
  <c r="I349" i="1"/>
  <c r="I350" i="1"/>
  <c r="I351" i="1"/>
  <c r="I352" i="1"/>
  <c r="I353" i="1"/>
  <c r="I354" i="1"/>
  <c r="I355" i="1"/>
  <c r="I356" i="1"/>
  <c r="I357" i="1"/>
  <c r="I358" i="1"/>
  <c r="I359" i="1"/>
  <c r="I361" i="1"/>
  <c r="I362" i="1"/>
  <c r="I363" i="1"/>
  <c r="I364" i="1"/>
  <c r="I365" i="1"/>
  <c r="I366" i="1"/>
  <c r="I367" i="1"/>
  <c r="I368" i="1"/>
  <c r="I369" i="1"/>
  <c r="I370" i="1"/>
  <c r="I371" i="1"/>
  <c r="I372" i="1"/>
  <c r="I373" i="1"/>
  <c r="I374" i="1"/>
  <c r="I375" i="1"/>
  <c r="I376" i="1"/>
  <c r="I377" i="1"/>
  <c r="I378" i="1"/>
  <c r="I379" i="1"/>
  <c r="I380" i="1"/>
  <c r="I381" i="1"/>
  <c r="F298" i="1"/>
  <c r="I360" i="1"/>
  <c r="I339" i="1" l="1"/>
  <c r="J339" i="1"/>
  <c r="I331" i="1"/>
  <c r="J331" i="1"/>
  <c r="I320" i="1"/>
  <c r="J320" i="1"/>
  <c r="I300" i="1"/>
  <c r="J300" i="1"/>
  <c r="I338" i="1"/>
  <c r="J338" i="1"/>
  <c r="I334" i="1"/>
  <c r="J334" i="1"/>
  <c r="I330" i="1"/>
  <c r="J330" i="1"/>
  <c r="I325" i="1"/>
  <c r="J325" i="1"/>
  <c r="I319" i="1"/>
  <c r="J319" i="1"/>
  <c r="I316" i="1"/>
  <c r="J316" i="1"/>
  <c r="I305" i="1"/>
  <c r="J305" i="1"/>
  <c r="I299" i="1"/>
  <c r="J299" i="1"/>
  <c r="I307" i="1"/>
  <c r="J307" i="1"/>
  <c r="I314" i="1"/>
  <c r="J314" i="1"/>
  <c r="I321" i="1"/>
  <c r="J321" i="1"/>
  <c r="I335" i="1"/>
  <c r="J335" i="1"/>
  <c r="I326" i="1"/>
  <c r="J326" i="1"/>
  <c r="I306" i="1"/>
  <c r="J306" i="1"/>
  <c r="I304" i="1"/>
  <c r="J304" i="1"/>
  <c r="I341" i="1"/>
  <c r="J341" i="1"/>
  <c r="I337" i="1"/>
  <c r="J337" i="1"/>
  <c r="I333" i="1"/>
  <c r="J333" i="1"/>
  <c r="I329" i="1"/>
  <c r="J329" i="1"/>
  <c r="I324" i="1"/>
  <c r="J324" i="1"/>
  <c r="I343" i="1"/>
  <c r="J343" i="1"/>
  <c r="I310" i="1"/>
  <c r="J310" i="1"/>
  <c r="I301" i="1"/>
  <c r="J301" i="1"/>
  <c r="I302" i="1"/>
  <c r="J302" i="1"/>
  <c r="I311" i="1"/>
  <c r="J311" i="1"/>
  <c r="I315" i="1"/>
  <c r="J315" i="1"/>
  <c r="Z7" i="3"/>
  <c r="AD7" i="3" s="1"/>
  <c r="J383" i="1"/>
  <c r="I317" i="1"/>
  <c r="J317" i="1"/>
  <c r="I308" i="1"/>
  <c r="J308" i="1"/>
  <c r="I313" i="1"/>
  <c r="J313" i="1"/>
  <c r="I344" i="1"/>
  <c r="J344" i="1"/>
  <c r="I298" i="1"/>
  <c r="J298" i="1"/>
  <c r="I336" i="1"/>
  <c r="J336" i="1"/>
  <c r="I332" i="1"/>
  <c r="J332" i="1"/>
  <c r="I328" i="1"/>
  <c r="J328" i="1"/>
  <c r="I323" i="1"/>
  <c r="J323" i="1"/>
  <c r="I318" i="1"/>
  <c r="J318" i="1"/>
  <c r="I309" i="1"/>
  <c r="J309" i="1"/>
  <c r="I342" i="1"/>
  <c r="J342" i="1"/>
  <c r="I303" i="1"/>
  <c r="J303" i="1"/>
  <c r="I312" i="1"/>
  <c r="J312" i="1"/>
  <c r="I327" i="1"/>
  <c r="J327" i="1"/>
  <c r="I340" i="1"/>
  <c r="J340" i="1"/>
  <c r="F322" i="1"/>
  <c r="G383" i="1"/>
  <c r="AA7" i="3" s="1"/>
  <c r="AB7" i="3"/>
  <c r="I2" i="1"/>
  <c r="G297" i="1"/>
  <c r="E49" i="3"/>
  <c r="D49" i="3"/>
  <c r="C49" i="3"/>
  <c r="B49" i="3"/>
  <c r="C43" i="3"/>
  <c r="D43" i="3"/>
  <c r="E43" i="3"/>
  <c r="B43" i="3"/>
  <c r="J42" i="3"/>
  <c r="K42" i="3"/>
  <c r="L42" i="3"/>
  <c r="J41" i="3"/>
  <c r="K41" i="3"/>
  <c r="L41" i="3"/>
  <c r="I42" i="3"/>
  <c r="I41" i="3"/>
  <c r="G63" i="3"/>
  <c r="G65" i="3"/>
  <c r="G62" i="3"/>
  <c r="G66" i="3"/>
  <c r="G64" i="3"/>
  <c r="F55" i="3"/>
  <c r="G55" i="3" s="1"/>
  <c r="F58" i="3"/>
  <c r="G58" i="3" s="1"/>
  <c r="F57" i="3"/>
  <c r="G57" i="3" s="1"/>
  <c r="C57" i="3"/>
  <c r="F56" i="3"/>
  <c r="G56" i="3" s="1"/>
  <c r="F54" i="3"/>
  <c r="G54" i="3" s="1"/>
  <c r="F53" i="3"/>
  <c r="G53" i="3" s="1"/>
  <c r="F52" i="3"/>
  <c r="G52" i="3" s="1"/>
  <c r="I322" i="1" l="1"/>
  <c r="J322" i="1"/>
  <c r="F297" i="1"/>
  <c r="I221" i="1"/>
  <c r="E221" i="1"/>
  <c r="X6" i="3"/>
  <c r="AC6" i="3"/>
  <c r="Y6" i="3"/>
  <c r="F247" i="1"/>
  <c r="J247" i="1" s="1"/>
  <c r="Z6" i="3" l="1"/>
  <c r="AD6" i="3" s="1"/>
  <c r="J297" i="1"/>
  <c r="AA6" i="3"/>
  <c r="G75" i="1"/>
  <c r="AB6" i="3"/>
  <c r="G140" i="1"/>
  <c r="F243" i="1"/>
  <c r="I243" i="1" l="1"/>
  <c r="J243" i="1"/>
  <c r="I248" i="1"/>
  <c r="I250" i="1"/>
  <c r="I251" i="1"/>
  <c r="I252" i="1"/>
  <c r="I254" i="1"/>
  <c r="I255" i="1"/>
  <c r="I256" i="1"/>
  <c r="I258" i="1"/>
  <c r="I259" i="1"/>
  <c r="I260" i="1"/>
  <c r="I262" i="1"/>
  <c r="I263" i="1"/>
  <c r="I264" i="1"/>
  <c r="I266" i="1"/>
  <c r="I267" i="1"/>
  <c r="I268" i="1"/>
  <c r="I270" i="1"/>
  <c r="I271" i="1"/>
  <c r="I272" i="1"/>
  <c r="I274" i="1"/>
  <c r="I275" i="1"/>
  <c r="I276" i="1"/>
  <c r="I277" i="1"/>
  <c r="I278" i="1"/>
  <c r="I279" i="1"/>
  <c r="I280" i="1"/>
  <c r="I282" i="1"/>
  <c r="I283" i="1"/>
  <c r="I284" i="1"/>
  <c r="I286" i="1"/>
  <c r="I287" i="1"/>
  <c r="I288" i="1"/>
  <c r="I290" i="1"/>
  <c r="I291" i="1"/>
  <c r="I292" i="1"/>
  <c r="I294" i="1"/>
  <c r="F246" i="1"/>
  <c r="F245" i="1"/>
  <c r="I247" i="1"/>
  <c r="I249" i="1"/>
  <c r="I253" i="1"/>
  <c r="I257" i="1"/>
  <c r="I261" i="1"/>
  <c r="I265" i="1"/>
  <c r="I269" i="1"/>
  <c r="I273" i="1"/>
  <c r="I281" i="1"/>
  <c r="I285" i="1"/>
  <c r="I289" i="1"/>
  <c r="I293" i="1"/>
  <c r="I245" i="1" l="1"/>
  <c r="J245" i="1"/>
  <c r="I246" i="1"/>
  <c r="J246" i="1"/>
  <c r="D244" i="1"/>
  <c r="D221" i="1" s="1"/>
  <c r="F242" i="1"/>
  <c r="F241" i="1"/>
  <c r="F240" i="1"/>
  <c r="F239" i="1"/>
  <c r="F238" i="1"/>
  <c r="F237" i="1"/>
  <c r="F236" i="1"/>
  <c r="F235" i="1"/>
  <c r="F234" i="1"/>
  <c r="F233" i="1"/>
  <c r="F232" i="1"/>
  <c r="F231" i="1"/>
  <c r="F230" i="1"/>
  <c r="F229" i="1"/>
  <c r="F228" i="1"/>
  <c r="F227" i="1"/>
  <c r="F226" i="1"/>
  <c r="F225" i="1"/>
  <c r="F224" i="1"/>
  <c r="F223" i="1"/>
  <c r="F222" i="1"/>
  <c r="J222" i="1" s="1"/>
  <c r="I228" i="1" l="1"/>
  <c r="J228" i="1"/>
  <c r="I236" i="1"/>
  <c r="J236" i="1"/>
  <c r="I225" i="1"/>
  <c r="J225" i="1"/>
  <c r="I233" i="1"/>
  <c r="J233" i="1"/>
  <c r="I241" i="1"/>
  <c r="J241" i="1"/>
  <c r="I226" i="1"/>
  <c r="J226" i="1"/>
  <c r="I230" i="1"/>
  <c r="J230" i="1"/>
  <c r="I234" i="1"/>
  <c r="J234" i="1"/>
  <c r="I238" i="1"/>
  <c r="J238" i="1"/>
  <c r="I242" i="1"/>
  <c r="J242" i="1"/>
  <c r="I224" i="1"/>
  <c r="J224" i="1"/>
  <c r="I232" i="1"/>
  <c r="J232" i="1"/>
  <c r="I240" i="1"/>
  <c r="J240" i="1"/>
  <c r="I229" i="1"/>
  <c r="J229" i="1"/>
  <c r="I237" i="1"/>
  <c r="J237" i="1"/>
  <c r="I223" i="1"/>
  <c r="J223" i="1"/>
  <c r="I227" i="1"/>
  <c r="J227" i="1"/>
  <c r="I231" i="1"/>
  <c r="J231" i="1"/>
  <c r="I235" i="1"/>
  <c r="J235" i="1"/>
  <c r="I239" i="1"/>
  <c r="J239" i="1"/>
  <c r="I222" i="1"/>
  <c r="F244" i="1"/>
  <c r="G221" i="1"/>
  <c r="I244" i="1" l="1"/>
  <c r="J244" i="1"/>
  <c r="F221" i="1"/>
  <c r="L6" i="6"/>
  <c r="N13" i="6"/>
  <c r="B19" i="6" s="1"/>
  <c r="L5" i="6"/>
  <c r="L4" i="6"/>
  <c r="L3" i="6"/>
  <c r="J2" i="4"/>
  <c r="J6" i="4" s="1"/>
  <c r="K2" i="4"/>
  <c r="M1" i="6" l="1"/>
  <c r="Z5" i="3"/>
  <c r="J221" i="1"/>
  <c r="L13" i="6"/>
  <c r="L2" i="4"/>
  <c r="B7" i="4"/>
  <c r="D7" i="4"/>
  <c r="B17" i="6" l="1"/>
  <c r="C17" i="6"/>
  <c r="C7" i="4"/>
  <c r="D218" i="1"/>
  <c r="F218" i="1" s="1"/>
  <c r="J218" i="1" s="1"/>
  <c r="D219" i="1"/>
  <c r="E219" i="1"/>
  <c r="E140" i="1" s="1"/>
  <c r="D17" i="6" l="1"/>
  <c r="F219" i="1"/>
  <c r="J219" i="1" s="1"/>
  <c r="AC5" i="3"/>
  <c r="AB5" i="3"/>
  <c r="AD5" i="3"/>
  <c r="Y5" i="3"/>
  <c r="X5" i="3"/>
  <c r="AA5" i="3" l="1"/>
  <c r="F176" i="1"/>
  <c r="I176" i="1" l="1"/>
  <c r="J176" i="1"/>
  <c r="Q183" i="1"/>
  <c r="R183" i="1" s="1"/>
  <c r="Q184" i="1"/>
  <c r="R184" i="1" s="1"/>
  <c r="Q187" i="1"/>
  <c r="R187" i="1" s="1"/>
  <c r="Q181" i="1"/>
  <c r="R181" i="1" s="1"/>
  <c r="Q182" i="1"/>
  <c r="R182" i="1" s="1"/>
  <c r="Q185" i="1"/>
  <c r="R185" i="1" s="1"/>
  <c r="Q186" i="1"/>
  <c r="R186" i="1" s="1"/>
  <c r="F1048053" i="1"/>
  <c r="F181" i="1"/>
  <c r="J181" i="1" s="1"/>
  <c r="F149" i="1"/>
  <c r="J149" i="1" s="1"/>
  <c r="F159" i="1"/>
  <c r="J159" i="1" s="1"/>
  <c r="F148" i="1"/>
  <c r="J148" i="1" s="1"/>
  <c r="F175" i="1"/>
  <c r="J175" i="1" s="1"/>
  <c r="F179" i="1"/>
  <c r="J179" i="1" s="1"/>
  <c r="F141" i="1"/>
  <c r="J141" i="1" s="1"/>
  <c r="F162" i="1"/>
  <c r="J162" i="1" s="1"/>
  <c r="F152" i="1"/>
  <c r="J152" i="1" s="1"/>
  <c r="F145" i="1"/>
  <c r="J145" i="1" s="1"/>
  <c r="F174" i="1"/>
  <c r="J174" i="1" s="1"/>
  <c r="F144" i="1"/>
  <c r="J144" i="1" s="1"/>
  <c r="F153" i="1"/>
  <c r="J153" i="1" s="1"/>
  <c r="F158" i="1"/>
  <c r="J158" i="1" s="1"/>
  <c r="F155" i="1"/>
  <c r="J155" i="1" s="1"/>
  <c r="F170" i="1"/>
  <c r="J170" i="1" s="1"/>
  <c r="F169" i="1"/>
  <c r="J169" i="1" s="1"/>
  <c r="F143" i="1"/>
  <c r="J143" i="1" s="1"/>
  <c r="F177" i="1"/>
  <c r="J177" i="1" s="1"/>
  <c r="F157" i="1"/>
  <c r="J157" i="1" s="1"/>
  <c r="F156" i="1"/>
  <c r="J156" i="1" s="1"/>
  <c r="F147" i="1"/>
  <c r="J147" i="1" s="1"/>
  <c r="F146" i="1"/>
  <c r="J146" i="1" s="1"/>
  <c r="F178" i="1"/>
  <c r="J178" i="1" s="1"/>
  <c r="F173" i="1"/>
  <c r="J173" i="1" s="1"/>
  <c r="F172" i="1"/>
  <c r="J172" i="1" s="1"/>
  <c r="F165" i="1"/>
  <c r="J165" i="1" s="1"/>
  <c r="F161" i="1"/>
  <c r="J161" i="1" s="1"/>
  <c r="F160" i="1"/>
  <c r="J160" i="1" s="1"/>
  <c r="F154" i="1"/>
  <c r="J154" i="1" s="1"/>
  <c r="F151" i="1"/>
  <c r="J151" i="1" s="1"/>
  <c r="F164" i="1"/>
  <c r="J164" i="1" s="1"/>
  <c r="F163" i="1"/>
  <c r="J163" i="1" s="1"/>
  <c r="F180" i="1"/>
  <c r="J180" i="1" s="1"/>
  <c r="F142" i="1"/>
  <c r="J142" i="1" s="1"/>
  <c r="F150" i="1"/>
  <c r="J150" i="1" s="1"/>
  <c r="F171" i="1"/>
  <c r="J171" i="1" s="1"/>
  <c r="F90" i="1"/>
  <c r="J90" i="1" s="1"/>
  <c r="F89" i="1"/>
  <c r="J89" i="1" s="1"/>
  <c r="F88" i="1"/>
  <c r="J88" i="1" s="1"/>
  <c r="F87" i="1"/>
  <c r="J87" i="1" s="1"/>
  <c r="F86" i="1"/>
  <c r="J86" i="1" s="1"/>
  <c r="F85" i="1"/>
  <c r="J85" i="1" s="1"/>
  <c r="F84" i="1"/>
  <c r="J84" i="1" s="1"/>
  <c r="F83" i="1"/>
  <c r="J83" i="1" s="1"/>
  <c r="F82" i="1"/>
  <c r="J82" i="1" s="1"/>
  <c r="F81" i="1"/>
  <c r="J81" i="1" s="1"/>
  <c r="F80" i="1"/>
  <c r="J80" i="1" s="1"/>
  <c r="F79" i="1"/>
  <c r="J79" i="1" s="1"/>
  <c r="F78" i="1"/>
  <c r="J78" i="1" s="1"/>
  <c r="F77" i="1"/>
  <c r="J77" i="1" s="1"/>
  <c r="F19" i="1"/>
  <c r="J19" i="1" s="1"/>
  <c r="F18" i="1"/>
  <c r="J18" i="1" s="1"/>
  <c r="F17" i="1"/>
  <c r="J17" i="1" s="1"/>
  <c r="F16" i="1"/>
  <c r="J16" i="1" s="1"/>
  <c r="F15" i="1"/>
  <c r="J15" i="1" s="1"/>
  <c r="F14" i="1"/>
  <c r="J14" i="1" s="1"/>
  <c r="F13" i="1"/>
  <c r="J13" i="1" s="1"/>
  <c r="F12" i="1"/>
  <c r="J12" i="1" s="1"/>
  <c r="F11" i="1"/>
  <c r="J11" i="1" s="1"/>
  <c r="F10" i="1"/>
  <c r="J10" i="1" s="1"/>
  <c r="F9" i="1"/>
  <c r="J9" i="1" s="1"/>
  <c r="F8" i="1"/>
  <c r="J8" i="1" s="1"/>
  <c r="F7" i="1"/>
  <c r="J7" i="1" s="1"/>
  <c r="F6" i="1"/>
  <c r="J6" i="1" s="1"/>
  <c r="F5" i="1"/>
  <c r="J5" i="1" s="1"/>
  <c r="F4" i="1"/>
  <c r="J4" i="1" s="1"/>
  <c r="I150" i="1" l="1"/>
  <c r="I142" i="1"/>
  <c r="I180" i="1"/>
  <c r="I163" i="1"/>
  <c r="I164" i="1"/>
  <c r="I151" i="1"/>
  <c r="I154" i="1"/>
  <c r="I160" i="1"/>
  <c r="I161" i="1"/>
  <c r="I165" i="1"/>
  <c r="I172" i="1"/>
  <c r="I173" i="1"/>
  <c r="I178" i="1"/>
  <c r="I146" i="1"/>
  <c r="I147" i="1"/>
  <c r="I156" i="1"/>
  <c r="I157" i="1"/>
  <c r="I177" i="1"/>
  <c r="I143" i="1"/>
  <c r="I169" i="1"/>
  <c r="I170" i="1"/>
  <c r="I155" i="1"/>
  <c r="I158" i="1"/>
  <c r="I153" i="1"/>
  <c r="I144" i="1"/>
  <c r="I174" i="1"/>
  <c r="I145" i="1"/>
  <c r="I152" i="1"/>
  <c r="I162" i="1"/>
  <c r="I179" i="1"/>
  <c r="I175" i="1"/>
  <c r="I148" i="1"/>
  <c r="I159" i="1"/>
  <c r="I149" i="1"/>
  <c r="I181" i="1"/>
  <c r="I182" i="1"/>
  <c r="I183" i="1"/>
  <c r="I184" i="1"/>
  <c r="I185" i="1"/>
  <c r="I186" i="1"/>
  <c r="I187" i="1"/>
  <c r="I188" i="1"/>
  <c r="I189" i="1"/>
  <c r="I190" i="1"/>
  <c r="I191" i="1"/>
  <c r="I192" i="1"/>
  <c r="I193" i="1"/>
  <c r="I194" i="1"/>
  <c r="I195" i="1"/>
  <c r="I196" i="1"/>
  <c r="I197" i="1"/>
  <c r="I198" i="1"/>
  <c r="I199" i="1"/>
  <c r="I200" i="1"/>
  <c r="I201" i="1"/>
  <c r="I202" i="1"/>
  <c r="I203" i="1"/>
  <c r="I204" i="1"/>
  <c r="I205" i="1"/>
  <c r="I206" i="1"/>
  <c r="I207" i="1"/>
  <c r="I208" i="1"/>
  <c r="I209" i="1"/>
  <c r="I210" i="1"/>
  <c r="I211" i="1"/>
  <c r="I212" i="1"/>
  <c r="I213" i="1"/>
  <c r="I214" i="1"/>
  <c r="I215" i="1"/>
  <c r="I216" i="1"/>
  <c r="I217" i="1"/>
  <c r="I218" i="1"/>
  <c r="I171" i="1"/>
  <c r="AB4" i="3"/>
  <c r="D168" i="1" l="1"/>
  <c r="F168" i="1" s="1"/>
  <c r="D167" i="1"/>
  <c r="F167" i="1" s="1"/>
  <c r="I167" i="1" l="1"/>
  <c r="J167" i="1"/>
  <c r="I168" i="1"/>
  <c r="J168" i="1"/>
  <c r="AC4" i="3"/>
  <c r="I141" i="1"/>
  <c r="D166" i="1" l="1"/>
  <c r="D140" i="1" s="1"/>
  <c r="F166" i="1" l="1"/>
  <c r="J166" i="1" s="1"/>
  <c r="X4" i="3"/>
  <c r="AC3" i="3"/>
  <c r="I166" i="1" l="1"/>
  <c r="AA4" i="3"/>
  <c r="E2" i="1"/>
  <c r="AB3" i="3" l="1"/>
  <c r="D76" i="1"/>
  <c r="D75" i="1" s="1"/>
  <c r="F76" i="1" l="1"/>
  <c r="F75" i="1" l="1"/>
  <c r="J75" i="1" s="1"/>
  <c r="J76" i="1"/>
  <c r="AA3" i="3"/>
  <c r="X3" i="3"/>
  <c r="Z3" i="3" l="1"/>
  <c r="AD3" i="3" s="1"/>
  <c r="AC2" i="3"/>
  <c r="AC14" i="3" s="1"/>
  <c r="AC15" i="3" s="1"/>
  <c r="AB2" i="3"/>
  <c r="AB14" i="3" s="1"/>
  <c r="AB15" i="3" s="1"/>
  <c r="D3" i="1"/>
  <c r="D2" i="1" s="1"/>
  <c r="F3" i="1" l="1"/>
  <c r="AA2" i="3"/>
  <c r="AA14" i="3" s="1"/>
  <c r="AA15" i="3" s="1"/>
  <c r="F2" i="1" l="1"/>
  <c r="J2" i="1" s="1"/>
  <c r="J3" i="1"/>
  <c r="Y2" i="3"/>
  <c r="X2" i="3" l="1"/>
  <c r="X14" i="3" s="1"/>
  <c r="X15" i="3" s="1"/>
  <c r="Z2" i="3" l="1"/>
  <c r="AD2" i="3" s="1"/>
  <c r="I6" i="4" l="1"/>
  <c r="B6" i="4" s="1"/>
  <c r="K6" i="4" l="1"/>
  <c r="C6" i="4" l="1"/>
  <c r="C1" i="4" s="1"/>
  <c r="Y4" i="3" l="1"/>
  <c r="I219" i="1" l="1"/>
  <c r="F140" i="1"/>
  <c r="Y3" i="3"/>
  <c r="Z4" i="3" l="1"/>
  <c r="J140" i="1"/>
  <c r="Z14" i="3"/>
  <c r="AD4" i="3"/>
  <c r="Y14" i="3"/>
  <c r="Y15" i="3" l="1"/>
  <c r="L46" i="3"/>
  <c r="AD14" i="3"/>
  <c r="Z15" i="3"/>
  <c r="B21" i="6" l="1"/>
  <c r="B20" i="6" s="1"/>
</calcChain>
</file>

<file path=xl/sharedStrings.xml><?xml version="1.0" encoding="utf-8"?>
<sst xmlns="http://schemas.openxmlformats.org/spreadsheetml/2006/main" count="2780" uniqueCount="560">
  <si>
    <t>Vendas</t>
  </si>
  <si>
    <t>Item</t>
  </si>
  <si>
    <t>Pago</t>
  </si>
  <si>
    <t>Vendido</t>
  </si>
  <si>
    <t>Lucro</t>
  </si>
  <si>
    <t>Situação</t>
  </si>
  <si>
    <t>Janeiro</t>
  </si>
  <si>
    <t>Cliente</t>
  </si>
  <si>
    <t>Fevereiro</t>
  </si>
  <si>
    <t>Março</t>
  </si>
  <si>
    <t>Abril</t>
  </si>
  <si>
    <t>Maio</t>
  </si>
  <si>
    <t>Junho</t>
  </si>
  <si>
    <t>Julho</t>
  </si>
  <si>
    <t>Agosto</t>
  </si>
  <si>
    <t>Setembro</t>
  </si>
  <si>
    <t>Outubro</t>
  </si>
  <si>
    <t>Novembro</t>
  </si>
  <si>
    <t>Dezembro</t>
  </si>
  <si>
    <t>Gasto</t>
  </si>
  <si>
    <t>Venda</t>
  </si>
  <si>
    <t>QT</t>
  </si>
  <si>
    <t>QV Shopee</t>
  </si>
  <si>
    <t>Total</t>
  </si>
  <si>
    <t>Nome</t>
  </si>
  <si>
    <t>Gerente tatico</t>
  </si>
  <si>
    <t>Pedro</t>
  </si>
  <si>
    <t>Carlos ETB</t>
  </si>
  <si>
    <t>Rafael portaria</t>
  </si>
  <si>
    <t>Gian</t>
  </si>
  <si>
    <t>Valor</t>
  </si>
  <si>
    <t>Falta</t>
  </si>
  <si>
    <t>Pagou</t>
  </si>
  <si>
    <t>OBS</t>
  </si>
  <si>
    <t>Caloteiros</t>
  </si>
  <si>
    <t>Shopee</t>
  </si>
  <si>
    <t>V. BSB</t>
  </si>
  <si>
    <t>QT. Local</t>
  </si>
  <si>
    <t xml:space="preserve">A vitoria e certa </t>
  </si>
  <si>
    <t>Prestação</t>
  </si>
  <si>
    <t>Parcelas</t>
  </si>
  <si>
    <t>Data</t>
  </si>
  <si>
    <t>V.J</t>
  </si>
  <si>
    <t>BSB</t>
  </si>
  <si>
    <t>Relogio rose</t>
  </si>
  <si>
    <t>globo de luz</t>
  </si>
  <si>
    <t>fone 14</t>
  </si>
  <si>
    <t>fone go</t>
  </si>
  <si>
    <t>fone shopee</t>
  </si>
  <si>
    <t>suporte moto</t>
  </si>
  <si>
    <t>tv box</t>
  </si>
  <si>
    <t>pasta hinode</t>
  </si>
  <si>
    <t>fita drl</t>
  </si>
  <si>
    <t>ginastica</t>
  </si>
  <si>
    <t>formataçao</t>
  </si>
  <si>
    <t>aquario jad</t>
  </si>
  <si>
    <t>Garrafa de água dobrável Yellowstone 425ml com grampo Carabina</t>
  </si>
  <si>
    <t>Jogo De Chave Torx E Allen 8 Pecas - Nipo - Sq</t>
  </si>
  <si>
    <t>ACENDEDOR DE FOGÃO</t>
  </si>
  <si>
    <t>Maquina Higiênica Aparador De Pelos Nariz E Orelha</t>
  </si>
  <si>
    <t>Cabo de Dados KinGo para Iphone</t>
  </si>
  <si>
    <t>Baterias Gimex Cr2016 3v Litio Lithium</t>
  </si>
  <si>
    <t>Cabo Micro Usb v8 , serve em vários aparelhos eletrônicos celulares</t>
  </si>
  <si>
    <t>Suporte Adesivo Celular Gel Mágico Cola Reutilizável</t>
  </si>
  <si>
    <t>Suporte Veicular para Celular THIS IS ONE</t>
  </si>
  <si>
    <t>Bateria De Litio 3v Tipo Botão CR2025 Knup Kp-bt2025</t>
  </si>
  <si>
    <t>MÁQUINA CORTAR CABELO À PILHA MAX-71012 /go</t>
  </si>
  <si>
    <t>Adaptador OTG USB V8</t>
  </si>
  <si>
    <t>Hub Usb 2.0 4 Portas - Extensor Hi-Speed 480mbps LEY-11 - Lehmox</t>
  </si>
  <si>
    <t>Grafite Em Po 25g Emavi De Uso Geral P/ Caneletas Cadeados E Fechaduras</t>
  </si>
  <si>
    <t>Kit Reparo Pneu Abs Remendo Sem Camara Carros Motos</t>
  </si>
  <si>
    <t>Rede Elástica Aranha P/ Moto Capacete 30cm X 30cm Bagageiro /GO</t>
  </si>
  <si>
    <t>Chapéu Australiano Pesca Caminhada Camping Proteção Nuca Sol</t>
  </si>
  <si>
    <t>Alicate de remoção de cabo coaxial / alicate rotativo / cortador de cabo coaxial Monster</t>
  </si>
  <si>
    <t>Afiador Amolador De Facas Tesoura Canivete Facão C/ Ventosa</t>
  </si>
  <si>
    <t>Suporte Gamepad Para Celular Pubg Free Fire Ajustável - Ko Gamer</t>
  </si>
  <si>
    <t>Limpa Tela e Lentes 60ml + Flanela</t>
  </si>
  <si>
    <t>Bateria Litio 2032 Unitário Cr2032 1 unidades</t>
  </si>
  <si>
    <t>Lâmpada LED Giratória Rgb Rotativa Mini Bola Maluca Luz Festa - Import</t>
  </si>
  <si>
    <t>Caneta Testador De Dinheiro Nota Falsa Money Teste Detector</t>
  </si>
  <si>
    <t>Bateria 9v Hw Original Comum Não Recarregável</t>
  </si>
  <si>
    <t>Capa De Braço Suporte Braçadeira De Celular Corrida Academia</t>
  </si>
  <si>
    <t>Fio de Solda Estanho arame de solda 1mm15g 1 Unidade</t>
  </si>
  <si>
    <t>Bateria A23 12v 1unidade Ótima Qualidade</t>
  </si>
  <si>
    <t>Suporte De Lanterna Tática Para Guidão Bicicleta 360° M01</t>
  </si>
  <si>
    <t>Cabo Dados Carregador USB 30 Pinos Para iPhone 4 iPad iPod</t>
  </si>
  <si>
    <t>Fio Fada Prata Cordão Luz Cores Natal 2m 20 Leds Pilh</t>
  </si>
  <si>
    <t>Mouse Multilaser Classic Box Optico</t>
  </si>
  <si>
    <t>Placa Adaptador De Som Usb 7.1 Canais 3d Adaptador Audio Pc</t>
  </si>
  <si>
    <t>Pilha Bateria 12v A27 Fina Super Power Controle Portão Alarme</t>
  </si>
  <si>
    <t>Fios Luz De Fada String Light 2m 20 Leds Rolha Decor</t>
  </si>
  <si>
    <t>Lampada Ring Light Efeito SunSet DIRETO DE DUBAI!!!!!!!</t>
  </si>
  <si>
    <t>Gamepad Suporte Controle Joystick Com Gatilhos Para Celular kingo YX-02</t>
  </si>
  <si>
    <t>Luminária de Led RGB c/ Caixa de Som (via Bluetooth)</t>
  </si>
  <si>
    <t>mini luminária de LED com controle remoto 3 em 1</t>
  </si>
  <si>
    <t>Bolas LOL Surprise + 1 Boneca + 4 Cards Para Meninas</t>
  </si>
  <si>
    <t>Mandril 1/2 Com Chave - Super 1.5 a 13mm - Encaixe Rosca 1/2 X 20 UNF</t>
  </si>
  <si>
    <t>Mini umidificador de ar ultrassônico, difusor de óleo essencial, 220ml, lâmpada led, purificador de carro, produtor de névoa com luz romântica</t>
  </si>
  <si>
    <t>Kit Reparo Remendo Borracheiro Pneu Sem Câmara Carro Moto</t>
  </si>
  <si>
    <t>ADESIVO COLA RATO - RATOEIRA ADESIVA HM</t>
  </si>
  <si>
    <t>Lanterna Lampião 6+1 LED Recarregável Bivolt com USB - JH-5800T</t>
  </si>
  <si>
    <t>A 70 Spray Líquido 200 ml - Nutriex</t>
  </si>
  <si>
    <t>Pop It Colorido Personagens Anime Naruto  Antistress</t>
  </si>
  <si>
    <t>Mini Máquina De Costura Manual Portátil De Mão Tecido</t>
  </si>
  <si>
    <t>Aspirador de Pó e Líquido Automotivo Portátil 12V 60W com Luz de LED Preto e Vermelho</t>
  </si>
  <si>
    <t>Organizador Para Lateral De Asiento Auto Carro -- AZUL</t>
  </si>
  <si>
    <t>Suporte Segurador Slim Anti Queda Compatível Com AirPods - Branco</t>
  </si>
  <si>
    <t>shopee</t>
  </si>
  <si>
    <t>Valor total</t>
  </si>
  <si>
    <t>Raquete mata mosquito</t>
  </si>
  <si>
    <t>Fone de ouvido pmcell</t>
  </si>
  <si>
    <t xml:space="preserve">Tv box </t>
  </si>
  <si>
    <t>placa bem vindo</t>
  </si>
  <si>
    <t>canivete</t>
  </si>
  <si>
    <t>Cabo impressora</t>
  </si>
  <si>
    <t>carregador relogio</t>
  </si>
  <si>
    <t xml:space="preserve">note 11 </t>
  </si>
  <si>
    <t>fone y30</t>
  </si>
  <si>
    <t>cartao de memoria</t>
  </si>
  <si>
    <t>bateria controle xbox</t>
  </si>
  <si>
    <t>vga para hdmi</t>
  </si>
  <si>
    <t>Bateria Recarregável 6800 V 3.7 mAh 26650 Protegido Li-ion Battery para Lanterna Farol Levou Acessório</t>
  </si>
  <si>
    <t>Cortador De Unha Linksky  OTIMA QUALIDADE!!</t>
  </si>
  <si>
    <t>FURADOR DE COURO 3mm,4mm,5mm – Kit Vazador</t>
  </si>
  <si>
    <t>Globo de luz de discoteca rotativo para festas,</t>
  </si>
  <si>
    <t>Lanterna Multiuso 8 Em 1 Com Ferramentas Sd-890 Elétrica Aaa</t>
  </si>
  <si>
    <t>Mini Morsa de Bancada - ID 6463M - Mini Morsa - Otima Qualidade.</t>
  </si>
  <si>
    <t>Pintinho Amarelinho De Pelúcia Dar Corda</t>
  </si>
  <si>
    <t>Silicone De Banho Corpo Cinto Esfoliante 😱😱</t>
  </si>
  <si>
    <t>led refletor</t>
  </si>
  <si>
    <t xml:space="preserve">carregador unirversal </t>
  </si>
  <si>
    <t>fone de ouvidos china</t>
  </si>
  <si>
    <t>cabo tipo-c</t>
  </si>
  <si>
    <t>central led</t>
  </si>
  <si>
    <t>corrente bike</t>
  </si>
  <si>
    <t>pistola de bolha</t>
  </si>
  <si>
    <t>controle tv box</t>
  </si>
  <si>
    <t xml:space="preserve">capinha celular </t>
  </si>
  <si>
    <t>pelicula</t>
  </si>
  <si>
    <t>d20</t>
  </si>
  <si>
    <t>carregador 35</t>
  </si>
  <si>
    <t>purificador</t>
  </si>
  <si>
    <t>pistola de limpeza</t>
  </si>
  <si>
    <t>suporte celuar</t>
  </si>
  <si>
    <t>regua 5</t>
  </si>
  <si>
    <t>kit de chave celular</t>
  </si>
  <si>
    <t>copo starlei</t>
  </si>
  <si>
    <t>regua pequena</t>
  </si>
  <si>
    <t>smartwhat x8</t>
  </si>
  <si>
    <t>SSD 240gb</t>
  </si>
  <si>
    <t>perfume hinode</t>
  </si>
  <si>
    <t xml:space="preserve">note 10s </t>
  </si>
  <si>
    <t>64GB/4GB</t>
  </si>
  <si>
    <t>128GB/4GB</t>
  </si>
  <si>
    <t>128GB/6GB</t>
  </si>
  <si>
    <t>Redmi POCO GT</t>
  </si>
  <si>
    <t>Redmi NOTE 11</t>
  </si>
  <si>
    <t>Redmi NOTE 10S</t>
  </si>
  <si>
    <t>Redmi POCO M3</t>
  </si>
  <si>
    <t>Redmi 9T</t>
  </si>
  <si>
    <t>Redmi 9C</t>
  </si>
  <si>
    <t>Preto</t>
  </si>
  <si>
    <t>Azul</t>
  </si>
  <si>
    <t>Amarelo</t>
  </si>
  <si>
    <t>Branco</t>
  </si>
  <si>
    <t>256 GB/8GB</t>
  </si>
  <si>
    <t>lucro</t>
  </si>
  <si>
    <t xml:space="preserve">inflavel </t>
  </si>
  <si>
    <t>suporte celular bike</t>
  </si>
  <si>
    <t>corretor de postura</t>
  </si>
  <si>
    <t>carregador iphone</t>
  </si>
  <si>
    <t>APARELHO DE BARBEAR METAL HM-10 HOME&amp;HOME</t>
  </si>
  <si>
    <t>Calculadora Eletrônica - Idea 8 Dígitos Suporte Id - 9727c</t>
  </si>
  <si>
    <t>Conjunto de chave de fenda de precisão de 6 peça</t>
  </si>
  <si>
    <t>KIT COSTURA 24PCS</t>
  </si>
  <si>
    <t>Kit De Chaves Precisão 31 Peças Torx Alen Philips Fenda</t>
  </si>
  <si>
    <t>Kit Mini Fusível Com 10 Peça Para Automóvel Nacional E Importado</t>
  </si>
  <si>
    <t>Maçarico Portátil Profissional Encaixe 1,300°c Ignição Automática, Soldas E Narguilé</t>
  </si>
  <si>
    <t>Pasta para Soldar Cobix Pote 110g Plastico Solda</t>
  </si>
  <si>
    <t>Relógio De Parede Redondo Preto E Branco Nativo Analógico 23cm</t>
  </si>
  <si>
    <t>Super Cola Instantânea Metal Madeira e Plástico 1un</t>
  </si>
  <si>
    <t>Termômetro Culinário Digital Espeto Alimento Cozinha Tp101</t>
  </si>
  <si>
    <t>Não foi possível obter informações do produto devido à exclusão</t>
  </si>
  <si>
    <t>Kit Agulha Mão Agulheiro Costura Passador Linha</t>
  </si>
  <si>
    <t>kit reparo</t>
  </si>
  <si>
    <t>Produto</t>
  </si>
  <si>
    <t xml:space="preserve">Capinha iphone </t>
  </si>
  <si>
    <t>cabo y vga</t>
  </si>
  <si>
    <t>maquina de cortar tempero</t>
  </si>
  <si>
    <t xml:space="preserve">Vandas NF </t>
  </si>
  <si>
    <t xml:space="preserve">Raquete </t>
  </si>
  <si>
    <t>Quantidade</t>
  </si>
  <si>
    <t>Valor vendido</t>
  </si>
  <si>
    <t>Y VGA</t>
  </si>
  <si>
    <t>Valor de vendas na shopee</t>
  </si>
  <si>
    <t>Mês</t>
  </si>
  <si>
    <t>Total Shopee</t>
  </si>
  <si>
    <t>Total NF</t>
  </si>
  <si>
    <t>Maximo de NF</t>
  </si>
  <si>
    <t>D.P</t>
  </si>
  <si>
    <t>Pessoa</t>
  </si>
  <si>
    <t>Guatag</t>
  </si>
  <si>
    <t>Notas canceladas</t>
  </si>
  <si>
    <t>Caixa de som charg 3+</t>
  </si>
  <si>
    <t>fone de ouvido preto</t>
  </si>
  <si>
    <t>taiser verde</t>
  </si>
  <si>
    <t>bomba de agua simples</t>
  </si>
  <si>
    <t>tela de janela</t>
  </si>
  <si>
    <t>Renata</t>
  </si>
  <si>
    <t>Mouse pad</t>
  </si>
  <si>
    <t>himel hinode</t>
  </si>
  <si>
    <t>Adaptdor bluet</t>
  </si>
  <si>
    <t>kit cabelereiro</t>
  </si>
  <si>
    <t>maquina de corta babelo</t>
  </si>
  <si>
    <t>capinha documentos</t>
  </si>
  <si>
    <t>Ferramenta universal</t>
  </si>
  <si>
    <t>fone simples</t>
  </si>
  <si>
    <t>blogo de luz</t>
  </si>
  <si>
    <t>produto academia</t>
  </si>
  <si>
    <t>Valor CPF</t>
  </si>
  <si>
    <t>Media restante</t>
  </si>
  <si>
    <t>Caneca com Mixer Misturador de Café Cremoso Leite Automática Elétrica</t>
  </si>
  <si>
    <t>Globo de luz de discoteca rotativo, para festas, 3w, rgb luzes de palco para sua casa, para natal, para karaokê, natal show de casamento</t>
  </si>
  <si>
    <t>Produtos fisicos</t>
  </si>
  <si>
    <t>Valor gasto</t>
  </si>
  <si>
    <t>Qunt</t>
  </si>
  <si>
    <t>Produtos online</t>
  </si>
  <si>
    <t>Valor unitario</t>
  </si>
  <si>
    <t>%</t>
  </si>
  <si>
    <t>Globo de luz de discoteca rotativo para festas</t>
  </si>
  <si>
    <t>Super Mini Taser Defense Choque Ideal Para</t>
  </si>
  <si>
    <t>Mini Máquina De Costura Manual Portátil</t>
  </si>
  <si>
    <t>Suporte Anti-Perda Para Fone De Ouvido Sem Fio</t>
  </si>
  <si>
    <t>ESPELHO RETROVISOR PARA BIKE</t>
  </si>
  <si>
    <t>Kit Reparo Para Pneu Sem Câmara</t>
  </si>
  <si>
    <t>Caneta inteligente</t>
  </si>
  <si>
    <t>linha de costura</t>
  </si>
  <si>
    <t>12 meses</t>
  </si>
  <si>
    <t>5 meses</t>
  </si>
  <si>
    <t>ML</t>
  </si>
  <si>
    <t>Fone b8</t>
  </si>
  <si>
    <t>Taiser azul</t>
  </si>
  <si>
    <t>Pelicula 3d</t>
  </si>
  <si>
    <t>Fone xaiome azul</t>
  </si>
  <si>
    <t>canhao de led festa</t>
  </si>
  <si>
    <t>Bateria Eken Original PG1050 Li-Ion 3.7 v 1050mAh Extra para Câmera H9R H9RS H6S sjcam SJ4000 SJ5000 + Carregador</t>
  </si>
  <si>
    <t>Calculadora Científica Xhaday Xh-82ms-a-10 Engenharia</t>
  </si>
  <si>
    <t>Capa Para Celular Impermeável - Aquática - Cores Sortidas</t>
  </si>
  <si>
    <t>Carregador Tomada Plug Adaptador Fonte Usb Bivolt 5w 2.1a</t>
  </si>
  <si>
    <t>Extensor Hdmi 30 Metros Via 1 Cabo Rede Rj45 Cat5e/6 Cobre</t>
  </si>
  <si>
    <t>Fone De Ouvido KinGo</t>
  </si>
  <si>
    <t>Jogo Chaves Precisão 31 Peças Celular Notebooks Relojoeiro!</t>
  </si>
  <si>
    <t>KIT CHAVE CATRACA COM PONTAS E SOQUETES 17 PEÇAS 123ÚTIL</t>
  </si>
  <si>
    <t>Kit Costura Agulha Linha</t>
  </si>
  <si>
    <t>Kit Reparo Remendo Borracheiro Pneu Sem Câmara Carro Moto prata</t>
  </si>
  <si>
    <t>Lanterna C/ Choque Type 1101 Light Flashlight</t>
  </si>
  <si>
    <t>Linha Costura Coloridas Kit 10 Tubos Cores Sortidas</t>
  </si>
  <si>
    <t>MINI PINÇAS PARA DEPILAÇÃO E SOBRANCELHAS</t>
  </si>
  <si>
    <t>PLUG ADAPTADOR P10 FÊMEA X P2 MACHO</t>
  </si>
  <si>
    <t>Sugador De Solda Alumínio Com Bico</t>
  </si>
  <si>
    <t>Suporte Segurador Slim Anti Queda Compatível Com AirPods</t>
  </si>
  <si>
    <t>Universal 3.5mm Bluetooth Car Kit A2DP Transmissor FM Sem Fio AUX Áudio Receptor de Música Adaptador Handsfree Mic Para Speaker Fone De Ouvido Com Caixa</t>
  </si>
  <si>
    <t>Globo de luz de discoteca rotativo, para festas, 3w, rgb luzes de palco para sua casa, para natal, para karaokê, natal show de casamento, 3w, rgb luzes de palco para sua casa, para natal, para karaokê, natal show de casamento</t>
  </si>
  <si>
    <t>modulo</t>
  </si>
  <si>
    <t>Smartwhat d20</t>
  </si>
  <si>
    <t>regua estençao</t>
  </si>
  <si>
    <t>porta documentos</t>
  </si>
  <si>
    <t>Academia</t>
  </si>
  <si>
    <t>Smartwhat x8</t>
  </si>
  <si>
    <t>Valor Shopee</t>
  </si>
  <si>
    <t>Valor Magalu</t>
  </si>
  <si>
    <t xml:space="preserve">globo de luz </t>
  </si>
  <si>
    <t xml:space="preserve">processador </t>
  </si>
  <si>
    <t>T e tomada</t>
  </si>
  <si>
    <t xml:space="preserve">grampeador </t>
  </si>
  <si>
    <t xml:space="preserve">controle jogo </t>
  </si>
  <si>
    <t>kit ferramenta</t>
  </si>
  <si>
    <t>luvas</t>
  </si>
  <si>
    <t>martelo</t>
  </si>
  <si>
    <t xml:space="preserve">cabo iphone </t>
  </si>
  <si>
    <t>fone b05</t>
  </si>
  <si>
    <t>toca + pescoço</t>
  </si>
  <si>
    <t>cadeira</t>
  </si>
  <si>
    <t>junho</t>
  </si>
  <si>
    <t>maleta ferramentas</t>
  </si>
  <si>
    <t>Bonecos Lego Heroes Skate 8cm</t>
  </si>
  <si>
    <t>Cabo ADAPTADOR de computador VGA para HDMI - 1,8 metros banhados (EC-2723). USO PARA PC (LEIA TODA A DESCRIÇÃO).</t>
  </si>
  <si>
    <t>Chave para Mandril HT S02 - 13 MM P/MANDRIL 10 MM - 3/8</t>
  </si>
  <si>
    <t>Dominó Profissional de Pvc - Azul</t>
  </si>
  <si>
    <t>Jardinagem do agregado familiar corte de grama foice agrícola dobrável alça longa mão foice manganês lâmina aço ferramentas capina</t>
  </si>
  <si>
    <t>Kit de costura maleta completa 12cm de plástico</t>
  </si>
  <si>
    <t>Kit Tesouras Reta E Dentada Pente Cabeleireiro E Barbeiro</t>
  </si>
  <si>
    <t>Pendente Luz De Inspeção com Lâmpada P/ Mecânico 12v</t>
  </si>
  <si>
    <t>Ponta Cônica Ferro Solda  Mxt Ml-108-p</t>
  </si>
  <si>
    <t>Protetor De Rg Capa Proteção Porta Documento Novo Rg 100% Acrílico</t>
  </si>
  <si>
    <t>Ratinho De Brinquedo A Corda Rato Realista Pet Gato Crianças</t>
  </si>
  <si>
    <t>Relógio Inteligente Smartwatch D20 Bluetooth Monitor Saúde</t>
  </si>
  <si>
    <t>Suporte Para Celular Bate Cola Ventosa Sucçao Magica</t>
  </si>
  <si>
    <t>Fone vermelho</t>
  </si>
  <si>
    <t>Perfume doll</t>
  </si>
  <si>
    <t>Beyblade pista</t>
  </si>
  <si>
    <t>Beyblade</t>
  </si>
  <si>
    <t>ADS</t>
  </si>
  <si>
    <t>laiser</t>
  </si>
  <si>
    <t>PC montado</t>
  </si>
  <si>
    <t>Valor Pago</t>
  </si>
  <si>
    <t>kit placa mae</t>
  </si>
  <si>
    <t>Gabinete</t>
  </si>
  <si>
    <t>Cooler</t>
  </si>
  <si>
    <t>Placa de video</t>
  </si>
  <si>
    <t>Fonte</t>
  </si>
  <si>
    <t xml:space="preserve">caneca </t>
  </si>
  <si>
    <t xml:space="preserve">g5 </t>
  </si>
  <si>
    <t>kit chaves vermelha</t>
  </si>
  <si>
    <t>carregador celular</t>
  </si>
  <si>
    <t>Relogio d20</t>
  </si>
  <si>
    <t>Porta documentos</t>
  </si>
  <si>
    <t>Caixinha de som</t>
  </si>
  <si>
    <t>Perfume</t>
  </si>
  <si>
    <t>toca</t>
  </si>
  <si>
    <t>escova</t>
  </si>
  <si>
    <t>Caneta barbeadora</t>
  </si>
  <si>
    <t>placa de rede</t>
  </si>
  <si>
    <t>rede de janela</t>
  </si>
  <si>
    <t>cabo hdmi</t>
  </si>
  <si>
    <t>SUPER SURPRESA MAX ALEATORIA</t>
  </si>
  <si>
    <t>Kit Chave Catraca Reversível Jogo de Soquetes 39 Peças em Aço Carbono com Maleta</t>
  </si>
  <si>
    <t>Lanterna Tática Choque Ultra Defensigo 12 Mil Volt 😱😱</t>
  </si>
  <si>
    <t>Fone De Ouvido Sem Fio Bluetooth Headset Universal /GO</t>
  </si>
  <si>
    <t>Cabo Usb v8/Iphone Dados Silicone Emborrachado Proteção Colorido</t>
  </si>
  <si>
    <t>Caixa de som charge 3 PRIMEIRA LINHA</t>
  </si>
  <si>
    <t>Clip para bateria 9v</t>
  </si>
  <si>
    <t>Conjunto de chaves de fenda de 24 unidades de 28 peças</t>
  </si>
  <si>
    <t>CONVERSOR ADAPTADOR HDMI PARA VGA VHA HDMI</t>
  </si>
  <si>
    <t>Depilador Kemei Indolor Instantâneo Facial - Km-1021</t>
  </si>
  <si>
    <t>Ebulidor Aquecedor Agua Portatil Quente 500w Mergulhão 220v</t>
  </si>
  <si>
    <t>Faca Lâmina Afiada em Aço Inox com Capa Bainha Protetora Tampa Faquinha para Pesca Viagem Camping Cozinha</t>
  </si>
  <si>
    <t>Fitas Banana Dupla Face Espuma Adelbras 12mm X 2m</t>
  </si>
  <si>
    <t>Kit Acessorios Para Bomba De Ar Bicos Encher Bola 7 Pçs</t>
  </si>
  <si>
    <t>Kit Arco De Serra Mágica 7 Peças Corta Tudo Multifuncional</t>
  </si>
  <si>
    <t>Lanterna De Emergência Inteligente Multifuncional/Claro Exterior/Lâmpada De Carregamento USb</t>
  </si>
  <si>
    <t>Magic Ring ( Super NOVIDADE ) Mola Mágica</t>
  </si>
  <si>
    <t>T10 Luzes Do Carro LED Sílica Brilhante Branco Licença Luz Bulbo 194 168 W5w</t>
  </si>
  <si>
    <t>Vassoura Mágica Dobrável 3 em 1</t>
  </si>
  <si>
    <t xml:space="preserve">Globo de luz </t>
  </si>
  <si>
    <t>Magalu</t>
  </si>
  <si>
    <t>julho</t>
  </si>
  <si>
    <t>pochete celular</t>
  </si>
  <si>
    <t>pochete</t>
  </si>
  <si>
    <t xml:space="preserve">canivete </t>
  </si>
  <si>
    <t>gramepeador</t>
  </si>
  <si>
    <t xml:space="preserve">capinha </t>
  </si>
  <si>
    <t xml:space="preserve">cadeira </t>
  </si>
  <si>
    <t>fone de ouvido simples</t>
  </si>
  <si>
    <t>cabo tipo c</t>
  </si>
  <si>
    <t>carregador veicular</t>
  </si>
  <si>
    <t>Kit poker</t>
  </si>
  <si>
    <t>led h7</t>
  </si>
  <si>
    <t>refratometro</t>
  </si>
  <si>
    <t>chave articulada</t>
  </si>
  <si>
    <t>triturador de alimentos</t>
  </si>
  <si>
    <t>nvme 520gb</t>
  </si>
  <si>
    <t>chapeu de palha</t>
  </si>
  <si>
    <t>x8</t>
  </si>
  <si>
    <t>maquina de costura</t>
  </si>
  <si>
    <t>pelicula privativa</t>
  </si>
  <si>
    <t>Fone y30</t>
  </si>
  <si>
    <t>lampada festa</t>
  </si>
  <si>
    <t>Cartela de Agulha Kit 27 peças - agulhas de costura</t>
  </si>
  <si>
    <t>Mini Batedor Elétrico Manual De Aço Inoxidável/Ferramenta Misturadora De Leite</t>
  </si>
  <si>
    <t>Bateria Recarregável 6800 V 3.7 mAh Li-ion Battery para Lanterna Farol Levou Acessório</t>
  </si>
  <si>
    <t>Jogo Chave Torx Com Furo Torque Tork Curta 9 Pecas T10 -t50</t>
  </si>
  <si>
    <t>Cantil De Bolso Porta Bebidas Destiladas Inox Vodka Rum Gin 240ml cristo rei</t>
  </si>
  <si>
    <t>Jogo Chave Vela 6 Peças Profissional Ferramentas Manuais Construção</t>
  </si>
  <si>
    <t>Beyblade Metal Led + Lançadores Incluso Promoção</t>
  </si>
  <si>
    <t>Presente surpresa se divirta !!</t>
  </si>
  <si>
    <t>Máquina De Sopro Automática Com Bolha!</t>
  </si>
  <si>
    <t>Jogo De Dominó Profissional Osso Colorido 28 Pedras Dominoes</t>
  </si>
  <si>
    <t>Jogo De Chave De Vela 6 Peças Monalisa</t>
  </si>
  <si>
    <t>BANDEIRA DO BRASIL 2 PANOS 0,90 X 1,30m</t>
  </si>
  <si>
    <t>Cadeira Nautika Dobrável Alvorada para Área Externa</t>
  </si>
  <si>
    <t>SURPRESA ALEATORIA</t>
  </si>
  <si>
    <t xml:space="preserve">lampa giratoria </t>
  </si>
  <si>
    <t>vendido</t>
  </si>
  <si>
    <t>Cadeado M</t>
  </si>
  <si>
    <t>carregador completo tipo c</t>
  </si>
  <si>
    <t>Cabo v8</t>
  </si>
  <si>
    <t>copo termico</t>
  </si>
  <si>
    <t>Led placa mae</t>
  </si>
  <si>
    <t>umidificador</t>
  </si>
  <si>
    <t>caixa de som azul</t>
  </si>
  <si>
    <t>Led bike</t>
  </si>
  <si>
    <t>bateria notebook</t>
  </si>
  <si>
    <t>lampada solar</t>
  </si>
  <si>
    <t>kit tesoura</t>
  </si>
  <si>
    <t>corrente</t>
  </si>
  <si>
    <t>carta naruto</t>
  </si>
  <si>
    <t>caixa de som grande</t>
  </si>
  <si>
    <t>caixa de som pequena</t>
  </si>
  <si>
    <t>Acendedor de Fogão Lume</t>
  </si>
  <si>
    <t>AK66 Mobile controller shooter gamepad PUBG mobile controller</t>
  </si>
  <si>
    <t>BANDEIRA DO BRASIL 0,90 X 1,30m</t>
  </si>
  <si>
    <t>Cabo ADAPTADOR de computador VGA para HDMI- 1,8 metros banhados (EC-2723). USO PARA PC (LEIA TODA A DESCRIÇÃO).</t>
  </si>
  <si>
    <t>Controle Para Celular Pubg Free Fire + Manete Gamepad</t>
  </si>
  <si>
    <t>Estilete Profissional Multiuso + 3 Laminas de Refil</t>
  </si>
  <si>
    <t>Etiquetadora De Preço Manual 8 Dígitos Mx5500 Códigos, Data</t>
  </si>
  <si>
    <t>Fita Dupla Face Ambiente Interno Externo Adelbras</t>
  </si>
  <si>
    <t>Fita Led Digital 6803 5050 Rgb Prova D' Água 133 Efeitos 3d</t>
  </si>
  <si>
    <t>lanterna tatika De Shoque G 50.000k Volts Com Lanterna Led Full</t>
  </si>
  <si>
    <t>Máquina De Tosa Pet Clipper Cães Bivolt - Nanzhong</t>
  </si>
  <si>
    <t>Painel LED Luminoso Uber 5v USB</t>
  </si>
  <si>
    <t>Super Mini Game Brick Game Portátil 9999 jogos</t>
  </si>
  <si>
    <t>Suporte Anti-Perda Para Fone De Ouvido Sem Fio Com Gancho Para Apple Iphone Xs Max X Xr Airpods 2 / 3 Pro</t>
  </si>
  <si>
    <t>Suporte de Celular e GPS Haste Flexível X-CELL XC-SP-02</t>
  </si>
  <si>
    <t>Sutiã Adesivo Levanta Seio Invisible Pushup Tipo Orelha De C</t>
  </si>
  <si>
    <t>Trena 5 Metros 18mm Emborrachada Sparta 31312</t>
  </si>
  <si>
    <t>Ponta asoprador</t>
  </si>
  <si>
    <t>Carregador v8</t>
  </si>
  <si>
    <t>fone pmcell</t>
  </si>
  <si>
    <t>Umidificador</t>
  </si>
  <si>
    <t>Cabo usb tipo C</t>
  </si>
  <si>
    <t>Triturador de alimentos</t>
  </si>
  <si>
    <t>Aspirador veicular</t>
  </si>
  <si>
    <t>Amolador de faca pedra</t>
  </si>
  <si>
    <t>Amolador de faca</t>
  </si>
  <si>
    <t>mouse pad</t>
  </si>
  <si>
    <t>kit tesoura cabelo</t>
  </si>
  <si>
    <t>kit bomba bola</t>
  </si>
  <si>
    <t>Cadeira Campim</t>
  </si>
  <si>
    <t>processador de alimentos</t>
  </si>
  <si>
    <t>kit reparo pneu aluminio</t>
  </si>
  <si>
    <t>Cabo y vga</t>
  </si>
  <si>
    <t>relogio series i7</t>
  </si>
  <si>
    <t>Pulseira relogio</t>
  </si>
  <si>
    <t xml:space="preserve">Barbeador </t>
  </si>
  <si>
    <t>Faculdade</t>
  </si>
  <si>
    <t>capinha</t>
  </si>
  <si>
    <t>Pelicula privacidade</t>
  </si>
  <si>
    <t>Displayport vga</t>
  </si>
  <si>
    <t>Corrente moto</t>
  </si>
  <si>
    <t>TV box in</t>
  </si>
  <si>
    <t>Laiser</t>
  </si>
  <si>
    <t>Capa controle</t>
  </si>
  <si>
    <t>Transmissor veicular</t>
  </si>
  <si>
    <t>pelicula 3d</t>
  </si>
  <si>
    <t>led dubai</t>
  </si>
  <si>
    <t>camisa do brasil</t>
  </si>
  <si>
    <t>capa retrovisor</t>
  </si>
  <si>
    <t>kir bandeira do brasil</t>
  </si>
  <si>
    <t>vuvunzela brasil</t>
  </si>
  <si>
    <t>Chave maleta</t>
  </si>
  <si>
    <t>carregador tipo c</t>
  </si>
  <si>
    <t>broca aco rapido p/metal 3,5mm c/10 mtx-715359</t>
  </si>
  <si>
    <t>Controle Remoto Tv Sony Lcd C/ Netflix Le-7444</t>
  </si>
  <si>
    <t>Lanterna Refletor Led 2 em 1 1w + 3w Emergência Portátil Pesca Acampamento Oficina</t>
  </si>
  <si>
    <t>Mão Inflável Para Torcer Na Copa Do Mundo</t>
  </si>
  <si>
    <t>Removedor E Esfoliado De Pelos Faciais Derma plane Glo</t>
  </si>
  <si>
    <t>Super Maçarico 150 mm Maçarico Portátil Simples Regulável</t>
  </si>
  <si>
    <t>Tela Mosquiteiro Flex Proteção Janela Porta 1,80m X 1,50m Retrátil PEAD</t>
  </si>
  <si>
    <t>controle de tv</t>
  </si>
  <si>
    <t>pelicula simples</t>
  </si>
  <si>
    <t>capinha transparente</t>
  </si>
  <si>
    <t>fone de ouvido vermelho</t>
  </si>
  <si>
    <t>carregadri simples v8</t>
  </si>
  <si>
    <t>formatação</t>
  </si>
  <si>
    <t>pochete ali</t>
  </si>
  <si>
    <t>controle tv sky</t>
  </si>
  <si>
    <t>pistola de ecnher pneu</t>
  </si>
  <si>
    <t>lanterna chaveiro</t>
  </si>
  <si>
    <t>lanterna solar 100ld</t>
  </si>
  <si>
    <t>Maleta de ferramentas vermelha 53pçs</t>
  </si>
  <si>
    <t>copo starley</t>
  </si>
  <si>
    <t>aquario</t>
  </si>
  <si>
    <t>armario aquario</t>
  </si>
  <si>
    <t>Cabo auxiliar</t>
  </si>
  <si>
    <t>Fone azul</t>
  </si>
  <si>
    <t>cabo kingo iphone</t>
  </si>
  <si>
    <t>caneca mix</t>
  </si>
  <si>
    <t>ring light mesa</t>
  </si>
  <si>
    <t>lamperna portatil</t>
  </si>
  <si>
    <t>diego</t>
  </si>
  <si>
    <t>copo e suporte aquario</t>
  </si>
  <si>
    <t>Valor fisico</t>
  </si>
  <si>
    <t>bolsa ali</t>
  </si>
  <si>
    <t>Produtos parceria Rafael</t>
  </si>
  <si>
    <t>bandeira do brasil capo</t>
  </si>
  <si>
    <t>vuvunzela</t>
  </si>
  <si>
    <t>Bonés Com Estrela Tripalium PT</t>
  </si>
  <si>
    <t>Relógio Digital Silicone Prova D'água 50 metros</t>
  </si>
  <si>
    <t>Bolsa Sacola de Feira Compras Mercado Viagem Sacoleiro Impermeável</t>
  </si>
  <si>
    <t>Mini Compressor De Ar 300 Psi Para Veículos 12v</t>
  </si>
  <si>
    <t xml:space="preserve">microfone </t>
  </si>
  <si>
    <t>bsb</t>
  </si>
  <si>
    <t xml:space="preserve">corneta </t>
  </si>
  <si>
    <t>led solar</t>
  </si>
  <si>
    <t>Total de vendas</t>
  </si>
  <si>
    <t>Ano</t>
  </si>
  <si>
    <t>arvore de natal</t>
  </si>
  <si>
    <t>fone de ouvido 3</t>
  </si>
  <si>
    <t>fone de ouvido powerbank</t>
  </si>
  <si>
    <t>estabilizador</t>
  </si>
  <si>
    <t>corrente moto</t>
  </si>
  <si>
    <t>mouse e teclado sem fio branco</t>
  </si>
  <si>
    <t>lanterna ima</t>
  </si>
  <si>
    <t>Rodrigo p7</t>
  </si>
  <si>
    <t>corrente simpres moto</t>
  </si>
  <si>
    <t>microfone grande</t>
  </si>
  <si>
    <t>Camisa do brasil</t>
  </si>
  <si>
    <t xml:space="preserve">Fone </t>
  </si>
  <si>
    <t>repetidor de sinal wifi</t>
  </si>
  <si>
    <t xml:space="preserve">vuvuzela </t>
  </si>
  <si>
    <t>pendrive 8g</t>
  </si>
  <si>
    <t>fita led  3d</t>
  </si>
  <si>
    <t>carregador kingo v8</t>
  </si>
  <si>
    <t>maleta ferramenta</t>
  </si>
  <si>
    <t>Kit Poker Profissional Luxo Em Lata Com 100 Fichas</t>
  </si>
  <si>
    <t>Lanterna Trazeira P /bicicleta Solar  * Pilha Nunca Mais*</t>
  </si>
  <si>
    <t>Receptor Transmissor Bluetooth Usb P2 Saida Car Atacado</t>
  </si>
  <si>
    <t>Super Maçarico 150 mm Maçarico Portátil Simples Regulável completo</t>
  </si>
  <si>
    <t>Super Maçarico 150 mm Maçarico Portátil Simples Regulável simples</t>
  </si>
  <si>
    <t>Barra Magnetica 30cm Ima Para Facas Multiuso Cozinha Ferramentas</t>
  </si>
  <si>
    <t>Super Cola Instantânea Metal Madeira Plástico</t>
  </si>
  <si>
    <t>Lanterna Multiuso 8 Em 1 Com Ferramentas Sd-890 Elétrica</t>
  </si>
  <si>
    <t>Kit Acessorios Para Bomba De Ar Bicos Encher Bola 7 Pecas</t>
  </si>
  <si>
    <t>pistola de bolhas</t>
  </si>
  <si>
    <t>tampao fiat argo</t>
  </si>
  <si>
    <t>capa carro brasil</t>
  </si>
  <si>
    <t>bandeira do brasil G</t>
  </si>
  <si>
    <t>pelicula camera</t>
  </si>
  <si>
    <t>ValorPJ</t>
  </si>
  <si>
    <t>Taxa de l</t>
  </si>
  <si>
    <t>cabo dpdp</t>
  </si>
  <si>
    <t>mouse sem fio</t>
  </si>
  <si>
    <t>pistola bolhas</t>
  </si>
  <si>
    <t>fone b5</t>
  </si>
  <si>
    <t>controle rossi redondo</t>
  </si>
  <si>
    <t>refletor solar</t>
  </si>
  <si>
    <t>barbeador dragao</t>
  </si>
  <si>
    <t xml:space="preserve">lampada giratoria </t>
  </si>
  <si>
    <t>cabi tipo c</t>
  </si>
  <si>
    <t>relogio ali</t>
  </si>
  <si>
    <t>Lampiao solar</t>
  </si>
  <si>
    <t>guarda chuva</t>
  </si>
  <si>
    <t>pistola brinquedo</t>
  </si>
  <si>
    <t>mouse simples</t>
  </si>
  <si>
    <t>lampaiao led</t>
  </si>
  <si>
    <t>bandeira do brasil</t>
  </si>
  <si>
    <t>carregador</t>
  </si>
  <si>
    <t>controle xbox</t>
  </si>
  <si>
    <t xml:space="preserve">Andre </t>
  </si>
  <si>
    <t>controle xboz</t>
  </si>
  <si>
    <t>led lua</t>
  </si>
  <si>
    <t>corrente pequena</t>
  </si>
  <si>
    <t>100 % Surpresa Pacotes De Presentes Da Sorte Para Produtos</t>
  </si>
  <si>
    <t>Passaros De Enfeite Mesa Canta Mexe Periquitos Robo Aves | Nanyju Brinquedos</t>
  </si>
  <si>
    <t>Repetidor De Sinal Wifi Ultra Rápido 300mb Com Botão Wps T90</t>
  </si>
  <si>
    <t>Suporte de Celular e GPS Haste Flexível X-CELL</t>
  </si>
  <si>
    <t>Mini máquina de bolha de stall bolha soprando brinquedo</t>
  </si>
  <si>
    <t>Total PJ</t>
  </si>
  <si>
    <t>Nota fisica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</si>
</sst>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R$&quot;\ #,##0.00;[Red]\-&quot;R$&quot;\ #,##0.00"/>
    <numFmt numFmtId="44" formatCode="_-&quot;R$&quot;\ * #,##0.00_-;\-&quot;R$&quot;\ * #,##0.00_-;_-&quot;R$&quot;\ * &quot;-&quot;??_-;_-@_-"/>
    <numFmt numFmtId="43" formatCode="_-* #,##0.00_-;\-* #,##0.00_-;_-* &quot;-&quot;??_-;_-@_-"/>
    <numFmt numFmtId="164" formatCode="&quot;R$&quot;#,##0.00;[Red]\-&quot;R$&quot;#,##0.00"/>
    <numFmt numFmtId="165" formatCode="_-&quot;R$&quot;* #,##0.00_-;\-&quot;R$&quot;* #,##0.00_-;_-&quot;R$&quot;* &quot;-&quot;??_-;_-@_-"/>
    <numFmt numFmtId="166" formatCode="_-[$$-409]* #,##0.00_ ;_-[$$-409]* \-#,##0.00\ ;_-[$$-409]* &quot;-&quot;??_ ;_-@_ "/>
  </numFmts>
  <fonts count="37" x14ac:knownFonts="1">
    <font>
      <sz val="11"/>
      <color theme="1"/>
      <name val="Calibri"/>
      <family val="2"/>
      <scheme val="minor"/>
    </font>
    <font>
      <sz val="11"/>
      <color theme="1"/>
      <name val="Calibri"/>
      <family val="2"/>
      <scheme val="minor"/>
    </font>
    <font>
      <sz val="11"/>
      <color rgb="FFFF0000"/>
      <name val="Calibri"/>
      <family val="2"/>
      <scheme val="minor"/>
    </font>
    <font>
      <b/>
      <sz val="11"/>
      <color theme="1"/>
      <name val="Calibri"/>
      <family val="2"/>
      <scheme val="minor"/>
    </font>
    <font>
      <b/>
      <sz val="12"/>
      <color theme="0"/>
      <name val="Calibri"/>
      <family val="2"/>
      <scheme val="minor"/>
    </font>
    <font>
      <b/>
      <sz val="16"/>
      <color theme="0"/>
      <name val="Calibri"/>
      <family val="2"/>
      <scheme val="minor"/>
    </font>
    <font>
      <sz val="12"/>
      <name val="Calibri"/>
      <family val="2"/>
      <scheme val="minor"/>
    </font>
    <font>
      <b/>
      <sz val="16"/>
      <color rgb="FFFFFFFF"/>
      <name val="Calibri"/>
      <family val="2"/>
    </font>
    <font>
      <b/>
      <sz val="12"/>
      <color rgb="FFFFFFFF"/>
      <name val="Calibri"/>
      <family val="2"/>
    </font>
    <font>
      <b/>
      <sz val="18"/>
      <color theme="0"/>
      <name val="Calibri"/>
      <family val="2"/>
    </font>
    <font>
      <b/>
      <sz val="14"/>
      <color rgb="FFFF0000"/>
      <name val="Calibri"/>
      <family val="2"/>
    </font>
    <font>
      <b/>
      <sz val="14"/>
      <color indexed="8"/>
      <name val="Calibri"/>
      <family val="2"/>
    </font>
    <font>
      <b/>
      <sz val="11"/>
      <color rgb="FFFF0000"/>
      <name val="Calibri"/>
      <family val="2"/>
      <scheme val="minor"/>
    </font>
    <font>
      <sz val="11"/>
      <name val="Calibri"/>
      <family val="2"/>
    </font>
    <font>
      <b/>
      <sz val="14"/>
      <name val="Calibri"/>
      <family val="2"/>
    </font>
    <font>
      <sz val="11"/>
      <name val="Calibri"/>
      <family val="2"/>
      <scheme val="minor"/>
    </font>
    <font>
      <sz val="8"/>
      <name val="Calibri"/>
      <family val="2"/>
      <scheme val="minor"/>
    </font>
    <font>
      <b/>
      <sz val="11"/>
      <color theme="0"/>
      <name val="Calibri"/>
      <family val="2"/>
      <scheme val="minor"/>
    </font>
    <font>
      <sz val="11"/>
      <color rgb="FFFF0000"/>
      <name val="Calibri"/>
      <family val="2"/>
    </font>
    <font>
      <b/>
      <sz val="11"/>
      <name val="Calibri"/>
      <family val="2"/>
    </font>
    <font>
      <b/>
      <sz val="11"/>
      <color theme="1"/>
      <name val="Calibri"/>
      <family val="2"/>
    </font>
    <font>
      <b/>
      <sz val="14"/>
      <color theme="1"/>
      <name val="Calibri"/>
      <family val="2"/>
    </font>
    <font>
      <sz val="10"/>
      <name val="Arial"/>
      <family val="2"/>
    </font>
    <font>
      <b/>
      <sz val="10"/>
      <color theme="0"/>
      <name val="Arial"/>
      <family val="2"/>
    </font>
    <font>
      <sz val="10"/>
      <color theme="1"/>
      <name val="Arial"/>
      <family val="2"/>
    </font>
    <font>
      <sz val="10"/>
      <color rgb="FF000000"/>
      <name val="Arial"/>
      <family val="2"/>
    </font>
    <font>
      <b/>
      <sz val="10"/>
      <name val="Arial"/>
      <family val="2"/>
    </font>
    <font>
      <u/>
      <sz val="10"/>
      <name val="Arial"/>
      <family val="2"/>
    </font>
    <font>
      <sz val="10"/>
      <color theme="0"/>
      <name val="Arial"/>
      <family val="2"/>
    </font>
    <font>
      <sz val="10"/>
      <color theme="1"/>
      <name val="Arial"/>
      <family val="2"/>
    </font>
    <font>
      <sz val="10"/>
      <color theme="1"/>
      <name val="Arial"/>
      <family val="2"/>
    </font>
    <font>
      <sz val="18"/>
      <color rgb="FFEE4D2D"/>
      <name val="Arial"/>
      <family val="2"/>
    </font>
    <font>
      <sz val="10"/>
      <color rgb="FF00B050"/>
      <name val="Arial"/>
      <family val="2"/>
    </font>
    <font>
      <b/>
      <sz val="14"/>
      <color theme="0"/>
      <name val="Calibri"/>
      <family val="2"/>
      <scheme val="minor"/>
    </font>
    <font>
      <sz val="11"/>
      <color rgb="FF333333"/>
      <name val="Calibri"/>
      <family val="2"/>
      <scheme val="minor"/>
    </font>
    <font>
      <sz val="18"/>
      <color theme="0"/>
      <name val="Calibri"/>
      <family val="2"/>
      <scheme val="minor"/>
    </font>
    <font>
      <b/>
      <sz val="20"/>
      <color theme="0"/>
      <name val="Calibri"/>
      <family val="2"/>
      <scheme val="minor"/>
    </font>
  </fonts>
  <fills count="9">
    <fill>
      <patternFill patternType="none"/>
    </fill>
    <fill>
      <patternFill patternType="gray125"/>
    </fill>
    <fill>
      <patternFill patternType="solid">
        <fgColor rgb="FF002060"/>
        <bgColor indexed="64"/>
      </patternFill>
    </fill>
    <fill>
      <patternFill patternType="solid">
        <fgColor rgb="FF0070C0"/>
        <bgColor indexed="64"/>
      </patternFill>
    </fill>
    <fill>
      <patternFill patternType="solid">
        <fgColor rgb="FF0070C0"/>
        <bgColor rgb="FF000000"/>
      </patternFill>
    </fill>
    <fill>
      <patternFill patternType="solid">
        <fgColor rgb="FFFF0000"/>
        <bgColor indexed="64"/>
      </patternFill>
    </fill>
    <fill>
      <patternFill patternType="solid">
        <fgColor theme="0"/>
        <bgColor indexed="64"/>
      </patternFill>
    </fill>
    <fill>
      <patternFill patternType="solid">
        <fgColor theme="0"/>
        <bgColor theme="4" tint="0.79998168889431442"/>
      </patternFill>
    </fill>
    <fill>
      <patternFill patternType="solid">
        <fgColor rgb="FFFFFF00"/>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diagonal/>
    </border>
    <border>
      <left style="thin">
        <color indexed="64"/>
      </left>
      <right style="medium">
        <color indexed="64"/>
      </right>
      <top/>
      <bottom style="medium">
        <color indexed="64"/>
      </bottom>
      <diagonal/>
    </border>
    <border>
      <left style="thin">
        <color indexed="64"/>
      </left>
      <right style="thin">
        <color indexed="64"/>
      </right>
      <top/>
      <bottom/>
      <diagonal/>
    </border>
    <border>
      <left/>
      <right/>
      <top/>
      <bottom style="thin">
        <color indexed="64"/>
      </bottom>
      <diagonal/>
    </border>
    <border>
      <left/>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style="thin">
        <color indexed="64"/>
      </top>
      <bottom/>
      <diagonal/>
    </border>
  </borders>
  <cellStyleXfs count="4">
    <xf numFmtId="0" fontId="0" fillId="0" borderId="0"/>
    <xf numFmtId="43" fontId="1" fillId="0" borderId="0" applyFont="0" applyFill="0" applyBorder="0" applyAlignment="0" applyProtection="0"/>
    <xf numFmtId="165" fontId="1" fillId="0" borderId="0" applyFont="0" applyFill="0" applyBorder="0" applyAlignment="0" applyProtection="0"/>
    <xf numFmtId="9" fontId="1" fillId="0" borderId="0" applyFont="0" applyFill="0" applyBorder="0" applyAlignment="0" applyProtection="0"/>
  </cellStyleXfs>
  <cellXfs count="175">
    <xf numFmtId="0" fontId="0" fillId="0" borderId="0" xfId="0"/>
    <xf numFmtId="0" fontId="7" fillId="4" borderId="3" xfId="0" applyFont="1" applyFill="1" applyBorder="1" applyAlignment="1">
      <alignment horizontal="center" vertical="center"/>
    </xf>
    <xf numFmtId="0" fontId="5" fillId="3" borderId="3" xfId="0" applyFont="1" applyFill="1" applyBorder="1" applyAlignment="1">
      <alignment horizontal="center" vertical="center"/>
    </xf>
    <xf numFmtId="165" fontId="8" fillId="4" borderId="1" xfId="2" applyFont="1" applyFill="1" applyBorder="1" applyAlignment="1">
      <alignment horizontal="center" vertical="center"/>
    </xf>
    <xf numFmtId="0" fontId="4" fillId="3" borderId="1" xfId="1" applyNumberFormat="1" applyFont="1" applyFill="1" applyBorder="1" applyAlignment="1">
      <alignment horizontal="center" vertical="center"/>
    </xf>
    <xf numFmtId="165" fontId="4" fillId="3" borderId="1" xfId="2" applyFont="1" applyFill="1" applyBorder="1" applyAlignment="1">
      <alignment horizontal="center" vertical="center"/>
    </xf>
    <xf numFmtId="0" fontId="8" fillId="4" borderId="1" xfId="2" applyNumberFormat="1" applyFont="1" applyFill="1" applyBorder="1" applyAlignment="1">
      <alignment horizontal="center" vertical="center"/>
    </xf>
    <xf numFmtId="0" fontId="4" fillId="3" borderId="1" xfId="2" applyNumberFormat="1" applyFont="1" applyFill="1" applyBorder="1" applyAlignment="1">
      <alignment horizontal="center" vertical="center"/>
    </xf>
    <xf numFmtId="165" fontId="3" fillId="0" borderId="0" xfId="2" applyFont="1" applyAlignment="1"/>
    <xf numFmtId="0" fontId="2" fillId="0" borderId="0" xfId="0" applyFont="1"/>
    <xf numFmtId="0" fontId="9" fillId="2" borderId="1" xfId="0" applyFont="1" applyFill="1" applyBorder="1" applyAlignment="1">
      <alignment horizontal="center" vertical="center"/>
    </xf>
    <xf numFmtId="0" fontId="10" fillId="0" borderId="1" xfId="0" applyFont="1" applyBorder="1" applyAlignment="1">
      <alignment horizontal="left" vertical="center"/>
    </xf>
    <xf numFmtId="0" fontId="11" fillId="0" borderId="1" xfId="0" applyFont="1" applyBorder="1" applyAlignment="1">
      <alignment horizontal="left" vertical="center"/>
    </xf>
    <xf numFmtId="165" fontId="9" fillId="2" borderId="1" xfId="2" applyFont="1" applyFill="1" applyBorder="1" applyAlignment="1">
      <alignment horizontal="center" vertical="center"/>
    </xf>
    <xf numFmtId="44" fontId="9" fillId="2" borderId="1" xfId="0" applyNumberFormat="1" applyFont="1" applyFill="1" applyBorder="1" applyAlignment="1">
      <alignment horizontal="center" vertical="center"/>
    </xf>
    <xf numFmtId="165" fontId="12" fillId="0" borderId="1" xfId="2" applyFont="1" applyFill="1" applyBorder="1" applyAlignment="1">
      <alignment vertical="center"/>
    </xf>
    <xf numFmtId="165" fontId="13" fillId="0" borderId="1" xfId="2" applyFont="1" applyFill="1" applyBorder="1" applyAlignment="1">
      <alignment horizontal="center" vertical="center"/>
    </xf>
    <xf numFmtId="165" fontId="2" fillId="0" borderId="1" xfId="2" applyFont="1" applyFill="1" applyBorder="1" applyAlignment="1">
      <alignment vertical="center"/>
    </xf>
    <xf numFmtId="165" fontId="0" fillId="0" borderId="1" xfId="2" applyFont="1" applyFill="1" applyBorder="1" applyAlignment="1">
      <alignment vertical="center"/>
    </xf>
    <xf numFmtId="165" fontId="0" fillId="0" borderId="1" xfId="2" applyFont="1" applyBorder="1"/>
    <xf numFmtId="0" fontId="2" fillId="0" borderId="1" xfId="0" applyFont="1" applyBorder="1" applyAlignment="1">
      <alignment horizontal="center" vertical="center"/>
    </xf>
    <xf numFmtId="0" fontId="0" fillId="0" borderId="4" xfId="0" applyBorder="1" applyAlignment="1">
      <alignment horizontal="center" vertical="center"/>
    </xf>
    <xf numFmtId="0" fontId="14" fillId="0" borderId="1" xfId="0" applyFont="1" applyBorder="1" applyAlignment="1">
      <alignment horizontal="left" vertical="center"/>
    </xf>
    <xf numFmtId="165" fontId="15" fillId="0" borderId="1" xfId="2" applyFont="1" applyFill="1" applyBorder="1" applyAlignment="1">
      <alignment vertical="center"/>
    </xf>
    <xf numFmtId="0" fontId="6" fillId="0" borderId="1" xfId="0" applyFont="1" applyBorder="1"/>
    <xf numFmtId="0" fontId="0" fillId="0" borderId="1" xfId="0" applyBorder="1" applyAlignment="1">
      <alignment horizontal="center" vertical="center"/>
    </xf>
    <xf numFmtId="44" fontId="0" fillId="0" borderId="0" xfId="0" applyNumberFormat="1"/>
    <xf numFmtId="165" fontId="0" fillId="0" borderId="1" xfId="2" applyFont="1" applyBorder="1" applyAlignment="1">
      <alignment horizontal="center" vertical="center"/>
    </xf>
    <xf numFmtId="0" fontId="0" fillId="0" borderId="0" xfId="0" applyAlignment="1">
      <alignment horizontal="center" vertical="center"/>
    </xf>
    <xf numFmtId="165" fontId="0" fillId="0" borderId="0" xfId="2" applyFont="1" applyAlignment="1">
      <alignment horizontal="center" vertical="center"/>
    </xf>
    <xf numFmtId="165" fontId="18" fillId="0" borderId="1" xfId="2" applyFont="1" applyFill="1" applyBorder="1" applyAlignment="1">
      <alignment horizontal="center" vertical="center"/>
    </xf>
    <xf numFmtId="0" fontId="17" fillId="2" borderId="0" xfId="0" applyFont="1" applyFill="1" applyAlignment="1">
      <alignment horizontal="center" vertical="center"/>
    </xf>
    <xf numFmtId="0" fontId="17" fillId="2" borderId="1" xfId="0" applyFont="1" applyFill="1" applyBorder="1" applyAlignment="1">
      <alignment horizontal="center" vertical="center"/>
    </xf>
    <xf numFmtId="0" fontId="17" fillId="2" borderId="7" xfId="0" applyFont="1" applyFill="1" applyBorder="1" applyAlignment="1">
      <alignment horizontal="center" vertical="center"/>
    </xf>
    <xf numFmtId="14" fontId="0" fillId="5" borderId="9" xfId="0" applyNumberFormat="1" applyFill="1" applyBorder="1" applyAlignment="1">
      <alignment horizontal="center" vertical="center"/>
    </xf>
    <xf numFmtId="14" fontId="0" fillId="5" borderId="10" xfId="0" applyNumberFormat="1" applyFill="1" applyBorder="1" applyAlignment="1">
      <alignment horizontal="center" vertical="center"/>
    </xf>
    <xf numFmtId="165" fontId="19" fillId="6" borderId="1" xfId="2" applyFont="1" applyFill="1" applyBorder="1" applyAlignment="1">
      <alignment horizontal="center" vertical="center"/>
    </xf>
    <xf numFmtId="165" fontId="17" fillId="2" borderId="8" xfId="2" applyFont="1" applyFill="1" applyBorder="1" applyAlignment="1">
      <alignment horizontal="center" vertical="center"/>
    </xf>
    <xf numFmtId="165" fontId="0" fillId="0" borderId="0" xfId="2" applyFont="1"/>
    <xf numFmtId="0" fontId="17" fillId="2" borderId="5" xfId="0" applyFont="1" applyFill="1" applyBorder="1" applyAlignment="1">
      <alignment horizontal="center" vertical="center"/>
    </xf>
    <xf numFmtId="0" fontId="0" fillId="0" borderId="1" xfId="2" applyNumberFormat="1" applyFont="1" applyBorder="1" applyAlignment="1">
      <alignment horizontal="center"/>
    </xf>
    <xf numFmtId="0" fontId="0" fillId="0" borderId="0" xfId="0" applyAlignment="1">
      <alignment horizontal="center"/>
    </xf>
    <xf numFmtId="165" fontId="19" fillId="6" borderId="1" xfId="2" applyFont="1" applyFill="1" applyBorder="1" applyAlignment="1">
      <alignment vertical="center"/>
    </xf>
    <xf numFmtId="165" fontId="20" fillId="6" borderId="1" xfId="2" applyFont="1" applyFill="1" applyBorder="1" applyAlignment="1">
      <alignment vertical="center"/>
    </xf>
    <xf numFmtId="0" fontId="20" fillId="6" borderId="1" xfId="0" applyFont="1" applyFill="1" applyBorder="1" applyAlignment="1">
      <alignment horizontal="center" vertical="center"/>
    </xf>
    <xf numFmtId="0" fontId="14" fillId="0" borderId="1" xfId="0" applyFont="1" applyBorder="1" applyAlignment="1">
      <alignment horizontal="center" vertical="center"/>
    </xf>
    <xf numFmtId="0" fontId="21" fillId="0" borderId="1" xfId="0" applyFont="1" applyBorder="1" applyAlignment="1">
      <alignment horizontal="center" vertical="center"/>
    </xf>
    <xf numFmtId="165" fontId="0" fillId="0" borderId="0" xfId="2" applyFont="1" applyAlignment="1">
      <alignment horizontal="center"/>
    </xf>
    <xf numFmtId="0" fontId="22" fillId="0" borderId="1" xfId="0" applyFont="1" applyBorder="1"/>
    <xf numFmtId="0" fontId="22" fillId="0" borderId="1" xfId="0" applyFont="1" applyBorder="1" applyAlignment="1">
      <alignment horizontal="center"/>
    </xf>
    <xf numFmtId="165" fontId="22" fillId="0" borderId="1" xfId="2" applyFont="1" applyBorder="1"/>
    <xf numFmtId="165" fontId="0" fillId="0" borderId="4" xfId="2" applyFont="1" applyBorder="1" applyAlignment="1">
      <alignment horizontal="center"/>
    </xf>
    <xf numFmtId="165" fontId="0" fillId="0" borderId="1" xfId="2" applyFont="1" applyBorder="1" applyAlignment="1">
      <alignment horizontal="center"/>
    </xf>
    <xf numFmtId="0" fontId="0" fillId="0" borderId="1" xfId="2" applyNumberFormat="1" applyFont="1" applyBorder="1" applyAlignment="1">
      <alignment horizontal="center" vertical="center"/>
    </xf>
    <xf numFmtId="0" fontId="0" fillId="0" borderId="1" xfId="0" applyBorder="1" applyAlignment="1">
      <alignment horizontal="center"/>
    </xf>
    <xf numFmtId="0" fontId="0" fillId="0" borderId="1" xfId="0" applyBorder="1"/>
    <xf numFmtId="0" fontId="3" fillId="0" borderId="1" xfId="0" applyFont="1" applyBorder="1" applyAlignment="1">
      <alignment horizontal="center" vertical="center"/>
    </xf>
    <xf numFmtId="165" fontId="4" fillId="2" borderId="5" xfId="2" applyFont="1" applyFill="1" applyBorder="1" applyAlignment="1">
      <alignment vertical="center"/>
    </xf>
    <xf numFmtId="165" fontId="4" fillId="2" borderId="1" xfId="2" applyFont="1" applyFill="1" applyBorder="1" applyAlignment="1">
      <alignment horizontal="center" vertical="center"/>
    </xf>
    <xf numFmtId="0" fontId="4" fillId="2" borderId="1" xfId="0" applyFont="1" applyFill="1" applyBorder="1" applyAlignment="1">
      <alignment horizontal="center" vertical="center"/>
    </xf>
    <xf numFmtId="9" fontId="4" fillId="2" borderId="13" xfId="3" applyFont="1" applyFill="1" applyBorder="1" applyAlignment="1">
      <alignment horizontal="center" vertical="center"/>
    </xf>
    <xf numFmtId="9" fontId="0" fillId="0" borderId="1" xfId="3" applyFont="1" applyBorder="1" applyAlignment="1">
      <alignment horizontal="center"/>
    </xf>
    <xf numFmtId="0" fontId="4" fillId="2" borderId="1" xfId="2" applyNumberFormat="1" applyFont="1" applyFill="1" applyBorder="1" applyAlignment="1">
      <alignment horizontal="center" vertical="center"/>
    </xf>
    <xf numFmtId="165" fontId="4" fillId="2" borderId="0" xfId="2" applyFont="1" applyFill="1" applyBorder="1" applyAlignment="1">
      <alignment horizontal="center" vertical="center"/>
    </xf>
    <xf numFmtId="165" fontId="4" fillId="2" borderId="0" xfId="2" applyFont="1" applyFill="1" applyBorder="1" applyAlignment="1">
      <alignment vertical="center"/>
    </xf>
    <xf numFmtId="0" fontId="4" fillId="2" borderId="0" xfId="2" applyNumberFormat="1" applyFont="1" applyFill="1" applyBorder="1" applyAlignment="1">
      <alignment horizontal="center" vertical="center"/>
    </xf>
    <xf numFmtId="0" fontId="17" fillId="3" borderId="0" xfId="0" applyFont="1" applyFill="1" applyAlignment="1">
      <alignment horizontal="center" vertical="center"/>
    </xf>
    <xf numFmtId="9" fontId="17" fillId="3" borderId="0" xfId="3" applyFont="1" applyFill="1" applyAlignment="1">
      <alignment horizontal="center" vertical="center"/>
    </xf>
    <xf numFmtId="0" fontId="23" fillId="2" borderId="1" xfId="0" applyFont="1" applyFill="1" applyBorder="1" applyAlignment="1">
      <alignment horizontal="center" vertical="center"/>
    </xf>
    <xf numFmtId="165" fontId="23" fillId="2" borderId="1" xfId="2" applyFont="1" applyFill="1" applyBorder="1" applyAlignment="1">
      <alignment horizontal="center" vertical="center"/>
    </xf>
    <xf numFmtId="0" fontId="24" fillId="0" borderId="0" xfId="0" applyFont="1"/>
    <xf numFmtId="165" fontId="24" fillId="0" borderId="0" xfId="2" applyFont="1"/>
    <xf numFmtId="0" fontId="24" fillId="0" borderId="0" xfId="0" applyFont="1" applyAlignment="1">
      <alignment horizontal="center" vertical="center"/>
    </xf>
    <xf numFmtId="165" fontId="24" fillId="0" borderId="0" xfId="2" applyFont="1" applyAlignment="1">
      <alignment horizontal="center" vertical="center"/>
    </xf>
    <xf numFmtId="0" fontId="22" fillId="0" borderId="1" xfId="0" applyFont="1" applyBorder="1" applyAlignment="1">
      <alignment horizontal="center" vertical="center"/>
    </xf>
    <xf numFmtId="0" fontId="24" fillId="0" borderId="1" xfId="0" applyFont="1" applyBorder="1" applyAlignment="1">
      <alignment horizontal="left" vertical="center"/>
    </xf>
    <xf numFmtId="0" fontId="24" fillId="0" borderId="1" xfId="1" applyNumberFormat="1" applyFont="1" applyBorder="1" applyAlignment="1">
      <alignment horizontal="center" vertical="center"/>
    </xf>
    <xf numFmtId="165" fontId="24" fillId="0" borderId="1" xfId="2" applyFont="1" applyBorder="1" applyAlignment="1">
      <alignment horizontal="center" vertical="center"/>
    </xf>
    <xf numFmtId="0" fontId="24" fillId="0" borderId="1" xfId="0" applyFont="1" applyBorder="1" applyAlignment="1">
      <alignment horizontal="center" vertical="center"/>
    </xf>
    <xf numFmtId="16" fontId="24" fillId="0" borderId="1" xfId="0" applyNumberFormat="1" applyFont="1" applyBorder="1" applyAlignment="1">
      <alignment horizontal="center"/>
    </xf>
    <xf numFmtId="0" fontId="24" fillId="0" borderId="1" xfId="0" applyFont="1" applyBorder="1"/>
    <xf numFmtId="0" fontId="25" fillId="0" borderId="1" xfId="0" applyFont="1" applyBorder="1" applyAlignment="1">
      <alignment vertical="center"/>
    </xf>
    <xf numFmtId="0" fontId="24" fillId="0" borderId="1" xfId="0" applyFont="1" applyBorder="1" applyAlignment="1">
      <alignment horizontal="center"/>
    </xf>
    <xf numFmtId="16" fontId="24" fillId="0" borderId="1" xfId="0" applyNumberFormat="1" applyFont="1" applyBorder="1" applyAlignment="1">
      <alignment horizontal="center" vertical="center"/>
    </xf>
    <xf numFmtId="165" fontId="24" fillId="0" borderId="0" xfId="0" applyNumberFormat="1" applyFont="1"/>
    <xf numFmtId="0" fontId="26" fillId="0" borderId="1" xfId="0" applyFont="1" applyBorder="1"/>
    <xf numFmtId="165" fontId="22" fillId="0" borderId="1" xfId="2" applyFont="1" applyBorder="1" applyAlignment="1">
      <alignment horizontal="center"/>
    </xf>
    <xf numFmtId="165" fontId="22" fillId="0" borderId="1" xfId="2" applyFont="1" applyBorder="1" applyAlignment="1">
      <alignment horizontal="center" vertical="center"/>
    </xf>
    <xf numFmtId="9" fontId="24" fillId="0" borderId="1" xfId="3" applyFont="1" applyBorder="1" applyAlignment="1">
      <alignment horizontal="center" vertical="center"/>
    </xf>
    <xf numFmtId="0" fontId="27" fillId="0" borderId="1" xfId="0" applyFont="1" applyBorder="1" applyAlignment="1">
      <alignment horizontal="center" vertical="center"/>
    </xf>
    <xf numFmtId="9" fontId="24" fillId="0" borderId="0" xfId="0" applyNumberFormat="1" applyFont="1" applyAlignment="1">
      <alignment horizontal="center"/>
    </xf>
    <xf numFmtId="0" fontId="24" fillId="0" borderId="0" xfId="0" applyFont="1" applyAlignment="1">
      <alignment horizontal="center"/>
    </xf>
    <xf numFmtId="44" fontId="24" fillId="0" borderId="0" xfId="0" applyNumberFormat="1" applyFont="1"/>
    <xf numFmtId="165" fontId="24" fillId="0" borderId="1" xfId="2" applyFont="1" applyBorder="1"/>
    <xf numFmtId="165" fontId="23" fillId="2" borderId="4" xfId="2" applyFont="1" applyFill="1" applyBorder="1" applyAlignment="1">
      <alignment horizontal="center" vertical="center"/>
    </xf>
    <xf numFmtId="0" fontId="22" fillId="6" borderId="1" xfId="0" applyFont="1" applyFill="1" applyBorder="1" applyAlignment="1">
      <alignment horizontal="center" vertical="center"/>
    </xf>
    <xf numFmtId="0" fontId="24" fillId="6" borderId="1" xfId="0" applyFont="1" applyFill="1" applyBorder="1"/>
    <xf numFmtId="0" fontId="24" fillId="6" borderId="1" xfId="0" applyFont="1" applyFill="1" applyBorder="1" applyAlignment="1">
      <alignment horizontal="center" vertical="center"/>
    </xf>
    <xf numFmtId="165" fontId="24" fillId="6" borderId="1" xfId="2" applyFont="1" applyFill="1" applyBorder="1" applyAlignment="1">
      <alignment horizontal="center" vertical="center"/>
    </xf>
    <xf numFmtId="0" fontId="24" fillId="6" borderId="1" xfId="0" applyFont="1" applyFill="1" applyBorder="1" applyAlignment="1">
      <alignment horizontal="center"/>
    </xf>
    <xf numFmtId="9" fontId="24" fillId="6" borderId="1" xfId="3" applyFont="1" applyFill="1" applyBorder="1" applyAlignment="1">
      <alignment horizontal="center" vertical="center"/>
    </xf>
    <xf numFmtId="0" fontId="22" fillId="7" borderId="1" xfId="0" applyFont="1" applyFill="1" applyBorder="1" applyAlignment="1">
      <alignment horizontal="center" vertical="center"/>
    </xf>
    <xf numFmtId="0" fontId="24" fillId="7" borderId="1" xfId="0" applyFont="1" applyFill="1" applyBorder="1"/>
    <xf numFmtId="0" fontId="24" fillId="7" borderId="1" xfId="0" applyFont="1" applyFill="1" applyBorder="1" applyAlignment="1">
      <alignment horizontal="center" vertical="center"/>
    </xf>
    <xf numFmtId="165" fontId="24" fillId="7" borderId="1" xfId="2" applyFont="1" applyFill="1" applyBorder="1" applyAlignment="1">
      <alignment horizontal="center" vertical="center"/>
    </xf>
    <xf numFmtId="0" fontId="24" fillId="7" borderId="1" xfId="0" applyFont="1" applyFill="1" applyBorder="1" applyAlignment="1">
      <alignment horizontal="center"/>
    </xf>
    <xf numFmtId="9" fontId="24" fillId="7" borderId="1" xfId="3" applyFont="1" applyFill="1" applyBorder="1" applyAlignment="1">
      <alignment horizontal="center" vertical="center"/>
    </xf>
    <xf numFmtId="0" fontId="22" fillId="6" borderId="1" xfId="0" applyFont="1" applyFill="1" applyBorder="1"/>
    <xf numFmtId="0" fontId="22" fillId="6" borderId="1" xfId="0" applyFont="1" applyFill="1" applyBorder="1" applyAlignment="1">
      <alignment horizontal="center"/>
    </xf>
    <xf numFmtId="165" fontId="22" fillId="6" borderId="1" xfId="2" applyFont="1" applyFill="1" applyBorder="1" applyAlignment="1"/>
    <xf numFmtId="165" fontId="24" fillId="0" borderId="0" xfId="0" applyNumberFormat="1" applyFont="1" applyAlignment="1">
      <alignment horizontal="center" vertical="center"/>
    </xf>
    <xf numFmtId="0" fontId="24" fillId="0" borderId="0" xfId="2" applyNumberFormat="1" applyFont="1"/>
    <xf numFmtId="9" fontId="24" fillId="0" borderId="0" xfId="3" applyFont="1" applyAlignment="1">
      <alignment horizontal="center" vertical="center"/>
    </xf>
    <xf numFmtId="9" fontId="24" fillId="0" borderId="0" xfId="3" applyFont="1"/>
    <xf numFmtId="0" fontId="28" fillId="2" borderId="1" xfId="1" applyNumberFormat="1" applyFont="1" applyFill="1" applyBorder="1" applyAlignment="1">
      <alignment horizontal="center" vertical="center"/>
    </xf>
    <xf numFmtId="165" fontId="18" fillId="0" borderId="1" xfId="2" applyFont="1" applyFill="1" applyBorder="1" applyAlignment="1">
      <alignment vertical="center"/>
    </xf>
    <xf numFmtId="165" fontId="0" fillId="0" borderId="0" xfId="2" applyFont="1" applyFill="1" applyBorder="1"/>
    <xf numFmtId="0" fontId="29" fillId="0" borderId="1" xfId="0" applyFont="1" applyBorder="1"/>
    <xf numFmtId="166" fontId="0" fillId="0" borderId="1" xfId="2" applyNumberFormat="1" applyFont="1" applyBorder="1" applyAlignment="1">
      <alignment horizontal="center" vertical="center"/>
    </xf>
    <xf numFmtId="165" fontId="24" fillId="0" borderId="1" xfId="2" applyFont="1" applyFill="1" applyBorder="1" applyAlignment="1">
      <alignment horizontal="center" vertical="center"/>
    </xf>
    <xf numFmtId="0" fontId="30" fillId="0" borderId="1" xfId="0" applyFont="1" applyBorder="1"/>
    <xf numFmtId="0" fontId="30" fillId="0" borderId="1" xfId="0" applyFont="1" applyBorder="1" applyAlignment="1">
      <alignment horizontal="center"/>
    </xf>
    <xf numFmtId="44" fontId="30" fillId="0" borderId="1" xfId="2" applyNumberFormat="1" applyFont="1" applyFill="1" applyBorder="1"/>
    <xf numFmtId="44" fontId="30" fillId="0" borderId="1" xfId="0" applyNumberFormat="1" applyFont="1" applyBorder="1"/>
    <xf numFmtId="165" fontId="22" fillId="0" borderId="1" xfId="2" applyFont="1" applyFill="1" applyBorder="1" applyAlignment="1">
      <alignment horizontal="center" vertical="center"/>
    </xf>
    <xf numFmtId="9" fontId="22" fillId="0" borderId="1" xfId="3" applyFont="1" applyFill="1" applyBorder="1" applyAlignment="1">
      <alignment horizontal="center" vertical="center"/>
    </xf>
    <xf numFmtId="165" fontId="24" fillId="0" borderId="1" xfId="3" applyNumberFormat="1" applyFont="1" applyBorder="1" applyAlignment="1">
      <alignment horizontal="center" vertical="center"/>
    </xf>
    <xf numFmtId="8" fontId="0" fillId="0" borderId="0" xfId="0" applyNumberFormat="1"/>
    <xf numFmtId="8" fontId="31" fillId="0" borderId="0" xfId="0" applyNumberFormat="1" applyFont="1"/>
    <xf numFmtId="164" fontId="24" fillId="0" borderId="0" xfId="0" applyNumberFormat="1" applyFont="1" applyAlignment="1">
      <alignment horizontal="center" vertical="center"/>
    </xf>
    <xf numFmtId="164" fontId="24" fillId="0" borderId="0" xfId="2" applyNumberFormat="1" applyFont="1"/>
    <xf numFmtId="164" fontId="24" fillId="0" borderId="0" xfId="2" applyNumberFormat="1" applyFont="1" applyAlignment="1">
      <alignment horizontal="center" vertical="center"/>
    </xf>
    <xf numFmtId="0" fontId="14" fillId="6" borderId="1" xfId="0" applyFont="1" applyFill="1" applyBorder="1" applyAlignment="1">
      <alignment horizontal="center" vertical="center"/>
    </xf>
    <xf numFmtId="165" fontId="17" fillId="2" borderId="1" xfId="0" applyNumberFormat="1" applyFont="1" applyFill="1" applyBorder="1" applyAlignment="1">
      <alignment horizontal="center" vertical="center"/>
    </xf>
    <xf numFmtId="165" fontId="17" fillId="2" borderId="1" xfId="2" applyFont="1" applyFill="1" applyBorder="1" applyAlignment="1">
      <alignment horizontal="center" vertical="center"/>
    </xf>
    <xf numFmtId="0" fontId="17" fillId="2" borderId="1" xfId="0" applyFont="1" applyFill="1" applyBorder="1" applyAlignment="1">
      <alignment horizontal="center"/>
    </xf>
    <xf numFmtId="0" fontId="17" fillId="2" borderId="1" xfId="0" applyFont="1" applyFill="1" applyBorder="1"/>
    <xf numFmtId="165" fontId="17" fillId="2" borderId="1" xfId="2" applyFont="1" applyFill="1" applyBorder="1" applyAlignment="1">
      <alignment horizontal="center"/>
    </xf>
    <xf numFmtId="0" fontId="17" fillId="2" borderId="1" xfId="2" applyNumberFormat="1" applyFont="1" applyFill="1" applyBorder="1" applyAlignment="1">
      <alignment horizontal="center"/>
    </xf>
    <xf numFmtId="0" fontId="4" fillId="2" borderId="3" xfId="2" applyNumberFormat="1" applyFont="1" applyFill="1" applyBorder="1" applyAlignment="1">
      <alignment horizontal="center" vertical="center"/>
    </xf>
    <xf numFmtId="0" fontId="4" fillId="2" borderId="14" xfId="2" applyNumberFormat="1" applyFont="1" applyFill="1" applyBorder="1" applyAlignment="1">
      <alignment horizontal="center" vertical="center"/>
    </xf>
    <xf numFmtId="165" fontId="4" fillId="2" borderId="3" xfId="2" applyFont="1" applyFill="1" applyBorder="1" applyAlignment="1">
      <alignment horizontal="center" vertical="center"/>
    </xf>
    <xf numFmtId="165" fontId="0" fillId="0" borderId="1" xfId="0" applyNumberFormat="1" applyBorder="1" applyAlignment="1">
      <alignment horizontal="center" vertical="center"/>
    </xf>
    <xf numFmtId="9" fontId="23" fillId="2" borderId="1" xfId="3" applyFont="1" applyFill="1" applyBorder="1" applyAlignment="1">
      <alignment horizontal="center" vertical="center"/>
    </xf>
    <xf numFmtId="165" fontId="19" fillId="8" borderId="1" xfId="2" applyFont="1" applyFill="1" applyBorder="1" applyAlignment="1">
      <alignment horizontal="center" vertical="center"/>
    </xf>
    <xf numFmtId="0" fontId="32" fillId="0" borderId="1" xfId="0" applyFont="1" applyBorder="1"/>
    <xf numFmtId="165" fontId="2" fillId="0" borderId="1" xfId="2" applyFont="1" applyBorder="1"/>
    <xf numFmtId="165" fontId="33" fillId="3" borderId="1" xfId="2" applyFont="1" applyFill="1" applyBorder="1" applyAlignment="1">
      <alignment horizontal="center"/>
    </xf>
    <xf numFmtId="165" fontId="1" fillId="0" borderId="1" xfId="2" applyFont="1" applyBorder="1"/>
    <xf numFmtId="165" fontId="34" fillId="0" borderId="0" xfId="2" applyFont="1"/>
    <xf numFmtId="0" fontId="0" fillId="5" borderId="11" xfId="2" applyNumberFormat="1" applyFont="1" applyFill="1" applyBorder="1" applyAlignment="1">
      <alignment horizontal="center" vertical="center"/>
    </xf>
    <xf numFmtId="0" fontId="0" fillId="5" borderId="12" xfId="2" applyNumberFormat="1" applyFont="1" applyFill="1" applyBorder="1" applyAlignment="1">
      <alignment horizontal="center" vertical="center"/>
    </xf>
    <xf numFmtId="0" fontId="4" fillId="2" borderId="3" xfId="2" applyNumberFormat="1" applyFont="1" applyFill="1" applyBorder="1" applyAlignment="1">
      <alignment horizontal="center" vertical="center"/>
    </xf>
    <xf numFmtId="0" fontId="4" fillId="2" borderId="14" xfId="2" applyNumberFormat="1" applyFont="1" applyFill="1" applyBorder="1" applyAlignment="1">
      <alignment horizontal="center" vertical="center"/>
    </xf>
    <xf numFmtId="165" fontId="4" fillId="2" borderId="15" xfId="2" applyFont="1" applyFill="1" applyBorder="1" applyAlignment="1">
      <alignment horizontal="center" vertical="center"/>
    </xf>
    <xf numFmtId="165" fontId="4" fillId="2" borderId="0" xfId="2" applyFont="1" applyFill="1" applyBorder="1" applyAlignment="1">
      <alignment horizontal="center" vertical="center"/>
    </xf>
    <xf numFmtId="165" fontId="23" fillId="2" borderId="6" xfId="2" applyFont="1" applyFill="1" applyBorder="1" applyAlignment="1">
      <alignment horizontal="center" vertical="center"/>
    </xf>
    <xf numFmtId="165" fontId="23" fillId="2" borderId="2" xfId="2" applyFont="1" applyFill="1" applyBorder="1" applyAlignment="1">
      <alignment horizontal="center" vertical="center"/>
    </xf>
    <xf numFmtId="0" fontId="23" fillId="2" borderId="5" xfId="0" applyFont="1" applyFill="1" applyBorder="1" applyAlignment="1">
      <alignment horizontal="center" vertical="center"/>
    </xf>
    <xf numFmtId="0" fontId="23" fillId="2" borderId="6" xfId="0" applyFont="1" applyFill="1" applyBorder="1" applyAlignment="1">
      <alignment horizontal="center" vertical="center"/>
    </xf>
    <xf numFmtId="0" fontId="23" fillId="2" borderId="2" xfId="0" applyFont="1" applyFill="1" applyBorder="1" applyAlignment="1">
      <alignment horizontal="center" vertical="center"/>
    </xf>
    <xf numFmtId="0" fontId="17" fillId="2" borderId="5" xfId="0" applyFont="1" applyFill="1" applyBorder="1" applyAlignment="1">
      <alignment horizontal="center" vertical="center"/>
    </xf>
    <xf numFmtId="0" fontId="17" fillId="2" borderId="6" xfId="0" applyFont="1" applyFill="1" applyBorder="1" applyAlignment="1">
      <alignment horizontal="center" vertical="center"/>
    </xf>
    <xf numFmtId="0" fontId="17" fillId="2" borderId="2" xfId="0" applyFont="1" applyFill="1" applyBorder="1" applyAlignment="1">
      <alignment horizontal="center" vertical="center"/>
    </xf>
    <xf numFmtId="0" fontId="17" fillId="2" borderId="1" xfId="0" applyFont="1" applyFill="1" applyBorder="1" applyAlignment="1">
      <alignment horizontal="center" vertical="center"/>
    </xf>
    <xf numFmtId="0" fontId="3" fillId="0" borderId="1" xfId="0" applyFont="1" applyBorder="1" applyAlignment="1">
      <alignment horizontal="center" vertical="center"/>
    </xf>
    <xf numFmtId="165" fontId="4" fillId="2" borderId="1" xfId="2" applyFont="1" applyFill="1" applyBorder="1" applyAlignment="1">
      <alignment horizontal="center" vertical="center"/>
    </xf>
    <xf numFmtId="0" fontId="17" fillId="2" borderId="1" xfId="0" applyFont="1" applyFill="1" applyBorder="1" applyAlignment="1">
      <alignment vertical="center"/>
    </xf>
    <xf numFmtId="0" fontId="17" fillId="2" borderId="13" xfId="0" applyFont="1" applyFill="1" applyBorder="1" applyAlignment="1">
      <alignment horizontal="center"/>
    </xf>
    <xf numFmtId="165" fontId="17" fillId="2" borderId="0" xfId="2" applyFont="1" applyFill="1" applyBorder="1" applyAlignment="1">
      <alignment horizontal="center"/>
    </xf>
    <xf numFmtId="165" fontId="35" fillId="3" borderId="16" xfId="2" applyFont="1" applyFill="1" applyBorder="1" applyAlignment="1">
      <alignment horizontal="center"/>
    </xf>
    <xf numFmtId="165" fontId="35" fillId="3" borderId="17" xfId="2" applyFont="1" applyFill="1" applyBorder="1" applyAlignment="1">
      <alignment horizontal="center"/>
    </xf>
    <xf numFmtId="0" fontId="36" fillId="2" borderId="13" xfId="0" applyFont="1" applyFill="1" applyBorder="1" applyAlignment="1">
      <alignment horizontal="center" vertical="center"/>
    </xf>
    <xf numFmtId="0" fontId="17" fillId="2" borderId="18" xfId="0" applyFont="1" applyFill="1" applyBorder="1" applyAlignment="1">
      <alignment horizontal="center" vertical="center"/>
    </xf>
    <xf numFmtId="0" fontId="17" fillId="2" borderId="4" xfId="0" applyFont="1" applyFill="1" applyBorder="1" applyAlignment="1">
      <alignment horizontal="center" vertical="center"/>
    </xf>
  </cellXfs>
  <cellStyles count="4">
    <cellStyle name="Moeda" xfId="2" builtinId="4"/>
    <cellStyle name="Normal" xfId="0" builtinId="0"/>
    <cellStyle name="Porcentagem" xfId="3" builtinId="5"/>
    <cellStyle name="Vírgula" xfId="1" builtinId="3"/>
  </cellStyles>
  <dxfs count="298">
    <dxf>
      <font>
        <b/>
        <i/>
        <color rgb="FF00B050"/>
      </font>
    </dxf>
    <dxf>
      <font>
        <b/>
        <i/>
        <color rgb="FF00B0F0"/>
      </font>
    </dxf>
    <dxf>
      <font>
        <color rgb="FF9C0006"/>
      </font>
      <fill>
        <patternFill>
          <bgColor rgb="FFFFC7CE"/>
        </patternFill>
      </fill>
    </dxf>
    <dxf>
      <font>
        <b/>
        <i/>
        <color rgb="FF00B050"/>
      </font>
    </dxf>
    <dxf>
      <font>
        <b/>
        <i/>
        <color rgb="FF00B0F0"/>
      </font>
    </dxf>
    <dxf>
      <font>
        <b/>
        <i/>
        <color rgb="FF00B050"/>
      </font>
    </dxf>
    <dxf>
      <font>
        <b/>
        <i/>
        <color rgb="FF00B0F0"/>
      </font>
    </dxf>
    <dxf>
      <font>
        <b/>
        <i/>
        <color rgb="FF00B050"/>
      </font>
    </dxf>
    <dxf>
      <font>
        <b/>
        <i/>
        <color rgb="FF00B0F0"/>
      </font>
    </dxf>
    <dxf>
      <font>
        <b/>
        <i/>
        <color rgb="FF00B050"/>
      </font>
    </dxf>
    <dxf>
      <font>
        <b/>
        <i/>
        <color rgb="FF00B0F0"/>
      </font>
    </dxf>
    <dxf>
      <font>
        <b/>
        <i/>
        <color rgb="FF00B050"/>
      </font>
    </dxf>
    <dxf>
      <font>
        <b/>
        <i/>
        <color rgb="FF00B0F0"/>
      </font>
    </dxf>
    <dxf>
      <font>
        <b/>
        <i/>
        <color rgb="FF00B050"/>
      </font>
    </dxf>
    <dxf>
      <font>
        <b/>
        <i/>
        <color rgb="FF00B0F0"/>
      </font>
    </dxf>
    <dxf>
      <font>
        <b/>
        <i/>
        <color rgb="FF00B050"/>
      </font>
    </dxf>
    <dxf>
      <font>
        <b/>
        <i/>
        <color rgb="FF00B0F0"/>
      </font>
    </dxf>
    <dxf>
      <font>
        <b/>
        <i/>
        <color rgb="FF00B050"/>
      </font>
    </dxf>
    <dxf>
      <font>
        <b/>
        <i/>
        <color rgb="FF00B0F0"/>
      </font>
    </dxf>
    <dxf>
      <font>
        <b/>
        <i/>
        <color rgb="FF00B050"/>
      </font>
    </dxf>
    <dxf>
      <font>
        <b/>
        <i/>
        <color rgb="FF00B0F0"/>
      </font>
    </dxf>
    <dxf>
      <font>
        <b/>
        <i/>
        <color rgb="FF7030A0"/>
      </font>
    </dxf>
    <dxf>
      <font>
        <b/>
        <i/>
        <color rgb="FFC00000"/>
      </font>
    </dxf>
    <dxf>
      <font>
        <b/>
        <i/>
        <color rgb="FFBE0CC2"/>
      </font>
    </dxf>
    <dxf>
      <font>
        <b/>
        <i/>
        <color rgb="FF7030A0"/>
      </font>
    </dxf>
    <dxf>
      <font>
        <b/>
        <i/>
        <color rgb="FF002060"/>
      </font>
    </dxf>
    <dxf>
      <font>
        <b/>
        <i/>
        <color rgb="FF00B050"/>
      </font>
    </dxf>
    <dxf>
      <font>
        <b/>
        <i/>
        <color rgb="FF7030A0"/>
      </font>
    </dxf>
    <dxf>
      <font>
        <b/>
        <i/>
        <color rgb="FFC00000"/>
      </font>
    </dxf>
    <dxf>
      <font>
        <b/>
        <i/>
        <color rgb="FFBE0CC2"/>
      </font>
    </dxf>
    <dxf>
      <font>
        <b/>
        <i/>
        <color rgb="FF7030A0"/>
      </font>
    </dxf>
    <dxf>
      <font>
        <b/>
        <i/>
        <color rgb="FF002060"/>
      </font>
    </dxf>
    <dxf>
      <font>
        <b/>
        <i/>
        <color rgb="FF00B050"/>
      </font>
    </dxf>
    <dxf>
      <font>
        <b/>
        <i/>
        <color rgb="FF7030A0"/>
      </font>
    </dxf>
    <dxf>
      <font>
        <b/>
        <i/>
        <color rgb="FFC00000"/>
      </font>
    </dxf>
    <dxf>
      <font>
        <b/>
        <i/>
        <color rgb="FFBE0CC2"/>
      </font>
    </dxf>
    <dxf>
      <font>
        <b/>
        <i/>
        <color rgb="FF7030A0"/>
      </font>
    </dxf>
    <dxf>
      <font>
        <b/>
        <i/>
        <color rgb="FF002060"/>
      </font>
    </dxf>
    <dxf>
      <font>
        <b/>
        <i/>
        <color rgb="FF00B050"/>
      </font>
    </dxf>
    <dxf>
      <font>
        <b/>
        <i/>
        <color rgb="FF00B050"/>
      </font>
    </dxf>
    <dxf>
      <font>
        <b/>
        <i/>
        <color rgb="FF7030A0"/>
      </font>
    </dxf>
    <dxf>
      <font>
        <b/>
        <i/>
        <color rgb="FF002060"/>
      </font>
    </dxf>
    <dxf>
      <font>
        <b/>
        <i/>
        <color theme="8"/>
      </font>
    </dxf>
    <dxf>
      <font>
        <b/>
        <i/>
        <color rgb="FFC00000"/>
      </font>
    </dxf>
    <dxf>
      <font>
        <b/>
        <i/>
        <color rgb="FFBE0CC2"/>
      </font>
    </dxf>
    <dxf>
      <font>
        <b/>
        <i/>
        <color theme="9" tint="-0.24994659260841701"/>
      </font>
    </dxf>
    <dxf>
      <font>
        <b/>
        <i/>
        <color rgb="FFF000F0"/>
      </font>
    </dxf>
    <dxf>
      <font>
        <b/>
        <i/>
        <color rgb="FF00B050"/>
      </font>
    </dxf>
    <dxf>
      <font>
        <b/>
        <i/>
        <color rgb="FF7030A0"/>
      </font>
    </dxf>
    <dxf>
      <font>
        <b/>
        <i/>
        <color rgb="FF002060"/>
      </font>
    </dxf>
    <dxf>
      <font>
        <b/>
        <i/>
        <color theme="8"/>
      </font>
    </dxf>
    <dxf>
      <font>
        <b/>
        <i/>
        <color rgb="FFC00000"/>
      </font>
    </dxf>
    <dxf>
      <font>
        <b/>
        <i/>
        <color rgb="FFBE0CC2"/>
      </font>
    </dxf>
    <dxf>
      <font>
        <b/>
        <i/>
        <color theme="9" tint="-0.24994659260841701"/>
      </font>
    </dxf>
    <dxf>
      <font>
        <b/>
        <i/>
        <color rgb="FFF000F0"/>
      </font>
    </dxf>
    <dxf>
      <font>
        <b/>
        <i/>
        <color rgb="FF00B050"/>
      </font>
    </dxf>
    <dxf>
      <font>
        <b/>
        <i/>
        <color rgb="FF7030A0"/>
      </font>
    </dxf>
    <dxf>
      <font>
        <b/>
        <i/>
        <color rgb="FF002060"/>
      </font>
    </dxf>
    <dxf>
      <font>
        <b/>
        <i/>
        <color theme="8"/>
      </font>
    </dxf>
    <dxf>
      <font>
        <b/>
        <i/>
        <color rgb="FFBE0CC2"/>
      </font>
    </dxf>
    <dxf>
      <font>
        <b/>
        <i/>
        <color rgb="FFC00000"/>
      </font>
    </dxf>
    <dxf>
      <font>
        <b/>
        <i/>
        <color rgb="FFBE0CC2"/>
      </font>
    </dxf>
    <dxf>
      <font>
        <b/>
        <i/>
        <color rgb="FF7030A0"/>
      </font>
    </dxf>
    <dxf>
      <font>
        <b/>
        <i/>
        <color rgb="FF002060"/>
      </font>
    </dxf>
    <dxf>
      <font>
        <b/>
        <i/>
        <color rgb="FFC00000"/>
      </font>
    </dxf>
    <dxf>
      <font>
        <b/>
        <i/>
        <color rgb="FFBE0CC2"/>
      </font>
    </dxf>
    <dxf>
      <font>
        <b/>
        <i/>
        <color rgb="FF7030A0"/>
      </font>
    </dxf>
    <dxf>
      <font>
        <b/>
        <i/>
        <color rgb="FF002060"/>
      </font>
    </dxf>
    <dxf>
      <font>
        <color rgb="FF9C0006"/>
      </font>
      <fill>
        <patternFill>
          <bgColor rgb="FFFFC7CE"/>
        </patternFill>
      </fill>
    </dxf>
    <dxf>
      <font>
        <b/>
        <i/>
        <color rgb="FF00B050"/>
      </font>
    </dxf>
    <dxf>
      <font>
        <b/>
        <i/>
        <color rgb="FFFFC000"/>
      </font>
    </dxf>
    <dxf>
      <font>
        <b/>
        <i/>
        <color rgb="FFC00000"/>
      </font>
    </dxf>
    <dxf>
      <font>
        <b/>
        <i/>
        <color rgb="FFBE0CC2"/>
      </font>
    </dxf>
    <dxf>
      <font>
        <b/>
        <i/>
        <color rgb="FF7030A0"/>
      </font>
    </dxf>
    <dxf>
      <font>
        <b/>
        <i/>
        <color rgb="FF002060"/>
      </font>
    </dxf>
    <dxf>
      <font>
        <b/>
        <i/>
        <color rgb="FFC00000"/>
      </font>
    </dxf>
    <dxf>
      <font>
        <b/>
        <i/>
        <color rgb="FFBE0CC2"/>
      </font>
    </dxf>
    <dxf>
      <font>
        <b/>
        <i/>
        <color rgb="FF7030A0"/>
      </font>
    </dxf>
    <dxf>
      <font>
        <b/>
        <i/>
        <color rgb="FF002060"/>
      </font>
    </dxf>
    <dxf>
      <font>
        <b/>
        <i/>
        <color rgb="FF00B050"/>
      </font>
    </dxf>
    <dxf>
      <font>
        <b/>
        <i/>
        <color rgb="FFFFC000"/>
      </font>
    </dxf>
    <dxf>
      <font>
        <b/>
        <i/>
        <color rgb="FFC00000"/>
      </font>
    </dxf>
    <dxf>
      <font>
        <b/>
        <i/>
        <color rgb="FFBE0CC2"/>
      </font>
    </dxf>
    <dxf>
      <font>
        <b/>
        <i/>
        <color rgb="FF7030A0"/>
      </font>
    </dxf>
    <dxf>
      <font>
        <b/>
        <i/>
        <color rgb="FF002060"/>
      </font>
    </dxf>
    <dxf>
      <font>
        <b/>
        <i/>
        <color rgb="FF00B050"/>
      </font>
    </dxf>
    <dxf>
      <font>
        <b/>
        <i/>
        <color rgb="FF00B050"/>
      </font>
    </dxf>
    <dxf>
      <font>
        <b/>
        <i/>
        <color rgb="FF7030A0"/>
      </font>
    </dxf>
    <dxf>
      <font>
        <b/>
        <i/>
        <color rgb="FF002060"/>
      </font>
    </dxf>
    <dxf>
      <font>
        <b/>
        <i/>
        <color theme="8"/>
      </font>
    </dxf>
    <dxf>
      <font>
        <b/>
        <i/>
        <color rgb="FFC00000"/>
      </font>
    </dxf>
    <dxf>
      <font>
        <b/>
        <i/>
        <color rgb="FFBE0CC2"/>
      </font>
    </dxf>
    <dxf>
      <font>
        <b/>
        <i/>
        <color theme="9" tint="-0.24994659260841701"/>
      </font>
    </dxf>
    <dxf>
      <font>
        <b/>
        <i/>
        <color rgb="FFF000F0"/>
      </font>
    </dxf>
    <dxf>
      <font>
        <b/>
        <i/>
        <color rgb="FF00B050"/>
      </font>
    </dxf>
    <dxf>
      <font>
        <b/>
        <i/>
        <color rgb="FF7030A0"/>
      </font>
    </dxf>
    <dxf>
      <font>
        <b/>
        <i/>
        <color rgb="FF002060"/>
      </font>
    </dxf>
    <dxf>
      <font>
        <b/>
        <i/>
        <color theme="8"/>
      </font>
    </dxf>
    <dxf>
      <font>
        <b/>
        <i/>
        <color rgb="FFC00000"/>
      </font>
    </dxf>
    <dxf>
      <font>
        <b/>
        <i/>
        <color rgb="FFBE0CC2"/>
      </font>
    </dxf>
    <dxf>
      <font>
        <b/>
        <i/>
        <color theme="9" tint="-0.24994659260841701"/>
      </font>
    </dxf>
    <dxf>
      <font>
        <b/>
        <i/>
        <color rgb="FFF000F0"/>
      </font>
    </dxf>
    <dxf>
      <font>
        <b/>
        <i/>
        <color rgb="FF00B050"/>
      </font>
    </dxf>
    <dxf>
      <font>
        <b/>
        <i/>
        <color rgb="FF7030A0"/>
      </font>
    </dxf>
    <dxf>
      <font>
        <b/>
        <i/>
        <color rgb="FF002060"/>
      </font>
    </dxf>
    <dxf>
      <font>
        <b/>
        <i/>
        <color theme="8"/>
      </font>
    </dxf>
    <dxf>
      <font>
        <b/>
        <i/>
        <color rgb="FFBE0CC2"/>
      </font>
    </dxf>
    <dxf>
      <font>
        <b/>
        <i/>
        <color rgb="FF00B050"/>
      </font>
    </dxf>
    <dxf>
      <font>
        <b/>
        <i/>
        <color rgb="FF7030A0"/>
      </font>
    </dxf>
    <dxf>
      <font>
        <b/>
        <i/>
        <color rgb="FF002060"/>
      </font>
    </dxf>
    <dxf>
      <font>
        <b/>
        <i/>
        <color theme="8"/>
      </font>
    </dxf>
    <dxf>
      <font>
        <b/>
        <i/>
        <color rgb="FFC00000"/>
      </font>
    </dxf>
    <dxf>
      <font>
        <b/>
        <i/>
        <color rgb="FFBE0CC2"/>
      </font>
    </dxf>
    <dxf>
      <font>
        <b/>
        <i/>
        <color theme="9" tint="-0.24994659260841701"/>
      </font>
    </dxf>
    <dxf>
      <font>
        <b/>
        <i/>
        <color rgb="FFF000F0"/>
      </font>
    </dxf>
    <dxf>
      <font>
        <b/>
        <i/>
        <color rgb="FF00B050"/>
      </font>
    </dxf>
    <dxf>
      <font>
        <b/>
        <i/>
        <color rgb="FF7030A0"/>
      </font>
    </dxf>
    <dxf>
      <font>
        <b/>
        <i/>
        <color rgb="FF002060"/>
      </font>
    </dxf>
    <dxf>
      <font>
        <b/>
        <i/>
        <color theme="8"/>
      </font>
    </dxf>
    <dxf>
      <font>
        <b/>
        <i/>
        <color rgb="FFC00000"/>
      </font>
    </dxf>
    <dxf>
      <font>
        <b/>
        <i/>
        <color rgb="FFBE0CC2"/>
      </font>
    </dxf>
    <dxf>
      <font>
        <b/>
        <i/>
        <color theme="9" tint="-0.24994659260841701"/>
      </font>
    </dxf>
    <dxf>
      <font>
        <b/>
        <i/>
        <color rgb="FFF000F0"/>
      </font>
    </dxf>
    <dxf>
      <font>
        <b/>
        <i/>
        <color rgb="FF00B050"/>
      </font>
    </dxf>
    <dxf>
      <font>
        <b/>
        <i/>
        <color rgb="FF7030A0"/>
      </font>
    </dxf>
    <dxf>
      <font>
        <b/>
        <i/>
        <color rgb="FF002060"/>
      </font>
    </dxf>
    <dxf>
      <font>
        <b/>
        <i/>
        <color theme="8"/>
      </font>
    </dxf>
    <dxf>
      <font>
        <b/>
        <i/>
        <color rgb="FFBE0CC2"/>
      </font>
    </dxf>
    <dxf>
      <font>
        <b/>
        <i/>
        <color rgb="FFC00000"/>
      </font>
    </dxf>
    <dxf>
      <font>
        <b/>
        <i/>
        <color theme="9" tint="-0.24994659260841701"/>
      </font>
    </dxf>
    <dxf>
      <font>
        <b/>
        <i/>
        <color rgb="FFF000F0"/>
      </font>
    </dxf>
    <dxf>
      <font>
        <b/>
        <i/>
        <color rgb="FF00B050"/>
      </font>
    </dxf>
    <dxf>
      <font>
        <b/>
        <i/>
        <color rgb="FF7030A0"/>
      </font>
    </dxf>
    <dxf>
      <font>
        <b/>
        <i/>
        <color rgb="FF002060"/>
      </font>
    </dxf>
    <dxf>
      <font>
        <b/>
        <i/>
        <color theme="8"/>
      </font>
    </dxf>
    <dxf>
      <font>
        <b/>
        <i/>
        <color rgb="FFC00000"/>
      </font>
    </dxf>
    <dxf>
      <font>
        <b/>
        <i/>
        <color rgb="FFBE0CC2"/>
      </font>
    </dxf>
    <dxf>
      <font>
        <b/>
        <i/>
        <color theme="9" tint="-0.24994659260841701"/>
      </font>
    </dxf>
    <dxf>
      <font>
        <b/>
        <i/>
        <color rgb="FFF000F0"/>
      </font>
    </dxf>
    <dxf>
      <font>
        <b/>
        <i/>
        <color rgb="FF00B050"/>
      </font>
    </dxf>
    <dxf>
      <font>
        <b/>
        <i/>
        <color rgb="FF7030A0"/>
      </font>
    </dxf>
    <dxf>
      <font>
        <b/>
        <i/>
        <color rgb="FF002060"/>
      </font>
    </dxf>
    <dxf>
      <font>
        <b/>
        <i/>
        <color theme="8"/>
      </font>
    </dxf>
    <dxf>
      <font>
        <b/>
        <i/>
        <color rgb="FFBE0CC2"/>
      </font>
    </dxf>
    <dxf>
      <font>
        <b/>
        <i/>
        <color rgb="FF00B050"/>
      </font>
    </dxf>
    <dxf>
      <font>
        <b/>
        <i/>
        <color rgb="FF7030A0"/>
      </font>
    </dxf>
    <dxf>
      <font>
        <b/>
        <i/>
        <color rgb="FF002060"/>
      </font>
    </dxf>
    <dxf>
      <font>
        <b/>
        <i/>
        <color theme="8"/>
      </font>
    </dxf>
    <dxf>
      <font>
        <b/>
        <i/>
        <color rgb="FFBE0CC2"/>
      </font>
    </dxf>
    <dxf>
      <font>
        <b/>
        <i/>
        <color rgb="FF00B050"/>
      </font>
    </dxf>
    <dxf>
      <font>
        <b/>
        <i/>
        <color rgb="FF7030A0"/>
      </font>
    </dxf>
    <dxf>
      <font>
        <b/>
        <i/>
        <color rgb="FF002060"/>
      </font>
    </dxf>
    <dxf>
      <font>
        <b/>
        <i/>
        <color theme="8"/>
      </font>
    </dxf>
    <dxf>
      <font>
        <b/>
        <i/>
        <color rgb="FFC00000"/>
      </font>
    </dxf>
    <dxf>
      <font>
        <b/>
        <i/>
        <color rgb="FFBE0CC2"/>
      </font>
    </dxf>
    <dxf>
      <font>
        <b/>
        <i/>
        <color theme="9" tint="-0.24994659260841701"/>
      </font>
    </dxf>
    <dxf>
      <font>
        <b/>
        <i/>
        <color rgb="FFF000F0"/>
      </font>
    </dxf>
    <dxf>
      <font>
        <b/>
        <i/>
        <color rgb="FF00B050"/>
      </font>
    </dxf>
    <dxf>
      <font>
        <b/>
        <i/>
        <color rgb="FF7030A0"/>
      </font>
    </dxf>
    <dxf>
      <font>
        <b/>
        <i/>
        <color rgb="FF002060"/>
      </font>
    </dxf>
    <dxf>
      <font>
        <b/>
        <i/>
        <color theme="8"/>
      </font>
    </dxf>
    <dxf>
      <font>
        <b/>
        <i/>
        <color rgb="FFC00000"/>
      </font>
    </dxf>
    <dxf>
      <font>
        <b/>
        <i/>
        <color rgb="FFBE0CC2"/>
      </font>
    </dxf>
    <dxf>
      <font>
        <b/>
        <i/>
        <color theme="9" tint="-0.24994659260841701"/>
      </font>
    </dxf>
    <dxf>
      <font>
        <b/>
        <i/>
        <color rgb="FFF000F0"/>
      </font>
    </dxf>
    <dxf>
      <font>
        <b/>
        <i/>
        <color rgb="FF00B050"/>
      </font>
    </dxf>
    <dxf>
      <font>
        <b/>
        <i/>
        <color rgb="FF7030A0"/>
      </font>
    </dxf>
    <dxf>
      <font>
        <b/>
        <i/>
        <color rgb="FF002060"/>
      </font>
    </dxf>
    <dxf>
      <font>
        <b/>
        <i/>
        <color theme="8"/>
      </font>
    </dxf>
    <dxf>
      <font>
        <b/>
        <i/>
        <color rgb="FFC00000"/>
      </font>
    </dxf>
    <dxf>
      <font>
        <b/>
        <i/>
        <color rgb="FFBE0CC2"/>
      </font>
    </dxf>
    <dxf>
      <font>
        <b/>
        <i/>
        <color theme="9" tint="-0.24994659260841701"/>
      </font>
    </dxf>
    <dxf>
      <font>
        <b/>
        <i/>
        <color rgb="FFF000F0"/>
      </font>
    </dxf>
    <dxf>
      <font>
        <b/>
        <i/>
        <color rgb="FF00B050"/>
      </font>
    </dxf>
    <dxf>
      <font>
        <b/>
        <i/>
        <color rgb="FF7030A0"/>
      </font>
    </dxf>
    <dxf>
      <font>
        <b/>
        <i/>
        <color rgb="FF002060"/>
      </font>
    </dxf>
    <dxf>
      <font>
        <b/>
        <i/>
        <color theme="8"/>
      </font>
    </dxf>
    <dxf>
      <font>
        <b/>
        <i/>
        <color rgb="FFC00000"/>
      </font>
    </dxf>
    <dxf>
      <font>
        <b/>
        <i/>
        <color rgb="FFBE0CC2"/>
      </font>
    </dxf>
    <dxf>
      <font>
        <b/>
        <i/>
        <color theme="9" tint="-0.24994659260841701"/>
      </font>
    </dxf>
    <dxf>
      <font>
        <b/>
        <i/>
        <color rgb="FFF000F0"/>
      </font>
    </dxf>
    <dxf>
      <font>
        <b/>
        <i/>
        <color rgb="FF00B050"/>
      </font>
    </dxf>
    <dxf>
      <font>
        <b/>
        <i/>
        <color rgb="FF7030A0"/>
      </font>
    </dxf>
    <dxf>
      <font>
        <b/>
        <i/>
        <color rgb="FF002060"/>
      </font>
    </dxf>
    <dxf>
      <font>
        <b/>
        <i/>
        <color theme="8"/>
      </font>
    </dxf>
    <dxf>
      <font>
        <b/>
        <i/>
        <color rgb="FFBE0CC2"/>
      </font>
    </dxf>
    <dxf>
      <font>
        <b/>
        <i/>
        <color rgb="FFC00000"/>
      </font>
    </dxf>
    <dxf>
      <font>
        <b/>
        <i/>
        <color theme="9" tint="-0.24994659260841701"/>
      </font>
    </dxf>
    <dxf>
      <font>
        <b/>
        <i/>
        <color rgb="FFF000F0"/>
      </font>
    </dxf>
    <dxf>
      <font>
        <b/>
        <i/>
        <color rgb="FF00B050"/>
      </font>
    </dxf>
    <dxf>
      <font>
        <b/>
        <i/>
        <color rgb="FF7030A0"/>
      </font>
    </dxf>
    <dxf>
      <font>
        <b/>
        <i/>
        <color rgb="FF002060"/>
      </font>
    </dxf>
    <dxf>
      <font>
        <b/>
        <i/>
        <color theme="8"/>
      </font>
    </dxf>
    <dxf>
      <font>
        <b/>
        <i/>
        <color rgb="FFC00000"/>
      </font>
    </dxf>
    <dxf>
      <font>
        <b/>
        <i/>
        <color rgb="FFBE0CC2"/>
      </font>
    </dxf>
    <dxf>
      <font>
        <b/>
        <i/>
        <color theme="9" tint="-0.24994659260841701"/>
      </font>
    </dxf>
    <dxf>
      <font>
        <b/>
        <i/>
        <color rgb="FFF000F0"/>
      </font>
    </dxf>
    <dxf>
      <font>
        <b/>
        <i/>
        <color rgb="FF00B050"/>
      </font>
    </dxf>
    <dxf>
      <font>
        <b/>
        <i/>
        <color rgb="FF7030A0"/>
      </font>
    </dxf>
    <dxf>
      <font>
        <b/>
        <i/>
        <color rgb="FF002060"/>
      </font>
    </dxf>
    <dxf>
      <font>
        <b/>
        <i/>
        <color theme="8"/>
      </font>
    </dxf>
    <dxf>
      <font>
        <b/>
        <i/>
        <color rgb="FFBE0CC2"/>
      </font>
    </dxf>
    <dxf>
      <font>
        <b/>
        <i/>
        <color rgb="FF00B050"/>
      </font>
    </dxf>
    <dxf>
      <font>
        <b/>
        <i/>
        <color rgb="FF7030A0"/>
      </font>
    </dxf>
    <dxf>
      <font>
        <b/>
        <i/>
        <color rgb="FF002060"/>
      </font>
    </dxf>
    <dxf>
      <font>
        <b/>
        <i/>
        <color theme="8"/>
      </font>
    </dxf>
    <dxf>
      <font>
        <b/>
        <i/>
        <color rgb="FFBE0CC2"/>
      </font>
    </dxf>
    <dxf>
      <font>
        <b/>
        <i/>
        <color rgb="FF00B050"/>
      </font>
    </dxf>
    <dxf>
      <font>
        <b/>
        <i/>
        <color rgb="FF7030A0"/>
      </font>
    </dxf>
    <dxf>
      <font>
        <b/>
        <i/>
        <color rgb="FF002060"/>
      </font>
    </dxf>
    <dxf>
      <font>
        <b/>
        <i/>
        <color theme="8"/>
      </font>
    </dxf>
    <dxf>
      <font>
        <b/>
        <i/>
        <color rgb="FFC00000"/>
      </font>
    </dxf>
    <dxf>
      <font>
        <b/>
        <i/>
        <color rgb="FFBE0CC2"/>
      </font>
    </dxf>
    <dxf>
      <font>
        <b/>
        <i/>
        <color theme="9" tint="-0.24994659260841701"/>
      </font>
    </dxf>
    <dxf>
      <font>
        <b/>
        <i/>
        <color rgb="FFF000F0"/>
      </font>
    </dxf>
    <dxf>
      <font>
        <b/>
        <i/>
        <color rgb="FF00B050"/>
      </font>
    </dxf>
    <dxf>
      <font>
        <b/>
        <i/>
        <color rgb="FF7030A0"/>
      </font>
    </dxf>
    <dxf>
      <font>
        <b/>
        <i/>
        <color rgb="FF002060"/>
      </font>
    </dxf>
    <dxf>
      <font>
        <b/>
        <i/>
        <color theme="8"/>
      </font>
    </dxf>
    <dxf>
      <font>
        <b/>
        <i/>
        <color rgb="FFC00000"/>
      </font>
    </dxf>
    <dxf>
      <font>
        <b/>
        <i/>
        <color rgb="FFBE0CC2"/>
      </font>
    </dxf>
    <dxf>
      <font>
        <b/>
        <i/>
        <color theme="9" tint="-0.24994659260841701"/>
      </font>
    </dxf>
    <dxf>
      <font>
        <b/>
        <i/>
        <color rgb="FFF000F0"/>
      </font>
    </dxf>
    <dxf>
      <font>
        <b/>
        <i/>
        <color rgb="FF00B050"/>
      </font>
    </dxf>
    <dxf>
      <font>
        <b/>
        <i/>
        <color rgb="FF7030A0"/>
      </font>
    </dxf>
    <dxf>
      <font>
        <b/>
        <i/>
        <color rgb="FF002060"/>
      </font>
    </dxf>
    <dxf>
      <font>
        <b/>
        <i/>
        <color theme="8"/>
      </font>
    </dxf>
    <dxf>
      <font>
        <b/>
        <i/>
        <color rgb="FFC00000"/>
      </font>
    </dxf>
    <dxf>
      <font>
        <b/>
        <i/>
        <color rgb="FFBE0CC2"/>
      </font>
    </dxf>
    <dxf>
      <font>
        <b/>
        <i/>
        <color theme="9" tint="-0.24994659260841701"/>
      </font>
    </dxf>
    <dxf>
      <font>
        <b/>
        <i/>
        <color rgb="FFF000F0"/>
      </font>
    </dxf>
    <dxf>
      <font>
        <b/>
        <i/>
        <color rgb="FF00B050"/>
      </font>
    </dxf>
    <dxf>
      <font>
        <b/>
        <i/>
        <color rgb="FF7030A0"/>
      </font>
    </dxf>
    <dxf>
      <font>
        <b/>
        <i/>
        <color rgb="FF002060"/>
      </font>
    </dxf>
    <dxf>
      <font>
        <b/>
        <i/>
        <color theme="8"/>
      </font>
    </dxf>
    <dxf>
      <font>
        <b/>
        <i/>
        <color rgb="FFC00000"/>
      </font>
    </dxf>
    <dxf>
      <font>
        <b/>
        <i/>
        <color rgb="FFBE0CC2"/>
      </font>
    </dxf>
    <dxf>
      <font>
        <b/>
        <i/>
        <color theme="9" tint="-0.24994659260841701"/>
      </font>
    </dxf>
    <dxf>
      <font>
        <b/>
        <i/>
        <color rgb="FFF000F0"/>
      </font>
    </dxf>
    <dxf>
      <font>
        <b/>
        <i/>
        <color rgb="FF00B050"/>
      </font>
    </dxf>
    <dxf>
      <font>
        <b/>
        <i/>
        <color rgb="FF7030A0"/>
      </font>
    </dxf>
    <dxf>
      <font>
        <b/>
        <i/>
        <color rgb="FF002060"/>
      </font>
    </dxf>
    <dxf>
      <font>
        <b/>
        <i/>
        <color theme="8"/>
      </font>
    </dxf>
    <dxf>
      <font>
        <b/>
        <i/>
        <color rgb="FFBE0CC2"/>
      </font>
    </dxf>
    <dxf>
      <font>
        <b/>
        <i/>
        <color rgb="FF00B050"/>
      </font>
    </dxf>
    <dxf>
      <font>
        <b/>
        <i/>
        <color rgb="FF7030A0"/>
      </font>
    </dxf>
    <dxf>
      <font>
        <b/>
        <i/>
        <color rgb="FF002060"/>
      </font>
    </dxf>
    <dxf>
      <font>
        <b/>
        <i/>
        <color theme="8"/>
      </font>
    </dxf>
    <dxf>
      <font>
        <b/>
        <i/>
        <color rgb="FFC00000"/>
      </font>
    </dxf>
    <dxf>
      <font>
        <b/>
        <i/>
        <color rgb="FFBE0CC2"/>
      </font>
    </dxf>
    <dxf>
      <font>
        <b/>
        <i/>
        <color theme="9" tint="-0.24994659260841701"/>
      </font>
    </dxf>
    <dxf>
      <font>
        <b/>
        <i/>
        <color rgb="FFF000F0"/>
      </font>
    </dxf>
    <dxf>
      <font>
        <b/>
        <i/>
        <color rgb="FF00B050"/>
      </font>
    </dxf>
    <dxf>
      <font>
        <b/>
        <i/>
        <color rgb="FF7030A0"/>
      </font>
    </dxf>
    <dxf>
      <font>
        <b/>
        <i/>
        <color rgb="FF002060"/>
      </font>
    </dxf>
    <dxf>
      <font>
        <b/>
        <i/>
        <color theme="8"/>
      </font>
    </dxf>
    <dxf>
      <font>
        <b/>
        <i/>
        <color rgb="FFC00000"/>
      </font>
    </dxf>
    <dxf>
      <font>
        <b/>
        <i/>
        <color rgb="FFBE0CC2"/>
      </font>
    </dxf>
    <dxf>
      <font>
        <b/>
        <i/>
        <color theme="9" tint="-0.24994659260841701"/>
      </font>
    </dxf>
    <dxf>
      <font>
        <b/>
        <i/>
        <color rgb="FFF000F0"/>
      </font>
    </dxf>
    <dxf>
      <font>
        <b/>
        <i/>
        <color rgb="FF00B050"/>
      </font>
    </dxf>
    <dxf>
      <font>
        <b/>
        <i/>
        <color rgb="FF7030A0"/>
      </font>
    </dxf>
    <dxf>
      <font>
        <b/>
        <i/>
        <color rgb="FF002060"/>
      </font>
    </dxf>
    <dxf>
      <font>
        <b/>
        <i/>
        <color theme="8"/>
      </font>
    </dxf>
    <dxf>
      <font>
        <b/>
        <i/>
        <color rgb="FFBE0CC2"/>
      </font>
    </dxf>
    <dxf>
      <font>
        <b/>
        <i/>
        <color rgb="FF00B050"/>
      </font>
    </dxf>
    <dxf>
      <font>
        <b/>
        <i/>
        <color rgb="FF7030A0"/>
      </font>
    </dxf>
    <dxf>
      <font>
        <b/>
        <i/>
        <color rgb="FF002060"/>
      </font>
    </dxf>
    <dxf>
      <font>
        <b/>
        <i/>
        <color theme="8"/>
      </font>
    </dxf>
    <dxf>
      <font>
        <b/>
        <i/>
        <color rgb="FFC00000"/>
      </font>
    </dxf>
    <dxf>
      <font>
        <b/>
        <i/>
        <color rgb="FFBE0CC2"/>
      </font>
    </dxf>
    <dxf>
      <font>
        <b/>
        <i/>
        <color theme="9" tint="-0.24994659260841701"/>
      </font>
    </dxf>
    <dxf>
      <font>
        <b/>
        <i/>
        <color rgb="FFF000F0"/>
      </font>
    </dxf>
    <dxf>
      <font>
        <b/>
        <i/>
        <color rgb="FF00B050"/>
      </font>
    </dxf>
    <dxf>
      <font>
        <b/>
        <i/>
        <color rgb="FF7030A0"/>
      </font>
    </dxf>
    <dxf>
      <font>
        <b/>
        <i/>
        <color rgb="FF002060"/>
      </font>
    </dxf>
    <dxf>
      <font>
        <b/>
        <i/>
        <color theme="8"/>
      </font>
    </dxf>
    <dxf>
      <font>
        <b/>
        <i/>
        <color rgb="FFC00000"/>
      </font>
    </dxf>
    <dxf>
      <font>
        <b/>
        <i/>
        <color rgb="FFBE0CC2"/>
      </font>
    </dxf>
    <dxf>
      <font>
        <b/>
        <i/>
        <color theme="9" tint="-0.24994659260841701"/>
      </font>
    </dxf>
    <dxf>
      <font>
        <b/>
        <i/>
        <color rgb="FFF000F0"/>
      </font>
    </dxf>
    <dxf>
      <font>
        <b/>
        <i/>
        <color rgb="FF00B050"/>
      </font>
    </dxf>
    <dxf>
      <font>
        <b/>
        <i/>
        <color rgb="FF7030A0"/>
      </font>
    </dxf>
    <dxf>
      <font>
        <b/>
        <i/>
        <color rgb="FF002060"/>
      </font>
    </dxf>
    <dxf>
      <font>
        <b/>
        <i/>
        <color theme="8"/>
      </font>
    </dxf>
    <dxf>
      <font>
        <b/>
        <i/>
        <color rgb="FFBE0CC2"/>
      </font>
    </dxf>
    <dxf>
      <font>
        <b/>
        <i/>
        <color rgb="FFC00000"/>
      </font>
    </dxf>
    <dxf>
      <font>
        <b/>
        <i/>
        <color rgb="FFBE0CC2"/>
      </font>
    </dxf>
    <dxf>
      <font>
        <b/>
        <i/>
        <color rgb="FF7030A0"/>
      </font>
    </dxf>
    <dxf>
      <font>
        <b/>
        <i/>
        <color rgb="FF002060"/>
      </font>
    </dxf>
    <dxf>
      <font>
        <b/>
        <i/>
        <color rgb="FF00B050"/>
      </font>
    </dxf>
    <dxf>
      <font>
        <b/>
        <i/>
        <color rgb="FFFFC000"/>
      </font>
    </dxf>
    <dxf>
      <font>
        <b/>
        <i/>
        <color rgb="FFC00000"/>
      </font>
    </dxf>
    <dxf>
      <font>
        <b/>
        <i/>
        <color rgb="FFBE0CC2"/>
      </font>
    </dxf>
    <dxf>
      <font>
        <b/>
        <i/>
        <color rgb="FF7030A0"/>
      </font>
    </dxf>
    <dxf>
      <font>
        <b/>
        <i/>
        <color rgb="FF002060"/>
      </font>
    </dxf>
    <dxf>
      <font>
        <b/>
        <i/>
        <color rgb="FF00B050"/>
      </font>
    </dxf>
    <dxf>
      <font>
        <b/>
        <i/>
        <color rgb="FFFFC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8064235854337167E-2"/>
          <c:y val="1.7179985064951699E-2"/>
          <c:w val="0.94995507580499772"/>
          <c:h val="0.89303165717956146"/>
        </c:manualLayout>
      </c:layout>
      <c:barChart>
        <c:barDir val="col"/>
        <c:grouping val="clustered"/>
        <c:varyColors val="0"/>
        <c:ser>
          <c:idx val="0"/>
          <c:order val="0"/>
          <c:spPr>
            <a:solidFill>
              <a:srgbClr val="FFC000"/>
            </a:solidFill>
            <a:ln>
              <a:noFill/>
            </a:ln>
            <a:effectLst>
              <a:outerShdw blurRad="57150" dist="19050" dir="5400000" algn="ctr" rotWithShape="0">
                <a:srgbClr val="000000">
                  <a:alpha val="63000"/>
                </a:srgbClr>
              </a:outerShdw>
            </a:effectLst>
          </c:spPr>
          <c:invertIfNegative val="0"/>
          <c:cat>
            <c:strRef>
              <c:f>Relatorio!$A$2:$A$13</c:f>
              <c:strCache>
                <c:ptCount val="12"/>
                <c:pt idx="0">
                  <c:v>Janeiro</c:v>
                </c:pt>
                <c:pt idx="1">
                  <c:v>Fevereiro</c:v>
                </c:pt>
                <c:pt idx="2">
                  <c:v>Março</c:v>
                </c:pt>
                <c:pt idx="3">
                  <c:v>Abril</c:v>
                </c:pt>
                <c:pt idx="4">
                  <c:v>Maio</c:v>
                </c:pt>
                <c:pt idx="5">
                  <c:v>Junho</c:v>
                </c:pt>
                <c:pt idx="6">
                  <c:v>Julho</c:v>
                </c:pt>
                <c:pt idx="7">
                  <c:v>Agosto</c:v>
                </c:pt>
                <c:pt idx="8">
                  <c:v>Setembro</c:v>
                </c:pt>
                <c:pt idx="9">
                  <c:v>Outubro</c:v>
                </c:pt>
                <c:pt idx="10">
                  <c:v>Novembro</c:v>
                </c:pt>
                <c:pt idx="11">
                  <c:v>Dezembro</c:v>
                </c:pt>
              </c:strCache>
            </c:strRef>
          </c:cat>
          <c:val>
            <c:numRef>
              <c:f>Relatorio!$C$2:$C$13</c:f>
              <c:numCache>
                <c:formatCode>_-"R$"* #,##0.00_-;\-"R$"* #,##0.00_-;_-"R$"* "-"??_-;_-@_-</c:formatCode>
                <c:ptCount val="12"/>
                <c:pt idx="0">
                  <c:v>310</c:v>
                </c:pt>
                <c:pt idx="1">
                  <c:v>45</c:v>
                </c:pt>
                <c:pt idx="2">
                  <c:v>1662</c:v>
                </c:pt>
                <c:pt idx="3">
                  <c:v>2775.5</c:v>
                </c:pt>
                <c:pt idx="4">
                  <c:v>3807</c:v>
                </c:pt>
                <c:pt idx="5">
                  <c:v>5267</c:v>
                </c:pt>
                <c:pt idx="6">
                  <c:v>5746.5</c:v>
                </c:pt>
                <c:pt idx="7">
                  <c:v>3756.8</c:v>
                </c:pt>
                <c:pt idx="8">
                  <c:v>4003.9</c:v>
                </c:pt>
                <c:pt idx="9">
                  <c:v>6788.82</c:v>
                </c:pt>
                <c:pt idx="10">
                  <c:v>3394.41</c:v>
                </c:pt>
                <c:pt idx="11">
                  <c:v>4343.2</c:v>
                </c:pt>
              </c:numCache>
            </c:numRef>
          </c:val>
          <c:extLst>
            <c:ext xmlns:c16="http://schemas.microsoft.com/office/drawing/2014/chart" uri="{C3380CC4-5D6E-409C-BE32-E72D297353CC}">
              <c16:uniqueId val="{00000000-671D-4302-B609-699590CBFE99}"/>
            </c:ext>
          </c:extLst>
        </c:ser>
        <c:ser>
          <c:idx val="1"/>
          <c:order val="1"/>
          <c:spPr>
            <a:solidFill>
              <a:srgbClr val="00B0F0"/>
            </a:solidFill>
            <a:ln>
              <a:noFill/>
            </a:ln>
            <a:effectLst>
              <a:outerShdw blurRad="57150" dist="19050" dir="5400000" algn="ctr" rotWithShape="0">
                <a:srgbClr val="000000">
                  <a:alpha val="63000"/>
                </a:srgbClr>
              </a:outerShdw>
            </a:effectLst>
          </c:spPr>
          <c:invertIfNegative val="0"/>
          <c:cat>
            <c:strRef>
              <c:f>Relatorio!$A$2:$A$13</c:f>
              <c:strCache>
                <c:ptCount val="12"/>
                <c:pt idx="0">
                  <c:v>Janeiro</c:v>
                </c:pt>
                <c:pt idx="1">
                  <c:v>Fevereiro</c:v>
                </c:pt>
                <c:pt idx="2">
                  <c:v>Março</c:v>
                </c:pt>
                <c:pt idx="3">
                  <c:v>Abril</c:v>
                </c:pt>
                <c:pt idx="4">
                  <c:v>Maio</c:v>
                </c:pt>
                <c:pt idx="5">
                  <c:v>Junho</c:v>
                </c:pt>
                <c:pt idx="6">
                  <c:v>Julho</c:v>
                </c:pt>
                <c:pt idx="7">
                  <c:v>Agosto</c:v>
                </c:pt>
                <c:pt idx="8">
                  <c:v>Setembro</c:v>
                </c:pt>
                <c:pt idx="9">
                  <c:v>Outubro</c:v>
                </c:pt>
                <c:pt idx="10">
                  <c:v>Novembro</c:v>
                </c:pt>
                <c:pt idx="11">
                  <c:v>Dezembro</c:v>
                </c:pt>
              </c:strCache>
            </c:strRef>
          </c:cat>
          <c:val>
            <c:numRef>
              <c:f>Relatorio!$I$2:$I$13</c:f>
              <c:numCache>
                <c:formatCode>_-"R$"* #,##0.00_-;\-"R$"* #,##0.00_-;_-"R$"* "-"??_-;_-@_-</c:formatCode>
                <c:ptCount val="12"/>
                <c:pt idx="0">
                  <c:v>4122.2999999999993</c:v>
                </c:pt>
                <c:pt idx="1">
                  <c:v>2617</c:v>
                </c:pt>
                <c:pt idx="2">
                  <c:v>3257.75</c:v>
                </c:pt>
                <c:pt idx="3">
                  <c:v>6498</c:v>
                </c:pt>
                <c:pt idx="4">
                  <c:v>10370.5</c:v>
                </c:pt>
                <c:pt idx="5">
                  <c:v>6103.99</c:v>
                </c:pt>
                <c:pt idx="6">
                  <c:v>5556</c:v>
                </c:pt>
                <c:pt idx="7">
                  <c:v>5025</c:v>
                </c:pt>
                <c:pt idx="8">
                  <c:v>5004</c:v>
                </c:pt>
                <c:pt idx="9">
                  <c:v>3885</c:v>
                </c:pt>
                <c:pt idx="10">
                  <c:v>4560.45</c:v>
                </c:pt>
                <c:pt idx="11">
                  <c:v>7616.1599999999989</c:v>
                </c:pt>
              </c:numCache>
            </c:numRef>
          </c:val>
          <c:extLst>
            <c:ext xmlns:c16="http://schemas.microsoft.com/office/drawing/2014/chart" uri="{C3380CC4-5D6E-409C-BE32-E72D297353CC}">
              <c16:uniqueId val="{00000001-671D-4302-B609-699590CBFE99}"/>
            </c:ext>
          </c:extLst>
        </c:ser>
        <c:ser>
          <c:idx val="2"/>
          <c:order val="2"/>
          <c:spPr>
            <a:solidFill>
              <a:srgbClr val="FF0000"/>
            </a:solidFill>
            <a:ln>
              <a:noFill/>
            </a:ln>
            <a:effectLst>
              <a:outerShdw blurRad="57150" dist="19050" dir="5400000" algn="ctr" rotWithShape="0">
                <a:srgbClr val="000000">
                  <a:alpha val="63000"/>
                </a:srgbClr>
              </a:outerShdw>
            </a:effectLst>
          </c:spPr>
          <c:invertIfNegative val="0"/>
          <c:cat>
            <c:strRef>
              <c:f>Relatorio!$A$2:$A$13</c:f>
              <c:strCache>
                <c:ptCount val="12"/>
                <c:pt idx="0">
                  <c:v>Janeiro</c:v>
                </c:pt>
                <c:pt idx="1">
                  <c:v>Fevereiro</c:v>
                </c:pt>
                <c:pt idx="2">
                  <c:v>Março</c:v>
                </c:pt>
                <c:pt idx="3">
                  <c:v>Abril</c:v>
                </c:pt>
                <c:pt idx="4">
                  <c:v>Maio</c:v>
                </c:pt>
                <c:pt idx="5">
                  <c:v>Junho</c:v>
                </c:pt>
                <c:pt idx="6">
                  <c:v>Julho</c:v>
                </c:pt>
                <c:pt idx="7">
                  <c:v>Agosto</c:v>
                </c:pt>
                <c:pt idx="8">
                  <c:v>Setembro</c:v>
                </c:pt>
                <c:pt idx="9">
                  <c:v>Outubro</c:v>
                </c:pt>
                <c:pt idx="10">
                  <c:v>Novembro</c:v>
                </c:pt>
                <c:pt idx="11">
                  <c:v>Dezembro</c:v>
                </c:pt>
              </c:strCache>
            </c:strRef>
          </c:cat>
          <c:val>
            <c:numRef>
              <c:f>Relatorio!$P$2:$P$13</c:f>
              <c:numCache>
                <c:formatCode>_-"R$"* #,##0.00_-;\-"R$"* #,##0.00_-;_-"R$"* "-"??_-;_-@_-</c:formatCode>
                <c:ptCount val="12"/>
                <c:pt idx="0">
                  <c:v>7125.449999999998</c:v>
                </c:pt>
                <c:pt idx="1">
                  <c:v>11712.679999999997</c:v>
                </c:pt>
                <c:pt idx="2">
                  <c:v>8961.0416666666661</c:v>
                </c:pt>
                <c:pt idx="3">
                  <c:v>14329.375</c:v>
                </c:pt>
                <c:pt idx="4">
                  <c:v>7054.3499999999995</c:v>
                </c:pt>
                <c:pt idx="5">
                  <c:v>6008.82</c:v>
                </c:pt>
                <c:pt idx="6">
                  <c:v>4830.6499999999987</c:v>
                </c:pt>
                <c:pt idx="7">
                  <c:v>5830.1100000000015</c:v>
                </c:pt>
                <c:pt idx="8">
                  <c:v>10125.51</c:v>
                </c:pt>
                <c:pt idx="9">
                  <c:v>8220.23</c:v>
                </c:pt>
                <c:pt idx="10">
                  <c:v>6205.0199999999995</c:v>
                </c:pt>
                <c:pt idx="11">
                  <c:v>6739.9953999999998</c:v>
                </c:pt>
              </c:numCache>
            </c:numRef>
          </c:val>
          <c:extLst>
            <c:ext xmlns:c16="http://schemas.microsoft.com/office/drawing/2014/chart" uri="{C3380CC4-5D6E-409C-BE32-E72D297353CC}">
              <c16:uniqueId val="{00000002-671D-4302-B609-699590CBFE99}"/>
            </c:ext>
          </c:extLst>
        </c:ser>
        <c:ser>
          <c:idx val="3"/>
          <c:order val="3"/>
          <c:spPr>
            <a:solidFill>
              <a:srgbClr val="00B050"/>
            </a:solidFill>
            <a:ln>
              <a:noFill/>
            </a:ln>
            <a:effectLst>
              <a:outerShdw blurRad="57150" dist="19050" dir="5400000" algn="ctr" rotWithShape="0">
                <a:srgbClr val="000000">
                  <a:alpha val="63000"/>
                </a:srgbClr>
              </a:outerShdw>
            </a:effectLst>
          </c:spPr>
          <c:invertIfNegative val="0"/>
          <c:cat>
            <c:strRef>
              <c:f>Relatorio!$A$2:$A$13</c:f>
              <c:strCache>
                <c:ptCount val="12"/>
                <c:pt idx="0">
                  <c:v>Janeiro</c:v>
                </c:pt>
                <c:pt idx="1">
                  <c:v>Fevereiro</c:v>
                </c:pt>
                <c:pt idx="2">
                  <c:v>Março</c:v>
                </c:pt>
                <c:pt idx="3">
                  <c:v>Abril</c:v>
                </c:pt>
                <c:pt idx="4">
                  <c:v>Maio</c:v>
                </c:pt>
                <c:pt idx="5">
                  <c:v>Junho</c:v>
                </c:pt>
                <c:pt idx="6">
                  <c:v>Julho</c:v>
                </c:pt>
                <c:pt idx="7">
                  <c:v>Agosto</c:v>
                </c:pt>
                <c:pt idx="8">
                  <c:v>Setembro</c:v>
                </c:pt>
                <c:pt idx="9">
                  <c:v>Outubro</c:v>
                </c:pt>
                <c:pt idx="10">
                  <c:v>Novembro</c:v>
                </c:pt>
                <c:pt idx="11">
                  <c:v>Dezembro</c:v>
                </c:pt>
              </c:strCache>
            </c:strRef>
          </c:cat>
          <c:val>
            <c:numRef>
              <c:f>Relatorio!$Y$2:$Y$13</c:f>
              <c:numCache>
                <c:formatCode>_-"R$"* #,##0.00_-;\-"R$"* #,##0.00_-;_-"R$"* "-"??_-;_-@_-</c:formatCode>
                <c:ptCount val="12"/>
                <c:pt idx="0">
                  <c:v>10439.120000000001</c:v>
                </c:pt>
                <c:pt idx="1">
                  <c:v>11169.929999999998</c:v>
                </c:pt>
                <c:pt idx="2">
                  <c:v>10463.703000000001</c:v>
                </c:pt>
                <c:pt idx="3">
                  <c:v>9215.93</c:v>
                </c:pt>
                <c:pt idx="4">
                  <c:v>7515.0700000000006</c:v>
                </c:pt>
                <c:pt idx="5">
                  <c:v>6248.72</c:v>
                </c:pt>
                <c:pt idx="6">
                  <c:v>4870.7799999999988</c:v>
                </c:pt>
                <c:pt idx="7">
                  <c:v>7412.8700000000008</c:v>
                </c:pt>
                <c:pt idx="8">
                  <c:v>4764.0599999999995</c:v>
                </c:pt>
                <c:pt idx="9">
                  <c:v>6044.48</c:v>
                </c:pt>
                <c:pt idx="10">
                  <c:v>5981.4099999999989</c:v>
                </c:pt>
                <c:pt idx="11">
                  <c:v>4479.8900000000003</c:v>
                </c:pt>
              </c:numCache>
            </c:numRef>
          </c:val>
          <c:extLst>
            <c:ext xmlns:c16="http://schemas.microsoft.com/office/drawing/2014/chart" uri="{C3380CC4-5D6E-409C-BE32-E72D297353CC}">
              <c16:uniqueId val="{00000003-671D-4302-B609-699590CBFE99}"/>
            </c:ext>
          </c:extLst>
        </c:ser>
        <c:dLbls>
          <c:showLegendKey val="0"/>
          <c:showVal val="0"/>
          <c:showCatName val="0"/>
          <c:showSerName val="0"/>
          <c:showPercent val="0"/>
          <c:showBubbleSize val="0"/>
        </c:dLbls>
        <c:gapWidth val="100"/>
        <c:overlap val="-24"/>
        <c:axId val="1777871840"/>
        <c:axId val="1777884320"/>
      </c:barChart>
      <c:catAx>
        <c:axId val="1777871840"/>
        <c:scaling>
          <c:orientation val="minMax"/>
        </c:scaling>
        <c:delete val="0"/>
        <c:axPos val="b"/>
        <c:numFmt formatCode="General" sourceLinked="1"/>
        <c:majorTickMark val="out"/>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pt-BR"/>
          </a:p>
        </c:txPr>
        <c:crossAx val="1777884320"/>
        <c:crosses val="autoZero"/>
        <c:auto val="1"/>
        <c:lblAlgn val="ctr"/>
        <c:lblOffset val="100"/>
        <c:noMultiLvlLbl val="0"/>
      </c:catAx>
      <c:valAx>
        <c:axId val="1777884320"/>
        <c:scaling>
          <c:orientation val="minMax"/>
        </c:scaling>
        <c:delete val="0"/>
        <c:axPos val="l"/>
        <c:majorGridlines>
          <c:spPr>
            <a:ln w="9525" cap="flat" cmpd="sng" algn="ctr">
              <a:solidFill>
                <a:schemeClr val="lt1">
                  <a:lumMod val="95000"/>
                  <a:alpha val="10000"/>
                </a:schemeClr>
              </a:solidFill>
              <a:round/>
            </a:ln>
            <a:effectLst/>
          </c:spPr>
        </c:majorGridlines>
        <c:minorGridlines>
          <c:spPr>
            <a:ln>
              <a:solidFill>
                <a:schemeClr val="lt1">
                  <a:lumMod val="95000"/>
                  <a:alpha val="5000"/>
                </a:schemeClr>
              </a:solidFill>
            </a:ln>
            <a:effectLst/>
          </c:spPr>
        </c:minorGridlines>
        <c:numFmt formatCode="_-&quot;R$&quot;* #,##0.00_-;\-&quot;R$&quot;* #,##0.00_-;_-&quot;R$&quot;* &quot;-&quot;??_-;_-@_-"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pt-BR"/>
          </a:p>
        </c:txPr>
        <c:crossAx val="1777871840"/>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pt-BR"/>
              <a:t>Vendas local</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pt-BR"/>
        </a:p>
      </c:txPr>
    </c:title>
    <c:autoTitleDeleted val="0"/>
    <c:plotArea>
      <c:layout/>
      <c:barChart>
        <c:barDir val="col"/>
        <c:grouping val="clustered"/>
        <c:varyColors val="0"/>
        <c:ser>
          <c:idx val="0"/>
          <c:order val="0"/>
          <c:spPr>
            <a:noFill/>
            <a:ln w="9525" cap="flat" cmpd="sng" algn="ctr">
              <a:solidFill>
                <a:schemeClr val="accent1"/>
              </a:solidFill>
              <a:miter lim="800000"/>
            </a:ln>
            <a:effectLst>
              <a:glow rad="63500">
                <a:schemeClr val="accent1">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Relatorio!$W$2:$W$13</c:f>
              <c:strCache>
                <c:ptCount val="12"/>
                <c:pt idx="0">
                  <c:v>Janeiro</c:v>
                </c:pt>
                <c:pt idx="1">
                  <c:v>Fevereiro</c:v>
                </c:pt>
                <c:pt idx="2">
                  <c:v>Março</c:v>
                </c:pt>
                <c:pt idx="3">
                  <c:v>Abril</c:v>
                </c:pt>
                <c:pt idx="4">
                  <c:v>Maio</c:v>
                </c:pt>
                <c:pt idx="5">
                  <c:v>Junho</c:v>
                </c:pt>
                <c:pt idx="6">
                  <c:v>Julho</c:v>
                </c:pt>
                <c:pt idx="7">
                  <c:v>Agosto</c:v>
                </c:pt>
                <c:pt idx="8">
                  <c:v>Setembro</c:v>
                </c:pt>
                <c:pt idx="9">
                  <c:v>Outubro</c:v>
                </c:pt>
                <c:pt idx="10">
                  <c:v>Novembro</c:v>
                </c:pt>
                <c:pt idx="11">
                  <c:v>Dezembro</c:v>
                </c:pt>
              </c:strCache>
            </c:strRef>
          </c:cat>
          <c:val>
            <c:numRef>
              <c:f>Relatorio!$AB$2:$AB$13</c:f>
              <c:numCache>
                <c:formatCode>General</c:formatCode>
                <c:ptCount val="12"/>
                <c:pt idx="0">
                  <c:v>17</c:v>
                </c:pt>
                <c:pt idx="1">
                  <c:v>23</c:v>
                </c:pt>
                <c:pt idx="2">
                  <c:v>41</c:v>
                </c:pt>
                <c:pt idx="3">
                  <c:v>27</c:v>
                </c:pt>
                <c:pt idx="4">
                  <c:v>44</c:v>
                </c:pt>
                <c:pt idx="5">
                  <c:v>26</c:v>
                </c:pt>
                <c:pt idx="6">
                  <c:v>32</c:v>
                </c:pt>
                <c:pt idx="7">
                  <c:v>31</c:v>
                </c:pt>
                <c:pt idx="8">
                  <c:v>58</c:v>
                </c:pt>
                <c:pt idx="9">
                  <c:v>37</c:v>
                </c:pt>
                <c:pt idx="10">
                  <c:v>93</c:v>
                </c:pt>
                <c:pt idx="11">
                  <c:v>52</c:v>
                </c:pt>
              </c:numCache>
            </c:numRef>
          </c:val>
          <c:extLst>
            <c:ext xmlns:c16="http://schemas.microsoft.com/office/drawing/2014/chart" uri="{C3380CC4-5D6E-409C-BE32-E72D297353CC}">
              <c16:uniqueId val="{00000000-B724-47CC-AEB9-6E71D269CEC4}"/>
            </c:ext>
          </c:extLst>
        </c:ser>
        <c:dLbls>
          <c:showLegendKey val="0"/>
          <c:showVal val="1"/>
          <c:showCatName val="0"/>
          <c:showSerName val="0"/>
          <c:showPercent val="0"/>
          <c:showBubbleSize val="0"/>
        </c:dLbls>
        <c:gapWidth val="150"/>
        <c:overlap val="-25"/>
        <c:axId val="1328245871"/>
        <c:axId val="1328231311"/>
      </c:barChart>
      <c:catAx>
        <c:axId val="132824587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pt-BR"/>
          </a:p>
        </c:txPr>
        <c:crossAx val="1328231311"/>
        <c:crosses val="autoZero"/>
        <c:auto val="1"/>
        <c:lblAlgn val="ctr"/>
        <c:lblOffset val="100"/>
        <c:noMultiLvlLbl val="0"/>
      </c:catAx>
      <c:valAx>
        <c:axId val="1328231311"/>
        <c:scaling>
          <c:orientation val="minMax"/>
        </c:scaling>
        <c:delete val="1"/>
        <c:axPos val="l"/>
        <c:numFmt formatCode="General" sourceLinked="1"/>
        <c:majorTickMark val="none"/>
        <c:minorTickMark val="none"/>
        <c:tickLblPos val="nextTo"/>
        <c:crossAx val="132824587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0" i="0" u="none" strike="noStrike" kern="1200" cap="all" baseline="0">
                <a:solidFill>
                  <a:schemeClr val="lt1"/>
                </a:solidFill>
                <a:latin typeface="+mn-lt"/>
                <a:ea typeface="+mn-ea"/>
                <a:cs typeface="+mn-cs"/>
              </a:defRPr>
            </a:pPr>
            <a:r>
              <a:rPr lang="pt-BR"/>
              <a:t>Vendas online</a:t>
            </a:r>
          </a:p>
        </c:rich>
      </c:tx>
      <c:overlay val="0"/>
      <c:spPr>
        <a:noFill/>
        <a:ln>
          <a:noFill/>
        </a:ln>
        <a:effectLst/>
      </c:spPr>
      <c:txPr>
        <a:bodyPr rot="0" spcFirstLastPara="1" vertOverflow="ellipsis" vert="horz" wrap="square" anchor="ctr" anchorCtr="1"/>
        <a:lstStyle/>
        <a:p>
          <a:pPr>
            <a:defRPr sz="1800" b="0" i="0" u="none" strike="noStrike" kern="1200" cap="all" baseline="0">
              <a:solidFill>
                <a:schemeClr val="lt1"/>
              </a:solidFill>
              <a:latin typeface="+mn-lt"/>
              <a:ea typeface="+mn-ea"/>
              <a:cs typeface="+mn-cs"/>
            </a:defRPr>
          </a:pPr>
          <a:endParaRPr lang="pt-BR"/>
        </a:p>
      </c:txPr>
    </c:title>
    <c:autoTitleDeleted val="0"/>
    <c:view3D>
      <c:rotX val="15"/>
      <c:rotY val="20"/>
      <c:depthPercent val="100"/>
      <c:rAngAx val="1"/>
    </c:view3D>
    <c:floor>
      <c:thickness val="0"/>
      <c:spPr>
        <a:solidFill>
          <a:schemeClr val="bg2">
            <a:lumMod val="75000"/>
            <a:alpha val="27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spPr>
            <a:solidFill>
              <a:schemeClr val="accent1">
                <a:alpha val="88000"/>
              </a:schemeClr>
            </a:solidFill>
            <a:ln>
              <a:solidFill>
                <a:schemeClr val="accent1">
                  <a:lumMod val="50000"/>
                </a:schemeClr>
              </a:solidFill>
            </a:ln>
            <a:effectLst/>
            <a:scene3d>
              <a:camera prst="orthographicFront"/>
              <a:lightRig rig="threePt" dir="t"/>
            </a:scene3d>
            <a:sp3d prstMaterial="flat">
              <a:contourClr>
                <a:schemeClr val="accent1">
                  <a:lumMod val="50000"/>
                </a:schemeClr>
              </a:contourClr>
            </a:sp3d>
          </c:spPr>
          <c:invertIfNegative val="0"/>
          <c:dLbls>
            <c:spPr>
              <a:solidFill>
                <a:schemeClr val="accent1">
                  <a:alpha val="30000"/>
                </a:schemeClr>
              </a:solidFill>
              <a:ln>
                <a:solidFill>
                  <a:schemeClr val="lt1">
                    <a:alpha val="50000"/>
                  </a:schemeClr>
                </a:solidFill>
                <a:round/>
              </a:ln>
              <a:effectLst>
                <a:outerShdw blurRad="63500" dist="889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Relatorio!$W$2:$W$13</c:f>
              <c:strCache>
                <c:ptCount val="12"/>
                <c:pt idx="0">
                  <c:v>Janeiro</c:v>
                </c:pt>
                <c:pt idx="1">
                  <c:v>Fevereiro</c:v>
                </c:pt>
                <c:pt idx="2">
                  <c:v>Março</c:v>
                </c:pt>
                <c:pt idx="3">
                  <c:v>Abril</c:v>
                </c:pt>
                <c:pt idx="4">
                  <c:v>Maio</c:v>
                </c:pt>
                <c:pt idx="5">
                  <c:v>Junho</c:v>
                </c:pt>
                <c:pt idx="6">
                  <c:v>Julho</c:v>
                </c:pt>
                <c:pt idx="7">
                  <c:v>Agosto</c:v>
                </c:pt>
                <c:pt idx="8">
                  <c:v>Setembro</c:v>
                </c:pt>
                <c:pt idx="9">
                  <c:v>Outubro</c:v>
                </c:pt>
                <c:pt idx="10">
                  <c:v>Novembro</c:v>
                </c:pt>
                <c:pt idx="11">
                  <c:v>Dezembro</c:v>
                </c:pt>
              </c:strCache>
            </c:strRef>
          </c:cat>
          <c:val>
            <c:numRef>
              <c:f>Relatorio!$AC$2:$AC$13</c:f>
              <c:numCache>
                <c:formatCode>General</c:formatCode>
                <c:ptCount val="12"/>
                <c:pt idx="0">
                  <c:v>698</c:v>
                </c:pt>
                <c:pt idx="1">
                  <c:v>435</c:v>
                </c:pt>
                <c:pt idx="2">
                  <c:v>242</c:v>
                </c:pt>
                <c:pt idx="3">
                  <c:v>435</c:v>
                </c:pt>
                <c:pt idx="4">
                  <c:v>107</c:v>
                </c:pt>
                <c:pt idx="5">
                  <c:v>138</c:v>
                </c:pt>
                <c:pt idx="6">
                  <c:v>110</c:v>
                </c:pt>
                <c:pt idx="7">
                  <c:v>142</c:v>
                </c:pt>
                <c:pt idx="8">
                  <c:v>51</c:v>
                </c:pt>
                <c:pt idx="9">
                  <c:v>53</c:v>
                </c:pt>
                <c:pt idx="10">
                  <c:v>60</c:v>
                </c:pt>
                <c:pt idx="11">
                  <c:v>43</c:v>
                </c:pt>
              </c:numCache>
            </c:numRef>
          </c:val>
          <c:extLst>
            <c:ext xmlns:c16="http://schemas.microsoft.com/office/drawing/2014/chart" uri="{C3380CC4-5D6E-409C-BE32-E72D297353CC}">
              <c16:uniqueId val="{00000000-DDDF-408C-AF59-E23DD3FED879}"/>
            </c:ext>
          </c:extLst>
        </c:ser>
        <c:dLbls>
          <c:showLegendKey val="0"/>
          <c:showVal val="1"/>
          <c:showCatName val="0"/>
          <c:showSerName val="0"/>
          <c:showPercent val="0"/>
          <c:showBubbleSize val="0"/>
        </c:dLbls>
        <c:gapWidth val="84"/>
        <c:gapDepth val="53"/>
        <c:shape val="box"/>
        <c:axId val="1323662911"/>
        <c:axId val="1323662079"/>
        <c:axId val="0"/>
      </c:bar3DChart>
      <c:catAx>
        <c:axId val="132366291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pt-BR"/>
          </a:p>
        </c:txPr>
        <c:crossAx val="1323662079"/>
        <c:crosses val="autoZero"/>
        <c:auto val="1"/>
        <c:lblAlgn val="ctr"/>
        <c:lblOffset val="100"/>
        <c:noMultiLvlLbl val="0"/>
      </c:catAx>
      <c:valAx>
        <c:axId val="1323662079"/>
        <c:scaling>
          <c:orientation val="minMax"/>
        </c:scaling>
        <c:delete val="1"/>
        <c:axPos val="l"/>
        <c:numFmt formatCode="General" sourceLinked="1"/>
        <c:majorTickMark val="out"/>
        <c:minorTickMark val="none"/>
        <c:tickLblPos val="nextTo"/>
        <c:crossAx val="132366291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dk1">
        <a:lumMod val="75000"/>
        <a:lumOff val="25000"/>
      </a:schemeClr>
    </a:solidFill>
    <a:ln w="6350" cap="flat" cmpd="sng" algn="ctr">
      <a:solidFill>
        <a:schemeClr val="dk1">
          <a:tint val="7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'V. S. N.'!$B$3</c:f>
              <c:strCache>
                <c:ptCount val="1"/>
                <c:pt idx="0">
                  <c:v> ValorPJ </c:v>
                </c:pt>
              </c:strCache>
            </c:strRef>
          </c:tx>
          <c:spPr>
            <a:solidFill>
              <a:schemeClr val="accent2"/>
            </a:solidFill>
            <a:ln>
              <a:noFill/>
            </a:ln>
            <a:effectLst/>
          </c:spPr>
          <c:invertIfNegative val="0"/>
          <c:cat>
            <c:strRef>
              <c:f>'V. S. N.'!$A$4:$A$15</c:f>
              <c:strCache>
                <c:ptCount val="12"/>
                <c:pt idx="0">
                  <c:v>Janeiro</c:v>
                </c:pt>
                <c:pt idx="1">
                  <c:v>Fevereiro</c:v>
                </c:pt>
                <c:pt idx="2">
                  <c:v>Março</c:v>
                </c:pt>
                <c:pt idx="3">
                  <c:v>Abril</c:v>
                </c:pt>
                <c:pt idx="4">
                  <c:v>Maio</c:v>
                </c:pt>
                <c:pt idx="5">
                  <c:v>Junho</c:v>
                </c:pt>
                <c:pt idx="6">
                  <c:v>Julho</c:v>
                </c:pt>
                <c:pt idx="7">
                  <c:v>Agosto</c:v>
                </c:pt>
                <c:pt idx="8">
                  <c:v>Setembro</c:v>
                </c:pt>
                <c:pt idx="9">
                  <c:v>Outubro</c:v>
                </c:pt>
                <c:pt idx="10">
                  <c:v>Novembro</c:v>
                </c:pt>
                <c:pt idx="11">
                  <c:v>Dezembro</c:v>
                </c:pt>
              </c:strCache>
            </c:strRef>
          </c:cat>
          <c:val>
            <c:numRef>
              <c:f>'V. S. N.'!$B$4:$B$15</c:f>
              <c:numCache>
                <c:formatCode>_-"R$"* #,##0.00_-;\-"R$"* #,##0.00_-;_-"R$"* "-"??_-;_-@_-</c:formatCode>
                <c:ptCount val="12"/>
                <c:pt idx="0">
                  <c:v>4858.9399999999996</c:v>
                </c:pt>
                <c:pt idx="1">
                  <c:v>6206.24</c:v>
                </c:pt>
                <c:pt idx="2">
                  <c:v>5051.3900000000003</c:v>
                </c:pt>
                <c:pt idx="3">
                  <c:v>4227.1099999999997</c:v>
                </c:pt>
                <c:pt idx="4">
                  <c:v>3442.53</c:v>
                </c:pt>
                <c:pt idx="5">
                  <c:v>2692.63</c:v>
                </c:pt>
                <c:pt idx="6">
                  <c:v>2158.48</c:v>
                </c:pt>
                <c:pt idx="7">
                  <c:v>1982.42</c:v>
                </c:pt>
                <c:pt idx="8">
                  <c:v>1403.28</c:v>
                </c:pt>
                <c:pt idx="9">
                  <c:v>488.4</c:v>
                </c:pt>
                <c:pt idx="10">
                  <c:v>1560.83</c:v>
                </c:pt>
                <c:pt idx="11">
                  <c:v>1505.59</c:v>
                </c:pt>
              </c:numCache>
            </c:numRef>
          </c:val>
          <c:extLst>
            <c:ext xmlns:c16="http://schemas.microsoft.com/office/drawing/2014/chart" uri="{C3380CC4-5D6E-409C-BE32-E72D297353CC}">
              <c16:uniqueId val="{00000000-177A-46BF-99E8-EDE11B512869}"/>
            </c:ext>
          </c:extLst>
        </c:ser>
        <c:ser>
          <c:idx val="1"/>
          <c:order val="1"/>
          <c:tx>
            <c:strRef>
              <c:f>'V. S. N.'!$E$3</c:f>
              <c:strCache>
                <c:ptCount val="1"/>
                <c:pt idx="0">
                  <c:v> Valor CPF </c:v>
                </c:pt>
              </c:strCache>
            </c:strRef>
          </c:tx>
          <c:spPr>
            <a:solidFill>
              <a:srgbClr val="7030A0"/>
            </a:solidFill>
            <a:ln>
              <a:noFill/>
            </a:ln>
            <a:effectLst/>
          </c:spPr>
          <c:invertIfNegative val="0"/>
          <c:cat>
            <c:strRef>
              <c:f>'V. S. N.'!$A$4:$A$15</c:f>
              <c:strCache>
                <c:ptCount val="12"/>
                <c:pt idx="0">
                  <c:v>Janeiro</c:v>
                </c:pt>
                <c:pt idx="1">
                  <c:v>Fevereiro</c:v>
                </c:pt>
                <c:pt idx="2">
                  <c:v>Março</c:v>
                </c:pt>
                <c:pt idx="3">
                  <c:v>Abril</c:v>
                </c:pt>
                <c:pt idx="4">
                  <c:v>Maio</c:v>
                </c:pt>
                <c:pt idx="5">
                  <c:v>Junho</c:v>
                </c:pt>
                <c:pt idx="6">
                  <c:v>Julho</c:v>
                </c:pt>
                <c:pt idx="7">
                  <c:v>Agosto</c:v>
                </c:pt>
                <c:pt idx="8">
                  <c:v>Setembro</c:v>
                </c:pt>
                <c:pt idx="9">
                  <c:v>Outubro</c:v>
                </c:pt>
                <c:pt idx="10">
                  <c:v>Novembro</c:v>
                </c:pt>
                <c:pt idx="11">
                  <c:v>Dezembro</c:v>
                </c:pt>
              </c:strCache>
            </c:strRef>
          </c:cat>
          <c:val>
            <c:numRef>
              <c:f>'V. S. N.'!$E$4:$E$15</c:f>
              <c:numCache>
                <c:formatCode>_-"R$"* #,##0.00_-;\-"R$"* #,##0.00_-;_-"R$"* "-"??_-;_-@_-</c:formatCode>
                <c:ptCount val="12"/>
                <c:pt idx="0">
                  <c:v>348.3</c:v>
                </c:pt>
                <c:pt idx="1">
                  <c:v>465.33</c:v>
                </c:pt>
                <c:pt idx="2">
                  <c:v>285.36</c:v>
                </c:pt>
                <c:pt idx="3">
                  <c:v>503.48</c:v>
                </c:pt>
                <c:pt idx="4">
                  <c:v>72.89</c:v>
                </c:pt>
                <c:pt idx="5">
                  <c:v>310.77999999999997</c:v>
                </c:pt>
                <c:pt idx="6">
                  <c:v>978.54</c:v>
                </c:pt>
                <c:pt idx="7">
                  <c:v>931.71</c:v>
                </c:pt>
                <c:pt idx="8">
                  <c:v>330.37</c:v>
                </c:pt>
                <c:pt idx="9">
                  <c:v>949.2</c:v>
                </c:pt>
                <c:pt idx="10">
                  <c:v>949.2</c:v>
                </c:pt>
                <c:pt idx="11">
                  <c:v>658.34</c:v>
                </c:pt>
              </c:numCache>
            </c:numRef>
          </c:val>
          <c:extLst>
            <c:ext xmlns:c16="http://schemas.microsoft.com/office/drawing/2014/chart" uri="{C3380CC4-5D6E-409C-BE32-E72D297353CC}">
              <c16:uniqueId val="{00000001-177A-46BF-99E8-EDE11B512869}"/>
            </c:ext>
          </c:extLst>
        </c:ser>
        <c:ser>
          <c:idx val="2"/>
          <c:order val="2"/>
          <c:tx>
            <c:strRef>
              <c:f>'V. S. N.'!$F$2</c:f>
              <c:strCache>
                <c:ptCount val="1"/>
                <c:pt idx="0">
                  <c:v> Valor Magalu </c:v>
                </c:pt>
              </c:strCache>
            </c:strRef>
          </c:tx>
          <c:spPr>
            <a:solidFill>
              <a:srgbClr val="002060"/>
            </a:solidFill>
            <a:ln>
              <a:noFill/>
            </a:ln>
            <a:effectLst/>
          </c:spPr>
          <c:invertIfNegative val="0"/>
          <c:cat>
            <c:strRef>
              <c:f>'V. S. N.'!$A$4:$A$15</c:f>
              <c:strCache>
                <c:ptCount val="12"/>
                <c:pt idx="0">
                  <c:v>Janeiro</c:v>
                </c:pt>
                <c:pt idx="1">
                  <c:v>Fevereiro</c:v>
                </c:pt>
                <c:pt idx="2">
                  <c:v>Março</c:v>
                </c:pt>
                <c:pt idx="3">
                  <c:v>Abril</c:v>
                </c:pt>
                <c:pt idx="4">
                  <c:v>Maio</c:v>
                </c:pt>
                <c:pt idx="5">
                  <c:v>Junho</c:v>
                </c:pt>
                <c:pt idx="6">
                  <c:v>Julho</c:v>
                </c:pt>
                <c:pt idx="7">
                  <c:v>Agosto</c:v>
                </c:pt>
                <c:pt idx="8">
                  <c:v>Setembro</c:v>
                </c:pt>
                <c:pt idx="9">
                  <c:v>Outubro</c:v>
                </c:pt>
                <c:pt idx="10">
                  <c:v>Novembro</c:v>
                </c:pt>
                <c:pt idx="11">
                  <c:v>Dezembro</c:v>
                </c:pt>
              </c:strCache>
            </c:strRef>
          </c:cat>
          <c:val>
            <c:numRef>
              <c:f>'V. S. N.'!$F$4:$F$15</c:f>
              <c:numCache>
                <c:formatCode>_-"R$"* #,##0.00_-;\-"R$"* #,##0.00_-;_-"R$"* "-"??_-;_-@_-</c:formatCode>
                <c:ptCount val="12"/>
                <c:pt idx="0">
                  <c:v>0</c:v>
                </c:pt>
                <c:pt idx="1">
                  <c:v>0</c:v>
                </c:pt>
                <c:pt idx="2">
                  <c:v>0</c:v>
                </c:pt>
                <c:pt idx="3">
                  <c:v>0</c:v>
                </c:pt>
                <c:pt idx="4">
                  <c:v>241.45</c:v>
                </c:pt>
                <c:pt idx="5">
                  <c:v>424.9</c:v>
                </c:pt>
                <c:pt idx="6">
                  <c:v>336</c:v>
                </c:pt>
                <c:pt idx="7">
                  <c:v>228</c:v>
                </c:pt>
                <c:pt idx="8">
                  <c:v>466.81</c:v>
                </c:pt>
                <c:pt idx="9">
                  <c:v>723.8</c:v>
                </c:pt>
                <c:pt idx="10">
                  <c:v>192</c:v>
                </c:pt>
                <c:pt idx="11">
                  <c:v>561.83000000000004</c:v>
                </c:pt>
              </c:numCache>
            </c:numRef>
          </c:val>
          <c:extLst>
            <c:ext xmlns:c16="http://schemas.microsoft.com/office/drawing/2014/chart" uri="{C3380CC4-5D6E-409C-BE32-E72D297353CC}">
              <c16:uniqueId val="{00000002-177A-46BF-99E8-EDE11B512869}"/>
            </c:ext>
          </c:extLst>
        </c:ser>
        <c:ser>
          <c:idx val="3"/>
          <c:order val="3"/>
          <c:tx>
            <c:strRef>
              <c:f>'V. S. N.'!$G$2</c:f>
              <c:strCache>
                <c:ptCount val="1"/>
                <c:pt idx="0">
                  <c:v> Valor fisico </c:v>
                </c:pt>
              </c:strCache>
            </c:strRef>
          </c:tx>
          <c:spPr>
            <a:solidFill>
              <a:srgbClr val="00B050"/>
            </a:solidFill>
            <a:ln>
              <a:noFill/>
            </a:ln>
            <a:effectLst/>
          </c:spPr>
          <c:invertIfNegative val="0"/>
          <c:cat>
            <c:strRef>
              <c:f>'V. S. N.'!$A$4:$A$15</c:f>
              <c:strCache>
                <c:ptCount val="12"/>
                <c:pt idx="0">
                  <c:v>Janeiro</c:v>
                </c:pt>
                <c:pt idx="1">
                  <c:v>Fevereiro</c:v>
                </c:pt>
                <c:pt idx="2">
                  <c:v>Março</c:v>
                </c:pt>
                <c:pt idx="3">
                  <c:v>Abril</c:v>
                </c:pt>
                <c:pt idx="4">
                  <c:v>Maio</c:v>
                </c:pt>
                <c:pt idx="5">
                  <c:v>Junho</c:v>
                </c:pt>
                <c:pt idx="6">
                  <c:v>Julho</c:v>
                </c:pt>
                <c:pt idx="7">
                  <c:v>Agosto</c:v>
                </c:pt>
                <c:pt idx="8">
                  <c:v>Setembro</c:v>
                </c:pt>
                <c:pt idx="9">
                  <c:v>Outubro</c:v>
                </c:pt>
                <c:pt idx="10">
                  <c:v>Novembro</c:v>
                </c:pt>
                <c:pt idx="11">
                  <c:v>Dezembro</c:v>
                </c:pt>
              </c:strCache>
            </c:strRef>
          </c:cat>
          <c:val>
            <c:numRef>
              <c:f>'V. S. N.'!$G$4:$G$15</c:f>
              <c:numCache>
                <c:formatCode>_-"R$"* #,##0.00_-;\-"R$"* #,##0.00_-;_-"R$"* "-"??_-;_-@_-</c:formatCode>
                <c:ptCount val="12"/>
                <c:pt idx="0">
                  <c:v>1625</c:v>
                </c:pt>
                <c:pt idx="1">
                  <c:v>3170</c:v>
                </c:pt>
                <c:pt idx="2">
                  <c:v>3550</c:v>
                </c:pt>
                <c:pt idx="3">
                  <c:v>1216</c:v>
                </c:pt>
                <c:pt idx="4">
                  <c:v>3211.56</c:v>
                </c:pt>
                <c:pt idx="5">
                  <c:v>1195</c:v>
                </c:pt>
                <c:pt idx="6">
                  <c:v>1786</c:v>
                </c:pt>
                <c:pt idx="7">
                  <c:v>2490</c:v>
                </c:pt>
                <c:pt idx="8">
                  <c:v>2845</c:v>
                </c:pt>
                <c:pt idx="9">
                  <c:v>3006.51</c:v>
                </c:pt>
                <c:pt idx="10">
                  <c:v>2343.1</c:v>
                </c:pt>
                <c:pt idx="11">
                  <c:v>2381</c:v>
                </c:pt>
              </c:numCache>
            </c:numRef>
          </c:val>
          <c:extLst>
            <c:ext xmlns:c16="http://schemas.microsoft.com/office/drawing/2014/chart" uri="{C3380CC4-5D6E-409C-BE32-E72D297353CC}">
              <c16:uniqueId val="{00000003-177A-46BF-99E8-EDE11B512869}"/>
            </c:ext>
          </c:extLst>
        </c:ser>
        <c:dLbls>
          <c:showLegendKey val="0"/>
          <c:showVal val="0"/>
          <c:showCatName val="0"/>
          <c:showSerName val="0"/>
          <c:showPercent val="0"/>
          <c:showBubbleSize val="0"/>
        </c:dLbls>
        <c:gapWidth val="219"/>
        <c:overlap val="-27"/>
        <c:axId val="1010030640"/>
        <c:axId val="1010032720"/>
      </c:barChart>
      <c:catAx>
        <c:axId val="10100306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010032720"/>
        <c:crosses val="autoZero"/>
        <c:auto val="1"/>
        <c:lblAlgn val="ctr"/>
        <c:lblOffset val="100"/>
        <c:noMultiLvlLbl val="0"/>
      </c:catAx>
      <c:valAx>
        <c:axId val="1010032720"/>
        <c:scaling>
          <c:orientation val="minMax"/>
        </c:scaling>
        <c:delete val="0"/>
        <c:axPos val="l"/>
        <c:majorGridlines>
          <c:spPr>
            <a:ln w="9525" cap="flat" cmpd="sng" algn="ctr">
              <a:solidFill>
                <a:schemeClr val="tx1">
                  <a:lumMod val="15000"/>
                  <a:lumOff val="85000"/>
                </a:schemeClr>
              </a:solidFill>
              <a:round/>
            </a:ln>
            <a:effectLst/>
          </c:spPr>
        </c:majorGridlines>
        <c:numFmt formatCode="_-&quot;R$&quot;* #,##0.00_-;\-&quot;R$&quot;* #,##0.00_-;_-&quot;R$&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0100306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13">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91">
  <cs:axisTitle>
    <cs:lnRef idx="0"/>
    <cs:fillRef idx="0"/>
    <cs:effectRef idx="0"/>
    <cs:fontRef idx="minor">
      <a:schemeClr val="lt1">
        <a:lumMod val="75000"/>
      </a:schemeClr>
    </cs:fontRef>
    <cs:defRPr sz="900"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lt1"/>
    </cs:fontRef>
    <cs:spPr>
      <a:solidFill>
        <a:schemeClr val="dk1">
          <a:lumMod val="75000"/>
          <a:lumOff val="25000"/>
        </a:schemeClr>
      </a:solidFill>
      <a:ln w="6350" cap="flat" cmpd="sng" algn="ctr">
        <a:solidFill>
          <a:schemeClr val="dk1">
            <a:tint val="75000"/>
          </a:schemeClr>
        </a:solidFill>
        <a:round/>
      </a:ln>
    </cs:spPr>
    <cs:defRPr sz="1000" kern="1200"/>
  </cs:chartArea>
  <cs:dataLabel>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dataLabel>
  <cs:dataLabelCallout>
    <cs:lnRef idx="0"/>
    <cs:fillRef idx="0">
      <cs:styleClr val="auto"/>
    </cs:fillRef>
    <cs:effectRef idx="0"/>
    <cs:fontRef idx="minor">
      <a:schemeClr val="lt1"/>
    </cs:fontRef>
    <cs:spPr>
      <a:solidFill>
        <a:schemeClr val="phClr">
          <a:alpha val="30000"/>
        </a:schemeClr>
      </a:solidFill>
      <a:ln>
        <a:solidFill>
          <a:schemeClr val="lt1">
            <a:alpha val="50000"/>
          </a:schemeClr>
        </a:solidFill>
        <a:round/>
      </a:ln>
      <a:effectLst>
        <a:outerShdw blurRad="63500" dist="88900" dir="2700000" algn="tl" rotWithShape="0">
          <a:prstClr val="black">
            <a:alpha val="40000"/>
          </a:prstClr>
        </a:outerShdw>
      </a:effectLst>
    </cs:spPr>
    <cs:defRPr sz="900" b="1" i="0" u="none" strike="noStrike" kern="1200" baseline="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cs:spPr>
  </cs:dataPoint>
  <cs:dataPoint3D>
    <cs:lnRef idx="0">
      <cs:styleClr val="auto"/>
    </cs:lnRef>
    <cs:fillRef idx="0">
      <cs:styleClr val="auto"/>
    </cs:fillRef>
    <cs:effectRef idx="0"/>
    <cs:fontRef idx="minor">
      <a:schemeClr val="tx1"/>
    </cs:fontRef>
    <cs:spPr>
      <a:solidFill>
        <a:schemeClr val="phClr">
          <a:alpha val="88000"/>
        </a:schemeClr>
      </a:solidFill>
      <a:ln>
        <a:solidFill>
          <a:schemeClr val="phClr">
            <a:lumMod val="50000"/>
          </a:schemeClr>
        </a:solidFill>
      </a:ln>
      <a:scene3d>
        <a:camera prst="orthographicFront"/>
        <a:lightRig rig="threePt" dir="t"/>
      </a:scene3d>
      <a:sp3d prstMaterial="flat"/>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dk1">
            <a:lumMod val="75000"/>
            <a:lumOff val="25000"/>
          </a:schemeClr>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tx1"/>
    </cs:fontRef>
    <cs:spPr>
      <a:solidFill>
        <a:schemeClr val="bg2">
          <a:lumMod val="75000"/>
          <a:alpha val="27000"/>
        </a:schemeClr>
      </a:solidFill>
      <a:sp3d/>
    </cs:spPr>
  </cs:floor>
  <cs:gridlineMajor>
    <cs:lnRef idx="0"/>
    <cs:fillRef idx="0"/>
    <cs:effectRef idx="0"/>
    <cs:fontRef idx="minor">
      <a:schemeClr val="tx1"/>
    </cs:fontRef>
    <cs:spPr>
      <a:ln w="9525">
        <a:solidFill>
          <a:schemeClr val="lt1">
            <a:lumMod val="50000"/>
          </a:schemeClr>
        </a:solidFill>
      </a:ln>
    </cs:spPr>
  </cs:gridlineMajor>
  <cs:gridlineMinor>
    <cs:lnRef idx="0"/>
    <cs:fillRef idx="0"/>
    <cs:effectRef idx="0"/>
    <cs:fontRef idx="minor">
      <a:schemeClr val="tx1"/>
    </cs:fontRef>
    <cs:spPr>
      <a:ln w="9525">
        <a:solidFill>
          <a:schemeClr val="lt1">
            <a:lumMod val="40000"/>
          </a:schemeClr>
        </a:soli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cs:fontRef>
    <cs:defRPr sz="1800" b="0" kern="1200" cap="all"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tx1"/>
    </cs:fontRef>
    <cs:spPr>
      <a:sp3d/>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14</xdr:row>
      <xdr:rowOff>83128</xdr:rowOff>
    </xdr:from>
    <xdr:to>
      <xdr:col>18</xdr:col>
      <xdr:colOff>166687</xdr:colOff>
      <xdr:row>35</xdr:row>
      <xdr:rowOff>142876</xdr:rowOff>
    </xdr:to>
    <xdr:graphicFrame macro="">
      <xdr:nvGraphicFramePr>
        <xdr:cNvPr id="2" name="Gráfico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333375</xdr:colOff>
      <xdr:row>15</xdr:row>
      <xdr:rowOff>9525</xdr:rowOff>
    </xdr:from>
    <xdr:to>
      <xdr:col>24</xdr:col>
      <xdr:colOff>285750</xdr:colOff>
      <xdr:row>25</xdr:row>
      <xdr:rowOff>66675</xdr:rowOff>
    </xdr:to>
    <xdr:graphicFrame macro="">
      <xdr:nvGraphicFramePr>
        <xdr:cNvPr id="6" name="Gráfico 5">
          <a:extLst>
            <a:ext uri="{FF2B5EF4-FFF2-40B4-BE49-F238E27FC236}">
              <a16:creationId xmlns:a16="http://schemas.microsoft.com/office/drawing/2014/main" id="{47E2C83A-D963-4B8E-A7BA-36ED4D90FE8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342899</xdr:colOff>
      <xdr:row>25</xdr:row>
      <xdr:rowOff>104774</xdr:rowOff>
    </xdr:from>
    <xdr:to>
      <xdr:col>24</xdr:col>
      <xdr:colOff>314325</xdr:colOff>
      <xdr:row>37</xdr:row>
      <xdr:rowOff>104775</xdr:rowOff>
    </xdr:to>
    <xdr:graphicFrame macro="">
      <xdr:nvGraphicFramePr>
        <xdr:cNvPr id="8" name="Gráfico 7">
          <a:extLst>
            <a:ext uri="{FF2B5EF4-FFF2-40B4-BE49-F238E27FC236}">
              <a16:creationId xmlns:a16="http://schemas.microsoft.com/office/drawing/2014/main" id="{2AFB5938-3593-4A13-BDEF-EA5028DDECA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7</xdr:col>
      <xdr:colOff>9525</xdr:colOff>
      <xdr:row>13</xdr:row>
      <xdr:rowOff>9525</xdr:rowOff>
    </xdr:from>
    <xdr:to>
      <xdr:col>15</xdr:col>
      <xdr:colOff>333375</xdr:colOff>
      <xdr:row>26</xdr:row>
      <xdr:rowOff>171450</xdr:rowOff>
    </xdr:to>
    <xdr:graphicFrame macro="">
      <xdr:nvGraphicFramePr>
        <xdr:cNvPr id="4" name="Gráfico 3">
          <a:extLst>
            <a:ext uri="{FF2B5EF4-FFF2-40B4-BE49-F238E27FC236}">
              <a16:creationId xmlns:a16="http://schemas.microsoft.com/office/drawing/2014/main" id="{C15292E9-64B9-4FE6-B278-832BE7FF2BF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M25"/>
  <sheetViews>
    <sheetView topLeftCell="A4" workbookViewId="0">
      <selection activeCell="D21" sqref="D21"/>
    </sheetView>
  </sheetViews>
  <sheetFormatPr defaultRowHeight="15" x14ac:dyDescent="0.25"/>
  <cols>
    <col min="1" max="2" width="18.42578125" bestFit="1" customWidth="1"/>
    <col min="3" max="3" width="23.85546875" bestFit="1" customWidth="1"/>
    <col min="4" max="4" width="12.5703125" bestFit="1" customWidth="1"/>
    <col min="5" max="5" width="10" bestFit="1" customWidth="1"/>
    <col min="6" max="6" width="1.85546875" customWidth="1"/>
    <col min="7" max="7" width="19.85546875" style="28" customWidth="1"/>
    <col min="8" max="8" width="13.42578125" style="29" bestFit="1" customWidth="1"/>
    <col min="9" max="9" width="10.140625" style="28" bestFit="1" customWidth="1"/>
    <col min="10" max="10" width="9.140625" style="28" bestFit="1" customWidth="1"/>
    <col min="11" max="11" width="10.7109375" style="41" bestFit="1" customWidth="1"/>
    <col min="12" max="12" width="9.140625" style="47" bestFit="1" customWidth="1"/>
    <col min="13" max="13" width="3.5703125" customWidth="1"/>
  </cols>
  <sheetData>
    <row r="1" spans="1:13" ht="23.25" x14ac:dyDescent="0.25">
      <c r="A1" s="10"/>
      <c r="B1" s="10"/>
      <c r="C1" s="13">
        <f ca="1">SUM(C3:C11)</f>
        <v>2515.9</v>
      </c>
      <c r="D1" s="14"/>
      <c r="E1" s="10"/>
      <c r="F1" s="28"/>
      <c r="G1" s="31" t="s">
        <v>7</v>
      </c>
      <c r="H1" s="32" t="s">
        <v>40</v>
      </c>
      <c r="I1" s="32" t="s">
        <v>39</v>
      </c>
      <c r="J1" s="39" t="s">
        <v>2</v>
      </c>
      <c r="K1" s="33" t="s">
        <v>41</v>
      </c>
      <c r="L1" s="37" t="s">
        <v>42</v>
      </c>
    </row>
    <row r="2" spans="1:13" ht="23.25" x14ac:dyDescent="0.25">
      <c r="A2" s="10" t="s">
        <v>24</v>
      </c>
      <c r="B2" s="13" t="s">
        <v>30</v>
      </c>
      <c r="C2" s="13" t="s">
        <v>31</v>
      </c>
      <c r="D2" s="13" t="s">
        <v>32</v>
      </c>
      <c r="E2" s="10" t="s">
        <v>33</v>
      </c>
      <c r="F2" s="28"/>
      <c r="G2" s="45" t="s">
        <v>29</v>
      </c>
      <c r="H2" s="25">
        <v>10</v>
      </c>
      <c r="I2" s="53">
        <v>2</v>
      </c>
      <c r="J2" s="40">
        <f>35*I2</f>
        <v>70</v>
      </c>
      <c r="K2" s="34">
        <f ca="1">TODAY()</f>
        <v>45230</v>
      </c>
      <c r="L2" s="150">
        <f ca="1">((K2-K3+((K2-K3)*0.4)))</f>
        <v>1086.4000000000001</v>
      </c>
    </row>
    <row r="3" spans="1:13" ht="19.5" thickBot="1" x14ac:dyDescent="0.3">
      <c r="A3" s="11" t="s">
        <v>25</v>
      </c>
      <c r="B3" s="15">
        <v>50</v>
      </c>
      <c r="C3" s="16"/>
      <c r="D3" s="15">
        <v>50</v>
      </c>
      <c r="E3" s="20" t="s">
        <v>34</v>
      </c>
      <c r="F3" s="28"/>
      <c r="G3" s="45"/>
      <c r="H3" s="25"/>
      <c r="I3" s="53"/>
      <c r="J3" s="40"/>
      <c r="K3" s="35">
        <v>44454</v>
      </c>
      <c r="L3" s="151"/>
    </row>
    <row r="4" spans="1:13" ht="18.75" x14ac:dyDescent="0.25">
      <c r="A4" s="11" t="s">
        <v>26</v>
      </c>
      <c r="B4" s="17">
        <v>230</v>
      </c>
      <c r="C4" s="16"/>
      <c r="D4" s="17">
        <v>100</v>
      </c>
      <c r="E4" s="20" t="s">
        <v>34</v>
      </c>
      <c r="F4" s="28"/>
      <c r="G4" s="25"/>
      <c r="H4" s="25"/>
      <c r="I4" s="27"/>
      <c r="J4" s="25"/>
      <c r="K4" s="33" t="s">
        <v>23</v>
      </c>
      <c r="L4" s="51"/>
    </row>
    <row r="5" spans="1:13" ht="18.75" x14ac:dyDescent="0.25">
      <c r="A5" s="11" t="s">
        <v>27</v>
      </c>
      <c r="B5" s="17">
        <v>205</v>
      </c>
      <c r="C5" s="30"/>
      <c r="D5" s="17">
        <v>90</v>
      </c>
      <c r="E5" s="20" t="s">
        <v>34</v>
      </c>
      <c r="F5" s="28"/>
      <c r="G5" s="45" t="s">
        <v>24</v>
      </c>
      <c r="H5" s="46" t="s">
        <v>108</v>
      </c>
      <c r="I5" s="46" t="s">
        <v>31</v>
      </c>
      <c r="J5" s="46" t="s">
        <v>2</v>
      </c>
      <c r="K5" s="46"/>
      <c r="L5" s="52"/>
    </row>
    <row r="6" spans="1:13" ht="18.75" x14ac:dyDescent="0.25">
      <c r="A6" s="11" t="s">
        <v>29</v>
      </c>
      <c r="B6" s="115">
        <f ca="1">(1820+10+40)+L2+24.5+I6</f>
        <v>3260.9</v>
      </c>
      <c r="C6" s="30">
        <f ca="1">B6-D6</f>
        <v>1673.9</v>
      </c>
      <c r="D6" s="115">
        <f>1220+300+52+15</f>
        <v>1587</v>
      </c>
      <c r="E6" s="20" t="s">
        <v>34</v>
      </c>
      <c r="F6" s="28"/>
      <c r="G6" s="132" t="s">
        <v>29</v>
      </c>
      <c r="H6" s="42">
        <v>350</v>
      </c>
      <c r="I6" s="36">
        <f>H6-J6</f>
        <v>280</v>
      </c>
      <c r="J6" s="43">
        <f>J2</f>
        <v>70</v>
      </c>
      <c r="K6" s="44" t="str">
        <f>IF(I6=0,"Pago","Pendente")</f>
        <v>Pendente</v>
      </c>
      <c r="L6" s="52"/>
    </row>
    <row r="7" spans="1:13" ht="18.75" x14ac:dyDescent="0.25">
      <c r="A7" s="12" t="s">
        <v>28</v>
      </c>
      <c r="B7" s="19">
        <f>600</f>
        <v>600</v>
      </c>
      <c r="C7" s="16">
        <f>B7-D7</f>
        <v>200</v>
      </c>
      <c r="D7" s="18">
        <f>200+100+100</f>
        <v>400</v>
      </c>
      <c r="E7" s="20" t="s">
        <v>34</v>
      </c>
      <c r="F7" s="28"/>
    </row>
    <row r="8" spans="1:13" ht="18.75" x14ac:dyDescent="0.25">
      <c r="A8" s="22"/>
      <c r="B8" s="23"/>
      <c r="C8" s="16"/>
      <c r="D8" s="18"/>
      <c r="E8" s="21"/>
      <c r="F8" s="28"/>
      <c r="L8" s="41"/>
      <c r="M8" s="41"/>
    </row>
    <row r="9" spans="1:13" ht="18.75" x14ac:dyDescent="0.25">
      <c r="A9" s="22" t="s">
        <v>208</v>
      </c>
      <c r="B9" s="23">
        <f>7.5+7.5+3.5+28.5+18+3.5+7.5+24+24+15+15+21+24+25+144+20+18+18+18</f>
        <v>442</v>
      </c>
      <c r="C9" s="16">
        <f>B9-D9</f>
        <v>442</v>
      </c>
      <c r="D9" s="18"/>
      <c r="E9" s="21" t="str">
        <f>IF(C9=0,"Pago","Pendente")</f>
        <v>Pendente</v>
      </c>
      <c r="F9" s="28"/>
      <c r="L9" s="38"/>
    </row>
    <row r="10" spans="1:13" ht="23.25" x14ac:dyDescent="0.25">
      <c r="A10" s="10" t="s">
        <v>24</v>
      </c>
      <c r="B10" s="13" t="s">
        <v>30</v>
      </c>
      <c r="C10" s="13" t="s">
        <v>31</v>
      </c>
      <c r="D10" s="13" t="s">
        <v>32</v>
      </c>
      <c r="E10" s="10" t="s">
        <v>33</v>
      </c>
      <c r="F10" s="28"/>
      <c r="I10" s="29"/>
      <c r="J10" s="29"/>
      <c r="K10" s="29"/>
    </row>
    <row r="11" spans="1:13" ht="18.75" x14ac:dyDescent="0.25">
      <c r="A11" s="22" t="s">
        <v>480</v>
      </c>
      <c r="B11" s="23">
        <f>350</f>
        <v>350</v>
      </c>
      <c r="C11" s="144">
        <f t="shared" ref="C11" si="0">B11-D11</f>
        <v>200</v>
      </c>
      <c r="D11" s="18">
        <v>150</v>
      </c>
      <c r="E11" s="21" t="str">
        <f t="shared" ref="E11:E12" si="1">IF(C11=0,"Pago","Pendente")</f>
        <v>Pendente</v>
      </c>
      <c r="F11" s="28"/>
      <c r="G11" s="28" t="s">
        <v>481</v>
      </c>
      <c r="I11" s="29"/>
      <c r="J11" s="29"/>
      <c r="K11" s="29"/>
    </row>
    <row r="12" spans="1:13" ht="18.75" x14ac:dyDescent="0.25">
      <c r="A12" s="22" t="s">
        <v>504</v>
      </c>
      <c r="B12" s="23">
        <v>120</v>
      </c>
      <c r="C12" s="144">
        <f t="shared" ref="C12" si="2">B12-D12</f>
        <v>120</v>
      </c>
      <c r="D12" s="18"/>
      <c r="E12" s="21" t="str">
        <f t="shared" si="1"/>
        <v>Pendente</v>
      </c>
      <c r="F12" s="28"/>
      <c r="G12" s="28" t="s">
        <v>508</v>
      </c>
      <c r="I12" s="29"/>
      <c r="J12" s="29"/>
      <c r="K12" s="29"/>
    </row>
    <row r="13" spans="1:13" ht="18.75" x14ac:dyDescent="0.25">
      <c r="A13" s="22" t="s">
        <v>549</v>
      </c>
      <c r="B13" s="23">
        <v>200</v>
      </c>
      <c r="C13" s="144">
        <f t="shared" ref="C13" si="3">B13-D13</f>
        <v>200</v>
      </c>
      <c r="D13" s="18"/>
      <c r="E13" s="21" t="str">
        <f t="shared" ref="E13" si="4">IF(C13=0,"Pago","Pendente")</f>
        <v>Pendente</v>
      </c>
      <c r="F13" s="28"/>
      <c r="G13" s="28" t="s">
        <v>550</v>
      </c>
      <c r="I13" s="29"/>
      <c r="J13" s="29"/>
      <c r="K13" s="29"/>
    </row>
    <row r="14" spans="1:13" ht="18.75" x14ac:dyDescent="0.25">
      <c r="A14" s="22"/>
      <c r="B14" s="23"/>
      <c r="C14" s="144"/>
      <c r="D14" s="18"/>
      <c r="E14" s="21"/>
      <c r="F14" s="28"/>
      <c r="I14" s="29"/>
      <c r="J14" s="29"/>
      <c r="K14" s="29"/>
    </row>
    <row r="15" spans="1:13" ht="18.75" x14ac:dyDescent="0.25">
      <c r="A15" s="22"/>
      <c r="B15" s="23"/>
      <c r="C15" s="16"/>
      <c r="D15" s="18"/>
      <c r="E15" s="21"/>
      <c r="I15" s="29"/>
      <c r="J15" s="29"/>
      <c r="K15" s="29"/>
    </row>
    <row r="16" spans="1:13" ht="18.75" x14ac:dyDescent="0.25">
      <c r="A16" s="22"/>
      <c r="B16" s="23"/>
      <c r="C16" s="16"/>
      <c r="D16" s="18"/>
      <c r="E16" s="21"/>
      <c r="F16" s="28"/>
      <c r="I16" s="29"/>
      <c r="J16" s="29"/>
      <c r="K16" s="29"/>
    </row>
    <row r="17" spans="1:13" ht="18.75" x14ac:dyDescent="0.25">
      <c r="A17" s="22"/>
      <c r="B17" s="23"/>
      <c r="C17" s="16"/>
      <c r="D17" s="18"/>
      <c r="E17" s="21"/>
      <c r="F17" s="28"/>
      <c r="I17" s="29"/>
      <c r="J17" s="29"/>
      <c r="K17" s="29"/>
    </row>
    <row r="18" spans="1:13" s="41" customFormat="1" ht="18.75" x14ac:dyDescent="0.25">
      <c r="A18" s="22"/>
      <c r="B18" s="23"/>
      <c r="C18" s="16"/>
      <c r="D18" s="18"/>
      <c r="E18" s="21"/>
      <c r="F18" s="28"/>
      <c r="H18" s="29"/>
      <c r="I18" s="29"/>
      <c r="J18" s="29"/>
      <c r="K18" s="29"/>
    </row>
    <row r="19" spans="1:13" ht="18.75" x14ac:dyDescent="0.25">
      <c r="A19" s="22"/>
      <c r="B19" s="23"/>
      <c r="C19" s="16"/>
      <c r="D19" s="18"/>
      <c r="E19" s="21"/>
      <c r="F19" s="28"/>
      <c r="I19" s="29"/>
      <c r="J19" s="29"/>
      <c r="K19" s="29"/>
      <c r="L19" s="41"/>
      <c r="M19" s="41"/>
    </row>
    <row r="20" spans="1:13" ht="18.75" x14ac:dyDescent="0.25">
      <c r="A20" s="22"/>
      <c r="B20" s="23"/>
      <c r="C20" s="16"/>
      <c r="D20" s="18"/>
      <c r="E20" s="21"/>
      <c r="F20" s="28"/>
      <c r="I20" s="29"/>
      <c r="J20" s="29"/>
      <c r="K20" s="29"/>
      <c r="L20" s="41"/>
      <c r="M20" s="41"/>
    </row>
    <row r="21" spans="1:13" ht="23.25" x14ac:dyDescent="0.35">
      <c r="A21" s="128"/>
      <c r="B21" s="127"/>
      <c r="L21" s="41"/>
      <c r="M21" s="41"/>
    </row>
    <row r="22" spans="1:13" x14ac:dyDescent="0.25">
      <c r="L22" s="41"/>
      <c r="M22" s="41"/>
    </row>
    <row r="23" spans="1:13" x14ac:dyDescent="0.25">
      <c r="L23" s="41"/>
      <c r="M23" s="41"/>
    </row>
    <row r="24" spans="1:13" x14ac:dyDescent="0.25">
      <c r="L24" s="41"/>
      <c r="M24" s="41"/>
    </row>
    <row r="25" spans="1:13" x14ac:dyDescent="0.25">
      <c r="L25" s="41"/>
      <c r="M25" s="41"/>
    </row>
  </sheetData>
  <autoFilter ref="A1:E18" xr:uid="{00000000-0009-0000-0000-000000000000}"/>
  <mergeCells count="1">
    <mergeCell ref="L2:L3"/>
  </mergeCells>
  <phoneticPr fontId="16" type="noConversion"/>
  <dataValidations disablePrompts="1" count="1">
    <dataValidation allowBlank="1" showInputMessage="1" showErrorMessage="1" promptTitle="Referente" prompt="A Setembro" sqref="A3:B3 D3:E3" xr:uid="{00000000-0002-0000-0000-000000000000}"/>
  </dataValidations>
  <pageMargins left="0.511811024" right="0.511811024" top="0.78740157499999996" bottom="0.78740157499999996" header="0.31496062000000002" footer="0.31496062000000002"/>
  <pageSetup paperSize="9" orientation="portrait" horizontalDpi="360" verticalDpi="36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157"/>
  <sheetViews>
    <sheetView topLeftCell="O1" zoomScaleNormal="100" workbookViewId="0">
      <selection activeCell="F11" sqref="F11"/>
    </sheetView>
  </sheetViews>
  <sheetFormatPr defaultRowHeight="15" x14ac:dyDescent="0.25"/>
  <cols>
    <col min="1" max="1" width="44.42578125" customWidth="1"/>
    <col min="2" max="2" width="14.7109375" style="41" bestFit="1" customWidth="1"/>
    <col min="3" max="5" width="16.5703125" bestFit="1" customWidth="1"/>
    <col min="6" max="6" width="18.85546875" bestFit="1" customWidth="1"/>
    <col min="7" max="7" width="8.28515625" customWidth="1"/>
    <col min="8" max="8" width="18.85546875" bestFit="1" customWidth="1"/>
    <col min="9" max="9" width="14.7109375" bestFit="1" customWidth="1"/>
    <col min="10" max="10" width="16.5703125" bestFit="1" customWidth="1"/>
    <col min="11" max="11" width="14.7109375" bestFit="1" customWidth="1"/>
    <col min="12" max="12" width="14.140625" bestFit="1" customWidth="1"/>
    <col min="13" max="13" width="6.7109375" customWidth="1"/>
    <col min="14" max="14" width="15.28515625" bestFit="1" customWidth="1"/>
    <col min="15" max="15" width="14.7109375" bestFit="1" customWidth="1"/>
    <col min="16" max="16" width="14.7109375" customWidth="1"/>
    <col min="17" max="17" width="17.5703125" bestFit="1" customWidth="1"/>
    <col min="18" max="18" width="5.85546875" bestFit="1" customWidth="1"/>
    <col min="19" max="19" width="13.140625" bestFit="1" customWidth="1"/>
    <col min="20" max="20" width="15.7109375" bestFit="1" customWidth="1"/>
    <col min="21" max="21" width="8.7109375" bestFit="1" customWidth="1"/>
    <col min="22" max="22" width="6.140625" customWidth="1"/>
    <col min="23" max="23" width="14.7109375" bestFit="1" customWidth="1"/>
    <col min="24" max="26" width="14.140625" bestFit="1" customWidth="1"/>
    <col min="27" max="27" width="8.85546875" bestFit="1" customWidth="1"/>
    <col min="28" max="28" width="12.5703125" bestFit="1" customWidth="1"/>
    <col min="29" max="29" width="15.140625" bestFit="1" customWidth="1"/>
    <col min="30" max="30" width="8.28515625" bestFit="1" customWidth="1"/>
  </cols>
  <sheetData>
    <row r="1" spans="1:30" ht="21" x14ac:dyDescent="0.25">
      <c r="A1" s="1">
        <v>2019</v>
      </c>
      <c r="B1" s="2" t="s">
        <v>19</v>
      </c>
      <c r="C1" s="1" t="s">
        <v>20</v>
      </c>
      <c r="D1" s="1">
        <v>2019</v>
      </c>
      <c r="E1" s="2" t="s">
        <v>21</v>
      </c>
      <c r="G1" s="2">
        <v>2020</v>
      </c>
      <c r="H1" s="2" t="s">
        <v>19</v>
      </c>
      <c r="I1" s="2" t="s">
        <v>20</v>
      </c>
      <c r="J1" s="2">
        <v>2020</v>
      </c>
      <c r="K1" s="2" t="s">
        <v>21</v>
      </c>
      <c r="L1" s="2" t="s">
        <v>21</v>
      </c>
      <c r="N1" s="2">
        <v>2021</v>
      </c>
      <c r="O1" s="2" t="s">
        <v>19</v>
      </c>
      <c r="P1" s="2" t="s">
        <v>20</v>
      </c>
      <c r="Q1" s="2">
        <v>2021</v>
      </c>
      <c r="R1" s="2" t="s">
        <v>21</v>
      </c>
      <c r="S1" s="2" t="s">
        <v>37</v>
      </c>
      <c r="T1" s="2" t="s">
        <v>22</v>
      </c>
      <c r="U1" s="66"/>
      <c r="W1" s="2">
        <v>2022</v>
      </c>
      <c r="X1" s="2" t="s">
        <v>19</v>
      </c>
      <c r="Y1" s="2" t="s">
        <v>20</v>
      </c>
      <c r="Z1" s="2">
        <v>2022</v>
      </c>
      <c r="AA1" s="2" t="s">
        <v>21</v>
      </c>
      <c r="AB1" s="2" t="s">
        <v>37</v>
      </c>
      <c r="AC1" s="2" t="s">
        <v>22</v>
      </c>
      <c r="AD1" s="66"/>
    </row>
    <row r="2" spans="1:30" ht="21" x14ac:dyDescent="0.25">
      <c r="A2" s="1" t="s">
        <v>6</v>
      </c>
      <c r="B2" s="3">
        <v>0</v>
      </c>
      <c r="C2" s="3">
        <v>310</v>
      </c>
      <c r="D2" s="3">
        <v>310</v>
      </c>
      <c r="E2" s="4">
        <v>0</v>
      </c>
      <c r="G2" s="1" t="s">
        <v>6</v>
      </c>
      <c r="H2" s="5">
        <v>1482.3999999999999</v>
      </c>
      <c r="I2" s="5">
        <v>4122.2999999999993</v>
      </c>
      <c r="J2" s="5">
        <v>2639.9000000000005</v>
      </c>
      <c r="K2" s="4">
        <v>63</v>
      </c>
      <c r="L2" s="4"/>
      <c r="N2" s="1" t="s">
        <v>6</v>
      </c>
      <c r="O2" s="5">
        <v>3701.8</v>
      </c>
      <c r="P2" s="5">
        <v>7125.449999999998</v>
      </c>
      <c r="Q2" s="5">
        <v>3423.650000000001</v>
      </c>
      <c r="R2" s="4">
        <v>319</v>
      </c>
      <c r="S2" s="4">
        <v>38</v>
      </c>
      <c r="T2" s="4">
        <v>281</v>
      </c>
      <c r="U2" s="67">
        <f>(Q2-J2)/Q2</f>
        <v>0.22892234895506264</v>
      </c>
      <c r="W2" s="1" t="s">
        <v>6</v>
      </c>
      <c r="X2" s="5">
        <f>vendas!D2</f>
        <v>4643.1000000000004</v>
      </c>
      <c r="Y2" s="5">
        <f>vendas!E2</f>
        <v>10439.120000000001</v>
      </c>
      <c r="Z2" s="5">
        <f>vendas!F2</f>
        <v>6435.4783999999991</v>
      </c>
      <c r="AA2" s="4">
        <f>vendas!G2</f>
        <v>715</v>
      </c>
      <c r="AB2" s="4">
        <f>vendas!H2</f>
        <v>17</v>
      </c>
      <c r="AC2" s="4">
        <f>vendas!I2</f>
        <v>698</v>
      </c>
      <c r="AD2" s="67">
        <f>(Z2-Q2)/Z2</f>
        <v>0.46800380838819977</v>
      </c>
    </row>
    <row r="3" spans="1:30" ht="21" x14ac:dyDescent="0.25">
      <c r="A3" s="1" t="s">
        <v>8</v>
      </c>
      <c r="B3" s="3">
        <v>0</v>
      </c>
      <c r="C3" s="3">
        <v>45</v>
      </c>
      <c r="D3" s="3">
        <v>45</v>
      </c>
      <c r="E3" s="6">
        <v>0</v>
      </c>
      <c r="G3" s="1" t="s">
        <v>8</v>
      </c>
      <c r="H3" s="3">
        <v>1348.19</v>
      </c>
      <c r="I3" s="3">
        <v>2617</v>
      </c>
      <c r="J3" s="3">
        <v>1268.81</v>
      </c>
      <c r="K3" s="6">
        <v>53</v>
      </c>
      <c r="L3" s="6"/>
      <c r="N3" s="1" t="s">
        <v>8</v>
      </c>
      <c r="O3" s="3">
        <v>5248.7</v>
      </c>
      <c r="P3" s="3">
        <v>11712.679999999997</v>
      </c>
      <c r="Q3" s="3">
        <v>6463.9800000000005</v>
      </c>
      <c r="R3" s="6">
        <v>696</v>
      </c>
      <c r="S3" s="6">
        <v>60</v>
      </c>
      <c r="T3" s="6">
        <v>636</v>
      </c>
      <c r="U3" s="67">
        <f t="shared" ref="U3:U14" si="0">(Q3-J3)/Q3</f>
        <v>0.80371071692672313</v>
      </c>
      <c r="W3" s="1" t="s">
        <v>8</v>
      </c>
      <c r="X3" s="3">
        <f>vendas!D75</f>
        <v>3787.1</v>
      </c>
      <c r="Y3" s="3">
        <f>vendas!E75</f>
        <v>11169.929999999998</v>
      </c>
      <c r="Z3" s="3">
        <f>vendas!F75</f>
        <v>7102.8606</v>
      </c>
      <c r="AA3" s="6">
        <f>vendas!G75</f>
        <v>458</v>
      </c>
      <c r="AB3" s="6">
        <f>vendas!H75</f>
        <v>23</v>
      </c>
      <c r="AC3" s="6">
        <f>vendas!I75</f>
        <v>435</v>
      </c>
      <c r="AD3" s="67">
        <f t="shared" ref="AD3:AD14" si="1">(Z3-Q3)/Z3</f>
        <v>8.9946943348430564E-2</v>
      </c>
    </row>
    <row r="4" spans="1:30" ht="21" x14ac:dyDescent="0.25">
      <c r="A4" s="1" t="s">
        <v>9</v>
      </c>
      <c r="B4" s="3">
        <v>923.6</v>
      </c>
      <c r="C4" s="3">
        <v>1662</v>
      </c>
      <c r="D4" s="3">
        <v>738.4</v>
      </c>
      <c r="E4" s="6">
        <v>40</v>
      </c>
      <c r="G4" s="2" t="s">
        <v>9</v>
      </c>
      <c r="H4" s="3">
        <v>1501.3700000000001</v>
      </c>
      <c r="I4" s="3">
        <v>3257.75</v>
      </c>
      <c r="J4" s="3">
        <v>1756.3799999999999</v>
      </c>
      <c r="K4" s="6">
        <v>79</v>
      </c>
      <c r="L4" s="6"/>
      <c r="N4" s="2" t="s">
        <v>9</v>
      </c>
      <c r="O4" s="3">
        <v>1893.7416666666668</v>
      </c>
      <c r="P4" s="3">
        <v>8961.0416666666661</v>
      </c>
      <c r="Q4" s="3">
        <v>8483.6883333333353</v>
      </c>
      <c r="R4" s="6">
        <v>517</v>
      </c>
      <c r="S4" s="6">
        <v>42</v>
      </c>
      <c r="T4" s="6">
        <v>475</v>
      </c>
      <c r="U4" s="67">
        <f t="shared" si="0"/>
        <v>0.79296976374073147</v>
      </c>
      <c r="W4" s="2" t="s">
        <v>9</v>
      </c>
      <c r="X4" s="3">
        <f>vendas!D140</f>
        <v>6571.1</v>
      </c>
      <c r="Y4" s="3">
        <f>vendas!E140</f>
        <v>10463.703000000001</v>
      </c>
      <c r="Z4" s="3">
        <f>vendas!F140</f>
        <v>3902.0731360000004</v>
      </c>
      <c r="AA4" s="6">
        <f>vendas!G140</f>
        <v>283</v>
      </c>
      <c r="AB4" s="6">
        <f>vendas!H140</f>
        <v>41</v>
      </c>
      <c r="AC4" s="6">
        <f>vendas!I140</f>
        <v>242</v>
      </c>
      <c r="AD4" s="67">
        <f t="shared" si="1"/>
        <v>-1.1741489812335835</v>
      </c>
    </row>
    <row r="5" spans="1:30" ht="21" x14ac:dyDescent="0.25">
      <c r="A5" s="1" t="s">
        <v>10</v>
      </c>
      <c r="B5" s="3">
        <v>1575.9899999999998</v>
      </c>
      <c r="C5" s="3">
        <v>2775.5</v>
      </c>
      <c r="D5" s="3">
        <v>1199.51</v>
      </c>
      <c r="E5" s="7">
        <v>50</v>
      </c>
      <c r="G5" s="2" t="s">
        <v>10</v>
      </c>
      <c r="H5" s="5">
        <v>3123.31</v>
      </c>
      <c r="I5" s="5">
        <v>6498</v>
      </c>
      <c r="J5" s="5">
        <v>3374.69</v>
      </c>
      <c r="K5" s="7">
        <v>148</v>
      </c>
      <c r="L5" s="7"/>
      <c r="N5" s="2" t="s">
        <v>10</v>
      </c>
      <c r="O5" s="5">
        <v>7240.8</v>
      </c>
      <c r="P5" s="5">
        <v>14329.375</v>
      </c>
      <c r="Q5" s="5">
        <v>7088.5749999999998</v>
      </c>
      <c r="R5" s="7">
        <v>481</v>
      </c>
      <c r="S5" s="7">
        <v>27</v>
      </c>
      <c r="T5" s="7">
        <v>458</v>
      </c>
      <c r="U5" s="67">
        <f t="shared" si="0"/>
        <v>0.5239254716215882</v>
      </c>
      <c r="W5" s="2" t="s">
        <v>10</v>
      </c>
      <c r="X5" s="5">
        <f>vendas!D221</f>
        <v>2163.6</v>
      </c>
      <c r="Y5" s="5">
        <f>vendas!E221</f>
        <v>9215.93</v>
      </c>
      <c r="Z5" s="5">
        <f>vendas!F221</f>
        <v>5881.0816000000004</v>
      </c>
      <c r="AA5" s="7">
        <f>vendas!G221</f>
        <v>462</v>
      </c>
      <c r="AB5" s="7">
        <f>vendas!H221</f>
        <v>27</v>
      </c>
      <c r="AC5" s="7">
        <f>vendas!I221</f>
        <v>435</v>
      </c>
      <c r="AD5" s="67">
        <f t="shared" si="1"/>
        <v>-0.20531825302338932</v>
      </c>
    </row>
    <row r="6" spans="1:30" ht="21" x14ac:dyDescent="0.25">
      <c r="A6" s="1" t="s">
        <v>11</v>
      </c>
      <c r="B6" s="3">
        <v>2048.1999999999998</v>
      </c>
      <c r="C6" s="3">
        <v>3807</v>
      </c>
      <c r="D6" s="3">
        <v>2048.1999999999998</v>
      </c>
      <c r="E6" s="7">
        <v>75</v>
      </c>
      <c r="G6" s="2" t="s">
        <v>11</v>
      </c>
      <c r="H6" s="5">
        <v>4743.9600000000028</v>
      </c>
      <c r="I6" s="5">
        <v>10370.5</v>
      </c>
      <c r="J6" s="5">
        <v>5626.5399999999981</v>
      </c>
      <c r="K6" s="7">
        <v>255</v>
      </c>
      <c r="L6" s="7"/>
      <c r="N6" s="2" t="s">
        <v>11</v>
      </c>
      <c r="O6" s="5">
        <v>3278.5666666666666</v>
      </c>
      <c r="P6" s="5">
        <v>7054.3499999999995</v>
      </c>
      <c r="Q6" s="5">
        <v>3775.7833333333338</v>
      </c>
      <c r="R6" s="7">
        <v>364</v>
      </c>
      <c r="S6" s="7">
        <v>35</v>
      </c>
      <c r="T6" s="7">
        <v>338</v>
      </c>
      <c r="U6" s="67">
        <f t="shared" si="0"/>
        <v>-0.49016495473345423</v>
      </c>
      <c r="W6" s="2" t="s">
        <v>11</v>
      </c>
      <c r="X6" s="5">
        <f>vendas!D297</f>
        <v>3622.6</v>
      </c>
      <c r="Y6" s="5">
        <f>vendas!E297</f>
        <v>7515.0700000000006</v>
      </c>
      <c r="Z6" s="5">
        <f>vendas!F297</f>
        <v>4254.4841999999999</v>
      </c>
      <c r="AA6" s="7">
        <f>vendas!G297</f>
        <v>151</v>
      </c>
      <c r="AB6" s="7">
        <f>vendas!H297</f>
        <v>44</v>
      </c>
      <c r="AC6" s="7">
        <f>vendas!I297</f>
        <v>107</v>
      </c>
      <c r="AD6" s="67">
        <f t="shared" si="1"/>
        <v>0.11251678092180155</v>
      </c>
    </row>
    <row r="7" spans="1:30" ht="21" x14ac:dyDescent="0.25">
      <c r="A7" s="1" t="s">
        <v>12</v>
      </c>
      <c r="B7" s="3">
        <v>2852.09</v>
      </c>
      <c r="C7" s="3">
        <v>5267</v>
      </c>
      <c r="D7" s="3">
        <v>2414.91</v>
      </c>
      <c r="E7" s="7">
        <v>129</v>
      </c>
      <c r="G7" s="2" t="s">
        <v>12</v>
      </c>
      <c r="H7" s="5">
        <v>2795.7500000000005</v>
      </c>
      <c r="I7" s="5">
        <v>6103.99</v>
      </c>
      <c r="J7" s="5">
        <v>3308.2399999999993</v>
      </c>
      <c r="K7" s="7">
        <v>124</v>
      </c>
      <c r="L7" s="7"/>
      <c r="N7" s="2" t="s">
        <v>12</v>
      </c>
      <c r="O7" s="5">
        <v>3220.74</v>
      </c>
      <c r="P7" s="5">
        <v>6008.82</v>
      </c>
      <c r="Q7" s="5">
        <v>3109.7799999999988</v>
      </c>
      <c r="R7" s="7">
        <v>292</v>
      </c>
      <c r="S7" s="7">
        <v>14</v>
      </c>
      <c r="T7" s="7">
        <v>278</v>
      </c>
      <c r="U7" s="67">
        <f t="shared" si="0"/>
        <v>-6.3818019281106877E-2</v>
      </c>
      <c r="W7" s="2" t="s">
        <v>12</v>
      </c>
      <c r="X7" s="5">
        <f>vendas!D383</f>
        <v>2999.55</v>
      </c>
      <c r="Y7" s="5">
        <f>vendas!E383</f>
        <v>6248.72</v>
      </c>
      <c r="Z7" s="5">
        <f>vendas!F383</f>
        <v>2789.4193999999989</v>
      </c>
      <c r="AA7" s="7">
        <f>vendas!G383</f>
        <v>164</v>
      </c>
      <c r="AB7" s="7">
        <f>vendas!H383</f>
        <v>26</v>
      </c>
      <c r="AC7" s="7">
        <f>vendas!I383</f>
        <v>138</v>
      </c>
      <c r="AD7" s="67">
        <f t="shared" si="1"/>
        <v>-0.11484848782510085</v>
      </c>
    </row>
    <row r="8" spans="1:30" ht="21" x14ac:dyDescent="0.25">
      <c r="A8" s="1" t="s">
        <v>13</v>
      </c>
      <c r="B8" s="3">
        <v>3060.2299999999996</v>
      </c>
      <c r="C8" s="3">
        <v>5746.5</v>
      </c>
      <c r="D8" s="3">
        <v>2686.27</v>
      </c>
      <c r="E8" s="7">
        <v>150</v>
      </c>
      <c r="G8" s="2" t="s">
        <v>13</v>
      </c>
      <c r="H8" s="5">
        <v>2287.08</v>
      </c>
      <c r="I8" s="5">
        <v>5556</v>
      </c>
      <c r="J8" s="5">
        <v>3268.92</v>
      </c>
      <c r="K8" s="7">
        <v>112</v>
      </c>
      <c r="L8" s="7"/>
      <c r="N8" s="2" t="s">
        <v>13</v>
      </c>
      <c r="O8" s="5">
        <v>2126.1833333333334</v>
      </c>
      <c r="P8" s="5">
        <v>4830.6499999999987</v>
      </c>
      <c r="Q8" s="5">
        <v>2704.4666666666672</v>
      </c>
      <c r="R8" s="7">
        <v>223</v>
      </c>
      <c r="S8" s="7">
        <v>24</v>
      </c>
      <c r="T8" s="7">
        <v>199</v>
      </c>
      <c r="U8" s="67">
        <f t="shared" si="0"/>
        <v>-0.20871151428500978</v>
      </c>
      <c r="W8" s="2" t="s">
        <v>13</v>
      </c>
      <c r="X8" s="5">
        <f>vendas!D450</f>
        <v>2264.1</v>
      </c>
      <c r="Y8" s="5">
        <f>vendas!E450</f>
        <v>4870.7799999999988</v>
      </c>
      <c r="Z8" s="5">
        <f>vendas!F450</f>
        <v>2069.13</v>
      </c>
      <c r="AA8" s="7">
        <f>vendas!G450</f>
        <v>142</v>
      </c>
      <c r="AB8" s="7">
        <f>vendas!H450</f>
        <v>32</v>
      </c>
      <c r="AC8" s="7">
        <f>vendas!I450</f>
        <v>110</v>
      </c>
      <c r="AD8" s="67">
        <f t="shared" si="1"/>
        <v>-0.30705497801813664</v>
      </c>
    </row>
    <row r="9" spans="1:30" ht="21" x14ac:dyDescent="0.25">
      <c r="A9" s="1" t="s">
        <v>14</v>
      </c>
      <c r="B9" s="3">
        <v>2057.59</v>
      </c>
      <c r="C9" s="3">
        <v>3756.8</v>
      </c>
      <c r="D9" s="3">
        <v>1788.21</v>
      </c>
      <c r="E9" s="7">
        <v>68</v>
      </c>
      <c r="G9" s="2" t="s">
        <v>14</v>
      </c>
      <c r="H9" s="5">
        <v>2519.5</v>
      </c>
      <c r="I9" s="5">
        <v>5025</v>
      </c>
      <c r="J9" s="5">
        <v>2505.5</v>
      </c>
      <c r="K9" s="7">
        <v>78</v>
      </c>
      <c r="L9" s="7"/>
      <c r="N9" s="2" t="s">
        <v>14</v>
      </c>
      <c r="O9" s="5">
        <v>5508.6966666666658</v>
      </c>
      <c r="P9" s="5">
        <v>5830.1100000000015</v>
      </c>
      <c r="Q9" s="5">
        <v>3012.4933333333329</v>
      </c>
      <c r="R9" s="7">
        <v>201</v>
      </c>
      <c r="S9" s="7">
        <v>38</v>
      </c>
      <c r="T9" s="7">
        <v>163</v>
      </c>
      <c r="U9" s="67">
        <f t="shared" si="0"/>
        <v>0.16829691462664359</v>
      </c>
      <c r="W9" s="2" t="s">
        <v>14</v>
      </c>
      <c r="X9" s="5">
        <f>vendas!D519</f>
        <v>3664.4</v>
      </c>
      <c r="Y9" s="5">
        <f>vendas!E519</f>
        <v>7412.8700000000008</v>
      </c>
      <c r="Z9" s="5">
        <f>vendas!F519</f>
        <v>3289.1154000000006</v>
      </c>
      <c r="AA9" s="7">
        <f>vendas!G519</f>
        <v>173</v>
      </c>
      <c r="AB9" s="7">
        <f>vendas!H519</f>
        <v>31</v>
      </c>
      <c r="AC9" s="7">
        <f>vendas!I519</f>
        <v>142</v>
      </c>
      <c r="AD9" s="67">
        <f t="shared" si="1"/>
        <v>8.4102268551193932E-2</v>
      </c>
    </row>
    <row r="10" spans="1:30" ht="21" x14ac:dyDescent="0.25">
      <c r="A10" s="1" t="s">
        <v>15</v>
      </c>
      <c r="B10" s="3">
        <v>2319.62</v>
      </c>
      <c r="C10" s="3">
        <v>4003.9</v>
      </c>
      <c r="D10" s="3">
        <v>1684.2799999999997</v>
      </c>
      <c r="E10" s="7">
        <v>66</v>
      </c>
      <c r="G10" s="2" t="s">
        <v>15</v>
      </c>
      <c r="H10" s="5">
        <v>2261.71</v>
      </c>
      <c r="I10" s="5">
        <v>5004</v>
      </c>
      <c r="J10" s="5">
        <v>2742.29</v>
      </c>
      <c r="K10" s="7">
        <v>140</v>
      </c>
      <c r="L10" s="7"/>
      <c r="N10" s="2" t="s">
        <v>15</v>
      </c>
      <c r="O10" s="5">
        <v>2017.2200000000003</v>
      </c>
      <c r="P10" s="5">
        <v>10125.51</v>
      </c>
      <c r="Q10" s="5">
        <v>5233.8899999999994</v>
      </c>
      <c r="R10" s="7">
        <v>527</v>
      </c>
      <c r="S10" s="7">
        <v>53</v>
      </c>
      <c r="T10" s="7">
        <v>474</v>
      </c>
      <c r="U10" s="67">
        <f t="shared" si="0"/>
        <v>0.47605127352695598</v>
      </c>
      <c r="W10" s="2" t="s">
        <v>15</v>
      </c>
      <c r="X10" s="5">
        <f>vendas!D594</f>
        <v>2539.8000000000002</v>
      </c>
      <c r="Y10" s="5">
        <f>vendas!E594</f>
        <v>4764.0599999999995</v>
      </c>
      <c r="Z10" s="5">
        <f>vendas!F594</f>
        <v>2224.2599999999998</v>
      </c>
      <c r="AA10" s="7">
        <f>vendas!G594</f>
        <v>109</v>
      </c>
      <c r="AB10" s="7">
        <f>vendas!H594</f>
        <v>58</v>
      </c>
      <c r="AC10" s="7">
        <f>vendas!I594</f>
        <v>51</v>
      </c>
      <c r="AD10" s="67">
        <f t="shared" si="1"/>
        <v>-1.3530927139812792</v>
      </c>
    </row>
    <row r="11" spans="1:30" ht="21" x14ac:dyDescent="0.25">
      <c r="A11" s="1" t="s">
        <v>16</v>
      </c>
      <c r="B11" s="3">
        <v>5257.26</v>
      </c>
      <c r="C11" s="3">
        <v>6788.82</v>
      </c>
      <c r="D11" s="3">
        <v>3284.3399999999992</v>
      </c>
      <c r="E11" s="7">
        <v>162</v>
      </c>
      <c r="G11" s="2" t="s">
        <v>16</v>
      </c>
      <c r="H11" s="5">
        <v>1695.72</v>
      </c>
      <c r="I11" s="5">
        <v>3885</v>
      </c>
      <c r="J11" s="5">
        <v>2189.2800000000002</v>
      </c>
      <c r="K11" s="7">
        <v>67</v>
      </c>
      <c r="L11" s="7"/>
      <c r="N11" s="2" t="s">
        <v>16</v>
      </c>
      <c r="O11" s="5">
        <v>4107.8999999999996</v>
      </c>
      <c r="P11" s="5">
        <v>8220.23</v>
      </c>
      <c r="Q11" s="5">
        <v>4112.329999999999</v>
      </c>
      <c r="R11" s="7">
        <v>245</v>
      </c>
      <c r="S11" s="7">
        <v>32</v>
      </c>
      <c r="T11" s="7">
        <v>213</v>
      </c>
      <c r="U11" s="67">
        <f t="shared" si="0"/>
        <v>0.46763027286234304</v>
      </c>
      <c r="W11" s="2" t="s">
        <v>16</v>
      </c>
      <c r="X11" s="5">
        <f>vendas!D678</f>
        <v>2098.15</v>
      </c>
      <c r="Y11" s="5">
        <f>vendas!E678</f>
        <v>6044.48</v>
      </c>
      <c r="Z11" s="5">
        <f>vendas!F678</f>
        <v>2965.1460000000011</v>
      </c>
      <c r="AA11" s="7">
        <f>vendas!G678</f>
        <v>90</v>
      </c>
      <c r="AB11" s="7">
        <f>vendas!H678</f>
        <v>37</v>
      </c>
      <c r="AC11" s="7">
        <f>vendas!I678</f>
        <v>53</v>
      </c>
      <c r="AD11" s="67">
        <f t="shared" si="1"/>
        <v>-0.3868895494522015</v>
      </c>
    </row>
    <row r="12" spans="1:30" ht="21" x14ac:dyDescent="0.25">
      <c r="A12" s="1" t="s">
        <v>17</v>
      </c>
      <c r="B12" s="3">
        <v>1752.2399999999998</v>
      </c>
      <c r="C12" s="3">
        <v>3394.41</v>
      </c>
      <c r="D12" s="3">
        <v>1642.17</v>
      </c>
      <c r="E12" s="7">
        <v>79</v>
      </c>
      <c r="G12" s="2" t="s">
        <v>17</v>
      </c>
      <c r="H12" s="5">
        <v>2108.77</v>
      </c>
      <c r="I12" s="5">
        <v>4560.45</v>
      </c>
      <c r="J12" s="5">
        <v>2451.6800000000003</v>
      </c>
      <c r="K12" s="7">
        <v>158</v>
      </c>
      <c r="L12" s="7"/>
      <c r="N12" s="2" t="s">
        <v>17</v>
      </c>
      <c r="O12" s="5">
        <v>3150.4</v>
      </c>
      <c r="P12" s="5">
        <v>6205.0199999999995</v>
      </c>
      <c r="Q12" s="5">
        <v>3054.62</v>
      </c>
      <c r="R12" s="7">
        <v>367</v>
      </c>
      <c r="S12" s="7">
        <v>26</v>
      </c>
      <c r="T12" s="7">
        <v>341</v>
      </c>
      <c r="U12" s="67">
        <f t="shared" si="0"/>
        <v>0.19738625426403272</v>
      </c>
      <c r="W12" s="2" t="s">
        <v>17</v>
      </c>
      <c r="X12" s="5">
        <f>vendas!D735</f>
        <v>5459.73</v>
      </c>
      <c r="Y12" s="5">
        <f>vendas!E735</f>
        <v>5981.4099999999989</v>
      </c>
      <c r="Z12" s="5">
        <f>vendas!F735</f>
        <v>2613.6579999999999</v>
      </c>
      <c r="AA12" s="7">
        <f>vendas!G735</f>
        <v>153</v>
      </c>
      <c r="AB12" s="7">
        <f>vendas!H735</f>
        <v>93</v>
      </c>
      <c r="AC12" s="7">
        <f>vendas!I735</f>
        <v>60</v>
      </c>
      <c r="AD12" s="67">
        <f t="shared" si="1"/>
        <v>-0.1687144989895388</v>
      </c>
    </row>
    <row r="13" spans="1:30" ht="21" x14ac:dyDescent="0.25">
      <c r="A13" s="1" t="s">
        <v>18</v>
      </c>
      <c r="B13" s="3">
        <v>2756.16</v>
      </c>
      <c r="C13" s="3">
        <v>4343.2</v>
      </c>
      <c r="D13" s="3">
        <v>2482.0199999999995</v>
      </c>
      <c r="E13" s="7">
        <v>72</v>
      </c>
      <c r="G13" s="2" t="s">
        <v>18</v>
      </c>
      <c r="H13" s="5">
        <v>3461.24</v>
      </c>
      <c r="I13" s="5">
        <v>7616.1599999999989</v>
      </c>
      <c r="J13" s="5">
        <v>4190.92</v>
      </c>
      <c r="K13" s="7">
        <v>254</v>
      </c>
      <c r="L13" s="7"/>
      <c r="N13" s="2" t="s">
        <v>18</v>
      </c>
      <c r="O13" s="5">
        <v>3798.5466666666662</v>
      </c>
      <c r="P13" s="5">
        <v>6739.9953999999998</v>
      </c>
      <c r="Q13" s="5">
        <v>3318.6887333333339</v>
      </c>
      <c r="R13" s="7">
        <v>395</v>
      </c>
      <c r="S13" s="7">
        <v>31</v>
      </c>
      <c r="T13" s="7">
        <v>364</v>
      </c>
      <c r="U13" s="67">
        <f t="shared" si="0"/>
        <v>-0.2628240659950612</v>
      </c>
      <c r="W13" s="2" t="s">
        <v>18</v>
      </c>
      <c r="X13" s="5">
        <f>vendas!D801</f>
        <v>2153.8000000000002</v>
      </c>
      <c r="Y13" s="5">
        <f>vendas!E801</f>
        <v>4479.8900000000003</v>
      </c>
      <c r="Z13" s="5">
        <f>vendas!F801</f>
        <v>2326.09</v>
      </c>
      <c r="AA13" s="7">
        <f>vendas!G801</f>
        <v>95</v>
      </c>
      <c r="AB13" s="7">
        <f>vendas!H801</f>
        <v>52</v>
      </c>
      <c r="AC13" s="7">
        <f>vendas!I801</f>
        <v>43</v>
      </c>
      <c r="AD13" s="67">
        <f t="shared" si="1"/>
        <v>-0.42672413076593496</v>
      </c>
    </row>
    <row r="14" spans="1:30" ht="21" x14ac:dyDescent="0.25">
      <c r="A14" s="1" t="s">
        <v>23</v>
      </c>
      <c r="B14" s="3">
        <v>24602.98</v>
      </c>
      <c r="C14" s="3">
        <v>41900.130000000005</v>
      </c>
      <c r="D14" s="3">
        <v>20323.310000000001</v>
      </c>
      <c r="E14" s="7">
        <v>891</v>
      </c>
      <c r="G14" s="2" t="s">
        <v>23</v>
      </c>
      <c r="H14" s="5">
        <v>29329.000000000007</v>
      </c>
      <c r="I14" s="5">
        <v>64616.149999999994</v>
      </c>
      <c r="J14" s="5">
        <v>35323.149999999994</v>
      </c>
      <c r="K14" s="7">
        <v>1531</v>
      </c>
      <c r="L14" s="7"/>
      <c r="N14" s="2" t="s">
        <v>23</v>
      </c>
      <c r="O14" s="5">
        <v>45293.295000000006</v>
      </c>
      <c r="P14" s="5">
        <v>97143.232066666664</v>
      </c>
      <c r="Q14" s="5">
        <v>53781.945400000011</v>
      </c>
      <c r="R14" s="7">
        <v>4627</v>
      </c>
      <c r="S14" s="7">
        <v>420</v>
      </c>
      <c r="T14" s="7">
        <v>4220</v>
      </c>
      <c r="U14" s="67">
        <f t="shared" si="0"/>
        <v>0.34321546501737388</v>
      </c>
      <c r="W14" s="2" t="s">
        <v>23</v>
      </c>
      <c r="X14" s="5">
        <f t="shared" ref="X14:AC14" si="2">SUM(X2:X13)</f>
        <v>41967.03</v>
      </c>
      <c r="Y14" s="5">
        <f t="shared" si="2"/>
        <v>88605.963000000003</v>
      </c>
      <c r="Z14" s="5">
        <f t="shared" si="2"/>
        <v>45852.796736000004</v>
      </c>
      <c r="AA14" s="7">
        <f t="shared" si="2"/>
        <v>2995</v>
      </c>
      <c r="AB14" s="7">
        <f t="shared" si="2"/>
        <v>481</v>
      </c>
      <c r="AC14" s="7">
        <f t="shared" si="2"/>
        <v>2514</v>
      </c>
      <c r="AD14" s="67">
        <f t="shared" si="1"/>
        <v>-0.17292617306753427</v>
      </c>
    </row>
    <row r="15" spans="1:30" x14ac:dyDescent="0.25">
      <c r="X15" s="26">
        <f t="shared" ref="X15:AC15" si="3">X14-O14</f>
        <v>-3326.2650000000067</v>
      </c>
      <c r="Y15" s="26">
        <f t="shared" si="3"/>
        <v>-8537.2690666666604</v>
      </c>
      <c r="Z15" s="26">
        <f t="shared" si="3"/>
        <v>-7929.1486640000076</v>
      </c>
      <c r="AA15" s="28">
        <f t="shared" si="3"/>
        <v>-1632</v>
      </c>
      <c r="AB15" s="28">
        <f t="shared" si="3"/>
        <v>61</v>
      </c>
      <c r="AC15" s="28">
        <f t="shared" si="3"/>
        <v>-1706</v>
      </c>
    </row>
    <row r="17" spans="17:17" x14ac:dyDescent="0.25">
      <c r="Q17" s="26" t="s">
        <v>38</v>
      </c>
    </row>
    <row r="36" spans="1:21" x14ac:dyDescent="0.25">
      <c r="T36" s="8"/>
      <c r="U36" s="8"/>
    </row>
    <row r="39" spans="1:21" ht="15.75" x14ac:dyDescent="0.25">
      <c r="A39" s="152">
        <v>2021</v>
      </c>
      <c r="B39" s="153"/>
      <c r="C39" s="153"/>
      <c r="D39" s="153"/>
      <c r="E39" s="153"/>
      <c r="F39" s="154" t="s">
        <v>237</v>
      </c>
      <c r="H39" s="139">
        <v>2022</v>
      </c>
      <c r="I39" s="140"/>
      <c r="J39" s="140"/>
      <c r="K39" s="140"/>
      <c r="L39" s="140"/>
    </row>
    <row r="40" spans="1:21" ht="15.75" x14ac:dyDescent="0.25">
      <c r="A40" s="57" t="s">
        <v>223</v>
      </c>
      <c r="B40" s="58" t="s">
        <v>224</v>
      </c>
      <c r="C40" s="58" t="s">
        <v>192</v>
      </c>
      <c r="D40" s="58" t="s">
        <v>166</v>
      </c>
      <c r="E40" s="58" t="s">
        <v>225</v>
      </c>
      <c r="F40" s="155"/>
      <c r="H40" s="57" t="s">
        <v>223</v>
      </c>
      <c r="I40" s="58" t="s">
        <v>224</v>
      </c>
      <c r="J40" s="58" t="s">
        <v>192</v>
      </c>
      <c r="K40" s="58" t="s">
        <v>166</v>
      </c>
      <c r="L40" s="58" t="s">
        <v>225</v>
      </c>
    </row>
    <row r="41" spans="1:21" ht="15.75" x14ac:dyDescent="0.25">
      <c r="A41" s="57" t="s">
        <v>223</v>
      </c>
      <c r="B41" s="58">
        <v>16749.433333333334</v>
      </c>
      <c r="C41" s="58">
        <v>35538.480000000003</v>
      </c>
      <c r="D41" s="58">
        <v>18789.046666666665</v>
      </c>
      <c r="E41" s="62">
        <v>478</v>
      </c>
      <c r="F41" s="155"/>
      <c r="H41" s="57" t="s">
        <v>223</v>
      </c>
      <c r="I41" s="58">
        <f t="shared" ref="I41:L42" si="4">B47-B41</f>
        <v>-10847.433333333334</v>
      </c>
      <c r="J41" s="58">
        <f t="shared" si="4"/>
        <v>-25977.480000000003</v>
      </c>
      <c r="K41" s="58">
        <f t="shared" si="4"/>
        <v>-15141.315666666665</v>
      </c>
      <c r="L41" s="62">
        <f t="shared" si="4"/>
        <v>-376</v>
      </c>
    </row>
    <row r="42" spans="1:21" ht="15.75" x14ac:dyDescent="0.25">
      <c r="A42" s="57" t="s">
        <v>226</v>
      </c>
      <c r="B42" s="58">
        <v>22706.675000000007</v>
      </c>
      <c r="C42" s="58">
        <v>57741.756666666646</v>
      </c>
      <c r="D42" s="58">
        <v>33144.369999999988</v>
      </c>
      <c r="E42" s="62">
        <v>2526</v>
      </c>
      <c r="F42" s="155"/>
      <c r="H42" s="57" t="s">
        <v>226</v>
      </c>
      <c r="I42" s="58">
        <f t="shared" si="4"/>
        <v>-5702.075000000008</v>
      </c>
      <c r="J42" s="58">
        <f t="shared" si="4"/>
        <v>-28771.054066666642</v>
      </c>
      <c r="K42" s="58">
        <f t="shared" si="4"/>
        <v>-18147.508999999984</v>
      </c>
      <c r="L42" s="62">
        <f t="shared" si="4"/>
        <v>-945</v>
      </c>
    </row>
    <row r="43" spans="1:21" ht="15.75" x14ac:dyDescent="0.25">
      <c r="A43" s="64" t="s">
        <v>23</v>
      </c>
      <c r="B43" s="63">
        <f>SUM(B41:B42)</f>
        <v>39456.108333333337</v>
      </c>
      <c r="C43" s="63">
        <f>SUM(C41:C42)</f>
        <v>93280.236666666649</v>
      </c>
      <c r="D43" s="63">
        <f>SUM(D41:D42)</f>
        <v>51933.416666666657</v>
      </c>
      <c r="E43" s="65">
        <f>SUM(E41:E42)</f>
        <v>3004</v>
      </c>
      <c r="F43" s="155"/>
      <c r="H43" s="64"/>
      <c r="I43" s="63"/>
      <c r="J43" s="63"/>
      <c r="K43" s="63"/>
      <c r="L43" s="65"/>
    </row>
    <row r="44" spans="1:21" x14ac:dyDescent="0.25">
      <c r="C44" s="38"/>
      <c r="D44" s="38"/>
      <c r="E44" s="38"/>
      <c r="F44" s="47"/>
    </row>
    <row r="45" spans="1:21" ht="15.75" x14ac:dyDescent="0.25">
      <c r="A45" s="152">
        <v>2022</v>
      </c>
      <c r="B45" s="153"/>
      <c r="C45" s="153"/>
      <c r="D45" s="153"/>
      <c r="E45" s="153"/>
      <c r="F45" s="154" t="s">
        <v>238</v>
      </c>
      <c r="H45" s="139" t="s">
        <v>496</v>
      </c>
      <c r="I45" s="139">
        <v>2019</v>
      </c>
      <c r="J45" s="139">
        <v>2020</v>
      </c>
      <c r="K45" s="139">
        <v>2021</v>
      </c>
      <c r="L45" s="139">
        <v>2022</v>
      </c>
      <c r="M45" s="139">
        <v>2023</v>
      </c>
    </row>
    <row r="46" spans="1:21" ht="15.75" x14ac:dyDescent="0.25">
      <c r="A46" s="57" t="s">
        <v>223</v>
      </c>
      <c r="B46" s="58" t="s">
        <v>224</v>
      </c>
      <c r="C46" s="58" t="s">
        <v>192</v>
      </c>
      <c r="D46" s="58" t="s">
        <v>166</v>
      </c>
      <c r="E46" s="58" t="s">
        <v>225</v>
      </c>
      <c r="F46" s="155"/>
      <c r="H46" s="139" t="s">
        <v>495</v>
      </c>
      <c r="I46" s="141">
        <f>C14</f>
        <v>41900.130000000005</v>
      </c>
      <c r="J46" s="141">
        <f>I14</f>
        <v>64616.149999999994</v>
      </c>
      <c r="K46" s="141">
        <f>P14</f>
        <v>97143.232066666664</v>
      </c>
      <c r="L46" s="141">
        <f>Y14</f>
        <v>88605.963000000003</v>
      </c>
      <c r="M46" s="141"/>
    </row>
    <row r="47" spans="1:21" ht="15.75" x14ac:dyDescent="0.25">
      <c r="A47" s="57" t="s">
        <v>223</v>
      </c>
      <c r="B47" s="58">
        <v>5902</v>
      </c>
      <c r="C47" s="58">
        <v>9561</v>
      </c>
      <c r="D47" s="58">
        <v>3647.7309999999998</v>
      </c>
      <c r="E47" s="62">
        <v>102</v>
      </c>
      <c r="F47" s="155"/>
    </row>
    <row r="48" spans="1:21" ht="15.75" x14ac:dyDescent="0.25">
      <c r="A48" s="57" t="s">
        <v>226</v>
      </c>
      <c r="B48" s="58">
        <v>17004.599999999999</v>
      </c>
      <c r="C48" s="58">
        <v>28970.702600000004</v>
      </c>
      <c r="D48" s="58">
        <v>14996.861000000006</v>
      </c>
      <c r="E48" s="62">
        <v>1581</v>
      </c>
      <c r="F48" s="155"/>
    </row>
    <row r="49" spans="1:9" ht="15.75" x14ac:dyDescent="0.25">
      <c r="A49" s="64" t="s">
        <v>23</v>
      </c>
      <c r="B49" s="63">
        <f>SUM(B47:B48)</f>
        <v>22906.6</v>
      </c>
      <c r="C49" s="63">
        <f>SUM(C47:C48)</f>
        <v>38531.702600000004</v>
      </c>
      <c r="D49" s="63">
        <f>SUM(D47:D48)</f>
        <v>18644.592000000004</v>
      </c>
      <c r="E49" s="65">
        <f>SUM(E47:E48)</f>
        <v>1683</v>
      </c>
      <c r="F49" s="155"/>
    </row>
    <row r="51" spans="1:9" ht="15.75" x14ac:dyDescent="0.25">
      <c r="A51" s="58" t="s">
        <v>185</v>
      </c>
      <c r="B51" s="59" t="s">
        <v>225</v>
      </c>
      <c r="C51" s="58" t="s">
        <v>227</v>
      </c>
      <c r="D51" s="58" t="s">
        <v>224</v>
      </c>
      <c r="E51" s="58" t="s">
        <v>192</v>
      </c>
      <c r="F51" s="58" t="s">
        <v>166</v>
      </c>
      <c r="G51" s="60" t="s">
        <v>228</v>
      </c>
    </row>
    <row r="52" spans="1:9" ht="15.75" x14ac:dyDescent="0.25">
      <c r="A52" s="24" t="s">
        <v>229</v>
      </c>
      <c r="B52" s="54">
        <v>275</v>
      </c>
      <c r="C52" s="19">
        <v>35</v>
      </c>
      <c r="D52" s="19">
        <v>8159</v>
      </c>
      <c r="E52" s="19">
        <v>19927.570400000001</v>
      </c>
      <c r="F52" s="19">
        <f t="shared" ref="F52:F58" si="5">E52-D52</f>
        <v>11768.570400000001</v>
      </c>
      <c r="G52" s="61">
        <f t="shared" ref="G52:G58" si="6">(F52/E52)</f>
        <v>0.59056724747538714</v>
      </c>
    </row>
    <row r="53" spans="1:9" x14ac:dyDescent="0.25">
      <c r="A53" s="55" t="s">
        <v>230</v>
      </c>
      <c r="B53" s="54">
        <v>268</v>
      </c>
      <c r="C53" s="19">
        <v>50</v>
      </c>
      <c r="D53" s="19">
        <v>4190</v>
      </c>
      <c r="E53" s="19">
        <v>10769.46</v>
      </c>
      <c r="F53" s="19">
        <f t="shared" si="5"/>
        <v>6579.4599999999991</v>
      </c>
      <c r="G53" s="61">
        <f t="shared" si="6"/>
        <v>0.61093685291555933</v>
      </c>
    </row>
    <row r="54" spans="1:9" x14ac:dyDescent="0.25">
      <c r="A54" s="55" t="s">
        <v>231</v>
      </c>
      <c r="B54" s="54">
        <v>365</v>
      </c>
      <c r="C54" s="19">
        <v>6</v>
      </c>
      <c r="D54" s="19">
        <v>1755</v>
      </c>
      <c r="E54" s="19">
        <v>5194.9948000000004</v>
      </c>
      <c r="F54" s="19">
        <f t="shared" si="5"/>
        <v>3439.9948000000004</v>
      </c>
      <c r="G54" s="61">
        <f t="shared" si="6"/>
        <v>0.66217483028086965</v>
      </c>
    </row>
    <row r="55" spans="1:9" x14ac:dyDescent="0.25">
      <c r="A55" s="55" t="s">
        <v>234</v>
      </c>
      <c r="B55" s="54">
        <v>202</v>
      </c>
      <c r="C55" s="19">
        <v>10</v>
      </c>
      <c r="D55" s="19">
        <v>1037</v>
      </c>
      <c r="E55" s="19">
        <v>2531.2212</v>
      </c>
      <c r="F55" s="19">
        <f t="shared" si="5"/>
        <v>1494.2212</v>
      </c>
      <c r="G55" s="61">
        <f t="shared" si="6"/>
        <v>0.59031632636452314</v>
      </c>
    </row>
    <row r="56" spans="1:9" x14ac:dyDescent="0.25">
      <c r="A56" s="55" t="s">
        <v>232</v>
      </c>
      <c r="B56" s="54">
        <v>375</v>
      </c>
      <c r="C56" s="19">
        <v>1</v>
      </c>
      <c r="D56" s="19">
        <v>498.85</v>
      </c>
      <c r="E56" s="19">
        <v>1475.1181999999999</v>
      </c>
      <c r="F56" s="19">
        <f t="shared" si="5"/>
        <v>976.26819999999987</v>
      </c>
      <c r="G56" s="61">
        <f t="shared" si="6"/>
        <v>0.66182371012709351</v>
      </c>
    </row>
    <row r="57" spans="1:9" x14ac:dyDescent="0.25">
      <c r="A57" s="55" t="s">
        <v>77</v>
      </c>
      <c r="B57" s="54">
        <v>447</v>
      </c>
      <c r="C57" s="19">
        <f>4/5</f>
        <v>0.8</v>
      </c>
      <c r="D57" s="19">
        <v>242.1</v>
      </c>
      <c r="E57" s="19">
        <v>1134.5396000000001</v>
      </c>
      <c r="F57" s="19">
        <f t="shared" si="5"/>
        <v>892.43960000000004</v>
      </c>
      <c r="G57" s="61">
        <f t="shared" si="6"/>
        <v>0.78660947577325635</v>
      </c>
    </row>
    <row r="58" spans="1:9" x14ac:dyDescent="0.25">
      <c r="A58" s="55" t="s">
        <v>233</v>
      </c>
      <c r="B58" s="54">
        <v>116</v>
      </c>
      <c r="C58" s="19">
        <v>2</v>
      </c>
      <c r="D58" s="19">
        <v>138</v>
      </c>
      <c r="E58" s="19">
        <v>949.73</v>
      </c>
      <c r="F58" s="19">
        <f t="shared" si="5"/>
        <v>811.73</v>
      </c>
      <c r="G58" s="61">
        <f t="shared" si="6"/>
        <v>0.85469554504964573</v>
      </c>
    </row>
    <row r="59" spans="1:9" x14ac:dyDescent="0.25">
      <c r="A59" s="55"/>
      <c r="B59" s="54"/>
      <c r="C59" s="54"/>
      <c r="D59" s="54"/>
      <c r="E59" s="54"/>
      <c r="F59" s="54"/>
      <c r="G59" s="61"/>
    </row>
    <row r="60" spans="1:9" x14ac:dyDescent="0.25">
      <c r="C60" s="38"/>
      <c r="D60" s="38"/>
      <c r="E60" s="38"/>
      <c r="F60" s="47"/>
      <c r="I60" s="26"/>
    </row>
    <row r="61" spans="1:9" ht="15.75" x14ac:dyDescent="0.25">
      <c r="A61" s="58" t="s">
        <v>185</v>
      </c>
      <c r="B61" s="59" t="s">
        <v>225</v>
      </c>
      <c r="C61" s="58" t="s">
        <v>227</v>
      </c>
      <c r="D61" s="58" t="s">
        <v>224</v>
      </c>
      <c r="E61" s="58" t="s">
        <v>192</v>
      </c>
      <c r="F61" s="58" t="s">
        <v>166</v>
      </c>
      <c r="G61" s="60" t="s">
        <v>228</v>
      </c>
      <c r="I61" s="26"/>
    </row>
    <row r="62" spans="1:9" ht="15.75" x14ac:dyDescent="0.25">
      <c r="A62" s="24" t="s">
        <v>124</v>
      </c>
      <c r="B62" s="40">
        <v>193</v>
      </c>
      <c r="C62" s="52">
        <v>40</v>
      </c>
      <c r="D62" s="19">
        <v>5440</v>
      </c>
      <c r="E62" s="19">
        <v>13036.462599999999</v>
      </c>
      <c r="F62" s="19">
        <v>6565.7939999999999</v>
      </c>
      <c r="G62" s="61">
        <f>(F62/E62)</f>
        <v>0.503648436041231</v>
      </c>
    </row>
    <row r="63" spans="1:9" ht="15.75" x14ac:dyDescent="0.25">
      <c r="A63" s="24" t="s">
        <v>106</v>
      </c>
      <c r="B63" s="40">
        <v>695</v>
      </c>
      <c r="C63" s="52">
        <v>1</v>
      </c>
      <c r="D63" s="19">
        <v>852</v>
      </c>
      <c r="E63" s="19">
        <v>3190.6800000000003</v>
      </c>
      <c r="F63" s="19">
        <v>2637.2529999999997</v>
      </c>
      <c r="G63" s="61">
        <f>(F63/E63)</f>
        <v>0.82654888613085598</v>
      </c>
    </row>
    <row r="64" spans="1:9" ht="15.75" x14ac:dyDescent="0.25">
      <c r="A64" s="24" t="s">
        <v>103</v>
      </c>
      <c r="B64" s="40">
        <v>90</v>
      </c>
      <c r="C64" s="52">
        <v>7</v>
      </c>
      <c r="D64" s="19">
        <v>504</v>
      </c>
      <c r="E64" s="19">
        <v>1423.0804000000003</v>
      </c>
      <c r="F64" s="19">
        <v>716.36080000000004</v>
      </c>
      <c r="G64" s="61">
        <f>(F64/E64)</f>
        <v>0.50338744037230776</v>
      </c>
    </row>
    <row r="65" spans="1:7" ht="15.75" x14ac:dyDescent="0.25">
      <c r="A65" s="24" t="s">
        <v>235</v>
      </c>
      <c r="B65" s="40">
        <v>16</v>
      </c>
      <c r="C65" s="52">
        <v>37</v>
      </c>
      <c r="D65" s="19">
        <v>550</v>
      </c>
      <c r="E65" s="19">
        <v>922.18119999999999</v>
      </c>
      <c r="F65" s="19">
        <v>352.18119999999999</v>
      </c>
      <c r="G65" s="61">
        <f>(F65/E65)</f>
        <v>0.38190021657348905</v>
      </c>
    </row>
    <row r="66" spans="1:7" ht="15.75" x14ac:dyDescent="0.25">
      <c r="A66" s="24" t="s">
        <v>236</v>
      </c>
      <c r="B66" s="40">
        <v>91</v>
      </c>
      <c r="C66" s="52">
        <v>4</v>
      </c>
      <c r="D66" s="19">
        <v>292</v>
      </c>
      <c r="E66" s="19">
        <v>711.47879999999998</v>
      </c>
      <c r="F66" s="19">
        <v>335.72479999999996</v>
      </c>
      <c r="G66" s="61">
        <f>(F66/E66)</f>
        <v>0.47186901422783079</v>
      </c>
    </row>
    <row r="67" spans="1:7" ht="15.75" x14ac:dyDescent="0.25">
      <c r="A67" s="24"/>
      <c r="B67" s="54"/>
      <c r="C67" s="19"/>
      <c r="D67" s="19"/>
      <c r="E67" s="19"/>
      <c r="F67" s="19"/>
      <c r="G67" s="61"/>
    </row>
    <row r="157" spans="10:10" x14ac:dyDescent="0.25">
      <c r="J157" s="9"/>
    </row>
  </sheetData>
  <autoFilter ref="A61:G67" xr:uid="{00000000-0009-0000-0000-000001000000}">
    <sortState xmlns:xlrd2="http://schemas.microsoft.com/office/spreadsheetml/2017/richdata2" ref="A62:G67">
      <sortCondition descending="1" ref="F61:F67"/>
    </sortState>
  </autoFilter>
  <mergeCells count="4">
    <mergeCell ref="A39:E39"/>
    <mergeCell ref="A45:E45"/>
    <mergeCell ref="F39:F43"/>
    <mergeCell ref="F45:F49"/>
  </mergeCells>
  <conditionalFormatting sqref="A39:A43">
    <cfRule type="expression" dxfId="297" priority="276">
      <formula>#REF! = "Entregar"</formula>
    </cfRule>
    <cfRule type="expression" dxfId="296" priority="277">
      <formula>#REF! = "Vendido"</formula>
    </cfRule>
    <cfRule type="expression" dxfId="295" priority="278">
      <formula>#REF! = "Estoque"</formula>
    </cfRule>
    <cfRule type="expression" dxfId="294" priority="279">
      <formula>#REF! = "Pendente"</formula>
    </cfRule>
    <cfRule type="expression" dxfId="293" priority="280">
      <formula>#REF! = "Tem que compra"</formula>
    </cfRule>
    <cfRule type="expression" dxfId="292" priority="281">
      <formula>#REF! = "Atacado"</formula>
    </cfRule>
  </conditionalFormatting>
  <conditionalFormatting sqref="A45:A49">
    <cfRule type="expression" dxfId="291" priority="32">
      <formula>#REF! = "Entregar"</formula>
    </cfRule>
    <cfRule type="expression" dxfId="290" priority="33">
      <formula>#REF! = "Vendido"</formula>
    </cfRule>
    <cfRule type="expression" dxfId="289" priority="34">
      <formula>#REF! = "Estoque"</formula>
    </cfRule>
    <cfRule type="expression" dxfId="288" priority="35">
      <formula>#REF! = "Pendente"</formula>
    </cfRule>
    <cfRule type="expression" dxfId="287" priority="36">
      <formula>#REF! = "Tem que compra"</formula>
    </cfRule>
    <cfRule type="expression" dxfId="286" priority="37">
      <formula>#REF! = "Atacado"</formula>
    </cfRule>
  </conditionalFormatting>
  <conditionalFormatting sqref="B51">
    <cfRule type="expression" dxfId="285" priority="304">
      <formula>B51 = "Tem que compra"</formula>
    </cfRule>
    <cfRule type="expression" dxfId="284" priority="305">
      <formula>B51 = "Pedidos"</formula>
    </cfRule>
    <cfRule type="expression" dxfId="283" priority="306">
      <formula>B51 = "Estoque"</formula>
    </cfRule>
    <cfRule type="expression" dxfId="282" priority="307">
      <formula>B51 = "Pendente"</formula>
    </cfRule>
    <cfRule type="expression" dxfId="281" priority="308">
      <formula>B51 = "Vendido"</formula>
    </cfRule>
    <cfRule type="expression" dxfId="280" priority="309">
      <formula>B51 ="Loja"</formula>
    </cfRule>
    <cfRule type="expression" dxfId="279" priority="310">
      <formula>B51 ="Entregar"</formula>
    </cfRule>
    <cfRule type="expression" dxfId="278" priority="311">
      <formula>B51 = "Tem que compra"</formula>
    </cfRule>
    <cfRule type="expression" dxfId="277" priority="312">
      <formula>B51 = "Atacado"</formula>
    </cfRule>
    <cfRule type="expression" dxfId="276" priority="313">
      <formula>B51 = "Pedidos"</formula>
    </cfRule>
    <cfRule type="expression" dxfId="275" priority="314">
      <formula>B51 = "Estoque"</formula>
    </cfRule>
    <cfRule type="expression" dxfId="274" priority="315">
      <formula>B51 = "Pendente"</formula>
    </cfRule>
    <cfRule type="expression" dxfId="273" priority="316">
      <formula>B51 = "Vendido"</formula>
    </cfRule>
    <cfRule type="expression" dxfId="272" priority="317">
      <formula>B51 ="Loja"</formula>
    </cfRule>
    <cfRule type="expression" dxfId="271" priority="318">
      <formula>B51 ="Entregar"</formula>
    </cfRule>
    <cfRule type="expression" dxfId="270" priority="319">
      <formula>B51 = "Tem que compra"</formula>
    </cfRule>
    <cfRule type="expression" dxfId="269" priority="320">
      <formula>B51 = "Atacado"</formula>
    </cfRule>
    <cfRule type="expression" dxfId="268" priority="321">
      <formula>B51 = "Pedidos"</formula>
    </cfRule>
    <cfRule type="expression" dxfId="267" priority="322">
      <formula>B51 = "Estoque"</formula>
    </cfRule>
    <cfRule type="expression" dxfId="266" priority="323">
      <formula>B51 = "Pendente"</formula>
    </cfRule>
    <cfRule type="expression" dxfId="265" priority="324">
      <formula>B51 = "Vendido"</formula>
    </cfRule>
  </conditionalFormatting>
  <conditionalFormatting sqref="B61">
    <cfRule type="expression" dxfId="264" priority="167">
      <formula>B61 = "Tem que compra"</formula>
    </cfRule>
    <cfRule type="expression" dxfId="263" priority="168">
      <formula>B61 = "Pedidos"</formula>
    </cfRule>
    <cfRule type="expression" dxfId="262" priority="169">
      <formula>B61 = "Estoque"</formula>
    </cfRule>
    <cfRule type="expression" dxfId="261" priority="170">
      <formula>B61 = "Pendente"</formula>
    </cfRule>
    <cfRule type="expression" dxfId="260" priority="171">
      <formula>B61 = "Vendido"</formula>
    </cfRule>
    <cfRule type="expression" dxfId="259" priority="172">
      <formula>B61 ="Loja"</formula>
    </cfRule>
    <cfRule type="expression" dxfId="258" priority="173">
      <formula>B61 ="Entregar"</formula>
    </cfRule>
    <cfRule type="expression" dxfId="257" priority="174">
      <formula>B61 = "Tem que compra"</formula>
    </cfRule>
    <cfRule type="expression" dxfId="256" priority="175">
      <formula>B61 = "Atacado"</formula>
    </cfRule>
    <cfRule type="expression" dxfId="255" priority="176">
      <formula>B61 = "Pedidos"</formula>
    </cfRule>
    <cfRule type="expression" dxfId="254" priority="177">
      <formula>B61 = "Estoque"</formula>
    </cfRule>
    <cfRule type="expression" dxfId="253" priority="178">
      <formula>B61 = "Pendente"</formula>
    </cfRule>
    <cfRule type="expression" dxfId="252" priority="179">
      <formula>B61 = "Vendido"</formula>
    </cfRule>
    <cfRule type="expression" dxfId="251" priority="180">
      <formula>B61 ="Loja"</formula>
    </cfRule>
    <cfRule type="expression" dxfId="250" priority="181">
      <formula>B61 ="Entregar"</formula>
    </cfRule>
    <cfRule type="expression" dxfId="249" priority="182">
      <formula>B61 = "Tem que compra"</formula>
    </cfRule>
    <cfRule type="expression" dxfId="248" priority="183">
      <formula>B61 = "Atacado"</formula>
    </cfRule>
    <cfRule type="expression" dxfId="247" priority="184">
      <formula>B61 = "Pedidos"</formula>
    </cfRule>
    <cfRule type="expression" dxfId="246" priority="185">
      <formula>B61 = "Estoque"</formula>
    </cfRule>
    <cfRule type="expression" dxfId="245" priority="186">
      <formula>B61 = "Pendente"</formula>
    </cfRule>
    <cfRule type="expression" dxfId="244" priority="187">
      <formula>B61 = "Vendido"</formula>
    </cfRule>
  </conditionalFormatting>
  <conditionalFormatting sqref="E40">
    <cfRule type="expression" dxfId="243" priority="325">
      <formula>E40 = "Tem que compra"</formula>
    </cfRule>
    <cfRule type="expression" dxfId="242" priority="326">
      <formula>E40 = "Pedidos"</formula>
    </cfRule>
    <cfRule type="expression" dxfId="241" priority="327">
      <formula>E40 = "Estoque"</formula>
    </cfRule>
    <cfRule type="expression" dxfId="240" priority="328">
      <formula>E40 = "Pendente"</formula>
    </cfRule>
    <cfRule type="expression" dxfId="239" priority="329">
      <formula>E40 = "Vendido"</formula>
    </cfRule>
    <cfRule type="expression" dxfId="238" priority="330">
      <formula>E40 ="Loja"</formula>
    </cfRule>
    <cfRule type="expression" dxfId="237" priority="331">
      <formula>E40 ="Entregar"</formula>
    </cfRule>
    <cfRule type="expression" dxfId="236" priority="332">
      <formula>E40 = "Tem que compra"</formula>
    </cfRule>
    <cfRule type="expression" dxfId="235" priority="333">
      <formula>E40 = "Atacado"</formula>
    </cfRule>
    <cfRule type="expression" dxfId="234" priority="334">
      <formula>E40 = "Pedidos"</formula>
    </cfRule>
    <cfRule type="expression" dxfId="233" priority="335">
      <formula>E40 = "Estoque"</formula>
    </cfRule>
    <cfRule type="expression" dxfId="232" priority="336">
      <formula>E40 = "Pendente"</formula>
    </cfRule>
    <cfRule type="expression" dxfId="231" priority="337">
      <formula>E40 = "Vendido"</formula>
    </cfRule>
    <cfRule type="expression" dxfId="230" priority="338">
      <formula>E40 ="Loja"</formula>
    </cfRule>
    <cfRule type="expression" dxfId="229" priority="339">
      <formula>E40 ="Entregar"</formula>
    </cfRule>
    <cfRule type="expression" dxfId="228" priority="340">
      <formula>E40 = "Tem que compra"</formula>
    </cfRule>
    <cfRule type="expression" dxfId="227" priority="341">
      <formula>E40 = "Atacado"</formula>
    </cfRule>
    <cfRule type="expression" dxfId="226" priority="342">
      <formula>E40 = "Pedidos"</formula>
    </cfRule>
    <cfRule type="expression" dxfId="225" priority="343">
      <formula>E40 = "Estoque"</formula>
    </cfRule>
    <cfRule type="expression" dxfId="224" priority="344">
      <formula>E40 = "Pendente"</formula>
    </cfRule>
    <cfRule type="expression" dxfId="223" priority="345">
      <formula>E40 = "Vendido"</formula>
    </cfRule>
  </conditionalFormatting>
  <conditionalFormatting sqref="E41">
    <cfRule type="expression" dxfId="222" priority="390">
      <formula>E41 ="Loja"</formula>
    </cfRule>
    <cfRule type="expression" dxfId="221" priority="391">
      <formula>E41 ="Entregar"</formula>
    </cfRule>
    <cfRule type="expression" dxfId="220" priority="392">
      <formula>E41 = "Tem que compra"</formula>
    </cfRule>
    <cfRule type="expression" dxfId="219" priority="393">
      <formula>E41 = "Atacado"</formula>
    </cfRule>
    <cfRule type="expression" dxfId="218" priority="394">
      <formula>E41 = "Pedidos"</formula>
    </cfRule>
    <cfRule type="expression" dxfId="217" priority="395">
      <formula>E41 = "Estoque"</formula>
    </cfRule>
    <cfRule type="expression" dxfId="216" priority="396">
      <formula>E41 = "Pendente"</formula>
    </cfRule>
    <cfRule type="expression" dxfId="215" priority="397">
      <formula>E41 = "Vendido"</formula>
    </cfRule>
    <cfRule type="expression" dxfId="214" priority="398">
      <formula>E41 ="Loja"</formula>
    </cfRule>
    <cfRule type="expression" dxfId="213" priority="399">
      <formula>E41 ="Entregar"</formula>
    </cfRule>
    <cfRule type="expression" dxfId="212" priority="400">
      <formula>E41 = "Tem que compra"</formula>
    </cfRule>
    <cfRule type="expression" dxfId="211" priority="401">
      <formula>E41 = "Atacado"</formula>
    </cfRule>
    <cfRule type="expression" dxfId="210" priority="402">
      <formula>E41 = "Pedidos"</formula>
    </cfRule>
    <cfRule type="expression" dxfId="209" priority="403">
      <formula>E41 = "Estoque"</formula>
    </cfRule>
    <cfRule type="expression" dxfId="208" priority="404">
      <formula>E41 = "Pendente"</formula>
    </cfRule>
    <cfRule type="expression" dxfId="207" priority="405">
      <formula>E41 = "Vendido"</formula>
    </cfRule>
  </conditionalFormatting>
  <conditionalFormatting sqref="E41:E42">
    <cfRule type="expression" dxfId="206" priority="373">
      <formula>E41 = "Tem que compra"</formula>
    </cfRule>
    <cfRule type="expression" dxfId="205" priority="375">
      <formula>E41 = "Pedidos"</formula>
    </cfRule>
    <cfRule type="expression" dxfId="204" priority="376">
      <formula>E41 = "Estoque"</formula>
    </cfRule>
    <cfRule type="expression" dxfId="203" priority="377">
      <formula>E41 = "Pendente"</formula>
    </cfRule>
    <cfRule type="expression" dxfId="202" priority="378">
      <formula>E41 = "Vendido"</formula>
    </cfRule>
  </conditionalFormatting>
  <conditionalFormatting sqref="E42">
    <cfRule type="expression" dxfId="201" priority="352">
      <formula>E42 = "Tem que compra"</formula>
    </cfRule>
    <cfRule type="expression" dxfId="200" priority="353">
      <formula>E42 = "Pedidos"</formula>
    </cfRule>
    <cfRule type="expression" dxfId="199" priority="354">
      <formula>E42 = "Estoque"</formula>
    </cfRule>
    <cfRule type="expression" dxfId="198" priority="355">
      <formula>E42 = "Pendente"</formula>
    </cfRule>
    <cfRule type="expression" dxfId="197" priority="356">
      <formula>E42 = "Vendido"</formula>
    </cfRule>
    <cfRule type="expression" dxfId="196" priority="363">
      <formula>E42 ="Loja"</formula>
    </cfRule>
    <cfRule type="expression" dxfId="195" priority="364">
      <formula>E42 ="Entregar"</formula>
    </cfRule>
    <cfRule type="expression" dxfId="194" priority="365">
      <formula>E42 = "Tem que compra"</formula>
    </cfRule>
    <cfRule type="expression" dxfId="193" priority="366">
      <formula>E42 = "Atacado"</formula>
    </cfRule>
    <cfRule type="expression" dxfId="192" priority="367">
      <formula>E42 = "Pedidos"</formula>
    </cfRule>
    <cfRule type="expression" dxfId="191" priority="368">
      <formula>E42 = "Estoque"</formula>
    </cfRule>
    <cfRule type="expression" dxfId="190" priority="369">
      <formula>E42 = "Pendente"</formula>
    </cfRule>
    <cfRule type="expression" dxfId="189" priority="370">
      <formula>E42 = "Vendido"</formula>
    </cfRule>
    <cfRule type="expression" dxfId="188" priority="371">
      <formula>E42 ="Loja"</formula>
    </cfRule>
    <cfRule type="expression" dxfId="187" priority="372">
      <formula>E42 ="Entregar"</formula>
    </cfRule>
    <cfRule type="expression" dxfId="186" priority="374">
      <formula>E42 = "Atacado"</formula>
    </cfRule>
  </conditionalFormatting>
  <conditionalFormatting sqref="E46">
    <cfRule type="expression" dxfId="185" priority="195">
      <formula>E46 = "Tem que compra"</formula>
    </cfRule>
    <cfRule type="expression" dxfId="184" priority="196">
      <formula>E46 = "Pedidos"</formula>
    </cfRule>
    <cfRule type="expression" dxfId="183" priority="197">
      <formula>E46 = "Estoque"</formula>
    </cfRule>
    <cfRule type="expression" dxfId="182" priority="198">
      <formula>E46 = "Pendente"</formula>
    </cfRule>
    <cfRule type="expression" dxfId="181" priority="199">
      <formula>E46 = "Vendido"</formula>
    </cfRule>
    <cfRule type="expression" dxfId="180" priority="200">
      <formula>E46 ="Loja"</formula>
    </cfRule>
    <cfRule type="expression" dxfId="179" priority="201">
      <formula>E46 ="Entregar"</formula>
    </cfRule>
    <cfRule type="expression" dxfId="178" priority="202">
      <formula>E46 = "Tem que compra"</formula>
    </cfRule>
    <cfRule type="expression" dxfId="177" priority="203">
      <formula>E46 = "Atacado"</formula>
    </cfRule>
    <cfRule type="expression" dxfId="176" priority="204">
      <formula>E46 = "Pedidos"</formula>
    </cfRule>
    <cfRule type="expression" dxfId="175" priority="205">
      <formula>E46 = "Estoque"</formula>
    </cfRule>
    <cfRule type="expression" dxfId="174" priority="206">
      <formula>E46 = "Pendente"</formula>
    </cfRule>
    <cfRule type="expression" dxfId="173" priority="207">
      <formula>E46 = "Vendido"</formula>
    </cfRule>
    <cfRule type="expression" dxfId="172" priority="208">
      <formula>E46 ="Loja"</formula>
    </cfRule>
    <cfRule type="expression" dxfId="171" priority="209">
      <formula>E46 ="Entregar"</formula>
    </cfRule>
    <cfRule type="expression" dxfId="170" priority="210">
      <formula>E46 = "Tem que compra"</formula>
    </cfRule>
    <cfRule type="expression" dxfId="169" priority="211">
      <formula>E46 = "Atacado"</formula>
    </cfRule>
    <cfRule type="expression" dxfId="168" priority="212">
      <formula>E46 = "Pedidos"</formula>
    </cfRule>
    <cfRule type="expression" dxfId="167" priority="213">
      <formula>E46 = "Estoque"</formula>
    </cfRule>
    <cfRule type="expression" dxfId="166" priority="214">
      <formula>E46 = "Pendente"</formula>
    </cfRule>
    <cfRule type="expression" dxfId="165" priority="215">
      <formula>E46 = "Vendido"</formula>
    </cfRule>
  </conditionalFormatting>
  <conditionalFormatting sqref="E47">
    <cfRule type="expression" dxfId="164" priority="260">
      <formula>E47 ="Loja"</formula>
    </cfRule>
    <cfRule type="expression" dxfId="163" priority="261">
      <formula>E47 ="Entregar"</formula>
    </cfRule>
    <cfRule type="expression" dxfId="162" priority="262">
      <formula>E47 = "Tem que compra"</formula>
    </cfRule>
    <cfRule type="expression" dxfId="161" priority="263">
      <formula>E47 = "Atacado"</formula>
    </cfRule>
    <cfRule type="expression" dxfId="160" priority="264">
      <formula>E47 = "Pedidos"</formula>
    </cfRule>
    <cfRule type="expression" dxfId="159" priority="265">
      <formula>E47 = "Estoque"</formula>
    </cfRule>
    <cfRule type="expression" dxfId="158" priority="266">
      <formula>E47 = "Pendente"</formula>
    </cfRule>
    <cfRule type="expression" dxfId="157" priority="267">
      <formula>E47 = "Vendido"</formula>
    </cfRule>
    <cfRule type="expression" dxfId="156" priority="268">
      <formula>E47 ="Loja"</formula>
    </cfRule>
    <cfRule type="expression" dxfId="155" priority="269">
      <formula>E47 ="Entregar"</formula>
    </cfRule>
    <cfRule type="expression" dxfId="154" priority="270">
      <formula>E47 = "Tem que compra"</formula>
    </cfRule>
    <cfRule type="expression" dxfId="153" priority="271">
      <formula>E47 = "Atacado"</formula>
    </cfRule>
    <cfRule type="expression" dxfId="152" priority="272">
      <formula>E47 = "Pedidos"</formula>
    </cfRule>
    <cfRule type="expression" dxfId="151" priority="273">
      <formula>E47 = "Estoque"</formula>
    </cfRule>
    <cfRule type="expression" dxfId="150" priority="274">
      <formula>E47 = "Pendente"</formula>
    </cfRule>
    <cfRule type="expression" dxfId="149" priority="275">
      <formula>E47 = "Vendido"</formula>
    </cfRule>
  </conditionalFormatting>
  <conditionalFormatting sqref="E47:E48">
    <cfRule type="expression" dxfId="148" priority="243">
      <formula>E47 = "Tem que compra"</formula>
    </cfRule>
    <cfRule type="expression" dxfId="147" priority="245">
      <formula>E47 = "Pedidos"</formula>
    </cfRule>
    <cfRule type="expression" dxfId="146" priority="246">
      <formula>E47 = "Estoque"</formula>
    </cfRule>
    <cfRule type="expression" dxfId="145" priority="247">
      <formula>E47 = "Pendente"</formula>
    </cfRule>
    <cfRule type="expression" dxfId="144" priority="248">
      <formula>E47 = "Vendido"</formula>
    </cfRule>
  </conditionalFormatting>
  <conditionalFormatting sqref="E48">
    <cfRule type="expression" dxfId="143" priority="222">
      <formula>E48 = "Tem que compra"</formula>
    </cfRule>
    <cfRule type="expression" dxfId="142" priority="223">
      <formula>E48 = "Pedidos"</formula>
    </cfRule>
    <cfRule type="expression" dxfId="141" priority="224">
      <formula>E48 = "Estoque"</formula>
    </cfRule>
    <cfRule type="expression" dxfId="140" priority="225">
      <formula>E48 = "Pendente"</formula>
    </cfRule>
    <cfRule type="expression" dxfId="139" priority="226">
      <formula>E48 = "Vendido"</formula>
    </cfRule>
    <cfRule type="expression" dxfId="138" priority="233">
      <formula>E48 ="Loja"</formula>
    </cfRule>
    <cfRule type="expression" dxfId="137" priority="234">
      <formula>E48 ="Entregar"</formula>
    </cfRule>
    <cfRule type="expression" dxfId="136" priority="235">
      <formula>E48 = "Tem que compra"</formula>
    </cfRule>
    <cfRule type="expression" dxfId="135" priority="236">
      <formula>E48 = "Atacado"</formula>
    </cfRule>
    <cfRule type="expression" dxfId="134" priority="237">
      <formula>E48 = "Pedidos"</formula>
    </cfRule>
    <cfRule type="expression" dxfId="133" priority="238">
      <formula>E48 = "Estoque"</formula>
    </cfRule>
    <cfRule type="expression" dxfId="132" priority="239">
      <formula>E48 = "Pendente"</formula>
    </cfRule>
    <cfRule type="expression" dxfId="131" priority="240">
      <formula>E48 = "Vendido"</formula>
    </cfRule>
    <cfRule type="expression" dxfId="130" priority="241">
      <formula>E48 ="Loja"</formula>
    </cfRule>
    <cfRule type="expression" dxfId="129" priority="242">
      <formula>E48 ="Entregar"</formula>
    </cfRule>
    <cfRule type="expression" dxfId="128" priority="244">
      <formula>E48 = "Atacado"</formula>
    </cfRule>
  </conditionalFormatting>
  <conditionalFormatting sqref="F39">
    <cfRule type="expression" dxfId="127" priority="38">
      <formula>F39 = "Tem que compra"</formula>
    </cfRule>
    <cfRule type="expression" dxfId="126" priority="39">
      <formula>F39 = "Pedidos"</formula>
    </cfRule>
    <cfRule type="expression" dxfId="125" priority="40">
      <formula>F39 = "Estoque"</formula>
    </cfRule>
    <cfRule type="expression" dxfId="124" priority="41">
      <formula>F39 = "Pendente"</formula>
    </cfRule>
    <cfRule type="expression" dxfId="123" priority="42">
      <formula>F39 = "Vendido"</formula>
    </cfRule>
    <cfRule type="expression" dxfId="122" priority="43">
      <formula>F39 ="Loja"</formula>
    </cfRule>
    <cfRule type="expression" dxfId="121" priority="44">
      <formula>F39 ="Entregar"</formula>
    </cfRule>
    <cfRule type="expression" dxfId="120" priority="45">
      <formula>F39 = "Tem que compra"</formula>
    </cfRule>
    <cfRule type="expression" dxfId="119" priority="46">
      <formula>F39 = "Atacado"</formula>
    </cfRule>
    <cfRule type="expression" dxfId="118" priority="47">
      <formula>F39 = "Pedidos"</formula>
    </cfRule>
    <cfRule type="expression" dxfId="117" priority="48">
      <formula>F39 = "Estoque"</formula>
    </cfRule>
    <cfRule type="expression" dxfId="116" priority="49">
      <formula>F39 = "Pendente"</formula>
    </cfRule>
    <cfRule type="expression" dxfId="115" priority="50">
      <formula>F39 = "Vendido"</formula>
    </cfRule>
    <cfRule type="expression" dxfId="114" priority="51">
      <formula>F39 ="Loja"</formula>
    </cfRule>
    <cfRule type="expression" dxfId="113" priority="52">
      <formula>F39 ="Entregar"</formula>
    </cfRule>
    <cfRule type="expression" dxfId="112" priority="53">
      <formula>F39 = "Tem que compra"</formula>
    </cfRule>
    <cfRule type="expression" dxfId="111" priority="54">
      <formula>F39 = "Atacado"</formula>
    </cfRule>
    <cfRule type="expression" dxfId="110" priority="55">
      <formula>F39 = "Pedidos"</formula>
    </cfRule>
    <cfRule type="expression" dxfId="109" priority="56">
      <formula>F39 = "Estoque"</formula>
    </cfRule>
    <cfRule type="expression" dxfId="108" priority="57">
      <formula>F39 = "Pendente"</formula>
    </cfRule>
    <cfRule type="expression" dxfId="107" priority="58">
      <formula>F39 = "Vendido"</formula>
    </cfRule>
  </conditionalFormatting>
  <conditionalFormatting sqref="F45">
    <cfRule type="expression" dxfId="106" priority="59">
      <formula>F45 = "Tem que compra"</formula>
    </cfRule>
    <cfRule type="expression" dxfId="105" priority="60">
      <formula>F45 = "Pedidos"</formula>
    </cfRule>
    <cfRule type="expression" dxfId="104" priority="61">
      <formula>F45 = "Estoque"</formula>
    </cfRule>
    <cfRule type="expression" dxfId="103" priority="62">
      <formula>F45 = "Pendente"</formula>
    </cfRule>
    <cfRule type="expression" dxfId="102" priority="63">
      <formula>F45 = "Vendido"</formula>
    </cfRule>
    <cfRule type="expression" dxfId="101" priority="64">
      <formula>F45 ="Loja"</formula>
    </cfRule>
    <cfRule type="expression" dxfId="100" priority="65">
      <formula>F45 ="Entregar"</formula>
    </cfRule>
    <cfRule type="expression" dxfId="99" priority="66">
      <formula>F45 = "Tem que compra"</formula>
    </cfRule>
    <cfRule type="expression" dxfId="98" priority="67">
      <formula>F45 = "Atacado"</formula>
    </cfRule>
    <cfRule type="expression" dxfId="97" priority="68">
      <formula>F45 = "Pedidos"</formula>
    </cfRule>
    <cfRule type="expression" dxfId="96" priority="69">
      <formula>F45 = "Estoque"</formula>
    </cfRule>
    <cfRule type="expression" dxfId="95" priority="70">
      <formula>F45 = "Pendente"</formula>
    </cfRule>
    <cfRule type="expression" dxfId="94" priority="71">
      <formula>F45 = "Vendido"</formula>
    </cfRule>
    <cfRule type="expression" dxfId="93" priority="72">
      <formula>F45 ="Loja"</formula>
    </cfRule>
    <cfRule type="expression" dxfId="92" priority="73">
      <formula>F45 ="Entregar"</formula>
    </cfRule>
    <cfRule type="expression" dxfId="91" priority="74">
      <formula>F45 = "Tem que compra"</formula>
    </cfRule>
    <cfRule type="expression" dxfId="90" priority="75">
      <formula>F45 = "Atacado"</formula>
    </cfRule>
    <cfRule type="expression" dxfId="89" priority="76">
      <formula>F45 = "Pedidos"</formula>
    </cfRule>
    <cfRule type="expression" dxfId="88" priority="77">
      <formula>F45 = "Estoque"</formula>
    </cfRule>
    <cfRule type="expression" dxfId="87" priority="78">
      <formula>F45 = "Pendente"</formula>
    </cfRule>
    <cfRule type="expression" dxfId="86" priority="79">
      <formula>F45 = "Vendido"</formula>
    </cfRule>
  </conditionalFormatting>
  <conditionalFormatting sqref="G52:G59">
    <cfRule type="dataBar" priority="6922">
      <dataBar>
        <cfvo type="min"/>
        <cfvo type="max"/>
        <color rgb="FF638EC6"/>
      </dataBar>
      <extLst>
        <ext xmlns:x14="http://schemas.microsoft.com/office/spreadsheetml/2009/9/main" uri="{B025F937-C7B1-47D3-B67F-A62EFF666E3E}">
          <x14:id>{4B0A79FD-DC29-4520-9E30-77380E81E6F1}</x14:id>
        </ext>
      </extLst>
    </cfRule>
  </conditionalFormatting>
  <conditionalFormatting sqref="G62:G67">
    <cfRule type="dataBar" priority="6923">
      <dataBar>
        <cfvo type="min"/>
        <cfvo type="max"/>
        <color rgb="FF638EC6"/>
      </dataBar>
      <extLst>
        <ext xmlns:x14="http://schemas.microsoft.com/office/spreadsheetml/2009/9/main" uri="{B025F937-C7B1-47D3-B67F-A62EFF666E3E}">
          <x14:id>{C9C6803E-C8D0-401B-A4B7-E33914B14B0E}</x14:id>
        </ext>
      </extLst>
    </cfRule>
  </conditionalFormatting>
  <conditionalFormatting sqref="H39">
    <cfRule type="expression" dxfId="85" priority="81">
      <formula>#REF! = "Vendido"</formula>
    </cfRule>
    <cfRule type="expression" dxfId="84" priority="82">
      <formula>#REF! = "Estoque"</formula>
    </cfRule>
    <cfRule type="expression" dxfId="83" priority="83">
      <formula>#REF! = "Pendente"</formula>
    </cfRule>
    <cfRule type="expression" dxfId="82" priority="84">
      <formula>#REF! = "Tem que compra"</formula>
    </cfRule>
    <cfRule type="expression" dxfId="81" priority="85">
      <formula>#REF! = "Atacado"</formula>
    </cfRule>
  </conditionalFormatting>
  <conditionalFormatting sqref="H39:H43">
    <cfRule type="expression" dxfId="80" priority="80">
      <formula>#REF! = "Entregar"</formula>
    </cfRule>
  </conditionalFormatting>
  <conditionalFormatting sqref="H40:H43">
    <cfRule type="expression" dxfId="79" priority="108">
      <formula>#REF! = "Vendido"</formula>
    </cfRule>
    <cfRule type="expression" dxfId="78" priority="109">
      <formula>#REF! = "Estoque"</formula>
    </cfRule>
    <cfRule type="expression" dxfId="77" priority="110">
      <formula>#REF! = "Pendente"</formula>
    </cfRule>
    <cfRule type="expression" dxfId="76" priority="111">
      <formula>#REF! = "Tem que compra"</formula>
    </cfRule>
    <cfRule type="expression" dxfId="75" priority="112">
      <formula>#REF! = "Atacado"</formula>
    </cfRule>
  </conditionalFormatting>
  <conditionalFormatting sqref="H45:H46">
    <cfRule type="expression" dxfId="74" priority="5">
      <formula>#REF! = "Estoque"</formula>
    </cfRule>
    <cfRule type="expression" dxfId="73" priority="6">
      <formula>#REF! = "Pendente"</formula>
    </cfRule>
    <cfRule type="expression" dxfId="72" priority="7">
      <formula>#REF! = "Tem que compra"</formula>
    </cfRule>
    <cfRule type="expression" dxfId="71" priority="8">
      <formula>#REF! = "Atacado"</formula>
    </cfRule>
  </conditionalFormatting>
  <conditionalFormatting sqref="H45:M46">
    <cfRule type="expression" dxfId="70" priority="3">
      <formula>#REF! = "Entregar"</formula>
    </cfRule>
    <cfRule type="expression" dxfId="69" priority="4">
      <formula>#REF! = "Vendido"</formula>
    </cfRule>
  </conditionalFormatting>
  <conditionalFormatting sqref="I41:L42">
    <cfRule type="cellIs" dxfId="68" priority="31" operator="lessThan">
      <formula>0</formula>
    </cfRule>
  </conditionalFormatting>
  <conditionalFormatting sqref="I45:M45">
    <cfRule type="expression" dxfId="67" priority="17">
      <formula>#REF! = "Estoque"</formula>
    </cfRule>
    <cfRule type="expression" dxfId="66" priority="18">
      <formula>#REF! = "Pendente"</formula>
    </cfRule>
    <cfRule type="expression" dxfId="65" priority="19">
      <formula>#REF! = "Tem que compra"</formula>
    </cfRule>
    <cfRule type="expression" dxfId="64" priority="20">
      <formula>#REF! = "Atacado"</formula>
    </cfRule>
  </conditionalFormatting>
  <conditionalFormatting sqref="I46:M46">
    <cfRule type="expression" dxfId="63" priority="23">
      <formula>#REF! = "Estoque"</formula>
    </cfRule>
    <cfRule type="expression" dxfId="62" priority="24">
      <formula>#REF! = "Pendente"</formula>
    </cfRule>
    <cfRule type="expression" dxfId="61" priority="25">
      <formula>#REF! = "Tem que compra"</formula>
    </cfRule>
    <cfRule type="expression" dxfId="60" priority="26">
      <formula>#REF! = "Atacado"</formula>
    </cfRule>
  </conditionalFormatting>
  <conditionalFormatting sqref="L40">
    <cfRule type="expression" dxfId="59" priority="86">
      <formula>L40 = "Tem que compra"</formula>
    </cfRule>
    <cfRule type="expression" dxfId="58" priority="87">
      <formula>L40 = "Pedidos"</formula>
    </cfRule>
    <cfRule type="expression" dxfId="57" priority="88">
      <formula>L40 = "Estoque"</formula>
    </cfRule>
    <cfRule type="expression" dxfId="56" priority="89">
      <formula>L40 = "Pendente"</formula>
    </cfRule>
    <cfRule type="expression" dxfId="55" priority="90">
      <formula>L40 = "Vendido"</formula>
    </cfRule>
    <cfRule type="expression" dxfId="54" priority="91">
      <formula>L40 ="Loja"</formula>
    </cfRule>
    <cfRule type="expression" dxfId="53" priority="92">
      <formula>L40 ="Entregar"</formula>
    </cfRule>
    <cfRule type="expression" dxfId="52" priority="93">
      <formula>L40 = "Tem que compra"</formula>
    </cfRule>
    <cfRule type="expression" dxfId="51" priority="94">
      <formula>L40 = "Atacado"</formula>
    </cfRule>
    <cfRule type="expression" dxfId="50" priority="95">
      <formula>L40 = "Pedidos"</formula>
    </cfRule>
    <cfRule type="expression" dxfId="49" priority="96">
      <formula>L40 = "Estoque"</formula>
    </cfRule>
    <cfRule type="expression" dxfId="48" priority="97">
      <formula>L40 = "Pendente"</formula>
    </cfRule>
    <cfRule type="expression" dxfId="47" priority="98">
      <formula>L40 = "Vendido"</formula>
    </cfRule>
    <cfRule type="expression" dxfId="46" priority="99">
      <formula>L40 ="Loja"</formula>
    </cfRule>
    <cfRule type="expression" dxfId="45" priority="100">
      <formula>L40 ="Entregar"</formula>
    </cfRule>
    <cfRule type="expression" dxfId="44" priority="101">
      <formula>L40 = "Tem que compra"</formula>
    </cfRule>
    <cfRule type="expression" dxfId="43" priority="102">
      <formula>L40 = "Atacado"</formula>
    </cfRule>
    <cfRule type="expression" dxfId="42" priority="103">
      <formula>L40 = "Pedidos"</formula>
    </cfRule>
    <cfRule type="expression" dxfId="41" priority="104">
      <formula>L40 = "Estoque"</formula>
    </cfRule>
    <cfRule type="expression" dxfId="40" priority="105">
      <formula>L40 = "Pendente"</formula>
    </cfRule>
    <cfRule type="expression" dxfId="39" priority="106">
      <formula>L40 = "Vendido"</formula>
    </cfRule>
  </conditionalFormatting>
  <conditionalFormatting sqref="U1:U14">
    <cfRule type="dataBar" priority="27">
      <dataBar>
        <cfvo type="min"/>
        <cfvo type="max"/>
        <color rgb="FFD6007B"/>
      </dataBar>
      <extLst>
        <ext xmlns:x14="http://schemas.microsoft.com/office/spreadsheetml/2009/9/main" uri="{B025F937-C7B1-47D3-B67F-A62EFF666E3E}">
          <x14:id>{FA07A71A-3651-4961-B72D-4161BAC1ECD6}</x14:id>
        </ext>
      </extLst>
    </cfRule>
  </conditionalFormatting>
  <conditionalFormatting sqref="U2:U14">
    <cfRule type="dataBar" priority="28">
      <dataBar>
        <cfvo type="min"/>
        <cfvo type="max"/>
        <color rgb="FF638EC6"/>
      </dataBar>
      <extLst>
        <ext xmlns:x14="http://schemas.microsoft.com/office/spreadsheetml/2009/9/main" uri="{B025F937-C7B1-47D3-B67F-A62EFF666E3E}">
          <x14:id>{2BA2B566-BE3F-4BCB-B23B-B8CCD83B481A}</x14:id>
        </ext>
      </extLst>
    </cfRule>
  </conditionalFormatting>
  <conditionalFormatting sqref="AD1:AD14">
    <cfRule type="dataBar" priority="29">
      <dataBar>
        <cfvo type="min"/>
        <cfvo type="max"/>
        <color rgb="FFD6007B"/>
      </dataBar>
      <extLst>
        <ext xmlns:x14="http://schemas.microsoft.com/office/spreadsheetml/2009/9/main" uri="{B025F937-C7B1-47D3-B67F-A62EFF666E3E}">
          <x14:id>{E8A33691-4E64-444E-9219-A852A2A4C9EA}</x14:id>
        </ext>
      </extLst>
    </cfRule>
  </conditionalFormatting>
  <conditionalFormatting sqref="AD2:AD14">
    <cfRule type="dataBar" priority="30">
      <dataBar>
        <cfvo type="min"/>
        <cfvo type="max"/>
        <color rgb="FF638EC6"/>
      </dataBar>
      <extLst>
        <ext xmlns:x14="http://schemas.microsoft.com/office/spreadsheetml/2009/9/main" uri="{B025F937-C7B1-47D3-B67F-A62EFF666E3E}">
          <x14:id>{9F14A26B-0515-4924-B48E-493954D479ED}</x14:id>
        </ext>
      </extLst>
    </cfRule>
  </conditionalFormatting>
  <pageMargins left="0.511811024" right="0.511811024" top="0.78740157499999996" bottom="0.78740157499999996" header="0.31496062000000002" footer="0.31496062000000002"/>
  <drawing r:id="rId1"/>
  <extLst>
    <ext xmlns:x14="http://schemas.microsoft.com/office/spreadsheetml/2009/9/main" uri="{78C0D931-6437-407d-A8EE-F0AAD7539E65}">
      <x14:conditionalFormattings>
        <x14:conditionalFormatting xmlns:xm="http://schemas.microsoft.com/office/excel/2006/main">
          <x14:cfRule type="dataBar" id="{4B0A79FD-DC29-4520-9E30-77380E81E6F1}">
            <x14:dataBar minLength="0" maxLength="100" border="1" negativeBarBorderColorSameAsPositive="0">
              <x14:cfvo type="autoMin"/>
              <x14:cfvo type="autoMax"/>
              <x14:borderColor rgb="FF638EC6"/>
              <x14:negativeFillColor rgb="FFFF0000"/>
              <x14:negativeBorderColor rgb="FFFF0000"/>
              <x14:axisColor rgb="FF000000"/>
            </x14:dataBar>
          </x14:cfRule>
          <xm:sqref>G52:G59</xm:sqref>
        </x14:conditionalFormatting>
        <x14:conditionalFormatting xmlns:xm="http://schemas.microsoft.com/office/excel/2006/main">
          <x14:cfRule type="dataBar" id="{C9C6803E-C8D0-401B-A4B7-E33914B14B0E}">
            <x14:dataBar minLength="0" maxLength="100" border="1" negativeBarBorderColorSameAsPositive="0">
              <x14:cfvo type="autoMin"/>
              <x14:cfvo type="autoMax"/>
              <x14:borderColor rgb="FF638EC6"/>
              <x14:negativeFillColor rgb="FFFF0000"/>
              <x14:negativeBorderColor rgb="FFFF0000"/>
              <x14:axisColor rgb="FF000000"/>
            </x14:dataBar>
          </x14:cfRule>
          <xm:sqref>G62:G67</xm:sqref>
        </x14:conditionalFormatting>
        <x14:conditionalFormatting xmlns:xm="http://schemas.microsoft.com/office/excel/2006/main">
          <x14:cfRule type="dataBar" id="{FA07A71A-3651-4961-B72D-4161BAC1ECD6}">
            <x14:dataBar minLength="0" maxLength="100" border="1" negativeBarBorderColorSameAsPositive="0">
              <x14:cfvo type="autoMin"/>
              <x14:cfvo type="autoMax"/>
              <x14:borderColor rgb="FFD6007B"/>
              <x14:negativeFillColor rgb="FFFF0000"/>
              <x14:negativeBorderColor rgb="FFFF0000"/>
              <x14:axisColor rgb="FF000000"/>
            </x14:dataBar>
          </x14:cfRule>
          <xm:sqref>U1:U14</xm:sqref>
        </x14:conditionalFormatting>
        <x14:conditionalFormatting xmlns:xm="http://schemas.microsoft.com/office/excel/2006/main">
          <x14:cfRule type="dataBar" id="{2BA2B566-BE3F-4BCB-B23B-B8CCD83B481A}">
            <x14:dataBar minLength="0" maxLength="100" border="1" negativeBarBorderColorSameAsPositive="0">
              <x14:cfvo type="autoMin"/>
              <x14:cfvo type="autoMax"/>
              <x14:borderColor rgb="FF638EC6"/>
              <x14:negativeFillColor rgb="FFFF0000"/>
              <x14:negativeBorderColor rgb="FFFF0000"/>
              <x14:axisColor rgb="FF000000"/>
            </x14:dataBar>
          </x14:cfRule>
          <xm:sqref>U2:U14</xm:sqref>
        </x14:conditionalFormatting>
        <x14:conditionalFormatting xmlns:xm="http://schemas.microsoft.com/office/excel/2006/main">
          <x14:cfRule type="dataBar" id="{E8A33691-4E64-444E-9219-A852A2A4C9EA}">
            <x14:dataBar minLength="0" maxLength="100" border="1" negativeBarBorderColorSameAsPositive="0">
              <x14:cfvo type="autoMin"/>
              <x14:cfvo type="autoMax"/>
              <x14:borderColor rgb="FFD6007B"/>
              <x14:negativeFillColor rgb="FFFF0000"/>
              <x14:negativeBorderColor rgb="FFFF0000"/>
              <x14:axisColor rgb="FF000000"/>
            </x14:dataBar>
          </x14:cfRule>
          <xm:sqref>AD1:AD14</xm:sqref>
        </x14:conditionalFormatting>
        <x14:conditionalFormatting xmlns:xm="http://schemas.microsoft.com/office/excel/2006/main">
          <x14:cfRule type="dataBar" id="{9F14A26B-0515-4924-B48E-493954D479ED}">
            <x14:dataBar minLength="0" maxLength="100" border="1" negativeBarBorderColorSameAsPositive="0">
              <x14:cfvo type="autoMin"/>
              <x14:cfvo type="autoMax"/>
              <x14:borderColor rgb="FF638EC6"/>
              <x14:negativeFillColor rgb="FFFF0000"/>
              <x14:negativeBorderColor rgb="FFFF0000"/>
              <x14:axisColor rgb="FF000000"/>
            </x14:dataBar>
          </x14:cfRule>
          <xm:sqref>AD2:AD14</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030A0"/>
  </sheetPr>
  <dimension ref="A1:AA1048053"/>
  <sheetViews>
    <sheetView topLeftCell="B1" zoomScale="115" zoomScaleNormal="115" workbookViewId="0">
      <selection activeCell="E922" sqref="E922"/>
    </sheetView>
  </sheetViews>
  <sheetFormatPr defaultColWidth="9.140625" defaultRowHeight="12.75" outlineLevelRow="1" x14ac:dyDescent="0.2"/>
  <cols>
    <col min="1" max="1" width="4" style="73" bestFit="1" customWidth="1"/>
    <col min="2" max="2" width="36.85546875" style="73" customWidth="1"/>
    <col min="3" max="3" width="4.5703125" style="73" bestFit="1" customWidth="1"/>
    <col min="4" max="5" width="16.140625" style="72" bestFit="1" customWidth="1"/>
    <col min="6" max="6" width="11.5703125" style="71" bestFit="1" customWidth="1"/>
    <col min="7" max="7" width="9" style="70" bestFit="1" customWidth="1"/>
    <col min="8" max="8" width="10" style="91" bestFit="1" customWidth="1"/>
    <col min="9" max="9" width="8" style="113" bestFit="1" customWidth="1"/>
    <col min="10" max="10" width="7.140625" style="70" bestFit="1" customWidth="1"/>
    <col min="11" max="11" width="10" style="70" bestFit="1" customWidth="1"/>
    <col min="12" max="12" width="17" style="71" bestFit="1" customWidth="1"/>
    <col min="13" max="13" width="11.85546875" style="72" bestFit="1" customWidth="1"/>
    <col min="14" max="14" width="10.140625" style="71" bestFit="1" customWidth="1"/>
    <col min="15" max="15" width="14.5703125" style="73" bestFit="1" customWidth="1"/>
    <col min="16" max="16" width="15.140625" style="70" customWidth="1"/>
    <col min="17" max="17" width="15.140625" style="70" bestFit="1" customWidth="1"/>
    <col min="18" max="18" width="13.140625" style="70" bestFit="1" customWidth="1"/>
    <col min="19" max="23" width="9.140625" style="70"/>
    <col min="24" max="24" width="17.140625" style="70" bestFit="1" customWidth="1"/>
    <col min="25" max="25" width="12.85546875" style="70" bestFit="1" customWidth="1"/>
    <col min="26" max="26" width="9.28515625" style="70" bestFit="1" customWidth="1"/>
    <col min="27" max="27" width="14.140625" style="70" bestFit="1" customWidth="1"/>
    <col min="28" max="16384" width="9.140625" style="70"/>
  </cols>
  <sheetData>
    <row r="1" spans="1:10" x14ac:dyDescent="0.2">
      <c r="A1" s="68"/>
      <c r="B1" s="68" t="s">
        <v>0</v>
      </c>
      <c r="C1" s="114" t="s">
        <v>1</v>
      </c>
      <c r="D1" s="69" t="s">
        <v>2</v>
      </c>
      <c r="E1" s="69" t="s">
        <v>3</v>
      </c>
      <c r="F1" s="69" t="s">
        <v>4</v>
      </c>
      <c r="G1" s="68" t="s">
        <v>5</v>
      </c>
      <c r="H1" s="68" t="s">
        <v>36</v>
      </c>
      <c r="I1" s="68" t="s">
        <v>35</v>
      </c>
      <c r="J1" s="68" t="s">
        <v>530</v>
      </c>
    </row>
    <row r="2" spans="1:10" x14ac:dyDescent="0.2">
      <c r="A2" s="158" t="s">
        <v>6</v>
      </c>
      <c r="B2" s="159"/>
      <c r="C2" s="160"/>
      <c r="D2" s="69">
        <f>SUM(D3:D73)</f>
        <v>4643.1000000000004</v>
      </c>
      <c r="E2" s="69">
        <f>SUM(E3:E73)</f>
        <v>10439.120000000001</v>
      </c>
      <c r="F2" s="69">
        <f>SUM(F3:F73)</f>
        <v>6435.4783999999991</v>
      </c>
      <c r="G2" s="68">
        <f>SUM(C20:C73)</f>
        <v>715</v>
      </c>
      <c r="H2" s="68">
        <f>COUNTIF(I3:I72,"BSB")</f>
        <v>17</v>
      </c>
      <c r="I2" s="68">
        <f>G2-H2</f>
        <v>698</v>
      </c>
      <c r="J2" s="143">
        <f t="shared" ref="J2:J65" si="0">F2/E2</f>
        <v>0.61647709768639491</v>
      </c>
    </row>
    <row r="3" spans="1:10" hidden="1" outlineLevel="1" x14ac:dyDescent="0.2">
      <c r="A3" s="74">
        <v>1</v>
      </c>
      <c r="B3" s="75" t="s">
        <v>44</v>
      </c>
      <c r="C3" s="49"/>
      <c r="D3" s="77">
        <f>130+18</f>
        <v>148</v>
      </c>
      <c r="E3" s="77">
        <v>250</v>
      </c>
      <c r="F3" s="77">
        <f t="shared" ref="F3:F10" si="1">E3-D3</f>
        <v>102</v>
      </c>
      <c r="G3" s="78" t="s">
        <v>3</v>
      </c>
      <c r="H3" s="79"/>
      <c r="I3" s="78" t="s">
        <v>43</v>
      </c>
      <c r="J3" s="143">
        <f t="shared" si="0"/>
        <v>0.40799999999999997</v>
      </c>
    </row>
    <row r="4" spans="1:10" hidden="1" outlineLevel="1" x14ac:dyDescent="0.2">
      <c r="A4" s="74">
        <v>2</v>
      </c>
      <c r="B4" s="75" t="s">
        <v>45</v>
      </c>
      <c r="C4" s="49"/>
      <c r="D4" s="77">
        <v>40</v>
      </c>
      <c r="E4" s="77">
        <v>80</v>
      </c>
      <c r="F4" s="77">
        <f t="shared" si="1"/>
        <v>40</v>
      </c>
      <c r="G4" s="78" t="s">
        <v>3</v>
      </c>
      <c r="H4" s="79"/>
      <c r="I4" s="78" t="s">
        <v>43</v>
      </c>
      <c r="J4" s="143">
        <f t="shared" si="0"/>
        <v>0.5</v>
      </c>
    </row>
    <row r="5" spans="1:10" hidden="1" outlineLevel="1" x14ac:dyDescent="0.2">
      <c r="A5" s="74">
        <v>3</v>
      </c>
      <c r="B5" s="75" t="s">
        <v>46</v>
      </c>
      <c r="C5" s="49"/>
      <c r="D5" s="77">
        <v>9</v>
      </c>
      <c r="E5" s="77">
        <v>20</v>
      </c>
      <c r="F5" s="77">
        <f t="shared" si="1"/>
        <v>11</v>
      </c>
      <c r="G5" s="78" t="s">
        <v>3</v>
      </c>
      <c r="H5" s="79"/>
      <c r="I5" s="78" t="s">
        <v>43</v>
      </c>
      <c r="J5" s="143">
        <f t="shared" si="0"/>
        <v>0.55000000000000004</v>
      </c>
    </row>
    <row r="6" spans="1:10" hidden="1" outlineLevel="1" x14ac:dyDescent="0.2">
      <c r="A6" s="74">
        <v>4</v>
      </c>
      <c r="B6" s="80" t="s">
        <v>47</v>
      </c>
      <c r="C6" s="49"/>
      <c r="D6" s="77">
        <v>6</v>
      </c>
      <c r="E6" s="77">
        <v>15</v>
      </c>
      <c r="F6" s="77">
        <f t="shared" si="1"/>
        <v>9</v>
      </c>
      <c r="G6" s="78" t="s">
        <v>3</v>
      </c>
      <c r="H6" s="79"/>
      <c r="I6" s="78" t="s">
        <v>43</v>
      </c>
      <c r="J6" s="143">
        <f t="shared" si="0"/>
        <v>0.6</v>
      </c>
    </row>
    <row r="7" spans="1:10" hidden="1" outlineLevel="1" x14ac:dyDescent="0.2">
      <c r="A7" s="74">
        <v>5</v>
      </c>
      <c r="B7" s="80" t="s">
        <v>47</v>
      </c>
      <c r="C7" s="49"/>
      <c r="D7" s="77">
        <v>6</v>
      </c>
      <c r="E7" s="77">
        <v>15</v>
      </c>
      <c r="F7" s="77">
        <f t="shared" si="1"/>
        <v>9</v>
      </c>
      <c r="G7" s="78" t="s">
        <v>3</v>
      </c>
      <c r="H7" s="79"/>
      <c r="I7" s="78" t="s">
        <v>43</v>
      </c>
      <c r="J7" s="143">
        <f t="shared" si="0"/>
        <v>0.6</v>
      </c>
    </row>
    <row r="8" spans="1:10" hidden="1" outlineLevel="1" x14ac:dyDescent="0.2">
      <c r="A8" s="74">
        <v>6</v>
      </c>
      <c r="B8" s="81" t="s">
        <v>48</v>
      </c>
      <c r="C8" s="49"/>
      <c r="D8" s="77">
        <v>2</v>
      </c>
      <c r="E8" s="77">
        <v>15</v>
      </c>
      <c r="F8" s="77">
        <f t="shared" si="1"/>
        <v>13</v>
      </c>
      <c r="G8" s="78" t="s">
        <v>3</v>
      </c>
      <c r="H8" s="82"/>
      <c r="I8" s="83" t="s">
        <v>43</v>
      </c>
      <c r="J8" s="143">
        <f t="shared" si="0"/>
        <v>0.8666666666666667</v>
      </c>
    </row>
    <row r="9" spans="1:10" hidden="1" outlineLevel="1" x14ac:dyDescent="0.2">
      <c r="A9" s="74">
        <v>7</v>
      </c>
      <c r="B9" s="75" t="s">
        <v>49</v>
      </c>
      <c r="C9" s="49"/>
      <c r="D9" s="77">
        <v>6</v>
      </c>
      <c r="E9" s="77">
        <v>20</v>
      </c>
      <c r="F9" s="77">
        <f t="shared" si="1"/>
        <v>14</v>
      </c>
      <c r="G9" s="78" t="s">
        <v>3</v>
      </c>
      <c r="H9" s="79"/>
      <c r="I9" s="78" t="s">
        <v>43</v>
      </c>
      <c r="J9" s="143">
        <f t="shared" si="0"/>
        <v>0.7</v>
      </c>
    </row>
    <row r="10" spans="1:10" hidden="1" outlineLevel="1" x14ac:dyDescent="0.2">
      <c r="A10" s="74">
        <v>8</v>
      </c>
      <c r="B10" s="75" t="s">
        <v>50</v>
      </c>
      <c r="C10" s="49"/>
      <c r="D10" s="77">
        <v>150</v>
      </c>
      <c r="E10" s="77">
        <v>250</v>
      </c>
      <c r="F10" s="77">
        <f t="shared" si="1"/>
        <v>100</v>
      </c>
      <c r="G10" s="78" t="s">
        <v>3</v>
      </c>
      <c r="H10" s="79"/>
      <c r="I10" s="78" t="s">
        <v>43</v>
      </c>
      <c r="J10" s="143">
        <f t="shared" si="0"/>
        <v>0.4</v>
      </c>
    </row>
    <row r="11" spans="1:10" hidden="1" outlineLevel="1" x14ac:dyDescent="0.2">
      <c r="A11" s="74">
        <v>9</v>
      </c>
      <c r="B11" s="75" t="s">
        <v>50</v>
      </c>
      <c r="C11" s="49"/>
      <c r="D11" s="77">
        <v>150</v>
      </c>
      <c r="E11" s="77">
        <v>250</v>
      </c>
      <c r="F11" s="77">
        <f t="shared" ref="F11:F19" si="2">E11-D11</f>
        <v>100</v>
      </c>
      <c r="G11" s="78" t="s">
        <v>3</v>
      </c>
      <c r="H11" s="82"/>
      <c r="I11" s="78" t="s">
        <v>43</v>
      </c>
      <c r="J11" s="143">
        <f t="shared" si="0"/>
        <v>0.4</v>
      </c>
    </row>
    <row r="12" spans="1:10" hidden="1" outlineLevel="1" x14ac:dyDescent="0.2">
      <c r="A12" s="74">
        <v>10</v>
      </c>
      <c r="B12" s="81" t="s">
        <v>51</v>
      </c>
      <c r="C12" s="49"/>
      <c r="D12" s="77">
        <v>12.5</v>
      </c>
      <c r="E12" s="77">
        <v>25</v>
      </c>
      <c r="F12" s="77">
        <f t="shared" si="2"/>
        <v>12.5</v>
      </c>
      <c r="G12" s="78" t="s">
        <v>3</v>
      </c>
      <c r="H12" s="82"/>
      <c r="I12" s="83" t="s">
        <v>43</v>
      </c>
      <c r="J12" s="143">
        <f t="shared" si="0"/>
        <v>0.5</v>
      </c>
    </row>
    <row r="13" spans="1:10" hidden="1" outlineLevel="1" x14ac:dyDescent="0.2">
      <c r="A13" s="74">
        <v>11</v>
      </c>
      <c r="B13" s="81" t="s">
        <v>51</v>
      </c>
      <c r="C13" s="49"/>
      <c r="D13" s="77">
        <v>12.5</v>
      </c>
      <c r="E13" s="77">
        <v>25</v>
      </c>
      <c r="F13" s="77">
        <f t="shared" si="2"/>
        <v>12.5</v>
      </c>
      <c r="G13" s="78" t="s">
        <v>3</v>
      </c>
      <c r="H13" s="82"/>
      <c r="I13" s="83" t="s">
        <v>43</v>
      </c>
      <c r="J13" s="143">
        <f t="shared" si="0"/>
        <v>0.5</v>
      </c>
    </row>
    <row r="14" spans="1:10" hidden="1" outlineLevel="1" x14ac:dyDescent="0.2">
      <c r="A14" s="74">
        <v>12</v>
      </c>
      <c r="B14" s="81" t="s">
        <v>52</v>
      </c>
      <c r="C14" s="49"/>
      <c r="D14" s="77">
        <v>50</v>
      </c>
      <c r="E14" s="77">
        <v>70</v>
      </c>
      <c r="F14" s="77">
        <f t="shared" si="2"/>
        <v>20</v>
      </c>
      <c r="G14" s="78" t="s">
        <v>3</v>
      </c>
      <c r="H14" s="82"/>
      <c r="I14" s="83" t="s">
        <v>43</v>
      </c>
      <c r="J14" s="143">
        <f t="shared" si="0"/>
        <v>0.2857142857142857</v>
      </c>
    </row>
    <row r="15" spans="1:10" hidden="1" outlineLevel="1" x14ac:dyDescent="0.2">
      <c r="A15" s="74">
        <v>13</v>
      </c>
      <c r="B15" s="75" t="s">
        <v>91</v>
      </c>
      <c r="C15" s="49"/>
      <c r="D15" s="77">
        <v>30</v>
      </c>
      <c r="E15" s="77">
        <v>70</v>
      </c>
      <c r="F15" s="77">
        <f t="shared" si="2"/>
        <v>40</v>
      </c>
      <c r="G15" s="78" t="s">
        <v>3</v>
      </c>
      <c r="H15" s="79"/>
      <c r="I15" s="78" t="s">
        <v>43</v>
      </c>
      <c r="J15" s="143">
        <f t="shared" si="0"/>
        <v>0.5714285714285714</v>
      </c>
    </row>
    <row r="16" spans="1:10" hidden="1" outlineLevel="1" x14ac:dyDescent="0.2">
      <c r="A16" s="74">
        <v>14</v>
      </c>
      <c r="B16" s="80" t="s">
        <v>53</v>
      </c>
      <c r="C16" s="49"/>
      <c r="D16" s="77">
        <v>7</v>
      </c>
      <c r="E16" s="77">
        <v>20</v>
      </c>
      <c r="F16" s="77">
        <f t="shared" si="2"/>
        <v>13</v>
      </c>
      <c r="G16" s="78" t="s">
        <v>3</v>
      </c>
      <c r="H16" s="79"/>
      <c r="I16" s="78" t="s">
        <v>43</v>
      </c>
      <c r="J16" s="143">
        <f t="shared" si="0"/>
        <v>0.65</v>
      </c>
    </row>
    <row r="17" spans="1:10" hidden="1" outlineLevel="1" x14ac:dyDescent="0.2">
      <c r="A17" s="74">
        <v>15</v>
      </c>
      <c r="B17" s="80" t="s">
        <v>53</v>
      </c>
      <c r="C17" s="49"/>
      <c r="D17" s="77">
        <v>7</v>
      </c>
      <c r="E17" s="77">
        <v>20</v>
      </c>
      <c r="F17" s="77">
        <f t="shared" si="2"/>
        <v>13</v>
      </c>
      <c r="G17" s="78" t="s">
        <v>3</v>
      </c>
      <c r="H17" s="79"/>
      <c r="I17" s="78" t="s">
        <v>43</v>
      </c>
      <c r="J17" s="143">
        <f t="shared" si="0"/>
        <v>0.65</v>
      </c>
    </row>
    <row r="18" spans="1:10" hidden="1" outlineLevel="1" x14ac:dyDescent="0.2">
      <c r="A18" s="74">
        <v>16</v>
      </c>
      <c r="B18" s="81" t="s">
        <v>55</v>
      </c>
      <c r="C18" s="49"/>
      <c r="D18" s="77">
        <v>0</v>
      </c>
      <c r="E18" s="77">
        <v>430</v>
      </c>
      <c r="F18" s="77">
        <f t="shared" si="2"/>
        <v>430</v>
      </c>
      <c r="G18" s="78" t="s">
        <v>3</v>
      </c>
      <c r="H18" s="82"/>
      <c r="I18" s="83" t="s">
        <v>43</v>
      </c>
      <c r="J18" s="143">
        <f t="shared" si="0"/>
        <v>1</v>
      </c>
    </row>
    <row r="19" spans="1:10" hidden="1" outlineLevel="1" x14ac:dyDescent="0.2">
      <c r="A19" s="74">
        <v>17</v>
      </c>
      <c r="B19" s="81" t="s">
        <v>54</v>
      </c>
      <c r="C19" s="49"/>
      <c r="D19" s="77">
        <v>0</v>
      </c>
      <c r="E19" s="77">
        <v>50</v>
      </c>
      <c r="F19" s="77">
        <f t="shared" si="2"/>
        <v>50</v>
      </c>
      <c r="G19" s="78" t="s">
        <v>3</v>
      </c>
      <c r="H19" s="79"/>
      <c r="I19" s="83" t="s">
        <v>43</v>
      </c>
      <c r="J19" s="143">
        <f t="shared" si="0"/>
        <v>1</v>
      </c>
    </row>
    <row r="20" spans="1:10" hidden="1" outlineLevel="1" x14ac:dyDescent="0.2">
      <c r="A20" s="74">
        <v>18</v>
      </c>
      <c r="B20" s="85" t="s">
        <v>56</v>
      </c>
      <c r="C20" s="49">
        <v>1</v>
      </c>
      <c r="D20" s="86">
        <v>1.8</v>
      </c>
      <c r="E20" s="50">
        <v>1.18</v>
      </c>
      <c r="F20" s="50">
        <v>-0.83240000000000003</v>
      </c>
      <c r="G20" s="78" t="s">
        <v>3</v>
      </c>
      <c r="H20" s="79"/>
      <c r="I20" s="83" t="s">
        <v>107</v>
      </c>
      <c r="J20" s="143">
        <f t="shared" si="0"/>
        <v>-0.70542372881355941</v>
      </c>
    </row>
    <row r="21" spans="1:10" hidden="1" outlineLevel="1" x14ac:dyDescent="0.2">
      <c r="A21" s="74">
        <v>19</v>
      </c>
      <c r="B21" s="85" t="s">
        <v>57</v>
      </c>
      <c r="C21" s="49">
        <v>1</v>
      </c>
      <c r="D21" s="86">
        <v>5</v>
      </c>
      <c r="E21" s="86">
        <v>5.63</v>
      </c>
      <c r="F21" s="50">
        <v>-0.38339999999999996</v>
      </c>
      <c r="G21" s="78" t="s">
        <v>3</v>
      </c>
      <c r="H21" s="82"/>
      <c r="I21" s="83" t="s">
        <v>107</v>
      </c>
      <c r="J21" s="143">
        <f t="shared" si="0"/>
        <v>-6.8099467140319711E-2</v>
      </c>
    </row>
    <row r="22" spans="1:10" hidden="1" outlineLevel="1" x14ac:dyDescent="0.2">
      <c r="A22" s="74">
        <v>20</v>
      </c>
      <c r="B22" s="85" t="s">
        <v>58</v>
      </c>
      <c r="C22" s="49">
        <v>1</v>
      </c>
      <c r="D22" s="86">
        <v>7</v>
      </c>
      <c r="E22" s="86">
        <v>10.199999999999999</v>
      </c>
      <c r="F22" s="50">
        <v>1.3639999999999994</v>
      </c>
      <c r="G22" s="78" t="s">
        <v>3</v>
      </c>
      <c r="H22" s="79"/>
      <c r="I22" s="83" t="s">
        <v>107</v>
      </c>
      <c r="J22" s="143">
        <f t="shared" si="0"/>
        <v>0.13372549019607838</v>
      </c>
    </row>
    <row r="23" spans="1:10" hidden="1" outlineLevel="1" x14ac:dyDescent="0.2">
      <c r="A23" s="74">
        <v>21</v>
      </c>
      <c r="B23" s="85" t="s">
        <v>59</v>
      </c>
      <c r="C23" s="49">
        <v>1</v>
      </c>
      <c r="D23" s="86">
        <v>10</v>
      </c>
      <c r="E23" s="86">
        <v>13.95</v>
      </c>
      <c r="F23" s="50">
        <v>1.4389999999999996</v>
      </c>
      <c r="G23" s="78" t="s">
        <v>3</v>
      </c>
      <c r="H23" s="79"/>
      <c r="I23" s="83" t="s">
        <v>107</v>
      </c>
      <c r="J23" s="143">
        <f t="shared" si="0"/>
        <v>0.10315412186379926</v>
      </c>
    </row>
    <row r="24" spans="1:10" hidden="1" outlineLevel="1" x14ac:dyDescent="0.2">
      <c r="A24" s="74">
        <v>22</v>
      </c>
      <c r="B24" s="85" t="s">
        <v>60</v>
      </c>
      <c r="C24" s="49">
        <v>1</v>
      </c>
      <c r="D24" s="86">
        <v>8</v>
      </c>
      <c r="E24" s="86">
        <v>11.79</v>
      </c>
      <c r="F24" s="50">
        <v>1.6677999999999993</v>
      </c>
      <c r="G24" s="78" t="s">
        <v>3</v>
      </c>
      <c r="H24" s="79"/>
      <c r="I24" s="83" t="s">
        <v>107</v>
      </c>
      <c r="J24" s="143">
        <f t="shared" si="0"/>
        <v>0.14145886344359621</v>
      </c>
    </row>
    <row r="25" spans="1:10" hidden="1" outlineLevel="1" x14ac:dyDescent="0.2">
      <c r="A25" s="74">
        <v>23</v>
      </c>
      <c r="B25" s="85" t="s">
        <v>61</v>
      </c>
      <c r="C25" s="49">
        <v>3</v>
      </c>
      <c r="D25" s="86">
        <v>3</v>
      </c>
      <c r="E25" s="86">
        <v>6.58</v>
      </c>
      <c r="F25" s="50">
        <v>2.3956</v>
      </c>
      <c r="G25" s="78" t="s">
        <v>3</v>
      </c>
      <c r="H25" s="82"/>
      <c r="I25" s="83" t="s">
        <v>107</v>
      </c>
      <c r="J25" s="143">
        <f t="shared" si="0"/>
        <v>0.36407294832826748</v>
      </c>
    </row>
    <row r="26" spans="1:10" hidden="1" outlineLevel="1" x14ac:dyDescent="0.2">
      <c r="A26" s="74">
        <v>24</v>
      </c>
      <c r="B26" s="85" t="s">
        <v>62</v>
      </c>
      <c r="C26" s="49">
        <v>3</v>
      </c>
      <c r="D26" s="86">
        <v>4.8000000000000007</v>
      </c>
      <c r="E26" s="86">
        <v>9.24</v>
      </c>
      <c r="F26" s="50">
        <v>2.7767999999999997</v>
      </c>
      <c r="G26" s="78" t="s">
        <v>3</v>
      </c>
      <c r="H26" s="79"/>
      <c r="I26" s="83" t="s">
        <v>107</v>
      </c>
      <c r="J26" s="143">
        <f t="shared" si="0"/>
        <v>0.30051948051948046</v>
      </c>
    </row>
    <row r="27" spans="1:10" hidden="1" outlineLevel="1" x14ac:dyDescent="0.2">
      <c r="A27" s="74">
        <v>25</v>
      </c>
      <c r="B27" s="85" t="s">
        <v>63</v>
      </c>
      <c r="C27" s="49">
        <v>1</v>
      </c>
      <c r="D27" s="86">
        <v>3</v>
      </c>
      <c r="E27" s="86">
        <v>7.5</v>
      </c>
      <c r="F27" s="50">
        <v>3.1500000000000004</v>
      </c>
      <c r="G27" s="78" t="s">
        <v>3</v>
      </c>
      <c r="H27" s="79"/>
      <c r="I27" s="83" t="s">
        <v>107</v>
      </c>
      <c r="J27" s="143">
        <f t="shared" si="0"/>
        <v>0.42000000000000004</v>
      </c>
    </row>
    <row r="28" spans="1:10" hidden="1" outlineLevel="1" x14ac:dyDescent="0.2">
      <c r="A28" s="74">
        <v>26</v>
      </c>
      <c r="B28" s="85" t="s">
        <v>64</v>
      </c>
      <c r="C28" s="49">
        <v>2</v>
      </c>
      <c r="D28" s="86">
        <v>5</v>
      </c>
      <c r="E28" s="86">
        <v>10</v>
      </c>
      <c r="F28" s="50">
        <v>3.2</v>
      </c>
      <c r="G28" s="78" t="s">
        <v>3</v>
      </c>
      <c r="H28" s="79"/>
      <c r="I28" s="83" t="s">
        <v>107</v>
      </c>
      <c r="J28" s="143">
        <f t="shared" si="0"/>
        <v>0.32</v>
      </c>
    </row>
    <row r="29" spans="1:10" hidden="1" outlineLevel="1" x14ac:dyDescent="0.2">
      <c r="A29" s="74">
        <v>27</v>
      </c>
      <c r="B29" s="85" t="s">
        <v>65</v>
      </c>
      <c r="C29" s="49">
        <v>3</v>
      </c>
      <c r="D29" s="86">
        <v>1.7999999999999998</v>
      </c>
      <c r="E29" s="86">
        <v>7.02</v>
      </c>
      <c r="F29" s="50">
        <v>3.9563999999999999</v>
      </c>
      <c r="G29" s="78" t="s">
        <v>3</v>
      </c>
      <c r="H29" s="82"/>
      <c r="I29" s="83" t="s">
        <v>107</v>
      </c>
      <c r="J29" s="143">
        <f t="shared" si="0"/>
        <v>0.56358974358974356</v>
      </c>
    </row>
    <row r="30" spans="1:10" hidden="1" outlineLevel="1" x14ac:dyDescent="0.2">
      <c r="A30" s="74">
        <v>28</v>
      </c>
      <c r="B30" s="85" t="s">
        <v>66</v>
      </c>
      <c r="C30" s="49">
        <v>1</v>
      </c>
      <c r="D30" s="86">
        <v>9</v>
      </c>
      <c r="E30" s="86">
        <v>15.93</v>
      </c>
      <c r="F30" s="50">
        <v>4.0625999999999998</v>
      </c>
      <c r="G30" s="78" t="s">
        <v>3</v>
      </c>
      <c r="H30" s="82"/>
      <c r="I30" s="83" t="s">
        <v>107</v>
      </c>
      <c r="J30" s="143">
        <f t="shared" si="0"/>
        <v>0.25502824858757062</v>
      </c>
    </row>
    <row r="31" spans="1:10" hidden="1" outlineLevel="1" x14ac:dyDescent="0.2">
      <c r="A31" s="74">
        <v>29</v>
      </c>
      <c r="B31" s="85" t="s">
        <v>67</v>
      </c>
      <c r="C31" s="49">
        <v>2</v>
      </c>
      <c r="D31" s="86">
        <v>3</v>
      </c>
      <c r="E31" s="86">
        <v>9.98</v>
      </c>
      <c r="F31" s="50">
        <v>5.1836000000000002</v>
      </c>
      <c r="G31" s="78" t="s">
        <v>3</v>
      </c>
      <c r="H31" s="79"/>
      <c r="I31" s="83" t="s">
        <v>107</v>
      </c>
      <c r="J31" s="143">
        <f t="shared" si="0"/>
        <v>0.51939879759519036</v>
      </c>
    </row>
    <row r="32" spans="1:10" hidden="1" outlineLevel="1" x14ac:dyDescent="0.2">
      <c r="A32" s="74">
        <v>30</v>
      </c>
      <c r="B32" s="85" t="s">
        <v>68</v>
      </c>
      <c r="C32" s="49">
        <v>1</v>
      </c>
      <c r="D32" s="86">
        <v>7</v>
      </c>
      <c r="E32" s="86">
        <v>14.99</v>
      </c>
      <c r="F32" s="50">
        <v>5.2918000000000003</v>
      </c>
      <c r="G32" s="78" t="s">
        <v>3</v>
      </c>
      <c r="H32" s="82"/>
      <c r="I32" s="83" t="s">
        <v>107</v>
      </c>
      <c r="J32" s="143">
        <f t="shared" si="0"/>
        <v>0.353022014676451</v>
      </c>
    </row>
    <row r="33" spans="1:10" hidden="1" outlineLevel="1" x14ac:dyDescent="0.2">
      <c r="A33" s="74">
        <v>31</v>
      </c>
      <c r="B33" s="85" t="s">
        <v>69</v>
      </c>
      <c r="C33" s="49">
        <v>2</v>
      </c>
      <c r="D33" s="86">
        <v>7</v>
      </c>
      <c r="E33" s="86">
        <v>15</v>
      </c>
      <c r="F33" s="50">
        <v>5.3000000000000007</v>
      </c>
      <c r="G33" s="78" t="s">
        <v>3</v>
      </c>
      <c r="H33" s="82"/>
      <c r="I33" s="83" t="s">
        <v>107</v>
      </c>
      <c r="J33" s="143">
        <f t="shared" si="0"/>
        <v>0.35333333333333339</v>
      </c>
    </row>
    <row r="34" spans="1:10" hidden="1" outlineLevel="1" x14ac:dyDescent="0.2">
      <c r="A34" s="74">
        <v>32</v>
      </c>
      <c r="B34" s="85" t="s">
        <v>70</v>
      </c>
      <c r="C34" s="49">
        <v>1</v>
      </c>
      <c r="D34" s="86">
        <v>7</v>
      </c>
      <c r="E34" s="50">
        <v>16</v>
      </c>
      <c r="F34" s="50">
        <v>6.12</v>
      </c>
      <c r="G34" s="78" t="s">
        <v>3</v>
      </c>
      <c r="H34" s="82"/>
      <c r="I34" s="83" t="s">
        <v>107</v>
      </c>
      <c r="J34" s="143">
        <f t="shared" si="0"/>
        <v>0.38250000000000001</v>
      </c>
    </row>
    <row r="35" spans="1:10" hidden="1" outlineLevel="1" x14ac:dyDescent="0.2">
      <c r="A35" s="74">
        <v>33</v>
      </c>
      <c r="B35" s="85" t="s">
        <v>71</v>
      </c>
      <c r="C35" s="49">
        <v>1</v>
      </c>
      <c r="D35" s="86">
        <v>6</v>
      </c>
      <c r="E35" s="86">
        <v>15</v>
      </c>
      <c r="F35" s="50">
        <v>6.3000000000000007</v>
      </c>
      <c r="G35" s="78" t="s">
        <v>3</v>
      </c>
      <c r="H35" s="79"/>
      <c r="I35" s="83" t="s">
        <v>107</v>
      </c>
      <c r="J35" s="143">
        <f t="shared" si="0"/>
        <v>0.42000000000000004</v>
      </c>
    </row>
    <row r="36" spans="1:10" hidden="1" outlineLevel="1" x14ac:dyDescent="0.2">
      <c r="A36" s="74">
        <v>34</v>
      </c>
      <c r="B36" s="85" t="s">
        <v>72</v>
      </c>
      <c r="C36" s="49">
        <v>1</v>
      </c>
      <c r="D36" s="86">
        <v>12</v>
      </c>
      <c r="E36" s="86">
        <v>22.77</v>
      </c>
      <c r="F36" s="50">
        <v>6.6714000000000002</v>
      </c>
      <c r="G36" s="78" t="s">
        <v>3</v>
      </c>
      <c r="H36" s="82"/>
      <c r="I36" s="83" t="s">
        <v>107</v>
      </c>
      <c r="J36" s="143">
        <f t="shared" si="0"/>
        <v>0.29299077733860346</v>
      </c>
    </row>
    <row r="37" spans="1:10" hidden="1" outlineLevel="1" x14ac:dyDescent="0.2">
      <c r="A37" s="74">
        <v>35</v>
      </c>
      <c r="B37" s="85" t="s">
        <v>73</v>
      </c>
      <c r="C37" s="49">
        <v>1</v>
      </c>
      <c r="D37" s="86">
        <v>10</v>
      </c>
      <c r="E37" s="86">
        <v>20.41</v>
      </c>
      <c r="F37" s="50">
        <v>6.7362000000000002</v>
      </c>
      <c r="G37" s="78" t="s">
        <v>3</v>
      </c>
      <c r="H37" s="82"/>
      <c r="I37" s="83" t="s">
        <v>107</v>
      </c>
      <c r="J37" s="143">
        <f t="shared" si="0"/>
        <v>0.3300440960313572</v>
      </c>
    </row>
    <row r="38" spans="1:10" hidden="1" outlineLevel="1" x14ac:dyDescent="0.2">
      <c r="A38" s="74">
        <v>36</v>
      </c>
      <c r="B38" s="85" t="s">
        <v>74</v>
      </c>
      <c r="C38" s="49">
        <v>2</v>
      </c>
      <c r="D38" s="86">
        <v>12</v>
      </c>
      <c r="E38" s="86">
        <v>23.64</v>
      </c>
      <c r="F38" s="50">
        <v>7.3848000000000003</v>
      </c>
      <c r="G38" s="78" t="s">
        <v>3</v>
      </c>
      <c r="H38" s="82"/>
      <c r="I38" s="83" t="s">
        <v>107</v>
      </c>
      <c r="J38" s="143">
        <f t="shared" si="0"/>
        <v>0.31238578680203044</v>
      </c>
    </row>
    <row r="39" spans="1:10" hidden="1" outlineLevel="1" x14ac:dyDescent="0.2">
      <c r="A39" s="74">
        <v>37</v>
      </c>
      <c r="B39" s="85" t="s">
        <v>75</v>
      </c>
      <c r="C39" s="49">
        <v>1</v>
      </c>
      <c r="D39" s="86">
        <v>9</v>
      </c>
      <c r="E39" s="86">
        <v>20</v>
      </c>
      <c r="F39" s="50">
        <v>7.4</v>
      </c>
      <c r="G39" s="78" t="s">
        <v>3</v>
      </c>
      <c r="H39" s="82"/>
      <c r="I39" s="83" t="s">
        <v>107</v>
      </c>
      <c r="J39" s="143">
        <f t="shared" si="0"/>
        <v>0.37</v>
      </c>
    </row>
    <row r="40" spans="1:10" hidden="1" outlineLevel="1" x14ac:dyDescent="0.2">
      <c r="A40" s="74">
        <v>38</v>
      </c>
      <c r="B40" s="85" t="s">
        <v>76</v>
      </c>
      <c r="C40" s="49">
        <v>3</v>
      </c>
      <c r="D40" s="86">
        <v>36</v>
      </c>
      <c r="E40" s="86">
        <v>55.51</v>
      </c>
      <c r="F40" s="50">
        <v>9.5181999999999984</v>
      </c>
      <c r="G40" s="78" t="s">
        <v>3</v>
      </c>
      <c r="H40" s="82"/>
      <c r="I40" s="83" t="s">
        <v>107</v>
      </c>
      <c r="J40" s="143">
        <f t="shared" si="0"/>
        <v>0.17146820392722029</v>
      </c>
    </row>
    <row r="41" spans="1:10" hidden="1" outlineLevel="1" x14ac:dyDescent="0.2">
      <c r="A41" s="74">
        <v>39</v>
      </c>
      <c r="B41" s="85" t="s">
        <v>77</v>
      </c>
      <c r="C41" s="49">
        <v>7</v>
      </c>
      <c r="D41" s="86">
        <v>7</v>
      </c>
      <c r="E41" s="86">
        <v>20.18</v>
      </c>
      <c r="F41" s="50">
        <v>9.5475999999999992</v>
      </c>
      <c r="G41" s="78" t="s">
        <v>3</v>
      </c>
      <c r="H41" s="82"/>
      <c r="I41" s="83" t="s">
        <v>107</v>
      </c>
      <c r="J41" s="143">
        <f t="shared" si="0"/>
        <v>0.47312190287413275</v>
      </c>
    </row>
    <row r="42" spans="1:10" hidden="1" outlineLevel="1" x14ac:dyDescent="0.2">
      <c r="A42" s="74">
        <v>40</v>
      </c>
      <c r="B42" s="85" t="s">
        <v>78</v>
      </c>
      <c r="C42" s="49">
        <v>1</v>
      </c>
      <c r="D42" s="86">
        <v>15</v>
      </c>
      <c r="E42" s="86">
        <v>30</v>
      </c>
      <c r="F42" s="50">
        <v>9.6000000000000014</v>
      </c>
      <c r="G42" s="78" t="s">
        <v>3</v>
      </c>
      <c r="H42" s="82"/>
      <c r="I42" s="83" t="s">
        <v>107</v>
      </c>
      <c r="J42" s="143">
        <f t="shared" si="0"/>
        <v>0.32000000000000006</v>
      </c>
    </row>
    <row r="43" spans="1:10" hidden="1" outlineLevel="1" x14ac:dyDescent="0.2">
      <c r="A43" s="74">
        <v>41</v>
      </c>
      <c r="B43" s="85" t="s">
        <v>79</v>
      </c>
      <c r="C43" s="49">
        <v>2</v>
      </c>
      <c r="D43" s="86">
        <v>12</v>
      </c>
      <c r="E43" s="50">
        <v>26.42</v>
      </c>
      <c r="F43" s="50">
        <v>9.6644000000000005</v>
      </c>
      <c r="G43" s="78" t="s">
        <v>3</v>
      </c>
      <c r="H43" s="82"/>
      <c r="I43" s="83" t="s">
        <v>107</v>
      </c>
      <c r="J43" s="143">
        <f t="shared" si="0"/>
        <v>0.36579863739591217</v>
      </c>
    </row>
    <row r="44" spans="1:10" hidden="1" outlineLevel="1" x14ac:dyDescent="0.2">
      <c r="A44" s="74">
        <v>42</v>
      </c>
      <c r="B44" s="85" t="s">
        <v>80</v>
      </c>
      <c r="C44" s="49">
        <v>5</v>
      </c>
      <c r="D44" s="86">
        <v>15</v>
      </c>
      <c r="E44" s="86">
        <v>32.479999999999997</v>
      </c>
      <c r="F44" s="50">
        <v>11.633599999999998</v>
      </c>
      <c r="G44" s="78" t="s">
        <v>3</v>
      </c>
      <c r="H44" s="82"/>
      <c r="I44" s="83" t="s">
        <v>107</v>
      </c>
      <c r="J44" s="143">
        <f t="shared" si="0"/>
        <v>0.35817733990147782</v>
      </c>
    </row>
    <row r="45" spans="1:10" hidden="1" outlineLevel="1" x14ac:dyDescent="0.2">
      <c r="A45" s="74">
        <v>43</v>
      </c>
      <c r="B45" s="85" t="s">
        <v>81</v>
      </c>
      <c r="C45" s="49">
        <v>2</v>
      </c>
      <c r="D45" s="86">
        <v>4</v>
      </c>
      <c r="E45" s="86">
        <v>19.899999999999999</v>
      </c>
      <c r="F45" s="50">
        <v>12.318</v>
      </c>
      <c r="G45" s="78" t="s">
        <v>3</v>
      </c>
      <c r="H45" s="82"/>
      <c r="I45" s="83" t="s">
        <v>107</v>
      </c>
      <c r="J45" s="143">
        <f t="shared" si="0"/>
        <v>0.61899497487437194</v>
      </c>
    </row>
    <row r="46" spans="1:10" hidden="1" outlineLevel="1" x14ac:dyDescent="0.2">
      <c r="A46" s="74">
        <v>44</v>
      </c>
      <c r="B46" s="85" t="s">
        <v>82</v>
      </c>
      <c r="C46" s="49">
        <v>2</v>
      </c>
      <c r="D46" s="86">
        <v>16</v>
      </c>
      <c r="E46" s="50">
        <v>35.17</v>
      </c>
      <c r="F46" s="50">
        <v>12.839400000000001</v>
      </c>
      <c r="G46" s="78" t="s">
        <v>3</v>
      </c>
      <c r="H46" s="82"/>
      <c r="I46" s="83" t="s">
        <v>107</v>
      </c>
      <c r="J46" s="143">
        <f t="shared" si="0"/>
        <v>0.36506681831106058</v>
      </c>
    </row>
    <row r="47" spans="1:10" hidden="1" outlineLevel="1" x14ac:dyDescent="0.2">
      <c r="A47" s="74">
        <v>45</v>
      </c>
      <c r="B47" s="85" t="s">
        <v>83</v>
      </c>
      <c r="C47" s="49">
        <v>13</v>
      </c>
      <c r="D47" s="86">
        <v>18.2</v>
      </c>
      <c r="E47" s="86">
        <v>39.14</v>
      </c>
      <c r="F47" s="50">
        <v>13.894800000000002</v>
      </c>
      <c r="G47" s="78" t="s">
        <v>3</v>
      </c>
      <c r="H47" s="82"/>
      <c r="I47" s="83" t="s">
        <v>107</v>
      </c>
      <c r="J47" s="143">
        <f t="shared" si="0"/>
        <v>0.3550025549310169</v>
      </c>
    </row>
    <row r="48" spans="1:10" hidden="1" outlineLevel="1" x14ac:dyDescent="0.2">
      <c r="A48" s="74">
        <v>46</v>
      </c>
      <c r="B48" s="85" t="s">
        <v>84</v>
      </c>
      <c r="C48" s="49">
        <v>5</v>
      </c>
      <c r="D48" s="86">
        <v>25</v>
      </c>
      <c r="E48" s="86">
        <v>48.79</v>
      </c>
      <c r="F48" s="50">
        <v>15.0078</v>
      </c>
      <c r="G48" s="78" t="s">
        <v>3</v>
      </c>
      <c r="H48" s="82"/>
      <c r="I48" s="83" t="s">
        <v>107</v>
      </c>
      <c r="J48" s="143">
        <f t="shared" si="0"/>
        <v>0.30759991801598691</v>
      </c>
    </row>
    <row r="49" spans="1:10" hidden="1" outlineLevel="1" x14ac:dyDescent="0.2">
      <c r="A49" s="74">
        <v>47</v>
      </c>
      <c r="B49" s="85" t="s">
        <v>85</v>
      </c>
      <c r="C49" s="49">
        <v>3</v>
      </c>
      <c r="D49" s="86">
        <v>1.5</v>
      </c>
      <c r="E49" s="86">
        <v>21.19</v>
      </c>
      <c r="F49" s="50">
        <v>15.875800000000002</v>
      </c>
      <c r="G49" s="78" t="s">
        <v>3</v>
      </c>
      <c r="H49" s="82"/>
      <c r="I49" s="83" t="s">
        <v>107</v>
      </c>
      <c r="J49" s="143">
        <f t="shared" si="0"/>
        <v>0.74921189240207653</v>
      </c>
    </row>
    <row r="50" spans="1:10" hidden="1" outlineLevel="1" x14ac:dyDescent="0.2">
      <c r="A50" s="74">
        <v>48</v>
      </c>
      <c r="B50" s="85" t="s">
        <v>86</v>
      </c>
      <c r="C50" s="49">
        <v>2</v>
      </c>
      <c r="D50" s="86">
        <v>12</v>
      </c>
      <c r="E50" s="86">
        <v>34.909999999999997</v>
      </c>
      <c r="F50" s="50">
        <v>16.626199999999997</v>
      </c>
      <c r="G50" s="78" t="s">
        <v>3</v>
      </c>
      <c r="H50" s="82"/>
      <c r="I50" s="83" t="s">
        <v>107</v>
      </c>
      <c r="J50" s="143">
        <f t="shared" si="0"/>
        <v>0.4762589515898023</v>
      </c>
    </row>
    <row r="51" spans="1:10" hidden="1" outlineLevel="1" x14ac:dyDescent="0.2">
      <c r="A51" s="74">
        <v>49</v>
      </c>
      <c r="B51" s="85" t="s">
        <v>87</v>
      </c>
      <c r="C51" s="49">
        <v>1</v>
      </c>
      <c r="D51" s="86">
        <v>5</v>
      </c>
      <c r="E51" s="86">
        <v>26.55</v>
      </c>
      <c r="F51" s="50">
        <v>16.771000000000001</v>
      </c>
      <c r="G51" s="78" t="s">
        <v>3</v>
      </c>
      <c r="H51" s="82"/>
      <c r="I51" s="83" t="s">
        <v>107</v>
      </c>
      <c r="J51" s="143">
        <f t="shared" si="0"/>
        <v>0.63167608286252352</v>
      </c>
    </row>
    <row r="52" spans="1:10" hidden="1" outlineLevel="1" x14ac:dyDescent="0.2">
      <c r="A52" s="74">
        <v>50</v>
      </c>
      <c r="B52" s="85" t="s">
        <v>88</v>
      </c>
      <c r="C52" s="49">
        <v>2</v>
      </c>
      <c r="D52" s="86">
        <v>16</v>
      </c>
      <c r="E52" s="86">
        <v>40</v>
      </c>
      <c r="F52" s="50">
        <v>16.8</v>
      </c>
      <c r="G52" s="78" t="s">
        <v>3</v>
      </c>
      <c r="H52" s="82"/>
      <c r="I52" s="83" t="s">
        <v>107</v>
      </c>
      <c r="J52" s="143">
        <f t="shared" si="0"/>
        <v>0.42000000000000004</v>
      </c>
    </row>
    <row r="53" spans="1:10" hidden="1" outlineLevel="1" x14ac:dyDescent="0.2">
      <c r="A53" s="74">
        <v>51</v>
      </c>
      <c r="B53" s="85" t="s">
        <v>89</v>
      </c>
      <c r="C53" s="49">
        <v>17</v>
      </c>
      <c r="D53" s="86">
        <v>17</v>
      </c>
      <c r="E53" s="86">
        <v>41.68</v>
      </c>
      <c r="F53" s="50">
        <v>17.177599999999998</v>
      </c>
      <c r="G53" s="78" t="s">
        <v>3</v>
      </c>
      <c r="H53" s="82"/>
      <c r="I53" s="83" t="s">
        <v>107</v>
      </c>
      <c r="J53" s="143">
        <f t="shared" si="0"/>
        <v>0.41213051823416502</v>
      </c>
    </row>
    <row r="54" spans="1:10" hidden="1" outlineLevel="1" x14ac:dyDescent="0.2">
      <c r="A54" s="74">
        <v>52</v>
      </c>
      <c r="B54" s="85" t="s">
        <v>90</v>
      </c>
      <c r="C54" s="49">
        <v>3</v>
      </c>
      <c r="D54" s="86">
        <v>18</v>
      </c>
      <c r="E54" s="86">
        <v>42.92</v>
      </c>
      <c r="F54" s="50">
        <v>17.194400000000002</v>
      </c>
      <c r="G54" s="78" t="s">
        <v>3</v>
      </c>
      <c r="H54" s="82"/>
      <c r="I54" s="83" t="s">
        <v>107</v>
      </c>
      <c r="J54" s="143">
        <f t="shared" si="0"/>
        <v>0.4006150978564772</v>
      </c>
    </row>
    <row r="55" spans="1:10" hidden="1" outlineLevel="1" x14ac:dyDescent="0.2">
      <c r="A55" s="74">
        <v>53</v>
      </c>
      <c r="B55" s="85" t="s">
        <v>256</v>
      </c>
      <c r="C55" s="49">
        <v>9</v>
      </c>
      <c r="D55" s="86">
        <v>36</v>
      </c>
      <c r="E55" s="86">
        <v>65.3</v>
      </c>
      <c r="F55" s="50">
        <v>17.545999999999999</v>
      </c>
      <c r="G55" s="78" t="s">
        <v>3</v>
      </c>
      <c r="H55" s="82"/>
      <c r="I55" s="83" t="s">
        <v>107</v>
      </c>
      <c r="J55" s="143">
        <f t="shared" si="0"/>
        <v>0.26869831546707507</v>
      </c>
    </row>
    <row r="56" spans="1:10" hidden="1" outlineLevel="1" x14ac:dyDescent="0.2">
      <c r="A56" s="74">
        <v>54</v>
      </c>
      <c r="B56" s="85" t="s">
        <v>91</v>
      </c>
      <c r="C56" s="49">
        <v>1</v>
      </c>
      <c r="D56" s="86">
        <v>30</v>
      </c>
      <c r="E56" s="86">
        <v>59.14</v>
      </c>
      <c r="F56" s="50">
        <v>18.494800000000001</v>
      </c>
      <c r="G56" s="78" t="s">
        <v>3</v>
      </c>
      <c r="H56" s="82"/>
      <c r="I56" s="83" t="s">
        <v>107</v>
      </c>
      <c r="J56" s="143">
        <f t="shared" si="0"/>
        <v>0.31272911734866421</v>
      </c>
    </row>
    <row r="57" spans="1:10" hidden="1" outlineLevel="1" x14ac:dyDescent="0.2">
      <c r="A57" s="74">
        <v>55</v>
      </c>
      <c r="B57" s="85" t="s">
        <v>92</v>
      </c>
      <c r="C57" s="49">
        <v>3</v>
      </c>
      <c r="D57" s="86">
        <v>30</v>
      </c>
      <c r="E57" s="86">
        <v>60</v>
      </c>
      <c r="F57" s="50">
        <v>19.200000000000003</v>
      </c>
      <c r="G57" s="78" t="s">
        <v>3</v>
      </c>
      <c r="H57" s="82"/>
      <c r="I57" s="83" t="s">
        <v>107</v>
      </c>
      <c r="J57" s="143">
        <f t="shared" si="0"/>
        <v>0.32000000000000006</v>
      </c>
    </row>
    <row r="58" spans="1:10" hidden="1" outlineLevel="1" x14ac:dyDescent="0.2">
      <c r="A58" s="74">
        <v>56</v>
      </c>
      <c r="B58" s="85" t="s">
        <v>93</v>
      </c>
      <c r="C58" s="49">
        <v>1</v>
      </c>
      <c r="D58" s="86">
        <v>50</v>
      </c>
      <c r="E58" s="86">
        <v>90</v>
      </c>
      <c r="F58" s="50">
        <v>23.8</v>
      </c>
      <c r="G58" s="78" t="s">
        <v>3</v>
      </c>
      <c r="H58" s="82"/>
      <c r="I58" s="83" t="s">
        <v>107</v>
      </c>
      <c r="J58" s="143">
        <f t="shared" si="0"/>
        <v>0.26444444444444443</v>
      </c>
    </row>
    <row r="59" spans="1:10" hidden="1" outlineLevel="1" x14ac:dyDescent="0.2">
      <c r="A59" s="74">
        <v>57</v>
      </c>
      <c r="B59" s="85" t="s">
        <v>94</v>
      </c>
      <c r="C59" s="49">
        <v>2</v>
      </c>
      <c r="D59" s="86">
        <v>34</v>
      </c>
      <c r="E59" s="86">
        <v>74.489999999999995</v>
      </c>
      <c r="F59" s="50">
        <v>27.081799999999994</v>
      </c>
      <c r="G59" s="78" t="s">
        <v>3</v>
      </c>
      <c r="H59" s="82"/>
      <c r="I59" s="83" t="s">
        <v>107</v>
      </c>
      <c r="J59" s="143">
        <f t="shared" si="0"/>
        <v>0.36356289434823463</v>
      </c>
    </row>
    <row r="60" spans="1:10" hidden="1" outlineLevel="1" x14ac:dyDescent="0.2">
      <c r="A60" s="74">
        <v>58</v>
      </c>
      <c r="B60" s="85" t="s">
        <v>95</v>
      </c>
      <c r="C60" s="49">
        <v>3</v>
      </c>
      <c r="D60" s="86">
        <v>18</v>
      </c>
      <c r="E60" s="86">
        <v>55.33</v>
      </c>
      <c r="F60" s="50">
        <v>27.3706</v>
      </c>
      <c r="G60" s="78" t="s">
        <v>3</v>
      </c>
      <c r="H60" s="82"/>
      <c r="I60" s="83" t="s">
        <v>107</v>
      </c>
      <c r="J60" s="143">
        <f t="shared" si="0"/>
        <v>0.49467919754202061</v>
      </c>
    </row>
    <row r="61" spans="1:10" hidden="1" outlineLevel="1" x14ac:dyDescent="0.2">
      <c r="A61" s="74">
        <v>59</v>
      </c>
      <c r="B61" s="85" t="s">
        <v>96</v>
      </c>
      <c r="C61" s="49">
        <v>1</v>
      </c>
      <c r="D61" s="86">
        <v>20</v>
      </c>
      <c r="E61" s="50">
        <v>60.42</v>
      </c>
      <c r="F61" s="50">
        <v>29.544400000000003</v>
      </c>
      <c r="G61" s="78" t="s">
        <v>3</v>
      </c>
      <c r="H61" s="82"/>
      <c r="I61" s="83" t="s">
        <v>107</v>
      </c>
      <c r="J61" s="143">
        <f t="shared" si="0"/>
        <v>0.48898378020523009</v>
      </c>
    </row>
    <row r="62" spans="1:10" hidden="1" outlineLevel="1" x14ac:dyDescent="0.2">
      <c r="A62" s="74">
        <v>60</v>
      </c>
      <c r="B62" s="85" t="s">
        <v>97</v>
      </c>
      <c r="C62" s="49">
        <v>8</v>
      </c>
      <c r="D62" s="86">
        <v>24</v>
      </c>
      <c r="E62" s="86">
        <v>80.040000000000006</v>
      </c>
      <c r="F62" s="50">
        <v>41.632800000000003</v>
      </c>
      <c r="G62" s="78" t="s">
        <v>3</v>
      </c>
      <c r="H62" s="82"/>
      <c r="I62" s="83" t="s">
        <v>107</v>
      </c>
      <c r="J62" s="143">
        <f t="shared" si="0"/>
        <v>0.52014992503748125</v>
      </c>
    </row>
    <row r="63" spans="1:10" hidden="1" outlineLevel="1" x14ac:dyDescent="0.2">
      <c r="A63" s="74">
        <v>61</v>
      </c>
      <c r="B63" s="85" t="s">
        <v>98</v>
      </c>
      <c r="C63" s="49">
        <v>2</v>
      </c>
      <c r="D63" s="86">
        <v>14</v>
      </c>
      <c r="E63" s="50">
        <v>69.510000000000005</v>
      </c>
      <c r="F63" s="50">
        <v>42.998200000000004</v>
      </c>
      <c r="G63" s="78" t="s">
        <v>3</v>
      </c>
      <c r="H63" s="82"/>
      <c r="I63" s="83" t="s">
        <v>107</v>
      </c>
      <c r="J63" s="143">
        <f t="shared" si="0"/>
        <v>0.6185901309164149</v>
      </c>
    </row>
    <row r="64" spans="1:10" hidden="1" outlineLevel="1" x14ac:dyDescent="0.2">
      <c r="A64" s="74">
        <v>62</v>
      </c>
      <c r="B64" s="85" t="s">
        <v>99</v>
      </c>
      <c r="C64" s="49">
        <v>23</v>
      </c>
      <c r="D64" s="86">
        <v>80.5</v>
      </c>
      <c r="E64" s="86">
        <v>172.97</v>
      </c>
      <c r="F64" s="50">
        <v>61.3354</v>
      </c>
      <c r="G64" s="78" t="s">
        <v>3</v>
      </c>
      <c r="H64" s="82"/>
      <c r="I64" s="83" t="s">
        <v>107</v>
      </c>
      <c r="J64" s="143">
        <f t="shared" si="0"/>
        <v>0.35460137596114932</v>
      </c>
    </row>
    <row r="65" spans="1:10" hidden="1" outlineLevel="1" x14ac:dyDescent="0.2">
      <c r="A65" s="74">
        <v>63</v>
      </c>
      <c r="B65" s="85" t="s">
        <v>100</v>
      </c>
      <c r="C65" s="49">
        <v>5</v>
      </c>
      <c r="D65" s="86">
        <v>125</v>
      </c>
      <c r="E65" s="86">
        <v>242.7</v>
      </c>
      <c r="F65" s="50">
        <v>74.013999999999996</v>
      </c>
      <c r="G65" s="78" t="s">
        <v>3</v>
      </c>
      <c r="H65" s="82"/>
      <c r="I65" s="83" t="s">
        <v>107</v>
      </c>
      <c r="J65" s="143">
        <f t="shared" si="0"/>
        <v>0.30496085702513392</v>
      </c>
    </row>
    <row r="66" spans="1:10" hidden="1" outlineLevel="1" x14ac:dyDescent="0.2">
      <c r="A66" s="74">
        <v>64</v>
      </c>
      <c r="B66" s="85" t="s">
        <v>101</v>
      </c>
      <c r="C66" s="49">
        <v>11</v>
      </c>
      <c r="D66" s="86">
        <v>71.5</v>
      </c>
      <c r="E66" s="86">
        <v>190.9</v>
      </c>
      <c r="F66" s="50">
        <v>85.038000000000011</v>
      </c>
      <c r="G66" s="78" t="s">
        <v>3</v>
      </c>
      <c r="H66" s="82"/>
      <c r="I66" s="83" t="s">
        <v>107</v>
      </c>
      <c r="J66" s="143">
        <f t="shared" ref="J66:J129" si="3">F66/E66</f>
        <v>0.44545835515976956</v>
      </c>
    </row>
    <row r="67" spans="1:10" hidden="1" outlineLevel="1" x14ac:dyDescent="0.2">
      <c r="A67" s="74">
        <v>65</v>
      </c>
      <c r="B67" s="85" t="s">
        <v>102</v>
      </c>
      <c r="C67" s="49">
        <v>11</v>
      </c>
      <c r="D67" s="86">
        <v>110</v>
      </c>
      <c r="E67" s="86">
        <v>289.36</v>
      </c>
      <c r="F67" s="50">
        <v>127.27520000000001</v>
      </c>
      <c r="G67" s="78" t="s">
        <v>3</v>
      </c>
      <c r="H67" s="82"/>
      <c r="I67" s="83" t="s">
        <v>107</v>
      </c>
      <c r="J67" s="143">
        <f t="shared" si="3"/>
        <v>0.43985070500414708</v>
      </c>
    </row>
    <row r="68" spans="1:10" hidden="1" outlineLevel="1" x14ac:dyDescent="0.2">
      <c r="A68" s="74">
        <v>66</v>
      </c>
      <c r="B68" s="85" t="s">
        <v>103</v>
      </c>
      <c r="C68" s="49">
        <v>24</v>
      </c>
      <c r="D68" s="86">
        <v>168</v>
      </c>
      <c r="E68" s="86">
        <v>426.22</v>
      </c>
      <c r="F68" s="50">
        <v>181.50040000000001</v>
      </c>
      <c r="G68" s="78" t="s">
        <v>3</v>
      </c>
      <c r="H68" s="82"/>
      <c r="I68" s="83" t="s">
        <v>107</v>
      </c>
      <c r="J68" s="143">
        <f t="shared" si="3"/>
        <v>0.42583736098728359</v>
      </c>
    </row>
    <row r="69" spans="1:10" hidden="1" outlineLevel="1" x14ac:dyDescent="0.2">
      <c r="A69" s="74">
        <v>67</v>
      </c>
      <c r="B69" s="85" t="s">
        <v>104</v>
      </c>
      <c r="C69" s="49">
        <v>12</v>
      </c>
      <c r="D69" s="86">
        <v>456</v>
      </c>
      <c r="E69" s="86">
        <v>833.04</v>
      </c>
      <c r="F69" s="50">
        <v>227.09279999999998</v>
      </c>
      <c r="G69" s="78" t="s">
        <v>3</v>
      </c>
      <c r="H69" s="82"/>
      <c r="I69" s="83" t="s">
        <v>107</v>
      </c>
      <c r="J69" s="143">
        <f t="shared" si="3"/>
        <v>0.27260731777585712</v>
      </c>
    </row>
    <row r="70" spans="1:10" hidden="1" outlineLevel="1" x14ac:dyDescent="0.2">
      <c r="A70" s="74">
        <v>68</v>
      </c>
      <c r="B70" s="85" t="s">
        <v>105</v>
      </c>
      <c r="C70" s="49">
        <v>30</v>
      </c>
      <c r="D70" s="86">
        <v>165</v>
      </c>
      <c r="E70" s="86">
        <v>633.63</v>
      </c>
      <c r="F70" s="50">
        <v>354.57659999999998</v>
      </c>
      <c r="G70" s="78" t="s">
        <v>3</v>
      </c>
      <c r="H70" s="82"/>
      <c r="I70" s="83" t="s">
        <v>107</v>
      </c>
      <c r="J70" s="143">
        <f t="shared" si="3"/>
        <v>0.55959566308413422</v>
      </c>
    </row>
    <row r="71" spans="1:10" hidden="1" outlineLevel="1" x14ac:dyDescent="0.2">
      <c r="A71" s="74">
        <v>69</v>
      </c>
      <c r="B71" s="85" t="s">
        <v>260</v>
      </c>
      <c r="C71" s="49">
        <v>426</v>
      </c>
      <c r="D71" s="86">
        <v>426</v>
      </c>
      <c r="E71" s="86">
        <v>1580.15</v>
      </c>
      <c r="F71" s="50">
        <v>1295.723</v>
      </c>
      <c r="G71" s="78" t="s">
        <v>3</v>
      </c>
      <c r="H71" s="82"/>
      <c r="I71" s="83" t="s">
        <v>107</v>
      </c>
      <c r="J71" s="143">
        <f t="shared" si="3"/>
        <v>0.82</v>
      </c>
    </row>
    <row r="72" spans="1:10" hidden="1" outlineLevel="1" x14ac:dyDescent="0.2">
      <c r="A72" s="74">
        <v>70</v>
      </c>
      <c r="B72" s="85" t="s">
        <v>222</v>
      </c>
      <c r="C72" s="49">
        <v>45</v>
      </c>
      <c r="D72" s="86">
        <v>1800</v>
      </c>
      <c r="E72" s="86">
        <v>3059.27</v>
      </c>
      <c r="F72" s="50">
        <v>2508.6014</v>
      </c>
      <c r="G72" s="78" t="s">
        <v>3</v>
      </c>
      <c r="H72" s="82"/>
      <c r="I72" s="83" t="s">
        <v>107</v>
      </c>
      <c r="J72" s="143">
        <f t="shared" si="3"/>
        <v>0.82000000000000006</v>
      </c>
    </row>
    <row r="73" spans="1:10" hidden="1" outlineLevel="1" x14ac:dyDescent="0.2">
      <c r="A73" s="74">
        <v>71</v>
      </c>
      <c r="B73" s="48"/>
      <c r="C73" s="76"/>
      <c r="D73" s="77"/>
      <c r="E73" s="87"/>
      <c r="F73" s="77"/>
      <c r="G73" s="78"/>
      <c r="H73" s="82"/>
      <c r="I73" s="83"/>
      <c r="J73" s="143" t="e">
        <f t="shared" si="3"/>
        <v>#DIV/0!</v>
      </c>
    </row>
    <row r="74" spans="1:10" hidden="1" outlineLevel="1" x14ac:dyDescent="0.2">
      <c r="A74" s="74">
        <v>72</v>
      </c>
      <c r="B74" s="48"/>
      <c r="C74" s="76"/>
      <c r="D74" s="77"/>
      <c r="E74" s="87"/>
      <c r="F74" s="77"/>
      <c r="G74" s="78"/>
      <c r="H74" s="82"/>
      <c r="I74" s="83"/>
      <c r="J74" s="143" t="e">
        <f t="shared" si="3"/>
        <v>#DIV/0!</v>
      </c>
    </row>
    <row r="75" spans="1:10" collapsed="1" x14ac:dyDescent="0.2">
      <c r="A75" s="158" t="s">
        <v>8</v>
      </c>
      <c r="B75" s="159"/>
      <c r="C75" s="160"/>
      <c r="D75" s="69">
        <f>SUM(D76:D139)</f>
        <v>3787.1</v>
      </c>
      <c r="E75" s="69">
        <f>SUM(E76:E136)</f>
        <v>11169.929999999998</v>
      </c>
      <c r="F75" s="69">
        <f>SUM(F76:F136)</f>
        <v>7102.8606</v>
      </c>
      <c r="G75" s="68">
        <f>I75+H75</f>
        <v>458</v>
      </c>
      <c r="H75" s="68">
        <f>SUM(C76:C91)</f>
        <v>23</v>
      </c>
      <c r="I75" s="68">
        <f>SUM(C92:C139)</f>
        <v>435</v>
      </c>
      <c r="J75" s="143">
        <f t="shared" si="3"/>
        <v>0.63589123656101698</v>
      </c>
    </row>
    <row r="76" spans="1:10" hidden="1" outlineLevel="1" x14ac:dyDescent="0.2">
      <c r="A76" s="74">
        <v>1</v>
      </c>
      <c r="B76" s="80" t="s">
        <v>109</v>
      </c>
      <c r="C76" s="78">
        <v>6</v>
      </c>
      <c r="D76" s="77">
        <f>6*18</f>
        <v>108</v>
      </c>
      <c r="E76" s="77">
        <v>210</v>
      </c>
      <c r="F76" s="77">
        <f t="shared" ref="F76:F90" si="4">E76-D76</f>
        <v>102</v>
      </c>
      <c r="G76" s="78" t="s">
        <v>3</v>
      </c>
      <c r="H76" s="82"/>
      <c r="I76" s="83" t="s">
        <v>43</v>
      </c>
      <c r="J76" s="143">
        <f t="shared" si="3"/>
        <v>0.48571428571428571</v>
      </c>
    </row>
    <row r="77" spans="1:10" hidden="1" outlineLevel="1" x14ac:dyDescent="0.2">
      <c r="A77" s="74">
        <v>2</v>
      </c>
      <c r="B77" s="48" t="s">
        <v>110</v>
      </c>
      <c r="C77" s="78">
        <v>1</v>
      </c>
      <c r="D77" s="77">
        <v>4.5</v>
      </c>
      <c r="E77" s="87">
        <v>10</v>
      </c>
      <c r="F77" s="77">
        <f t="shared" si="4"/>
        <v>5.5</v>
      </c>
      <c r="G77" s="78" t="s">
        <v>3</v>
      </c>
      <c r="H77" s="82"/>
      <c r="I77" s="83" t="s">
        <v>43</v>
      </c>
      <c r="J77" s="143">
        <f t="shared" si="3"/>
        <v>0.55000000000000004</v>
      </c>
    </row>
    <row r="78" spans="1:10" hidden="1" outlineLevel="1" x14ac:dyDescent="0.2">
      <c r="A78" s="74">
        <v>3</v>
      </c>
      <c r="B78" s="48" t="s">
        <v>111</v>
      </c>
      <c r="C78" s="78">
        <v>1</v>
      </c>
      <c r="D78" s="77">
        <v>165</v>
      </c>
      <c r="E78" s="87">
        <v>250</v>
      </c>
      <c r="F78" s="77">
        <f t="shared" si="4"/>
        <v>85</v>
      </c>
      <c r="G78" s="78" t="s">
        <v>3</v>
      </c>
      <c r="H78" s="82"/>
      <c r="I78" s="83" t="s">
        <v>43</v>
      </c>
      <c r="J78" s="143">
        <f t="shared" si="3"/>
        <v>0.34</v>
      </c>
    </row>
    <row r="79" spans="1:10" hidden="1" outlineLevel="1" x14ac:dyDescent="0.2">
      <c r="A79" s="74">
        <v>4</v>
      </c>
      <c r="B79" s="81" t="s">
        <v>112</v>
      </c>
      <c r="C79" s="76">
        <v>1</v>
      </c>
      <c r="D79" s="77">
        <v>55</v>
      </c>
      <c r="E79" s="77">
        <v>80</v>
      </c>
      <c r="F79" s="77">
        <f t="shared" si="4"/>
        <v>25</v>
      </c>
      <c r="G79" s="78" t="s">
        <v>3</v>
      </c>
      <c r="H79" s="82"/>
      <c r="I79" s="83" t="s">
        <v>43</v>
      </c>
      <c r="J79" s="143">
        <f t="shared" si="3"/>
        <v>0.3125</v>
      </c>
    </row>
    <row r="80" spans="1:10" hidden="1" outlineLevel="1" x14ac:dyDescent="0.2">
      <c r="A80" s="74">
        <v>5</v>
      </c>
      <c r="B80" s="81" t="s">
        <v>203</v>
      </c>
      <c r="C80" s="76">
        <v>1</v>
      </c>
      <c r="D80" s="77">
        <v>70</v>
      </c>
      <c r="E80" s="77">
        <v>125</v>
      </c>
      <c r="F80" s="77">
        <f t="shared" si="4"/>
        <v>55</v>
      </c>
      <c r="G80" s="78" t="s">
        <v>3</v>
      </c>
      <c r="H80" s="82"/>
      <c r="I80" s="83" t="s">
        <v>43</v>
      </c>
      <c r="J80" s="143">
        <f t="shared" si="3"/>
        <v>0.44</v>
      </c>
    </row>
    <row r="81" spans="1:10" hidden="1" outlineLevel="1" x14ac:dyDescent="0.2">
      <c r="A81" s="74">
        <v>6</v>
      </c>
      <c r="B81" s="81" t="s">
        <v>203</v>
      </c>
      <c r="C81" s="76">
        <v>1</v>
      </c>
      <c r="D81" s="77">
        <v>70</v>
      </c>
      <c r="E81" s="77">
        <v>125</v>
      </c>
      <c r="F81" s="77">
        <f t="shared" si="4"/>
        <v>55</v>
      </c>
      <c r="G81" s="78" t="s">
        <v>3</v>
      </c>
      <c r="H81" s="82"/>
      <c r="I81" s="83" t="s">
        <v>43</v>
      </c>
      <c r="J81" s="143">
        <f t="shared" si="3"/>
        <v>0.44</v>
      </c>
    </row>
    <row r="82" spans="1:10" hidden="1" outlineLevel="1" x14ac:dyDescent="0.2">
      <c r="A82" s="74">
        <v>7</v>
      </c>
      <c r="B82" s="81" t="s">
        <v>113</v>
      </c>
      <c r="C82" s="76">
        <v>1</v>
      </c>
      <c r="D82" s="77">
        <v>35</v>
      </c>
      <c r="E82" s="77">
        <v>60</v>
      </c>
      <c r="F82" s="77">
        <f t="shared" si="4"/>
        <v>25</v>
      </c>
      <c r="G82" s="78" t="s">
        <v>3</v>
      </c>
      <c r="H82" s="82"/>
      <c r="I82" s="83" t="s">
        <v>43</v>
      </c>
      <c r="J82" s="143">
        <f t="shared" si="3"/>
        <v>0.41666666666666669</v>
      </c>
    </row>
    <row r="83" spans="1:10" hidden="1" outlineLevel="1" x14ac:dyDescent="0.2">
      <c r="A83" s="74">
        <v>8</v>
      </c>
      <c r="B83" s="81" t="s">
        <v>114</v>
      </c>
      <c r="C83" s="76">
        <v>1</v>
      </c>
      <c r="D83" s="77">
        <v>9</v>
      </c>
      <c r="E83" s="77">
        <v>30</v>
      </c>
      <c r="F83" s="77">
        <f t="shared" si="4"/>
        <v>21</v>
      </c>
      <c r="G83" s="78" t="s">
        <v>3</v>
      </c>
      <c r="H83" s="82"/>
      <c r="I83" s="83" t="s">
        <v>43</v>
      </c>
      <c r="J83" s="143">
        <f t="shared" si="3"/>
        <v>0.7</v>
      </c>
    </row>
    <row r="84" spans="1:10" hidden="1" outlineLevel="1" x14ac:dyDescent="0.2">
      <c r="A84" s="74">
        <v>9</v>
      </c>
      <c r="B84" s="81" t="s">
        <v>115</v>
      </c>
      <c r="C84" s="76">
        <v>1</v>
      </c>
      <c r="D84" s="77">
        <v>0</v>
      </c>
      <c r="E84" s="77">
        <v>20</v>
      </c>
      <c r="F84" s="77">
        <f t="shared" si="4"/>
        <v>20</v>
      </c>
      <c r="G84" s="78" t="s">
        <v>3</v>
      </c>
      <c r="H84" s="82"/>
      <c r="I84" s="83" t="s">
        <v>43</v>
      </c>
      <c r="J84" s="143">
        <f t="shared" si="3"/>
        <v>1</v>
      </c>
    </row>
    <row r="85" spans="1:10" hidden="1" outlineLevel="1" x14ac:dyDescent="0.2">
      <c r="A85" s="74">
        <v>10</v>
      </c>
      <c r="B85" s="81" t="s">
        <v>54</v>
      </c>
      <c r="C85" s="76">
        <v>1</v>
      </c>
      <c r="D85" s="77">
        <v>0</v>
      </c>
      <c r="E85" s="77">
        <v>60</v>
      </c>
      <c r="F85" s="77">
        <f t="shared" si="4"/>
        <v>60</v>
      </c>
      <c r="G85" s="78" t="s">
        <v>3</v>
      </c>
      <c r="H85" s="82"/>
      <c r="I85" s="83" t="s">
        <v>43</v>
      </c>
      <c r="J85" s="143">
        <f t="shared" si="3"/>
        <v>1</v>
      </c>
    </row>
    <row r="86" spans="1:10" hidden="1" outlineLevel="1" x14ac:dyDescent="0.2">
      <c r="A86" s="74">
        <v>11</v>
      </c>
      <c r="B86" s="81" t="s">
        <v>116</v>
      </c>
      <c r="C86" s="76">
        <v>1</v>
      </c>
      <c r="D86" s="77">
        <v>1380</v>
      </c>
      <c r="E86" s="77">
        <v>1600</v>
      </c>
      <c r="F86" s="77">
        <f t="shared" si="4"/>
        <v>220</v>
      </c>
      <c r="G86" s="78" t="s">
        <v>3</v>
      </c>
      <c r="H86" s="82"/>
      <c r="I86" s="83" t="s">
        <v>43</v>
      </c>
      <c r="J86" s="143">
        <f t="shared" si="3"/>
        <v>0.13750000000000001</v>
      </c>
    </row>
    <row r="87" spans="1:10" hidden="1" outlineLevel="1" collapsed="1" x14ac:dyDescent="0.2">
      <c r="A87" s="74">
        <v>12</v>
      </c>
      <c r="B87" s="80" t="s">
        <v>117</v>
      </c>
      <c r="C87" s="78">
        <v>1</v>
      </c>
      <c r="D87" s="77">
        <v>25</v>
      </c>
      <c r="E87" s="77">
        <v>70</v>
      </c>
      <c r="F87" s="77">
        <f t="shared" si="4"/>
        <v>45</v>
      </c>
      <c r="G87" s="78" t="s">
        <v>3</v>
      </c>
      <c r="H87" s="82"/>
      <c r="I87" s="83" t="s">
        <v>43</v>
      </c>
      <c r="J87" s="143">
        <f t="shared" si="3"/>
        <v>0.6428571428571429</v>
      </c>
    </row>
    <row r="88" spans="1:10" hidden="1" outlineLevel="1" x14ac:dyDescent="0.2">
      <c r="A88" s="74">
        <v>13</v>
      </c>
      <c r="B88" s="80" t="s">
        <v>118</v>
      </c>
      <c r="C88" s="78">
        <v>1</v>
      </c>
      <c r="D88" s="77">
        <v>25</v>
      </c>
      <c r="E88" s="77">
        <v>80</v>
      </c>
      <c r="F88" s="77">
        <f t="shared" si="4"/>
        <v>55</v>
      </c>
      <c r="G88" s="78" t="s">
        <v>3</v>
      </c>
      <c r="H88" s="82"/>
      <c r="I88" s="83" t="s">
        <v>43</v>
      </c>
      <c r="J88" s="143">
        <f t="shared" si="3"/>
        <v>0.6875</v>
      </c>
    </row>
    <row r="89" spans="1:10" hidden="1" outlineLevel="1" x14ac:dyDescent="0.2">
      <c r="A89" s="74">
        <v>14</v>
      </c>
      <c r="B89" s="80" t="s">
        <v>119</v>
      </c>
      <c r="C89" s="78">
        <v>1</v>
      </c>
      <c r="D89" s="77">
        <v>21</v>
      </c>
      <c r="E89" s="77">
        <v>40</v>
      </c>
      <c r="F89" s="77">
        <f t="shared" si="4"/>
        <v>19</v>
      </c>
      <c r="G89" s="78" t="s">
        <v>3</v>
      </c>
      <c r="H89" s="82"/>
      <c r="I89" s="83" t="s">
        <v>43</v>
      </c>
      <c r="J89" s="143">
        <f t="shared" si="3"/>
        <v>0.47499999999999998</v>
      </c>
    </row>
    <row r="90" spans="1:10" hidden="1" outlineLevel="1" x14ac:dyDescent="0.2">
      <c r="A90" s="74">
        <v>15</v>
      </c>
      <c r="B90" s="80" t="s">
        <v>120</v>
      </c>
      <c r="C90" s="78">
        <v>1</v>
      </c>
      <c r="D90" s="77">
        <v>15</v>
      </c>
      <c r="E90" s="77">
        <v>30</v>
      </c>
      <c r="F90" s="77">
        <f t="shared" si="4"/>
        <v>15</v>
      </c>
      <c r="G90" s="78" t="s">
        <v>3</v>
      </c>
      <c r="H90" s="82"/>
      <c r="I90" s="83" t="s">
        <v>43</v>
      </c>
      <c r="J90" s="143">
        <f t="shared" si="3"/>
        <v>0.5</v>
      </c>
    </row>
    <row r="91" spans="1:10" hidden="1" outlineLevel="1" x14ac:dyDescent="0.2">
      <c r="A91" s="74">
        <v>16</v>
      </c>
      <c r="B91" s="80" t="s">
        <v>129</v>
      </c>
      <c r="C91" s="78">
        <v>3</v>
      </c>
      <c r="D91" s="77">
        <f>85*3</f>
        <v>255</v>
      </c>
      <c r="E91" s="77">
        <v>380</v>
      </c>
      <c r="F91" s="77">
        <f>E91-D91</f>
        <v>125</v>
      </c>
      <c r="G91" s="78" t="s">
        <v>3</v>
      </c>
      <c r="H91" s="82"/>
      <c r="I91" s="83" t="s">
        <v>43</v>
      </c>
      <c r="J91" s="143">
        <f t="shared" si="3"/>
        <v>0.32894736842105265</v>
      </c>
    </row>
    <row r="92" spans="1:10" hidden="1" outlineLevel="1" x14ac:dyDescent="0.2">
      <c r="A92" s="74">
        <v>17</v>
      </c>
      <c r="B92" s="80" t="s">
        <v>101</v>
      </c>
      <c r="C92" s="82">
        <v>6</v>
      </c>
      <c r="D92" s="50">
        <v>36</v>
      </c>
      <c r="E92" s="50">
        <v>90</v>
      </c>
      <c r="F92" s="77">
        <v>68.88</v>
      </c>
      <c r="G92" s="78" t="s">
        <v>3</v>
      </c>
      <c r="H92" s="82"/>
      <c r="I92" s="83" t="s">
        <v>107</v>
      </c>
      <c r="J92" s="143">
        <f t="shared" si="3"/>
        <v>0.76533333333333331</v>
      </c>
    </row>
    <row r="93" spans="1:10" hidden="1" outlineLevel="1" x14ac:dyDescent="0.2">
      <c r="A93" s="74">
        <v>18</v>
      </c>
      <c r="B93" s="80" t="s">
        <v>58</v>
      </c>
      <c r="C93" s="82">
        <v>1</v>
      </c>
      <c r="D93" s="50">
        <v>7</v>
      </c>
      <c r="E93" s="50">
        <v>13.72</v>
      </c>
      <c r="F93" s="77">
        <v>5.5103999999999997</v>
      </c>
      <c r="G93" s="78" t="s">
        <v>3</v>
      </c>
      <c r="H93" s="82"/>
      <c r="I93" s="83" t="s">
        <v>107</v>
      </c>
      <c r="J93" s="143">
        <f t="shared" si="3"/>
        <v>0.40163265306122448</v>
      </c>
    </row>
    <row r="94" spans="1:10" hidden="1" outlineLevel="1" x14ac:dyDescent="0.2">
      <c r="A94" s="74">
        <v>19</v>
      </c>
      <c r="B94" s="80" t="s">
        <v>99</v>
      </c>
      <c r="C94" s="82">
        <v>7</v>
      </c>
      <c r="D94" s="50">
        <v>21</v>
      </c>
      <c r="E94" s="50">
        <v>260.77999999999997</v>
      </c>
      <c r="F94" s="77">
        <v>211.37959999999998</v>
      </c>
      <c r="G94" s="78" t="s">
        <v>3</v>
      </c>
      <c r="H94" s="82"/>
      <c r="I94" s="83" t="s">
        <v>107</v>
      </c>
      <c r="J94" s="143">
        <f t="shared" si="3"/>
        <v>0.81056676125469751</v>
      </c>
    </row>
    <row r="95" spans="1:10" hidden="1" outlineLevel="1" x14ac:dyDescent="0.2">
      <c r="A95" s="74">
        <v>20</v>
      </c>
      <c r="B95" s="80" t="s">
        <v>104</v>
      </c>
      <c r="C95" s="82">
        <v>3</v>
      </c>
      <c r="D95" s="50">
        <v>114</v>
      </c>
      <c r="E95" s="50">
        <v>205.57</v>
      </c>
      <c r="F95" s="77">
        <v>137.4074</v>
      </c>
      <c r="G95" s="78" t="s">
        <v>3</v>
      </c>
      <c r="H95" s="82"/>
      <c r="I95" s="83" t="s">
        <v>107</v>
      </c>
      <c r="J95" s="143">
        <f t="shared" si="3"/>
        <v>0.66842146227562382</v>
      </c>
    </row>
    <row r="96" spans="1:10" hidden="1" outlineLevel="1" x14ac:dyDescent="0.2">
      <c r="A96" s="74">
        <v>21</v>
      </c>
      <c r="B96" s="80" t="s">
        <v>80</v>
      </c>
      <c r="C96" s="82">
        <v>2</v>
      </c>
      <c r="D96" s="50">
        <v>6</v>
      </c>
      <c r="E96" s="50">
        <v>20.83</v>
      </c>
      <c r="F96" s="77">
        <v>14.6206</v>
      </c>
      <c r="G96" s="78" t="s">
        <v>3</v>
      </c>
      <c r="H96" s="82"/>
      <c r="I96" s="83" t="s">
        <v>107</v>
      </c>
      <c r="J96" s="143">
        <f t="shared" si="3"/>
        <v>0.70190110417666829</v>
      </c>
    </row>
    <row r="97" spans="1:10" hidden="1" outlineLevel="1" x14ac:dyDescent="0.2">
      <c r="A97" s="74">
        <v>22</v>
      </c>
      <c r="B97" s="80" t="s">
        <v>65</v>
      </c>
      <c r="C97" s="82">
        <v>2</v>
      </c>
      <c r="D97" s="50">
        <v>2</v>
      </c>
      <c r="E97" s="50">
        <v>4.5</v>
      </c>
      <c r="F97" s="77">
        <v>2.87</v>
      </c>
      <c r="G97" s="78" t="s">
        <v>3</v>
      </c>
      <c r="H97" s="82"/>
      <c r="I97" s="83" t="s">
        <v>107</v>
      </c>
      <c r="J97" s="143">
        <f t="shared" si="3"/>
        <v>0.63777777777777778</v>
      </c>
    </row>
    <row r="98" spans="1:10" hidden="1" outlineLevel="1" x14ac:dyDescent="0.2">
      <c r="A98" s="74">
        <v>23</v>
      </c>
      <c r="B98" s="80" t="s">
        <v>245</v>
      </c>
      <c r="C98" s="82">
        <v>1</v>
      </c>
      <c r="D98" s="50">
        <v>40</v>
      </c>
      <c r="E98" s="50">
        <v>57.26</v>
      </c>
      <c r="F98" s="77">
        <v>14.153199999999998</v>
      </c>
      <c r="G98" s="78" t="s">
        <v>3</v>
      </c>
      <c r="H98" s="82"/>
      <c r="I98" s="83" t="s">
        <v>107</v>
      </c>
      <c r="J98" s="143">
        <f t="shared" si="3"/>
        <v>0.24717429269996505</v>
      </c>
    </row>
    <row r="99" spans="1:10" hidden="1" outlineLevel="1" x14ac:dyDescent="0.2">
      <c r="A99" s="74">
        <v>24</v>
      </c>
      <c r="B99" s="80" t="s">
        <v>77</v>
      </c>
      <c r="C99" s="82">
        <v>5</v>
      </c>
      <c r="D99" s="50">
        <v>5</v>
      </c>
      <c r="E99" s="50">
        <v>11.25</v>
      </c>
      <c r="F99" s="77">
        <v>8.4049999999999994</v>
      </c>
      <c r="G99" s="78" t="s">
        <v>3</v>
      </c>
      <c r="H99" s="82"/>
      <c r="I99" s="83" t="s">
        <v>107</v>
      </c>
      <c r="J99" s="143">
        <f t="shared" si="3"/>
        <v>0.74711111111111106</v>
      </c>
    </row>
    <row r="100" spans="1:10" hidden="1" outlineLevel="1" x14ac:dyDescent="0.2">
      <c r="A100" s="74">
        <v>25</v>
      </c>
      <c r="B100" s="80" t="s">
        <v>121</v>
      </c>
      <c r="C100" s="82">
        <v>2</v>
      </c>
      <c r="D100" s="50">
        <v>24</v>
      </c>
      <c r="E100" s="50">
        <v>81.89</v>
      </c>
      <c r="F100" s="77">
        <v>57.309800000000003</v>
      </c>
      <c r="G100" s="78" t="s">
        <v>3</v>
      </c>
      <c r="H100" s="82"/>
      <c r="I100" s="83" t="s">
        <v>107</v>
      </c>
      <c r="J100" s="143">
        <f t="shared" si="3"/>
        <v>0.69983880815728416</v>
      </c>
    </row>
    <row r="101" spans="1:10" hidden="1" outlineLevel="1" x14ac:dyDescent="0.2">
      <c r="A101" s="74">
        <v>26</v>
      </c>
      <c r="B101" s="80" t="s">
        <v>95</v>
      </c>
      <c r="C101" s="82">
        <v>1</v>
      </c>
      <c r="D101" s="50">
        <v>6</v>
      </c>
      <c r="E101" s="50">
        <v>20</v>
      </c>
      <c r="F101" s="77">
        <v>11.48</v>
      </c>
      <c r="G101" s="78" t="s">
        <v>3</v>
      </c>
      <c r="H101" s="82"/>
      <c r="I101" s="83" t="s">
        <v>107</v>
      </c>
      <c r="J101" s="143">
        <f t="shared" si="3"/>
        <v>0.57400000000000007</v>
      </c>
    </row>
    <row r="102" spans="1:10" hidden="1" outlineLevel="1" x14ac:dyDescent="0.2">
      <c r="A102" s="74">
        <v>27</v>
      </c>
      <c r="B102" s="80" t="s">
        <v>85</v>
      </c>
      <c r="C102" s="82">
        <v>2</v>
      </c>
      <c r="D102" s="50">
        <v>1</v>
      </c>
      <c r="E102" s="50">
        <v>21.34</v>
      </c>
      <c r="F102" s="77">
        <v>17.088799999999999</v>
      </c>
      <c r="G102" s="78" t="s">
        <v>3</v>
      </c>
      <c r="H102" s="82"/>
      <c r="I102" s="83" t="s">
        <v>107</v>
      </c>
      <c r="J102" s="143">
        <f t="shared" si="3"/>
        <v>0.80078725398313022</v>
      </c>
    </row>
    <row r="103" spans="1:10" hidden="1" outlineLevel="1" x14ac:dyDescent="0.2">
      <c r="A103" s="74">
        <v>28</v>
      </c>
      <c r="B103" s="80" t="s">
        <v>62</v>
      </c>
      <c r="C103" s="82">
        <v>1</v>
      </c>
      <c r="D103" s="50">
        <v>1.6</v>
      </c>
      <c r="E103" s="50">
        <v>6.6</v>
      </c>
      <c r="F103" s="77">
        <v>4.0999999999999996</v>
      </c>
      <c r="G103" s="78" t="s">
        <v>3</v>
      </c>
      <c r="H103" s="82"/>
      <c r="I103" s="83" t="s">
        <v>107</v>
      </c>
      <c r="J103" s="143">
        <f t="shared" si="3"/>
        <v>0.62121212121212122</v>
      </c>
    </row>
    <row r="104" spans="1:10" hidden="1" outlineLevel="1" x14ac:dyDescent="0.2">
      <c r="A104" s="74">
        <v>29</v>
      </c>
      <c r="B104" s="80" t="s">
        <v>246</v>
      </c>
      <c r="C104" s="82">
        <v>2</v>
      </c>
      <c r="D104" s="50">
        <v>24</v>
      </c>
      <c r="E104" s="50">
        <v>69.7</v>
      </c>
      <c r="F104" s="77">
        <v>47.314</v>
      </c>
      <c r="G104" s="78" t="s">
        <v>3</v>
      </c>
      <c r="H104" s="82"/>
      <c r="I104" s="83" t="s">
        <v>107</v>
      </c>
      <c r="J104" s="143">
        <f t="shared" si="3"/>
        <v>0.67882352941176471</v>
      </c>
    </row>
    <row r="105" spans="1:10" hidden="1" outlineLevel="1" x14ac:dyDescent="0.2">
      <c r="A105" s="74">
        <v>30</v>
      </c>
      <c r="B105" s="80" t="s">
        <v>221</v>
      </c>
      <c r="C105" s="82">
        <v>2</v>
      </c>
      <c r="D105" s="50">
        <v>70</v>
      </c>
      <c r="E105" s="50">
        <v>130.34</v>
      </c>
      <c r="F105" s="77">
        <v>78.178799999999995</v>
      </c>
      <c r="G105" s="78" t="s">
        <v>3</v>
      </c>
      <c r="H105" s="82"/>
      <c r="I105" s="83" t="s">
        <v>107</v>
      </c>
      <c r="J105" s="143">
        <f t="shared" si="3"/>
        <v>0.59980665950590761</v>
      </c>
    </row>
    <row r="106" spans="1:10" hidden="1" outlineLevel="1" x14ac:dyDescent="0.2">
      <c r="A106" s="74">
        <v>31</v>
      </c>
      <c r="B106" s="80" t="s">
        <v>79</v>
      </c>
      <c r="C106" s="82">
        <v>1</v>
      </c>
      <c r="D106" s="50">
        <v>6</v>
      </c>
      <c r="E106" s="50">
        <v>10</v>
      </c>
      <c r="F106" s="77">
        <v>3.2800000000000002</v>
      </c>
      <c r="G106" s="78" t="s">
        <v>3</v>
      </c>
      <c r="H106" s="82"/>
      <c r="I106" s="83" t="s">
        <v>107</v>
      </c>
      <c r="J106" s="143">
        <f t="shared" si="3"/>
        <v>0.32800000000000001</v>
      </c>
    </row>
    <row r="107" spans="1:10" hidden="1" outlineLevel="1" x14ac:dyDescent="0.2">
      <c r="A107" s="74">
        <v>32</v>
      </c>
      <c r="B107" s="80" t="s">
        <v>247</v>
      </c>
      <c r="C107" s="82">
        <v>1</v>
      </c>
      <c r="D107" s="50">
        <v>2</v>
      </c>
      <c r="E107" s="50">
        <v>14.07</v>
      </c>
      <c r="F107" s="77">
        <v>9.8974000000000011</v>
      </c>
      <c r="G107" s="78" t="s">
        <v>3</v>
      </c>
      <c r="H107" s="82"/>
      <c r="I107" s="83" t="s">
        <v>107</v>
      </c>
      <c r="J107" s="143">
        <f t="shared" si="3"/>
        <v>0.70343994314143576</v>
      </c>
    </row>
    <row r="108" spans="1:10" hidden="1" outlineLevel="1" x14ac:dyDescent="0.2">
      <c r="A108" s="74">
        <v>33</v>
      </c>
      <c r="B108" s="80" t="s">
        <v>248</v>
      </c>
      <c r="C108" s="82">
        <v>1</v>
      </c>
      <c r="D108" s="50">
        <v>6</v>
      </c>
      <c r="E108" s="50">
        <v>12</v>
      </c>
      <c r="F108" s="77">
        <v>4.92</v>
      </c>
      <c r="G108" s="78" t="s">
        <v>3</v>
      </c>
      <c r="H108" s="82"/>
      <c r="I108" s="83" t="s">
        <v>107</v>
      </c>
      <c r="J108" s="143">
        <f t="shared" si="3"/>
        <v>0.41</v>
      </c>
    </row>
    <row r="109" spans="1:10" hidden="1" outlineLevel="1" x14ac:dyDescent="0.2">
      <c r="A109" s="74">
        <v>34</v>
      </c>
      <c r="B109" s="80" t="s">
        <v>122</v>
      </c>
      <c r="C109" s="82">
        <v>1</v>
      </c>
      <c r="D109" s="50">
        <v>2</v>
      </c>
      <c r="E109" s="50">
        <v>5.47</v>
      </c>
      <c r="F109" s="77">
        <v>2.8453999999999997</v>
      </c>
      <c r="G109" s="78" t="s">
        <v>3</v>
      </c>
      <c r="H109" s="82"/>
      <c r="I109" s="83" t="s">
        <v>107</v>
      </c>
      <c r="J109" s="143">
        <f t="shared" si="3"/>
        <v>0.52018281535648991</v>
      </c>
    </row>
    <row r="110" spans="1:10" hidden="1" outlineLevel="1" x14ac:dyDescent="0.2">
      <c r="A110" s="74">
        <v>35</v>
      </c>
      <c r="B110" s="80" t="s">
        <v>249</v>
      </c>
      <c r="C110" s="82">
        <v>1</v>
      </c>
      <c r="D110" s="50">
        <v>15</v>
      </c>
      <c r="E110" s="50">
        <v>54.85</v>
      </c>
      <c r="F110" s="77">
        <v>32.677</v>
      </c>
      <c r="G110" s="78" t="s">
        <v>3</v>
      </c>
      <c r="H110" s="82"/>
      <c r="I110" s="83" t="s">
        <v>107</v>
      </c>
      <c r="J110" s="143">
        <f t="shared" si="3"/>
        <v>0.59575205104831352</v>
      </c>
    </row>
    <row r="111" spans="1:10" hidden="1" outlineLevel="1" x14ac:dyDescent="0.2">
      <c r="A111" s="74">
        <v>36</v>
      </c>
      <c r="B111" s="80" t="s">
        <v>90</v>
      </c>
      <c r="C111" s="82">
        <v>1</v>
      </c>
      <c r="D111" s="50">
        <v>6</v>
      </c>
      <c r="E111" s="50">
        <v>18.54</v>
      </c>
      <c r="F111" s="77">
        <v>10.2828</v>
      </c>
      <c r="G111" s="78" t="s">
        <v>3</v>
      </c>
      <c r="H111" s="82"/>
      <c r="I111" s="83" t="s">
        <v>107</v>
      </c>
      <c r="J111" s="143">
        <f t="shared" si="3"/>
        <v>0.55462783171521035</v>
      </c>
    </row>
    <row r="112" spans="1:10" hidden="1" outlineLevel="1" x14ac:dyDescent="0.2">
      <c r="A112" s="74">
        <v>37</v>
      </c>
      <c r="B112" s="80" t="s">
        <v>250</v>
      </c>
      <c r="C112" s="82">
        <v>2</v>
      </c>
      <c r="D112" s="50">
        <v>10</v>
      </c>
      <c r="E112" s="50">
        <v>27.5</v>
      </c>
      <c r="F112" s="77">
        <v>18.45</v>
      </c>
      <c r="G112" s="78" t="s">
        <v>3</v>
      </c>
      <c r="H112" s="82"/>
      <c r="I112" s="83" t="s">
        <v>107</v>
      </c>
      <c r="J112" s="143">
        <f t="shared" si="3"/>
        <v>0.6709090909090909</v>
      </c>
    </row>
    <row r="113" spans="1:10" hidden="1" outlineLevel="1" x14ac:dyDescent="0.2">
      <c r="A113" s="74">
        <v>38</v>
      </c>
      <c r="B113" s="80" t="s">
        <v>123</v>
      </c>
      <c r="C113" s="82">
        <v>1</v>
      </c>
      <c r="D113" s="50">
        <v>6</v>
      </c>
      <c r="E113" s="50">
        <v>20</v>
      </c>
      <c r="F113" s="77">
        <v>11.48</v>
      </c>
      <c r="G113" s="78" t="s">
        <v>3</v>
      </c>
      <c r="H113" s="82"/>
      <c r="I113" s="83" t="s">
        <v>107</v>
      </c>
      <c r="J113" s="143">
        <f t="shared" si="3"/>
        <v>0.57400000000000007</v>
      </c>
    </row>
    <row r="114" spans="1:10" hidden="1" outlineLevel="1" x14ac:dyDescent="0.2">
      <c r="A114" s="74">
        <v>40</v>
      </c>
      <c r="B114" s="80" t="s">
        <v>262</v>
      </c>
      <c r="C114" s="82">
        <v>58</v>
      </c>
      <c r="D114" s="50">
        <v>304</v>
      </c>
      <c r="E114" s="50">
        <v>4184.5199999999995</v>
      </c>
      <c r="F114" s="77">
        <v>3395.2264</v>
      </c>
      <c r="G114" s="78" t="s">
        <v>3</v>
      </c>
      <c r="H114" s="82"/>
      <c r="I114" s="83" t="s">
        <v>107</v>
      </c>
      <c r="J114" s="143">
        <f t="shared" si="3"/>
        <v>0.81137774463976764</v>
      </c>
    </row>
    <row r="115" spans="1:10" hidden="1" outlineLevel="1" x14ac:dyDescent="0.2">
      <c r="A115" s="74">
        <v>41</v>
      </c>
      <c r="B115" s="80" t="s">
        <v>68</v>
      </c>
      <c r="C115" s="82">
        <v>1</v>
      </c>
      <c r="D115" s="50">
        <v>7</v>
      </c>
      <c r="E115" s="50">
        <v>11.82</v>
      </c>
      <c r="F115" s="77">
        <v>3.9524000000000004</v>
      </c>
      <c r="G115" s="78" t="s">
        <v>3</v>
      </c>
      <c r="H115" s="82"/>
      <c r="I115" s="83" t="s">
        <v>107</v>
      </c>
      <c r="J115" s="143">
        <f t="shared" si="3"/>
        <v>0.33438240270727582</v>
      </c>
    </row>
    <row r="116" spans="1:10" hidden="1" outlineLevel="1" x14ac:dyDescent="0.2">
      <c r="A116" s="74">
        <v>42</v>
      </c>
      <c r="B116" s="80" t="s">
        <v>251</v>
      </c>
      <c r="C116" s="82">
        <v>1</v>
      </c>
      <c r="D116" s="50">
        <v>4</v>
      </c>
      <c r="E116" s="50">
        <v>11.34</v>
      </c>
      <c r="F116" s="77">
        <v>6.0187999999999997</v>
      </c>
      <c r="G116" s="78" t="s">
        <v>3</v>
      </c>
      <c r="H116" s="82"/>
      <c r="I116" s="83" t="s">
        <v>107</v>
      </c>
      <c r="J116" s="143">
        <f t="shared" si="3"/>
        <v>0.53075837742504406</v>
      </c>
    </row>
    <row r="117" spans="1:10" hidden="1" outlineLevel="1" x14ac:dyDescent="0.2">
      <c r="A117" s="74">
        <v>43</v>
      </c>
      <c r="B117" s="80" t="s">
        <v>252</v>
      </c>
      <c r="C117" s="82">
        <v>2</v>
      </c>
      <c r="D117" s="50">
        <v>30</v>
      </c>
      <c r="E117" s="50">
        <v>55.56</v>
      </c>
      <c r="F117" s="77">
        <v>33.2592</v>
      </c>
      <c r="G117" s="78" t="s">
        <v>3</v>
      </c>
      <c r="H117" s="82"/>
      <c r="I117" s="83" t="s">
        <v>107</v>
      </c>
      <c r="J117" s="143">
        <f t="shared" si="3"/>
        <v>0.59861771058315327</v>
      </c>
    </row>
    <row r="118" spans="1:10" hidden="1" outlineLevel="1" x14ac:dyDescent="0.2">
      <c r="A118" s="74">
        <v>44</v>
      </c>
      <c r="B118" s="80" t="s">
        <v>253</v>
      </c>
      <c r="C118" s="82">
        <v>1</v>
      </c>
      <c r="D118" s="50">
        <v>2</v>
      </c>
      <c r="E118" s="50">
        <v>4.54</v>
      </c>
      <c r="F118" s="77">
        <v>2.0828000000000002</v>
      </c>
      <c r="G118" s="78" t="s">
        <v>3</v>
      </c>
      <c r="H118" s="82"/>
      <c r="I118" s="83" t="s">
        <v>107</v>
      </c>
      <c r="J118" s="143">
        <f t="shared" si="3"/>
        <v>0.45876651982378858</v>
      </c>
    </row>
    <row r="119" spans="1:10" hidden="1" outlineLevel="1" x14ac:dyDescent="0.2">
      <c r="A119" s="74">
        <v>45</v>
      </c>
      <c r="B119" s="80" t="s">
        <v>254</v>
      </c>
      <c r="C119" s="82">
        <v>5</v>
      </c>
      <c r="D119" s="50">
        <v>125</v>
      </c>
      <c r="E119" s="50">
        <v>117.88</v>
      </c>
      <c r="F119" s="77">
        <v>76.161599999999993</v>
      </c>
      <c r="G119" s="78" t="s">
        <v>3</v>
      </c>
      <c r="H119" s="82"/>
      <c r="I119" s="83" t="s">
        <v>107</v>
      </c>
      <c r="J119" s="143">
        <f t="shared" si="3"/>
        <v>0.64609433322022392</v>
      </c>
    </row>
    <row r="120" spans="1:10" hidden="1" outlineLevel="1" x14ac:dyDescent="0.2">
      <c r="A120" s="74">
        <v>46</v>
      </c>
      <c r="B120" s="80" t="s">
        <v>255</v>
      </c>
      <c r="C120" s="82">
        <v>1</v>
      </c>
      <c r="D120" s="50">
        <v>50</v>
      </c>
      <c r="E120" s="50">
        <v>100</v>
      </c>
      <c r="F120" s="77">
        <v>41</v>
      </c>
      <c r="G120" s="78" t="s">
        <v>3</v>
      </c>
      <c r="H120" s="82"/>
      <c r="I120" s="83" t="s">
        <v>107</v>
      </c>
      <c r="J120" s="143">
        <f t="shared" si="3"/>
        <v>0.41</v>
      </c>
    </row>
    <row r="121" spans="1:10" hidden="1" outlineLevel="1" x14ac:dyDescent="0.2">
      <c r="A121" s="74">
        <v>47</v>
      </c>
      <c r="B121" s="80" t="s">
        <v>125</v>
      </c>
      <c r="C121" s="82">
        <v>1</v>
      </c>
      <c r="D121" s="50">
        <v>10</v>
      </c>
      <c r="E121" s="50">
        <v>18.57</v>
      </c>
      <c r="F121" s="77">
        <v>7.0274000000000001</v>
      </c>
      <c r="G121" s="78" t="s">
        <v>3</v>
      </c>
      <c r="H121" s="82"/>
      <c r="I121" s="83" t="s">
        <v>107</v>
      </c>
      <c r="J121" s="143">
        <f t="shared" si="3"/>
        <v>0.37842757135164246</v>
      </c>
    </row>
    <row r="122" spans="1:10" hidden="1" outlineLevel="1" x14ac:dyDescent="0.2">
      <c r="A122" s="74">
        <v>48</v>
      </c>
      <c r="B122" s="80" t="s">
        <v>76</v>
      </c>
      <c r="C122" s="82">
        <v>1</v>
      </c>
      <c r="D122" s="50">
        <v>12</v>
      </c>
      <c r="E122" s="50">
        <v>18.75</v>
      </c>
      <c r="F122" s="77">
        <v>5.5350000000000001</v>
      </c>
      <c r="G122" s="78" t="s">
        <v>3</v>
      </c>
      <c r="H122" s="82"/>
      <c r="I122" s="83" t="s">
        <v>107</v>
      </c>
      <c r="J122" s="143">
        <f t="shared" si="3"/>
        <v>0.29520000000000002</v>
      </c>
    </row>
    <row r="123" spans="1:10" hidden="1" outlineLevel="1" x14ac:dyDescent="0.2">
      <c r="A123" s="74">
        <v>49</v>
      </c>
      <c r="B123" s="80" t="s">
        <v>256</v>
      </c>
      <c r="C123" s="82">
        <v>18</v>
      </c>
      <c r="D123" s="50">
        <v>72</v>
      </c>
      <c r="E123" s="50">
        <v>152.26</v>
      </c>
      <c r="F123" s="77">
        <v>121.57319999999999</v>
      </c>
      <c r="G123" s="78" t="s">
        <v>3</v>
      </c>
      <c r="H123" s="82"/>
      <c r="I123" s="83" t="s">
        <v>107</v>
      </c>
      <c r="J123" s="143">
        <f t="shared" si="3"/>
        <v>0.79845790095888602</v>
      </c>
    </row>
    <row r="124" spans="1:10" hidden="1" outlineLevel="1" x14ac:dyDescent="0.2">
      <c r="A124" s="74">
        <v>50</v>
      </c>
      <c r="B124" s="80" t="s">
        <v>59</v>
      </c>
      <c r="C124" s="82">
        <v>1</v>
      </c>
      <c r="D124" s="50">
        <v>9</v>
      </c>
      <c r="E124" s="50">
        <v>25</v>
      </c>
      <c r="F124" s="77">
        <v>13.120000000000001</v>
      </c>
      <c r="G124" s="78" t="s">
        <v>3</v>
      </c>
      <c r="H124" s="82"/>
      <c r="I124" s="83" t="s">
        <v>107</v>
      </c>
      <c r="J124" s="143">
        <f t="shared" si="3"/>
        <v>0.52480000000000004</v>
      </c>
    </row>
    <row r="125" spans="1:10" hidden="1" outlineLevel="1" x14ac:dyDescent="0.2">
      <c r="A125" s="74">
        <v>51</v>
      </c>
      <c r="B125" s="80" t="s">
        <v>103</v>
      </c>
      <c r="C125" s="82">
        <v>18</v>
      </c>
      <c r="D125" s="50">
        <v>126</v>
      </c>
      <c r="E125" s="50">
        <v>312.8</v>
      </c>
      <c r="F125" s="77">
        <v>250.75600000000003</v>
      </c>
      <c r="G125" s="78" t="s">
        <v>3</v>
      </c>
      <c r="H125" s="82"/>
      <c r="I125" s="83" t="s">
        <v>107</v>
      </c>
      <c r="J125" s="143">
        <f t="shared" si="3"/>
        <v>0.80164961636828647</v>
      </c>
    </row>
    <row r="126" spans="1:10" hidden="1" outlineLevel="1" x14ac:dyDescent="0.2">
      <c r="A126" s="74">
        <v>52</v>
      </c>
      <c r="B126" s="80" t="s">
        <v>126</v>
      </c>
      <c r="C126" s="82">
        <v>1</v>
      </c>
      <c r="D126" s="50">
        <v>12</v>
      </c>
      <c r="E126" s="50">
        <v>25</v>
      </c>
      <c r="F126" s="77">
        <v>10.66</v>
      </c>
      <c r="G126" s="78" t="s">
        <v>3</v>
      </c>
      <c r="H126" s="82"/>
      <c r="I126" s="83" t="s">
        <v>107</v>
      </c>
      <c r="J126" s="143">
        <f t="shared" si="3"/>
        <v>0.4264</v>
      </c>
    </row>
    <row r="127" spans="1:10" hidden="1" outlineLevel="1" x14ac:dyDescent="0.2">
      <c r="A127" s="74">
        <v>53</v>
      </c>
      <c r="B127" s="80" t="s">
        <v>257</v>
      </c>
      <c r="C127" s="82">
        <v>1</v>
      </c>
      <c r="D127" s="50">
        <v>1</v>
      </c>
      <c r="E127" s="50">
        <v>2.2799999999999998</v>
      </c>
      <c r="F127" s="77">
        <v>1.0495999999999999</v>
      </c>
      <c r="G127" s="78" t="s">
        <v>3</v>
      </c>
      <c r="H127" s="82"/>
      <c r="I127" s="83" t="s">
        <v>107</v>
      </c>
      <c r="J127" s="143">
        <f t="shared" si="3"/>
        <v>0.46035087719298246</v>
      </c>
    </row>
    <row r="128" spans="1:10" hidden="1" outlineLevel="1" x14ac:dyDescent="0.2">
      <c r="A128" s="74">
        <v>54</v>
      </c>
      <c r="B128" s="80" t="s">
        <v>105</v>
      </c>
      <c r="C128" s="82">
        <v>2</v>
      </c>
      <c r="D128" s="50">
        <v>11</v>
      </c>
      <c r="E128" s="50">
        <v>41.32</v>
      </c>
      <c r="F128" s="77">
        <v>29.372399999999999</v>
      </c>
      <c r="G128" s="78" t="s">
        <v>3</v>
      </c>
      <c r="H128" s="82"/>
      <c r="I128" s="83" t="s">
        <v>107</v>
      </c>
      <c r="J128" s="143">
        <f t="shared" si="3"/>
        <v>0.7108518877057115</v>
      </c>
    </row>
    <row r="129" spans="1:10" hidden="1" outlineLevel="1" x14ac:dyDescent="0.2">
      <c r="A129" s="74">
        <v>55</v>
      </c>
      <c r="B129" s="80" t="s">
        <v>127</v>
      </c>
      <c r="C129" s="82">
        <v>1</v>
      </c>
      <c r="D129" s="50">
        <v>5</v>
      </c>
      <c r="E129" s="50">
        <v>10</v>
      </c>
      <c r="F129" s="77">
        <v>4.0999999999999996</v>
      </c>
      <c r="G129" s="78" t="s">
        <v>3</v>
      </c>
      <c r="H129" s="82"/>
      <c r="I129" s="83" t="s">
        <v>107</v>
      </c>
      <c r="J129" s="143">
        <f t="shared" si="3"/>
        <v>0.41</v>
      </c>
    </row>
    <row r="130" spans="1:10" hidden="1" outlineLevel="1" x14ac:dyDescent="0.2">
      <c r="A130" s="74">
        <v>56</v>
      </c>
      <c r="B130" s="80" t="s">
        <v>88</v>
      </c>
      <c r="C130" s="82">
        <v>3</v>
      </c>
      <c r="D130" s="50">
        <v>54</v>
      </c>
      <c r="E130" s="50">
        <v>63.89</v>
      </c>
      <c r="F130" s="77">
        <v>37.629800000000003</v>
      </c>
      <c r="G130" s="78" t="s">
        <v>3</v>
      </c>
      <c r="H130" s="82"/>
      <c r="I130" s="83" t="s">
        <v>107</v>
      </c>
      <c r="J130" s="143">
        <f t="shared" ref="J130:J193" si="5">F130/E130</f>
        <v>0.58897793081859451</v>
      </c>
    </row>
    <row r="131" spans="1:10" hidden="1" outlineLevel="1" x14ac:dyDescent="0.2">
      <c r="A131" s="74">
        <v>57</v>
      </c>
      <c r="B131" s="80" t="s">
        <v>258</v>
      </c>
      <c r="C131" s="82">
        <v>1</v>
      </c>
      <c r="D131" s="50">
        <v>0</v>
      </c>
      <c r="E131" s="50">
        <v>10</v>
      </c>
      <c r="F131" s="77">
        <v>8.1999999999999993</v>
      </c>
      <c r="G131" s="78" t="s">
        <v>3</v>
      </c>
      <c r="H131" s="82"/>
      <c r="I131" s="83" t="s">
        <v>107</v>
      </c>
      <c r="J131" s="143">
        <f t="shared" si="5"/>
        <v>0.82</v>
      </c>
    </row>
    <row r="132" spans="1:10" hidden="1" outlineLevel="1" x14ac:dyDescent="0.2">
      <c r="A132" s="74">
        <v>58</v>
      </c>
      <c r="B132" s="80" t="s">
        <v>128</v>
      </c>
      <c r="C132" s="82">
        <v>1</v>
      </c>
      <c r="D132" s="50">
        <v>10</v>
      </c>
      <c r="E132" s="50">
        <v>22.5</v>
      </c>
      <c r="F132" s="77">
        <v>10.25</v>
      </c>
      <c r="G132" s="78" t="s">
        <v>3</v>
      </c>
      <c r="H132" s="82"/>
      <c r="I132" s="83" t="s">
        <v>107</v>
      </c>
      <c r="J132" s="143">
        <f t="shared" si="5"/>
        <v>0.45555555555555555</v>
      </c>
    </row>
    <row r="133" spans="1:10" hidden="1" outlineLevel="1" x14ac:dyDescent="0.2">
      <c r="A133" s="74">
        <v>59</v>
      </c>
      <c r="B133" s="80" t="s">
        <v>259</v>
      </c>
      <c r="C133" s="82">
        <v>1</v>
      </c>
      <c r="D133" s="50">
        <v>9</v>
      </c>
      <c r="E133" s="50">
        <v>24.45</v>
      </c>
      <c r="F133" s="77">
        <v>12.669</v>
      </c>
      <c r="G133" s="78" t="s">
        <v>3</v>
      </c>
      <c r="H133" s="82"/>
      <c r="I133" s="83" t="s">
        <v>107</v>
      </c>
      <c r="J133" s="143">
        <f t="shared" si="5"/>
        <v>0.51815950920245402</v>
      </c>
    </row>
    <row r="134" spans="1:10" hidden="1" outlineLevel="1" x14ac:dyDescent="0.2">
      <c r="A134" s="74">
        <v>60</v>
      </c>
      <c r="B134" s="80" t="s">
        <v>180</v>
      </c>
      <c r="C134" s="82">
        <v>4</v>
      </c>
      <c r="D134" s="50">
        <v>2</v>
      </c>
      <c r="E134" s="50">
        <v>10.23</v>
      </c>
      <c r="F134" s="77">
        <v>7.9786000000000001</v>
      </c>
      <c r="G134" s="78" t="s">
        <v>3</v>
      </c>
      <c r="H134" s="82"/>
      <c r="I134" s="83" t="s">
        <v>107</v>
      </c>
      <c r="J134" s="143">
        <f t="shared" si="5"/>
        <v>0.77992179863147604</v>
      </c>
    </row>
    <row r="135" spans="1:10" hidden="1" outlineLevel="1" x14ac:dyDescent="0.2">
      <c r="A135" s="74">
        <v>61</v>
      </c>
      <c r="B135" s="80" t="s">
        <v>260</v>
      </c>
      <c r="C135" s="82">
        <v>264</v>
      </c>
      <c r="D135" s="50">
        <v>264</v>
      </c>
      <c r="E135" s="50">
        <v>1576.06</v>
      </c>
      <c r="F135" s="77">
        <v>1291.5491999999999</v>
      </c>
      <c r="G135" s="78" t="s">
        <v>3</v>
      </c>
      <c r="H135" s="82"/>
      <c r="I135" s="83" t="s">
        <v>107</v>
      </c>
      <c r="J135" s="143">
        <f t="shared" si="5"/>
        <v>0.81947971523926755</v>
      </c>
    </row>
    <row r="136" spans="1:10" hidden="1" outlineLevel="1" x14ac:dyDescent="0.2">
      <c r="A136" s="74">
        <v>62</v>
      </c>
      <c r="B136" s="80" t="s">
        <v>261</v>
      </c>
      <c r="C136" s="82">
        <v>2</v>
      </c>
      <c r="D136" s="50">
        <v>20</v>
      </c>
      <c r="E136" s="50">
        <v>44.95</v>
      </c>
      <c r="F136" s="77">
        <v>28.658999999999999</v>
      </c>
      <c r="G136" s="78" t="s">
        <v>3</v>
      </c>
      <c r="H136" s="82"/>
      <c r="I136" s="83" t="s">
        <v>107</v>
      </c>
      <c r="J136" s="143">
        <f t="shared" si="5"/>
        <v>0.63757508342602887</v>
      </c>
    </row>
    <row r="137" spans="1:10" hidden="1" outlineLevel="1" x14ac:dyDescent="0.2">
      <c r="A137" s="74">
        <v>63</v>
      </c>
      <c r="B137" s="48"/>
      <c r="C137" s="49"/>
      <c r="D137" s="50"/>
      <c r="E137" s="50"/>
      <c r="F137" s="77"/>
      <c r="G137" s="78"/>
      <c r="H137" s="82"/>
      <c r="I137" s="83"/>
      <c r="J137" s="143" t="e">
        <f t="shared" si="5"/>
        <v>#DIV/0!</v>
      </c>
    </row>
    <row r="138" spans="1:10" hidden="1" outlineLevel="1" x14ac:dyDescent="0.2">
      <c r="A138" s="74">
        <v>64</v>
      </c>
      <c r="B138" s="80"/>
      <c r="C138" s="78"/>
      <c r="D138" s="77"/>
      <c r="E138" s="77"/>
      <c r="F138" s="77"/>
      <c r="G138" s="78"/>
      <c r="H138" s="82"/>
      <c r="I138" s="83"/>
      <c r="J138" s="143" t="e">
        <f t="shared" si="5"/>
        <v>#DIV/0!</v>
      </c>
    </row>
    <row r="139" spans="1:10" hidden="1" outlineLevel="1" x14ac:dyDescent="0.2">
      <c r="A139" s="74">
        <v>65</v>
      </c>
      <c r="B139" s="80"/>
      <c r="C139" s="78"/>
      <c r="D139" s="77"/>
      <c r="E139" s="77"/>
      <c r="F139" s="77"/>
      <c r="G139" s="78"/>
      <c r="H139" s="82"/>
      <c r="I139" s="83"/>
      <c r="J139" s="143" t="e">
        <f t="shared" si="5"/>
        <v>#DIV/0!</v>
      </c>
    </row>
    <row r="140" spans="1:10" collapsed="1" x14ac:dyDescent="0.2">
      <c r="A140" s="158" t="s">
        <v>9</v>
      </c>
      <c r="B140" s="159"/>
      <c r="C140" s="160"/>
      <c r="D140" s="69">
        <f>SUM(D141:D219)</f>
        <v>6571.1</v>
      </c>
      <c r="E140" s="69">
        <f>SUM(E141:E219)</f>
        <v>10463.703000000001</v>
      </c>
      <c r="F140" s="69">
        <f>SUM(F141:F220)</f>
        <v>3902.0731360000004</v>
      </c>
      <c r="G140" s="68">
        <f>I140+H140</f>
        <v>283</v>
      </c>
      <c r="H140" s="68">
        <f>COUNTIF(H141:H219,"BSB")</f>
        <v>41</v>
      </c>
      <c r="I140" s="68">
        <f>SUM(C141:C220)</f>
        <v>242</v>
      </c>
      <c r="J140" s="143">
        <f t="shared" si="5"/>
        <v>0.37291512727377679</v>
      </c>
    </row>
    <row r="141" spans="1:10" hidden="1" outlineLevel="1" x14ac:dyDescent="0.2">
      <c r="A141" s="74">
        <v>36</v>
      </c>
      <c r="B141" s="80" t="s">
        <v>151</v>
      </c>
      <c r="C141" s="78"/>
      <c r="D141" s="77">
        <v>1360</v>
      </c>
      <c r="E141" s="77">
        <v>1565</v>
      </c>
      <c r="F141" s="77">
        <f t="shared" ref="F141:F172" si="6">E141-D141</f>
        <v>205</v>
      </c>
      <c r="G141" s="78" t="s">
        <v>3</v>
      </c>
      <c r="H141" s="82" t="s">
        <v>43</v>
      </c>
      <c r="I141" s="88">
        <f t="shared" ref="I141:I172" si="7">F141/E141</f>
        <v>0.13099041533546327</v>
      </c>
      <c r="J141" s="143">
        <f t="shared" si="5"/>
        <v>0.13099041533546327</v>
      </c>
    </row>
    <row r="142" spans="1:10" hidden="1" outlineLevel="1" x14ac:dyDescent="0.2">
      <c r="A142" s="74">
        <v>3</v>
      </c>
      <c r="B142" s="80" t="s">
        <v>50</v>
      </c>
      <c r="C142" s="78"/>
      <c r="D142" s="77">
        <v>140</v>
      </c>
      <c r="E142" s="77">
        <v>250</v>
      </c>
      <c r="F142" s="77">
        <f t="shared" si="6"/>
        <v>110</v>
      </c>
      <c r="G142" s="78" t="s">
        <v>3</v>
      </c>
      <c r="H142" s="83" t="s">
        <v>43</v>
      </c>
      <c r="I142" s="88">
        <f t="shared" si="7"/>
        <v>0.44</v>
      </c>
      <c r="J142" s="143">
        <f t="shared" si="5"/>
        <v>0.44</v>
      </c>
    </row>
    <row r="143" spans="1:10" hidden="1" outlineLevel="1" x14ac:dyDescent="0.2">
      <c r="A143" s="74">
        <v>21</v>
      </c>
      <c r="B143" s="80" t="s">
        <v>50</v>
      </c>
      <c r="C143" s="78"/>
      <c r="D143" s="77">
        <v>150</v>
      </c>
      <c r="E143" s="77">
        <v>250</v>
      </c>
      <c r="F143" s="77">
        <f t="shared" si="6"/>
        <v>100</v>
      </c>
      <c r="G143" s="78" t="s">
        <v>3</v>
      </c>
      <c r="H143" s="83" t="s">
        <v>43</v>
      </c>
      <c r="I143" s="88">
        <f t="shared" si="7"/>
        <v>0.4</v>
      </c>
      <c r="J143" s="143">
        <f t="shared" si="5"/>
        <v>0.4</v>
      </c>
    </row>
    <row r="144" spans="1:10" hidden="1" outlineLevel="1" x14ac:dyDescent="0.2">
      <c r="A144" s="74">
        <v>27</v>
      </c>
      <c r="B144" s="80" t="s">
        <v>146</v>
      </c>
      <c r="C144" s="78"/>
      <c r="D144" s="77">
        <v>87</v>
      </c>
      <c r="E144" s="77">
        <v>160</v>
      </c>
      <c r="F144" s="77">
        <f t="shared" si="6"/>
        <v>73</v>
      </c>
      <c r="G144" s="78" t="s">
        <v>3</v>
      </c>
      <c r="H144" s="83" t="s">
        <v>43</v>
      </c>
      <c r="I144" s="88">
        <f t="shared" si="7"/>
        <v>0.45624999999999999</v>
      </c>
      <c r="J144" s="143">
        <f t="shared" si="5"/>
        <v>0.45624999999999999</v>
      </c>
    </row>
    <row r="145" spans="1:10" hidden="1" outlineLevel="1" collapsed="1" x14ac:dyDescent="0.2">
      <c r="A145" s="74">
        <v>29</v>
      </c>
      <c r="B145" s="80" t="s">
        <v>148</v>
      </c>
      <c r="C145" s="78"/>
      <c r="D145" s="77">
        <v>100</v>
      </c>
      <c r="E145" s="77">
        <v>150</v>
      </c>
      <c r="F145" s="77">
        <f t="shared" si="6"/>
        <v>50</v>
      </c>
      <c r="G145" s="78" t="s">
        <v>3</v>
      </c>
      <c r="H145" s="83" t="s">
        <v>43</v>
      </c>
      <c r="I145" s="88">
        <f t="shared" si="7"/>
        <v>0.33333333333333331</v>
      </c>
      <c r="J145" s="143">
        <f t="shared" si="5"/>
        <v>0.33333333333333331</v>
      </c>
    </row>
    <row r="146" spans="1:10" hidden="1" outlineLevel="1" x14ac:dyDescent="0.2">
      <c r="A146" s="74">
        <v>16</v>
      </c>
      <c r="B146" s="80" t="s">
        <v>139</v>
      </c>
      <c r="C146" s="78"/>
      <c r="D146" s="77">
        <v>20</v>
      </c>
      <c r="E146" s="77">
        <v>60</v>
      </c>
      <c r="F146" s="77">
        <f t="shared" si="6"/>
        <v>40</v>
      </c>
      <c r="G146" s="78" t="s">
        <v>3</v>
      </c>
      <c r="H146" s="83" t="s">
        <v>43</v>
      </c>
      <c r="I146" s="88">
        <f t="shared" si="7"/>
        <v>0.66666666666666663</v>
      </c>
      <c r="J146" s="143">
        <f t="shared" si="5"/>
        <v>0.66666666666666663</v>
      </c>
    </row>
    <row r="147" spans="1:10" hidden="1" outlineLevel="1" x14ac:dyDescent="0.2">
      <c r="A147" s="74">
        <v>17</v>
      </c>
      <c r="B147" s="80" t="s">
        <v>139</v>
      </c>
      <c r="C147" s="78"/>
      <c r="D147" s="77">
        <v>20</v>
      </c>
      <c r="E147" s="77">
        <v>60</v>
      </c>
      <c r="F147" s="77">
        <f t="shared" si="6"/>
        <v>40</v>
      </c>
      <c r="G147" s="78" t="s">
        <v>3</v>
      </c>
      <c r="H147" s="83" t="s">
        <v>43</v>
      </c>
      <c r="I147" s="88">
        <f t="shared" si="7"/>
        <v>0.66666666666666663</v>
      </c>
      <c r="J147" s="143">
        <f t="shared" si="5"/>
        <v>0.66666666666666663</v>
      </c>
    </row>
    <row r="148" spans="1:10" hidden="1" outlineLevel="1" x14ac:dyDescent="0.2">
      <c r="A148" s="74">
        <v>40</v>
      </c>
      <c r="B148" s="80" t="s">
        <v>167</v>
      </c>
      <c r="C148" s="78"/>
      <c r="D148" s="77">
        <v>35</v>
      </c>
      <c r="E148" s="77">
        <v>70</v>
      </c>
      <c r="F148" s="77">
        <f t="shared" si="6"/>
        <v>35</v>
      </c>
      <c r="G148" s="78" t="s">
        <v>3</v>
      </c>
      <c r="H148" s="82" t="s">
        <v>43</v>
      </c>
      <c r="I148" s="88">
        <f t="shared" si="7"/>
        <v>0.5</v>
      </c>
      <c r="J148" s="143">
        <f t="shared" si="5"/>
        <v>0.5</v>
      </c>
    </row>
    <row r="149" spans="1:10" hidden="1" outlineLevel="1" x14ac:dyDescent="0.2">
      <c r="A149" s="74">
        <v>43</v>
      </c>
      <c r="B149" s="80" t="s">
        <v>169</v>
      </c>
      <c r="C149" s="78"/>
      <c r="D149" s="77">
        <v>35</v>
      </c>
      <c r="E149" s="77">
        <v>70</v>
      </c>
      <c r="F149" s="77">
        <f t="shared" si="6"/>
        <v>35</v>
      </c>
      <c r="G149" s="78" t="s">
        <v>3</v>
      </c>
      <c r="H149" s="82" t="s">
        <v>43</v>
      </c>
      <c r="I149" s="88">
        <f t="shared" si="7"/>
        <v>0.5</v>
      </c>
      <c r="J149" s="143">
        <f t="shared" si="5"/>
        <v>0.5</v>
      </c>
    </row>
    <row r="150" spans="1:10" hidden="1" outlineLevel="1" x14ac:dyDescent="0.2">
      <c r="A150" s="74">
        <v>2</v>
      </c>
      <c r="B150" s="80" t="s">
        <v>131</v>
      </c>
      <c r="C150" s="78"/>
      <c r="D150" s="77">
        <v>20</v>
      </c>
      <c r="E150" s="77">
        <v>50</v>
      </c>
      <c r="F150" s="77">
        <f t="shared" si="6"/>
        <v>30</v>
      </c>
      <c r="G150" s="78" t="s">
        <v>3</v>
      </c>
      <c r="H150" s="83" t="s">
        <v>43</v>
      </c>
      <c r="I150" s="88">
        <f t="shared" si="7"/>
        <v>0.6</v>
      </c>
      <c r="J150" s="143">
        <f t="shared" si="5"/>
        <v>0.6</v>
      </c>
    </row>
    <row r="151" spans="1:10" hidden="1" outlineLevel="1" x14ac:dyDescent="0.2">
      <c r="A151" s="74">
        <v>8</v>
      </c>
      <c r="B151" s="80" t="s">
        <v>134</v>
      </c>
      <c r="C151" s="78"/>
      <c r="D151" s="77">
        <v>30</v>
      </c>
      <c r="E151" s="77">
        <v>60</v>
      </c>
      <c r="F151" s="77">
        <f t="shared" si="6"/>
        <v>30</v>
      </c>
      <c r="G151" s="78" t="s">
        <v>3</v>
      </c>
      <c r="H151" s="83" t="s">
        <v>43</v>
      </c>
      <c r="I151" s="88">
        <f t="shared" si="7"/>
        <v>0.5</v>
      </c>
      <c r="J151" s="143">
        <f t="shared" si="5"/>
        <v>0.5</v>
      </c>
    </row>
    <row r="152" spans="1:10" hidden="1" outlineLevel="1" x14ac:dyDescent="0.2">
      <c r="A152" s="74">
        <v>30</v>
      </c>
      <c r="B152" s="80" t="s">
        <v>131</v>
      </c>
      <c r="C152" s="78"/>
      <c r="D152" s="77">
        <v>20</v>
      </c>
      <c r="E152" s="77">
        <v>50</v>
      </c>
      <c r="F152" s="77">
        <f t="shared" si="6"/>
        <v>30</v>
      </c>
      <c r="G152" s="78" t="s">
        <v>3</v>
      </c>
      <c r="H152" s="83" t="s">
        <v>43</v>
      </c>
      <c r="I152" s="88">
        <f t="shared" si="7"/>
        <v>0.6</v>
      </c>
      <c r="J152" s="143">
        <f t="shared" si="5"/>
        <v>0.6</v>
      </c>
    </row>
    <row r="153" spans="1:10" hidden="1" outlineLevel="1" x14ac:dyDescent="0.2">
      <c r="A153" s="74">
        <v>26</v>
      </c>
      <c r="B153" s="80" t="s">
        <v>145</v>
      </c>
      <c r="C153" s="78"/>
      <c r="D153" s="77">
        <v>20</v>
      </c>
      <c r="E153" s="77">
        <v>45</v>
      </c>
      <c r="F153" s="77">
        <f t="shared" si="6"/>
        <v>25</v>
      </c>
      <c r="G153" s="78" t="s">
        <v>3</v>
      </c>
      <c r="H153" s="83" t="s">
        <v>43</v>
      </c>
      <c r="I153" s="88">
        <f t="shared" si="7"/>
        <v>0.55555555555555558</v>
      </c>
      <c r="J153" s="143">
        <f t="shared" si="5"/>
        <v>0.55555555555555558</v>
      </c>
    </row>
    <row r="154" spans="1:10" hidden="1" outlineLevel="1" x14ac:dyDescent="0.2">
      <c r="A154" s="74">
        <v>9</v>
      </c>
      <c r="B154" s="80" t="s">
        <v>135</v>
      </c>
      <c r="C154" s="78"/>
      <c r="D154" s="77">
        <v>18</v>
      </c>
      <c r="E154" s="77">
        <v>40</v>
      </c>
      <c r="F154" s="77">
        <f t="shared" si="6"/>
        <v>22</v>
      </c>
      <c r="G154" s="78" t="s">
        <v>3</v>
      </c>
      <c r="H154" s="83" t="s">
        <v>43</v>
      </c>
      <c r="I154" s="88">
        <f t="shared" si="7"/>
        <v>0.55000000000000004</v>
      </c>
      <c r="J154" s="143">
        <f t="shared" si="5"/>
        <v>0.55000000000000004</v>
      </c>
    </row>
    <row r="155" spans="1:10" hidden="1" outlineLevel="1" x14ac:dyDescent="0.2">
      <c r="A155" s="74">
        <v>24</v>
      </c>
      <c r="B155" s="80" t="s">
        <v>136</v>
      </c>
      <c r="C155" s="78"/>
      <c r="D155" s="77">
        <v>28</v>
      </c>
      <c r="E155" s="77">
        <v>50</v>
      </c>
      <c r="F155" s="77">
        <f t="shared" si="6"/>
        <v>22</v>
      </c>
      <c r="G155" s="78" t="s">
        <v>3</v>
      </c>
      <c r="H155" s="83" t="s">
        <v>43</v>
      </c>
      <c r="I155" s="88">
        <f t="shared" si="7"/>
        <v>0.44</v>
      </c>
      <c r="J155" s="143">
        <f t="shared" si="5"/>
        <v>0.44</v>
      </c>
    </row>
    <row r="156" spans="1:10" hidden="1" outlineLevel="1" x14ac:dyDescent="0.2">
      <c r="A156" s="74">
        <v>18</v>
      </c>
      <c r="B156" s="80" t="s">
        <v>140</v>
      </c>
      <c r="C156" s="78"/>
      <c r="D156" s="77">
        <v>15</v>
      </c>
      <c r="E156" s="77">
        <v>35</v>
      </c>
      <c r="F156" s="77">
        <f t="shared" si="6"/>
        <v>20</v>
      </c>
      <c r="G156" s="78" t="s">
        <v>3</v>
      </c>
      <c r="H156" s="83" t="s">
        <v>43</v>
      </c>
      <c r="I156" s="88">
        <f t="shared" si="7"/>
        <v>0.5714285714285714</v>
      </c>
      <c r="J156" s="143">
        <f t="shared" si="5"/>
        <v>0.5714285714285714</v>
      </c>
    </row>
    <row r="157" spans="1:10" hidden="1" outlineLevel="1" x14ac:dyDescent="0.2">
      <c r="A157" s="74">
        <v>19</v>
      </c>
      <c r="B157" s="80" t="s">
        <v>141</v>
      </c>
      <c r="C157" s="78"/>
      <c r="D157" s="77">
        <v>20</v>
      </c>
      <c r="E157" s="77">
        <v>40</v>
      </c>
      <c r="F157" s="77">
        <f t="shared" si="6"/>
        <v>20</v>
      </c>
      <c r="G157" s="78" t="s">
        <v>3</v>
      </c>
      <c r="H157" s="83" t="s">
        <v>43</v>
      </c>
      <c r="I157" s="88">
        <f t="shared" si="7"/>
        <v>0.5</v>
      </c>
      <c r="J157" s="143">
        <f t="shared" si="5"/>
        <v>0.5</v>
      </c>
    </row>
    <row r="158" spans="1:10" hidden="1" outlineLevel="1" x14ac:dyDescent="0.2">
      <c r="A158" s="74">
        <v>25</v>
      </c>
      <c r="B158" s="80" t="s">
        <v>144</v>
      </c>
      <c r="C158" s="78"/>
      <c r="D158" s="77">
        <v>20</v>
      </c>
      <c r="E158" s="77">
        <v>40</v>
      </c>
      <c r="F158" s="77">
        <f t="shared" si="6"/>
        <v>20</v>
      </c>
      <c r="G158" s="78" t="s">
        <v>3</v>
      </c>
      <c r="H158" s="83" t="s">
        <v>43</v>
      </c>
      <c r="I158" s="88">
        <f t="shared" si="7"/>
        <v>0.5</v>
      </c>
      <c r="J158" s="143">
        <f t="shared" si="5"/>
        <v>0.5</v>
      </c>
    </row>
    <row r="159" spans="1:10" hidden="1" outlineLevel="1" x14ac:dyDescent="0.2">
      <c r="A159" s="74">
        <v>42</v>
      </c>
      <c r="B159" s="80" t="s">
        <v>168</v>
      </c>
      <c r="C159" s="78"/>
      <c r="D159" s="77">
        <v>20</v>
      </c>
      <c r="E159" s="77">
        <v>40</v>
      </c>
      <c r="F159" s="77">
        <f t="shared" si="6"/>
        <v>20</v>
      </c>
      <c r="G159" s="78" t="s">
        <v>3</v>
      </c>
      <c r="H159" s="82" t="s">
        <v>43</v>
      </c>
      <c r="I159" s="88">
        <f t="shared" si="7"/>
        <v>0.5</v>
      </c>
      <c r="J159" s="143">
        <f t="shared" si="5"/>
        <v>0.5</v>
      </c>
    </row>
    <row r="160" spans="1:10" hidden="1" outlineLevel="1" x14ac:dyDescent="0.2">
      <c r="A160" s="74">
        <v>10</v>
      </c>
      <c r="B160" s="80" t="s">
        <v>135</v>
      </c>
      <c r="C160" s="78"/>
      <c r="D160" s="77">
        <v>18</v>
      </c>
      <c r="E160" s="77">
        <v>35</v>
      </c>
      <c r="F160" s="77">
        <f t="shared" si="6"/>
        <v>17</v>
      </c>
      <c r="G160" s="78" t="s">
        <v>3</v>
      </c>
      <c r="H160" s="83" t="s">
        <v>43</v>
      </c>
      <c r="I160" s="88">
        <f t="shared" si="7"/>
        <v>0.48571428571428571</v>
      </c>
      <c r="J160" s="143">
        <f t="shared" si="5"/>
        <v>0.48571428571428571</v>
      </c>
    </row>
    <row r="161" spans="1:10" hidden="1" outlineLevel="1" x14ac:dyDescent="0.2">
      <c r="A161" s="74">
        <v>11</v>
      </c>
      <c r="B161" s="80" t="s">
        <v>135</v>
      </c>
      <c r="C161" s="78"/>
      <c r="D161" s="77">
        <v>18</v>
      </c>
      <c r="E161" s="77">
        <v>35</v>
      </c>
      <c r="F161" s="77">
        <f t="shared" si="6"/>
        <v>17</v>
      </c>
      <c r="G161" s="78" t="s">
        <v>3</v>
      </c>
      <c r="H161" s="83" t="s">
        <v>43</v>
      </c>
      <c r="I161" s="88">
        <f t="shared" si="7"/>
        <v>0.48571428571428571</v>
      </c>
      <c r="J161" s="143">
        <f t="shared" si="5"/>
        <v>0.48571428571428571</v>
      </c>
    </row>
    <row r="162" spans="1:10" hidden="1" outlineLevel="1" x14ac:dyDescent="0.2">
      <c r="A162" s="74">
        <v>35</v>
      </c>
      <c r="B162" s="80" t="s">
        <v>150</v>
      </c>
      <c r="C162" s="78"/>
      <c r="D162" s="77">
        <v>75</v>
      </c>
      <c r="E162" s="77">
        <v>90</v>
      </c>
      <c r="F162" s="77">
        <f t="shared" si="6"/>
        <v>15</v>
      </c>
      <c r="G162" s="78" t="s">
        <v>3</v>
      </c>
      <c r="H162" s="82" t="s">
        <v>43</v>
      </c>
      <c r="I162" s="88">
        <f t="shared" si="7"/>
        <v>0.16666666666666666</v>
      </c>
      <c r="J162" s="143">
        <f t="shared" si="5"/>
        <v>0.16666666666666666</v>
      </c>
    </row>
    <row r="163" spans="1:10" hidden="1" outlineLevel="1" x14ac:dyDescent="0.2">
      <c r="A163" s="89">
        <v>6</v>
      </c>
      <c r="B163" s="80" t="s">
        <v>137</v>
      </c>
      <c r="C163" s="78"/>
      <c r="D163" s="77">
        <v>7.5</v>
      </c>
      <c r="E163" s="77">
        <v>20</v>
      </c>
      <c r="F163" s="77">
        <f t="shared" si="6"/>
        <v>12.5</v>
      </c>
      <c r="G163" s="78" t="s">
        <v>3</v>
      </c>
      <c r="H163" s="83" t="s">
        <v>43</v>
      </c>
      <c r="I163" s="88">
        <f t="shared" si="7"/>
        <v>0.625</v>
      </c>
      <c r="J163" s="143">
        <f t="shared" si="5"/>
        <v>0.625</v>
      </c>
    </row>
    <row r="164" spans="1:10" hidden="1" outlineLevel="1" x14ac:dyDescent="0.2">
      <c r="A164" s="74">
        <v>7</v>
      </c>
      <c r="B164" s="80" t="s">
        <v>137</v>
      </c>
      <c r="C164" s="78"/>
      <c r="D164" s="77">
        <v>7.5</v>
      </c>
      <c r="E164" s="77">
        <v>20</v>
      </c>
      <c r="F164" s="77">
        <f t="shared" si="6"/>
        <v>12.5</v>
      </c>
      <c r="G164" s="78" t="s">
        <v>3</v>
      </c>
      <c r="H164" s="83" t="s">
        <v>43</v>
      </c>
      <c r="I164" s="88">
        <f t="shared" si="7"/>
        <v>0.625</v>
      </c>
      <c r="J164" s="143">
        <f t="shared" si="5"/>
        <v>0.625</v>
      </c>
    </row>
    <row r="165" spans="1:10" hidden="1" outlineLevel="1" x14ac:dyDescent="0.2">
      <c r="A165" s="74">
        <v>12</v>
      </c>
      <c r="B165" s="80" t="s">
        <v>136</v>
      </c>
      <c r="C165" s="78"/>
      <c r="D165" s="77">
        <v>10</v>
      </c>
      <c r="E165" s="77">
        <v>20</v>
      </c>
      <c r="F165" s="77">
        <f t="shared" si="6"/>
        <v>10</v>
      </c>
      <c r="G165" s="78" t="s">
        <v>3</v>
      </c>
      <c r="H165" s="83" t="s">
        <v>43</v>
      </c>
      <c r="I165" s="88">
        <f t="shared" si="7"/>
        <v>0.5</v>
      </c>
      <c r="J165" s="143">
        <f t="shared" si="5"/>
        <v>0.5</v>
      </c>
    </row>
    <row r="166" spans="1:10" hidden="1" outlineLevel="1" x14ac:dyDescent="0.2">
      <c r="A166" s="74">
        <v>4</v>
      </c>
      <c r="B166" s="80" t="s">
        <v>132</v>
      </c>
      <c r="C166" s="78"/>
      <c r="D166" s="77">
        <f>2*3</f>
        <v>6</v>
      </c>
      <c r="E166" s="77">
        <v>15</v>
      </c>
      <c r="F166" s="77">
        <f t="shared" si="6"/>
        <v>9</v>
      </c>
      <c r="G166" s="78" t="s">
        <v>3</v>
      </c>
      <c r="H166" s="83" t="s">
        <v>43</v>
      </c>
      <c r="I166" s="88">
        <f t="shared" si="7"/>
        <v>0.6</v>
      </c>
      <c r="J166" s="143">
        <f t="shared" si="5"/>
        <v>0.6</v>
      </c>
    </row>
    <row r="167" spans="1:10" hidden="1" outlineLevel="1" x14ac:dyDescent="0.2">
      <c r="A167" s="74">
        <v>31</v>
      </c>
      <c r="B167" s="80" t="s">
        <v>132</v>
      </c>
      <c r="C167" s="78"/>
      <c r="D167" s="77">
        <f>2*3</f>
        <v>6</v>
      </c>
      <c r="E167" s="77">
        <v>15</v>
      </c>
      <c r="F167" s="77">
        <f t="shared" si="6"/>
        <v>9</v>
      </c>
      <c r="G167" s="78" t="s">
        <v>3</v>
      </c>
      <c r="H167" s="83" t="s">
        <v>43</v>
      </c>
      <c r="I167" s="88">
        <f t="shared" si="7"/>
        <v>0.6</v>
      </c>
      <c r="J167" s="143">
        <f t="shared" si="5"/>
        <v>0.6</v>
      </c>
    </row>
    <row r="168" spans="1:10" hidden="1" outlineLevel="1" x14ac:dyDescent="0.2">
      <c r="A168" s="74">
        <v>32</v>
      </c>
      <c r="B168" s="80" t="s">
        <v>132</v>
      </c>
      <c r="C168" s="78"/>
      <c r="D168" s="77">
        <f>2*3</f>
        <v>6</v>
      </c>
      <c r="E168" s="77">
        <v>15</v>
      </c>
      <c r="F168" s="77">
        <f t="shared" si="6"/>
        <v>9</v>
      </c>
      <c r="G168" s="78" t="s">
        <v>3</v>
      </c>
      <c r="H168" s="83" t="s">
        <v>43</v>
      </c>
      <c r="I168" s="88">
        <f t="shared" si="7"/>
        <v>0.6</v>
      </c>
      <c r="J168" s="143">
        <f t="shared" si="5"/>
        <v>0.6</v>
      </c>
    </row>
    <row r="169" spans="1:10" hidden="1" outlineLevel="1" x14ac:dyDescent="0.2">
      <c r="A169" s="74">
        <v>22</v>
      </c>
      <c r="B169" s="80" t="s">
        <v>143</v>
      </c>
      <c r="C169" s="78"/>
      <c r="D169" s="77">
        <v>1.5</v>
      </c>
      <c r="E169" s="77">
        <v>10</v>
      </c>
      <c r="F169" s="77">
        <f t="shared" si="6"/>
        <v>8.5</v>
      </c>
      <c r="G169" s="78" t="s">
        <v>3</v>
      </c>
      <c r="H169" s="83" t="s">
        <v>43</v>
      </c>
      <c r="I169" s="88">
        <f t="shared" si="7"/>
        <v>0.85</v>
      </c>
      <c r="J169" s="143">
        <f t="shared" si="5"/>
        <v>0.85</v>
      </c>
    </row>
    <row r="170" spans="1:10" hidden="1" outlineLevel="1" x14ac:dyDescent="0.2">
      <c r="A170" s="74">
        <v>23</v>
      </c>
      <c r="B170" s="80" t="s">
        <v>143</v>
      </c>
      <c r="C170" s="78"/>
      <c r="D170" s="77">
        <v>2</v>
      </c>
      <c r="E170" s="77">
        <v>10</v>
      </c>
      <c r="F170" s="77">
        <f t="shared" si="6"/>
        <v>8</v>
      </c>
      <c r="G170" s="78" t="s">
        <v>3</v>
      </c>
      <c r="H170" s="83" t="s">
        <v>43</v>
      </c>
      <c r="I170" s="88">
        <f t="shared" si="7"/>
        <v>0.8</v>
      </c>
      <c r="J170" s="143">
        <f t="shared" si="5"/>
        <v>0.8</v>
      </c>
    </row>
    <row r="171" spans="1:10" hidden="1" outlineLevel="1" x14ac:dyDescent="0.2">
      <c r="A171" s="74">
        <v>1</v>
      </c>
      <c r="B171" s="80" t="s">
        <v>130</v>
      </c>
      <c r="C171" s="78"/>
      <c r="D171" s="77">
        <v>7.5</v>
      </c>
      <c r="E171" s="77">
        <v>15</v>
      </c>
      <c r="F171" s="77">
        <f t="shared" si="6"/>
        <v>7.5</v>
      </c>
      <c r="G171" s="78" t="s">
        <v>3</v>
      </c>
      <c r="H171" s="83" t="s">
        <v>43</v>
      </c>
      <c r="I171" s="88">
        <f t="shared" si="7"/>
        <v>0.5</v>
      </c>
      <c r="J171" s="143">
        <f t="shared" si="5"/>
        <v>0.5</v>
      </c>
    </row>
    <row r="172" spans="1:10" hidden="1" outlineLevel="1" x14ac:dyDescent="0.2">
      <c r="A172" s="74">
        <v>13</v>
      </c>
      <c r="B172" s="80" t="s">
        <v>137</v>
      </c>
      <c r="C172" s="78"/>
      <c r="D172" s="77">
        <v>7.5</v>
      </c>
      <c r="E172" s="77">
        <v>15</v>
      </c>
      <c r="F172" s="77">
        <f t="shared" si="6"/>
        <v>7.5</v>
      </c>
      <c r="G172" s="78" t="s">
        <v>3</v>
      </c>
      <c r="H172" s="83" t="s">
        <v>43</v>
      </c>
      <c r="I172" s="88">
        <f t="shared" si="7"/>
        <v>0.5</v>
      </c>
      <c r="J172" s="143">
        <f t="shared" si="5"/>
        <v>0.5</v>
      </c>
    </row>
    <row r="173" spans="1:10" hidden="1" outlineLevel="1" x14ac:dyDescent="0.2">
      <c r="A173" s="74">
        <v>14</v>
      </c>
      <c r="B173" s="80" t="s">
        <v>137</v>
      </c>
      <c r="C173" s="78"/>
      <c r="D173" s="77">
        <v>7.5</v>
      </c>
      <c r="E173" s="77">
        <v>15</v>
      </c>
      <c r="F173" s="77">
        <f t="shared" ref="F173:F204" si="8">E173-D173</f>
        <v>7.5</v>
      </c>
      <c r="G173" s="78" t="s">
        <v>3</v>
      </c>
      <c r="H173" s="83" t="s">
        <v>43</v>
      </c>
      <c r="I173" s="88">
        <f t="shared" ref="I173:I204" si="9">F173/E173</f>
        <v>0.5</v>
      </c>
      <c r="J173" s="143">
        <f t="shared" si="5"/>
        <v>0.5</v>
      </c>
    </row>
    <row r="174" spans="1:10" hidden="1" outlineLevel="1" x14ac:dyDescent="0.2">
      <c r="A174" s="74">
        <v>28</v>
      </c>
      <c r="B174" s="80" t="s">
        <v>147</v>
      </c>
      <c r="C174" s="78"/>
      <c r="D174" s="77">
        <v>7.5</v>
      </c>
      <c r="E174" s="77">
        <v>15</v>
      </c>
      <c r="F174" s="77">
        <f t="shared" si="8"/>
        <v>7.5</v>
      </c>
      <c r="G174" s="78" t="s">
        <v>3</v>
      </c>
      <c r="H174" s="83" t="s">
        <v>43</v>
      </c>
      <c r="I174" s="88">
        <f t="shared" si="9"/>
        <v>0.5</v>
      </c>
      <c r="J174" s="143">
        <f t="shared" si="5"/>
        <v>0.5</v>
      </c>
    </row>
    <row r="175" spans="1:10" hidden="1" outlineLevel="1" x14ac:dyDescent="0.2">
      <c r="A175" s="74">
        <v>38</v>
      </c>
      <c r="B175" s="80" t="s">
        <v>137</v>
      </c>
      <c r="C175" s="78"/>
      <c r="D175" s="77">
        <v>7.5</v>
      </c>
      <c r="E175" s="77">
        <v>15</v>
      </c>
      <c r="F175" s="77">
        <f t="shared" si="8"/>
        <v>7.5</v>
      </c>
      <c r="G175" s="78" t="s">
        <v>3</v>
      </c>
      <c r="H175" s="82" t="s">
        <v>43</v>
      </c>
      <c r="I175" s="88">
        <f t="shared" si="9"/>
        <v>0.5</v>
      </c>
      <c r="J175" s="143">
        <f t="shared" si="5"/>
        <v>0.5</v>
      </c>
    </row>
    <row r="176" spans="1:10" hidden="1" outlineLevel="1" x14ac:dyDescent="0.2">
      <c r="A176" s="74">
        <v>39</v>
      </c>
      <c r="B176" s="80" t="s">
        <v>137</v>
      </c>
      <c r="C176" s="78"/>
      <c r="D176" s="77">
        <v>7.5</v>
      </c>
      <c r="E176" s="77">
        <v>15</v>
      </c>
      <c r="F176" s="77">
        <f t="shared" si="8"/>
        <v>7.5</v>
      </c>
      <c r="G176" s="78" t="s">
        <v>3</v>
      </c>
      <c r="H176" s="82" t="s">
        <v>43</v>
      </c>
      <c r="I176" s="88">
        <f t="shared" si="9"/>
        <v>0.5</v>
      </c>
      <c r="J176" s="143">
        <f t="shared" si="5"/>
        <v>0.5</v>
      </c>
    </row>
    <row r="177" spans="1:27" hidden="1" outlineLevel="1" x14ac:dyDescent="0.2">
      <c r="A177" s="74">
        <v>20</v>
      </c>
      <c r="B177" s="80" t="s">
        <v>142</v>
      </c>
      <c r="C177" s="78"/>
      <c r="D177" s="77">
        <v>8</v>
      </c>
      <c r="E177" s="77">
        <v>15</v>
      </c>
      <c r="F177" s="77">
        <f t="shared" si="8"/>
        <v>7</v>
      </c>
      <c r="G177" s="78" t="s">
        <v>3</v>
      </c>
      <c r="H177" s="83" t="s">
        <v>43</v>
      </c>
      <c r="I177" s="88">
        <f t="shared" si="9"/>
        <v>0.46666666666666667</v>
      </c>
      <c r="J177" s="143">
        <f t="shared" si="5"/>
        <v>0.46666666666666667</v>
      </c>
    </row>
    <row r="178" spans="1:27" hidden="1" outlineLevel="1" x14ac:dyDescent="0.2">
      <c r="A178" s="74">
        <v>15</v>
      </c>
      <c r="B178" s="80" t="s">
        <v>138</v>
      </c>
      <c r="C178" s="78"/>
      <c r="D178" s="77">
        <v>3.5</v>
      </c>
      <c r="E178" s="77">
        <v>10</v>
      </c>
      <c r="F178" s="77">
        <f t="shared" si="8"/>
        <v>6.5</v>
      </c>
      <c r="G178" s="78" t="s">
        <v>3</v>
      </c>
      <c r="H178" s="83" t="s">
        <v>43</v>
      </c>
      <c r="I178" s="88">
        <f t="shared" si="9"/>
        <v>0.65</v>
      </c>
      <c r="J178" s="143">
        <f t="shared" si="5"/>
        <v>0.65</v>
      </c>
    </row>
    <row r="179" spans="1:27" hidden="1" outlineLevel="1" x14ac:dyDescent="0.2">
      <c r="A179" s="74">
        <v>37</v>
      </c>
      <c r="B179" s="80" t="s">
        <v>138</v>
      </c>
      <c r="C179" s="78"/>
      <c r="D179" s="77">
        <v>3.5</v>
      </c>
      <c r="E179" s="77">
        <v>10</v>
      </c>
      <c r="F179" s="77">
        <f t="shared" si="8"/>
        <v>6.5</v>
      </c>
      <c r="G179" s="78" t="s">
        <v>3</v>
      </c>
      <c r="H179" s="82" t="s">
        <v>43</v>
      </c>
      <c r="I179" s="88">
        <f t="shared" si="9"/>
        <v>0.65</v>
      </c>
      <c r="J179" s="143">
        <f t="shared" si="5"/>
        <v>0.65</v>
      </c>
    </row>
    <row r="180" spans="1:27" hidden="1" outlineLevel="1" x14ac:dyDescent="0.2">
      <c r="A180" s="74">
        <v>5</v>
      </c>
      <c r="B180" s="80" t="s">
        <v>133</v>
      </c>
      <c r="C180" s="78"/>
      <c r="D180" s="77">
        <v>10</v>
      </c>
      <c r="E180" s="77">
        <v>15</v>
      </c>
      <c r="F180" s="77">
        <f t="shared" si="8"/>
        <v>5</v>
      </c>
      <c r="G180" s="78" t="s">
        <v>3</v>
      </c>
      <c r="H180" s="83" t="s">
        <v>43</v>
      </c>
      <c r="I180" s="88">
        <f t="shared" si="9"/>
        <v>0.33333333333333331</v>
      </c>
      <c r="J180" s="143">
        <f t="shared" si="5"/>
        <v>0.33333333333333331</v>
      </c>
      <c r="P180" s="90">
        <v>0.35</v>
      </c>
      <c r="Q180" s="90">
        <v>0.1</v>
      </c>
      <c r="R180" s="91" t="s">
        <v>166</v>
      </c>
    </row>
    <row r="181" spans="1:27" hidden="1" outlineLevel="1" x14ac:dyDescent="0.2">
      <c r="A181" s="74">
        <v>44</v>
      </c>
      <c r="B181" s="80" t="s">
        <v>170</v>
      </c>
      <c r="C181" s="78"/>
      <c r="D181" s="77">
        <v>35</v>
      </c>
      <c r="E181" s="77">
        <v>40</v>
      </c>
      <c r="F181" s="77">
        <f t="shared" si="8"/>
        <v>5</v>
      </c>
      <c r="G181" s="78" t="s">
        <v>3</v>
      </c>
      <c r="H181" s="82" t="s">
        <v>43</v>
      </c>
      <c r="I181" s="88">
        <f t="shared" si="9"/>
        <v>0.125</v>
      </c>
      <c r="J181" s="143">
        <f t="shared" si="5"/>
        <v>0.125</v>
      </c>
      <c r="L181" s="71" t="s">
        <v>160</v>
      </c>
      <c r="M181" s="72" t="s">
        <v>152</v>
      </c>
      <c r="N181" s="71" t="s">
        <v>161</v>
      </c>
      <c r="O181" s="73">
        <v>900</v>
      </c>
      <c r="P181" s="92">
        <v>1200</v>
      </c>
      <c r="Q181" s="92">
        <f>P181-(P181*$Q$180)</f>
        <v>1080</v>
      </c>
      <c r="R181" s="92">
        <f>Q181-O181</f>
        <v>180</v>
      </c>
    </row>
    <row r="182" spans="1:27" hidden="1" outlineLevel="1" x14ac:dyDescent="0.2">
      <c r="A182" s="74">
        <v>45</v>
      </c>
      <c r="B182" s="48" t="s">
        <v>73</v>
      </c>
      <c r="C182" s="49">
        <v>1</v>
      </c>
      <c r="D182" s="93">
        <v>12</v>
      </c>
      <c r="E182" s="77">
        <v>14.0548</v>
      </c>
      <c r="F182" s="77">
        <f>SUM(E182-(E182*0.18))</f>
        <v>11.524936</v>
      </c>
      <c r="G182" s="78" t="s">
        <v>3</v>
      </c>
      <c r="H182" s="82" t="s">
        <v>107</v>
      </c>
      <c r="I182" s="88">
        <f t="shared" si="9"/>
        <v>0.82000000000000006</v>
      </c>
      <c r="J182" s="143">
        <f t="shared" si="5"/>
        <v>0.82000000000000006</v>
      </c>
      <c r="L182" s="71" t="s">
        <v>159</v>
      </c>
      <c r="M182" s="72" t="s">
        <v>152</v>
      </c>
      <c r="N182" s="71" t="s">
        <v>161</v>
      </c>
      <c r="O182" s="73">
        <v>1250</v>
      </c>
      <c r="P182" s="92">
        <v>1650</v>
      </c>
      <c r="Q182" s="92">
        <f t="shared" ref="Q182:Q187" si="10">P182-(P182*$Q$180)</f>
        <v>1485</v>
      </c>
      <c r="R182" s="92">
        <f t="shared" ref="R182:R187" si="11">Q182-O182</f>
        <v>235</v>
      </c>
    </row>
    <row r="183" spans="1:27" hidden="1" outlineLevel="1" x14ac:dyDescent="0.2">
      <c r="A183" s="74">
        <v>46</v>
      </c>
      <c r="B183" s="48" t="s">
        <v>171</v>
      </c>
      <c r="C183" s="49">
        <v>1</v>
      </c>
      <c r="D183" s="93">
        <v>2</v>
      </c>
      <c r="E183" s="77">
        <v>5.7317999999999998</v>
      </c>
      <c r="F183" s="77">
        <f t="shared" si="8"/>
        <v>3.7317999999999998</v>
      </c>
      <c r="G183" s="78" t="s">
        <v>3</v>
      </c>
      <c r="H183" s="82" t="s">
        <v>107</v>
      </c>
      <c r="I183" s="88">
        <f t="shared" si="9"/>
        <v>0.65106947206811128</v>
      </c>
      <c r="J183" s="143">
        <f t="shared" si="5"/>
        <v>0.65106947206811128</v>
      </c>
      <c r="L183" s="71" t="s">
        <v>158</v>
      </c>
      <c r="M183" s="72" t="s">
        <v>153</v>
      </c>
      <c r="N183" s="71" t="s">
        <v>163</v>
      </c>
      <c r="O183" s="73">
        <v>1200</v>
      </c>
      <c r="P183" s="92">
        <v>1600</v>
      </c>
      <c r="Q183" s="92">
        <f t="shared" si="10"/>
        <v>1440</v>
      </c>
      <c r="R183" s="92">
        <f t="shared" si="11"/>
        <v>240</v>
      </c>
      <c r="AA183" s="92"/>
    </row>
    <row r="184" spans="1:27" hidden="1" outlineLevel="1" x14ac:dyDescent="0.2">
      <c r="A184" s="74">
        <v>47</v>
      </c>
      <c r="B184" s="48" t="s">
        <v>77</v>
      </c>
      <c r="C184" s="49">
        <v>1</v>
      </c>
      <c r="D184" s="93">
        <v>1</v>
      </c>
      <c r="E184" s="77">
        <v>6.2812000000000001</v>
      </c>
      <c r="F184" s="77">
        <f t="shared" si="8"/>
        <v>5.2812000000000001</v>
      </c>
      <c r="G184" s="78" t="s">
        <v>3</v>
      </c>
      <c r="H184" s="82" t="s">
        <v>107</v>
      </c>
      <c r="I184" s="88">
        <f t="shared" si="9"/>
        <v>0.84079475259504555</v>
      </c>
      <c r="J184" s="143">
        <f t="shared" si="5"/>
        <v>0.84079475259504555</v>
      </c>
      <c r="L184" s="71" t="s">
        <v>157</v>
      </c>
      <c r="M184" s="72" t="s">
        <v>154</v>
      </c>
      <c r="N184" s="71" t="s">
        <v>164</v>
      </c>
      <c r="O184" s="73">
        <v>1360</v>
      </c>
      <c r="P184" s="92">
        <v>1800</v>
      </c>
      <c r="Q184" s="92">
        <f t="shared" si="10"/>
        <v>1620</v>
      </c>
      <c r="R184" s="92">
        <f t="shared" si="11"/>
        <v>260</v>
      </c>
      <c r="AA184" s="92"/>
    </row>
    <row r="185" spans="1:27" hidden="1" outlineLevel="1" x14ac:dyDescent="0.2">
      <c r="A185" s="74">
        <v>48</v>
      </c>
      <c r="B185" s="48" t="s">
        <v>172</v>
      </c>
      <c r="C185" s="49">
        <v>1</v>
      </c>
      <c r="D185" s="93">
        <v>6</v>
      </c>
      <c r="E185" s="77">
        <v>8.3886000000000003</v>
      </c>
      <c r="F185" s="77">
        <f t="shared" si="8"/>
        <v>2.3886000000000003</v>
      </c>
      <c r="G185" s="78" t="s">
        <v>3</v>
      </c>
      <c r="H185" s="82" t="s">
        <v>107</v>
      </c>
      <c r="I185" s="88">
        <f t="shared" si="9"/>
        <v>0.28474358057363569</v>
      </c>
      <c r="J185" s="143">
        <f t="shared" si="5"/>
        <v>0.28474358057363569</v>
      </c>
      <c r="L185" s="71" t="s">
        <v>156</v>
      </c>
      <c r="M185" s="72" t="s">
        <v>153</v>
      </c>
      <c r="N185" s="71" t="s">
        <v>162</v>
      </c>
      <c r="O185" s="73">
        <v>1260</v>
      </c>
      <c r="P185" s="92">
        <v>1700</v>
      </c>
      <c r="Q185" s="92">
        <f t="shared" si="10"/>
        <v>1530</v>
      </c>
      <c r="R185" s="92">
        <f t="shared" si="11"/>
        <v>270</v>
      </c>
      <c r="AA185" s="92"/>
    </row>
    <row r="186" spans="1:27" hidden="1" outlineLevel="1" x14ac:dyDescent="0.2">
      <c r="A186" s="74">
        <v>49</v>
      </c>
      <c r="B186" s="48" t="s">
        <v>79</v>
      </c>
      <c r="C186" s="49">
        <v>1</v>
      </c>
      <c r="D186" s="93">
        <v>6</v>
      </c>
      <c r="E186" s="77">
        <v>8.1999999999999993</v>
      </c>
      <c r="F186" s="77">
        <f t="shared" si="8"/>
        <v>2.1999999999999993</v>
      </c>
      <c r="G186" s="78" t="s">
        <v>3</v>
      </c>
      <c r="H186" s="82" t="s">
        <v>107</v>
      </c>
      <c r="I186" s="88">
        <f t="shared" si="9"/>
        <v>0.26829268292682923</v>
      </c>
      <c r="J186" s="143">
        <f t="shared" si="5"/>
        <v>0.26829268292682923</v>
      </c>
      <c r="L186" s="71" t="s">
        <v>156</v>
      </c>
      <c r="M186" s="72" t="s">
        <v>154</v>
      </c>
      <c r="N186" s="71" t="s">
        <v>161</v>
      </c>
      <c r="O186" s="73">
        <v>1360</v>
      </c>
      <c r="P186" s="92">
        <v>1850</v>
      </c>
      <c r="Q186" s="92">
        <f t="shared" si="10"/>
        <v>1665</v>
      </c>
      <c r="R186" s="92">
        <f t="shared" si="11"/>
        <v>305</v>
      </c>
      <c r="AA186" s="92"/>
    </row>
    <row r="187" spans="1:27" hidden="1" outlineLevel="1" x14ac:dyDescent="0.2">
      <c r="A187" s="74">
        <v>50</v>
      </c>
      <c r="B187" s="48" t="s">
        <v>81</v>
      </c>
      <c r="C187" s="49">
        <v>1</v>
      </c>
      <c r="D187" s="93">
        <v>5</v>
      </c>
      <c r="E187" s="77">
        <v>8.1999999999999993</v>
      </c>
      <c r="F187" s="77">
        <f t="shared" si="8"/>
        <v>3.1999999999999993</v>
      </c>
      <c r="G187" s="78" t="s">
        <v>3</v>
      </c>
      <c r="H187" s="82" t="s">
        <v>107</v>
      </c>
      <c r="I187" s="88">
        <f t="shared" si="9"/>
        <v>0.39024390243902435</v>
      </c>
      <c r="J187" s="143">
        <f t="shared" si="5"/>
        <v>0.39024390243902435</v>
      </c>
      <c r="L187" s="71" t="s">
        <v>155</v>
      </c>
      <c r="M187" s="72" t="s">
        <v>165</v>
      </c>
      <c r="N187" s="71" t="s">
        <v>162</v>
      </c>
      <c r="O187" s="73">
        <v>1800</v>
      </c>
      <c r="P187" s="92">
        <v>2399</v>
      </c>
      <c r="Q187" s="92">
        <f t="shared" si="10"/>
        <v>2159.1</v>
      </c>
      <c r="R187" s="92">
        <f t="shared" si="11"/>
        <v>359.09999999999991</v>
      </c>
      <c r="AA187" s="92"/>
    </row>
    <row r="188" spans="1:27" hidden="1" outlineLevel="1" x14ac:dyDescent="0.2">
      <c r="A188" s="74">
        <v>51</v>
      </c>
      <c r="B188" s="48" t="s">
        <v>173</v>
      </c>
      <c r="C188" s="49">
        <v>1</v>
      </c>
      <c r="D188" s="93">
        <v>3.8</v>
      </c>
      <c r="E188" s="77">
        <v>12.341000000000001</v>
      </c>
      <c r="F188" s="77">
        <f t="shared" si="8"/>
        <v>8.5410000000000004</v>
      </c>
      <c r="G188" s="78" t="s">
        <v>3</v>
      </c>
      <c r="H188" s="82" t="s">
        <v>107</v>
      </c>
      <c r="I188" s="88">
        <f t="shared" si="9"/>
        <v>0.69208329957053716</v>
      </c>
      <c r="J188" s="143">
        <f t="shared" si="5"/>
        <v>0.69208329957053716</v>
      </c>
      <c r="AA188" s="92"/>
    </row>
    <row r="189" spans="1:27" hidden="1" outlineLevel="1" x14ac:dyDescent="0.2">
      <c r="A189" s="74">
        <v>52</v>
      </c>
      <c r="B189" s="48" t="s">
        <v>122</v>
      </c>
      <c r="C189" s="49">
        <v>1</v>
      </c>
      <c r="D189" s="93">
        <v>2</v>
      </c>
      <c r="E189" s="77">
        <v>5.0347999999999997</v>
      </c>
      <c r="F189" s="77">
        <f t="shared" si="8"/>
        <v>3.0347999999999997</v>
      </c>
      <c r="G189" s="78" t="s">
        <v>3</v>
      </c>
      <c r="H189" s="82" t="s">
        <v>107</v>
      </c>
      <c r="I189" s="88">
        <f t="shared" si="9"/>
        <v>0.60276475728926671</v>
      </c>
      <c r="J189" s="143">
        <f t="shared" si="5"/>
        <v>0.60276475728926671</v>
      </c>
      <c r="AA189" s="92"/>
    </row>
    <row r="190" spans="1:27" hidden="1" outlineLevel="1" x14ac:dyDescent="0.2">
      <c r="A190" s="74">
        <v>53</v>
      </c>
      <c r="B190" s="48" t="s">
        <v>69</v>
      </c>
      <c r="C190" s="49">
        <v>1</v>
      </c>
      <c r="D190" s="93">
        <v>2.5</v>
      </c>
      <c r="E190" s="77">
        <v>8.1999999999999993</v>
      </c>
      <c r="F190" s="77">
        <f t="shared" si="8"/>
        <v>5.6999999999999993</v>
      </c>
      <c r="G190" s="78" t="s">
        <v>3</v>
      </c>
      <c r="H190" s="82" t="s">
        <v>107</v>
      </c>
      <c r="I190" s="88">
        <f t="shared" si="9"/>
        <v>0.69512195121951215</v>
      </c>
      <c r="J190" s="143">
        <f t="shared" si="5"/>
        <v>0.69512195121951215</v>
      </c>
    </row>
    <row r="191" spans="1:27" hidden="1" outlineLevel="1" x14ac:dyDescent="0.2">
      <c r="A191" s="74">
        <v>54</v>
      </c>
      <c r="B191" s="48" t="s">
        <v>57</v>
      </c>
      <c r="C191" s="49">
        <v>1</v>
      </c>
      <c r="D191" s="93">
        <v>6</v>
      </c>
      <c r="E191" s="77">
        <v>9.8236000000000008</v>
      </c>
      <c r="F191" s="77">
        <f t="shared" si="8"/>
        <v>3.8236000000000008</v>
      </c>
      <c r="G191" s="78" t="s">
        <v>3</v>
      </c>
      <c r="H191" s="82" t="s">
        <v>107</v>
      </c>
      <c r="I191" s="88">
        <f t="shared" si="9"/>
        <v>0.3892259456818275</v>
      </c>
      <c r="J191" s="143">
        <f t="shared" si="5"/>
        <v>0.3892259456818275</v>
      </c>
    </row>
    <row r="192" spans="1:27" hidden="1" outlineLevel="1" x14ac:dyDescent="0.2">
      <c r="A192" s="74">
        <v>55</v>
      </c>
      <c r="B192" s="48" t="s">
        <v>174</v>
      </c>
      <c r="C192" s="49">
        <v>1</v>
      </c>
      <c r="D192" s="93">
        <v>5</v>
      </c>
      <c r="E192" s="77">
        <v>9.1265999999999998</v>
      </c>
      <c r="F192" s="77">
        <f t="shared" si="8"/>
        <v>4.1265999999999998</v>
      </c>
      <c r="G192" s="78" t="s">
        <v>3</v>
      </c>
      <c r="H192" s="82" t="s">
        <v>107</v>
      </c>
      <c r="I192" s="88">
        <f t="shared" si="9"/>
        <v>0.45215085574036334</v>
      </c>
      <c r="J192" s="143">
        <f t="shared" si="5"/>
        <v>0.45215085574036334</v>
      </c>
    </row>
    <row r="193" spans="1:18" hidden="1" outlineLevel="1" x14ac:dyDescent="0.2">
      <c r="A193" s="74">
        <v>56</v>
      </c>
      <c r="B193" s="48" t="s">
        <v>175</v>
      </c>
      <c r="C193" s="49">
        <v>1</v>
      </c>
      <c r="D193" s="93">
        <v>10</v>
      </c>
      <c r="E193" s="77">
        <v>17.2118</v>
      </c>
      <c r="F193" s="77">
        <f t="shared" si="8"/>
        <v>7.2118000000000002</v>
      </c>
      <c r="G193" s="78" t="s">
        <v>3</v>
      </c>
      <c r="H193" s="82" t="s">
        <v>107</v>
      </c>
      <c r="I193" s="88">
        <f t="shared" si="9"/>
        <v>0.41900324196190986</v>
      </c>
      <c r="J193" s="143">
        <f t="shared" si="5"/>
        <v>0.41900324196190986</v>
      </c>
      <c r="O193" s="72"/>
      <c r="R193" s="92"/>
    </row>
    <row r="194" spans="1:18" hidden="1" outlineLevel="1" x14ac:dyDescent="0.2">
      <c r="A194" s="74">
        <v>57</v>
      </c>
      <c r="B194" s="48" t="s">
        <v>176</v>
      </c>
      <c r="C194" s="49">
        <v>1</v>
      </c>
      <c r="D194" s="93">
        <v>2</v>
      </c>
      <c r="E194" s="77">
        <v>11.086399999999999</v>
      </c>
      <c r="F194" s="77">
        <f t="shared" si="8"/>
        <v>9.0863999999999994</v>
      </c>
      <c r="G194" s="78" t="s">
        <v>3</v>
      </c>
      <c r="H194" s="82" t="s">
        <v>107</v>
      </c>
      <c r="I194" s="88">
        <f t="shared" si="9"/>
        <v>0.8195987877038533</v>
      </c>
      <c r="J194" s="143">
        <f t="shared" ref="J194:J257" si="12">F194/E194</f>
        <v>0.8195987877038533</v>
      </c>
      <c r="O194" s="72"/>
      <c r="R194" s="92"/>
    </row>
    <row r="195" spans="1:18" hidden="1" outlineLevel="1" x14ac:dyDescent="0.2">
      <c r="A195" s="74">
        <v>58</v>
      </c>
      <c r="B195" s="48" t="s">
        <v>177</v>
      </c>
      <c r="C195" s="49">
        <v>1</v>
      </c>
      <c r="D195" s="93">
        <v>21</v>
      </c>
      <c r="E195" s="77">
        <v>39.975000000000001</v>
      </c>
      <c r="F195" s="77">
        <f t="shared" si="8"/>
        <v>18.975000000000001</v>
      </c>
      <c r="G195" s="78" t="s">
        <v>3</v>
      </c>
      <c r="H195" s="82" t="s">
        <v>107</v>
      </c>
      <c r="I195" s="88">
        <f t="shared" si="9"/>
        <v>0.47467166979362102</v>
      </c>
      <c r="J195" s="143">
        <f t="shared" si="12"/>
        <v>0.47467166979362102</v>
      </c>
      <c r="O195" s="72"/>
      <c r="R195" s="92"/>
    </row>
    <row r="196" spans="1:18" hidden="1" outlineLevel="1" x14ac:dyDescent="0.2">
      <c r="A196" s="74">
        <v>59</v>
      </c>
      <c r="B196" s="48" t="s">
        <v>178</v>
      </c>
      <c r="C196" s="49">
        <v>1</v>
      </c>
      <c r="D196" s="93">
        <v>8</v>
      </c>
      <c r="E196" s="77">
        <v>16.399999999999999</v>
      </c>
      <c r="F196" s="77">
        <f t="shared" si="8"/>
        <v>8.3999999999999986</v>
      </c>
      <c r="G196" s="78" t="s">
        <v>3</v>
      </c>
      <c r="H196" s="82" t="s">
        <v>107</v>
      </c>
      <c r="I196" s="88">
        <f t="shared" si="9"/>
        <v>0.51219512195121952</v>
      </c>
      <c r="J196" s="143">
        <f t="shared" si="12"/>
        <v>0.51219512195121952</v>
      </c>
      <c r="O196" s="72"/>
      <c r="R196" s="92"/>
    </row>
    <row r="197" spans="1:18" hidden="1" outlineLevel="1" x14ac:dyDescent="0.2">
      <c r="A197" s="74">
        <v>60</v>
      </c>
      <c r="B197" s="48" t="s">
        <v>179</v>
      </c>
      <c r="C197" s="49">
        <v>1</v>
      </c>
      <c r="D197" s="93">
        <v>10</v>
      </c>
      <c r="E197" s="77">
        <v>13.94</v>
      </c>
      <c r="F197" s="77">
        <f t="shared" si="8"/>
        <v>3.9399999999999995</v>
      </c>
      <c r="G197" s="78" t="s">
        <v>3</v>
      </c>
      <c r="H197" s="82" t="s">
        <v>107</v>
      </c>
      <c r="I197" s="88">
        <f t="shared" si="9"/>
        <v>0.28263988522238159</v>
      </c>
      <c r="J197" s="143">
        <f t="shared" si="12"/>
        <v>0.28263988522238159</v>
      </c>
      <c r="O197" s="72"/>
      <c r="R197" s="92"/>
    </row>
    <row r="198" spans="1:18" hidden="1" outlineLevel="1" x14ac:dyDescent="0.2">
      <c r="A198" s="74">
        <v>61</v>
      </c>
      <c r="B198" s="48" t="s">
        <v>128</v>
      </c>
      <c r="C198" s="49">
        <v>1</v>
      </c>
      <c r="D198" s="93">
        <v>10</v>
      </c>
      <c r="E198" s="77">
        <v>16.162200000000002</v>
      </c>
      <c r="F198" s="77">
        <f t="shared" si="8"/>
        <v>6.1622000000000021</v>
      </c>
      <c r="G198" s="78" t="s">
        <v>3</v>
      </c>
      <c r="H198" s="82" t="s">
        <v>107</v>
      </c>
      <c r="I198" s="88">
        <f t="shared" si="9"/>
        <v>0.38127235153630085</v>
      </c>
      <c r="J198" s="143">
        <f t="shared" si="12"/>
        <v>0.38127235153630085</v>
      </c>
      <c r="O198" s="72"/>
      <c r="R198" s="92"/>
    </row>
    <row r="199" spans="1:18" hidden="1" outlineLevel="1" x14ac:dyDescent="0.2">
      <c r="A199" s="74">
        <v>62</v>
      </c>
      <c r="B199" s="48" t="s">
        <v>180</v>
      </c>
      <c r="C199" s="49">
        <v>1</v>
      </c>
      <c r="D199" s="93">
        <v>0.5</v>
      </c>
      <c r="E199" s="77">
        <v>1.5744</v>
      </c>
      <c r="F199" s="77">
        <f t="shared" si="8"/>
        <v>1.0744</v>
      </c>
      <c r="G199" s="78" t="s">
        <v>3</v>
      </c>
      <c r="H199" s="82" t="s">
        <v>107</v>
      </c>
      <c r="I199" s="88">
        <f t="shared" si="9"/>
        <v>0.68241869918699183</v>
      </c>
      <c r="J199" s="143">
        <f t="shared" si="12"/>
        <v>0.68241869918699183</v>
      </c>
      <c r="O199" s="72"/>
      <c r="R199" s="92"/>
    </row>
    <row r="200" spans="1:18" hidden="1" outlineLevel="1" x14ac:dyDescent="0.2">
      <c r="A200" s="74">
        <v>63</v>
      </c>
      <c r="B200" s="48" t="s">
        <v>181</v>
      </c>
      <c r="C200" s="49">
        <v>1</v>
      </c>
      <c r="D200" s="93">
        <v>10</v>
      </c>
      <c r="E200" s="77">
        <v>15.744</v>
      </c>
      <c r="F200" s="77">
        <f t="shared" si="8"/>
        <v>5.7439999999999998</v>
      </c>
      <c r="G200" s="78" t="s">
        <v>3</v>
      </c>
      <c r="H200" s="82" t="s">
        <v>107</v>
      </c>
      <c r="I200" s="88">
        <f t="shared" si="9"/>
        <v>0.36483739837398371</v>
      </c>
      <c r="J200" s="143">
        <f t="shared" si="12"/>
        <v>0.36483739837398371</v>
      </c>
    </row>
    <row r="201" spans="1:18" hidden="1" outlineLevel="1" x14ac:dyDescent="0.2">
      <c r="A201" s="74">
        <v>64</v>
      </c>
      <c r="B201" s="48" t="s">
        <v>83</v>
      </c>
      <c r="C201" s="49">
        <v>2</v>
      </c>
      <c r="D201" s="93">
        <v>2.8</v>
      </c>
      <c r="E201" s="77">
        <v>6.15</v>
      </c>
      <c r="F201" s="77">
        <f t="shared" si="8"/>
        <v>3.3500000000000005</v>
      </c>
      <c r="G201" s="78" t="s">
        <v>3</v>
      </c>
      <c r="H201" s="82" t="s">
        <v>107</v>
      </c>
      <c r="I201" s="88">
        <f t="shared" si="9"/>
        <v>0.54471544715447162</v>
      </c>
      <c r="J201" s="143">
        <f t="shared" si="12"/>
        <v>0.54471544715447162</v>
      </c>
    </row>
    <row r="202" spans="1:18" hidden="1" outlineLevel="1" x14ac:dyDescent="0.2">
      <c r="A202" s="74">
        <v>65</v>
      </c>
      <c r="B202" s="48" t="s">
        <v>253</v>
      </c>
      <c r="C202" s="49">
        <v>2</v>
      </c>
      <c r="D202" s="93">
        <v>4</v>
      </c>
      <c r="E202" s="77">
        <v>14.76</v>
      </c>
      <c r="F202" s="77">
        <f t="shared" si="8"/>
        <v>10.76</v>
      </c>
      <c r="G202" s="78" t="s">
        <v>3</v>
      </c>
      <c r="H202" s="82" t="s">
        <v>107</v>
      </c>
      <c r="I202" s="88">
        <f t="shared" si="9"/>
        <v>0.7289972899728997</v>
      </c>
      <c r="J202" s="143">
        <f t="shared" si="12"/>
        <v>0.7289972899728997</v>
      </c>
    </row>
    <row r="203" spans="1:18" hidden="1" outlineLevel="1" x14ac:dyDescent="0.2">
      <c r="A203" s="74">
        <v>66</v>
      </c>
      <c r="B203" s="48" t="s">
        <v>127</v>
      </c>
      <c r="C203" s="49">
        <v>2</v>
      </c>
      <c r="D203" s="93">
        <v>10</v>
      </c>
      <c r="E203" s="77">
        <v>16.399999999999999</v>
      </c>
      <c r="F203" s="77">
        <f t="shared" si="8"/>
        <v>6.3999999999999986</v>
      </c>
      <c r="G203" s="78" t="s">
        <v>3</v>
      </c>
      <c r="H203" s="82" t="s">
        <v>107</v>
      </c>
      <c r="I203" s="88">
        <f t="shared" si="9"/>
        <v>0.39024390243902435</v>
      </c>
      <c r="J203" s="143">
        <f t="shared" si="12"/>
        <v>0.39024390243902435</v>
      </c>
    </row>
    <row r="204" spans="1:18" hidden="1" outlineLevel="1" x14ac:dyDescent="0.2">
      <c r="A204" s="74">
        <v>67</v>
      </c>
      <c r="B204" s="48" t="s">
        <v>180</v>
      </c>
      <c r="C204" s="49">
        <v>2</v>
      </c>
      <c r="D204" s="93">
        <v>1</v>
      </c>
      <c r="E204" s="77">
        <v>4.0999999999999996</v>
      </c>
      <c r="F204" s="77">
        <f t="shared" si="8"/>
        <v>3.0999999999999996</v>
      </c>
      <c r="G204" s="78" t="s">
        <v>3</v>
      </c>
      <c r="H204" s="82" t="s">
        <v>107</v>
      </c>
      <c r="I204" s="88">
        <f t="shared" si="9"/>
        <v>0.75609756097560976</v>
      </c>
      <c r="J204" s="143">
        <f t="shared" si="12"/>
        <v>0.75609756097560976</v>
      </c>
    </row>
    <row r="205" spans="1:18" hidden="1" outlineLevel="1" x14ac:dyDescent="0.2">
      <c r="A205" s="74">
        <v>68</v>
      </c>
      <c r="B205" s="48" t="s">
        <v>104</v>
      </c>
      <c r="C205" s="49">
        <v>4</v>
      </c>
      <c r="D205" s="93">
        <v>160</v>
      </c>
      <c r="E205" s="77">
        <v>216.7998</v>
      </c>
      <c r="F205" s="77">
        <f t="shared" ref="F205:F219" si="13">E205-D205</f>
        <v>56.799800000000005</v>
      </c>
      <c r="G205" s="78" t="s">
        <v>3</v>
      </c>
      <c r="H205" s="82" t="s">
        <v>107</v>
      </c>
      <c r="I205" s="88">
        <f t="shared" ref="I205:I219" si="14">F205/E205</f>
        <v>0.2619919391069549</v>
      </c>
      <c r="J205" s="143">
        <f t="shared" si="12"/>
        <v>0.2619919391069549</v>
      </c>
    </row>
    <row r="206" spans="1:18" hidden="1" outlineLevel="1" x14ac:dyDescent="0.2">
      <c r="A206" s="74">
        <v>69</v>
      </c>
      <c r="B206" s="48" t="s">
        <v>121</v>
      </c>
      <c r="C206" s="49">
        <v>4</v>
      </c>
      <c r="D206" s="93">
        <v>48</v>
      </c>
      <c r="E206" s="77">
        <v>92.684600000000003</v>
      </c>
      <c r="F206" s="77">
        <f t="shared" si="13"/>
        <v>44.684600000000003</v>
      </c>
      <c r="G206" s="78" t="s">
        <v>3</v>
      </c>
      <c r="H206" s="82" t="s">
        <v>107</v>
      </c>
      <c r="I206" s="88">
        <f t="shared" si="14"/>
        <v>0.4821146123519981</v>
      </c>
      <c r="J206" s="143">
        <f t="shared" si="12"/>
        <v>0.4821146123519981</v>
      </c>
    </row>
    <row r="207" spans="1:18" hidden="1" outlineLevel="1" x14ac:dyDescent="0.2">
      <c r="A207" s="74">
        <v>70</v>
      </c>
      <c r="B207" s="48" t="s">
        <v>102</v>
      </c>
      <c r="C207" s="49">
        <v>4</v>
      </c>
      <c r="D207" s="93">
        <v>24</v>
      </c>
      <c r="E207" s="77">
        <v>102.6722</v>
      </c>
      <c r="F207" s="77">
        <f t="shared" si="13"/>
        <v>78.672200000000004</v>
      </c>
      <c r="G207" s="78" t="s">
        <v>3</v>
      </c>
      <c r="H207" s="82" t="s">
        <v>107</v>
      </c>
      <c r="I207" s="88">
        <f t="shared" si="14"/>
        <v>0.76624636464398344</v>
      </c>
      <c r="J207" s="143">
        <f t="shared" si="12"/>
        <v>0.76624636464398344</v>
      </c>
    </row>
    <row r="208" spans="1:18" hidden="1" outlineLevel="1" x14ac:dyDescent="0.2">
      <c r="A208" s="74">
        <v>71</v>
      </c>
      <c r="B208" s="48" t="s">
        <v>65</v>
      </c>
      <c r="C208" s="49">
        <v>5</v>
      </c>
      <c r="D208" s="93">
        <v>5</v>
      </c>
      <c r="E208" s="77">
        <v>12.603399999999999</v>
      </c>
      <c r="F208" s="77">
        <f t="shared" si="13"/>
        <v>7.6033999999999988</v>
      </c>
      <c r="G208" s="78" t="s">
        <v>3</v>
      </c>
      <c r="H208" s="82" t="s">
        <v>107</v>
      </c>
      <c r="I208" s="88">
        <f t="shared" si="14"/>
        <v>0.60328165415681478</v>
      </c>
      <c r="J208" s="143">
        <f t="shared" si="12"/>
        <v>0.60328165415681478</v>
      </c>
    </row>
    <row r="209" spans="1:10" hidden="1" outlineLevel="1" x14ac:dyDescent="0.2">
      <c r="A209" s="74">
        <v>72</v>
      </c>
      <c r="B209" s="48" t="s">
        <v>123</v>
      </c>
      <c r="C209" s="49">
        <v>5</v>
      </c>
      <c r="D209" s="93">
        <v>30</v>
      </c>
      <c r="E209" s="77">
        <v>61.778800000000004</v>
      </c>
      <c r="F209" s="77">
        <f t="shared" si="13"/>
        <v>31.778800000000004</v>
      </c>
      <c r="G209" s="78" t="s">
        <v>3</v>
      </c>
      <c r="H209" s="82" t="s">
        <v>107</v>
      </c>
      <c r="I209" s="88">
        <f t="shared" si="14"/>
        <v>0.51439652437405714</v>
      </c>
      <c r="J209" s="143">
        <f t="shared" si="12"/>
        <v>0.51439652437405714</v>
      </c>
    </row>
    <row r="210" spans="1:10" hidden="1" outlineLevel="1" x14ac:dyDescent="0.2">
      <c r="A210" s="74">
        <v>73</v>
      </c>
      <c r="B210" s="48" t="s">
        <v>101</v>
      </c>
      <c r="C210" s="49">
        <v>6</v>
      </c>
      <c r="D210" s="93">
        <v>33</v>
      </c>
      <c r="E210" s="77">
        <v>109.60939999999999</v>
      </c>
      <c r="F210" s="77">
        <f t="shared" si="13"/>
        <v>76.609399999999994</v>
      </c>
      <c r="G210" s="78" t="s">
        <v>3</v>
      </c>
      <c r="H210" s="82" t="s">
        <v>107</v>
      </c>
      <c r="I210" s="88">
        <f t="shared" si="14"/>
        <v>0.69893093110627369</v>
      </c>
      <c r="J210" s="143">
        <f t="shared" si="12"/>
        <v>0.69893093110627369</v>
      </c>
    </row>
    <row r="211" spans="1:10" hidden="1" outlineLevel="1" x14ac:dyDescent="0.2">
      <c r="A211" s="74">
        <v>74</v>
      </c>
      <c r="B211" s="48" t="s">
        <v>182</v>
      </c>
      <c r="C211" s="49">
        <v>7</v>
      </c>
      <c r="D211" s="93">
        <v>35</v>
      </c>
      <c r="E211" s="77">
        <v>65.1982</v>
      </c>
      <c r="F211" s="77">
        <f t="shared" si="13"/>
        <v>30.1982</v>
      </c>
      <c r="G211" s="78" t="s">
        <v>3</v>
      </c>
      <c r="H211" s="82" t="s">
        <v>107</v>
      </c>
      <c r="I211" s="88">
        <f t="shared" si="14"/>
        <v>0.46317536373703566</v>
      </c>
      <c r="J211" s="143">
        <f t="shared" si="12"/>
        <v>0.46317536373703566</v>
      </c>
    </row>
    <row r="212" spans="1:10" hidden="1" outlineLevel="1" x14ac:dyDescent="0.2">
      <c r="A212" s="74">
        <v>75</v>
      </c>
      <c r="B212" s="48" t="s">
        <v>183</v>
      </c>
      <c r="C212" s="49">
        <v>8</v>
      </c>
      <c r="D212" s="93">
        <v>16</v>
      </c>
      <c r="E212" s="77">
        <v>21.4922</v>
      </c>
      <c r="F212" s="77">
        <f>E212-D212</f>
        <v>5.4922000000000004</v>
      </c>
      <c r="G212" s="78" t="s">
        <v>3</v>
      </c>
      <c r="H212" s="82" t="s">
        <v>107</v>
      </c>
      <c r="I212" s="88">
        <f t="shared" si="14"/>
        <v>0.25554387173020909</v>
      </c>
      <c r="J212" s="143">
        <f t="shared" si="12"/>
        <v>0.25554387173020909</v>
      </c>
    </row>
    <row r="213" spans="1:10" hidden="1" outlineLevel="1" x14ac:dyDescent="0.2">
      <c r="A213" s="74">
        <v>76</v>
      </c>
      <c r="B213" s="48" t="s">
        <v>182</v>
      </c>
      <c r="C213" s="49">
        <v>13</v>
      </c>
      <c r="D213" s="93">
        <v>390</v>
      </c>
      <c r="E213" s="77">
        <v>580.15819999999997</v>
      </c>
      <c r="F213" s="77">
        <f>E213-D213</f>
        <v>190.15819999999997</v>
      </c>
      <c r="G213" s="78" t="s">
        <v>3</v>
      </c>
      <c r="H213" s="82" t="s">
        <v>107</v>
      </c>
      <c r="I213" s="88">
        <f t="shared" si="14"/>
        <v>0.32776956354318526</v>
      </c>
      <c r="J213" s="143">
        <f t="shared" si="12"/>
        <v>0.32776956354318526</v>
      </c>
    </row>
    <row r="214" spans="1:10" hidden="1" outlineLevel="1" x14ac:dyDescent="0.2">
      <c r="A214" s="74">
        <v>77</v>
      </c>
      <c r="B214" s="48" t="s">
        <v>221</v>
      </c>
      <c r="C214" s="49">
        <v>14</v>
      </c>
      <c r="D214" s="93">
        <v>490</v>
      </c>
      <c r="E214" s="77">
        <v>791.84119999999996</v>
      </c>
      <c r="F214" s="77">
        <f t="shared" si="13"/>
        <v>301.84119999999996</v>
      </c>
      <c r="G214" s="78" t="s">
        <v>3</v>
      </c>
      <c r="H214" s="82" t="s">
        <v>107</v>
      </c>
      <c r="I214" s="88">
        <f t="shared" si="14"/>
        <v>0.38118905659367053</v>
      </c>
      <c r="J214" s="143">
        <f t="shared" si="12"/>
        <v>0.38118905659367053</v>
      </c>
    </row>
    <row r="215" spans="1:10" hidden="1" outlineLevel="1" x14ac:dyDescent="0.2">
      <c r="A215" s="74">
        <v>78</v>
      </c>
      <c r="B215" s="48" t="s">
        <v>256</v>
      </c>
      <c r="C215" s="49">
        <v>39</v>
      </c>
      <c r="D215" s="93">
        <v>156</v>
      </c>
      <c r="E215" s="77">
        <v>288.75479999999999</v>
      </c>
      <c r="F215" s="77">
        <f>E215-D215</f>
        <v>132.75479999999999</v>
      </c>
      <c r="G215" s="78" t="s">
        <v>3</v>
      </c>
      <c r="H215" s="82" t="s">
        <v>107</v>
      </c>
      <c r="I215" s="88">
        <f t="shared" si="14"/>
        <v>0.45974924053210542</v>
      </c>
      <c r="J215" s="143">
        <f t="shared" si="12"/>
        <v>0.45974924053210542</v>
      </c>
    </row>
    <row r="216" spans="1:10" hidden="1" outlineLevel="1" x14ac:dyDescent="0.2">
      <c r="A216" s="74">
        <v>79</v>
      </c>
      <c r="B216" s="48" t="s">
        <v>103</v>
      </c>
      <c r="C216" s="49">
        <v>44</v>
      </c>
      <c r="D216" s="93">
        <v>308</v>
      </c>
      <c r="E216" s="77">
        <v>621.41240000000005</v>
      </c>
      <c r="F216" s="77">
        <f t="shared" si="13"/>
        <v>313.41240000000005</v>
      </c>
      <c r="G216" s="78" t="s">
        <v>3</v>
      </c>
      <c r="H216" s="82" t="s">
        <v>107</v>
      </c>
      <c r="I216" s="88">
        <f t="shared" si="14"/>
        <v>0.50435491792568032</v>
      </c>
      <c r="J216" s="143">
        <f t="shared" si="12"/>
        <v>0.50435491792568032</v>
      </c>
    </row>
    <row r="217" spans="1:10" hidden="1" outlineLevel="1" x14ac:dyDescent="0.2">
      <c r="A217" s="74">
        <v>80</v>
      </c>
      <c r="B217" s="48" t="s">
        <v>222</v>
      </c>
      <c r="C217" s="49">
        <v>54</v>
      </c>
      <c r="D217" s="93">
        <v>2160</v>
      </c>
      <c r="E217" s="77">
        <v>3299.6800000000003</v>
      </c>
      <c r="F217" s="77">
        <f>E217-D217</f>
        <v>1139.6800000000003</v>
      </c>
      <c r="G217" s="78" t="s">
        <v>3</v>
      </c>
      <c r="H217" s="82" t="s">
        <v>107</v>
      </c>
      <c r="I217" s="88">
        <f t="shared" si="14"/>
        <v>0.34539106822479759</v>
      </c>
      <c r="J217" s="143">
        <f t="shared" si="12"/>
        <v>0.34539106822479759</v>
      </c>
    </row>
    <row r="218" spans="1:10" hidden="1" outlineLevel="1" x14ac:dyDescent="0.2">
      <c r="A218" s="74">
        <v>81</v>
      </c>
      <c r="B218" s="80" t="s">
        <v>182</v>
      </c>
      <c r="C218" s="78">
        <v>3</v>
      </c>
      <c r="D218" s="77">
        <f>40*C218</f>
        <v>120</v>
      </c>
      <c r="E218" s="77">
        <v>297</v>
      </c>
      <c r="F218" s="77">
        <f t="shared" si="13"/>
        <v>177</v>
      </c>
      <c r="G218" s="78" t="s">
        <v>3</v>
      </c>
      <c r="H218" s="82" t="s">
        <v>107</v>
      </c>
      <c r="I218" s="88">
        <f t="shared" si="14"/>
        <v>0.59595959595959591</v>
      </c>
      <c r="J218" s="143">
        <f t="shared" si="12"/>
        <v>0.59595959595959591</v>
      </c>
    </row>
    <row r="219" spans="1:10" hidden="1" outlineLevel="1" x14ac:dyDescent="0.2">
      <c r="A219" s="74">
        <v>83</v>
      </c>
      <c r="B219" s="80" t="s">
        <v>184</v>
      </c>
      <c r="C219" s="78">
        <v>5</v>
      </c>
      <c r="D219" s="77">
        <f>7*C219</f>
        <v>35</v>
      </c>
      <c r="E219" s="77">
        <f>101.38-(101.38*18%)</f>
        <v>83.131599999999992</v>
      </c>
      <c r="F219" s="77">
        <f t="shared" si="13"/>
        <v>48.131599999999992</v>
      </c>
      <c r="G219" s="78" t="s">
        <v>3</v>
      </c>
      <c r="H219" s="82" t="s">
        <v>107</v>
      </c>
      <c r="I219" s="88">
        <f t="shared" si="14"/>
        <v>0.57898079671268199</v>
      </c>
      <c r="J219" s="143">
        <f t="shared" si="12"/>
        <v>0.57898079671268199</v>
      </c>
    </row>
    <row r="220" spans="1:10" hidden="1" outlineLevel="1" x14ac:dyDescent="0.2">
      <c r="A220" s="74"/>
      <c r="B220" s="80"/>
      <c r="C220" s="78"/>
      <c r="D220" s="77"/>
      <c r="E220" s="77"/>
      <c r="F220" s="77"/>
      <c r="G220" s="78"/>
      <c r="H220" s="82"/>
      <c r="I220" s="88"/>
      <c r="J220" s="143" t="e">
        <f t="shared" si="12"/>
        <v>#DIV/0!</v>
      </c>
    </row>
    <row r="221" spans="1:10" collapsed="1" x14ac:dyDescent="0.2">
      <c r="A221" s="159" t="s">
        <v>10</v>
      </c>
      <c r="B221" s="159"/>
      <c r="C221" s="160"/>
      <c r="D221" s="94">
        <f>SUM(D222:D295)</f>
        <v>2163.6</v>
      </c>
      <c r="E221" s="94">
        <f>SUM(E222:E295)</f>
        <v>9215.93</v>
      </c>
      <c r="F221" s="94">
        <f>SUM(F222:F295)</f>
        <v>5881.0816000000004</v>
      </c>
      <c r="G221" s="68">
        <f>I221+H221</f>
        <v>462</v>
      </c>
      <c r="H221" s="68">
        <f>COUNTIF(H222:H295,"BSB")</f>
        <v>27</v>
      </c>
      <c r="I221" s="68">
        <f>SUM(C222:C295)</f>
        <v>435</v>
      </c>
      <c r="J221" s="143">
        <f t="shared" si="12"/>
        <v>0.63814304145105272</v>
      </c>
    </row>
    <row r="222" spans="1:10" hidden="1" outlineLevel="1" x14ac:dyDescent="0.2">
      <c r="A222" s="95">
        <v>4</v>
      </c>
      <c r="B222" s="96" t="s">
        <v>186</v>
      </c>
      <c r="C222" s="97"/>
      <c r="D222" s="98">
        <v>3</v>
      </c>
      <c r="E222" s="98">
        <v>6</v>
      </c>
      <c r="F222" s="98">
        <f>E222-D222</f>
        <v>3</v>
      </c>
      <c r="G222" s="97" t="s">
        <v>3</v>
      </c>
      <c r="H222" s="99" t="s">
        <v>43</v>
      </c>
      <c r="I222" s="100">
        <f t="shared" ref="I222:I283" si="15">F222/E222</f>
        <v>0.5</v>
      </c>
      <c r="J222" s="143">
        <f t="shared" si="12"/>
        <v>0.5</v>
      </c>
    </row>
    <row r="223" spans="1:10" hidden="1" outlineLevel="1" x14ac:dyDescent="0.2">
      <c r="A223" s="101">
        <v>5</v>
      </c>
      <c r="B223" s="102" t="s">
        <v>187</v>
      </c>
      <c r="C223" s="97"/>
      <c r="D223" s="104">
        <v>11</v>
      </c>
      <c r="E223" s="104">
        <v>20</v>
      </c>
      <c r="F223" s="104">
        <f t="shared" ref="F223:F247" si="16">E223-D223</f>
        <v>9</v>
      </c>
      <c r="G223" s="103" t="s">
        <v>3</v>
      </c>
      <c r="H223" s="105" t="s">
        <v>43</v>
      </c>
      <c r="I223" s="106">
        <f t="shared" si="15"/>
        <v>0.45</v>
      </c>
      <c r="J223" s="143">
        <f t="shared" si="12"/>
        <v>0.45</v>
      </c>
    </row>
    <row r="224" spans="1:10" hidden="1" outlineLevel="1" x14ac:dyDescent="0.2">
      <c r="A224" s="95">
        <v>6</v>
      </c>
      <c r="B224" s="96" t="s">
        <v>187</v>
      </c>
      <c r="C224" s="97"/>
      <c r="D224" s="98">
        <v>11</v>
      </c>
      <c r="E224" s="98">
        <v>20</v>
      </c>
      <c r="F224" s="98">
        <f t="shared" si="16"/>
        <v>9</v>
      </c>
      <c r="G224" s="97" t="s">
        <v>3</v>
      </c>
      <c r="H224" s="99" t="s">
        <v>43</v>
      </c>
      <c r="I224" s="100">
        <f t="shared" si="15"/>
        <v>0.45</v>
      </c>
      <c r="J224" s="143">
        <f t="shared" si="12"/>
        <v>0.45</v>
      </c>
    </row>
    <row r="225" spans="1:10" hidden="1" outlineLevel="1" x14ac:dyDescent="0.2">
      <c r="A225" s="101">
        <v>7</v>
      </c>
      <c r="B225" s="102" t="s">
        <v>188</v>
      </c>
      <c r="C225" s="97"/>
      <c r="D225" s="104">
        <v>18.5</v>
      </c>
      <c r="E225" s="104">
        <v>40</v>
      </c>
      <c r="F225" s="104">
        <f t="shared" si="16"/>
        <v>21.5</v>
      </c>
      <c r="G225" s="103" t="s">
        <v>3</v>
      </c>
      <c r="H225" s="105" t="s">
        <v>43</v>
      </c>
      <c r="I225" s="106">
        <f t="shared" si="15"/>
        <v>0.53749999999999998</v>
      </c>
      <c r="J225" s="143">
        <f t="shared" si="12"/>
        <v>0.53749999999999998</v>
      </c>
    </row>
    <row r="226" spans="1:10" hidden="1" outlineLevel="1" x14ac:dyDescent="0.2">
      <c r="A226" s="95">
        <v>8</v>
      </c>
      <c r="B226" s="96" t="s">
        <v>203</v>
      </c>
      <c r="C226" s="97"/>
      <c r="D226" s="98">
        <v>70</v>
      </c>
      <c r="E226" s="98">
        <v>120</v>
      </c>
      <c r="F226" s="98">
        <f t="shared" si="16"/>
        <v>50</v>
      </c>
      <c r="G226" s="97" t="s">
        <v>3</v>
      </c>
      <c r="H226" s="99" t="s">
        <v>43</v>
      </c>
      <c r="I226" s="100">
        <f t="shared" si="15"/>
        <v>0.41666666666666669</v>
      </c>
      <c r="J226" s="143">
        <f t="shared" si="12"/>
        <v>0.41666666666666669</v>
      </c>
    </row>
    <row r="227" spans="1:10" hidden="1" outlineLevel="1" x14ac:dyDescent="0.2">
      <c r="A227" s="101">
        <v>9</v>
      </c>
      <c r="B227" s="102" t="s">
        <v>203</v>
      </c>
      <c r="C227" s="97"/>
      <c r="D227" s="104">
        <v>70</v>
      </c>
      <c r="E227" s="104">
        <v>120</v>
      </c>
      <c r="F227" s="104">
        <f t="shared" si="16"/>
        <v>50</v>
      </c>
      <c r="G227" s="103" t="s">
        <v>3</v>
      </c>
      <c r="H227" s="105" t="s">
        <v>43</v>
      </c>
      <c r="I227" s="106">
        <f t="shared" si="15"/>
        <v>0.41666666666666669</v>
      </c>
      <c r="J227" s="143">
        <f t="shared" si="12"/>
        <v>0.41666666666666669</v>
      </c>
    </row>
    <row r="228" spans="1:10" hidden="1" outlineLevel="1" x14ac:dyDescent="0.2">
      <c r="A228" s="95">
        <v>10</v>
      </c>
      <c r="B228" s="96" t="s">
        <v>204</v>
      </c>
      <c r="C228" s="97"/>
      <c r="D228" s="98">
        <v>45</v>
      </c>
      <c r="E228" s="98">
        <v>100</v>
      </c>
      <c r="F228" s="98">
        <f t="shared" si="16"/>
        <v>55</v>
      </c>
      <c r="G228" s="97" t="s">
        <v>3</v>
      </c>
      <c r="H228" s="99" t="s">
        <v>43</v>
      </c>
      <c r="I228" s="100">
        <f t="shared" si="15"/>
        <v>0.55000000000000004</v>
      </c>
      <c r="J228" s="143">
        <f t="shared" si="12"/>
        <v>0.55000000000000004</v>
      </c>
    </row>
    <row r="229" spans="1:10" hidden="1" outlineLevel="1" x14ac:dyDescent="0.2">
      <c r="A229" s="101">
        <v>11</v>
      </c>
      <c r="B229" s="102" t="s">
        <v>135</v>
      </c>
      <c r="C229" s="97"/>
      <c r="D229" s="104">
        <v>18</v>
      </c>
      <c r="E229" s="104">
        <v>40</v>
      </c>
      <c r="F229" s="104">
        <f t="shared" si="16"/>
        <v>22</v>
      </c>
      <c r="G229" s="103" t="s">
        <v>3</v>
      </c>
      <c r="H229" s="105" t="s">
        <v>43</v>
      </c>
      <c r="I229" s="106">
        <f t="shared" si="15"/>
        <v>0.55000000000000004</v>
      </c>
      <c r="J229" s="143">
        <f t="shared" si="12"/>
        <v>0.55000000000000004</v>
      </c>
    </row>
    <row r="230" spans="1:10" hidden="1" outlineLevel="1" x14ac:dyDescent="0.2">
      <c r="A230" s="95">
        <v>12</v>
      </c>
      <c r="B230" s="96" t="s">
        <v>135</v>
      </c>
      <c r="C230" s="97"/>
      <c r="D230" s="98">
        <v>18</v>
      </c>
      <c r="E230" s="98">
        <v>40</v>
      </c>
      <c r="F230" s="98">
        <f t="shared" si="16"/>
        <v>22</v>
      </c>
      <c r="G230" s="97" t="s">
        <v>3</v>
      </c>
      <c r="H230" s="99" t="s">
        <v>43</v>
      </c>
      <c r="I230" s="100">
        <f t="shared" si="15"/>
        <v>0.55000000000000004</v>
      </c>
      <c r="J230" s="143">
        <f t="shared" si="12"/>
        <v>0.55000000000000004</v>
      </c>
    </row>
    <row r="231" spans="1:10" hidden="1" outlineLevel="1" x14ac:dyDescent="0.2">
      <c r="A231" s="101">
        <v>13</v>
      </c>
      <c r="B231" s="102" t="s">
        <v>205</v>
      </c>
      <c r="C231" s="97"/>
      <c r="D231" s="104">
        <v>40</v>
      </c>
      <c r="E231" s="104">
        <v>80</v>
      </c>
      <c r="F231" s="104">
        <f t="shared" si="16"/>
        <v>40</v>
      </c>
      <c r="G231" s="103" t="s">
        <v>3</v>
      </c>
      <c r="H231" s="105" t="s">
        <v>43</v>
      </c>
      <c r="I231" s="106">
        <f t="shared" si="15"/>
        <v>0.5</v>
      </c>
      <c r="J231" s="143">
        <f t="shared" si="12"/>
        <v>0.5</v>
      </c>
    </row>
    <row r="232" spans="1:10" hidden="1" outlineLevel="1" x14ac:dyDescent="0.2">
      <c r="A232" s="95">
        <v>14</v>
      </c>
      <c r="B232" s="96" t="s">
        <v>206</v>
      </c>
      <c r="C232" s="97"/>
      <c r="D232" s="98">
        <v>10</v>
      </c>
      <c r="E232" s="98">
        <v>30</v>
      </c>
      <c r="F232" s="98">
        <f t="shared" si="16"/>
        <v>20</v>
      </c>
      <c r="G232" s="97" t="s">
        <v>3</v>
      </c>
      <c r="H232" s="99" t="s">
        <v>43</v>
      </c>
      <c r="I232" s="100">
        <f t="shared" si="15"/>
        <v>0.66666666666666663</v>
      </c>
      <c r="J232" s="143">
        <f t="shared" si="12"/>
        <v>0.66666666666666663</v>
      </c>
    </row>
    <row r="233" spans="1:10" hidden="1" outlineLevel="1" x14ac:dyDescent="0.2">
      <c r="A233" s="101">
        <v>15</v>
      </c>
      <c r="B233" s="102" t="s">
        <v>45</v>
      </c>
      <c r="C233" s="97"/>
      <c r="D233" s="104">
        <v>40</v>
      </c>
      <c r="E233" s="104">
        <v>70</v>
      </c>
      <c r="F233" s="104">
        <f t="shared" si="16"/>
        <v>30</v>
      </c>
      <c r="G233" s="103" t="s">
        <v>3</v>
      </c>
      <c r="H233" s="105" t="s">
        <v>43</v>
      </c>
      <c r="I233" s="106">
        <f t="shared" si="15"/>
        <v>0.42857142857142855</v>
      </c>
      <c r="J233" s="143">
        <f t="shared" si="12"/>
        <v>0.42857142857142855</v>
      </c>
    </row>
    <row r="234" spans="1:10" hidden="1" outlineLevel="1" x14ac:dyDescent="0.2">
      <c r="A234" s="95">
        <v>16</v>
      </c>
      <c r="B234" s="96" t="s">
        <v>207</v>
      </c>
      <c r="C234" s="97"/>
      <c r="D234" s="98">
        <v>12</v>
      </c>
      <c r="E234" s="98">
        <v>25</v>
      </c>
      <c r="F234" s="98">
        <f t="shared" si="16"/>
        <v>13</v>
      </c>
      <c r="G234" s="97" t="s">
        <v>3</v>
      </c>
      <c r="H234" s="99" t="s">
        <v>43</v>
      </c>
      <c r="I234" s="100">
        <f t="shared" si="15"/>
        <v>0.52</v>
      </c>
      <c r="J234" s="143">
        <f t="shared" si="12"/>
        <v>0.52</v>
      </c>
    </row>
    <row r="235" spans="1:10" hidden="1" outlineLevel="1" x14ac:dyDescent="0.2">
      <c r="A235" s="101">
        <v>17</v>
      </c>
      <c r="B235" s="102" t="s">
        <v>207</v>
      </c>
      <c r="C235" s="97"/>
      <c r="D235" s="104">
        <v>12</v>
      </c>
      <c r="E235" s="104">
        <v>25</v>
      </c>
      <c r="F235" s="104">
        <f t="shared" si="16"/>
        <v>13</v>
      </c>
      <c r="G235" s="103" t="s">
        <v>3</v>
      </c>
      <c r="H235" s="105" t="s">
        <v>43</v>
      </c>
      <c r="I235" s="106">
        <f t="shared" si="15"/>
        <v>0.52</v>
      </c>
      <c r="J235" s="143">
        <f t="shared" si="12"/>
        <v>0.52</v>
      </c>
    </row>
    <row r="236" spans="1:10" hidden="1" outlineLevel="1" x14ac:dyDescent="0.2">
      <c r="A236" s="95">
        <v>18</v>
      </c>
      <c r="B236" s="96" t="s">
        <v>187</v>
      </c>
      <c r="C236" s="97"/>
      <c r="D236" s="98">
        <v>11</v>
      </c>
      <c r="E236" s="98">
        <v>25</v>
      </c>
      <c r="F236" s="98">
        <f t="shared" si="16"/>
        <v>14</v>
      </c>
      <c r="G236" s="97" t="s">
        <v>3</v>
      </c>
      <c r="H236" s="99" t="s">
        <v>43</v>
      </c>
      <c r="I236" s="100">
        <f t="shared" si="15"/>
        <v>0.56000000000000005</v>
      </c>
      <c r="J236" s="143">
        <f t="shared" si="12"/>
        <v>0.56000000000000005</v>
      </c>
    </row>
    <row r="237" spans="1:10" hidden="1" outlineLevel="1" x14ac:dyDescent="0.2">
      <c r="A237" s="101">
        <v>19</v>
      </c>
      <c r="B237" s="102" t="s">
        <v>187</v>
      </c>
      <c r="C237" s="97"/>
      <c r="D237" s="104">
        <v>11</v>
      </c>
      <c r="E237" s="104">
        <v>25</v>
      </c>
      <c r="F237" s="104">
        <f t="shared" si="16"/>
        <v>14</v>
      </c>
      <c r="G237" s="103" t="s">
        <v>3</v>
      </c>
      <c r="H237" s="105" t="s">
        <v>43</v>
      </c>
      <c r="I237" s="106">
        <f t="shared" si="15"/>
        <v>0.56000000000000005</v>
      </c>
      <c r="J237" s="143">
        <f t="shared" si="12"/>
        <v>0.56000000000000005</v>
      </c>
    </row>
    <row r="238" spans="1:10" hidden="1" outlineLevel="1" x14ac:dyDescent="0.2">
      <c r="A238" s="95">
        <v>20</v>
      </c>
      <c r="B238" s="96" t="s">
        <v>209</v>
      </c>
      <c r="C238" s="97"/>
      <c r="D238" s="98">
        <v>2</v>
      </c>
      <c r="E238" s="98">
        <v>5</v>
      </c>
      <c r="F238" s="98">
        <f t="shared" si="16"/>
        <v>3</v>
      </c>
      <c r="G238" s="97" t="s">
        <v>3</v>
      </c>
      <c r="H238" s="99" t="s">
        <v>43</v>
      </c>
      <c r="I238" s="100">
        <f t="shared" si="15"/>
        <v>0.6</v>
      </c>
      <c r="J238" s="143">
        <f t="shared" si="12"/>
        <v>0.6</v>
      </c>
    </row>
    <row r="239" spans="1:10" hidden="1" outlineLevel="1" x14ac:dyDescent="0.2">
      <c r="A239" s="101">
        <v>21</v>
      </c>
      <c r="B239" s="102" t="s">
        <v>210</v>
      </c>
      <c r="C239" s="97"/>
      <c r="D239" s="104">
        <v>25</v>
      </c>
      <c r="E239" s="104">
        <v>45</v>
      </c>
      <c r="F239" s="104">
        <f t="shared" si="16"/>
        <v>20</v>
      </c>
      <c r="G239" s="103" t="s">
        <v>3</v>
      </c>
      <c r="H239" s="105" t="s">
        <v>43</v>
      </c>
      <c r="I239" s="106">
        <f t="shared" si="15"/>
        <v>0.44444444444444442</v>
      </c>
      <c r="J239" s="143">
        <f t="shared" si="12"/>
        <v>0.44444444444444442</v>
      </c>
    </row>
    <row r="240" spans="1:10" hidden="1" outlineLevel="1" x14ac:dyDescent="0.2">
      <c r="A240" s="95">
        <v>22</v>
      </c>
      <c r="B240" s="96" t="s">
        <v>211</v>
      </c>
      <c r="C240" s="97"/>
      <c r="D240" s="98">
        <v>8</v>
      </c>
      <c r="E240" s="98">
        <v>20</v>
      </c>
      <c r="F240" s="98">
        <f t="shared" si="16"/>
        <v>12</v>
      </c>
      <c r="G240" s="97" t="s">
        <v>3</v>
      </c>
      <c r="H240" s="99" t="s">
        <v>43</v>
      </c>
      <c r="I240" s="100">
        <f t="shared" si="15"/>
        <v>0.6</v>
      </c>
      <c r="J240" s="143">
        <f t="shared" si="12"/>
        <v>0.6</v>
      </c>
    </row>
    <row r="241" spans="1:10" hidden="1" outlineLevel="1" x14ac:dyDescent="0.2">
      <c r="A241" s="101">
        <v>23</v>
      </c>
      <c r="B241" s="102" t="s">
        <v>212</v>
      </c>
      <c r="C241" s="97"/>
      <c r="D241" s="104">
        <v>5.5</v>
      </c>
      <c r="E241" s="104">
        <v>20</v>
      </c>
      <c r="F241" s="104">
        <f t="shared" si="16"/>
        <v>14.5</v>
      </c>
      <c r="G241" s="103" t="s">
        <v>3</v>
      </c>
      <c r="H241" s="105" t="s">
        <v>43</v>
      </c>
      <c r="I241" s="106">
        <f t="shared" si="15"/>
        <v>0.72499999999999998</v>
      </c>
      <c r="J241" s="143">
        <f t="shared" si="12"/>
        <v>0.72499999999999998</v>
      </c>
    </row>
    <row r="242" spans="1:10" hidden="1" outlineLevel="1" x14ac:dyDescent="0.2">
      <c r="A242" s="95">
        <v>24</v>
      </c>
      <c r="B242" s="96" t="s">
        <v>213</v>
      </c>
      <c r="C242" s="97"/>
      <c r="D242" s="98">
        <v>50</v>
      </c>
      <c r="E242" s="98">
        <v>100</v>
      </c>
      <c r="F242" s="98">
        <f t="shared" si="16"/>
        <v>50</v>
      </c>
      <c r="G242" s="103" t="s">
        <v>3</v>
      </c>
      <c r="H242" s="105" t="s">
        <v>43</v>
      </c>
      <c r="I242" s="106">
        <f>F242/E242</f>
        <v>0.5</v>
      </c>
      <c r="J242" s="143">
        <f t="shared" si="12"/>
        <v>0.5</v>
      </c>
    </row>
    <row r="243" spans="1:10" hidden="1" outlineLevel="1" x14ac:dyDescent="0.2">
      <c r="A243" s="101">
        <v>25</v>
      </c>
      <c r="B243" s="102" t="s">
        <v>204</v>
      </c>
      <c r="C243" s="97"/>
      <c r="D243" s="104">
        <v>5</v>
      </c>
      <c r="E243" s="104">
        <v>10</v>
      </c>
      <c r="F243" s="104">
        <f t="shared" si="16"/>
        <v>5</v>
      </c>
      <c r="G243" s="103" t="s">
        <v>3</v>
      </c>
      <c r="H243" s="105" t="s">
        <v>43</v>
      </c>
      <c r="I243" s="106">
        <f>F243/E243</f>
        <v>0.5</v>
      </c>
      <c r="J243" s="143">
        <f t="shared" si="12"/>
        <v>0.5</v>
      </c>
    </row>
    <row r="244" spans="1:10" hidden="1" outlineLevel="1" x14ac:dyDescent="0.2">
      <c r="A244" s="95">
        <v>26</v>
      </c>
      <c r="B244" s="96" t="s">
        <v>214</v>
      </c>
      <c r="C244" s="97"/>
      <c r="D244" s="98">
        <f>(2*4)+(2*3)</f>
        <v>14</v>
      </c>
      <c r="E244" s="98">
        <v>30</v>
      </c>
      <c r="F244" s="98">
        <f t="shared" si="16"/>
        <v>16</v>
      </c>
      <c r="G244" s="103" t="s">
        <v>3</v>
      </c>
      <c r="H244" s="105" t="s">
        <v>43</v>
      </c>
      <c r="I244" s="106">
        <f>F244/E244</f>
        <v>0.53333333333333333</v>
      </c>
      <c r="J244" s="143">
        <f t="shared" si="12"/>
        <v>0.53333333333333333</v>
      </c>
    </row>
    <row r="245" spans="1:10" hidden="1" outlineLevel="1" x14ac:dyDescent="0.2">
      <c r="A245" s="95">
        <v>27</v>
      </c>
      <c r="B245" s="102" t="s">
        <v>215</v>
      </c>
      <c r="C245" s="97"/>
      <c r="D245" s="104">
        <v>25</v>
      </c>
      <c r="E245" s="104">
        <v>50</v>
      </c>
      <c r="F245" s="104">
        <f t="shared" si="16"/>
        <v>25</v>
      </c>
      <c r="G245" s="103" t="s">
        <v>3</v>
      </c>
      <c r="H245" s="105" t="s">
        <v>43</v>
      </c>
      <c r="I245" s="106">
        <f>F245/E245</f>
        <v>0.5</v>
      </c>
      <c r="J245" s="143">
        <f t="shared" si="12"/>
        <v>0.5</v>
      </c>
    </row>
    <row r="246" spans="1:10" hidden="1" outlineLevel="1" x14ac:dyDescent="0.2">
      <c r="A246" s="101">
        <v>28</v>
      </c>
      <c r="B246" s="96" t="s">
        <v>216</v>
      </c>
      <c r="C246" s="97"/>
      <c r="D246" s="98">
        <v>5</v>
      </c>
      <c r="E246" s="98">
        <v>10</v>
      </c>
      <c r="F246" s="98">
        <f t="shared" si="16"/>
        <v>5</v>
      </c>
      <c r="G246" s="103" t="s">
        <v>3</v>
      </c>
      <c r="H246" s="105" t="s">
        <v>43</v>
      </c>
      <c r="I246" s="106">
        <f>F246/E246</f>
        <v>0.5</v>
      </c>
      <c r="J246" s="143">
        <f t="shared" si="12"/>
        <v>0.5</v>
      </c>
    </row>
    <row r="247" spans="1:10" hidden="1" outlineLevel="1" x14ac:dyDescent="0.2">
      <c r="A247" s="95">
        <v>29</v>
      </c>
      <c r="B247" s="102" t="s">
        <v>217</v>
      </c>
      <c r="C247" s="97"/>
      <c r="D247" s="104">
        <v>40</v>
      </c>
      <c r="E247" s="104">
        <v>80</v>
      </c>
      <c r="F247" s="104">
        <f t="shared" si="16"/>
        <v>40</v>
      </c>
      <c r="G247" s="103" t="s">
        <v>3</v>
      </c>
      <c r="H247" s="105" t="s">
        <v>43</v>
      </c>
      <c r="I247" s="106">
        <f t="shared" si="15"/>
        <v>0.5</v>
      </c>
      <c r="J247" s="143">
        <f t="shared" si="12"/>
        <v>0.5</v>
      </c>
    </row>
    <row r="248" spans="1:10" hidden="1" outlineLevel="1" x14ac:dyDescent="0.2">
      <c r="A248" s="95">
        <v>30</v>
      </c>
      <c r="B248" s="96" t="s">
        <v>218</v>
      </c>
      <c r="C248" s="97"/>
      <c r="D248" s="98">
        <v>28</v>
      </c>
      <c r="E248" s="98">
        <v>60</v>
      </c>
      <c r="F248" s="98">
        <v>20.730999999999995</v>
      </c>
      <c r="G248" s="97" t="s">
        <v>3</v>
      </c>
      <c r="H248" s="99" t="s">
        <v>43</v>
      </c>
      <c r="I248" s="100">
        <f t="shared" si="15"/>
        <v>0.34551666666666658</v>
      </c>
      <c r="J248" s="143">
        <f t="shared" si="12"/>
        <v>0.34551666666666658</v>
      </c>
    </row>
    <row r="249" spans="1:10" hidden="1" outlineLevel="1" x14ac:dyDescent="0.2">
      <c r="A249" s="95">
        <v>31</v>
      </c>
      <c r="B249" s="107" t="s">
        <v>101</v>
      </c>
      <c r="C249" s="108">
        <v>6</v>
      </c>
      <c r="D249" s="109">
        <v>42</v>
      </c>
      <c r="E249" s="109">
        <v>90</v>
      </c>
      <c r="F249" s="104">
        <v>39.36</v>
      </c>
      <c r="G249" s="97" t="s">
        <v>3</v>
      </c>
      <c r="H249" s="105" t="s">
        <v>35</v>
      </c>
      <c r="I249" s="106">
        <f t="shared" si="15"/>
        <v>0.43733333333333335</v>
      </c>
      <c r="J249" s="143">
        <f t="shared" si="12"/>
        <v>0.43733333333333335</v>
      </c>
    </row>
    <row r="250" spans="1:10" hidden="1" outlineLevel="1" x14ac:dyDescent="0.2">
      <c r="A250" s="95">
        <v>32</v>
      </c>
      <c r="B250" s="107" t="s">
        <v>58</v>
      </c>
      <c r="C250" s="108">
        <v>1</v>
      </c>
      <c r="D250" s="109">
        <v>7</v>
      </c>
      <c r="E250" s="109">
        <v>13.72</v>
      </c>
      <c r="F250" s="98">
        <v>5.5104000000000006</v>
      </c>
      <c r="G250" s="97" t="s">
        <v>3</v>
      </c>
      <c r="H250" s="105" t="s">
        <v>35</v>
      </c>
      <c r="I250" s="100">
        <f t="shared" si="15"/>
        <v>0.40163265306122453</v>
      </c>
      <c r="J250" s="143">
        <f t="shared" si="12"/>
        <v>0.40163265306122453</v>
      </c>
    </row>
    <row r="251" spans="1:10" hidden="1" outlineLevel="1" x14ac:dyDescent="0.2">
      <c r="A251" s="95">
        <v>33</v>
      </c>
      <c r="B251" s="107" t="s">
        <v>99</v>
      </c>
      <c r="C251" s="108">
        <v>7</v>
      </c>
      <c r="D251" s="109">
        <v>21</v>
      </c>
      <c r="E251" s="109">
        <v>260.77999999999997</v>
      </c>
      <c r="F251" s="104">
        <v>196.61959999999999</v>
      </c>
      <c r="G251" s="97" t="s">
        <v>3</v>
      </c>
      <c r="H251" s="105" t="s">
        <v>35</v>
      </c>
      <c r="I251" s="106">
        <f t="shared" si="15"/>
        <v>0.7539673287828822</v>
      </c>
      <c r="J251" s="143">
        <f t="shared" si="12"/>
        <v>0.7539673287828822</v>
      </c>
    </row>
    <row r="252" spans="1:10" hidden="1" outlineLevel="1" x14ac:dyDescent="0.2">
      <c r="A252" s="95">
        <v>34</v>
      </c>
      <c r="B252" s="107" t="s">
        <v>104</v>
      </c>
      <c r="C252" s="108">
        <v>3</v>
      </c>
      <c r="D252" s="109">
        <v>114</v>
      </c>
      <c r="E252" s="109">
        <v>205.57</v>
      </c>
      <c r="F252" s="98">
        <v>75.087400000000002</v>
      </c>
      <c r="G252" s="97" t="s">
        <v>3</v>
      </c>
      <c r="H252" s="105" t="s">
        <v>35</v>
      </c>
      <c r="I252" s="100">
        <f t="shared" si="15"/>
        <v>0.36526438682687162</v>
      </c>
      <c r="J252" s="143">
        <f t="shared" si="12"/>
        <v>0.36526438682687162</v>
      </c>
    </row>
    <row r="253" spans="1:10" hidden="1" outlineLevel="1" x14ac:dyDescent="0.2">
      <c r="A253" s="95">
        <v>35</v>
      </c>
      <c r="B253" s="107" t="s">
        <v>80</v>
      </c>
      <c r="C253" s="108">
        <v>2</v>
      </c>
      <c r="D253" s="109">
        <v>6</v>
      </c>
      <c r="E253" s="109">
        <v>20.83</v>
      </c>
      <c r="F253" s="104">
        <v>12.160599999999999</v>
      </c>
      <c r="G253" s="97" t="s">
        <v>3</v>
      </c>
      <c r="H253" s="105" t="s">
        <v>35</v>
      </c>
      <c r="I253" s="106">
        <f t="shared" si="15"/>
        <v>0.58380220835333652</v>
      </c>
      <c r="J253" s="143">
        <f t="shared" si="12"/>
        <v>0.58380220835333652</v>
      </c>
    </row>
    <row r="254" spans="1:10" hidden="1" outlineLevel="1" x14ac:dyDescent="0.2">
      <c r="A254" s="95">
        <v>36</v>
      </c>
      <c r="B254" s="107" t="s">
        <v>65</v>
      </c>
      <c r="C254" s="108">
        <v>2</v>
      </c>
      <c r="D254" s="109">
        <v>2</v>
      </c>
      <c r="E254" s="109">
        <v>4.5</v>
      </c>
      <c r="F254" s="98">
        <v>2.0499999999999998</v>
      </c>
      <c r="G254" s="97" t="s">
        <v>3</v>
      </c>
      <c r="H254" s="105" t="s">
        <v>35</v>
      </c>
      <c r="I254" s="100">
        <f t="shared" si="15"/>
        <v>0.45555555555555549</v>
      </c>
      <c r="J254" s="143">
        <f t="shared" si="12"/>
        <v>0.45555555555555549</v>
      </c>
    </row>
    <row r="255" spans="1:10" hidden="1" outlineLevel="1" x14ac:dyDescent="0.2">
      <c r="A255" s="95">
        <v>37</v>
      </c>
      <c r="B255" s="107" t="s">
        <v>245</v>
      </c>
      <c r="C255" s="108">
        <v>1</v>
      </c>
      <c r="D255" s="109">
        <v>40</v>
      </c>
      <c r="E255" s="109">
        <v>57.26</v>
      </c>
      <c r="F255" s="104">
        <v>14.153199999999998</v>
      </c>
      <c r="G255" s="97" t="s">
        <v>3</v>
      </c>
      <c r="H255" s="105" t="s">
        <v>35</v>
      </c>
      <c r="I255" s="106">
        <f t="shared" si="15"/>
        <v>0.24717429269996505</v>
      </c>
      <c r="J255" s="143">
        <f t="shared" si="12"/>
        <v>0.24717429269996505</v>
      </c>
    </row>
    <row r="256" spans="1:10" hidden="1" outlineLevel="1" x14ac:dyDescent="0.2">
      <c r="A256" s="95">
        <v>38</v>
      </c>
      <c r="B256" s="107" t="s">
        <v>77</v>
      </c>
      <c r="C256" s="108">
        <v>5</v>
      </c>
      <c r="D256" s="109">
        <v>5</v>
      </c>
      <c r="E256" s="109">
        <v>11.25</v>
      </c>
      <c r="F256" s="98">
        <v>5.125</v>
      </c>
      <c r="G256" s="97" t="s">
        <v>3</v>
      </c>
      <c r="H256" s="105" t="s">
        <v>35</v>
      </c>
      <c r="I256" s="100">
        <f t="shared" si="15"/>
        <v>0.45555555555555555</v>
      </c>
      <c r="J256" s="143">
        <f t="shared" si="12"/>
        <v>0.45555555555555555</v>
      </c>
    </row>
    <row r="257" spans="1:10" hidden="1" outlineLevel="1" x14ac:dyDescent="0.2">
      <c r="A257" s="95">
        <v>39</v>
      </c>
      <c r="B257" s="107" t="s">
        <v>121</v>
      </c>
      <c r="C257" s="108">
        <v>2</v>
      </c>
      <c r="D257" s="109">
        <v>24</v>
      </c>
      <c r="E257" s="109">
        <v>81.89</v>
      </c>
      <c r="F257" s="104">
        <v>47.469799999999999</v>
      </c>
      <c r="G257" s="97" t="s">
        <v>3</v>
      </c>
      <c r="H257" s="105" t="s">
        <v>35</v>
      </c>
      <c r="I257" s="106">
        <f t="shared" si="15"/>
        <v>0.57967761631456827</v>
      </c>
      <c r="J257" s="143">
        <f t="shared" si="12"/>
        <v>0.57967761631456827</v>
      </c>
    </row>
    <row r="258" spans="1:10" hidden="1" outlineLevel="1" x14ac:dyDescent="0.2">
      <c r="A258" s="95">
        <v>40</v>
      </c>
      <c r="B258" s="107" t="s">
        <v>95</v>
      </c>
      <c r="C258" s="108">
        <v>1</v>
      </c>
      <c r="D258" s="109">
        <v>6</v>
      </c>
      <c r="E258" s="109">
        <v>20</v>
      </c>
      <c r="F258" s="98">
        <v>11.48</v>
      </c>
      <c r="G258" s="97" t="s">
        <v>3</v>
      </c>
      <c r="H258" s="105" t="s">
        <v>35</v>
      </c>
      <c r="I258" s="100">
        <f t="shared" si="15"/>
        <v>0.57400000000000007</v>
      </c>
      <c r="J258" s="143">
        <f t="shared" ref="J258:J321" si="17">F258/E258</f>
        <v>0.57400000000000007</v>
      </c>
    </row>
    <row r="259" spans="1:10" hidden="1" outlineLevel="1" x14ac:dyDescent="0.2">
      <c r="A259" s="95">
        <v>41</v>
      </c>
      <c r="B259" s="107" t="s">
        <v>85</v>
      </c>
      <c r="C259" s="108">
        <v>2</v>
      </c>
      <c r="D259" s="109">
        <v>1</v>
      </c>
      <c r="E259" s="109">
        <v>21.34</v>
      </c>
      <c r="F259" s="104">
        <v>16.678799999999999</v>
      </c>
      <c r="G259" s="97" t="s">
        <v>3</v>
      </c>
      <c r="H259" s="105" t="s">
        <v>35</v>
      </c>
      <c r="I259" s="106">
        <f t="shared" si="15"/>
        <v>0.78157450796626049</v>
      </c>
      <c r="J259" s="143">
        <f t="shared" si="17"/>
        <v>0.78157450796626049</v>
      </c>
    </row>
    <row r="260" spans="1:10" hidden="1" outlineLevel="1" x14ac:dyDescent="0.2">
      <c r="A260" s="95">
        <v>42</v>
      </c>
      <c r="B260" s="107" t="s">
        <v>62</v>
      </c>
      <c r="C260" s="108">
        <v>1</v>
      </c>
      <c r="D260" s="109">
        <v>1.6</v>
      </c>
      <c r="E260" s="109">
        <v>6.6</v>
      </c>
      <c r="F260" s="98">
        <v>4.0999999999999996</v>
      </c>
      <c r="G260" s="97" t="s">
        <v>3</v>
      </c>
      <c r="H260" s="105" t="s">
        <v>35</v>
      </c>
      <c r="I260" s="100">
        <f t="shared" si="15"/>
        <v>0.62121212121212122</v>
      </c>
      <c r="J260" s="143">
        <f t="shared" si="17"/>
        <v>0.62121212121212122</v>
      </c>
    </row>
    <row r="261" spans="1:10" hidden="1" outlineLevel="1" x14ac:dyDescent="0.2">
      <c r="A261" s="95">
        <v>43</v>
      </c>
      <c r="B261" s="107" t="s">
        <v>246</v>
      </c>
      <c r="C261" s="108">
        <v>2</v>
      </c>
      <c r="D261" s="109">
        <v>24</v>
      </c>
      <c r="E261" s="109">
        <v>69.7</v>
      </c>
      <c r="F261" s="104">
        <v>37.474000000000004</v>
      </c>
      <c r="G261" s="97" t="s">
        <v>3</v>
      </c>
      <c r="H261" s="105" t="s">
        <v>35</v>
      </c>
      <c r="I261" s="106">
        <f t="shared" si="15"/>
        <v>0.53764705882352948</v>
      </c>
      <c r="J261" s="143">
        <f t="shared" si="17"/>
        <v>0.53764705882352948</v>
      </c>
    </row>
    <row r="262" spans="1:10" hidden="1" outlineLevel="1" x14ac:dyDescent="0.2">
      <c r="A262" s="95">
        <v>44</v>
      </c>
      <c r="B262" s="107" t="s">
        <v>221</v>
      </c>
      <c r="C262" s="108">
        <v>2</v>
      </c>
      <c r="D262" s="109">
        <v>70</v>
      </c>
      <c r="E262" s="109">
        <v>130.34</v>
      </c>
      <c r="F262" s="98">
        <v>49.478800000000007</v>
      </c>
      <c r="G262" s="97" t="s">
        <v>3</v>
      </c>
      <c r="H262" s="105" t="s">
        <v>35</v>
      </c>
      <c r="I262" s="100">
        <f t="shared" si="15"/>
        <v>0.37961331901181528</v>
      </c>
      <c r="J262" s="143">
        <f t="shared" si="17"/>
        <v>0.37961331901181528</v>
      </c>
    </row>
    <row r="263" spans="1:10" hidden="1" outlineLevel="1" x14ac:dyDescent="0.2">
      <c r="A263" s="95">
        <v>45</v>
      </c>
      <c r="B263" s="107" t="s">
        <v>79</v>
      </c>
      <c r="C263" s="108">
        <v>1</v>
      </c>
      <c r="D263" s="109">
        <v>6</v>
      </c>
      <c r="E263" s="109">
        <v>10</v>
      </c>
      <c r="F263" s="104">
        <v>3.2800000000000002</v>
      </c>
      <c r="G263" s="97" t="s">
        <v>3</v>
      </c>
      <c r="H263" s="105" t="s">
        <v>35</v>
      </c>
      <c r="I263" s="106">
        <f t="shared" si="15"/>
        <v>0.32800000000000001</v>
      </c>
      <c r="J263" s="143">
        <f t="shared" si="17"/>
        <v>0.32800000000000001</v>
      </c>
    </row>
    <row r="264" spans="1:10" hidden="1" outlineLevel="1" x14ac:dyDescent="0.2">
      <c r="A264" s="95">
        <v>46</v>
      </c>
      <c r="B264" s="107" t="s">
        <v>247</v>
      </c>
      <c r="C264" s="108">
        <v>1</v>
      </c>
      <c r="D264" s="109">
        <v>2</v>
      </c>
      <c r="E264" s="109">
        <v>14.07</v>
      </c>
      <c r="F264" s="98">
        <v>9.8974000000000011</v>
      </c>
      <c r="G264" s="97" t="s">
        <v>3</v>
      </c>
      <c r="H264" s="105" t="s">
        <v>35</v>
      </c>
      <c r="I264" s="100">
        <f t="shared" si="15"/>
        <v>0.70343994314143576</v>
      </c>
      <c r="J264" s="143">
        <f t="shared" si="17"/>
        <v>0.70343994314143576</v>
      </c>
    </row>
    <row r="265" spans="1:10" hidden="1" outlineLevel="1" x14ac:dyDescent="0.2">
      <c r="A265" s="95">
        <v>47</v>
      </c>
      <c r="B265" s="107" t="s">
        <v>248</v>
      </c>
      <c r="C265" s="108">
        <v>1</v>
      </c>
      <c r="D265" s="109">
        <v>6</v>
      </c>
      <c r="E265" s="109">
        <v>12</v>
      </c>
      <c r="F265" s="104">
        <v>4.92</v>
      </c>
      <c r="G265" s="97" t="s">
        <v>3</v>
      </c>
      <c r="H265" s="105" t="s">
        <v>35</v>
      </c>
      <c r="I265" s="106">
        <f t="shared" si="15"/>
        <v>0.41</v>
      </c>
      <c r="J265" s="143">
        <f t="shared" si="17"/>
        <v>0.41</v>
      </c>
    </row>
    <row r="266" spans="1:10" hidden="1" outlineLevel="1" x14ac:dyDescent="0.2">
      <c r="A266" s="95">
        <v>48</v>
      </c>
      <c r="B266" s="107" t="s">
        <v>122</v>
      </c>
      <c r="C266" s="108">
        <v>1</v>
      </c>
      <c r="D266" s="109">
        <v>2</v>
      </c>
      <c r="E266" s="109">
        <v>5.47</v>
      </c>
      <c r="F266" s="98">
        <v>2.8453999999999997</v>
      </c>
      <c r="G266" s="97" t="s">
        <v>3</v>
      </c>
      <c r="H266" s="105" t="s">
        <v>35</v>
      </c>
      <c r="I266" s="100">
        <f t="shared" si="15"/>
        <v>0.52018281535648991</v>
      </c>
      <c r="J266" s="143">
        <f t="shared" si="17"/>
        <v>0.52018281535648991</v>
      </c>
    </row>
    <row r="267" spans="1:10" hidden="1" outlineLevel="1" x14ac:dyDescent="0.2">
      <c r="A267" s="95">
        <v>49</v>
      </c>
      <c r="B267" s="107" t="s">
        <v>249</v>
      </c>
      <c r="C267" s="108">
        <v>1</v>
      </c>
      <c r="D267" s="109">
        <v>15</v>
      </c>
      <c r="E267" s="109">
        <v>54.85</v>
      </c>
      <c r="F267" s="104">
        <v>32.677</v>
      </c>
      <c r="G267" s="97" t="s">
        <v>3</v>
      </c>
      <c r="H267" s="105" t="s">
        <v>35</v>
      </c>
      <c r="I267" s="106">
        <f t="shared" si="15"/>
        <v>0.59575205104831352</v>
      </c>
      <c r="J267" s="143">
        <f t="shared" si="17"/>
        <v>0.59575205104831352</v>
      </c>
    </row>
    <row r="268" spans="1:10" hidden="1" outlineLevel="1" x14ac:dyDescent="0.2">
      <c r="A268" s="95">
        <v>50</v>
      </c>
      <c r="B268" s="107" t="s">
        <v>90</v>
      </c>
      <c r="C268" s="108">
        <v>1</v>
      </c>
      <c r="D268" s="109">
        <v>6</v>
      </c>
      <c r="E268" s="109">
        <v>18.54</v>
      </c>
      <c r="F268" s="98">
        <v>10.2828</v>
      </c>
      <c r="G268" s="97" t="s">
        <v>3</v>
      </c>
      <c r="H268" s="105" t="s">
        <v>35</v>
      </c>
      <c r="I268" s="100">
        <f t="shared" si="15"/>
        <v>0.55462783171521035</v>
      </c>
      <c r="J268" s="143">
        <f t="shared" si="17"/>
        <v>0.55462783171521035</v>
      </c>
    </row>
    <row r="269" spans="1:10" hidden="1" outlineLevel="1" x14ac:dyDescent="0.2">
      <c r="A269" s="95">
        <v>51</v>
      </c>
      <c r="B269" s="107" t="s">
        <v>250</v>
      </c>
      <c r="C269" s="108">
        <v>2</v>
      </c>
      <c r="D269" s="109">
        <v>10</v>
      </c>
      <c r="E269" s="109">
        <v>27.5</v>
      </c>
      <c r="F269" s="104">
        <v>14.35</v>
      </c>
      <c r="G269" s="97" t="s">
        <v>3</v>
      </c>
      <c r="H269" s="105" t="s">
        <v>35</v>
      </c>
      <c r="I269" s="106">
        <f t="shared" si="15"/>
        <v>0.52181818181818185</v>
      </c>
      <c r="J269" s="143">
        <f t="shared" si="17"/>
        <v>0.52181818181818185</v>
      </c>
    </row>
    <row r="270" spans="1:10" hidden="1" outlineLevel="1" x14ac:dyDescent="0.2">
      <c r="A270" s="95">
        <v>52</v>
      </c>
      <c r="B270" s="107" t="s">
        <v>123</v>
      </c>
      <c r="C270" s="108">
        <v>1</v>
      </c>
      <c r="D270" s="109">
        <v>6</v>
      </c>
      <c r="E270" s="109">
        <v>20</v>
      </c>
      <c r="F270" s="98">
        <v>11.48</v>
      </c>
      <c r="G270" s="97" t="s">
        <v>3</v>
      </c>
      <c r="H270" s="105" t="s">
        <v>35</v>
      </c>
      <c r="I270" s="100">
        <f t="shared" si="15"/>
        <v>0.57400000000000007</v>
      </c>
      <c r="J270" s="143">
        <f t="shared" si="17"/>
        <v>0.57400000000000007</v>
      </c>
    </row>
    <row r="271" spans="1:10" hidden="1" outlineLevel="1" x14ac:dyDescent="0.2">
      <c r="A271" s="95">
        <v>53</v>
      </c>
      <c r="B271" s="107" t="s">
        <v>222</v>
      </c>
      <c r="C271" s="108">
        <v>2</v>
      </c>
      <c r="D271" s="109">
        <v>80</v>
      </c>
      <c r="E271" s="109">
        <v>242.3</v>
      </c>
      <c r="F271" s="104">
        <v>133.08600000000001</v>
      </c>
      <c r="G271" s="97" t="s">
        <v>3</v>
      </c>
      <c r="H271" s="105" t="s">
        <v>35</v>
      </c>
      <c r="I271" s="106">
        <f t="shared" si="15"/>
        <v>0.54926124638877427</v>
      </c>
      <c r="J271" s="143">
        <f t="shared" si="17"/>
        <v>0.54926124638877427</v>
      </c>
    </row>
    <row r="272" spans="1:10" hidden="1" outlineLevel="1" x14ac:dyDescent="0.2">
      <c r="A272" s="95">
        <v>54</v>
      </c>
      <c r="B272" s="107" t="s">
        <v>262</v>
      </c>
      <c r="C272" s="108">
        <v>56</v>
      </c>
      <c r="D272" s="109">
        <v>224</v>
      </c>
      <c r="E272" s="109">
        <v>3942.22</v>
      </c>
      <c r="F272" s="98">
        <v>3048.9404</v>
      </c>
      <c r="G272" s="97" t="s">
        <v>3</v>
      </c>
      <c r="H272" s="105" t="s">
        <v>35</v>
      </c>
      <c r="I272" s="100">
        <f t="shared" si="15"/>
        <v>0.77340696358904382</v>
      </c>
      <c r="J272" s="143">
        <f t="shared" si="17"/>
        <v>0.77340696358904382</v>
      </c>
    </row>
    <row r="273" spans="1:10" hidden="1" outlineLevel="1" x14ac:dyDescent="0.2">
      <c r="A273" s="95">
        <v>55</v>
      </c>
      <c r="B273" s="107" t="s">
        <v>68</v>
      </c>
      <c r="C273" s="108">
        <v>1</v>
      </c>
      <c r="D273" s="109">
        <v>7</v>
      </c>
      <c r="E273" s="109">
        <v>11.82</v>
      </c>
      <c r="F273" s="104">
        <v>3.9524000000000004</v>
      </c>
      <c r="G273" s="97" t="s">
        <v>3</v>
      </c>
      <c r="H273" s="105" t="s">
        <v>35</v>
      </c>
      <c r="I273" s="106">
        <f t="shared" si="15"/>
        <v>0.33438240270727582</v>
      </c>
      <c r="J273" s="143">
        <f t="shared" si="17"/>
        <v>0.33438240270727582</v>
      </c>
    </row>
    <row r="274" spans="1:10" hidden="1" outlineLevel="1" x14ac:dyDescent="0.2">
      <c r="A274" s="95">
        <v>56</v>
      </c>
      <c r="B274" s="107" t="s">
        <v>251</v>
      </c>
      <c r="C274" s="108">
        <v>1</v>
      </c>
      <c r="D274" s="109">
        <v>4</v>
      </c>
      <c r="E274" s="109">
        <v>11.34</v>
      </c>
      <c r="F274" s="98">
        <v>6.0187999999999997</v>
      </c>
      <c r="G274" s="97" t="s">
        <v>3</v>
      </c>
      <c r="H274" s="105" t="s">
        <v>35</v>
      </c>
      <c r="I274" s="100">
        <f t="shared" si="15"/>
        <v>0.53075837742504406</v>
      </c>
      <c r="J274" s="143">
        <f t="shared" si="17"/>
        <v>0.53075837742504406</v>
      </c>
    </row>
    <row r="275" spans="1:10" hidden="1" outlineLevel="1" x14ac:dyDescent="0.2">
      <c r="A275" s="95">
        <v>57</v>
      </c>
      <c r="B275" s="107" t="s">
        <v>252</v>
      </c>
      <c r="C275" s="108">
        <v>2</v>
      </c>
      <c r="D275" s="109">
        <v>30</v>
      </c>
      <c r="E275" s="109">
        <v>55.56</v>
      </c>
      <c r="F275" s="104">
        <v>20.959200000000003</v>
      </c>
      <c r="G275" s="97" t="s">
        <v>3</v>
      </c>
      <c r="H275" s="105" t="s">
        <v>35</v>
      </c>
      <c r="I275" s="106">
        <f t="shared" si="15"/>
        <v>0.37723542116630671</v>
      </c>
      <c r="J275" s="143">
        <f t="shared" si="17"/>
        <v>0.37723542116630671</v>
      </c>
    </row>
    <row r="276" spans="1:10" hidden="1" outlineLevel="1" x14ac:dyDescent="0.2">
      <c r="A276" s="95">
        <v>58</v>
      </c>
      <c r="B276" s="107" t="s">
        <v>253</v>
      </c>
      <c r="C276" s="108">
        <v>1</v>
      </c>
      <c r="D276" s="109">
        <v>2</v>
      </c>
      <c r="E276" s="109">
        <v>4.54</v>
      </c>
      <c r="F276" s="98">
        <v>2.0828000000000002</v>
      </c>
      <c r="G276" s="97" t="s">
        <v>3</v>
      </c>
      <c r="H276" s="105" t="s">
        <v>35</v>
      </c>
      <c r="I276" s="100">
        <f t="shared" si="15"/>
        <v>0.45876651982378858</v>
      </c>
      <c r="J276" s="143">
        <f t="shared" si="17"/>
        <v>0.45876651982378858</v>
      </c>
    </row>
    <row r="277" spans="1:10" hidden="1" outlineLevel="1" x14ac:dyDescent="0.2">
      <c r="A277" s="95">
        <v>59</v>
      </c>
      <c r="B277" s="107" t="s">
        <v>254</v>
      </c>
      <c r="C277" s="108">
        <v>5</v>
      </c>
      <c r="D277" s="109">
        <v>125</v>
      </c>
      <c r="E277" s="109">
        <v>117.88</v>
      </c>
      <c r="F277" s="104">
        <v>-5.8384000000000036</v>
      </c>
      <c r="G277" s="97" t="s">
        <v>3</v>
      </c>
      <c r="H277" s="105" t="s">
        <v>35</v>
      </c>
      <c r="I277" s="106">
        <f t="shared" si="15"/>
        <v>-4.9528333898880249E-2</v>
      </c>
      <c r="J277" s="143">
        <f t="shared" si="17"/>
        <v>-4.9528333898880249E-2</v>
      </c>
    </row>
    <row r="278" spans="1:10" hidden="1" outlineLevel="1" x14ac:dyDescent="0.2">
      <c r="A278" s="95">
        <v>60</v>
      </c>
      <c r="B278" s="107" t="s">
        <v>255</v>
      </c>
      <c r="C278" s="108">
        <v>1</v>
      </c>
      <c r="D278" s="109">
        <v>50</v>
      </c>
      <c r="E278" s="109">
        <v>100</v>
      </c>
      <c r="F278" s="98">
        <v>41</v>
      </c>
      <c r="G278" s="97" t="s">
        <v>3</v>
      </c>
      <c r="H278" s="105" t="s">
        <v>35</v>
      </c>
      <c r="I278" s="100">
        <f t="shared" si="15"/>
        <v>0.41</v>
      </c>
      <c r="J278" s="143">
        <f t="shared" si="17"/>
        <v>0.41</v>
      </c>
    </row>
    <row r="279" spans="1:10" hidden="1" outlineLevel="1" x14ac:dyDescent="0.2">
      <c r="A279" s="95">
        <v>61</v>
      </c>
      <c r="B279" s="107" t="s">
        <v>125</v>
      </c>
      <c r="C279" s="108">
        <v>1</v>
      </c>
      <c r="D279" s="109">
        <v>10</v>
      </c>
      <c r="E279" s="109">
        <v>18.57</v>
      </c>
      <c r="F279" s="104">
        <v>7.0274000000000001</v>
      </c>
      <c r="G279" s="97" t="s">
        <v>3</v>
      </c>
      <c r="H279" s="105" t="s">
        <v>35</v>
      </c>
      <c r="I279" s="106">
        <f t="shared" si="15"/>
        <v>0.37842757135164246</v>
      </c>
      <c r="J279" s="143">
        <f t="shared" si="17"/>
        <v>0.37842757135164246</v>
      </c>
    </row>
    <row r="280" spans="1:10" hidden="1" outlineLevel="1" x14ac:dyDescent="0.2">
      <c r="A280" s="95">
        <v>62</v>
      </c>
      <c r="B280" s="107" t="s">
        <v>76</v>
      </c>
      <c r="C280" s="108">
        <v>1</v>
      </c>
      <c r="D280" s="109">
        <v>12</v>
      </c>
      <c r="E280" s="109">
        <v>18.75</v>
      </c>
      <c r="F280" s="98">
        <v>5.5350000000000001</v>
      </c>
      <c r="G280" s="97" t="s">
        <v>3</v>
      </c>
      <c r="H280" s="105" t="s">
        <v>35</v>
      </c>
      <c r="I280" s="100">
        <f t="shared" si="15"/>
        <v>0.29520000000000002</v>
      </c>
      <c r="J280" s="143">
        <f t="shared" si="17"/>
        <v>0.29520000000000002</v>
      </c>
    </row>
    <row r="281" spans="1:10" hidden="1" outlineLevel="1" x14ac:dyDescent="0.2">
      <c r="A281" s="95">
        <v>63</v>
      </c>
      <c r="B281" s="107" t="s">
        <v>256</v>
      </c>
      <c r="C281" s="108">
        <v>18</v>
      </c>
      <c r="D281" s="109">
        <v>72</v>
      </c>
      <c r="E281" s="109">
        <v>152.26</v>
      </c>
      <c r="F281" s="104">
        <v>65.813199999999995</v>
      </c>
      <c r="G281" s="97" t="s">
        <v>3</v>
      </c>
      <c r="H281" s="105" t="s">
        <v>35</v>
      </c>
      <c r="I281" s="106">
        <f t="shared" si="15"/>
        <v>0.4322422172599501</v>
      </c>
      <c r="J281" s="143">
        <f t="shared" si="17"/>
        <v>0.4322422172599501</v>
      </c>
    </row>
    <row r="282" spans="1:10" hidden="1" outlineLevel="1" x14ac:dyDescent="0.2">
      <c r="A282" s="95">
        <v>64</v>
      </c>
      <c r="B282" s="107" t="s">
        <v>59</v>
      </c>
      <c r="C282" s="108">
        <v>1</v>
      </c>
      <c r="D282" s="109">
        <v>9</v>
      </c>
      <c r="E282" s="109">
        <v>25</v>
      </c>
      <c r="F282" s="98">
        <v>13.120000000000001</v>
      </c>
      <c r="G282" s="97" t="s">
        <v>3</v>
      </c>
      <c r="H282" s="105" t="s">
        <v>35</v>
      </c>
      <c r="I282" s="100">
        <f t="shared" si="15"/>
        <v>0.52480000000000004</v>
      </c>
      <c r="J282" s="143">
        <f t="shared" si="17"/>
        <v>0.52480000000000004</v>
      </c>
    </row>
    <row r="283" spans="1:10" hidden="1" outlineLevel="1" x14ac:dyDescent="0.2">
      <c r="A283" s="95">
        <v>65</v>
      </c>
      <c r="B283" s="107" t="s">
        <v>103</v>
      </c>
      <c r="C283" s="108">
        <v>18</v>
      </c>
      <c r="D283" s="109">
        <v>126</v>
      </c>
      <c r="E283" s="109">
        <v>312.8</v>
      </c>
      <c r="F283" s="104">
        <v>153.17599999999999</v>
      </c>
      <c r="G283" s="97" t="s">
        <v>3</v>
      </c>
      <c r="H283" s="105" t="s">
        <v>35</v>
      </c>
      <c r="I283" s="106">
        <f t="shared" si="15"/>
        <v>0.48969309462915594</v>
      </c>
      <c r="J283" s="143">
        <f t="shared" si="17"/>
        <v>0.48969309462915594</v>
      </c>
    </row>
    <row r="284" spans="1:10" hidden="1" outlineLevel="1" x14ac:dyDescent="0.2">
      <c r="A284" s="95">
        <v>66</v>
      </c>
      <c r="B284" s="107" t="s">
        <v>126</v>
      </c>
      <c r="C284" s="108">
        <v>1</v>
      </c>
      <c r="D284" s="109">
        <v>12</v>
      </c>
      <c r="E284" s="109">
        <v>25</v>
      </c>
      <c r="F284" s="98">
        <v>10.66</v>
      </c>
      <c r="G284" s="97" t="s">
        <v>3</v>
      </c>
      <c r="H284" s="105" t="s">
        <v>35</v>
      </c>
      <c r="I284" s="100">
        <f t="shared" ref="I284:I294" si="18">F284/E284</f>
        <v>0.4264</v>
      </c>
      <c r="J284" s="143">
        <f t="shared" si="17"/>
        <v>0.4264</v>
      </c>
    </row>
    <row r="285" spans="1:10" hidden="1" outlineLevel="1" x14ac:dyDescent="0.2">
      <c r="A285" s="95">
        <v>67</v>
      </c>
      <c r="B285" s="107" t="s">
        <v>257</v>
      </c>
      <c r="C285" s="108">
        <v>1</v>
      </c>
      <c r="D285" s="109">
        <v>1</v>
      </c>
      <c r="E285" s="109">
        <v>2.2799999999999998</v>
      </c>
      <c r="F285" s="104">
        <v>1.0495999999999999</v>
      </c>
      <c r="G285" s="97" t="s">
        <v>3</v>
      </c>
      <c r="H285" s="105" t="s">
        <v>35</v>
      </c>
      <c r="I285" s="106">
        <f t="shared" si="18"/>
        <v>0.46035087719298246</v>
      </c>
      <c r="J285" s="143">
        <f t="shared" si="17"/>
        <v>0.46035087719298246</v>
      </c>
    </row>
    <row r="286" spans="1:10" hidden="1" outlineLevel="1" x14ac:dyDescent="0.2">
      <c r="A286" s="95">
        <v>68</v>
      </c>
      <c r="B286" s="107" t="s">
        <v>105</v>
      </c>
      <c r="C286" s="108">
        <v>2</v>
      </c>
      <c r="D286" s="109">
        <v>11</v>
      </c>
      <c r="E286" s="109">
        <v>41.32</v>
      </c>
      <c r="F286" s="98">
        <v>24.862400000000001</v>
      </c>
      <c r="G286" s="97" t="s">
        <v>3</v>
      </c>
      <c r="H286" s="105" t="s">
        <v>35</v>
      </c>
      <c r="I286" s="100">
        <f t="shared" si="18"/>
        <v>0.60170377541142306</v>
      </c>
      <c r="J286" s="143">
        <f t="shared" si="17"/>
        <v>0.60170377541142306</v>
      </c>
    </row>
    <row r="287" spans="1:10" hidden="1" outlineLevel="1" x14ac:dyDescent="0.2">
      <c r="A287" s="95">
        <v>69</v>
      </c>
      <c r="B287" s="107" t="s">
        <v>127</v>
      </c>
      <c r="C287" s="108">
        <v>1</v>
      </c>
      <c r="D287" s="109">
        <v>5</v>
      </c>
      <c r="E287" s="109">
        <v>10</v>
      </c>
      <c r="F287" s="104">
        <v>4.0999999999999996</v>
      </c>
      <c r="G287" s="97" t="s">
        <v>3</v>
      </c>
      <c r="H287" s="105" t="s">
        <v>35</v>
      </c>
      <c r="I287" s="106">
        <f t="shared" si="18"/>
        <v>0.41</v>
      </c>
      <c r="J287" s="143">
        <f t="shared" si="17"/>
        <v>0.41</v>
      </c>
    </row>
    <row r="288" spans="1:10" hidden="1" outlineLevel="1" x14ac:dyDescent="0.2">
      <c r="A288" s="95">
        <v>70</v>
      </c>
      <c r="B288" s="107" t="s">
        <v>88</v>
      </c>
      <c r="C288" s="108">
        <v>3</v>
      </c>
      <c r="D288" s="109">
        <v>54</v>
      </c>
      <c r="E288" s="109">
        <v>63.89</v>
      </c>
      <c r="F288" s="98">
        <v>8.1097999999999999</v>
      </c>
      <c r="G288" s="97" t="s">
        <v>3</v>
      </c>
      <c r="H288" s="105" t="s">
        <v>35</v>
      </c>
      <c r="I288" s="100">
        <f t="shared" si="18"/>
        <v>0.12693379245578337</v>
      </c>
      <c r="J288" s="143">
        <f t="shared" si="17"/>
        <v>0.12693379245578337</v>
      </c>
    </row>
    <row r="289" spans="1:14" hidden="1" outlineLevel="1" x14ac:dyDescent="0.2">
      <c r="A289" s="95">
        <v>71</v>
      </c>
      <c r="B289" s="107" t="s">
        <v>258</v>
      </c>
      <c r="C289" s="108">
        <v>1</v>
      </c>
      <c r="D289" s="109">
        <v>0</v>
      </c>
      <c r="E289" s="109">
        <v>10</v>
      </c>
      <c r="F289" s="104">
        <v>8.1999999999999993</v>
      </c>
      <c r="G289" s="97" t="s">
        <v>3</v>
      </c>
      <c r="H289" s="105" t="s">
        <v>35</v>
      </c>
      <c r="I289" s="106">
        <f t="shared" si="18"/>
        <v>0.82</v>
      </c>
      <c r="J289" s="143">
        <f t="shared" si="17"/>
        <v>0.82</v>
      </c>
    </row>
    <row r="290" spans="1:14" hidden="1" outlineLevel="1" x14ac:dyDescent="0.2">
      <c r="A290" s="95">
        <v>72</v>
      </c>
      <c r="B290" s="107" t="s">
        <v>128</v>
      </c>
      <c r="C290" s="108">
        <v>1</v>
      </c>
      <c r="D290" s="109">
        <v>10</v>
      </c>
      <c r="E290" s="109">
        <v>22.5</v>
      </c>
      <c r="F290" s="98">
        <v>10.25</v>
      </c>
      <c r="G290" s="97" t="s">
        <v>3</v>
      </c>
      <c r="H290" s="105" t="s">
        <v>35</v>
      </c>
      <c r="I290" s="100">
        <f t="shared" si="18"/>
        <v>0.45555555555555555</v>
      </c>
      <c r="J290" s="143">
        <f t="shared" si="17"/>
        <v>0.45555555555555555</v>
      </c>
    </row>
    <row r="291" spans="1:14" hidden="1" outlineLevel="1" x14ac:dyDescent="0.2">
      <c r="A291" s="95">
        <v>73</v>
      </c>
      <c r="B291" s="107" t="s">
        <v>259</v>
      </c>
      <c r="C291" s="108">
        <v>1</v>
      </c>
      <c r="D291" s="109">
        <v>9</v>
      </c>
      <c r="E291" s="109">
        <v>24.45</v>
      </c>
      <c r="F291" s="104">
        <v>12.669</v>
      </c>
      <c r="G291" s="97" t="s">
        <v>3</v>
      </c>
      <c r="H291" s="105" t="s">
        <v>35</v>
      </c>
      <c r="I291" s="106">
        <f t="shared" si="18"/>
        <v>0.51815950920245402</v>
      </c>
      <c r="J291" s="143">
        <f t="shared" si="17"/>
        <v>0.51815950920245402</v>
      </c>
    </row>
    <row r="292" spans="1:14" hidden="1" outlineLevel="1" x14ac:dyDescent="0.2">
      <c r="A292" s="95">
        <v>74</v>
      </c>
      <c r="B292" s="107" t="s">
        <v>180</v>
      </c>
      <c r="C292" s="108">
        <v>4</v>
      </c>
      <c r="D292" s="109">
        <v>2</v>
      </c>
      <c r="E292" s="109">
        <v>10.23</v>
      </c>
      <c r="F292" s="98">
        <v>6.7486000000000006</v>
      </c>
      <c r="G292" s="97" t="s">
        <v>3</v>
      </c>
      <c r="H292" s="105" t="s">
        <v>35</v>
      </c>
      <c r="I292" s="100">
        <f t="shared" si="18"/>
        <v>0.65968719452590419</v>
      </c>
      <c r="J292" s="143">
        <f t="shared" si="17"/>
        <v>0.65968719452590419</v>
      </c>
    </row>
    <row r="293" spans="1:14" hidden="1" outlineLevel="1" x14ac:dyDescent="0.2">
      <c r="A293" s="95">
        <v>75</v>
      </c>
      <c r="B293" s="107" t="s">
        <v>260</v>
      </c>
      <c r="C293" s="108">
        <v>264</v>
      </c>
      <c r="D293" s="109">
        <v>264</v>
      </c>
      <c r="E293" s="109">
        <v>1576.06</v>
      </c>
      <c r="F293" s="104">
        <v>1075.8892000000001</v>
      </c>
      <c r="G293" s="97" t="s">
        <v>3</v>
      </c>
      <c r="H293" s="105" t="s">
        <v>35</v>
      </c>
      <c r="I293" s="106">
        <f t="shared" si="18"/>
        <v>0.68264482316663078</v>
      </c>
      <c r="J293" s="143">
        <f t="shared" si="17"/>
        <v>0.68264482316663078</v>
      </c>
    </row>
    <row r="294" spans="1:14" hidden="1" outlineLevel="1" x14ac:dyDescent="0.2">
      <c r="A294" s="95">
        <v>76</v>
      </c>
      <c r="B294" s="107" t="s">
        <v>261</v>
      </c>
      <c r="C294" s="108">
        <v>2</v>
      </c>
      <c r="D294" s="109">
        <v>20</v>
      </c>
      <c r="E294" s="109">
        <v>44.95</v>
      </c>
      <c r="F294" s="98">
        <v>20.459000000000003</v>
      </c>
      <c r="G294" s="97" t="s">
        <v>3</v>
      </c>
      <c r="H294" s="105" t="s">
        <v>35</v>
      </c>
      <c r="I294" s="100">
        <f t="shared" si="18"/>
        <v>0.45515016685205789</v>
      </c>
      <c r="J294" s="143">
        <f t="shared" si="17"/>
        <v>0.45515016685205789</v>
      </c>
    </row>
    <row r="295" spans="1:14" hidden="1" outlineLevel="1" x14ac:dyDescent="0.2">
      <c r="A295" s="101"/>
      <c r="B295" s="107"/>
      <c r="C295" s="108"/>
      <c r="D295" s="109"/>
      <c r="E295" s="109"/>
      <c r="F295" s="98"/>
      <c r="G295" s="97"/>
      <c r="H295" s="105"/>
      <c r="I295" s="100"/>
      <c r="J295" s="143" t="e">
        <f t="shared" si="17"/>
        <v>#DIV/0!</v>
      </c>
    </row>
    <row r="296" spans="1:14" hidden="1" outlineLevel="1" x14ac:dyDescent="0.2">
      <c r="A296" s="95"/>
      <c r="B296" s="102"/>
      <c r="C296" s="103"/>
      <c r="D296" s="104"/>
      <c r="E296" s="104"/>
      <c r="F296" s="104"/>
      <c r="G296" s="97"/>
      <c r="H296" s="105"/>
      <c r="I296" s="106"/>
      <c r="J296" s="143" t="e">
        <f t="shared" si="17"/>
        <v>#DIV/0!</v>
      </c>
    </row>
    <row r="297" spans="1:14" collapsed="1" x14ac:dyDescent="0.2">
      <c r="A297" s="156" t="s">
        <v>11</v>
      </c>
      <c r="B297" s="156"/>
      <c r="C297" s="157"/>
      <c r="D297" s="94">
        <f>SUM(D298:D382)</f>
        <v>3622.6</v>
      </c>
      <c r="E297" s="94">
        <f>SUM(E298:E382)</f>
        <v>7515.0700000000006</v>
      </c>
      <c r="F297" s="94">
        <f>SUM(F298:F382)</f>
        <v>4254.4841999999999</v>
      </c>
      <c r="G297" s="68">
        <f>I297+H297</f>
        <v>151</v>
      </c>
      <c r="H297" s="68">
        <f>COUNTIF(H298:H382,"BSB")</f>
        <v>44</v>
      </c>
      <c r="I297" s="68">
        <f>SUM(C298:C382)</f>
        <v>107</v>
      </c>
      <c r="J297" s="143">
        <f t="shared" si="17"/>
        <v>0.56612702210358645</v>
      </c>
    </row>
    <row r="298" spans="1:14" hidden="1" outlineLevel="1" x14ac:dyDescent="0.2">
      <c r="A298" s="101">
        <v>4</v>
      </c>
      <c r="B298" s="96" t="s">
        <v>243</v>
      </c>
      <c r="C298" s="97"/>
      <c r="D298" s="98">
        <v>50</v>
      </c>
      <c r="E298" s="98">
        <v>100</v>
      </c>
      <c r="F298" s="98">
        <f t="shared" ref="F298:F344" si="19">E298-D298</f>
        <v>50</v>
      </c>
      <c r="G298" s="97" t="s">
        <v>3</v>
      </c>
      <c r="H298" s="99" t="s">
        <v>43</v>
      </c>
      <c r="I298" s="106">
        <f t="shared" ref="I298" si="20">F298/E298</f>
        <v>0.5</v>
      </c>
      <c r="J298" s="143">
        <f t="shared" si="17"/>
        <v>0.5</v>
      </c>
    </row>
    <row r="299" spans="1:14" hidden="1" outlineLevel="1" x14ac:dyDescent="0.2">
      <c r="A299" s="95">
        <v>5</v>
      </c>
      <c r="B299" s="96" t="s">
        <v>242</v>
      </c>
      <c r="C299" s="97"/>
      <c r="D299" s="98">
        <v>3.5</v>
      </c>
      <c r="E299" s="98">
        <v>10</v>
      </c>
      <c r="F299" s="98">
        <f t="shared" si="19"/>
        <v>6.5</v>
      </c>
      <c r="G299" s="97" t="s">
        <v>3</v>
      </c>
      <c r="H299" s="99" t="s">
        <v>43</v>
      </c>
      <c r="I299" s="106">
        <f t="shared" ref="I299:I330" si="21">F299/E299</f>
        <v>0.65</v>
      </c>
      <c r="J299" s="143">
        <f t="shared" si="17"/>
        <v>0.65</v>
      </c>
    </row>
    <row r="300" spans="1:14" hidden="1" outlineLevel="1" x14ac:dyDescent="0.2">
      <c r="A300" s="101">
        <v>6</v>
      </c>
      <c r="B300" s="96" t="s">
        <v>240</v>
      </c>
      <c r="C300" s="97"/>
      <c r="D300" s="98">
        <v>30</v>
      </c>
      <c r="E300" s="98">
        <v>70</v>
      </c>
      <c r="F300" s="98">
        <f t="shared" si="19"/>
        <v>40</v>
      </c>
      <c r="G300" s="97" t="s">
        <v>3</v>
      </c>
      <c r="H300" s="99" t="s">
        <v>43</v>
      </c>
      <c r="I300" s="106">
        <f t="shared" si="21"/>
        <v>0.5714285714285714</v>
      </c>
      <c r="J300" s="143">
        <f t="shared" si="17"/>
        <v>0.5714285714285714</v>
      </c>
    </row>
    <row r="301" spans="1:14" hidden="1" outlineLevel="1" x14ac:dyDescent="0.2">
      <c r="A301" s="95">
        <v>8</v>
      </c>
      <c r="B301" s="96" t="s">
        <v>244</v>
      </c>
      <c r="C301" s="97"/>
      <c r="D301" s="98">
        <v>76.5</v>
      </c>
      <c r="E301" s="98">
        <v>118.89</v>
      </c>
      <c r="F301" s="98">
        <f t="shared" si="19"/>
        <v>42.39</v>
      </c>
      <c r="G301" s="97" t="s">
        <v>3</v>
      </c>
      <c r="H301" s="99" t="s">
        <v>43</v>
      </c>
      <c r="I301" s="106">
        <f t="shared" si="21"/>
        <v>0.35654806964420893</v>
      </c>
      <c r="J301" s="143">
        <f t="shared" si="17"/>
        <v>0.35654806964420893</v>
      </c>
    </row>
    <row r="302" spans="1:14" hidden="1" outlineLevel="1" x14ac:dyDescent="0.2">
      <c r="A302" s="101">
        <v>9</v>
      </c>
      <c r="B302" s="96" t="s">
        <v>244</v>
      </c>
      <c r="C302" s="97"/>
      <c r="D302" s="98">
        <v>76.5</v>
      </c>
      <c r="E302" s="98">
        <v>118.89</v>
      </c>
      <c r="F302" s="98">
        <f t="shared" si="19"/>
        <v>42.39</v>
      </c>
      <c r="G302" s="97" t="s">
        <v>3</v>
      </c>
      <c r="H302" s="99" t="s">
        <v>43</v>
      </c>
      <c r="I302" s="106">
        <f t="shared" si="21"/>
        <v>0.35654806964420893</v>
      </c>
      <c r="J302" s="143">
        <f t="shared" si="17"/>
        <v>0.35654806964420893</v>
      </c>
    </row>
    <row r="303" spans="1:14" hidden="1" outlineLevel="1" x14ac:dyDescent="0.2">
      <c r="A303" s="101">
        <v>10</v>
      </c>
      <c r="B303" s="96" t="s">
        <v>244</v>
      </c>
      <c r="C303" s="97"/>
      <c r="D303" s="98">
        <v>76.5</v>
      </c>
      <c r="E303" s="98">
        <v>118.89</v>
      </c>
      <c r="F303" s="98">
        <f t="shared" si="19"/>
        <v>42.39</v>
      </c>
      <c r="G303" s="97" t="s">
        <v>3</v>
      </c>
      <c r="H303" s="99" t="s">
        <v>43</v>
      </c>
      <c r="I303" s="106">
        <f t="shared" si="21"/>
        <v>0.35654806964420893</v>
      </c>
      <c r="J303" s="143">
        <f t="shared" si="17"/>
        <v>0.35654806964420893</v>
      </c>
    </row>
    <row r="304" spans="1:14" hidden="1" outlineLevel="1" x14ac:dyDescent="0.2">
      <c r="A304" s="95">
        <v>11</v>
      </c>
      <c r="B304" s="96" t="s">
        <v>244</v>
      </c>
      <c r="C304" s="97"/>
      <c r="D304" s="98">
        <v>76.5</v>
      </c>
      <c r="E304" s="98">
        <v>118.89</v>
      </c>
      <c r="F304" s="98">
        <f t="shared" si="19"/>
        <v>42.39</v>
      </c>
      <c r="G304" s="97" t="s">
        <v>3</v>
      </c>
      <c r="H304" s="99" t="s">
        <v>43</v>
      </c>
      <c r="I304" s="106">
        <f t="shared" si="21"/>
        <v>0.35654806964420893</v>
      </c>
      <c r="J304" s="143">
        <f t="shared" si="17"/>
        <v>0.35654806964420893</v>
      </c>
      <c r="M304" s="110"/>
      <c r="N304" s="111"/>
    </row>
    <row r="305" spans="1:15" hidden="1" outlineLevel="1" x14ac:dyDescent="0.2">
      <c r="A305" s="101">
        <v>12</v>
      </c>
      <c r="B305" s="96" t="s">
        <v>263</v>
      </c>
      <c r="C305" s="97"/>
      <c r="D305" s="98"/>
      <c r="E305" s="98">
        <v>350</v>
      </c>
      <c r="F305" s="98">
        <f t="shared" si="19"/>
        <v>350</v>
      </c>
      <c r="G305" s="97" t="s">
        <v>3</v>
      </c>
      <c r="H305" s="99" t="s">
        <v>43</v>
      </c>
      <c r="I305" s="106">
        <f t="shared" si="21"/>
        <v>1</v>
      </c>
      <c r="J305" s="143">
        <f t="shared" si="17"/>
        <v>1</v>
      </c>
      <c r="M305" s="112"/>
      <c r="O305" s="112"/>
    </row>
    <row r="306" spans="1:15" hidden="1" outlineLevel="1" x14ac:dyDescent="0.2">
      <c r="A306" s="101">
        <v>13</v>
      </c>
      <c r="B306" s="96" t="s">
        <v>264</v>
      </c>
      <c r="C306" s="97"/>
      <c r="D306" s="98">
        <v>50</v>
      </c>
      <c r="E306" s="98">
        <v>80</v>
      </c>
      <c r="F306" s="98">
        <f t="shared" si="19"/>
        <v>30</v>
      </c>
      <c r="G306" s="97" t="s">
        <v>3</v>
      </c>
      <c r="H306" s="99" t="s">
        <v>43</v>
      </c>
      <c r="I306" s="106">
        <f t="shared" si="21"/>
        <v>0.375</v>
      </c>
      <c r="J306" s="143">
        <f t="shared" si="17"/>
        <v>0.375</v>
      </c>
    </row>
    <row r="307" spans="1:15" hidden="1" outlineLevel="1" x14ac:dyDescent="0.2">
      <c r="A307" s="95">
        <v>14</v>
      </c>
      <c r="B307" s="96" t="s">
        <v>264</v>
      </c>
      <c r="C307" s="97"/>
      <c r="D307" s="98">
        <v>50</v>
      </c>
      <c r="E307" s="98">
        <v>80</v>
      </c>
      <c r="F307" s="98">
        <f t="shared" si="19"/>
        <v>30</v>
      </c>
      <c r="G307" s="97" t="s">
        <v>3</v>
      </c>
      <c r="H307" s="99" t="s">
        <v>43</v>
      </c>
      <c r="I307" s="106">
        <f t="shared" si="21"/>
        <v>0.375</v>
      </c>
      <c r="J307" s="143">
        <f t="shared" si="17"/>
        <v>0.375</v>
      </c>
    </row>
    <row r="308" spans="1:15" hidden="1" outlineLevel="1" x14ac:dyDescent="0.2">
      <c r="A308" s="101">
        <v>15</v>
      </c>
      <c r="B308" s="96" t="s">
        <v>264</v>
      </c>
      <c r="C308" s="97"/>
      <c r="D308" s="98">
        <v>50</v>
      </c>
      <c r="E308" s="98">
        <v>80</v>
      </c>
      <c r="F308" s="98">
        <f t="shared" si="19"/>
        <v>30</v>
      </c>
      <c r="G308" s="97" t="s">
        <v>3</v>
      </c>
      <c r="H308" s="99" t="s">
        <v>43</v>
      </c>
      <c r="I308" s="106">
        <f t="shared" si="21"/>
        <v>0.375</v>
      </c>
      <c r="J308" s="143">
        <f t="shared" si="17"/>
        <v>0.375</v>
      </c>
    </row>
    <row r="309" spans="1:15" hidden="1" outlineLevel="1" x14ac:dyDescent="0.2">
      <c r="A309" s="101">
        <v>16</v>
      </c>
      <c r="B309" s="96" t="s">
        <v>265</v>
      </c>
      <c r="C309" s="97"/>
      <c r="D309" s="98">
        <v>17</v>
      </c>
      <c r="E309" s="98">
        <v>30</v>
      </c>
      <c r="F309" s="98">
        <f t="shared" si="19"/>
        <v>13</v>
      </c>
      <c r="G309" s="97" t="s">
        <v>3</v>
      </c>
      <c r="H309" s="99" t="s">
        <v>43</v>
      </c>
      <c r="I309" s="106">
        <f t="shared" si="21"/>
        <v>0.43333333333333335</v>
      </c>
      <c r="J309" s="143">
        <f t="shared" si="17"/>
        <v>0.43333333333333335</v>
      </c>
    </row>
    <row r="310" spans="1:15" hidden="1" outlineLevel="1" x14ac:dyDescent="0.2">
      <c r="A310" s="95">
        <v>17</v>
      </c>
      <c r="B310" s="96" t="s">
        <v>266</v>
      </c>
      <c r="C310" s="97"/>
      <c r="D310" s="98">
        <v>3.5</v>
      </c>
      <c r="E310" s="98">
        <v>5</v>
      </c>
      <c r="F310" s="98">
        <f t="shared" si="19"/>
        <v>1.5</v>
      </c>
      <c r="G310" s="97" t="s">
        <v>3</v>
      </c>
      <c r="H310" s="99" t="s">
        <v>43</v>
      </c>
      <c r="I310" s="106">
        <f t="shared" si="21"/>
        <v>0.3</v>
      </c>
      <c r="J310" s="143">
        <f t="shared" si="17"/>
        <v>0.3</v>
      </c>
    </row>
    <row r="311" spans="1:15" hidden="1" outlineLevel="1" x14ac:dyDescent="0.2">
      <c r="A311" s="101">
        <v>18</v>
      </c>
      <c r="B311" s="96" t="s">
        <v>266</v>
      </c>
      <c r="C311" s="97"/>
      <c r="D311" s="98">
        <v>3.5</v>
      </c>
      <c r="E311" s="98">
        <v>5</v>
      </c>
      <c r="F311" s="98">
        <f t="shared" si="19"/>
        <v>1.5</v>
      </c>
      <c r="G311" s="97" t="s">
        <v>3</v>
      </c>
      <c r="H311" s="99" t="s">
        <v>43</v>
      </c>
      <c r="I311" s="106">
        <f t="shared" si="21"/>
        <v>0.3</v>
      </c>
      <c r="J311" s="143">
        <f t="shared" si="17"/>
        <v>0.3</v>
      </c>
    </row>
    <row r="312" spans="1:15" hidden="1" outlineLevel="1" x14ac:dyDescent="0.2">
      <c r="A312" s="101">
        <v>19</v>
      </c>
      <c r="B312" s="96" t="s">
        <v>266</v>
      </c>
      <c r="C312" s="97"/>
      <c r="D312" s="98">
        <v>3.5</v>
      </c>
      <c r="E312" s="98">
        <v>5</v>
      </c>
      <c r="F312" s="98">
        <f t="shared" si="19"/>
        <v>1.5</v>
      </c>
      <c r="G312" s="97" t="s">
        <v>3</v>
      </c>
      <c r="H312" s="99" t="s">
        <v>43</v>
      </c>
      <c r="I312" s="106">
        <f t="shared" si="21"/>
        <v>0.3</v>
      </c>
      <c r="J312" s="143">
        <f t="shared" si="17"/>
        <v>0.3</v>
      </c>
    </row>
    <row r="313" spans="1:15" hidden="1" outlineLevel="1" x14ac:dyDescent="0.2">
      <c r="A313" s="95">
        <v>20</v>
      </c>
      <c r="B313" s="96" t="s">
        <v>266</v>
      </c>
      <c r="C313" s="97"/>
      <c r="D313" s="98">
        <v>3</v>
      </c>
      <c r="E313" s="98">
        <v>5</v>
      </c>
      <c r="F313" s="98">
        <f t="shared" si="19"/>
        <v>2</v>
      </c>
      <c r="G313" s="97" t="s">
        <v>3</v>
      </c>
      <c r="H313" s="99" t="s">
        <v>43</v>
      </c>
      <c r="I313" s="106">
        <f t="shared" si="21"/>
        <v>0.4</v>
      </c>
      <c r="J313" s="143">
        <f t="shared" si="17"/>
        <v>0.4</v>
      </c>
    </row>
    <row r="314" spans="1:15" hidden="1" outlineLevel="1" x14ac:dyDescent="0.2">
      <c r="A314" s="101">
        <v>21</v>
      </c>
      <c r="B314" s="96" t="s">
        <v>266</v>
      </c>
      <c r="C314" s="97"/>
      <c r="D314" s="98">
        <v>3</v>
      </c>
      <c r="E314" s="98">
        <v>5</v>
      </c>
      <c r="F314" s="98">
        <f t="shared" si="19"/>
        <v>2</v>
      </c>
      <c r="G314" s="97" t="s">
        <v>3</v>
      </c>
      <c r="H314" s="99" t="s">
        <v>43</v>
      </c>
      <c r="I314" s="106">
        <f t="shared" si="21"/>
        <v>0.4</v>
      </c>
      <c r="J314" s="143">
        <f t="shared" si="17"/>
        <v>0.4</v>
      </c>
    </row>
    <row r="315" spans="1:15" hidden="1" outlineLevel="1" x14ac:dyDescent="0.2">
      <c r="A315" s="101">
        <v>22</v>
      </c>
      <c r="B315" s="96" t="s">
        <v>266</v>
      </c>
      <c r="C315" s="97"/>
      <c r="D315" s="98">
        <v>3</v>
      </c>
      <c r="E315" s="98">
        <v>5</v>
      </c>
      <c r="F315" s="98">
        <f t="shared" si="19"/>
        <v>2</v>
      </c>
      <c r="G315" s="97" t="s">
        <v>3</v>
      </c>
      <c r="H315" s="99" t="s">
        <v>43</v>
      </c>
      <c r="I315" s="106">
        <f t="shared" si="21"/>
        <v>0.4</v>
      </c>
      <c r="J315" s="143">
        <f t="shared" si="17"/>
        <v>0.4</v>
      </c>
    </row>
    <row r="316" spans="1:15" hidden="1" outlineLevel="1" x14ac:dyDescent="0.2">
      <c r="A316" s="95">
        <v>23</v>
      </c>
      <c r="B316" s="96" t="s">
        <v>267</v>
      </c>
      <c r="C316" s="97"/>
      <c r="D316" s="98">
        <v>28</v>
      </c>
      <c r="E316" s="98">
        <v>50</v>
      </c>
      <c r="F316" s="98">
        <f t="shared" si="19"/>
        <v>22</v>
      </c>
      <c r="G316" s="97" t="s">
        <v>3</v>
      </c>
      <c r="H316" s="99" t="s">
        <v>43</v>
      </c>
      <c r="I316" s="106">
        <f t="shared" si="21"/>
        <v>0.44</v>
      </c>
      <c r="J316" s="143">
        <f t="shared" si="17"/>
        <v>0.44</v>
      </c>
    </row>
    <row r="317" spans="1:15" hidden="1" outlineLevel="1" x14ac:dyDescent="0.2">
      <c r="A317" s="101">
        <v>24</v>
      </c>
      <c r="B317" s="96" t="s">
        <v>268</v>
      </c>
      <c r="C317" s="97"/>
      <c r="D317" s="98">
        <v>130</v>
      </c>
      <c r="E317" s="98">
        <v>225</v>
      </c>
      <c r="F317" s="98">
        <f t="shared" si="19"/>
        <v>95</v>
      </c>
      <c r="G317" s="97" t="s">
        <v>3</v>
      </c>
      <c r="H317" s="99" t="s">
        <v>43</v>
      </c>
      <c r="I317" s="106">
        <f t="shared" si="21"/>
        <v>0.42222222222222222</v>
      </c>
      <c r="J317" s="143">
        <f t="shared" si="17"/>
        <v>0.42222222222222222</v>
      </c>
    </row>
    <row r="318" spans="1:15" hidden="1" outlineLevel="1" x14ac:dyDescent="0.2">
      <c r="A318" s="101">
        <v>25</v>
      </c>
      <c r="B318" s="96" t="s">
        <v>271</v>
      </c>
      <c r="C318" s="97"/>
      <c r="D318" s="98">
        <v>40</v>
      </c>
      <c r="E318" s="98">
        <v>85</v>
      </c>
      <c r="F318" s="98">
        <f t="shared" si="19"/>
        <v>45</v>
      </c>
      <c r="G318" s="97" t="s">
        <v>3</v>
      </c>
      <c r="H318" s="99" t="s">
        <v>43</v>
      </c>
      <c r="I318" s="106">
        <f t="shared" si="21"/>
        <v>0.52941176470588236</v>
      </c>
      <c r="J318" s="143">
        <f t="shared" si="17"/>
        <v>0.52941176470588236</v>
      </c>
    </row>
    <row r="319" spans="1:15" hidden="1" outlineLevel="1" x14ac:dyDescent="0.2">
      <c r="A319" s="101">
        <v>28</v>
      </c>
      <c r="B319" s="96" t="s">
        <v>272</v>
      </c>
      <c r="C319" s="97"/>
      <c r="D319" s="98">
        <v>0</v>
      </c>
      <c r="E319" s="98">
        <v>250</v>
      </c>
      <c r="F319" s="98">
        <f t="shared" si="19"/>
        <v>250</v>
      </c>
      <c r="G319" s="97" t="s">
        <v>3</v>
      </c>
      <c r="H319" s="99" t="s">
        <v>43</v>
      </c>
      <c r="I319" s="106">
        <f t="shared" si="21"/>
        <v>1</v>
      </c>
      <c r="J319" s="143">
        <f t="shared" si="17"/>
        <v>1</v>
      </c>
    </row>
    <row r="320" spans="1:15" hidden="1" outlineLevel="1" x14ac:dyDescent="0.2">
      <c r="A320" s="95">
        <v>29</v>
      </c>
      <c r="B320" s="96" t="s">
        <v>150</v>
      </c>
      <c r="C320" s="97"/>
      <c r="D320" s="98">
        <v>75</v>
      </c>
      <c r="E320" s="98">
        <v>100</v>
      </c>
      <c r="F320" s="98">
        <f t="shared" si="19"/>
        <v>25</v>
      </c>
      <c r="G320" s="97" t="s">
        <v>3</v>
      </c>
      <c r="H320" s="99" t="s">
        <v>43</v>
      </c>
      <c r="I320" s="106">
        <f t="shared" si="21"/>
        <v>0.25</v>
      </c>
      <c r="J320" s="143">
        <f t="shared" si="17"/>
        <v>0.25</v>
      </c>
    </row>
    <row r="321" spans="1:10" hidden="1" outlineLevel="1" x14ac:dyDescent="0.2">
      <c r="A321" s="101">
        <v>30</v>
      </c>
      <c r="B321" s="96" t="s">
        <v>150</v>
      </c>
      <c r="C321" s="97"/>
      <c r="D321" s="98">
        <v>75</v>
      </c>
      <c r="E321" s="98">
        <v>100</v>
      </c>
      <c r="F321" s="98">
        <f t="shared" si="19"/>
        <v>25</v>
      </c>
      <c r="G321" s="97" t="s">
        <v>3</v>
      </c>
      <c r="H321" s="99" t="s">
        <v>43</v>
      </c>
      <c r="I321" s="106">
        <f t="shared" si="21"/>
        <v>0.25</v>
      </c>
      <c r="J321" s="143">
        <f t="shared" si="17"/>
        <v>0.25</v>
      </c>
    </row>
    <row r="322" spans="1:10" hidden="1" outlineLevel="1" x14ac:dyDescent="0.2">
      <c r="A322" s="101">
        <v>31</v>
      </c>
      <c r="B322" s="96" t="s">
        <v>273</v>
      </c>
      <c r="C322" s="97"/>
      <c r="D322" s="98">
        <f>3+2.5+2.5</f>
        <v>8</v>
      </c>
      <c r="E322" s="98">
        <v>15</v>
      </c>
      <c r="F322" s="98">
        <f t="shared" si="19"/>
        <v>7</v>
      </c>
      <c r="G322" s="97" t="s">
        <v>3</v>
      </c>
      <c r="H322" s="99" t="s">
        <v>43</v>
      </c>
      <c r="I322" s="106">
        <f t="shared" si="21"/>
        <v>0.46666666666666667</v>
      </c>
      <c r="J322" s="143">
        <f t="shared" ref="J322:J385" si="22">F322/E322</f>
        <v>0.46666666666666667</v>
      </c>
    </row>
    <row r="323" spans="1:10" hidden="1" outlineLevel="1" x14ac:dyDescent="0.2">
      <c r="A323" s="95">
        <v>32</v>
      </c>
      <c r="B323" s="96" t="s">
        <v>136</v>
      </c>
      <c r="C323" s="97"/>
      <c r="D323" s="98">
        <v>7.5</v>
      </c>
      <c r="E323" s="98">
        <v>20</v>
      </c>
      <c r="F323" s="98">
        <f t="shared" si="19"/>
        <v>12.5</v>
      </c>
      <c r="G323" s="97" t="s">
        <v>3</v>
      </c>
      <c r="H323" s="99" t="s">
        <v>43</v>
      </c>
      <c r="I323" s="106">
        <f t="shared" si="21"/>
        <v>0.625</v>
      </c>
      <c r="J323" s="143">
        <f t="shared" si="22"/>
        <v>0.625</v>
      </c>
    </row>
    <row r="324" spans="1:10" hidden="1" outlineLevel="1" x14ac:dyDescent="0.2">
      <c r="A324" s="101">
        <v>33</v>
      </c>
      <c r="B324" s="96" t="s">
        <v>274</v>
      </c>
      <c r="C324" s="97"/>
      <c r="D324" s="98">
        <v>35</v>
      </c>
      <c r="E324" s="98">
        <v>50</v>
      </c>
      <c r="F324" s="98">
        <f t="shared" si="19"/>
        <v>15</v>
      </c>
      <c r="G324" s="97" t="s">
        <v>3</v>
      </c>
      <c r="H324" s="99" t="s">
        <v>43</v>
      </c>
      <c r="I324" s="106">
        <f t="shared" si="21"/>
        <v>0.3</v>
      </c>
      <c r="J324" s="143">
        <f t="shared" si="22"/>
        <v>0.3</v>
      </c>
    </row>
    <row r="325" spans="1:10" hidden="1" outlineLevel="1" x14ac:dyDescent="0.2">
      <c r="A325" s="101">
        <v>34</v>
      </c>
      <c r="B325" s="96" t="s">
        <v>275</v>
      </c>
      <c r="C325" s="97"/>
      <c r="D325" s="98">
        <v>15</v>
      </c>
      <c r="E325" s="98">
        <v>30</v>
      </c>
      <c r="F325" s="98">
        <f t="shared" si="19"/>
        <v>15</v>
      </c>
      <c r="G325" s="97" t="s">
        <v>3</v>
      </c>
      <c r="H325" s="99" t="s">
        <v>43</v>
      </c>
      <c r="I325" s="106">
        <f t="shared" si="21"/>
        <v>0.5</v>
      </c>
      <c r="J325" s="143">
        <f t="shared" si="22"/>
        <v>0.5</v>
      </c>
    </row>
    <row r="326" spans="1:10" hidden="1" outlineLevel="1" x14ac:dyDescent="0.2">
      <c r="A326" s="95">
        <v>35</v>
      </c>
      <c r="B326" s="96" t="s">
        <v>271</v>
      </c>
      <c r="C326" s="97"/>
      <c r="D326" s="98">
        <v>40</v>
      </c>
      <c r="E326" s="98">
        <v>70</v>
      </c>
      <c r="F326" s="98">
        <f t="shared" si="19"/>
        <v>30</v>
      </c>
      <c r="G326" s="97" t="s">
        <v>3</v>
      </c>
      <c r="H326" s="99" t="s">
        <v>43</v>
      </c>
      <c r="I326" s="106">
        <f t="shared" si="21"/>
        <v>0.42857142857142855</v>
      </c>
      <c r="J326" s="143">
        <f t="shared" si="22"/>
        <v>0.42857142857142855</v>
      </c>
    </row>
    <row r="327" spans="1:10" hidden="1" outlineLevel="1" x14ac:dyDescent="0.2">
      <c r="A327" s="101">
        <v>36</v>
      </c>
      <c r="B327" s="96" t="s">
        <v>271</v>
      </c>
      <c r="C327" s="97"/>
      <c r="D327" s="98">
        <v>40</v>
      </c>
      <c r="E327" s="98">
        <v>70</v>
      </c>
      <c r="F327" s="98">
        <f t="shared" si="19"/>
        <v>30</v>
      </c>
      <c r="G327" s="97" t="s">
        <v>3</v>
      </c>
      <c r="H327" s="99" t="s">
        <v>43</v>
      </c>
      <c r="I327" s="106">
        <f t="shared" si="21"/>
        <v>0.42857142857142855</v>
      </c>
      <c r="J327" s="143">
        <f t="shared" si="22"/>
        <v>0.42857142857142855</v>
      </c>
    </row>
    <row r="328" spans="1:10" hidden="1" outlineLevel="1" x14ac:dyDescent="0.2">
      <c r="A328" s="101">
        <v>37</v>
      </c>
      <c r="B328" s="96" t="s">
        <v>276</v>
      </c>
      <c r="C328" s="97"/>
      <c r="D328" s="98">
        <v>32</v>
      </c>
      <c r="E328" s="98">
        <v>60</v>
      </c>
      <c r="F328" s="98">
        <f t="shared" si="19"/>
        <v>28</v>
      </c>
      <c r="G328" s="97" t="s">
        <v>3</v>
      </c>
      <c r="H328" s="99" t="s">
        <v>43</v>
      </c>
      <c r="I328" s="106">
        <f t="shared" si="21"/>
        <v>0.46666666666666667</v>
      </c>
      <c r="J328" s="143">
        <f t="shared" si="22"/>
        <v>0.46666666666666667</v>
      </c>
    </row>
    <row r="329" spans="1:10" hidden="1" outlineLevel="1" x14ac:dyDescent="0.2">
      <c r="A329" s="95">
        <v>38</v>
      </c>
      <c r="B329" s="96" t="s">
        <v>277</v>
      </c>
      <c r="C329" s="97"/>
      <c r="D329" s="98">
        <v>3</v>
      </c>
      <c r="E329" s="98">
        <v>10</v>
      </c>
      <c r="F329" s="98">
        <f t="shared" si="19"/>
        <v>7</v>
      </c>
      <c r="G329" s="97" t="s">
        <v>3</v>
      </c>
      <c r="H329" s="99" t="s">
        <v>43</v>
      </c>
      <c r="I329" s="106">
        <f t="shared" si="21"/>
        <v>0.7</v>
      </c>
      <c r="J329" s="143">
        <f t="shared" si="22"/>
        <v>0.7</v>
      </c>
    </row>
    <row r="330" spans="1:10" hidden="1" outlineLevel="1" x14ac:dyDescent="0.2">
      <c r="A330" s="101">
        <v>39</v>
      </c>
      <c r="B330" s="96" t="s">
        <v>278</v>
      </c>
      <c r="C330" s="97"/>
      <c r="D330" s="98">
        <v>18</v>
      </c>
      <c r="E330" s="98">
        <v>30</v>
      </c>
      <c r="F330" s="98">
        <f t="shared" si="19"/>
        <v>12</v>
      </c>
      <c r="G330" s="97" t="s">
        <v>3</v>
      </c>
      <c r="H330" s="99" t="s">
        <v>43</v>
      </c>
      <c r="I330" s="106">
        <f t="shared" si="21"/>
        <v>0.4</v>
      </c>
      <c r="J330" s="143">
        <f t="shared" si="22"/>
        <v>0.4</v>
      </c>
    </row>
    <row r="331" spans="1:10" hidden="1" outlineLevel="1" x14ac:dyDescent="0.2">
      <c r="A331" s="101">
        <v>40</v>
      </c>
      <c r="B331" s="96" t="s">
        <v>136</v>
      </c>
      <c r="C331" s="97"/>
      <c r="D331" s="98">
        <v>7.5</v>
      </c>
      <c r="E331" s="98">
        <v>20</v>
      </c>
      <c r="F331" s="98">
        <f t="shared" si="19"/>
        <v>12.5</v>
      </c>
      <c r="G331" s="97" t="s">
        <v>3</v>
      </c>
      <c r="H331" s="99" t="s">
        <v>43</v>
      </c>
      <c r="I331" s="106">
        <f t="shared" ref="I331:I362" si="23">F331/E331</f>
        <v>0.625</v>
      </c>
      <c r="J331" s="143">
        <f t="shared" si="22"/>
        <v>0.625</v>
      </c>
    </row>
    <row r="332" spans="1:10" hidden="1" outlineLevel="1" x14ac:dyDescent="0.2">
      <c r="A332" s="95">
        <v>41</v>
      </c>
      <c r="B332" s="96" t="s">
        <v>279</v>
      </c>
      <c r="C332" s="97"/>
      <c r="D332" s="98">
        <v>0</v>
      </c>
      <c r="E332" s="98">
        <v>15</v>
      </c>
      <c r="F332" s="98">
        <f t="shared" si="19"/>
        <v>15</v>
      </c>
      <c r="G332" s="97" t="s">
        <v>3</v>
      </c>
      <c r="H332" s="99" t="s">
        <v>43</v>
      </c>
      <c r="I332" s="106">
        <f t="shared" si="23"/>
        <v>1</v>
      </c>
      <c r="J332" s="143">
        <f t="shared" si="22"/>
        <v>1</v>
      </c>
    </row>
    <row r="333" spans="1:10" hidden="1" outlineLevel="1" x14ac:dyDescent="0.2">
      <c r="A333" s="101">
        <v>42</v>
      </c>
      <c r="B333" s="96" t="s">
        <v>216</v>
      </c>
      <c r="C333" s="97"/>
      <c r="D333" s="98">
        <v>5</v>
      </c>
      <c r="E333" s="98">
        <v>10</v>
      </c>
      <c r="F333" s="98">
        <f t="shared" si="19"/>
        <v>5</v>
      </c>
      <c r="G333" s="97" t="s">
        <v>3</v>
      </c>
      <c r="H333" s="99" t="s">
        <v>43</v>
      </c>
      <c r="I333" s="106">
        <f t="shared" si="23"/>
        <v>0.5</v>
      </c>
      <c r="J333" s="143">
        <f t="shared" si="22"/>
        <v>0.5</v>
      </c>
    </row>
    <row r="334" spans="1:10" hidden="1" outlineLevel="1" x14ac:dyDescent="0.2">
      <c r="A334" s="101">
        <v>43</v>
      </c>
      <c r="B334" s="96" t="s">
        <v>280</v>
      </c>
      <c r="C334" s="97"/>
      <c r="D334" s="98">
        <v>32</v>
      </c>
      <c r="E334" s="98">
        <v>60</v>
      </c>
      <c r="F334" s="98">
        <f t="shared" si="19"/>
        <v>28</v>
      </c>
      <c r="G334" s="97" t="s">
        <v>3</v>
      </c>
      <c r="H334" s="99" t="s">
        <v>43</v>
      </c>
      <c r="I334" s="106">
        <f t="shared" si="23"/>
        <v>0.46666666666666667</v>
      </c>
      <c r="J334" s="143">
        <f t="shared" si="22"/>
        <v>0.46666666666666667</v>
      </c>
    </row>
    <row r="335" spans="1:10" hidden="1" outlineLevel="1" x14ac:dyDescent="0.2">
      <c r="A335" s="95">
        <v>44</v>
      </c>
      <c r="B335" s="96" t="s">
        <v>281</v>
      </c>
      <c r="C335" s="97"/>
      <c r="D335" s="98">
        <v>28</v>
      </c>
      <c r="E335" s="98">
        <v>60</v>
      </c>
      <c r="F335" s="98">
        <f t="shared" si="19"/>
        <v>32</v>
      </c>
      <c r="G335" s="97" t="s">
        <v>3</v>
      </c>
      <c r="H335" s="99" t="s">
        <v>43</v>
      </c>
      <c r="I335" s="106">
        <f t="shared" si="23"/>
        <v>0.53333333333333333</v>
      </c>
      <c r="J335" s="143">
        <f t="shared" si="22"/>
        <v>0.53333333333333333</v>
      </c>
    </row>
    <row r="336" spans="1:10" hidden="1" outlineLevel="1" x14ac:dyDescent="0.2">
      <c r="A336" s="101">
        <v>45</v>
      </c>
      <c r="B336" s="96" t="s">
        <v>282</v>
      </c>
      <c r="C336" s="97"/>
      <c r="D336" s="98">
        <v>60</v>
      </c>
      <c r="E336" s="98">
        <v>116</v>
      </c>
      <c r="F336" s="98">
        <f t="shared" si="19"/>
        <v>56</v>
      </c>
      <c r="G336" s="97" t="s">
        <v>3</v>
      </c>
      <c r="H336" s="99" t="s">
        <v>43</v>
      </c>
      <c r="I336" s="106">
        <f t="shared" si="23"/>
        <v>0.48275862068965519</v>
      </c>
      <c r="J336" s="143">
        <f t="shared" si="22"/>
        <v>0.48275862068965519</v>
      </c>
    </row>
    <row r="337" spans="1:10" hidden="1" outlineLevel="1" x14ac:dyDescent="0.2">
      <c r="A337" s="101">
        <v>46</v>
      </c>
      <c r="B337" s="96" t="s">
        <v>277</v>
      </c>
      <c r="C337" s="97"/>
      <c r="D337" s="98">
        <v>8.5</v>
      </c>
      <c r="E337" s="98">
        <v>20</v>
      </c>
      <c r="F337" s="98">
        <f t="shared" si="19"/>
        <v>11.5</v>
      </c>
      <c r="G337" s="97" t="s">
        <v>3</v>
      </c>
      <c r="H337" s="99" t="s">
        <v>43</v>
      </c>
      <c r="I337" s="106">
        <f t="shared" si="23"/>
        <v>0.57499999999999996</v>
      </c>
      <c r="J337" s="143">
        <f t="shared" si="22"/>
        <v>0.57499999999999996</v>
      </c>
    </row>
    <row r="338" spans="1:10" hidden="1" outlineLevel="1" x14ac:dyDescent="0.2">
      <c r="A338" s="95">
        <v>47</v>
      </c>
      <c r="B338" s="96" t="s">
        <v>282</v>
      </c>
      <c r="C338" s="97"/>
      <c r="D338" s="98">
        <v>60</v>
      </c>
      <c r="E338" s="98">
        <v>130</v>
      </c>
      <c r="F338" s="98">
        <f t="shared" si="19"/>
        <v>70</v>
      </c>
      <c r="G338" s="97" t="s">
        <v>3</v>
      </c>
      <c r="H338" s="99" t="s">
        <v>43</v>
      </c>
      <c r="I338" s="106">
        <f t="shared" si="23"/>
        <v>0.53846153846153844</v>
      </c>
      <c r="J338" s="143">
        <f t="shared" si="22"/>
        <v>0.53846153846153844</v>
      </c>
    </row>
    <row r="339" spans="1:10" hidden="1" outlineLevel="1" x14ac:dyDescent="0.2">
      <c r="A339" s="101">
        <v>48</v>
      </c>
      <c r="B339" s="96" t="s">
        <v>284</v>
      </c>
      <c r="C339" s="97"/>
      <c r="D339" s="98">
        <v>33</v>
      </c>
      <c r="E339" s="98">
        <v>60</v>
      </c>
      <c r="F339" s="98">
        <f t="shared" si="19"/>
        <v>27</v>
      </c>
      <c r="G339" s="97" t="s">
        <v>3</v>
      </c>
      <c r="H339" s="99" t="s">
        <v>43</v>
      </c>
      <c r="I339" s="106">
        <f t="shared" si="23"/>
        <v>0.45</v>
      </c>
      <c r="J339" s="143">
        <f t="shared" si="22"/>
        <v>0.45</v>
      </c>
    </row>
    <row r="340" spans="1:10" hidden="1" outlineLevel="1" x14ac:dyDescent="0.2">
      <c r="A340" s="101">
        <v>49</v>
      </c>
      <c r="B340" s="96" t="s">
        <v>282</v>
      </c>
      <c r="C340" s="97"/>
      <c r="D340" s="98">
        <v>60</v>
      </c>
      <c r="E340" s="98">
        <v>120</v>
      </c>
      <c r="F340" s="98">
        <f t="shared" si="19"/>
        <v>60</v>
      </c>
      <c r="G340" s="97" t="s">
        <v>3</v>
      </c>
      <c r="H340" s="99" t="s">
        <v>43</v>
      </c>
      <c r="I340" s="106">
        <f t="shared" si="23"/>
        <v>0.5</v>
      </c>
      <c r="J340" s="143">
        <f t="shared" si="22"/>
        <v>0.5</v>
      </c>
    </row>
    <row r="341" spans="1:10" hidden="1" outlineLevel="1" x14ac:dyDescent="0.2">
      <c r="A341" s="95">
        <v>50</v>
      </c>
      <c r="B341" s="96" t="s">
        <v>282</v>
      </c>
      <c r="C341" s="97"/>
      <c r="D341" s="98">
        <v>60</v>
      </c>
      <c r="E341" s="98">
        <v>130</v>
      </c>
      <c r="F341" s="98">
        <f t="shared" si="19"/>
        <v>70</v>
      </c>
      <c r="G341" s="97" t="s">
        <v>3</v>
      </c>
      <c r="H341" s="99" t="s">
        <v>43</v>
      </c>
      <c r="I341" s="106">
        <f t="shared" si="23"/>
        <v>0.53846153846153844</v>
      </c>
      <c r="J341" s="143">
        <f t="shared" si="22"/>
        <v>0.53846153846153844</v>
      </c>
    </row>
    <row r="342" spans="1:10" hidden="1" outlineLevel="1" x14ac:dyDescent="0.2">
      <c r="A342" s="101">
        <v>7</v>
      </c>
      <c r="B342" s="96" t="s">
        <v>241</v>
      </c>
      <c r="C342" s="97">
        <v>1</v>
      </c>
      <c r="D342" s="98">
        <v>50</v>
      </c>
      <c r="E342" s="98">
        <v>79</v>
      </c>
      <c r="F342" s="98">
        <f t="shared" si="19"/>
        <v>29</v>
      </c>
      <c r="G342" s="97" t="s">
        <v>3</v>
      </c>
      <c r="H342" s="99" t="s">
        <v>239</v>
      </c>
      <c r="I342" s="106">
        <f t="shared" si="23"/>
        <v>0.36708860759493672</v>
      </c>
      <c r="J342" s="143">
        <f t="shared" si="22"/>
        <v>0.36708860759493672</v>
      </c>
    </row>
    <row r="343" spans="1:10" hidden="1" outlineLevel="1" x14ac:dyDescent="0.2">
      <c r="A343" s="95">
        <v>26</v>
      </c>
      <c r="B343" s="96" t="s">
        <v>271</v>
      </c>
      <c r="C343" s="97">
        <v>1</v>
      </c>
      <c r="D343" s="98">
        <v>40</v>
      </c>
      <c r="E343" s="98">
        <v>94.78</v>
      </c>
      <c r="F343" s="98">
        <f t="shared" si="19"/>
        <v>54.78</v>
      </c>
      <c r="G343" s="97" t="s">
        <v>3</v>
      </c>
      <c r="H343" s="99" t="s">
        <v>239</v>
      </c>
      <c r="I343" s="106">
        <f t="shared" si="23"/>
        <v>0.57797003587254692</v>
      </c>
      <c r="J343" s="143">
        <f t="shared" si="22"/>
        <v>0.57797003587254692</v>
      </c>
    </row>
    <row r="344" spans="1:10" hidden="1" outlineLevel="1" x14ac:dyDescent="0.2">
      <c r="A344" s="101">
        <v>27</v>
      </c>
      <c r="B344" s="96" t="s">
        <v>271</v>
      </c>
      <c r="C344" s="97">
        <v>1</v>
      </c>
      <c r="D344" s="98">
        <v>40</v>
      </c>
      <c r="E344" s="98">
        <v>102.44</v>
      </c>
      <c r="F344" s="98">
        <f t="shared" si="19"/>
        <v>62.44</v>
      </c>
      <c r="G344" s="97" t="s">
        <v>3</v>
      </c>
      <c r="H344" s="99" t="s">
        <v>239</v>
      </c>
      <c r="I344" s="106">
        <f t="shared" si="23"/>
        <v>0.60952752830925416</v>
      </c>
      <c r="J344" s="143">
        <f t="shared" si="22"/>
        <v>0.60952752830925416</v>
      </c>
    </row>
    <row r="345" spans="1:10" hidden="1" outlineLevel="1" x14ac:dyDescent="0.2">
      <c r="A345" s="101">
        <v>51</v>
      </c>
      <c r="B345" s="96" t="s">
        <v>101</v>
      </c>
      <c r="C345" s="97">
        <v>3</v>
      </c>
      <c r="D345" s="98">
        <v>16.5</v>
      </c>
      <c r="E345" s="98">
        <v>38.97</v>
      </c>
      <c r="F345" s="98">
        <v>26.514599999999998</v>
      </c>
      <c r="G345" s="97" t="s">
        <v>3</v>
      </c>
      <c r="H345" s="99" t="s">
        <v>35</v>
      </c>
      <c r="I345" s="106">
        <f t="shared" si="23"/>
        <v>0.68038491147036173</v>
      </c>
      <c r="J345" s="143">
        <f t="shared" si="22"/>
        <v>0.68038491147036173</v>
      </c>
    </row>
    <row r="346" spans="1:10" hidden="1" outlineLevel="1" x14ac:dyDescent="0.2">
      <c r="A346" s="101">
        <v>52</v>
      </c>
      <c r="B346" s="96" t="s">
        <v>74</v>
      </c>
      <c r="C346" s="97">
        <v>1</v>
      </c>
      <c r="D346" s="98">
        <v>7</v>
      </c>
      <c r="E346" s="98">
        <v>15.14</v>
      </c>
      <c r="F346" s="98">
        <v>9.6052</v>
      </c>
      <c r="G346" s="97" t="s">
        <v>3</v>
      </c>
      <c r="H346" s="99" t="s">
        <v>35</v>
      </c>
      <c r="I346" s="106">
        <f t="shared" si="23"/>
        <v>0.63442536327608978</v>
      </c>
      <c r="J346" s="143">
        <f t="shared" si="22"/>
        <v>0.63442536327608978</v>
      </c>
    </row>
    <row r="347" spans="1:10" hidden="1" outlineLevel="1" x14ac:dyDescent="0.2">
      <c r="A347" s="95">
        <v>53</v>
      </c>
      <c r="B347" s="96" t="s">
        <v>73</v>
      </c>
      <c r="C347" s="97">
        <v>1</v>
      </c>
      <c r="D347" s="98">
        <v>12</v>
      </c>
      <c r="E347" s="98">
        <v>24.17</v>
      </c>
      <c r="F347" s="98">
        <v>14.360600000000002</v>
      </c>
      <c r="G347" s="97" t="s">
        <v>3</v>
      </c>
      <c r="H347" s="99" t="s">
        <v>35</v>
      </c>
      <c r="I347" s="106">
        <f t="shared" si="23"/>
        <v>0.59414977244517997</v>
      </c>
      <c r="J347" s="143">
        <f t="shared" si="22"/>
        <v>0.59414977244517997</v>
      </c>
    </row>
    <row r="348" spans="1:10" hidden="1" outlineLevel="1" x14ac:dyDescent="0.2">
      <c r="A348" s="101">
        <v>54</v>
      </c>
      <c r="B348" s="96" t="s">
        <v>104</v>
      </c>
      <c r="C348" s="97">
        <v>1</v>
      </c>
      <c r="D348" s="98">
        <v>40</v>
      </c>
      <c r="E348" s="98">
        <v>75</v>
      </c>
      <c r="F348" s="98">
        <v>41.3</v>
      </c>
      <c r="G348" s="97" t="s">
        <v>3</v>
      </c>
      <c r="H348" s="99" t="s">
        <v>35</v>
      </c>
      <c r="I348" s="106">
        <f t="shared" si="23"/>
        <v>0.55066666666666664</v>
      </c>
      <c r="J348" s="143">
        <f t="shared" si="22"/>
        <v>0.55066666666666664</v>
      </c>
    </row>
    <row r="349" spans="1:10" hidden="1" outlineLevel="1" collapsed="1" x14ac:dyDescent="0.2">
      <c r="A349" s="101">
        <v>55</v>
      </c>
      <c r="B349" s="96" t="s">
        <v>80</v>
      </c>
      <c r="C349" s="97">
        <v>1</v>
      </c>
      <c r="D349" s="98">
        <v>3</v>
      </c>
      <c r="E349" s="98">
        <v>7.5</v>
      </c>
      <c r="F349" s="98">
        <v>5.31</v>
      </c>
      <c r="G349" s="97" t="s">
        <v>3</v>
      </c>
      <c r="H349" s="99" t="s">
        <v>35</v>
      </c>
      <c r="I349" s="106">
        <f t="shared" si="23"/>
        <v>0.70799999999999996</v>
      </c>
      <c r="J349" s="143">
        <f t="shared" si="22"/>
        <v>0.70799999999999996</v>
      </c>
    </row>
    <row r="350" spans="1:10" hidden="1" outlineLevel="1" x14ac:dyDescent="0.2">
      <c r="A350" s="95">
        <v>56</v>
      </c>
      <c r="B350" s="96" t="s">
        <v>65</v>
      </c>
      <c r="C350" s="97">
        <v>1</v>
      </c>
      <c r="D350" s="98">
        <v>1</v>
      </c>
      <c r="E350" s="98">
        <v>9.09</v>
      </c>
      <c r="F350" s="98">
        <v>9.5461999999999989</v>
      </c>
      <c r="G350" s="97" t="s">
        <v>3</v>
      </c>
      <c r="H350" s="99" t="s">
        <v>35</v>
      </c>
      <c r="I350" s="106">
        <f t="shared" si="23"/>
        <v>1.05018701870187</v>
      </c>
      <c r="J350" s="143">
        <f t="shared" si="22"/>
        <v>1.05018701870187</v>
      </c>
    </row>
    <row r="351" spans="1:10" hidden="1" outlineLevel="1" x14ac:dyDescent="0.2">
      <c r="A351" s="101">
        <v>57</v>
      </c>
      <c r="B351" s="96" t="s">
        <v>77</v>
      </c>
      <c r="C351" s="97">
        <v>5</v>
      </c>
      <c r="D351" s="98">
        <v>5</v>
      </c>
      <c r="E351" s="98">
        <v>18.75</v>
      </c>
      <c r="F351" s="98">
        <v>16.225000000000001</v>
      </c>
      <c r="G351" s="97" t="s">
        <v>3</v>
      </c>
      <c r="H351" s="99" t="s">
        <v>35</v>
      </c>
      <c r="I351" s="106">
        <f t="shared" si="23"/>
        <v>0.8653333333333334</v>
      </c>
      <c r="J351" s="143">
        <f t="shared" si="22"/>
        <v>0.8653333333333334</v>
      </c>
    </row>
    <row r="352" spans="1:10" hidden="1" outlineLevel="1" x14ac:dyDescent="0.2">
      <c r="A352" s="101">
        <v>58</v>
      </c>
      <c r="B352" s="96" t="s">
        <v>285</v>
      </c>
      <c r="C352" s="97">
        <v>2</v>
      </c>
      <c r="D352" s="98">
        <v>24</v>
      </c>
      <c r="E352" s="98">
        <v>54.92</v>
      </c>
      <c r="F352" s="98">
        <v>36.485600000000005</v>
      </c>
      <c r="G352" s="97" t="s">
        <v>3</v>
      </c>
      <c r="H352" s="99" t="s">
        <v>35</v>
      </c>
      <c r="I352" s="106">
        <f t="shared" si="23"/>
        <v>0.66434085943190102</v>
      </c>
      <c r="J352" s="143">
        <f t="shared" si="22"/>
        <v>0.66434085943190102</v>
      </c>
    </row>
    <row r="353" spans="1:10" hidden="1" outlineLevel="1" x14ac:dyDescent="0.2">
      <c r="A353" s="95">
        <v>59</v>
      </c>
      <c r="B353" s="96" t="s">
        <v>286</v>
      </c>
      <c r="C353" s="97">
        <v>5</v>
      </c>
      <c r="D353" s="98">
        <v>65</v>
      </c>
      <c r="E353" s="98">
        <v>118.62</v>
      </c>
      <c r="F353" s="98">
        <v>63.271600000000007</v>
      </c>
      <c r="G353" s="97" t="s">
        <v>3</v>
      </c>
      <c r="H353" s="99" t="s">
        <v>35</v>
      </c>
      <c r="I353" s="106">
        <f t="shared" si="23"/>
        <v>0.53339740347327602</v>
      </c>
      <c r="J353" s="143">
        <f t="shared" si="22"/>
        <v>0.53339740347327602</v>
      </c>
    </row>
    <row r="354" spans="1:10" hidden="1" outlineLevel="1" x14ac:dyDescent="0.2">
      <c r="A354" s="101">
        <v>60</v>
      </c>
      <c r="B354" s="96" t="s">
        <v>62</v>
      </c>
      <c r="C354" s="97">
        <v>1</v>
      </c>
      <c r="D354" s="98">
        <v>1.6</v>
      </c>
      <c r="E354" s="98">
        <v>5.62</v>
      </c>
      <c r="F354" s="98">
        <v>4.7435999999999998</v>
      </c>
      <c r="G354" s="97" t="s">
        <v>3</v>
      </c>
      <c r="H354" s="99" t="s">
        <v>35</v>
      </c>
      <c r="I354" s="106">
        <f t="shared" si="23"/>
        <v>0.84405693950177929</v>
      </c>
      <c r="J354" s="143">
        <f t="shared" si="22"/>
        <v>0.84405693950177929</v>
      </c>
    </row>
    <row r="355" spans="1:10" hidden="1" outlineLevel="1" x14ac:dyDescent="0.2">
      <c r="A355" s="101">
        <v>61</v>
      </c>
      <c r="B355" s="96" t="s">
        <v>79</v>
      </c>
      <c r="C355" s="97">
        <v>1</v>
      </c>
      <c r="D355" s="98">
        <v>6</v>
      </c>
      <c r="E355" s="98">
        <v>11.58</v>
      </c>
      <c r="F355" s="98">
        <v>6.5844000000000005</v>
      </c>
      <c r="G355" s="97" t="s">
        <v>3</v>
      </c>
      <c r="H355" s="99" t="s">
        <v>35</v>
      </c>
      <c r="I355" s="106">
        <f t="shared" si="23"/>
        <v>0.56860103626943004</v>
      </c>
      <c r="J355" s="143">
        <f t="shared" si="22"/>
        <v>0.56860103626943004</v>
      </c>
    </row>
    <row r="356" spans="1:10" hidden="1" outlineLevel="1" x14ac:dyDescent="0.2">
      <c r="A356" s="95">
        <v>62</v>
      </c>
      <c r="B356" s="96" t="s">
        <v>81</v>
      </c>
      <c r="C356" s="97">
        <v>1</v>
      </c>
      <c r="D356" s="98">
        <v>7</v>
      </c>
      <c r="E356" s="98">
        <v>16.89</v>
      </c>
      <c r="F356" s="98">
        <v>11.670200000000001</v>
      </c>
      <c r="G356" s="97" t="s">
        <v>3</v>
      </c>
      <c r="H356" s="99" t="s">
        <v>35</v>
      </c>
      <c r="I356" s="106">
        <f t="shared" si="23"/>
        <v>0.69095322676139737</v>
      </c>
      <c r="J356" s="143">
        <f t="shared" si="22"/>
        <v>0.69095322676139737</v>
      </c>
    </row>
    <row r="357" spans="1:10" hidden="1" outlineLevel="1" x14ac:dyDescent="0.2">
      <c r="A357" s="101">
        <v>63</v>
      </c>
      <c r="B357" s="96" t="s">
        <v>287</v>
      </c>
      <c r="C357" s="97">
        <v>10</v>
      </c>
      <c r="D357" s="98">
        <v>40</v>
      </c>
      <c r="E357" s="98">
        <v>114.72</v>
      </c>
      <c r="F357" s="98">
        <v>88.169600000000003</v>
      </c>
      <c r="G357" s="97" t="s">
        <v>3</v>
      </c>
      <c r="H357" s="99" t="s">
        <v>35</v>
      </c>
      <c r="I357" s="106">
        <f t="shared" si="23"/>
        <v>0.76856345885634592</v>
      </c>
      <c r="J357" s="143">
        <f t="shared" si="22"/>
        <v>0.76856345885634592</v>
      </c>
    </row>
    <row r="358" spans="1:10" hidden="1" outlineLevel="1" x14ac:dyDescent="0.2">
      <c r="A358" s="101">
        <v>64</v>
      </c>
      <c r="B358" s="96" t="s">
        <v>288</v>
      </c>
      <c r="C358" s="97">
        <v>1</v>
      </c>
      <c r="D358" s="98">
        <v>92</v>
      </c>
      <c r="E358" s="98">
        <v>144.32</v>
      </c>
      <c r="F358" s="98">
        <v>61.737599999999993</v>
      </c>
      <c r="G358" s="97" t="s">
        <v>3</v>
      </c>
      <c r="H358" s="99" t="s">
        <v>35</v>
      </c>
      <c r="I358" s="106">
        <f t="shared" si="23"/>
        <v>0.42778270509977823</v>
      </c>
      <c r="J358" s="143">
        <f t="shared" si="22"/>
        <v>0.42778270509977823</v>
      </c>
    </row>
    <row r="359" spans="1:10" hidden="1" outlineLevel="1" x14ac:dyDescent="0.2">
      <c r="A359" s="95">
        <v>65</v>
      </c>
      <c r="B359" s="96" t="s">
        <v>123</v>
      </c>
      <c r="C359" s="97">
        <v>3</v>
      </c>
      <c r="D359" s="98">
        <v>18</v>
      </c>
      <c r="E359" s="98">
        <v>40.43</v>
      </c>
      <c r="F359" s="98">
        <v>26.467399999999998</v>
      </c>
      <c r="G359" s="97" t="s">
        <v>3</v>
      </c>
      <c r="H359" s="99" t="s">
        <v>35</v>
      </c>
      <c r="I359" s="106">
        <f t="shared" si="23"/>
        <v>0.65464753895622063</v>
      </c>
      <c r="J359" s="143">
        <f t="shared" si="22"/>
        <v>0.65464753895622063</v>
      </c>
    </row>
    <row r="360" spans="1:10" hidden="1" outlineLevel="1" x14ac:dyDescent="0.2">
      <c r="A360" s="101">
        <v>66</v>
      </c>
      <c r="B360" s="96" t="s">
        <v>124</v>
      </c>
      <c r="C360" s="97">
        <v>1</v>
      </c>
      <c r="D360" s="98">
        <v>40</v>
      </c>
      <c r="E360" s="98">
        <v>98.02</v>
      </c>
      <c r="F360" s="98">
        <v>68.4636</v>
      </c>
      <c r="G360" s="97" t="s">
        <v>3</v>
      </c>
      <c r="H360" s="99" t="s">
        <v>35</v>
      </c>
      <c r="I360" s="106">
        <f t="shared" si="23"/>
        <v>0.69846561926137529</v>
      </c>
      <c r="J360" s="143">
        <f t="shared" si="22"/>
        <v>0.69846561926137529</v>
      </c>
    </row>
    <row r="361" spans="1:10" hidden="1" outlineLevel="1" x14ac:dyDescent="0.2">
      <c r="A361" s="101">
        <v>67</v>
      </c>
      <c r="B361" s="96" t="s">
        <v>222</v>
      </c>
      <c r="C361" s="97">
        <v>33</v>
      </c>
      <c r="D361" s="98">
        <v>1320</v>
      </c>
      <c r="E361" s="98">
        <v>2378.09</v>
      </c>
      <c r="F361" s="98">
        <v>1248.5462000000002</v>
      </c>
      <c r="G361" s="97" t="s">
        <v>3</v>
      </c>
      <c r="H361" s="99" t="s">
        <v>35</v>
      </c>
      <c r="I361" s="106">
        <f t="shared" si="23"/>
        <v>0.5250205837457792</v>
      </c>
      <c r="J361" s="143">
        <f t="shared" si="22"/>
        <v>0.5250205837457792</v>
      </c>
    </row>
    <row r="362" spans="1:10" hidden="1" outlineLevel="1" x14ac:dyDescent="0.2">
      <c r="A362" s="95">
        <v>68</v>
      </c>
      <c r="B362" s="96" t="s">
        <v>289</v>
      </c>
      <c r="C362" s="97">
        <v>3</v>
      </c>
      <c r="D362" s="98">
        <v>30</v>
      </c>
      <c r="E362" s="98">
        <v>104.67</v>
      </c>
      <c r="F362" s="98">
        <v>88.110600000000005</v>
      </c>
      <c r="G362" s="97" t="s">
        <v>3</v>
      </c>
      <c r="H362" s="99" t="s">
        <v>35</v>
      </c>
      <c r="I362" s="106">
        <f t="shared" si="23"/>
        <v>0.84179421037546576</v>
      </c>
      <c r="J362" s="143">
        <f t="shared" si="22"/>
        <v>0.84179421037546576</v>
      </c>
    </row>
    <row r="363" spans="1:10" hidden="1" outlineLevel="1" x14ac:dyDescent="0.2">
      <c r="A363" s="101">
        <v>69</v>
      </c>
      <c r="B363" s="96" t="s">
        <v>251</v>
      </c>
      <c r="C363" s="97">
        <v>1</v>
      </c>
      <c r="D363" s="98">
        <v>10</v>
      </c>
      <c r="E363" s="98">
        <v>19.989999999999998</v>
      </c>
      <c r="F363" s="98">
        <v>11.788199999999998</v>
      </c>
      <c r="G363" s="97" t="s">
        <v>3</v>
      </c>
      <c r="H363" s="99" t="s">
        <v>35</v>
      </c>
      <c r="I363" s="106">
        <f t="shared" ref="I363:I381" si="24">F363/E363</f>
        <v>0.58970485242621307</v>
      </c>
      <c r="J363" s="143">
        <f t="shared" si="22"/>
        <v>0.58970485242621307</v>
      </c>
    </row>
    <row r="364" spans="1:10" hidden="1" outlineLevel="1" x14ac:dyDescent="0.2">
      <c r="A364" s="101">
        <v>70</v>
      </c>
      <c r="B364" s="96" t="s">
        <v>253</v>
      </c>
      <c r="C364" s="97">
        <v>1</v>
      </c>
      <c r="D364" s="98">
        <v>1</v>
      </c>
      <c r="E364" s="98">
        <v>4.68</v>
      </c>
      <c r="F364" s="98">
        <v>4.3423999999999996</v>
      </c>
      <c r="G364" s="97" t="s">
        <v>3</v>
      </c>
      <c r="H364" s="99" t="s">
        <v>35</v>
      </c>
      <c r="I364" s="106">
        <f t="shared" si="24"/>
        <v>0.92786324786324781</v>
      </c>
      <c r="J364" s="143">
        <f t="shared" si="22"/>
        <v>0.92786324786324781</v>
      </c>
    </row>
    <row r="365" spans="1:10" hidden="1" outlineLevel="1" x14ac:dyDescent="0.2">
      <c r="A365" s="95">
        <v>71</v>
      </c>
      <c r="B365" s="96" t="s">
        <v>290</v>
      </c>
      <c r="C365" s="97">
        <v>1</v>
      </c>
      <c r="D365" s="98">
        <v>7</v>
      </c>
      <c r="E365" s="98">
        <v>14.04</v>
      </c>
      <c r="F365" s="98">
        <v>8.3071999999999981</v>
      </c>
      <c r="G365" s="97" t="s">
        <v>3</v>
      </c>
      <c r="H365" s="99" t="s">
        <v>35</v>
      </c>
      <c r="I365" s="106">
        <f t="shared" si="24"/>
        <v>0.59168091168091164</v>
      </c>
      <c r="J365" s="143">
        <f t="shared" si="22"/>
        <v>0.59168091168091164</v>
      </c>
    </row>
    <row r="366" spans="1:10" hidden="1" outlineLevel="1" x14ac:dyDescent="0.2">
      <c r="A366" s="101">
        <v>72</v>
      </c>
      <c r="B366" s="96" t="s">
        <v>98</v>
      </c>
      <c r="C366" s="97">
        <v>1</v>
      </c>
      <c r="D366" s="98">
        <v>25</v>
      </c>
      <c r="E366" s="98">
        <v>48</v>
      </c>
      <c r="F366" s="98">
        <v>27.14</v>
      </c>
      <c r="G366" s="97" t="s">
        <v>3</v>
      </c>
      <c r="H366" s="99" t="s">
        <v>35</v>
      </c>
      <c r="I366" s="106">
        <f t="shared" si="24"/>
        <v>0.56541666666666668</v>
      </c>
      <c r="J366" s="143">
        <f t="shared" si="22"/>
        <v>0.56541666666666668</v>
      </c>
    </row>
    <row r="367" spans="1:10" hidden="1" outlineLevel="1" x14ac:dyDescent="0.2">
      <c r="A367" s="101">
        <v>73</v>
      </c>
      <c r="B367" s="96" t="s">
        <v>291</v>
      </c>
      <c r="C367" s="97">
        <v>3</v>
      </c>
      <c r="D367" s="98">
        <v>15</v>
      </c>
      <c r="E367" s="98">
        <v>39.85</v>
      </c>
      <c r="F367" s="98">
        <v>29.323</v>
      </c>
      <c r="G367" s="97" t="s">
        <v>3</v>
      </c>
      <c r="H367" s="99" t="s">
        <v>35</v>
      </c>
      <c r="I367" s="106">
        <f t="shared" si="24"/>
        <v>0.7358343789209536</v>
      </c>
      <c r="J367" s="143">
        <f t="shared" si="22"/>
        <v>0.7358343789209536</v>
      </c>
    </row>
    <row r="368" spans="1:10" hidden="1" outlineLevel="1" x14ac:dyDescent="0.2">
      <c r="A368" s="95">
        <v>74</v>
      </c>
      <c r="B368" s="96" t="s">
        <v>100</v>
      </c>
      <c r="C368" s="97">
        <v>1</v>
      </c>
      <c r="D368" s="98">
        <v>30</v>
      </c>
      <c r="E368" s="98">
        <v>60.27</v>
      </c>
      <c r="F368" s="98">
        <v>35.718600000000002</v>
      </c>
      <c r="G368" s="97" t="s">
        <v>3</v>
      </c>
      <c r="H368" s="99" t="s">
        <v>35</v>
      </c>
      <c r="I368" s="106">
        <f t="shared" si="24"/>
        <v>0.59264310602289694</v>
      </c>
      <c r="J368" s="143">
        <f t="shared" si="22"/>
        <v>0.59264310602289694</v>
      </c>
    </row>
    <row r="369" spans="1:10" hidden="1" outlineLevel="1" x14ac:dyDescent="0.2">
      <c r="A369" s="101">
        <v>75</v>
      </c>
      <c r="B369" s="96" t="s">
        <v>256</v>
      </c>
      <c r="C369" s="97">
        <v>5</v>
      </c>
      <c r="D369" s="98">
        <v>15</v>
      </c>
      <c r="E369" s="98">
        <v>48.09</v>
      </c>
      <c r="F369" s="98">
        <v>39.046200000000006</v>
      </c>
      <c r="G369" s="97" t="s">
        <v>3</v>
      </c>
      <c r="H369" s="99" t="s">
        <v>35</v>
      </c>
      <c r="I369" s="106">
        <f t="shared" si="24"/>
        <v>0.81194011228945728</v>
      </c>
      <c r="J369" s="143">
        <f t="shared" si="22"/>
        <v>0.81194011228945728</v>
      </c>
    </row>
    <row r="370" spans="1:10" hidden="1" outlineLevel="1" x14ac:dyDescent="0.2">
      <c r="A370" s="101">
        <v>76</v>
      </c>
      <c r="B370" s="96" t="s">
        <v>96</v>
      </c>
      <c r="C370" s="97">
        <v>1</v>
      </c>
      <c r="D370" s="98">
        <v>4</v>
      </c>
      <c r="E370" s="98">
        <v>32.6</v>
      </c>
      <c r="F370" s="98">
        <v>33.748000000000005</v>
      </c>
      <c r="G370" s="97" t="s">
        <v>3</v>
      </c>
      <c r="H370" s="99" t="s">
        <v>35</v>
      </c>
      <c r="I370" s="106">
        <f t="shared" si="24"/>
        <v>1.0352147239263805</v>
      </c>
      <c r="J370" s="143">
        <f t="shared" si="22"/>
        <v>1.0352147239263805</v>
      </c>
    </row>
    <row r="371" spans="1:10" hidden="1" outlineLevel="1" x14ac:dyDescent="0.2">
      <c r="A371" s="95">
        <v>77</v>
      </c>
      <c r="B371" s="96" t="s">
        <v>66</v>
      </c>
      <c r="C371" s="97">
        <v>2</v>
      </c>
      <c r="D371" s="98">
        <v>20</v>
      </c>
      <c r="E371" s="98">
        <v>48.57</v>
      </c>
      <c r="F371" s="98">
        <v>33.712600000000002</v>
      </c>
      <c r="G371" s="97" t="s">
        <v>3</v>
      </c>
      <c r="H371" s="99" t="s">
        <v>35</v>
      </c>
      <c r="I371" s="106">
        <f t="shared" si="24"/>
        <v>0.69410335598105832</v>
      </c>
      <c r="J371" s="143">
        <f t="shared" si="22"/>
        <v>0.69410335598105832</v>
      </c>
    </row>
    <row r="372" spans="1:10" hidden="1" outlineLevel="1" x14ac:dyDescent="0.2">
      <c r="A372" s="101">
        <v>78</v>
      </c>
      <c r="B372" s="96" t="s">
        <v>103</v>
      </c>
      <c r="C372" s="97">
        <v>5</v>
      </c>
      <c r="D372" s="98">
        <v>35</v>
      </c>
      <c r="E372" s="98">
        <v>96.78</v>
      </c>
      <c r="F372" s="98">
        <v>72.900400000000005</v>
      </c>
      <c r="G372" s="97" t="s">
        <v>3</v>
      </c>
      <c r="H372" s="99" t="s">
        <v>35</v>
      </c>
      <c r="I372" s="106">
        <f t="shared" si="24"/>
        <v>0.75325893779706554</v>
      </c>
      <c r="J372" s="143">
        <f t="shared" si="22"/>
        <v>0.75325893779706554</v>
      </c>
    </row>
    <row r="373" spans="1:10" hidden="1" outlineLevel="1" x14ac:dyDescent="0.2">
      <c r="A373" s="101">
        <v>79</v>
      </c>
      <c r="B373" s="96" t="s">
        <v>292</v>
      </c>
      <c r="C373" s="97">
        <v>1</v>
      </c>
      <c r="D373" s="98">
        <v>12</v>
      </c>
      <c r="E373" s="98">
        <v>49.8</v>
      </c>
      <c r="F373" s="98">
        <v>44.603999999999999</v>
      </c>
      <c r="G373" s="97" t="s">
        <v>3</v>
      </c>
      <c r="H373" s="99" t="s">
        <v>35</v>
      </c>
      <c r="I373" s="106">
        <f t="shared" si="24"/>
        <v>0.89566265060240968</v>
      </c>
      <c r="J373" s="143">
        <f t="shared" si="22"/>
        <v>0.89566265060240968</v>
      </c>
    </row>
    <row r="374" spans="1:10" hidden="1" outlineLevel="1" x14ac:dyDescent="0.2">
      <c r="A374" s="95">
        <v>80</v>
      </c>
      <c r="B374" s="96" t="s">
        <v>293</v>
      </c>
      <c r="C374" s="97">
        <v>1</v>
      </c>
      <c r="D374" s="98">
        <v>24</v>
      </c>
      <c r="E374" s="98">
        <v>39.99</v>
      </c>
      <c r="F374" s="98">
        <v>18.868200000000002</v>
      </c>
      <c r="G374" s="97" t="s">
        <v>3</v>
      </c>
      <c r="H374" s="99" t="s">
        <v>35</v>
      </c>
      <c r="I374" s="106">
        <f t="shared" si="24"/>
        <v>0.47182295573893474</v>
      </c>
      <c r="J374" s="143">
        <f t="shared" si="22"/>
        <v>0.47182295573893474</v>
      </c>
    </row>
    <row r="375" spans="1:10" hidden="1" outlineLevel="1" x14ac:dyDescent="0.2">
      <c r="A375" s="101">
        <v>81</v>
      </c>
      <c r="B375" s="96" t="s">
        <v>102</v>
      </c>
      <c r="C375" s="97">
        <v>1</v>
      </c>
      <c r="D375" s="98">
        <v>8</v>
      </c>
      <c r="E375" s="98">
        <v>37.61</v>
      </c>
      <c r="F375" s="98">
        <v>34.939799999999998</v>
      </c>
      <c r="G375" s="97" t="s">
        <v>3</v>
      </c>
      <c r="H375" s="99" t="s">
        <v>35</v>
      </c>
      <c r="I375" s="106">
        <f t="shared" si="24"/>
        <v>0.92900292475405477</v>
      </c>
      <c r="J375" s="143">
        <f t="shared" si="22"/>
        <v>0.92900292475405477</v>
      </c>
    </row>
    <row r="376" spans="1:10" hidden="1" outlineLevel="1" x14ac:dyDescent="0.2">
      <c r="A376" s="101">
        <v>82</v>
      </c>
      <c r="B376" s="96" t="s">
        <v>294</v>
      </c>
      <c r="C376" s="97">
        <v>1</v>
      </c>
      <c r="D376" s="98">
        <v>3</v>
      </c>
      <c r="E376" s="98">
        <v>16.739999999999998</v>
      </c>
      <c r="F376" s="98">
        <v>16.213199999999997</v>
      </c>
      <c r="G376" s="97" t="s">
        <v>3</v>
      </c>
      <c r="H376" s="99" t="s">
        <v>35</v>
      </c>
      <c r="I376" s="106">
        <f t="shared" si="24"/>
        <v>0.96853046594982073</v>
      </c>
      <c r="J376" s="143">
        <f t="shared" si="22"/>
        <v>0.96853046594982073</v>
      </c>
    </row>
    <row r="377" spans="1:10" hidden="1" outlineLevel="1" x14ac:dyDescent="0.2">
      <c r="A377" s="95">
        <v>83</v>
      </c>
      <c r="B377" s="96" t="s">
        <v>295</v>
      </c>
      <c r="C377" s="97">
        <v>1</v>
      </c>
      <c r="D377" s="98">
        <v>5</v>
      </c>
      <c r="E377" s="98">
        <v>16</v>
      </c>
      <c r="F377" s="98">
        <v>12.98</v>
      </c>
      <c r="G377" s="97" t="s">
        <v>3</v>
      </c>
      <c r="H377" s="99" t="s">
        <v>35</v>
      </c>
      <c r="I377" s="106">
        <f t="shared" si="24"/>
        <v>0.81125000000000003</v>
      </c>
      <c r="J377" s="143">
        <f t="shared" si="22"/>
        <v>0.81125000000000003</v>
      </c>
    </row>
    <row r="378" spans="1:10" hidden="1" outlineLevel="1" x14ac:dyDescent="0.2">
      <c r="A378" s="101">
        <v>84</v>
      </c>
      <c r="B378" s="96" t="s">
        <v>179</v>
      </c>
      <c r="C378" s="97">
        <v>1</v>
      </c>
      <c r="D378" s="98">
        <v>13</v>
      </c>
      <c r="E378" s="98">
        <v>26.99</v>
      </c>
      <c r="F378" s="98">
        <v>16.508199999999999</v>
      </c>
      <c r="G378" s="97" t="s">
        <v>3</v>
      </c>
      <c r="H378" s="99" t="s">
        <v>35</v>
      </c>
      <c r="I378" s="106">
        <f t="shared" si="24"/>
        <v>0.6116413486476473</v>
      </c>
      <c r="J378" s="143">
        <f t="shared" si="22"/>
        <v>0.6116413486476473</v>
      </c>
    </row>
    <row r="379" spans="1:10" hidden="1" outlineLevel="1" x14ac:dyDescent="0.2">
      <c r="A379" s="101">
        <v>85</v>
      </c>
      <c r="B379" s="96" t="s">
        <v>296</v>
      </c>
      <c r="C379" s="97">
        <v>1</v>
      </c>
      <c r="D379" s="98">
        <v>50</v>
      </c>
      <c r="E379" s="98">
        <v>120.6</v>
      </c>
      <c r="F379" s="98">
        <v>83.307999999999993</v>
      </c>
      <c r="G379" s="97" t="s">
        <v>3</v>
      </c>
      <c r="H379" s="99" t="s">
        <v>35</v>
      </c>
      <c r="I379" s="106">
        <f t="shared" si="24"/>
        <v>0.69077943615257043</v>
      </c>
      <c r="J379" s="143">
        <f t="shared" si="22"/>
        <v>0.69077943615257043</v>
      </c>
    </row>
    <row r="380" spans="1:10" hidden="1" outlineLevel="1" x14ac:dyDescent="0.2">
      <c r="A380" s="95">
        <v>86</v>
      </c>
      <c r="B380" s="96" t="s">
        <v>297</v>
      </c>
      <c r="C380" s="97">
        <v>1</v>
      </c>
      <c r="D380" s="98">
        <v>3</v>
      </c>
      <c r="E380" s="98">
        <v>11.2</v>
      </c>
      <c r="F380" s="98">
        <v>9.6759999999999984</v>
      </c>
      <c r="G380" s="97" t="s">
        <v>3</v>
      </c>
      <c r="H380" s="99" t="s">
        <v>35</v>
      </c>
      <c r="I380" s="106">
        <f t="shared" si="24"/>
        <v>0.86392857142857138</v>
      </c>
      <c r="J380" s="143">
        <f t="shared" si="22"/>
        <v>0.86392857142857138</v>
      </c>
    </row>
    <row r="381" spans="1:10" hidden="1" outlineLevel="1" x14ac:dyDescent="0.2">
      <c r="A381" s="101">
        <v>87</v>
      </c>
      <c r="B381" s="96" t="s">
        <v>261</v>
      </c>
      <c r="C381" s="97">
        <v>1</v>
      </c>
      <c r="D381" s="98">
        <v>8</v>
      </c>
      <c r="E381" s="98">
        <v>18.989999999999998</v>
      </c>
      <c r="F381" s="98">
        <v>12.968199999999998</v>
      </c>
      <c r="G381" s="97" t="s">
        <v>3</v>
      </c>
      <c r="H381" s="99" t="s">
        <v>35</v>
      </c>
      <c r="I381" s="106">
        <f t="shared" si="24"/>
        <v>0.68289626119009994</v>
      </c>
      <c r="J381" s="143">
        <f t="shared" si="22"/>
        <v>0.68289626119009994</v>
      </c>
    </row>
    <row r="382" spans="1:10" hidden="1" outlineLevel="1" x14ac:dyDescent="0.2">
      <c r="A382" s="101"/>
      <c r="B382" s="96"/>
      <c r="C382" s="97"/>
      <c r="D382" s="98"/>
      <c r="E382" s="98"/>
      <c r="F382" s="98"/>
      <c r="G382" s="97"/>
      <c r="H382" s="99"/>
      <c r="I382" s="106"/>
      <c r="J382" s="143" t="e">
        <f t="shared" si="22"/>
        <v>#DIV/0!</v>
      </c>
    </row>
    <row r="383" spans="1:10" collapsed="1" x14ac:dyDescent="0.2">
      <c r="A383" s="156" t="s">
        <v>283</v>
      </c>
      <c r="B383" s="156"/>
      <c r="C383" s="157"/>
      <c r="D383" s="94">
        <f>SUM(D384:D449)</f>
        <v>2999.55</v>
      </c>
      <c r="E383" s="94">
        <f>SUM(E384:E449)</f>
        <v>6248.72</v>
      </c>
      <c r="F383" s="94">
        <f>SUM(F384:F449)</f>
        <v>2789.4193999999989</v>
      </c>
      <c r="G383" s="68">
        <f>I383+H383</f>
        <v>164</v>
      </c>
      <c r="H383" s="68">
        <f>COUNTIF(H384:H449,"BSB")</f>
        <v>26</v>
      </c>
      <c r="I383" s="68">
        <f>SUM(C384:C449)</f>
        <v>138</v>
      </c>
      <c r="J383" s="143">
        <f t="shared" si="22"/>
        <v>0.44639852641821026</v>
      </c>
    </row>
    <row r="384" spans="1:10" hidden="1" outlineLevel="1" x14ac:dyDescent="0.2">
      <c r="A384" s="74">
        <v>1</v>
      </c>
      <c r="B384" s="80" t="s">
        <v>298</v>
      </c>
      <c r="C384" s="78"/>
      <c r="D384" s="77">
        <v>50</v>
      </c>
      <c r="E384" s="77">
        <v>100</v>
      </c>
      <c r="F384" s="77">
        <f>E384-D384</f>
        <v>50</v>
      </c>
      <c r="G384" s="78" t="s">
        <v>3</v>
      </c>
      <c r="H384" s="82" t="s">
        <v>43</v>
      </c>
      <c r="I384" s="106">
        <f t="shared" ref="I384:I443" si="25">F384/E384</f>
        <v>0.5</v>
      </c>
      <c r="J384" s="143">
        <f t="shared" si="22"/>
        <v>0.5</v>
      </c>
    </row>
    <row r="385" spans="1:10" hidden="1" outlineLevel="1" x14ac:dyDescent="0.2">
      <c r="A385" s="74">
        <v>2</v>
      </c>
      <c r="B385" s="80" t="s">
        <v>299</v>
      </c>
      <c r="C385" s="78"/>
      <c r="D385" s="77">
        <v>20</v>
      </c>
      <c r="E385" s="77">
        <v>30</v>
      </c>
      <c r="F385" s="77">
        <f>E385-D385</f>
        <v>10</v>
      </c>
      <c r="G385" s="78" t="s">
        <v>3</v>
      </c>
      <c r="H385" s="82" t="s">
        <v>43</v>
      </c>
      <c r="I385" s="106">
        <f t="shared" si="25"/>
        <v>0.33333333333333331</v>
      </c>
      <c r="J385" s="143">
        <f t="shared" si="22"/>
        <v>0.33333333333333331</v>
      </c>
    </row>
    <row r="386" spans="1:10" hidden="1" outlineLevel="1" x14ac:dyDescent="0.2">
      <c r="A386" s="74">
        <v>3</v>
      </c>
      <c r="B386" s="80" t="s">
        <v>300</v>
      </c>
      <c r="C386" s="78"/>
      <c r="D386" s="77">
        <v>20</v>
      </c>
      <c r="E386" s="77">
        <v>50</v>
      </c>
      <c r="F386" s="77">
        <f>E386-D386</f>
        <v>30</v>
      </c>
      <c r="G386" s="78" t="s">
        <v>3</v>
      </c>
      <c r="H386" s="82" t="s">
        <v>43</v>
      </c>
      <c r="I386" s="106">
        <f t="shared" si="25"/>
        <v>0.6</v>
      </c>
      <c r="J386" s="143">
        <f t="shared" ref="J386:J449" si="26">F386/E386</f>
        <v>0.6</v>
      </c>
    </row>
    <row r="387" spans="1:10" hidden="1" outlineLevel="1" x14ac:dyDescent="0.2">
      <c r="A387" s="74">
        <v>4</v>
      </c>
      <c r="B387" s="80" t="s">
        <v>301</v>
      </c>
      <c r="C387" s="78"/>
      <c r="D387" s="77">
        <v>10</v>
      </c>
      <c r="E387" s="77">
        <v>30</v>
      </c>
      <c r="F387" s="77">
        <f>E387-D387</f>
        <v>20</v>
      </c>
      <c r="G387" s="78" t="s">
        <v>3</v>
      </c>
      <c r="H387" s="82" t="s">
        <v>43</v>
      </c>
      <c r="I387" s="106">
        <f t="shared" si="25"/>
        <v>0.66666666666666663</v>
      </c>
      <c r="J387" s="143">
        <f t="shared" si="26"/>
        <v>0.66666666666666663</v>
      </c>
    </row>
    <row r="388" spans="1:10" hidden="1" outlineLevel="1" x14ac:dyDescent="0.2">
      <c r="A388" s="74">
        <v>5</v>
      </c>
      <c r="B388" s="80" t="s">
        <v>303</v>
      </c>
      <c r="C388" s="78"/>
      <c r="D388" s="77">
        <v>27</v>
      </c>
      <c r="E388" s="77">
        <v>35</v>
      </c>
      <c r="F388" s="77">
        <f t="shared" ref="F388:F409" si="27">E388-D388</f>
        <v>8</v>
      </c>
      <c r="G388" s="78" t="s">
        <v>3</v>
      </c>
      <c r="H388" s="82" t="s">
        <v>43</v>
      </c>
      <c r="I388" s="106">
        <f t="shared" si="25"/>
        <v>0.22857142857142856</v>
      </c>
      <c r="J388" s="143">
        <f t="shared" si="26"/>
        <v>0.22857142857142856</v>
      </c>
    </row>
    <row r="389" spans="1:10" hidden="1" outlineLevel="1" x14ac:dyDescent="0.2">
      <c r="A389" s="74">
        <v>6</v>
      </c>
      <c r="B389" s="80" t="s">
        <v>311</v>
      </c>
      <c r="C389" s="78"/>
      <c r="D389" s="77">
        <v>55</v>
      </c>
      <c r="E389" s="77">
        <v>100</v>
      </c>
      <c r="F389" s="77">
        <f t="shared" si="27"/>
        <v>45</v>
      </c>
      <c r="G389" s="78" t="s">
        <v>3</v>
      </c>
      <c r="H389" s="82" t="s">
        <v>43</v>
      </c>
      <c r="I389" s="106">
        <f t="shared" si="25"/>
        <v>0.45</v>
      </c>
      <c r="J389" s="143">
        <f t="shared" si="26"/>
        <v>0.45</v>
      </c>
    </row>
    <row r="390" spans="1:10" hidden="1" outlineLevel="1" x14ac:dyDescent="0.2">
      <c r="A390" s="74">
        <v>7</v>
      </c>
      <c r="B390" s="80" t="s">
        <v>312</v>
      </c>
      <c r="C390" s="78"/>
      <c r="D390" s="77">
        <v>0</v>
      </c>
      <c r="E390" s="77">
        <v>250</v>
      </c>
      <c r="F390" s="77">
        <f t="shared" si="27"/>
        <v>250</v>
      </c>
      <c r="G390" s="78" t="s">
        <v>3</v>
      </c>
      <c r="H390" s="82" t="s">
        <v>43</v>
      </c>
      <c r="I390" s="106">
        <f t="shared" si="25"/>
        <v>1</v>
      </c>
      <c r="J390" s="143">
        <f t="shared" si="26"/>
        <v>1</v>
      </c>
    </row>
    <row r="391" spans="1:10" hidden="1" outlineLevel="1" x14ac:dyDescent="0.2">
      <c r="A391" s="74">
        <v>8</v>
      </c>
      <c r="B391" s="80" t="s">
        <v>313</v>
      </c>
      <c r="C391" s="78"/>
      <c r="D391" s="77">
        <v>10</v>
      </c>
      <c r="E391" s="77">
        <v>20</v>
      </c>
      <c r="F391" s="77">
        <f t="shared" si="27"/>
        <v>10</v>
      </c>
      <c r="G391" s="78" t="s">
        <v>3</v>
      </c>
      <c r="H391" s="82" t="s">
        <v>43</v>
      </c>
      <c r="I391" s="106">
        <f t="shared" si="25"/>
        <v>0.5</v>
      </c>
      <c r="J391" s="143">
        <f t="shared" si="26"/>
        <v>0.5</v>
      </c>
    </row>
    <row r="392" spans="1:10" hidden="1" outlineLevel="1" x14ac:dyDescent="0.2">
      <c r="A392" s="74">
        <v>9</v>
      </c>
      <c r="B392" s="80" t="s">
        <v>314</v>
      </c>
      <c r="C392" s="78"/>
      <c r="D392" s="77">
        <v>6.5</v>
      </c>
      <c r="E392" s="77">
        <v>15</v>
      </c>
      <c r="F392" s="77">
        <f t="shared" si="27"/>
        <v>8.5</v>
      </c>
      <c r="G392" s="78" t="s">
        <v>3</v>
      </c>
      <c r="H392" s="82" t="s">
        <v>43</v>
      </c>
      <c r="I392" s="106">
        <f t="shared" si="25"/>
        <v>0.56666666666666665</v>
      </c>
      <c r="J392" s="143">
        <f t="shared" si="26"/>
        <v>0.56666666666666665</v>
      </c>
    </row>
    <row r="393" spans="1:10" hidden="1" outlineLevel="1" x14ac:dyDescent="0.2">
      <c r="A393" s="74">
        <v>10</v>
      </c>
      <c r="B393" s="80" t="s">
        <v>315</v>
      </c>
      <c r="C393" s="78"/>
      <c r="D393" s="77">
        <v>30</v>
      </c>
      <c r="E393" s="77">
        <v>50</v>
      </c>
      <c r="F393" s="77">
        <f t="shared" si="27"/>
        <v>20</v>
      </c>
      <c r="G393" s="78" t="s">
        <v>3</v>
      </c>
      <c r="H393" s="82" t="s">
        <v>43</v>
      </c>
      <c r="I393" s="106">
        <f t="shared" si="25"/>
        <v>0.4</v>
      </c>
      <c r="J393" s="143">
        <f t="shared" si="26"/>
        <v>0.4</v>
      </c>
    </row>
    <row r="394" spans="1:10" hidden="1" outlineLevel="1" x14ac:dyDescent="0.2">
      <c r="A394" s="74">
        <v>11</v>
      </c>
      <c r="B394" s="80" t="s">
        <v>311</v>
      </c>
      <c r="C394" s="78"/>
      <c r="D394" s="77">
        <v>55</v>
      </c>
      <c r="E394" s="77">
        <v>100</v>
      </c>
      <c r="F394" s="77">
        <f t="shared" si="27"/>
        <v>45</v>
      </c>
      <c r="G394" s="78" t="s">
        <v>3</v>
      </c>
      <c r="H394" s="82" t="s">
        <v>43</v>
      </c>
      <c r="I394" s="106">
        <f t="shared" si="25"/>
        <v>0.45</v>
      </c>
      <c r="J394" s="143">
        <f t="shared" si="26"/>
        <v>0.45</v>
      </c>
    </row>
    <row r="395" spans="1:10" hidden="1" outlineLevel="1" x14ac:dyDescent="0.2">
      <c r="A395" s="74">
        <v>12</v>
      </c>
      <c r="B395" s="80" t="s">
        <v>316</v>
      </c>
      <c r="C395" s="78"/>
      <c r="D395" s="77">
        <v>2</v>
      </c>
      <c r="E395" s="77">
        <v>5</v>
      </c>
      <c r="F395" s="77">
        <f t="shared" si="27"/>
        <v>3</v>
      </c>
      <c r="G395" s="78" t="s">
        <v>3</v>
      </c>
      <c r="H395" s="82" t="s">
        <v>43</v>
      </c>
      <c r="I395" s="106">
        <f t="shared" si="25"/>
        <v>0.6</v>
      </c>
      <c r="J395" s="143">
        <f t="shared" si="26"/>
        <v>0.6</v>
      </c>
    </row>
    <row r="396" spans="1:10" hidden="1" outlineLevel="1" x14ac:dyDescent="0.2">
      <c r="A396" s="74">
        <v>13</v>
      </c>
      <c r="B396" s="80" t="s">
        <v>316</v>
      </c>
      <c r="C396" s="78"/>
      <c r="D396" s="77">
        <v>2</v>
      </c>
      <c r="E396" s="77">
        <v>5</v>
      </c>
      <c r="F396" s="77">
        <f t="shared" si="27"/>
        <v>3</v>
      </c>
      <c r="G396" s="78" t="s">
        <v>3</v>
      </c>
      <c r="H396" s="82" t="s">
        <v>43</v>
      </c>
      <c r="I396" s="106">
        <f t="shared" si="25"/>
        <v>0.6</v>
      </c>
      <c r="J396" s="143">
        <f t="shared" si="26"/>
        <v>0.6</v>
      </c>
    </row>
    <row r="397" spans="1:10" hidden="1" outlineLevel="1" x14ac:dyDescent="0.2">
      <c r="A397" s="74">
        <v>14</v>
      </c>
      <c r="B397" s="80" t="s">
        <v>316</v>
      </c>
      <c r="C397" s="78"/>
      <c r="D397" s="77">
        <v>3</v>
      </c>
      <c r="E397" s="77">
        <v>5</v>
      </c>
      <c r="F397" s="77">
        <f t="shared" si="27"/>
        <v>2</v>
      </c>
      <c r="G397" s="78" t="s">
        <v>3</v>
      </c>
      <c r="H397" s="82" t="s">
        <v>43</v>
      </c>
      <c r="I397" s="106">
        <f t="shared" si="25"/>
        <v>0.4</v>
      </c>
      <c r="J397" s="143">
        <f t="shared" si="26"/>
        <v>0.4</v>
      </c>
    </row>
    <row r="398" spans="1:10" hidden="1" outlineLevel="1" x14ac:dyDescent="0.2">
      <c r="A398" s="74">
        <v>15</v>
      </c>
      <c r="B398" s="80" t="s">
        <v>317</v>
      </c>
      <c r="C398" s="78"/>
      <c r="D398" s="77">
        <v>27</v>
      </c>
      <c r="E398" s="77">
        <v>50</v>
      </c>
      <c r="F398" s="77">
        <f t="shared" si="27"/>
        <v>23</v>
      </c>
      <c r="G398" s="78" t="s">
        <v>3</v>
      </c>
      <c r="H398" s="82" t="s">
        <v>43</v>
      </c>
      <c r="I398" s="106">
        <f t="shared" si="25"/>
        <v>0.46</v>
      </c>
      <c r="J398" s="143">
        <f t="shared" si="26"/>
        <v>0.46</v>
      </c>
    </row>
    <row r="399" spans="1:10" hidden="1" outlineLevel="1" x14ac:dyDescent="0.2">
      <c r="A399" s="74">
        <v>16</v>
      </c>
      <c r="B399" s="80" t="s">
        <v>318</v>
      </c>
      <c r="C399" s="78"/>
      <c r="D399" s="77">
        <v>20</v>
      </c>
      <c r="E399" s="77">
        <v>50</v>
      </c>
      <c r="F399" s="77">
        <f t="shared" si="27"/>
        <v>30</v>
      </c>
      <c r="G399" s="78" t="s">
        <v>3</v>
      </c>
      <c r="H399" s="82" t="s">
        <v>43</v>
      </c>
      <c r="I399" s="106">
        <f t="shared" si="25"/>
        <v>0.6</v>
      </c>
      <c r="J399" s="143">
        <f t="shared" si="26"/>
        <v>0.6</v>
      </c>
    </row>
    <row r="400" spans="1:10" hidden="1" outlineLevel="1" x14ac:dyDescent="0.2">
      <c r="A400" s="74">
        <v>17</v>
      </c>
      <c r="B400" s="80" t="s">
        <v>319</v>
      </c>
      <c r="C400" s="78"/>
      <c r="D400" s="77">
        <v>20</v>
      </c>
      <c r="E400" s="77">
        <v>40</v>
      </c>
      <c r="F400" s="77">
        <f t="shared" si="27"/>
        <v>20</v>
      </c>
      <c r="G400" s="78" t="s">
        <v>3</v>
      </c>
      <c r="H400" s="82" t="s">
        <v>43</v>
      </c>
      <c r="I400" s="106">
        <f t="shared" si="25"/>
        <v>0.5</v>
      </c>
      <c r="J400" s="143">
        <f t="shared" si="26"/>
        <v>0.5</v>
      </c>
    </row>
    <row r="401" spans="1:10" hidden="1" outlineLevel="1" x14ac:dyDescent="0.2">
      <c r="A401" s="74">
        <v>18</v>
      </c>
      <c r="B401" s="80" t="s">
        <v>320</v>
      </c>
      <c r="C401" s="78"/>
      <c r="D401" s="77">
        <v>7.5</v>
      </c>
      <c r="E401" s="77">
        <v>20</v>
      </c>
      <c r="F401" s="77">
        <f t="shared" si="27"/>
        <v>12.5</v>
      </c>
      <c r="G401" s="78" t="s">
        <v>3</v>
      </c>
      <c r="H401" s="82" t="s">
        <v>43</v>
      </c>
      <c r="I401" s="106">
        <f t="shared" si="25"/>
        <v>0.625</v>
      </c>
      <c r="J401" s="143">
        <f t="shared" si="26"/>
        <v>0.625</v>
      </c>
    </row>
    <row r="402" spans="1:10" hidden="1" outlineLevel="1" x14ac:dyDescent="0.2">
      <c r="A402" s="74">
        <v>19</v>
      </c>
      <c r="B402" s="80" t="s">
        <v>274</v>
      </c>
      <c r="C402" s="78"/>
      <c r="D402" s="77">
        <v>35</v>
      </c>
      <c r="E402" s="77">
        <v>40</v>
      </c>
      <c r="F402" s="77">
        <f t="shared" si="27"/>
        <v>5</v>
      </c>
      <c r="G402" s="78" t="s">
        <v>3</v>
      </c>
      <c r="H402" s="82" t="s">
        <v>43</v>
      </c>
      <c r="I402" s="106">
        <f t="shared" si="25"/>
        <v>0.125</v>
      </c>
      <c r="J402" s="143">
        <f t="shared" si="26"/>
        <v>0.125</v>
      </c>
    </row>
    <row r="403" spans="1:10" hidden="1" outlineLevel="1" x14ac:dyDescent="0.2">
      <c r="A403" s="74">
        <v>20</v>
      </c>
      <c r="B403" s="80" t="s">
        <v>321</v>
      </c>
      <c r="C403" s="78"/>
      <c r="D403" s="77">
        <v>14</v>
      </c>
      <c r="E403" s="77">
        <v>30</v>
      </c>
      <c r="F403" s="77">
        <f t="shared" si="27"/>
        <v>16</v>
      </c>
      <c r="G403" s="78" t="s">
        <v>3</v>
      </c>
      <c r="H403" s="82" t="s">
        <v>43</v>
      </c>
      <c r="I403" s="106">
        <f t="shared" si="25"/>
        <v>0.53333333333333333</v>
      </c>
      <c r="J403" s="143">
        <f t="shared" si="26"/>
        <v>0.53333333333333333</v>
      </c>
    </row>
    <row r="404" spans="1:10" hidden="1" outlineLevel="1" x14ac:dyDescent="0.2">
      <c r="A404" s="74">
        <v>21</v>
      </c>
      <c r="B404" s="80" t="s">
        <v>322</v>
      </c>
      <c r="C404" s="78"/>
      <c r="D404" s="77">
        <v>30</v>
      </c>
      <c r="E404" s="77">
        <v>50</v>
      </c>
      <c r="F404" s="77">
        <f t="shared" si="27"/>
        <v>20</v>
      </c>
      <c r="G404" s="78" t="s">
        <v>3</v>
      </c>
      <c r="H404" s="82" t="s">
        <v>43</v>
      </c>
      <c r="I404" s="106">
        <f t="shared" si="25"/>
        <v>0.4</v>
      </c>
      <c r="J404" s="143">
        <f t="shared" si="26"/>
        <v>0.4</v>
      </c>
    </row>
    <row r="405" spans="1:10" hidden="1" outlineLevel="1" x14ac:dyDescent="0.2">
      <c r="A405" s="74">
        <v>22</v>
      </c>
      <c r="B405" s="80" t="s">
        <v>323</v>
      </c>
      <c r="C405" s="78"/>
      <c r="D405" s="77">
        <v>12</v>
      </c>
      <c r="E405" s="77">
        <v>25</v>
      </c>
      <c r="F405" s="77">
        <f t="shared" si="27"/>
        <v>13</v>
      </c>
      <c r="G405" s="78" t="s">
        <v>3</v>
      </c>
      <c r="H405" s="82" t="s">
        <v>43</v>
      </c>
      <c r="I405" s="106">
        <f t="shared" si="25"/>
        <v>0.52</v>
      </c>
      <c r="J405" s="143">
        <f t="shared" si="26"/>
        <v>0.52</v>
      </c>
    </row>
    <row r="406" spans="1:10" hidden="1" outlineLevel="1" x14ac:dyDescent="0.2">
      <c r="A406" s="74">
        <v>23</v>
      </c>
      <c r="B406" s="80" t="s">
        <v>323</v>
      </c>
      <c r="C406" s="78"/>
      <c r="D406" s="77">
        <v>12</v>
      </c>
      <c r="E406" s="77">
        <v>25</v>
      </c>
      <c r="F406" s="77">
        <f>E406-D406</f>
        <v>13</v>
      </c>
      <c r="G406" s="78" t="s">
        <v>3</v>
      </c>
      <c r="H406" s="82" t="s">
        <v>43</v>
      </c>
      <c r="I406" s="106">
        <f t="shared" si="25"/>
        <v>0.52</v>
      </c>
      <c r="J406" s="143">
        <f t="shared" si="26"/>
        <v>0.52</v>
      </c>
    </row>
    <row r="407" spans="1:10" hidden="1" outlineLevel="1" x14ac:dyDescent="0.2">
      <c r="A407" s="74">
        <v>24</v>
      </c>
      <c r="B407" s="80" t="s">
        <v>323</v>
      </c>
      <c r="C407" s="78"/>
      <c r="D407" s="77">
        <v>12</v>
      </c>
      <c r="E407" s="77">
        <v>25</v>
      </c>
      <c r="F407" s="77">
        <f>E407-D407</f>
        <v>13</v>
      </c>
      <c r="G407" s="78" t="s">
        <v>3</v>
      </c>
      <c r="H407" s="82" t="s">
        <v>43</v>
      </c>
      <c r="I407" s="106">
        <f t="shared" si="25"/>
        <v>0.52</v>
      </c>
      <c r="J407" s="143">
        <f t="shared" si="26"/>
        <v>0.52</v>
      </c>
    </row>
    <row r="408" spans="1:10" hidden="1" outlineLevel="1" x14ac:dyDescent="0.2">
      <c r="A408" s="74">
        <v>25</v>
      </c>
      <c r="B408" s="80" t="s">
        <v>113</v>
      </c>
      <c r="C408" s="78"/>
      <c r="D408" s="77">
        <v>13</v>
      </c>
      <c r="E408" s="77">
        <v>30</v>
      </c>
      <c r="F408" s="77">
        <f t="shared" si="27"/>
        <v>17</v>
      </c>
      <c r="G408" s="78" t="s">
        <v>3</v>
      </c>
      <c r="H408" s="82" t="s">
        <v>43</v>
      </c>
      <c r="I408" s="106">
        <f t="shared" si="25"/>
        <v>0.56666666666666665</v>
      </c>
      <c r="J408" s="143">
        <f t="shared" si="26"/>
        <v>0.56666666666666665</v>
      </c>
    </row>
    <row r="409" spans="1:10" hidden="1" outlineLevel="1" x14ac:dyDescent="0.2">
      <c r="A409" s="74">
        <v>26</v>
      </c>
      <c r="B409" s="80" t="s">
        <v>324</v>
      </c>
      <c r="C409" s="78"/>
      <c r="D409" s="77">
        <v>7</v>
      </c>
      <c r="E409" s="77">
        <v>15</v>
      </c>
      <c r="F409" s="77">
        <f t="shared" si="27"/>
        <v>8</v>
      </c>
      <c r="G409" s="78" t="s">
        <v>3</v>
      </c>
      <c r="H409" s="82" t="s">
        <v>43</v>
      </c>
      <c r="I409" s="106">
        <f t="shared" si="25"/>
        <v>0.53333333333333333</v>
      </c>
      <c r="J409" s="143">
        <f t="shared" si="26"/>
        <v>0.53333333333333333</v>
      </c>
    </row>
    <row r="410" spans="1:10" hidden="1" outlineLevel="1" x14ac:dyDescent="0.2">
      <c r="A410" s="74">
        <v>27</v>
      </c>
      <c r="B410" s="117" t="s">
        <v>325</v>
      </c>
      <c r="C410" s="78">
        <v>14</v>
      </c>
      <c r="D410" s="77">
        <v>700</v>
      </c>
      <c r="E410" s="77">
        <v>1129.81</v>
      </c>
      <c r="F410" s="77">
        <v>352.44419999999997</v>
      </c>
      <c r="G410" s="78" t="s">
        <v>3</v>
      </c>
      <c r="H410" s="82" t="s">
        <v>35</v>
      </c>
      <c r="I410" s="106">
        <f t="shared" si="25"/>
        <v>0.31194997388941503</v>
      </c>
      <c r="J410" s="143">
        <f t="shared" si="26"/>
        <v>0.31194997388941503</v>
      </c>
    </row>
    <row r="411" spans="1:10" hidden="1" outlineLevel="1" x14ac:dyDescent="0.2">
      <c r="A411" s="74">
        <v>28</v>
      </c>
      <c r="B411" s="117" t="s">
        <v>326</v>
      </c>
      <c r="C411" s="78">
        <v>1</v>
      </c>
      <c r="D411" s="77">
        <v>35</v>
      </c>
      <c r="E411" s="77">
        <v>103.78</v>
      </c>
      <c r="F411" s="77">
        <v>56.3996</v>
      </c>
      <c r="G411" s="78" t="s">
        <v>3</v>
      </c>
      <c r="H411" s="82" t="s">
        <v>35</v>
      </c>
      <c r="I411" s="106">
        <f t="shared" si="25"/>
        <v>0.54345345924070143</v>
      </c>
      <c r="J411" s="143">
        <f t="shared" si="26"/>
        <v>0.54345345924070143</v>
      </c>
    </row>
    <row r="412" spans="1:10" hidden="1" outlineLevel="1" x14ac:dyDescent="0.2">
      <c r="A412" s="74">
        <v>29</v>
      </c>
      <c r="B412" s="117" t="s">
        <v>327</v>
      </c>
      <c r="C412" s="78">
        <v>1</v>
      </c>
      <c r="D412" s="77">
        <v>50</v>
      </c>
      <c r="E412" s="77">
        <v>150.97999999999999</v>
      </c>
      <c r="F412" s="77">
        <v>82.803599999999989</v>
      </c>
      <c r="G412" s="78" t="s">
        <v>3</v>
      </c>
      <c r="H412" s="82" t="s">
        <v>35</v>
      </c>
      <c r="I412" s="106">
        <f t="shared" si="25"/>
        <v>0.54844085309312485</v>
      </c>
      <c r="J412" s="143">
        <f t="shared" si="26"/>
        <v>0.54844085309312485</v>
      </c>
    </row>
    <row r="413" spans="1:10" hidden="1" outlineLevel="1" x14ac:dyDescent="0.2">
      <c r="A413" s="74">
        <v>30</v>
      </c>
      <c r="B413" s="117" t="s">
        <v>98</v>
      </c>
      <c r="C413" s="78">
        <v>1</v>
      </c>
      <c r="D413" s="77">
        <v>9</v>
      </c>
      <c r="E413" s="77">
        <v>20.7</v>
      </c>
      <c r="F413" s="77">
        <v>9.5939999999999994</v>
      </c>
      <c r="G413" s="78" t="s">
        <v>3</v>
      </c>
      <c r="H413" s="82" t="s">
        <v>35</v>
      </c>
      <c r="I413" s="106">
        <f t="shared" si="25"/>
        <v>0.46347826086956523</v>
      </c>
      <c r="J413" s="143">
        <f t="shared" si="26"/>
        <v>0.46347826086956523</v>
      </c>
    </row>
    <row r="414" spans="1:10" hidden="1" outlineLevel="1" x14ac:dyDescent="0.2">
      <c r="A414" s="74">
        <v>31</v>
      </c>
      <c r="B414" s="117" t="s">
        <v>328</v>
      </c>
      <c r="C414" s="78">
        <v>1</v>
      </c>
      <c r="D414" s="77">
        <v>10</v>
      </c>
      <c r="E414" s="77">
        <v>35.99</v>
      </c>
      <c r="F414" s="77">
        <v>21.311800000000002</v>
      </c>
      <c r="G414" s="78" t="s">
        <v>3</v>
      </c>
      <c r="H414" s="82" t="s">
        <v>35</v>
      </c>
      <c r="I414" s="106">
        <f t="shared" si="25"/>
        <v>0.59215893303695477</v>
      </c>
      <c r="J414" s="143">
        <f t="shared" si="26"/>
        <v>0.59215893303695477</v>
      </c>
    </row>
    <row r="415" spans="1:10" hidden="1" outlineLevel="1" x14ac:dyDescent="0.2">
      <c r="A415" s="74">
        <v>32</v>
      </c>
      <c r="B415" s="80" t="s">
        <v>101</v>
      </c>
      <c r="C415" s="78">
        <v>5</v>
      </c>
      <c r="D415" s="77">
        <v>27.5</v>
      </c>
      <c r="E415" s="77">
        <v>71.680000000000007</v>
      </c>
      <c r="F415" s="77">
        <v>36.22760000000001</v>
      </c>
      <c r="G415" s="78" t="s">
        <v>3</v>
      </c>
      <c r="H415" s="82" t="s">
        <v>35</v>
      </c>
      <c r="I415" s="106">
        <f t="shared" si="25"/>
        <v>0.50540736607142867</v>
      </c>
      <c r="J415" s="143">
        <f t="shared" si="26"/>
        <v>0.50540736607142867</v>
      </c>
    </row>
    <row r="416" spans="1:10" hidden="1" outlineLevel="1" x14ac:dyDescent="0.2">
      <c r="A416" s="74">
        <v>33</v>
      </c>
      <c r="B416" s="80" t="s">
        <v>74</v>
      </c>
      <c r="C416" s="78">
        <v>1</v>
      </c>
      <c r="D416" s="77">
        <v>6</v>
      </c>
      <c r="E416" s="77">
        <v>13.5</v>
      </c>
      <c r="F416" s="77">
        <v>6.15</v>
      </c>
      <c r="G416" s="78" t="s">
        <v>3</v>
      </c>
      <c r="H416" s="82" t="s">
        <v>35</v>
      </c>
      <c r="I416" s="106">
        <f t="shared" si="25"/>
        <v>0.4555555555555556</v>
      </c>
      <c r="J416" s="143">
        <f t="shared" si="26"/>
        <v>0.4555555555555556</v>
      </c>
    </row>
    <row r="417" spans="1:10" hidden="1" outlineLevel="1" x14ac:dyDescent="0.2">
      <c r="A417" s="74">
        <v>34</v>
      </c>
      <c r="B417" s="80" t="s">
        <v>80</v>
      </c>
      <c r="C417" s="78">
        <v>9</v>
      </c>
      <c r="D417" s="77">
        <v>36</v>
      </c>
      <c r="E417" s="77">
        <v>82.15</v>
      </c>
      <c r="F417" s="77">
        <v>37.843000000000004</v>
      </c>
      <c r="G417" s="78" t="s">
        <v>3</v>
      </c>
      <c r="H417" s="82" t="s">
        <v>35</v>
      </c>
      <c r="I417" s="106">
        <f t="shared" si="25"/>
        <v>0.46065733414485699</v>
      </c>
      <c r="J417" s="143">
        <f t="shared" si="26"/>
        <v>0.46065733414485699</v>
      </c>
    </row>
    <row r="418" spans="1:10" hidden="1" outlineLevel="1" x14ac:dyDescent="0.2">
      <c r="A418" s="74">
        <v>35</v>
      </c>
      <c r="B418" s="80" t="s">
        <v>83</v>
      </c>
      <c r="C418" s="78">
        <v>5</v>
      </c>
      <c r="D418" s="77">
        <v>6.25</v>
      </c>
      <c r="E418" s="77">
        <v>26</v>
      </c>
      <c r="F418" s="77">
        <v>16.195</v>
      </c>
      <c r="G418" s="78" t="s">
        <v>3</v>
      </c>
      <c r="H418" s="82" t="s">
        <v>35</v>
      </c>
      <c r="I418" s="106">
        <f t="shared" si="25"/>
        <v>0.62288461538461537</v>
      </c>
      <c r="J418" s="143">
        <f t="shared" si="26"/>
        <v>0.62288461538461537</v>
      </c>
    </row>
    <row r="419" spans="1:10" hidden="1" outlineLevel="1" x14ac:dyDescent="0.2">
      <c r="A419" s="74">
        <v>36</v>
      </c>
      <c r="B419" s="80" t="s">
        <v>77</v>
      </c>
      <c r="C419" s="78">
        <v>5</v>
      </c>
      <c r="D419" s="77">
        <v>5</v>
      </c>
      <c r="E419" s="77">
        <v>12.8</v>
      </c>
      <c r="F419" s="77">
        <v>6.3960000000000008</v>
      </c>
      <c r="G419" s="78" t="s">
        <v>3</v>
      </c>
      <c r="H419" s="82" t="s">
        <v>35</v>
      </c>
      <c r="I419" s="106">
        <f t="shared" si="25"/>
        <v>0.49968750000000006</v>
      </c>
      <c r="J419" s="143">
        <f t="shared" si="26"/>
        <v>0.49968750000000006</v>
      </c>
    </row>
    <row r="420" spans="1:10" hidden="1" outlineLevel="1" x14ac:dyDescent="0.2">
      <c r="A420" s="74">
        <v>37</v>
      </c>
      <c r="B420" s="80" t="s">
        <v>286</v>
      </c>
      <c r="C420" s="78">
        <v>2</v>
      </c>
      <c r="D420" s="77">
        <v>26</v>
      </c>
      <c r="E420" s="77">
        <v>58.81</v>
      </c>
      <c r="F420" s="77">
        <v>26.904200000000003</v>
      </c>
      <c r="G420" s="78" t="s">
        <v>3</v>
      </c>
      <c r="H420" s="82" t="s">
        <v>35</v>
      </c>
      <c r="I420" s="106">
        <f t="shared" si="25"/>
        <v>0.45747661962251324</v>
      </c>
      <c r="J420" s="143">
        <f t="shared" si="26"/>
        <v>0.45747661962251324</v>
      </c>
    </row>
    <row r="421" spans="1:10" hidden="1" outlineLevel="1" x14ac:dyDescent="0.2">
      <c r="A421" s="74">
        <v>38</v>
      </c>
      <c r="B421" s="80" t="s">
        <v>329</v>
      </c>
      <c r="C421" s="78">
        <v>1</v>
      </c>
      <c r="D421" s="77">
        <v>4</v>
      </c>
      <c r="E421" s="77">
        <v>9.52</v>
      </c>
      <c r="F421" s="77">
        <v>4.5263999999999998</v>
      </c>
      <c r="G421" s="78" t="s">
        <v>3</v>
      </c>
      <c r="H421" s="82" t="s">
        <v>35</v>
      </c>
      <c r="I421" s="106">
        <f t="shared" si="25"/>
        <v>0.47546218487394959</v>
      </c>
      <c r="J421" s="143">
        <f t="shared" si="26"/>
        <v>0.47546218487394959</v>
      </c>
    </row>
    <row r="422" spans="1:10" hidden="1" outlineLevel="1" x14ac:dyDescent="0.2">
      <c r="A422" s="74">
        <v>39</v>
      </c>
      <c r="B422" s="80" t="s">
        <v>330</v>
      </c>
      <c r="C422" s="78">
        <v>1</v>
      </c>
      <c r="D422" s="77">
        <v>70</v>
      </c>
      <c r="E422" s="77">
        <v>130</v>
      </c>
      <c r="F422" s="77">
        <v>49.2</v>
      </c>
      <c r="G422" s="78" t="s">
        <v>3</v>
      </c>
      <c r="H422" s="82" t="s">
        <v>35</v>
      </c>
      <c r="I422" s="106">
        <f t="shared" si="25"/>
        <v>0.37846153846153846</v>
      </c>
      <c r="J422" s="143">
        <f t="shared" si="26"/>
        <v>0.37846153846153846</v>
      </c>
    </row>
    <row r="423" spans="1:10" hidden="1" outlineLevel="1" x14ac:dyDescent="0.2">
      <c r="A423" s="74">
        <v>40</v>
      </c>
      <c r="B423" s="80" t="s">
        <v>81</v>
      </c>
      <c r="C423" s="78">
        <v>2</v>
      </c>
      <c r="D423" s="77">
        <v>14</v>
      </c>
      <c r="E423" s="77">
        <v>31.85</v>
      </c>
      <c r="F423" s="77">
        <v>14.637</v>
      </c>
      <c r="G423" s="78" t="s">
        <v>3</v>
      </c>
      <c r="H423" s="82" t="s">
        <v>35</v>
      </c>
      <c r="I423" s="106">
        <f t="shared" si="25"/>
        <v>0.45956043956043957</v>
      </c>
      <c r="J423" s="143">
        <f t="shared" si="26"/>
        <v>0.45956043956043957</v>
      </c>
    </row>
    <row r="424" spans="1:10" hidden="1" outlineLevel="1" x14ac:dyDescent="0.2">
      <c r="A424" s="74">
        <v>41</v>
      </c>
      <c r="B424" s="80" t="s">
        <v>287</v>
      </c>
      <c r="C424" s="78">
        <v>11</v>
      </c>
      <c r="D424" s="77">
        <v>30.799999999999997</v>
      </c>
      <c r="E424" s="77">
        <v>124.82</v>
      </c>
      <c r="F424" s="77">
        <v>77.096399999999988</v>
      </c>
      <c r="G424" s="78" t="s">
        <v>3</v>
      </c>
      <c r="H424" s="82" t="s">
        <v>35</v>
      </c>
      <c r="I424" s="106">
        <f t="shared" si="25"/>
        <v>0.617660631309085</v>
      </c>
      <c r="J424" s="143">
        <f t="shared" si="26"/>
        <v>0.617660631309085</v>
      </c>
    </row>
    <row r="425" spans="1:10" hidden="1" outlineLevel="1" x14ac:dyDescent="0.2">
      <c r="A425" s="74">
        <v>42</v>
      </c>
      <c r="B425" s="80" t="s">
        <v>331</v>
      </c>
      <c r="C425" s="78">
        <v>1</v>
      </c>
      <c r="D425" s="77">
        <v>1.5</v>
      </c>
      <c r="E425" s="77">
        <v>10.64</v>
      </c>
      <c r="F425" s="77">
        <v>7.4948000000000006</v>
      </c>
      <c r="G425" s="78" t="s">
        <v>3</v>
      </c>
      <c r="H425" s="82" t="s">
        <v>35</v>
      </c>
      <c r="I425" s="106">
        <f t="shared" si="25"/>
        <v>0.70439849624060147</v>
      </c>
      <c r="J425" s="143">
        <f t="shared" si="26"/>
        <v>0.70439849624060147</v>
      </c>
    </row>
    <row r="426" spans="1:10" hidden="1" outlineLevel="1" x14ac:dyDescent="0.2">
      <c r="A426" s="74">
        <v>43</v>
      </c>
      <c r="B426" s="80" t="s">
        <v>332</v>
      </c>
      <c r="C426" s="78">
        <v>1</v>
      </c>
      <c r="D426" s="77">
        <v>18</v>
      </c>
      <c r="E426" s="77">
        <v>40</v>
      </c>
      <c r="F426" s="77">
        <v>18.04</v>
      </c>
      <c r="G426" s="78" t="s">
        <v>3</v>
      </c>
      <c r="H426" s="82" t="s">
        <v>35</v>
      </c>
      <c r="I426" s="106">
        <f t="shared" si="25"/>
        <v>0.45099999999999996</v>
      </c>
      <c r="J426" s="143">
        <f t="shared" si="26"/>
        <v>0.45099999999999996</v>
      </c>
    </row>
    <row r="427" spans="1:10" hidden="1" outlineLevel="1" x14ac:dyDescent="0.2">
      <c r="A427" s="74">
        <v>44</v>
      </c>
      <c r="B427" s="80" t="s">
        <v>333</v>
      </c>
      <c r="C427" s="78">
        <v>1</v>
      </c>
      <c r="D427" s="77">
        <v>14</v>
      </c>
      <c r="E427" s="77">
        <v>26.99</v>
      </c>
      <c r="F427" s="77">
        <v>10.651799999999998</v>
      </c>
      <c r="G427" s="78" t="s">
        <v>3</v>
      </c>
      <c r="H427" s="82" t="s">
        <v>35</v>
      </c>
      <c r="I427" s="106">
        <f t="shared" si="25"/>
        <v>0.39465728047424969</v>
      </c>
      <c r="J427" s="143">
        <f t="shared" si="26"/>
        <v>0.39465728047424969</v>
      </c>
    </row>
    <row r="428" spans="1:10" hidden="1" outlineLevel="1" x14ac:dyDescent="0.2">
      <c r="A428" s="74">
        <v>45</v>
      </c>
      <c r="B428" s="80" t="s">
        <v>334</v>
      </c>
      <c r="C428" s="78">
        <v>1</v>
      </c>
      <c r="D428" s="77">
        <v>20</v>
      </c>
      <c r="E428" s="77">
        <v>35</v>
      </c>
      <c r="F428" s="77">
        <v>12.3</v>
      </c>
      <c r="G428" s="78" t="s">
        <v>3</v>
      </c>
      <c r="H428" s="82" t="s">
        <v>35</v>
      </c>
      <c r="I428" s="106">
        <f t="shared" si="25"/>
        <v>0.35142857142857142</v>
      </c>
      <c r="J428" s="143">
        <f t="shared" si="26"/>
        <v>0.35142857142857142</v>
      </c>
    </row>
    <row r="429" spans="1:10" hidden="1" outlineLevel="1" x14ac:dyDescent="0.2">
      <c r="A429" s="74">
        <v>46</v>
      </c>
      <c r="B429" s="80" t="s">
        <v>335</v>
      </c>
      <c r="C429" s="78">
        <v>1</v>
      </c>
      <c r="D429" s="77">
        <v>18</v>
      </c>
      <c r="E429" s="77">
        <v>42.9</v>
      </c>
      <c r="F429" s="77">
        <v>20.417999999999999</v>
      </c>
      <c r="G429" s="78" t="s">
        <v>3</v>
      </c>
      <c r="H429" s="82" t="s">
        <v>35</v>
      </c>
      <c r="I429" s="106">
        <f t="shared" si="25"/>
        <v>0.47594405594405592</v>
      </c>
      <c r="J429" s="143">
        <f t="shared" si="26"/>
        <v>0.47594405594405592</v>
      </c>
    </row>
    <row r="430" spans="1:10" hidden="1" outlineLevel="1" x14ac:dyDescent="0.2">
      <c r="A430" s="74">
        <v>47</v>
      </c>
      <c r="B430" s="80" t="s">
        <v>336</v>
      </c>
      <c r="C430" s="78">
        <v>1</v>
      </c>
      <c r="D430" s="77">
        <v>4</v>
      </c>
      <c r="E430" s="77">
        <v>8.99</v>
      </c>
      <c r="F430" s="77">
        <v>4.0918000000000001</v>
      </c>
      <c r="G430" s="78" t="s">
        <v>3</v>
      </c>
      <c r="H430" s="82" t="s">
        <v>35</v>
      </c>
      <c r="I430" s="106">
        <f t="shared" si="25"/>
        <v>0.45515016685205784</v>
      </c>
      <c r="J430" s="143">
        <f t="shared" si="26"/>
        <v>0.45515016685205784</v>
      </c>
    </row>
    <row r="431" spans="1:10" hidden="1" outlineLevel="1" x14ac:dyDescent="0.2">
      <c r="A431" s="74">
        <v>48</v>
      </c>
      <c r="B431" s="80" t="s">
        <v>337</v>
      </c>
      <c r="C431" s="78">
        <v>2</v>
      </c>
      <c r="D431" s="77">
        <v>10</v>
      </c>
      <c r="E431" s="77">
        <v>19.5</v>
      </c>
      <c r="F431" s="77">
        <v>7.79</v>
      </c>
      <c r="G431" s="78" t="s">
        <v>3</v>
      </c>
      <c r="H431" s="82" t="s">
        <v>35</v>
      </c>
      <c r="I431" s="106">
        <f t="shared" si="25"/>
        <v>0.39948717948717949</v>
      </c>
      <c r="J431" s="143">
        <f t="shared" si="26"/>
        <v>0.39948717948717949</v>
      </c>
    </row>
    <row r="432" spans="1:10" hidden="1" outlineLevel="1" x14ac:dyDescent="0.2">
      <c r="A432" s="74">
        <v>49</v>
      </c>
      <c r="B432" s="80" t="s">
        <v>222</v>
      </c>
      <c r="C432" s="78">
        <v>28</v>
      </c>
      <c r="D432" s="77">
        <v>1120</v>
      </c>
      <c r="E432" s="77">
        <v>2154.84</v>
      </c>
      <c r="F432" s="77">
        <v>848.56880000000012</v>
      </c>
      <c r="G432" s="78" t="s">
        <v>3</v>
      </c>
      <c r="H432" s="82" t="s">
        <v>35</v>
      </c>
      <c r="I432" s="106">
        <f t="shared" si="25"/>
        <v>0.39379666239720817</v>
      </c>
      <c r="J432" s="143">
        <f t="shared" si="26"/>
        <v>0.39379666239720817</v>
      </c>
    </row>
    <row r="433" spans="1:10" hidden="1" outlineLevel="1" x14ac:dyDescent="0.2">
      <c r="A433" s="74">
        <v>50</v>
      </c>
      <c r="B433" s="80" t="s">
        <v>289</v>
      </c>
      <c r="C433" s="78">
        <v>4</v>
      </c>
      <c r="D433" s="77">
        <v>42</v>
      </c>
      <c r="E433" s="77">
        <v>145.21</v>
      </c>
      <c r="F433" s="77">
        <v>84.632200000000012</v>
      </c>
      <c r="G433" s="78" t="s">
        <v>3</v>
      </c>
      <c r="H433" s="82" t="s">
        <v>35</v>
      </c>
      <c r="I433" s="106">
        <f t="shared" si="25"/>
        <v>0.58282625163556234</v>
      </c>
      <c r="J433" s="143">
        <f t="shared" si="26"/>
        <v>0.58282625163556234</v>
      </c>
    </row>
    <row r="434" spans="1:10" hidden="1" outlineLevel="1" x14ac:dyDescent="0.2">
      <c r="A434" s="74">
        <v>51</v>
      </c>
      <c r="B434" s="80" t="s">
        <v>338</v>
      </c>
      <c r="C434" s="78">
        <v>2</v>
      </c>
      <c r="D434" s="77">
        <v>5</v>
      </c>
      <c r="E434" s="77">
        <v>15.3</v>
      </c>
      <c r="F434" s="77">
        <v>8.4460000000000015</v>
      </c>
      <c r="G434" s="78" t="s">
        <v>3</v>
      </c>
      <c r="H434" s="82" t="s">
        <v>35</v>
      </c>
      <c r="I434" s="106">
        <f t="shared" si="25"/>
        <v>0.5520261437908498</v>
      </c>
      <c r="J434" s="143">
        <f t="shared" si="26"/>
        <v>0.5520261437908498</v>
      </c>
    </row>
    <row r="435" spans="1:10" hidden="1" outlineLevel="1" x14ac:dyDescent="0.2">
      <c r="A435" s="74">
        <v>52</v>
      </c>
      <c r="B435" s="80" t="s">
        <v>183</v>
      </c>
      <c r="C435" s="78">
        <v>1</v>
      </c>
      <c r="D435" s="77">
        <v>2</v>
      </c>
      <c r="E435" s="77">
        <v>6.88</v>
      </c>
      <c r="F435" s="77">
        <v>4.0015999999999998</v>
      </c>
      <c r="G435" s="78" t="s">
        <v>3</v>
      </c>
      <c r="H435" s="82" t="s">
        <v>35</v>
      </c>
      <c r="I435" s="106">
        <f t="shared" si="25"/>
        <v>0.58162790697674416</v>
      </c>
      <c r="J435" s="143">
        <f t="shared" si="26"/>
        <v>0.58162790697674416</v>
      </c>
    </row>
    <row r="436" spans="1:10" hidden="1" outlineLevel="1" x14ac:dyDescent="0.2">
      <c r="A436" s="74">
        <v>53</v>
      </c>
      <c r="B436" s="80" t="s">
        <v>339</v>
      </c>
      <c r="C436" s="78">
        <v>1</v>
      </c>
      <c r="D436" s="77">
        <v>32</v>
      </c>
      <c r="E436" s="77">
        <v>57</v>
      </c>
      <c r="F436" s="77">
        <v>20.5</v>
      </c>
      <c r="G436" s="78" t="s">
        <v>3</v>
      </c>
      <c r="H436" s="82" t="s">
        <v>35</v>
      </c>
      <c r="I436" s="106">
        <f t="shared" si="25"/>
        <v>0.35964912280701755</v>
      </c>
      <c r="J436" s="143">
        <f t="shared" si="26"/>
        <v>0.35964912280701755</v>
      </c>
    </row>
    <row r="437" spans="1:10" hidden="1" outlineLevel="1" x14ac:dyDescent="0.2">
      <c r="A437" s="74">
        <v>54</v>
      </c>
      <c r="B437" s="80" t="s">
        <v>253</v>
      </c>
      <c r="C437" s="78">
        <v>1</v>
      </c>
      <c r="D437" s="77">
        <v>2</v>
      </c>
      <c r="E437" s="77">
        <v>5</v>
      </c>
      <c r="F437" s="77">
        <v>2.46</v>
      </c>
      <c r="G437" s="78" t="s">
        <v>3</v>
      </c>
      <c r="H437" s="82" t="s">
        <v>35</v>
      </c>
      <c r="I437" s="106">
        <f t="shared" si="25"/>
        <v>0.49199999999999999</v>
      </c>
      <c r="J437" s="143">
        <f t="shared" si="26"/>
        <v>0.49199999999999999</v>
      </c>
    </row>
    <row r="438" spans="1:10" hidden="1" outlineLevel="1" x14ac:dyDescent="0.2">
      <c r="A438" s="74">
        <v>55</v>
      </c>
      <c r="B438" s="80" t="s">
        <v>176</v>
      </c>
      <c r="C438" s="78">
        <v>1</v>
      </c>
      <c r="D438" s="77">
        <v>2.5</v>
      </c>
      <c r="E438" s="77">
        <v>10.46</v>
      </c>
      <c r="F438" s="77">
        <v>6.5272000000000006</v>
      </c>
      <c r="G438" s="78" t="s">
        <v>3</v>
      </c>
      <c r="H438" s="82" t="s">
        <v>35</v>
      </c>
      <c r="I438" s="106">
        <f t="shared" si="25"/>
        <v>0.62401529636711284</v>
      </c>
      <c r="J438" s="143">
        <f t="shared" si="26"/>
        <v>0.62401529636711284</v>
      </c>
    </row>
    <row r="439" spans="1:10" hidden="1" outlineLevel="1" x14ac:dyDescent="0.2">
      <c r="A439" s="74">
        <v>56</v>
      </c>
      <c r="B439" s="80" t="s">
        <v>291</v>
      </c>
      <c r="C439" s="78">
        <v>5</v>
      </c>
      <c r="D439" s="77">
        <v>27.5</v>
      </c>
      <c r="E439" s="77">
        <v>94.03</v>
      </c>
      <c r="F439" s="77">
        <v>54.554600000000001</v>
      </c>
      <c r="G439" s="78" t="s">
        <v>3</v>
      </c>
      <c r="H439" s="82" t="s">
        <v>35</v>
      </c>
      <c r="I439" s="106">
        <f t="shared" si="25"/>
        <v>0.58018292034457086</v>
      </c>
      <c r="J439" s="143">
        <f t="shared" si="26"/>
        <v>0.58018292034457086</v>
      </c>
    </row>
    <row r="440" spans="1:10" hidden="1" outlineLevel="1" x14ac:dyDescent="0.2">
      <c r="A440" s="74">
        <v>57</v>
      </c>
      <c r="B440" s="80" t="s">
        <v>340</v>
      </c>
      <c r="C440" s="78">
        <v>1</v>
      </c>
      <c r="D440" s="77">
        <v>40</v>
      </c>
      <c r="E440" s="77">
        <v>59.21</v>
      </c>
      <c r="F440" s="77">
        <v>15.7522</v>
      </c>
      <c r="G440" s="78" t="s">
        <v>3</v>
      </c>
      <c r="H440" s="82" t="s">
        <v>35</v>
      </c>
      <c r="I440" s="106">
        <f t="shared" si="25"/>
        <v>0.26603952035129202</v>
      </c>
      <c r="J440" s="143">
        <f t="shared" si="26"/>
        <v>0.26603952035129202</v>
      </c>
    </row>
    <row r="441" spans="1:10" hidden="1" outlineLevel="1" x14ac:dyDescent="0.2">
      <c r="A441" s="74">
        <v>58</v>
      </c>
      <c r="B441" s="80" t="s">
        <v>256</v>
      </c>
      <c r="C441" s="78">
        <v>1</v>
      </c>
      <c r="D441" s="77">
        <v>3</v>
      </c>
      <c r="E441" s="77">
        <v>11.01</v>
      </c>
      <c r="F441" s="77">
        <v>6.5682</v>
      </c>
      <c r="G441" s="78" t="s">
        <v>3</v>
      </c>
      <c r="H441" s="82" t="s">
        <v>35</v>
      </c>
      <c r="I441" s="106">
        <f t="shared" si="25"/>
        <v>0.59656675749318799</v>
      </c>
      <c r="J441" s="143">
        <f t="shared" si="26"/>
        <v>0.59656675749318799</v>
      </c>
    </row>
    <row r="442" spans="1:10" hidden="1" outlineLevel="1" x14ac:dyDescent="0.2">
      <c r="A442" s="74">
        <v>59</v>
      </c>
      <c r="B442" s="80" t="s">
        <v>341</v>
      </c>
      <c r="C442" s="78">
        <v>1</v>
      </c>
      <c r="D442" s="77">
        <v>0</v>
      </c>
      <c r="E442" s="77">
        <v>2.94</v>
      </c>
      <c r="F442" s="77">
        <v>2.4108000000000001</v>
      </c>
      <c r="G442" s="78" t="s">
        <v>3</v>
      </c>
      <c r="H442" s="82" t="s">
        <v>35</v>
      </c>
      <c r="I442" s="106">
        <f t="shared" si="25"/>
        <v>0.82000000000000006</v>
      </c>
      <c r="J442" s="143">
        <f t="shared" si="26"/>
        <v>0.82000000000000006</v>
      </c>
    </row>
    <row r="443" spans="1:10" hidden="1" outlineLevel="1" x14ac:dyDescent="0.2">
      <c r="A443" s="74">
        <v>60</v>
      </c>
      <c r="B443" s="80" t="s">
        <v>103</v>
      </c>
      <c r="C443" s="78">
        <v>8</v>
      </c>
      <c r="D443" s="77">
        <v>60</v>
      </c>
      <c r="E443" s="77">
        <v>171.61</v>
      </c>
      <c r="F443" s="77">
        <v>91.520200000000017</v>
      </c>
      <c r="G443" s="78" t="s">
        <v>3</v>
      </c>
      <c r="H443" s="82" t="s">
        <v>35</v>
      </c>
      <c r="I443" s="106">
        <f t="shared" si="25"/>
        <v>0.5333034205465883</v>
      </c>
      <c r="J443" s="143">
        <f t="shared" si="26"/>
        <v>0.5333034205465883</v>
      </c>
    </row>
    <row r="444" spans="1:10" hidden="1" outlineLevel="1" x14ac:dyDescent="0.2">
      <c r="A444" s="74">
        <v>61</v>
      </c>
      <c r="B444" s="80" t="s">
        <v>89</v>
      </c>
      <c r="C444" s="78">
        <v>1</v>
      </c>
      <c r="D444" s="77">
        <v>1</v>
      </c>
      <c r="E444" s="77">
        <v>13.01</v>
      </c>
      <c r="F444" s="77">
        <v>9.8482000000000003</v>
      </c>
      <c r="G444" s="78" t="s">
        <v>3</v>
      </c>
      <c r="H444" s="82" t="s">
        <v>35</v>
      </c>
      <c r="I444" s="106">
        <f t="shared" ref="I444:I449" si="28">F444/E444</f>
        <v>0.75697156033820145</v>
      </c>
      <c r="J444" s="143">
        <f t="shared" si="26"/>
        <v>0.75697156033820145</v>
      </c>
    </row>
    <row r="445" spans="1:10" hidden="1" outlineLevel="1" x14ac:dyDescent="0.2">
      <c r="A445" s="74">
        <v>62</v>
      </c>
      <c r="B445" s="80" t="s">
        <v>294</v>
      </c>
      <c r="C445" s="78">
        <v>6</v>
      </c>
      <c r="D445" s="77">
        <v>15</v>
      </c>
      <c r="E445" s="77">
        <v>29.58</v>
      </c>
      <c r="F445" s="77">
        <v>11.955599999999999</v>
      </c>
      <c r="G445" s="78" t="s">
        <v>3</v>
      </c>
      <c r="H445" s="82" t="s">
        <v>35</v>
      </c>
      <c r="I445" s="106">
        <f t="shared" si="28"/>
        <v>0.40417849898580122</v>
      </c>
      <c r="J445" s="143">
        <f t="shared" si="26"/>
        <v>0.40417849898580122</v>
      </c>
    </row>
    <row r="446" spans="1:10" hidden="1" outlineLevel="1" x14ac:dyDescent="0.2">
      <c r="A446" s="74">
        <v>63</v>
      </c>
      <c r="B446" s="80" t="s">
        <v>180</v>
      </c>
      <c r="C446" s="78">
        <v>1</v>
      </c>
      <c r="D446" s="77">
        <v>0.5</v>
      </c>
      <c r="E446" s="77">
        <v>1.79</v>
      </c>
      <c r="F446" s="77">
        <v>1.0578000000000001</v>
      </c>
      <c r="G446" s="78" t="s">
        <v>3</v>
      </c>
      <c r="H446" s="82" t="s">
        <v>35</v>
      </c>
      <c r="I446" s="106">
        <f t="shared" si="28"/>
        <v>0.59094972067039109</v>
      </c>
      <c r="J446" s="143">
        <f t="shared" si="26"/>
        <v>0.59094972067039109</v>
      </c>
    </row>
    <row r="447" spans="1:10" hidden="1" outlineLevel="1" collapsed="1" x14ac:dyDescent="0.2">
      <c r="A447" s="74">
        <v>64</v>
      </c>
      <c r="B447" s="80" t="s">
        <v>342</v>
      </c>
      <c r="C447" s="78">
        <v>4</v>
      </c>
      <c r="D447" s="77">
        <v>2</v>
      </c>
      <c r="E447" s="77">
        <v>19.77</v>
      </c>
      <c r="F447" s="77">
        <v>14.571400000000001</v>
      </c>
      <c r="G447" s="78" t="s">
        <v>3</v>
      </c>
      <c r="H447" s="82" t="s">
        <v>35</v>
      </c>
      <c r="I447" s="106">
        <f t="shared" si="28"/>
        <v>0.73704602933737995</v>
      </c>
      <c r="J447" s="143">
        <f t="shared" si="26"/>
        <v>0.73704602933737995</v>
      </c>
    </row>
    <row r="448" spans="1:10" hidden="1" outlineLevel="1" x14ac:dyDescent="0.2">
      <c r="A448" s="74">
        <v>65</v>
      </c>
      <c r="B448" s="80" t="s">
        <v>343</v>
      </c>
      <c r="C448" s="78">
        <v>1</v>
      </c>
      <c r="D448" s="77">
        <v>30</v>
      </c>
      <c r="E448" s="77">
        <v>69.67</v>
      </c>
      <c r="F448" s="77">
        <v>32.529400000000003</v>
      </c>
      <c r="G448" s="78" t="s">
        <v>3</v>
      </c>
      <c r="H448" s="82" t="s">
        <v>35</v>
      </c>
      <c r="I448" s="106">
        <f t="shared" si="28"/>
        <v>0.46690684656236547</v>
      </c>
      <c r="J448" s="143">
        <f t="shared" si="26"/>
        <v>0.46690684656236547</v>
      </c>
    </row>
    <row r="449" spans="1:11" hidden="1" outlineLevel="1" x14ac:dyDescent="0.2">
      <c r="A449" s="74">
        <v>66</v>
      </c>
      <c r="B449" s="80" t="s">
        <v>344</v>
      </c>
      <c r="C449" s="78">
        <v>3</v>
      </c>
      <c r="D449" s="77"/>
      <c r="E449" s="77"/>
      <c r="F449" s="77">
        <f>E449-D449</f>
        <v>0</v>
      </c>
      <c r="G449" s="78" t="s">
        <v>3</v>
      </c>
      <c r="H449" s="82" t="s">
        <v>345</v>
      </c>
      <c r="I449" s="106" t="e">
        <f t="shared" si="28"/>
        <v>#DIV/0!</v>
      </c>
      <c r="J449" s="143" t="e">
        <f t="shared" si="26"/>
        <v>#DIV/0!</v>
      </c>
    </row>
    <row r="450" spans="1:11" collapsed="1" x14ac:dyDescent="0.2">
      <c r="A450" s="156" t="s">
        <v>346</v>
      </c>
      <c r="B450" s="156"/>
      <c r="C450" s="157"/>
      <c r="D450" s="94">
        <f>SUM(D451:D518)</f>
        <v>2264.1</v>
      </c>
      <c r="E450" s="94">
        <f>SUM(E451:E518)</f>
        <v>4870.7799999999988</v>
      </c>
      <c r="F450" s="94">
        <f>SUM(F451:F518)</f>
        <v>2069.13</v>
      </c>
      <c r="G450" s="68">
        <f>I450+H450</f>
        <v>142</v>
      </c>
      <c r="H450" s="68">
        <f>COUNTIF(H451:H509,"BSB")</f>
        <v>32</v>
      </c>
      <c r="I450" s="68">
        <f>SUM(C451:C517)</f>
        <v>110</v>
      </c>
      <c r="J450" s="143">
        <f t="shared" ref="J450:J513" si="29">F450/E450</f>
        <v>0.42480465141106777</v>
      </c>
    </row>
    <row r="451" spans="1:11" hidden="1" outlineLevel="1" x14ac:dyDescent="0.2">
      <c r="A451" s="74">
        <v>1</v>
      </c>
      <c r="B451" s="80" t="s">
        <v>347</v>
      </c>
      <c r="C451" s="78"/>
      <c r="D451" s="77">
        <v>18</v>
      </c>
      <c r="E451" s="77">
        <v>30</v>
      </c>
      <c r="F451" s="77">
        <f>E451-D451</f>
        <v>12</v>
      </c>
      <c r="G451" s="78" t="s">
        <v>3</v>
      </c>
      <c r="H451" s="82" t="s">
        <v>43</v>
      </c>
      <c r="I451" s="88"/>
      <c r="J451" s="143">
        <f t="shared" si="29"/>
        <v>0.4</v>
      </c>
    </row>
    <row r="452" spans="1:11" hidden="1" outlineLevel="1" x14ac:dyDescent="0.2">
      <c r="A452" s="74">
        <v>2</v>
      </c>
      <c r="B452" s="80" t="s">
        <v>348</v>
      </c>
      <c r="C452" s="78"/>
      <c r="D452" s="77">
        <v>18</v>
      </c>
      <c r="E452" s="77">
        <v>50</v>
      </c>
      <c r="F452" s="77">
        <f t="shared" ref="F452:F482" si="30">E452-D452</f>
        <v>32</v>
      </c>
      <c r="G452" s="78" t="s">
        <v>3</v>
      </c>
      <c r="H452" s="82" t="s">
        <v>43</v>
      </c>
      <c r="I452" s="88"/>
      <c r="J452" s="143">
        <f t="shared" si="29"/>
        <v>0.64</v>
      </c>
    </row>
    <row r="453" spans="1:11" hidden="1" outlineLevel="1" x14ac:dyDescent="0.2">
      <c r="A453" s="74">
        <v>3</v>
      </c>
      <c r="B453" s="80" t="s">
        <v>349</v>
      </c>
      <c r="C453" s="78"/>
      <c r="D453" s="77">
        <v>13</v>
      </c>
      <c r="E453" s="77">
        <v>30</v>
      </c>
      <c r="F453" s="77">
        <f t="shared" si="30"/>
        <v>17</v>
      </c>
      <c r="G453" s="78" t="s">
        <v>3</v>
      </c>
      <c r="H453" s="82" t="s">
        <v>43</v>
      </c>
      <c r="I453" s="88"/>
      <c r="J453" s="143">
        <f t="shared" si="29"/>
        <v>0.56666666666666665</v>
      </c>
    </row>
    <row r="454" spans="1:11" hidden="1" outlineLevel="1" x14ac:dyDescent="0.2">
      <c r="A454" s="74">
        <v>4</v>
      </c>
      <c r="B454" s="80" t="s">
        <v>45</v>
      </c>
      <c r="C454" s="78"/>
      <c r="D454" s="77">
        <v>40</v>
      </c>
      <c r="E454" s="77">
        <v>70</v>
      </c>
      <c r="F454" s="77">
        <f t="shared" si="30"/>
        <v>30</v>
      </c>
      <c r="G454" s="78" t="s">
        <v>3</v>
      </c>
      <c r="H454" s="82" t="s">
        <v>43</v>
      </c>
      <c r="I454" s="88"/>
      <c r="J454" s="143">
        <f t="shared" si="29"/>
        <v>0.42857142857142855</v>
      </c>
    </row>
    <row r="455" spans="1:11" hidden="1" outlineLevel="1" x14ac:dyDescent="0.2">
      <c r="A455" s="74">
        <v>5</v>
      </c>
      <c r="B455" s="80" t="s">
        <v>350</v>
      </c>
      <c r="C455" s="78"/>
      <c r="D455" s="77">
        <v>35</v>
      </c>
      <c r="E455" s="77">
        <v>40</v>
      </c>
      <c r="F455" s="77">
        <f t="shared" si="30"/>
        <v>5</v>
      </c>
      <c r="G455" s="78" t="s">
        <v>3</v>
      </c>
      <c r="H455" s="82" t="s">
        <v>43</v>
      </c>
      <c r="I455" s="88"/>
      <c r="J455" s="143">
        <f t="shared" si="29"/>
        <v>0.125</v>
      </c>
    </row>
    <row r="456" spans="1:11" hidden="1" outlineLevel="1" x14ac:dyDescent="0.2">
      <c r="A456" s="74">
        <v>6</v>
      </c>
      <c r="B456" s="80" t="s">
        <v>351</v>
      </c>
      <c r="C456" s="78"/>
      <c r="D456" s="77">
        <v>22.5</v>
      </c>
      <c r="E456" s="77">
        <v>30</v>
      </c>
      <c r="F456" s="77">
        <v>7.5</v>
      </c>
      <c r="G456" s="78" t="s">
        <v>3</v>
      </c>
      <c r="H456" s="82" t="s">
        <v>43</v>
      </c>
      <c r="I456" s="88"/>
      <c r="J456" s="143">
        <f t="shared" si="29"/>
        <v>0.25</v>
      </c>
    </row>
    <row r="457" spans="1:11" hidden="1" outlineLevel="1" x14ac:dyDescent="0.2">
      <c r="A457" s="74">
        <v>7</v>
      </c>
      <c r="B457" s="80" t="s">
        <v>242</v>
      </c>
      <c r="C457" s="78"/>
      <c r="D457" s="77">
        <v>14</v>
      </c>
      <c r="E457" s="77">
        <v>20</v>
      </c>
      <c r="F457" s="77">
        <v>6</v>
      </c>
      <c r="G457" s="78" t="s">
        <v>3</v>
      </c>
      <c r="H457" s="82" t="s">
        <v>43</v>
      </c>
      <c r="I457" s="88"/>
      <c r="J457" s="143">
        <f t="shared" si="29"/>
        <v>0.3</v>
      </c>
    </row>
    <row r="458" spans="1:11" hidden="1" outlineLevel="1" x14ac:dyDescent="0.2">
      <c r="A458" s="74">
        <v>8</v>
      </c>
      <c r="B458" s="80" t="s">
        <v>276</v>
      </c>
      <c r="C458" s="78"/>
      <c r="D458" s="77">
        <v>32</v>
      </c>
      <c r="E458" s="77">
        <v>60</v>
      </c>
      <c r="F458" s="77">
        <f t="shared" si="30"/>
        <v>28</v>
      </c>
      <c r="G458" s="78" t="s">
        <v>3</v>
      </c>
      <c r="H458" s="82" t="s">
        <v>43</v>
      </c>
      <c r="I458" s="88"/>
      <c r="J458" s="143">
        <f t="shared" si="29"/>
        <v>0.46666666666666667</v>
      </c>
    </row>
    <row r="459" spans="1:11" hidden="1" outlineLevel="1" x14ac:dyDescent="0.2">
      <c r="A459" s="74">
        <v>9</v>
      </c>
      <c r="B459" s="80" t="s">
        <v>352</v>
      </c>
      <c r="C459" s="78"/>
      <c r="D459" s="77">
        <v>60</v>
      </c>
      <c r="E459" s="77">
        <v>140</v>
      </c>
      <c r="F459" s="77">
        <f t="shared" si="30"/>
        <v>80</v>
      </c>
      <c r="G459" s="78" t="s">
        <v>3</v>
      </c>
      <c r="H459" s="82" t="s">
        <v>43</v>
      </c>
      <c r="I459" s="88"/>
      <c r="J459" s="143">
        <f t="shared" si="29"/>
        <v>0.5714285714285714</v>
      </c>
    </row>
    <row r="460" spans="1:11" hidden="1" outlineLevel="1" x14ac:dyDescent="0.2">
      <c r="A460" s="74">
        <v>10</v>
      </c>
      <c r="B460" s="80" t="s">
        <v>353</v>
      </c>
      <c r="C460" s="78"/>
      <c r="D460" s="77">
        <v>5</v>
      </c>
      <c r="E460" s="77">
        <v>6</v>
      </c>
      <c r="F460" s="77">
        <f>E460-D460</f>
        <v>1</v>
      </c>
      <c r="G460" s="78" t="s">
        <v>3</v>
      </c>
      <c r="H460" s="82" t="s">
        <v>43</v>
      </c>
      <c r="I460" s="88"/>
      <c r="J460" s="143">
        <f t="shared" si="29"/>
        <v>0.16666666666666666</v>
      </c>
    </row>
    <row r="461" spans="1:11" hidden="1" outlineLevel="1" x14ac:dyDescent="0.2">
      <c r="A461" s="74">
        <v>11</v>
      </c>
      <c r="B461" s="80" t="s">
        <v>353</v>
      </c>
      <c r="C461" s="78"/>
      <c r="D461" s="77">
        <v>5</v>
      </c>
      <c r="E461" s="77">
        <v>6</v>
      </c>
      <c r="F461" s="77">
        <f t="shared" si="30"/>
        <v>1</v>
      </c>
      <c r="G461" s="78" t="s">
        <v>3</v>
      </c>
      <c r="H461" s="82" t="s">
        <v>43</v>
      </c>
      <c r="I461" s="88"/>
      <c r="J461" s="143">
        <f t="shared" si="29"/>
        <v>0.16666666666666666</v>
      </c>
    </row>
    <row r="462" spans="1:11" hidden="1" outlineLevel="1" x14ac:dyDescent="0.2">
      <c r="A462" s="74">
        <v>12</v>
      </c>
      <c r="B462" s="80" t="s">
        <v>279</v>
      </c>
      <c r="C462" s="78"/>
      <c r="D462" s="77">
        <v>5.5</v>
      </c>
      <c r="E462" s="77">
        <v>6.5</v>
      </c>
      <c r="F462" s="77">
        <f t="shared" si="30"/>
        <v>1</v>
      </c>
      <c r="G462" s="78" t="s">
        <v>3</v>
      </c>
      <c r="H462" s="82" t="s">
        <v>43</v>
      </c>
      <c r="I462" s="88"/>
      <c r="J462" s="143">
        <f t="shared" si="29"/>
        <v>0.15384615384615385</v>
      </c>
    </row>
    <row r="463" spans="1:11" hidden="1" outlineLevel="1" x14ac:dyDescent="0.2">
      <c r="A463" s="74">
        <v>13</v>
      </c>
      <c r="B463" s="80" t="s">
        <v>354</v>
      </c>
      <c r="C463" s="78"/>
      <c r="D463" s="77">
        <v>5.5</v>
      </c>
      <c r="E463" s="77">
        <v>6.5</v>
      </c>
      <c r="F463" s="77">
        <f t="shared" si="30"/>
        <v>1</v>
      </c>
      <c r="G463" s="78" t="s">
        <v>3</v>
      </c>
      <c r="H463" s="82" t="s">
        <v>43</v>
      </c>
      <c r="I463" s="88"/>
      <c r="J463" s="143">
        <f t="shared" si="29"/>
        <v>0.15384615384615385</v>
      </c>
    </row>
    <row r="464" spans="1:11" hidden="1" outlineLevel="1" x14ac:dyDescent="0.2">
      <c r="A464" s="74">
        <v>14</v>
      </c>
      <c r="B464" s="80" t="s">
        <v>355</v>
      </c>
      <c r="C464" s="78"/>
      <c r="D464" s="77">
        <v>9.5</v>
      </c>
      <c r="E464" s="77">
        <v>12</v>
      </c>
      <c r="F464" s="77">
        <f t="shared" si="30"/>
        <v>2.5</v>
      </c>
      <c r="G464" s="78" t="s">
        <v>3</v>
      </c>
      <c r="H464" s="82" t="s">
        <v>43</v>
      </c>
      <c r="I464" s="88"/>
      <c r="J464" s="143">
        <f t="shared" si="29"/>
        <v>0.20833333333333334</v>
      </c>
      <c r="K464" s="84"/>
    </row>
    <row r="465" spans="1:10" hidden="1" outlineLevel="1" x14ac:dyDescent="0.2">
      <c r="A465" s="74">
        <v>15</v>
      </c>
      <c r="B465" s="80" t="s">
        <v>356</v>
      </c>
      <c r="C465" s="78"/>
      <c r="D465" s="77">
        <v>23</v>
      </c>
      <c r="E465" s="77">
        <v>50</v>
      </c>
      <c r="F465" s="77">
        <f t="shared" si="30"/>
        <v>27</v>
      </c>
      <c r="G465" s="78" t="s">
        <v>3</v>
      </c>
      <c r="H465" s="82" t="s">
        <v>43</v>
      </c>
      <c r="I465" s="88"/>
      <c r="J465" s="143">
        <f t="shared" si="29"/>
        <v>0.54</v>
      </c>
    </row>
    <row r="466" spans="1:10" hidden="1" outlineLevel="1" x14ac:dyDescent="0.2">
      <c r="A466" s="74">
        <v>16</v>
      </c>
      <c r="B466" s="80" t="s">
        <v>357</v>
      </c>
      <c r="C466" s="78"/>
      <c r="D466" s="77">
        <v>30</v>
      </c>
      <c r="E466" s="77">
        <v>70</v>
      </c>
      <c r="F466" s="77">
        <f t="shared" si="30"/>
        <v>40</v>
      </c>
      <c r="G466" s="78" t="s">
        <v>3</v>
      </c>
      <c r="H466" s="82" t="s">
        <v>43</v>
      </c>
      <c r="I466" s="88"/>
      <c r="J466" s="143">
        <f t="shared" si="29"/>
        <v>0.5714285714285714</v>
      </c>
    </row>
    <row r="467" spans="1:10" hidden="1" outlineLevel="1" x14ac:dyDescent="0.2">
      <c r="A467" s="74">
        <v>17</v>
      </c>
      <c r="B467" s="80" t="s">
        <v>358</v>
      </c>
      <c r="C467" s="78"/>
      <c r="D467" s="77">
        <v>45</v>
      </c>
      <c r="E467" s="77">
        <v>115</v>
      </c>
      <c r="F467" s="77">
        <f t="shared" si="30"/>
        <v>70</v>
      </c>
      <c r="G467" s="78" t="s">
        <v>3</v>
      </c>
      <c r="H467" s="82" t="s">
        <v>43</v>
      </c>
      <c r="I467" s="88"/>
      <c r="J467" s="143">
        <f t="shared" si="29"/>
        <v>0.60869565217391308</v>
      </c>
    </row>
    <row r="468" spans="1:10" hidden="1" outlineLevel="1" x14ac:dyDescent="0.2">
      <c r="A468" s="74">
        <v>18</v>
      </c>
      <c r="B468" s="80" t="s">
        <v>359</v>
      </c>
      <c r="C468" s="78"/>
      <c r="D468" s="77">
        <v>8.1999999999999993</v>
      </c>
      <c r="E468" s="77">
        <v>20</v>
      </c>
      <c r="F468" s="77">
        <f t="shared" si="30"/>
        <v>11.8</v>
      </c>
      <c r="G468" s="78" t="s">
        <v>3</v>
      </c>
      <c r="H468" s="82" t="s">
        <v>43</v>
      </c>
      <c r="I468" s="88"/>
      <c r="J468" s="143">
        <f t="shared" si="29"/>
        <v>0.59000000000000008</v>
      </c>
    </row>
    <row r="469" spans="1:10" hidden="1" outlineLevel="1" x14ac:dyDescent="0.2">
      <c r="A469" s="74">
        <v>19</v>
      </c>
      <c r="B469" s="80" t="s">
        <v>141</v>
      </c>
      <c r="C469" s="78"/>
      <c r="D469" s="77">
        <v>21</v>
      </c>
      <c r="E469" s="77">
        <v>39</v>
      </c>
      <c r="F469" s="77">
        <f t="shared" si="30"/>
        <v>18</v>
      </c>
      <c r="G469" s="78" t="s">
        <v>3</v>
      </c>
      <c r="H469" s="82" t="s">
        <v>43</v>
      </c>
      <c r="I469" s="88"/>
      <c r="J469" s="143">
        <f t="shared" si="29"/>
        <v>0.46153846153846156</v>
      </c>
    </row>
    <row r="470" spans="1:10" hidden="1" outlineLevel="1" x14ac:dyDescent="0.2">
      <c r="A470" s="74">
        <v>20</v>
      </c>
      <c r="B470" s="80" t="s">
        <v>360</v>
      </c>
      <c r="C470" s="78"/>
      <c r="D470" s="77">
        <v>20</v>
      </c>
      <c r="E470" s="77">
        <v>35</v>
      </c>
      <c r="F470" s="77">
        <f t="shared" si="30"/>
        <v>15</v>
      </c>
      <c r="G470" s="78" t="s">
        <v>3</v>
      </c>
      <c r="H470" s="82" t="s">
        <v>43</v>
      </c>
      <c r="I470" s="88"/>
      <c r="J470" s="143">
        <f t="shared" si="29"/>
        <v>0.42857142857142855</v>
      </c>
    </row>
    <row r="471" spans="1:10" hidden="1" outlineLevel="1" x14ac:dyDescent="0.2">
      <c r="A471" s="74">
        <v>21</v>
      </c>
      <c r="B471" s="80" t="s">
        <v>360</v>
      </c>
      <c r="C471" s="78"/>
      <c r="D471" s="77">
        <v>20</v>
      </c>
      <c r="E471" s="77">
        <v>35</v>
      </c>
      <c r="F471" s="77">
        <f>E471-D471</f>
        <v>15</v>
      </c>
      <c r="G471" s="78" t="s">
        <v>3</v>
      </c>
      <c r="H471" s="82" t="s">
        <v>43</v>
      </c>
      <c r="I471" s="88"/>
      <c r="J471" s="143">
        <f t="shared" si="29"/>
        <v>0.42857142857142855</v>
      </c>
    </row>
    <row r="472" spans="1:10" hidden="1" outlineLevel="1" x14ac:dyDescent="0.2">
      <c r="A472" s="74">
        <v>22</v>
      </c>
      <c r="B472" s="80" t="s">
        <v>149</v>
      </c>
      <c r="C472" s="78"/>
      <c r="D472" s="77">
        <v>120</v>
      </c>
      <c r="E472" s="77">
        <v>300</v>
      </c>
      <c r="F472" s="77">
        <f t="shared" si="30"/>
        <v>180</v>
      </c>
      <c r="G472" s="78" t="s">
        <v>3</v>
      </c>
      <c r="H472" s="82" t="s">
        <v>43</v>
      </c>
      <c r="I472" s="88"/>
      <c r="J472" s="143">
        <f t="shared" si="29"/>
        <v>0.6</v>
      </c>
    </row>
    <row r="473" spans="1:10" hidden="1" outlineLevel="1" x14ac:dyDescent="0.2">
      <c r="A473" s="74">
        <v>23</v>
      </c>
      <c r="B473" s="80" t="s">
        <v>362</v>
      </c>
      <c r="C473" s="78"/>
      <c r="D473" s="77">
        <v>16</v>
      </c>
      <c r="E473" s="77">
        <v>30</v>
      </c>
      <c r="F473" s="77">
        <f t="shared" si="30"/>
        <v>14</v>
      </c>
      <c r="G473" s="78" t="s">
        <v>3</v>
      </c>
      <c r="H473" s="82" t="s">
        <v>43</v>
      </c>
      <c r="I473" s="88"/>
      <c r="J473" s="143">
        <f t="shared" si="29"/>
        <v>0.46666666666666667</v>
      </c>
    </row>
    <row r="474" spans="1:10" hidden="1" outlineLevel="1" x14ac:dyDescent="0.2">
      <c r="A474" s="74">
        <v>24</v>
      </c>
      <c r="B474" s="80" t="s">
        <v>363</v>
      </c>
      <c r="C474" s="78"/>
      <c r="D474" s="77">
        <v>29</v>
      </c>
      <c r="E474" s="77">
        <v>130</v>
      </c>
      <c r="F474" s="77">
        <f t="shared" si="30"/>
        <v>101</v>
      </c>
      <c r="G474" s="78" t="s">
        <v>3</v>
      </c>
      <c r="H474" s="82" t="s">
        <v>43</v>
      </c>
      <c r="I474" s="88"/>
      <c r="J474" s="143">
        <f t="shared" si="29"/>
        <v>0.77692307692307694</v>
      </c>
    </row>
    <row r="475" spans="1:10" hidden="1" outlineLevel="1" x14ac:dyDescent="0.2">
      <c r="A475" s="74">
        <v>25</v>
      </c>
      <c r="B475" s="80" t="s">
        <v>364</v>
      </c>
      <c r="C475" s="78"/>
      <c r="D475" s="77">
        <v>8</v>
      </c>
      <c r="E475" s="77">
        <v>20</v>
      </c>
      <c r="F475" s="77">
        <f t="shared" si="30"/>
        <v>12</v>
      </c>
      <c r="G475" s="78" t="s">
        <v>3</v>
      </c>
      <c r="H475" s="82" t="s">
        <v>43</v>
      </c>
      <c r="I475" s="88"/>
      <c r="J475" s="143">
        <f t="shared" si="29"/>
        <v>0.6</v>
      </c>
    </row>
    <row r="476" spans="1:10" hidden="1" outlineLevel="1" collapsed="1" x14ac:dyDescent="0.2">
      <c r="A476" s="74">
        <v>26</v>
      </c>
      <c r="B476" s="80" t="s">
        <v>364</v>
      </c>
      <c r="C476" s="78"/>
      <c r="D476" s="77">
        <v>8</v>
      </c>
      <c r="E476" s="77">
        <v>20</v>
      </c>
      <c r="F476" s="77">
        <f>E476-D476</f>
        <v>12</v>
      </c>
      <c r="G476" s="78" t="s">
        <v>3</v>
      </c>
      <c r="H476" s="82" t="s">
        <v>43</v>
      </c>
      <c r="I476" s="88"/>
      <c r="J476" s="143">
        <f t="shared" si="29"/>
        <v>0.6</v>
      </c>
    </row>
    <row r="477" spans="1:10" hidden="1" outlineLevel="1" x14ac:dyDescent="0.2">
      <c r="A477" s="74">
        <v>27</v>
      </c>
      <c r="B477" s="80" t="s">
        <v>365</v>
      </c>
      <c r="C477" s="78"/>
      <c r="D477" s="77">
        <v>7.5</v>
      </c>
      <c r="E477" s="77">
        <v>20</v>
      </c>
      <c r="F477" s="77">
        <f t="shared" si="30"/>
        <v>12.5</v>
      </c>
      <c r="G477" s="78" t="s">
        <v>3</v>
      </c>
      <c r="H477" s="82" t="s">
        <v>43</v>
      </c>
      <c r="I477" s="88"/>
      <c r="J477" s="143">
        <f t="shared" si="29"/>
        <v>0.625</v>
      </c>
    </row>
    <row r="478" spans="1:10" hidden="1" outlineLevel="1" x14ac:dyDescent="0.2">
      <c r="A478" s="74">
        <v>28</v>
      </c>
      <c r="B478" s="80" t="s">
        <v>366</v>
      </c>
      <c r="C478" s="78"/>
      <c r="D478" s="77">
        <v>20</v>
      </c>
      <c r="E478" s="77">
        <v>60</v>
      </c>
      <c r="F478" s="77">
        <f t="shared" si="30"/>
        <v>40</v>
      </c>
      <c r="G478" s="78" t="s">
        <v>3</v>
      </c>
      <c r="H478" s="82" t="s">
        <v>43</v>
      </c>
      <c r="I478" s="88"/>
      <c r="J478" s="143">
        <f t="shared" si="29"/>
        <v>0.66666666666666663</v>
      </c>
    </row>
    <row r="479" spans="1:10" hidden="1" outlineLevel="1" x14ac:dyDescent="0.2">
      <c r="A479" s="74">
        <v>29</v>
      </c>
      <c r="B479" s="80" t="s">
        <v>282</v>
      </c>
      <c r="C479" s="78"/>
      <c r="D479" s="77">
        <v>40</v>
      </c>
      <c r="E479" s="77">
        <v>135</v>
      </c>
      <c r="F479" s="77">
        <f t="shared" si="30"/>
        <v>95</v>
      </c>
      <c r="G479" s="78" t="s">
        <v>3</v>
      </c>
      <c r="H479" s="82" t="s">
        <v>43</v>
      </c>
      <c r="I479" s="88"/>
      <c r="J479" s="143">
        <f t="shared" si="29"/>
        <v>0.70370370370370372</v>
      </c>
    </row>
    <row r="480" spans="1:10" hidden="1" outlineLevel="1" x14ac:dyDescent="0.2">
      <c r="A480" s="74">
        <v>30</v>
      </c>
      <c r="B480" s="80" t="s">
        <v>367</v>
      </c>
      <c r="C480" s="78"/>
      <c r="D480" s="77">
        <v>15</v>
      </c>
      <c r="E480" s="77">
        <v>30</v>
      </c>
      <c r="F480" s="77">
        <f t="shared" si="30"/>
        <v>15</v>
      </c>
      <c r="G480" s="78" t="s">
        <v>3</v>
      </c>
      <c r="H480" s="82" t="s">
        <v>43</v>
      </c>
      <c r="I480" s="88"/>
      <c r="J480" s="143">
        <f t="shared" si="29"/>
        <v>0.5</v>
      </c>
    </row>
    <row r="481" spans="1:10" hidden="1" outlineLevel="1" x14ac:dyDescent="0.2">
      <c r="A481" s="74">
        <v>31</v>
      </c>
      <c r="B481" s="80" t="s">
        <v>311</v>
      </c>
      <c r="C481" s="78"/>
      <c r="D481" s="77">
        <v>35</v>
      </c>
      <c r="E481" s="77">
        <v>70</v>
      </c>
      <c r="F481" s="77">
        <f t="shared" si="30"/>
        <v>35</v>
      </c>
      <c r="G481" s="78" t="s">
        <v>3</v>
      </c>
      <c r="H481" s="82" t="s">
        <v>43</v>
      </c>
      <c r="I481" s="88"/>
      <c r="J481" s="143">
        <f t="shared" si="29"/>
        <v>0.5</v>
      </c>
    </row>
    <row r="482" spans="1:10" hidden="1" outlineLevel="1" x14ac:dyDescent="0.2">
      <c r="A482" s="74">
        <v>32</v>
      </c>
      <c r="B482" s="80" t="s">
        <v>360</v>
      </c>
      <c r="C482" s="78"/>
      <c r="D482" s="77">
        <v>60</v>
      </c>
      <c r="E482" s="77">
        <v>100</v>
      </c>
      <c r="F482" s="77">
        <f t="shared" si="30"/>
        <v>40</v>
      </c>
      <c r="G482" s="78" t="s">
        <v>3</v>
      </c>
      <c r="H482" s="82" t="s">
        <v>43</v>
      </c>
      <c r="I482" s="88"/>
      <c r="J482" s="143">
        <f t="shared" si="29"/>
        <v>0.4</v>
      </c>
    </row>
    <row r="483" spans="1:10" hidden="1" outlineLevel="1" x14ac:dyDescent="0.2">
      <c r="A483" s="74">
        <v>33</v>
      </c>
      <c r="B483" s="80" t="s">
        <v>183</v>
      </c>
      <c r="C483" s="78">
        <v>1</v>
      </c>
      <c r="D483" s="77">
        <v>1</v>
      </c>
      <c r="E483" s="77">
        <v>1</v>
      </c>
      <c r="F483" s="77">
        <v>-0.18</v>
      </c>
      <c r="G483" s="78" t="s">
        <v>3</v>
      </c>
      <c r="H483" s="82" t="s">
        <v>35</v>
      </c>
      <c r="I483" s="88"/>
      <c r="J483" s="143">
        <f t="shared" si="29"/>
        <v>-0.18</v>
      </c>
    </row>
    <row r="484" spans="1:10" hidden="1" outlineLevel="1" x14ac:dyDescent="0.2">
      <c r="A484" s="74">
        <v>34</v>
      </c>
      <c r="B484" s="80" t="s">
        <v>368</v>
      </c>
      <c r="C484" s="78">
        <v>1</v>
      </c>
      <c r="D484" s="77">
        <v>2</v>
      </c>
      <c r="E484" s="77">
        <v>2.5499999999999998</v>
      </c>
      <c r="F484" s="77">
        <v>0.09</v>
      </c>
      <c r="G484" s="78" t="s">
        <v>3</v>
      </c>
      <c r="H484" s="82" t="s">
        <v>35</v>
      </c>
      <c r="I484" s="88"/>
      <c r="J484" s="143">
        <f t="shared" si="29"/>
        <v>3.5294117647058823E-2</v>
      </c>
    </row>
    <row r="485" spans="1:10" hidden="1" outlineLevel="1" x14ac:dyDescent="0.2">
      <c r="A485" s="74">
        <v>35</v>
      </c>
      <c r="B485" s="80" t="s">
        <v>253</v>
      </c>
      <c r="C485" s="78">
        <v>1</v>
      </c>
      <c r="D485" s="77">
        <v>2</v>
      </c>
      <c r="E485" s="77">
        <v>3.32</v>
      </c>
      <c r="F485" s="77">
        <v>0.72</v>
      </c>
      <c r="G485" s="78" t="s">
        <v>3</v>
      </c>
      <c r="H485" s="82" t="s">
        <v>35</v>
      </c>
      <c r="I485" s="88"/>
      <c r="J485" s="143">
        <f t="shared" si="29"/>
        <v>0.21686746987951808</v>
      </c>
    </row>
    <row r="486" spans="1:10" hidden="1" outlineLevel="1" x14ac:dyDescent="0.2">
      <c r="A486" s="74">
        <v>36</v>
      </c>
      <c r="B486" s="80" t="s">
        <v>83</v>
      </c>
      <c r="C486" s="78">
        <v>1</v>
      </c>
      <c r="D486" s="77">
        <v>1</v>
      </c>
      <c r="E486" s="77">
        <v>3.41</v>
      </c>
      <c r="F486" s="77">
        <v>1.8</v>
      </c>
      <c r="G486" s="78" t="s">
        <v>3</v>
      </c>
      <c r="H486" s="82" t="s">
        <v>35</v>
      </c>
      <c r="I486" s="88"/>
      <c r="J486" s="143">
        <f t="shared" si="29"/>
        <v>0.52785923753665687</v>
      </c>
    </row>
    <row r="487" spans="1:10" hidden="1" outlineLevel="1" x14ac:dyDescent="0.2">
      <c r="A487" s="74">
        <v>37</v>
      </c>
      <c r="B487" s="80" t="s">
        <v>77</v>
      </c>
      <c r="C487" s="78">
        <v>2</v>
      </c>
      <c r="D487" s="77">
        <v>2</v>
      </c>
      <c r="E487" s="77">
        <v>4.01</v>
      </c>
      <c r="F487" s="77">
        <v>1.29</v>
      </c>
      <c r="G487" s="78" t="s">
        <v>3</v>
      </c>
      <c r="H487" s="82" t="s">
        <v>35</v>
      </c>
      <c r="I487" s="88"/>
      <c r="J487" s="143">
        <f t="shared" si="29"/>
        <v>0.32169576059850374</v>
      </c>
    </row>
    <row r="488" spans="1:10" hidden="1" outlineLevel="1" x14ac:dyDescent="0.2">
      <c r="A488" s="74">
        <v>38</v>
      </c>
      <c r="B488" s="80" t="s">
        <v>294</v>
      </c>
      <c r="C488" s="78">
        <v>1</v>
      </c>
      <c r="D488" s="77">
        <v>2.5</v>
      </c>
      <c r="E488" s="77">
        <v>5</v>
      </c>
      <c r="F488" s="77">
        <v>1.6</v>
      </c>
      <c r="G488" s="78" t="s">
        <v>3</v>
      </c>
      <c r="H488" s="82" t="s">
        <v>35</v>
      </c>
      <c r="I488" s="88"/>
      <c r="J488" s="143">
        <f t="shared" si="29"/>
        <v>0.32</v>
      </c>
    </row>
    <row r="489" spans="1:10" hidden="1" outlineLevel="1" x14ac:dyDescent="0.2">
      <c r="A489" s="74">
        <v>39</v>
      </c>
      <c r="B489" s="80" t="s">
        <v>89</v>
      </c>
      <c r="C489" s="78">
        <v>2</v>
      </c>
      <c r="D489" s="77">
        <v>2</v>
      </c>
      <c r="E489" s="77">
        <v>6.28</v>
      </c>
      <c r="F489" s="77">
        <v>3.15</v>
      </c>
      <c r="G489" s="78" t="s">
        <v>3</v>
      </c>
      <c r="H489" s="82" t="s">
        <v>35</v>
      </c>
      <c r="I489" s="88"/>
      <c r="J489" s="143">
        <f t="shared" si="29"/>
        <v>0.50159235668789803</v>
      </c>
    </row>
    <row r="490" spans="1:10" hidden="1" outlineLevel="1" x14ac:dyDescent="0.2">
      <c r="A490" s="74">
        <v>40</v>
      </c>
      <c r="B490" s="80" t="s">
        <v>342</v>
      </c>
      <c r="C490" s="78">
        <v>3</v>
      </c>
      <c r="D490" s="77">
        <v>3</v>
      </c>
      <c r="E490" s="77">
        <v>8.06</v>
      </c>
      <c r="F490" s="77">
        <v>3.61</v>
      </c>
      <c r="G490" s="78" t="s">
        <v>3</v>
      </c>
      <c r="H490" s="82" t="s">
        <v>35</v>
      </c>
      <c r="I490" s="88"/>
      <c r="J490" s="143">
        <f t="shared" si="29"/>
        <v>0.44789081885856075</v>
      </c>
    </row>
    <row r="491" spans="1:10" hidden="1" outlineLevel="1" x14ac:dyDescent="0.2">
      <c r="A491" s="74">
        <v>41</v>
      </c>
      <c r="B491" s="80" t="s">
        <v>176</v>
      </c>
      <c r="C491" s="78">
        <v>2</v>
      </c>
      <c r="D491" s="77">
        <v>4</v>
      </c>
      <c r="E491" s="77">
        <v>9.27</v>
      </c>
      <c r="F491" s="77">
        <v>3.6</v>
      </c>
      <c r="G491" s="78" t="s">
        <v>3</v>
      </c>
      <c r="H491" s="82" t="s">
        <v>35</v>
      </c>
      <c r="I491" s="88"/>
      <c r="J491" s="143">
        <f t="shared" si="29"/>
        <v>0.38834951456310685</v>
      </c>
    </row>
    <row r="492" spans="1:10" hidden="1" outlineLevel="1" x14ac:dyDescent="0.2">
      <c r="A492" s="74">
        <v>42</v>
      </c>
      <c r="B492" s="80" t="s">
        <v>74</v>
      </c>
      <c r="C492" s="78">
        <v>1</v>
      </c>
      <c r="D492" s="77">
        <v>7</v>
      </c>
      <c r="E492" s="77">
        <v>13.5</v>
      </c>
      <c r="F492" s="77">
        <v>4.07</v>
      </c>
      <c r="G492" s="78" t="s">
        <v>3</v>
      </c>
      <c r="H492" s="82" t="s">
        <v>35</v>
      </c>
      <c r="I492" s="88"/>
      <c r="J492" s="143">
        <f t="shared" si="29"/>
        <v>0.30148148148148152</v>
      </c>
    </row>
    <row r="493" spans="1:10" hidden="1" outlineLevel="1" x14ac:dyDescent="0.2">
      <c r="A493" s="74">
        <v>43</v>
      </c>
      <c r="B493" s="80" t="s">
        <v>171</v>
      </c>
      <c r="C493" s="78">
        <v>1</v>
      </c>
      <c r="D493" s="77">
        <v>2.5</v>
      </c>
      <c r="E493" s="77">
        <v>15.12</v>
      </c>
      <c r="F493" s="77">
        <v>9.9</v>
      </c>
      <c r="G493" s="78" t="s">
        <v>3</v>
      </c>
      <c r="H493" s="82" t="s">
        <v>35</v>
      </c>
      <c r="I493" s="88"/>
      <c r="J493" s="143">
        <f t="shared" si="29"/>
        <v>0.65476190476190477</v>
      </c>
    </row>
    <row r="494" spans="1:10" hidden="1" outlineLevel="1" x14ac:dyDescent="0.2">
      <c r="A494" s="74">
        <v>44</v>
      </c>
      <c r="B494" s="80" t="s">
        <v>338</v>
      </c>
      <c r="C494" s="78">
        <v>2</v>
      </c>
      <c r="D494" s="77">
        <v>4</v>
      </c>
      <c r="E494" s="77">
        <v>15.94</v>
      </c>
      <c r="F494" s="77">
        <v>9.07</v>
      </c>
      <c r="G494" s="78" t="s">
        <v>3</v>
      </c>
      <c r="H494" s="82" t="s">
        <v>35</v>
      </c>
      <c r="I494" s="88"/>
      <c r="J494" s="143">
        <f t="shared" si="29"/>
        <v>0.56900878293601009</v>
      </c>
    </row>
    <row r="495" spans="1:10" hidden="1" outlineLevel="1" x14ac:dyDescent="0.2">
      <c r="A495" s="74">
        <v>45</v>
      </c>
      <c r="B495" s="80" t="s">
        <v>369</v>
      </c>
      <c r="C495" s="78">
        <v>1</v>
      </c>
      <c r="D495" s="77">
        <v>9</v>
      </c>
      <c r="E495" s="77">
        <v>17.989999999999998</v>
      </c>
      <c r="F495" s="77">
        <v>5.75</v>
      </c>
      <c r="G495" s="78" t="s">
        <v>3</v>
      </c>
      <c r="H495" s="82" t="s">
        <v>35</v>
      </c>
      <c r="I495" s="88"/>
      <c r="J495" s="143">
        <f t="shared" si="29"/>
        <v>0.31962201222901615</v>
      </c>
    </row>
    <row r="496" spans="1:10" hidden="1" outlineLevel="1" x14ac:dyDescent="0.2">
      <c r="A496" s="74">
        <v>46</v>
      </c>
      <c r="B496" s="80" t="s">
        <v>80</v>
      </c>
      <c r="C496" s="78">
        <v>1</v>
      </c>
      <c r="D496" s="77">
        <v>3</v>
      </c>
      <c r="E496" s="77">
        <v>21.9</v>
      </c>
      <c r="F496" s="77">
        <v>14.96</v>
      </c>
      <c r="G496" s="78" t="s">
        <v>3</v>
      </c>
      <c r="H496" s="82" t="s">
        <v>35</v>
      </c>
      <c r="I496" s="88"/>
      <c r="J496" s="143">
        <f t="shared" si="29"/>
        <v>0.68310502283105035</v>
      </c>
    </row>
    <row r="497" spans="1:10" hidden="1" outlineLevel="1" x14ac:dyDescent="0.2">
      <c r="A497" s="74">
        <v>47</v>
      </c>
      <c r="B497" s="80" t="s">
        <v>370</v>
      </c>
      <c r="C497" s="78">
        <v>1</v>
      </c>
      <c r="D497" s="77">
        <v>12</v>
      </c>
      <c r="E497" s="77">
        <v>27.11</v>
      </c>
      <c r="F497" s="77">
        <v>10.23</v>
      </c>
      <c r="G497" s="78" t="s">
        <v>3</v>
      </c>
      <c r="H497" s="82" t="s">
        <v>35</v>
      </c>
      <c r="I497" s="88"/>
      <c r="J497" s="143">
        <f t="shared" si="29"/>
        <v>0.37735153080044265</v>
      </c>
    </row>
    <row r="498" spans="1:10" hidden="1" outlineLevel="1" x14ac:dyDescent="0.2">
      <c r="A498" s="74">
        <v>48</v>
      </c>
      <c r="B498" s="80" t="s">
        <v>65</v>
      </c>
      <c r="C498" s="78">
        <v>12</v>
      </c>
      <c r="D498" s="77">
        <v>8.3999999999999986</v>
      </c>
      <c r="E498" s="77">
        <v>30</v>
      </c>
      <c r="F498" s="77">
        <v>16.2</v>
      </c>
      <c r="G498" s="78" t="s">
        <v>3</v>
      </c>
      <c r="H498" s="82" t="s">
        <v>35</v>
      </c>
      <c r="I498" s="88"/>
      <c r="J498" s="143">
        <f t="shared" si="29"/>
        <v>0.53999999999999992</v>
      </c>
    </row>
    <row r="499" spans="1:10" hidden="1" outlineLevel="1" x14ac:dyDescent="0.2">
      <c r="A499" s="74">
        <v>49</v>
      </c>
      <c r="B499" s="80" t="s">
        <v>371</v>
      </c>
      <c r="C499" s="78">
        <v>1</v>
      </c>
      <c r="D499" s="77">
        <v>13</v>
      </c>
      <c r="E499" s="77">
        <v>33.64</v>
      </c>
      <c r="F499" s="77">
        <v>14.58</v>
      </c>
      <c r="G499" s="78" t="s">
        <v>3</v>
      </c>
      <c r="H499" s="82" t="s">
        <v>35</v>
      </c>
      <c r="I499" s="88"/>
      <c r="J499" s="143">
        <f t="shared" si="29"/>
        <v>0.43341260404280618</v>
      </c>
    </row>
    <row r="500" spans="1:10" hidden="1" outlineLevel="1" x14ac:dyDescent="0.2">
      <c r="A500" s="74">
        <v>50</v>
      </c>
      <c r="B500" s="80" t="s">
        <v>372</v>
      </c>
      <c r="C500" s="78">
        <v>1</v>
      </c>
      <c r="D500" s="77">
        <v>15</v>
      </c>
      <c r="E500" s="77">
        <v>35.99</v>
      </c>
      <c r="F500" s="77">
        <v>14.51</v>
      </c>
      <c r="G500" s="78" t="s">
        <v>3</v>
      </c>
      <c r="H500" s="82" t="s">
        <v>35</v>
      </c>
      <c r="I500" s="88"/>
      <c r="J500" s="143">
        <f t="shared" si="29"/>
        <v>0.40316754654070575</v>
      </c>
    </row>
    <row r="501" spans="1:10" hidden="1" outlineLevel="1" x14ac:dyDescent="0.2">
      <c r="A501" s="74">
        <v>51</v>
      </c>
      <c r="B501" s="80" t="s">
        <v>373</v>
      </c>
      <c r="C501" s="78">
        <v>1</v>
      </c>
      <c r="D501" s="77">
        <v>15</v>
      </c>
      <c r="E501" s="77">
        <v>39.43</v>
      </c>
      <c r="F501" s="77">
        <v>17.329999999999998</v>
      </c>
      <c r="G501" s="78" t="s">
        <v>3</v>
      </c>
      <c r="H501" s="82" t="s">
        <v>35</v>
      </c>
      <c r="I501" s="88"/>
      <c r="J501" s="143">
        <f t="shared" si="29"/>
        <v>0.43951306112097382</v>
      </c>
    </row>
    <row r="502" spans="1:10" hidden="1" outlineLevel="1" x14ac:dyDescent="0.2">
      <c r="A502" s="74">
        <v>52</v>
      </c>
      <c r="B502" s="80" t="s">
        <v>374</v>
      </c>
      <c r="C502" s="78">
        <v>2</v>
      </c>
      <c r="D502" s="77">
        <v>20</v>
      </c>
      <c r="E502" s="77">
        <v>39.6</v>
      </c>
      <c r="F502" s="77">
        <v>12.47</v>
      </c>
      <c r="G502" s="78" t="s">
        <v>3</v>
      </c>
      <c r="H502" s="82" t="s">
        <v>35</v>
      </c>
      <c r="I502" s="88"/>
      <c r="J502" s="143">
        <f t="shared" si="29"/>
        <v>0.3148989898989899</v>
      </c>
    </row>
    <row r="503" spans="1:10" hidden="1" outlineLevel="1" x14ac:dyDescent="0.2">
      <c r="A503" s="74">
        <v>53</v>
      </c>
      <c r="B503" s="80" t="s">
        <v>375</v>
      </c>
      <c r="C503" s="78">
        <v>1</v>
      </c>
      <c r="D503" s="77">
        <v>20</v>
      </c>
      <c r="E503" s="77">
        <v>40.97</v>
      </c>
      <c r="F503" s="77">
        <v>13.6</v>
      </c>
      <c r="G503" s="78" t="s">
        <v>3</v>
      </c>
      <c r="H503" s="82" t="s">
        <v>35</v>
      </c>
      <c r="I503" s="88"/>
      <c r="J503" s="143">
        <f t="shared" si="29"/>
        <v>0.33195020746887965</v>
      </c>
    </row>
    <row r="504" spans="1:10" hidden="1" outlineLevel="1" x14ac:dyDescent="0.2">
      <c r="A504" s="74">
        <v>54</v>
      </c>
      <c r="B504" s="80" t="s">
        <v>376</v>
      </c>
      <c r="C504" s="78">
        <v>1</v>
      </c>
      <c r="D504" s="77">
        <v>15</v>
      </c>
      <c r="E504" s="77">
        <v>44.22</v>
      </c>
      <c r="F504" s="77">
        <v>21.26</v>
      </c>
      <c r="G504" s="78" t="s">
        <v>3</v>
      </c>
      <c r="H504" s="82" t="s">
        <v>35</v>
      </c>
      <c r="I504" s="88"/>
      <c r="J504" s="143">
        <f t="shared" si="29"/>
        <v>0.4807779285391226</v>
      </c>
    </row>
    <row r="505" spans="1:10" hidden="1" outlineLevel="1" x14ac:dyDescent="0.2">
      <c r="A505" s="74">
        <v>55</v>
      </c>
      <c r="B505" s="80" t="s">
        <v>377</v>
      </c>
      <c r="C505" s="78">
        <v>1</v>
      </c>
      <c r="D505" s="77">
        <v>23</v>
      </c>
      <c r="E505" s="77">
        <v>45.77</v>
      </c>
      <c r="F505" s="77">
        <v>14.53</v>
      </c>
      <c r="G505" s="78" t="s">
        <v>3</v>
      </c>
      <c r="H505" s="82" t="s">
        <v>35</v>
      </c>
      <c r="I505" s="88"/>
      <c r="J505" s="143">
        <f t="shared" si="29"/>
        <v>0.31745684946471486</v>
      </c>
    </row>
    <row r="506" spans="1:10" hidden="1" outlineLevel="1" x14ac:dyDescent="0.2">
      <c r="A506" s="74">
        <v>56</v>
      </c>
      <c r="B506" s="80" t="s">
        <v>287</v>
      </c>
      <c r="C506" s="78">
        <v>4</v>
      </c>
      <c r="D506" s="77">
        <v>8</v>
      </c>
      <c r="E506" s="77">
        <v>47.17</v>
      </c>
      <c r="F506" s="77">
        <v>30.68</v>
      </c>
      <c r="G506" s="78" t="s">
        <v>3</v>
      </c>
      <c r="H506" s="82" t="s">
        <v>35</v>
      </c>
      <c r="I506" s="88"/>
      <c r="J506" s="143">
        <f t="shared" si="29"/>
        <v>0.65041339834640655</v>
      </c>
    </row>
    <row r="507" spans="1:10" hidden="1" outlineLevel="1" x14ac:dyDescent="0.2">
      <c r="A507" s="74">
        <v>57</v>
      </c>
      <c r="B507" s="80" t="s">
        <v>378</v>
      </c>
      <c r="C507" s="78">
        <v>1</v>
      </c>
      <c r="D507" s="77">
        <v>20</v>
      </c>
      <c r="E507" s="77">
        <v>48</v>
      </c>
      <c r="F507" s="77">
        <v>19.36</v>
      </c>
      <c r="G507" s="78" t="s">
        <v>3</v>
      </c>
      <c r="H507" s="82" t="s">
        <v>35</v>
      </c>
      <c r="I507" s="88"/>
      <c r="J507" s="143">
        <f t="shared" si="29"/>
        <v>0.40333333333333332</v>
      </c>
    </row>
    <row r="508" spans="1:10" hidden="1" outlineLevel="1" x14ac:dyDescent="0.2">
      <c r="A508" s="74">
        <v>58</v>
      </c>
      <c r="B508" s="80" t="s">
        <v>379</v>
      </c>
      <c r="C508" s="78">
        <v>2</v>
      </c>
      <c r="D508" s="77">
        <v>36</v>
      </c>
      <c r="E508" s="77">
        <v>70.39</v>
      </c>
      <c r="F508" s="77">
        <v>21.72</v>
      </c>
      <c r="G508" s="78" t="s">
        <v>3</v>
      </c>
      <c r="H508" s="82" t="s">
        <v>35</v>
      </c>
      <c r="I508" s="88"/>
      <c r="J508" s="143">
        <f t="shared" si="29"/>
        <v>0.30856655774968034</v>
      </c>
    </row>
    <row r="509" spans="1:10" hidden="1" outlineLevel="1" x14ac:dyDescent="0.2">
      <c r="A509" s="74">
        <v>59</v>
      </c>
      <c r="B509" s="80" t="s">
        <v>291</v>
      </c>
      <c r="C509" s="78">
        <v>4</v>
      </c>
      <c r="D509" s="77">
        <v>22</v>
      </c>
      <c r="E509" s="77">
        <v>79.22</v>
      </c>
      <c r="F509" s="77">
        <v>42.96</v>
      </c>
      <c r="G509" s="78" t="s">
        <v>3</v>
      </c>
      <c r="H509" s="82" t="s">
        <v>35</v>
      </c>
      <c r="I509" s="88"/>
      <c r="J509" s="143">
        <f t="shared" si="29"/>
        <v>0.54228730118656909</v>
      </c>
    </row>
    <row r="510" spans="1:10" hidden="1" outlineLevel="1" x14ac:dyDescent="0.2">
      <c r="A510" s="74">
        <v>60</v>
      </c>
      <c r="B510" s="80" t="s">
        <v>289</v>
      </c>
      <c r="C510" s="78">
        <v>4</v>
      </c>
      <c r="D510" s="77">
        <v>42</v>
      </c>
      <c r="E510" s="77">
        <v>113.81</v>
      </c>
      <c r="F510" s="77">
        <v>51.32</v>
      </c>
      <c r="G510" s="78" t="s">
        <v>3</v>
      </c>
      <c r="H510" s="82" t="s">
        <v>35</v>
      </c>
      <c r="I510" s="88"/>
      <c r="J510" s="143">
        <f t="shared" si="29"/>
        <v>0.45092698356910638</v>
      </c>
    </row>
    <row r="511" spans="1:10" hidden="1" outlineLevel="1" x14ac:dyDescent="0.2">
      <c r="A511" s="74">
        <v>61</v>
      </c>
      <c r="B511" s="80" t="s">
        <v>286</v>
      </c>
      <c r="C511" s="78">
        <v>4</v>
      </c>
      <c r="D511" s="77">
        <v>52</v>
      </c>
      <c r="E511" s="77">
        <v>115.36</v>
      </c>
      <c r="F511" s="77">
        <v>42.6</v>
      </c>
      <c r="G511" s="78" t="s">
        <v>3</v>
      </c>
      <c r="H511" s="82" t="s">
        <v>35</v>
      </c>
      <c r="I511" s="88"/>
      <c r="J511" s="143">
        <f t="shared" si="29"/>
        <v>0.36927877947295423</v>
      </c>
    </row>
    <row r="512" spans="1:10" hidden="1" outlineLevel="1" x14ac:dyDescent="0.2">
      <c r="A512" s="74">
        <v>62</v>
      </c>
      <c r="B512" s="80" t="s">
        <v>380</v>
      </c>
      <c r="C512" s="78">
        <v>1</v>
      </c>
      <c r="D512" s="77">
        <v>60</v>
      </c>
      <c r="E512" s="77">
        <v>152.06</v>
      </c>
      <c r="F512" s="77">
        <v>64.69</v>
      </c>
      <c r="G512" s="78" t="s">
        <v>3</v>
      </c>
      <c r="H512" s="82" t="s">
        <v>35</v>
      </c>
      <c r="I512" s="88"/>
      <c r="J512" s="143">
        <f t="shared" si="29"/>
        <v>0.42542417466789423</v>
      </c>
    </row>
    <row r="513" spans="1:10" hidden="1" outlineLevel="1" x14ac:dyDescent="0.2">
      <c r="A513" s="74">
        <v>63</v>
      </c>
      <c r="B513" s="80" t="s">
        <v>103</v>
      </c>
      <c r="C513" s="78">
        <v>9</v>
      </c>
      <c r="D513" s="77">
        <v>72</v>
      </c>
      <c r="E513" s="77">
        <v>176.39</v>
      </c>
      <c r="F513" s="77">
        <v>72.64</v>
      </c>
      <c r="G513" s="78" t="s">
        <v>3</v>
      </c>
      <c r="H513" s="82" t="s">
        <v>35</v>
      </c>
      <c r="I513" s="88"/>
      <c r="J513" s="143">
        <f t="shared" si="29"/>
        <v>0.4118147287261183</v>
      </c>
    </row>
    <row r="514" spans="1:10" hidden="1" outlineLevel="1" x14ac:dyDescent="0.2">
      <c r="A514" s="74">
        <v>64</v>
      </c>
      <c r="B514" s="80" t="s">
        <v>101</v>
      </c>
      <c r="C514" s="78">
        <v>14</v>
      </c>
      <c r="D514" s="77">
        <v>77</v>
      </c>
      <c r="E514" s="77">
        <v>189.2</v>
      </c>
      <c r="F514" s="77">
        <v>78.14</v>
      </c>
      <c r="G514" s="78" t="s">
        <v>3</v>
      </c>
      <c r="H514" s="82" t="s">
        <v>35</v>
      </c>
      <c r="I514" s="88"/>
      <c r="J514" s="143">
        <f t="shared" ref="J514:J577" si="31">F514/E514</f>
        <v>0.4130021141649049</v>
      </c>
    </row>
    <row r="515" spans="1:10" hidden="1" outlineLevel="1" x14ac:dyDescent="0.2">
      <c r="A515" s="74">
        <v>65</v>
      </c>
      <c r="B515" s="80" t="s">
        <v>381</v>
      </c>
      <c r="C515" s="78">
        <v>8</v>
      </c>
      <c r="D515" s="77">
        <v>240</v>
      </c>
      <c r="E515" s="77">
        <v>407.9</v>
      </c>
      <c r="F515" s="77">
        <v>94.48</v>
      </c>
      <c r="G515" s="78" t="s">
        <v>3</v>
      </c>
      <c r="H515" s="82" t="s">
        <v>35</v>
      </c>
      <c r="I515" s="88"/>
      <c r="J515" s="143">
        <f t="shared" si="31"/>
        <v>0.23162539838195639</v>
      </c>
    </row>
    <row r="516" spans="1:10" hidden="1" outlineLevel="1" x14ac:dyDescent="0.2">
      <c r="A516" s="74">
        <v>66</v>
      </c>
      <c r="B516" s="80" t="s">
        <v>222</v>
      </c>
      <c r="C516" s="78">
        <v>15</v>
      </c>
      <c r="D516" s="77">
        <v>600</v>
      </c>
      <c r="E516" s="77">
        <v>1122.8</v>
      </c>
      <c r="F516" s="77">
        <v>320.7</v>
      </c>
      <c r="G516" s="78" t="s">
        <v>3</v>
      </c>
      <c r="H516" s="82" t="s">
        <v>35</v>
      </c>
      <c r="I516" s="88"/>
      <c r="J516" s="143">
        <f t="shared" si="31"/>
        <v>0.28562522265764162</v>
      </c>
    </row>
    <row r="517" spans="1:10" hidden="1" outlineLevel="1" x14ac:dyDescent="0.2">
      <c r="A517" s="74">
        <v>67</v>
      </c>
      <c r="B517" s="80" t="s">
        <v>222</v>
      </c>
      <c r="C517" s="78">
        <v>3</v>
      </c>
      <c r="D517" s="77">
        <v>40</v>
      </c>
      <c r="E517" s="77">
        <f>120-(120*0.18)</f>
        <v>98.4</v>
      </c>
      <c r="F517" s="77">
        <f>E517-D517</f>
        <v>58.400000000000006</v>
      </c>
      <c r="G517" s="78" t="s">
        <v>3</v>
      </c>
      <c r="H517" s="82" t="s">
        <v>35</v>
      </c>
      <c r="I517" s="88"/>
      <c r="J517" s="143">
        <f t="shared" si="31"/>
        <v>0.5934959349593496</v>
      </c>
    </row>
    <row r="518" spans="1:10" ht="14.25" hidden="1" customHeight="1" outlineLevel="1" x14ac:dyDescent="0.2">
      <c r="A518" s="74">
        <v>68</v>
      </c>
      <c r="B518" s="80"/>
      <c r="C518" s="78"/>
      <c r="D518" s="77"/>
      <c r="E518" s="77"/>
      <c r="F518" s="77"/>
      <c r="G518" s="78"/>
      <c r="H518" s="82"/>
      <c r="I518" s="88"/>
      <c r="J518" s="143" t="e">
        <f t="shared" si="31"/>
        <v>#DIV/0!</v>
      </c>
    </row>
    <row r="519" spans="1:10" ht="15.75" customHeight="1" collapsed="1" x14ac:dyDescent="0.2">
      <c r="A519" s="156" t="s">
        <v>14</v>
      </c>
      <c r="B519" s="156"/>
      <c r="C519" s="157"/>
      <c r="D519" s="94">
        <f>SUM(D520:D593)</f>
        <v>3664.4</v>
      </c>
      <c r="E519" s="94">
        <f>SUM(E520:E593)</f>
        <v>7412.8700000000008</v>
      </c>
      <c r="F519" s="94">
        <f>SUM(F520:F593)</f>
        <v>3289.1154000000006</v>
      </c>
      <c r="G519" s="68">
        <f>I519+H519</f>
        <v>173</v>
      </c>
      <c r="H519" s="68">
        <f>COUNTIF(H520:H577,"BSB")</f>
        <v>31</v>
      </c>
      <c r="I519" s="68">
        <f>SUM(C520:C592)</f>
        <v>142</v>
      </c>
      <c r="J519" s="143">
        <f t="shared" si="31"/>
        <v>0.44370336994983051</v>
      </c>
    </row>
    <row r="520" spans="1:10" hidden="1" outlineLevel="1" x14ac:dyDescent="0.2">
      <c r="A520" s="74">
        <v>1</v>
      </c>
      <c r="B520" s="80" t="s">
        <v>382</v>
      </c>
      <c r="C520" s="78"/>
      <c r="D520" s="77">
        <v>15</v>
      </c>
      <c r="E520" s="77">
        <v>30</v>
      </c>
      <c r="F520" s="77">
        <f>E520-D520</f>
        <v>15</v>
      </c>
      <c r="G520" s="78" t="s">
        <v>383</v>
      </c>
      <c r="H520" s="82" t="s">
        <v>43</v>
      </c>
      <c r="I520" s="88"/>
      <c r="J520" s="143">
        <f t="shared" si="31"/>
        <v>0.5</v>
      </c>
    </row>
    <row r="521" spans="1:10" hidden="1" outlineLevel="1" x14ac:dyDescent="0.2">
      <c r="A521" s="74">
        <v>2</v>
      </c>
      <c r="B521" s="80" t="s">
        <v>279</v>
      </c>
      <c r="C521" s="78"/>
      <c r="D521" s="77">
        <v>7.5</v>
      </c>
      <c r="E521" s="77">
        <v>15</v>
      </c>
      <c r="F521" s="77">
        <f>E521-D521</f>
        <v>7.5</v>
      </c>
      <c r="G521" s="78" t="s">
        <v>383</v>
      </c>
      <c r="H521" s="82" t="s">
        <v>43</v>
      </c>
      <c r="I521" s="88"/>
      <c r="J521" s="143">
        <f t="shared" si="31"/>
        <v>0.5</v>
      </c>
    </row>
    <row r="522" spans="1:10" hidden="1" outlineLevel="1" x14ac:dyDescent="0.2">
      <c r="A522" s="74">
        <v>3</v>
      </c>
      <c r="B522" s="80" t="s">
        <v>282</v>
      </c>
      <c r="C522" s="78"/>
      <c r="D522" s="77">
        <v>60</v>
      </c>
      <c r="E522" s="77">
        <v>120</v>
      </c>
      <c r="F522" s="77">
        <f t="shared" ref="F522:F550" si="32">E522-D522</f>
        <v>60</v>
      </c>
      <c r="G522" s="78" t="s">
        <v>3</v>
      </c>
      <c r="H522" s="82" t="s">
        <v>43</v>
      </c>
      <c r="I522" s="88"/>
      <c r="J522" s="143">
        <f t="shared" si="31"/>
        <v>0.5</v>
      </c>
    </row>
    <row r="523" spans="1:10" hidden="1" outlineLevel="1" x14ac:dyDescent="0.2">
      <c r="A523" s="74">
        <v>4</v>
      </c>
      <c r="B523" s="80" t="s">
        <v>384</v>
      </c>
      <c r="C523" s="78"/>
      <c r="D523" s="77">
        <v>40</v>
      </c>
      <c r="E523" s="77">
        <v>80</v>
      </c>
      <c r="F523" s="77">
        <f t="shared" si="32"/>
        <v>40</v>
      </c>
      <c r="G523" s="78" t="s">
        <v>3</v>
      </c>
      <c r="H523" s="82" t="s">
        <v>43</v>
      </c>
      <c r="I523" s="88"/>
      <c r="J523" s="143">
        <f t="shared" si="31"/>
        <v>0.5</v>
      </c>
    </row>
    <row r="524" spans="1:10" hidden="1" outlineLevel="1" x14ac:dyDescent="0.2">
      <c r="A524" s="74">
        <v>5</v>
      </c>
      <c r="B524" s="80" t="s">
        <v>360</v>
      </c>
      <c r="C524" s="78"/>
      <c r="D524" s="77">
        <v>17</v>
      </c>
      <c r="E524" s="77">
        <v>40</v>
      </c>
      <c r="F524" s="77">
        <f t="shared" si="32"/>
        <v>23</v>
      </c>
      <c r="G524" s="78" t="s">
        <v>3</v>
      </c>
      <c r="H524" s="82" t="s">
        <v>43</v>
      </c>
      <c r="I524" s="88"/>
      <c r="J524" s="143">
        <f t="shared" si="31"/>
        <v>0.57499999999999996</v>
      </c>
    </row>
    <row r="525" spans="1:10" hidden="1" outlineLevel="1" x14ac:dyDescent="0.2">
      <c r="A525" s="74">
        <v>6</v>
      </c>
      <c r="B525" s="80" t="s">
        <v>282</v>
      </c>
      <c r="C525" s="78"/>
      <c r="D525" s="77">
        <v>60</v>
      </c>
      <c r="E525" s="77">
        <v>130</v>
      </c>
      <c r="F525" s="77">
        <f t="shared" si="32"/>
        <v>70</v>
      </c>
      <c r="G525" s="78" t="s">
        <v>3</v>
      </c>
      <c r="H525" s="82" t="s">
        <v>43</v>
      </c>
      <c r="I525" s="88"/>
      <c r="J525" s="143">
        <f t="shared" si="31"/>
        <v>0.53846153846153844</v>
      </c>
    </row>
    <row r="526" spans="1:10" hidden="1" outlineLevel="1" x14ac:dyDescent="0.2">
      <c r="A526" s="74">
        <v>7</v>
      </c>
      <c r="B526" s="80" t="s">
        <v>50</v>
      </c>
      <c r="C526" s="78"/>
      <c r="D526" s="77">
        <v>130</v>
      </c>
      <c r="E526" s="77">
        <v>200</v>
      </c>
      <c r="F526" s="77">
        <f t="shared" si="32"/>
        <v>70</v>
      </c>
      <c r="G526" s="78" t="s">
        <v>3</v>
      </c>
      <c r="H526" s="82" t="s">
        <v>43</v>
      </c>
      <c r="I526" s="88"/>
      <c r="J526" s="143">
        <f t="shared" si="31"/>
        <v>0.35</v>
      </c>
    </row>
    <row r="527" spans="1:10" hidden="1" outlineLevel="1" x14ac:dyDescent="0.2">
      <c r="A527" s="74">
        <v>8</v>
      </c>
      <c r="B527" s="80" t="s">
        <v>385</v>
      </c>
      <c r="C527" s="78"/>
      <c r="D527" s="77">
        <v>15</v>
      </c>
      <c r="E527" s="77">
        <v>30</v>
      </c>
      <c r="F527" s="77">
        <f t="shared" si="32"/>
        <v>15</v>
      </c>
      <c r="G527" s="78" t="s">
        <v>3</v>
      </c>
      <c r="H527" s="82" t="s">
        <v>43</v>
      </c>
      <c r="I527" s="88"/>
      <c r="J527" s="143">
        <f t="shared" si="31"/>
        <v>0.5</v>
      </c>
    </row>
    <row r="528" spans="1:10" hidden="1" outlineLevel="1" x14ac:dyDescent="0.2">
      <c r="A528" s="74">
        <v>9</v>
      </c>
      <c r="B528" s="80" t="s">
        <v>385</v>
      </c>
      <c r="C528" s="78"/>
      <c r="D528" s="77">
        <v>15</v>
      </c>
      <c r="E528" s="77">
        <v>30</v>
      </c>
      <c r="F528" s="77">
        <f>E528-D528</f>
        <v>15</v>
      </c>
      <c r="G528" s="78" t="s">
        <v>3</v>
      </c>
      <c r="H528" s="82" t="s">
        <v>43</v>
      </c>
      <c r="I528" s="88"/>
      <c r="J528" s="143">
        <f t="shared" si="31"/>
        <v>0.5</v>
      </c>
    </row>
    <row r="529" spans="1:10" hidden="1" outlineLevel="1" x14ac:dyDescent="0.2">
      <c r="A529" s="74">
        <v>10</v>
      </c>
      <c r="B529" s="80" t="s">
        <v>386</v>
      </c>
      <c r="C529" s="78"/>
      <c r="D529" s="77">
        <v>5.5</v>
      </c>
      <c r="E529" s="77">
        <v>10</v>
      </c>
      <c r="F529" s="77">
        <f t="shared" si="32"/>
        <v>4.5</v>
      </c>
      <c r="G529" s="78" t="s">
        <v>3</v>
      </c>
      <c r="H529" s="82" t="s">
        <v>43</v>
      </c>
      <c r="I529" s="88"/>
      <c r="J529" s="143">
        <f t="shared" si="31"/>
        <v>0.45</v>
      </c>
    </row>
    <row r="530" spans="1:10" hidden="1" outlineLevel="1" x14ac:dyDescent="0.2">
      <c r="A530" s="74">
        <v>11</v>
      </c>
      <c r="B530" s="80" t="s">
        <v>386</v>
      </c>
      <c r="C530" s="78"/>
      <c r="D530" s="77">
        <v>5.5</v>
      </c>
      <c r="E530" s="77">
        <v>10</v>
      </c>
      <c r="F530" s="77">
        <f>E530-D530</f>
        <v>4.5</v>
      </c>
      <c r="G530" s="78" t="s">
        <v>3</v>
      </c>
      <c r="H530" s="82" t="s">
        <v>43</v>
      </c>
      <c r="I530" s="88"/>
      <c r="J530" s="143">
        <f t="shared" si="31"/>
        <v>0.45</v>
      </c>
    </row>
    <row r="531" spans="1:10" hidden="1" outlineLevel="1" x14ac:dyDescent="0.2">
      <c r="A531" s="74">
        <v>12</v>
      </c>
      <c r="B531" s="80" t="s">
        <v>387</v>
      </c>
      <c r="C531" s="78"/>
      <c r="D531" s="77">
        <v>50</v>
      </c>
      <c r="E531" s="77">
        <v>85</v>
      </c>
      <c r="F531" s="77">
        <f t="shared" si="32"/>
        <v>35</v>
      </c>
      <c r="G531" s="78" t="s">
        <v>3</v>
      </c>
      <c r="H531" s="82" t="s">
        <v>43</v>
      </c>
      <c r="I531" s="88"/>
      <c r="J531" s="143">
        <f t="shared" si="31"/>
        <v>0.41176470588235292</v>
      </c>
    </row>
    <row r="532" spans="1:10" hidden="1" outlineLevel="1" x14ac:dyDescent="0.2">
      <c r="A532" s="74">
        <v>13</v>
      </c>
      <c r="B532" s="80" t="s">
        <v>387</v>
      </c>
      <c r="C532" s="78"/>
      <c r="D532" s="77">
        <v>50</v>
      </c>
      <c r="E532" s="77">
        <v>85</v>
      </c>
      <c r="F532" s="77">
        <f>E532-D532</f>
        <v>35</v>
      </c>
      <c r="G532" s="78" t="s">
        <v>3</v>
      </c>
      <c r="H532" s="82" t="s">
        <v>43</v>
      </c>
      <c r="I532" s="88"/>
      <c r="J532" s="143">
        <f t="shared" si="31"/>
        <v>0.41176470588235292</v>
      </c>
    </row>
    <row r="533" spans="1:10" hidden="1" outlineLevel="1" x14ac:dyDescent="0.2">
      <c r="A533" s="74">
        <v>14</v>
      </c>
      <c r="B533" s="80" t="s">
        <v>388</v>
      </c>
      <c r="C533" s="78"/>
      <c r="D533" s="77"/>
      <c r="E533" s="77">
        <v>80</v>
      </c>
      <c r="F533" s="77">
        <f t="shared" si="32"/>
        <v>80</v>
      </c>
      <c r="G533" s="78" t="s">
        <v>3</v>
      </c>
      <c r="H533" s="82" t="s">
        <v>43</v>
      </c>
      <c r="I533" s="88"/>
      <c r="J533" s="143">
        <f t="shared" si="31"/>
        <v>1</v>
      </c>
    </row>
    <row r="534" spans="1:10" hidden="1" outlineLevel="1" x14ac:dyDescent="0.2">
      <c r="A534" s="74">
        <v>15</v>
      </c>
      <c r="B534" s="80" t="s">
        <v>389</v>
      </c>
      <c r="C534" s="78"/>
      <c r="D534" s="77">
        <v>30</v>
      </c>
      <c r="E534" s="77">
        <v>55</v>
      </c>
      <c r="F534" s="77">
        <f t="shared" si="32"/>
        <v>25</v>
      </c>
      <c r="G534" s="78" t="s">
        <v>3</v>
      </c>
      <c r="H534" s="82" t="s">
        <v>43</v>
      </c>
      <c r="I534" s="88"/>
      <c r="J534" s="143">
        <f t="shared" si="31"/>
        <v>0.45454545454545453</v>
      </c>
    </row>
    <row r="535" spans="1:10" hidden="1" outlineLevel="1" x14ac:dyDescent="0.2">
      <c r="A535" s="74">
        <v>16</v>
      </c>
      <c r="B535" s="80" t="s">
        <v>389</v>
      </c>
      <c r="C535" s="78"/>
      <c r="D535" s="77">
        <v>30</v>
      </c>
      <c r="E535" s="77">
        <v>55</v>
      </c>
      <c r="F535" s="77">
        <f>E535-D535</f>
        <v>25</v>
      </c>
      <c r="G535" s="78" t="s">
        <v>3</v>
      </c>
      <c r="H535" s="82" t="s">
        <v>43</v>
      </c>
      <c r="I535" s="88"/>
      <c r="J535" s="143">
        <f t="shared" si="31"/>
        <v>0.45454545454545453</v>
      </c>
    </row>
    <row r="536" spans="1:10" hidden="1" outlineLevel="1" x14ac:dyDescent="0.2">
      <c r="A536" s="74">
        <v>17</v>
      </c>
      <c r="B536" s="80" t="s">
        <v>282</v>
      </c>
      <c r="C536" s="78"/>
      <c r="D536" s="77">
        <v>60</v>
      </c>
      <c r="E536" s="77">
        <v>100</v>
      </c>
      <c r="F536" s="77">
        <f t="shared" si="32"/>
        <v>40</v>
      </c>
      <c r="G536" s="78" t="s">
        <v>3</v>
      </c>
      <c r="H536" s="82" t="s">
        <v>43</v>
      </c>
      <c r="I536" s="88"/>
      <c r="J536" s="143">
        <f t="shared" si="31"/>
        <v>0.4</v>
      </c>
    </row>
    <row r="537" spans="1:10" hidden="1" outlineLevel="1" x14ac:dyDescent="0.2">
      <c r="A537" s="74">
        <v>18</v>
      </c>
      <c r="B537" s="80" t="s">
        <v>282</v>
      </c>
      <c r="C537" s="78"/>
      <c r="D537" s="77">
        <v>60</v>
      </c>
      <c r="E537" s="77">
        <v>105</v>
      </c>
      <c r="F537" s="77">
        <f>E537-D537</f>
        <v>45</v>
      </c>
      <c r="G537" s="78" t="s">
        <v>3</v>
      </c>
      <c r="H537" s="82" t="s">
        <v>43</v>
      </c>
      <c r="I537" s="88"/>
      <c r="J537" s="143">
        <f t="shared" si="31"/>
        <v>0.42857142857142855</v>
      </c>
    </row>
    <row r="538" spans="1:10" hidden="1" outlineLevel="1" x14ac:dyDescent="0.2">
      <c r="A538" s="74">
        <v>19</v>
      </c>
      <c r="B538" s="80" t="s">
        <v>282</v>
      </c>
      <c r="C538" s="78"/>
      <c r="D538" s="77">
        <v>60</v>
      </c>
      <c r="E538" s="77">
        <v>105</v>
      </c>
      <c r="F538" s="77">
        <f>E538-D538</f>
        <v>45</v>
      </c>
      <c r="G538" s="78" t="s">
        <v>3</v>
      </c>
      <c r="H538" s="82" t="s">
        <v>43</v>
      </c>
      <c r="I538" s="88"/>
      <c r="J538" s="143">
        <f t="shared" si="31"/>
        <v>0.42857142857142855</v>
      </c>
    </row>
    <row r="539" spans="1:10" hidden="1" outlineLevel="1" x14ac:dyDescent="0.2">
      <c r="A539" s="74">
        <v>20</v>
      </c>
      <c r="B539" s="80" t="s">
        <v>390</v>
      </c>
      <c r="C539" s="78"/>
      <c r="D539" s="77">
        <v>50</v>
      </c>
      <c r="E539" s="77">
        <v>80</v>
      </c>
      <c r="F539" s="77">
        <f t="shared" si="32"/>
        <v>30</v>
      </c>
      <c r="G539" s="78" t="s">
        <v>3</v>
      </c>
      <c r="H539" s="82" t="s">
        <v>43</v>
      </c>
      <c r="I539" s="88"/>
      <c r="J539" s="143">
        <f t="shared" si="31"/>
        <v>0.375</v>
      </c>
    </row>
    <row r="540" spans="1:10" hidden="1" outlineLevel="1" x14ac:dyDescent="0.2">
      <c r="A540" s="74">
        <v>21</v>
      </c>
      <c r="B540" s="80" t="s">
        <v>391</v>
      </c>
      <c r="C540" s="78"/>
      <c r="D540" s="77">
        <v>17</v>
      </c>
      <c r="E540" s="77">
        <v>30</v>
      </c>
      <c r="F540" s="77">
        <f t="shared" si="32"/>
        <v>13</v>
      </c>
      <c r="G540" s="78" t="s">
        <v>3</v>
      </c>
      <c r="H540" s="82" t="s">
        <v>43</v>
      </c>
      <c r="I540" s="88"/>
      <c r="J540" s="143">
        <f t="shared" si="31"/>
        <v>0.43333333333333335</v>
      </c>
    </row>
    <row r="541" spans="1:10" hidden="1" outlineLevel="1" x14ac:dyDescent="0.2">
      <c r="A541" s="74">
        <v>22</v>
      </c>
      <c r="B541" s="80" t="s">
        <v>392</v>
      </c>
      <c r="C541" s="78"/>
      <c r="D541" s="77">
        <v>0</v>
      </c>
      <c r="E541" s="77">
        <v>200</v>
      </c>
      <c r="F541" s="77">
        <f t="shared" si="32"/>
        <v>200</v>
      </c>
      <c r="G541" s="78" t="s">
        <v>3</v>
      </c>
      <c r="H541" s="82" t="s">
        <v>43</v>
      </c>
      <c r="I541" s="88"/>
      <c r="J541" s="143">
        <f t="shared" si="31"/>
        <v>1</v>
      </c>
    </row>
    <row r="542" spans="1:10" hidden="1" outlineLevel="1" x14ac:dyDescent="0.2">
      <c r="A542" s="74">
        <v>23</v>
      </c>
      <c r="B542" s="80" t="s">
        <v>393</v>
      </c>
      <c r="C542" s="78"/>
      <c r="D542" s="77">
        <v>30</v>
      </c>
      <c r="E542" s="77">
        <v>50</v>
      </c>
      <c r="F542" s="77">
        <f t="shared" si="32"/>
        <v>20</v>
      </c>
      <c r="G542" s="78" t="s">
        <v>3</v>
      </c>
      <c r="H542" s="82" t="s">
        <v>43</v>
      </c>
      <c r="I542" s="88"/>
      <c r="J542" s="143">
        <f t="shared" si="31"/>
        <v>0.4</v>
      </c>
    </row>
    <row r="543" spans="1:10" hidden="1" outlineLevel="1" x14ac:dyDescent="0.2">
      <c r="A543" s="74">
        <v>24</v>
      </c>
      <c r="B543" s="80" t="s">
        <v>141</v>
      </c>
      <c r="C543" s="78"/>
      <c r="D543" s="77">
        <v>22</v>
      </c>
      <c r="E543" s="77">
        <v>45</v>
      </c>
      <c r="F543" s="77">
        <f t="shared" si="32"/>
        <v>23</v>
      </c>
      <c r="G543" s="78" t="s">
        <v>3</v>
      </c>
      <c r="H543" s="82" t="s">
        <v>43</v>
      </c>
      <c r="I543" s="88"/>
      <c r="J543" s="143">
        <f t="shared" si="31"/>
        <v>0.51111111111111107</v>
      </c>
    </row>
    <row r="544" spans="1:10" hidden="1" outlineLevel="1" x14ac:dyDescent="0.2">
      <c r="A544" s="74">
        <v>25</v>
      </c>
      <c r="B544" s="80" t="s">
        <v>395</v>
      </c>
      <c r="C544" s="78"/>
      <c r="D544" s="77">
        <v>40</v>
      </c>
      <c r="E544" s="77">
        <v>70</v>
      </c>
      <c r="F544" s="77">
        <f t="shared" si="32"/>
        <v>30</v>
      </c>
      <c r="G544" s="78" t="s">
        <v>3</v>
      </c>
      <c r="H544" s="82" t="s">
        <v>43</v>
      </c>
      <c r="I544" s="88"/>
      <c r="J544" s="143">
        <f t="shared" si="31"/>
        <v>0.42857142857142855</v>
      </c>
    </row>
    <row r="545" spans="1:10" hidden="1" outlineLevel="1" x14ac:dyDescent="0.2">
      <c r="A545" s="74">
        <v>26</v>
      </c>
      <c r="B545" s="80" t="s">
        <v>216</v>
      </c>
      <c r="C545" s="78"/>
      <c r="D545" s="77">
        <v>4.5</v>
      </c>
      <c r="E545" s="77">
        <v>10</v>
      </c>
      <c r="F545" s="77">
        <f t="shared" si="32"/>
        <v>5.5</v>
      </c>
      <c r="G545" s="78" t="s">
        <v>3</v>
      </c>
      <c r="H545" s="82" t="s">
        <v>43</v>
      </c>
      <c r="I545" s="88"/>
      <c r="J545" s="143">
        <f t="shared" si="31"/>
        <v>0.55000000000000004</v>
      </c>
    </row>
    <row r="546" spans="1:10" hidden="1" outlineLevel="1" x14ac:dyDescent="0.2">
      <c r="A546" s="74">
        <v>27</v>
      </c>
      <c r="B546" s="80" t="s">
        <v>396</v>
      </c>
      <c r="C546" s="78"/>
      <c r="D546" s="77">
        <v>5</v>
      </c>
      <c r="E546" s="77">
        <v>10</v>
      </c>
      <c r="F546" s="77">
        <f t="shared" si="32"/>
        <v>5</v>
      </c>
      <c r="G546" s="78" t="s">
        <v>3</v>
      </c>
      <c r="H546" s="82" t="s">
        <v>43</v>
      </c>
      <c r="I546" s="88"/>
      <c r="J546" s="143">
        <f t="shared" si="31"/>
        <v>0.5</v>
      </c>
    </row>
    <row r="547" spans="1:10" hidden="1" outlineLevel="1" x14ac:dyDescent="0.2">
      <c r="A547" s="74">
        <v>28</v>
      </c>
      <c r="B547" s="80" t="s">
        <v>216</v>
      </c>
      <c r="C547" s="78"/>
      <c r="D547" s="77">
        <v>4.5</v>
      </c>
      <c r="E547" s="77">
        <v>10</v>
      </c>
      <c r="F547" s="77">
        <f>E547-D547</f>
        <v>5.5</v>
      </c>
      <c r="G547" s="78" t="s">
        <v>3</v>
      </c>
      <c r="H547" s="82" t="s">
        <v>43</v>
      </c>
      <c r="I547" s="88"/>
      <c r="J547" s="143">
        <f t="shared" si="31"/>
        <v>0.55000000000000004</v>
      </c>
    </row>
    <row r="548" spans="1:10" hidden="1" outlineLevel="1" x14ac:dyDescent="0.2">
      <c r="A548" s="74">
        <v>29</v>
      </c>
      <c r="B548" s="80" t="s">
        <v>397</v>
      </c>
      <c r="C548" s="78"/>
      <c r="D548" s="77">
        <v>245</v>
      </c>
      <c r="E548" s="77">
        <v>350</v>
      </c>
      <c r="F548" s="77">
        <f t="shared" si="32"/>
        <v>105</v>
      </c>
      <c r="G548" s="78" t="s">
        <v>3</v>
      </c>
      <c r="H548" s="82" t="s">
        <v>43</v>
      </c>
      <c r="I548" s="88"/>
      <c r="J548" s="143">
        <f t="shared" si="31"/>
        <v>0.3</v>
      </c>
    </row>
    <row r="549" spans="1:10" hidden="1" outlineLevel="1" x14ac:dyDescent="0.2">
      <c r="A549" s="74">
        <v>30</v>
      </c>
      <c r="B549" s="80" t="s">
        <v>398</v>
      </c>
      <c r="C549" s="78"/>
      <c r="D549" s="77">
        <v>135</v>
      </c>
      <c r="E549" s="77">
        <v>200</v>
      </c>
      <c r="F549" s="77">
        <f t="shared" si="32"/>
        <v>65</v>
      </c>
      <c r="G549" s="78" t="s">
        <v>3</v>
      </c>
      <c r="H549" s="82" t="s">
        <v>43</v>
      </c>
      <c r="I549" s="88"/>
      <c r="J549" s="143">
        <f t="shared" si="31"/>
        <v>0.32500000000000001</v>
      </c>
    </row>
    <row r="550" spans="1:10" hidden="1" outlineLevel="1" x14ac:dyDescent="0.2">
      <c r="A550" s="74">
        <v>31</v>
      </c>
      <c r="B550" s="80" t="s">
        <v>389</v>
      </c>
      <c r="C550" s="78"/>
      <c r="D550" s="119">
        <v>30</v>
      </c>
      <c r="E550" s="119">
        <v>70</v>
      </c>
      <c r="F550" s="119">
        <f t="shared" si="32"/>
        <v>40</v>
      </c>
      <c r="G550" s="78" t="s">
        <v>3</v>
      </c>
      <c r="H550" s="82" t="s">
        <v>43</v>
      </c>
      <c r="I550" s="88"/>
      <c r="J550" s="143">
        <f t="shared" si="31"/>
        <v>0.5714285714285714</v>
      </c>
    </row>
    <row r="551" spans="1:10" hidden="1" outlineLevel="1" x14ac:dyDescent="0.2">
      <c r="A551" s="74">
        <v>32</v>
      </c>
      <c r="B551" s="120" t="s">
        <v>101</v>
      </c>
      <c r="C551" s="121">
        <v>5</v>
      </c>
      <c r="D551" s="122">
        <v>27.5</v>
      </c>
      <c r="E551" s="122">
        <v>64.95</v>
      </c>
      <c r="F551" s="123">
        <v>30.709000000000003</v>
      </c>
      <c r="G551" s="78" t="s">
        <v>3</v>
      </c>
      <c r="H551" s="82" t="s">
        <v>35</v>
      </c>
      <c r="I551" s="88"/>
      <c r="J551" s="143">
        <f t="shared" si="31"/>
        <v>0.47280985373364132</v>
      </c>
    </row>
    <row r="552" spans="1:10" hidden="1" outlineLevel="1" x14ac:dyDescent="0.2">
      <c r="A552" s="74">
        <v>33</v>
      </c>
      <c r="B552" s="120" t="s">
        <v>399</v>
      </c>
      <c r="C552" s="121">
        <v>1</v>
      </c>
      <c r="D552" s="122">
        <v>7</v>
      </c>
      <c r="E552" s="122">
        <v>15.99</v>
      </c>
      <c r="F552" s="123">
        <v>7.3718000000000004</v>
      </c>
      <c r="G552" s="78" t="s">
        <v>3</v>
      </c>
      <c r="H552" s="82" t="s">
        <v>35</v>
      </c>
      <c r="I552" s="88"/>
      <c r="J552" s="143">
        <f t="shared" si="31"/>
        <v>0.46102564102564103</v>
      </c>
    </row>
    <row r="553" spans="1:10" hidden="1" outlineLevel="1" x14ac:dyDescent="0.2">
      <c r="A553" s="74">
        <v>34</v>
      </c>
      <c r="B553" s="120" t="s">
        <v>74</v>
      </c>
      <c r="C553" s="121">
        <v>1</v>
      </c>
      <c r="D553" s="122">
        <v>6</v>
      </c>
      <c r="E553" s="122">
        <v>13.5</v>
      </c>
      <c r="F553" s="123">
        <v>6.15</v>
      </c>
      <c r="G553" s="78" t="s">
        <v>3</v>
      </c>
      <c r="H553" s="82" t="s">
        <v>35</v>
      </c>
      <c r="I553" s="88"/>
      <c r="J553" s="143">
        <f t="shared" si="31"/>
        <v>0.4555555555555556</v>
      </c>
    </row>
    <row r="554" spans="1:10" hidden="1" outlineLevel="1" x14ac:dyDescent="0.2">
      <c r="A554" s="74">
        <v>35</v>
      </c>
      <c r="B554" s="120" t="s">
        <v>400</v>
      </c>
      <c r="C554" s="121">
        <v>1</v>
      </c>
      <c r="D554" s="122">
        <v>15</v>
      </c>
      <c r="E554" s="122">
        <v>29.99</v>
      </c>
      <c r="F554" s="123">
        <v>12.291799999999999</v>
      </c>
      <c r="G554" s="78" t="s">
        <v>3</v>
      </c>
      <c r="H554" s="82" t="s">
        <v>35</v>
      </c>
      <c r="I554" s="88"/>
      <c r="J554" s="143">
        <f t="shared" si="31"/>
        <v>0.40986328776258751</v>
      </c>
    </row>
    <row r="555" spans="1:10" hidden="1" outlineLevel="1" x14ac:dyDescent="0.2">
      <c r="A555" s="74">
        <v>36</v>
      </c>
      <c r="B555" s="120" t="s">
        <v>401</v>
      </c>
      <c r="C555" s="121">
        <v>1</v>
      </c>
      <c r="D555" s="122">
        <v>18</v>
      </c>
      <c r="E555" s="122">
        <v>35</v>
      </c>
      <c r="F555" s="123">
        <v>13.94</v>
      </c>
      <c r="G555" s="78" t="s">
        <v>3</v>
      </c>
      <c r="H555" s="82" t="s">
        <v>35</v>
      </c>
      <c r="I555" s="88"/>
      <c r="J555" s="143">
        <f t="shared" si="31"/>
        <v>0.3982857142857143</v>
      </c>
    </row>
    <row r="556" spans="1:10" hidden="1" outlineLevel="1" x14ac:dyDescent="0.2">
      <c r="A556" s="74">
        <v>37</v>
      </c>
      <c r="B556" s="120" t="s">
        <v>80</v>
      </c>
      <c r="C556" s="121">
        <v>1</v>
      </c>
      <c r="D556" s="122">
        <v>4</v>
      </c>
      <c r="E556" s="122">
        <v>16.03</v>
      </c>
      <c r="F556" s="123">
        <v>9.8646000000000011</v>
      </c>
      <c r="G556" s="78" t="s">
        <v>3</v>
      </c>
      <c r="H556" s="82" t="s">
        <v>35</v>
      </c>
      <c r="I556" s="88"/>
      <c r="J556" s="143">
        <f t="shared" si="31"/>
        <v>0.61538365564566444</v>
      </c>
    </row>
    <row r="557" spans="1:10" hidden="1" outlineLevel="1" collapsed="1" x14ac:dyDescent="0.2">
      <c r="A557" s="74">
        <v>38</v>
      </c>
      <c r="B557" s="120" t="s">
        <v>83</v>
      </c>
      <c r="C557" s="121">
        <v>5</v>
      </c>
      <c r="D557" s="122">
        <v>7.5</v>
      </c>
      <c r="E557" s="122">
        <v>18.14</v>
      </c>
      <c r="F557" s="123">
        <v>8.7248000000000001</v>
      </c>
      <c r="G557" s="78" t="s">
        <v>3</v>
      </c>
      <c r="H557" s="82" t="s">
        <v>35</v>
      </c>
      <c r="I557" s="88"/>
      <c r="J557" s="143">
        <f t="shared" si="31"/>
        <v>0.48097023153252477</v>
      </c>
    </row>
    <row r="558" spans="1:10" hidden="1" outlineLevel="1" x14ac:dyDescent="0.2">
      <c r="A558" s="74">
        <v>39</v>
      </c>
      <c r="B558" s="120" t="s">
        <v>77</v>
      </c>
      <c r="C558" s="121">
        <v>4</v>
      </c>
      <c r="D558" s="122">
        <v>4</v>
      </c>
      <c r="E558" s="122">
        <v>14.73</v>
      </c>
      <c r="F558" s="123">
        <v>8.7986000000000004</v>
      </c>
      <c r="G558" s="78" t="s">
        <v>3</v>
      </c>
      <c r="H558" s="82" t="s">
        <v>35</v>
      </c>
      <c r="I558" s="88"/>
      <c r="J558" s="143">
        <f t="shared" si="31"/>
        <v>0.59732518669382217</v>
      </c>
    </row>
    <row r="559" spans="1:10" hidden="1" outlineLevel="1" x14ac:dyDescent="0.2">
      <c r="A559" s="74">
        <v>40</v>
      </c>
      <c r="B559" s="120" t="s">
        <v>370</v>
      </c>
      <c r="C559" s="121">
        <v>5</v>
      </c>
      <c r="D559" s="122">
        <v>60</v>
      </c>
      <c r="E559" s="122">
        <v>139.82</v>
      </c>
      <c r="F559" s="123">
        <v>65.452399999999997</v>
      </c>
      <c r="G559" s="78" t="s">
        <v>3</v>
      </c>
      <c r="H559" s="82" t="s">
        <v>35</v>
      </c>
      <c r="I559" s="88"/>
      <c r="J559" s="143">
        <f t="shared" si="31"/>
        <v>0.46811901015591473</v>
      </c>
    </row>
    <row r="560" spans="1:10" hidden="1" outlineLevel="1" x14ac:dyDescent="0.2">
      <c r="A560" s="74">
        <v>41</v>
      </c>
      <c r="B560" s="120" t="s">
        <v>374</v>
      </c>
      <c r="C560" s="121">
        <v>1</v>
      </c>
      <c r="D560" s="122">
        <v>10</v>
      </c>
      <c r="E560" s="122">
        <v>31.79</v>
      </c>
      <c r="F560" s="123">
        <v>17.867799999999999</v>
      </c>
      <c r="G560" s="78" t="s">
        <v>3</v>
      </c>
      <c r="H560" s="82" t="s">
        <v>35</v>
      </c>
      <c r="I560" s="88"/>
      <c r="J560" s="143">
        <f t="shared" si="31"/>
        <v>0.56205725070776968</v>
      </c>
    </row>
    <row r="561" spans="1:10" hidden="1" outlineLevel="1" x14ac:dyDescent="0.2">
      <c r="A561" s="74">
        <v>42</v>
      </c>
      <c r="B561" s="120" t="s">
        <v>402</v>
      </c>
      <c r="C561" s="121">
        <v>14</v>
      </c>
      <c r="D561" s="122">
        <v>182</v>
      </c>
      <c r="E561" s="122">
        <v>487.15</v>
      </c>
      <c r="F561" s="123">
        <v>250.22299999999998</v>
      </c>
      <c r="G561" s="78" t="s">
        <v>3</v>
      </c>
      <c r="H561" s="82" t="s">
        <v>35</v>
      </c>
      <c r="I561" s="88"/>
      <c r="J561" s="143">
        <f t="shared" si="31"/>
        <v>0.51364672072257</v>
      </c>
    </row>
    <row r="562" spans="1:10" hidden="1" outlineLevel="1" x14ac:dyDescent="0.2">
      <c r="A562" s="74">
        <v>43</v>
      </c>
      <c r="B562" s="120" t="s">
        <v>62</v>
      </c>
      <c r="C562" s="121">
        <v>3</v>
      </c>
      <c r="D562" s="122">
        <v>4.5</v>
      </c>
      <c r="E562" s="122">
        <v>11.97</v>
      </c>
      <c r="F562" s="123">
        <v>6.1254000000000008</v>
      </c>
      <c r="G562" s="78" t="s">
        <v>3</v>
      </c>
      <c r="H562" s="82" t="s">
        <v>35</v>
      </c>
      <c r="I562" s="88"/>
      <c r="J562" s="143">
        <f t="shared" si="31"/>
        <v>0.5117293233082707</v>
      </c>
    </row>
    <row r="563" spans="1:10" hidden="1" outlineLevel="1" x14ac:dyDescent="0.2">
      <c r="A563" s="74">
        <v>44</v>
      </c>
      <c r="B563" s="120" t="s">
        <v>287</v>
      </c>
      <c r="C563" s="121">
        <v>8</v>
      </c>
      <c r="D563" s="122">
        <v>22.4</v>
      </c>
      <c r="E563" s="122">
        <v>72.25</v>
      </c>
      <c r="F563" s="123">
        <v>40.877000000000002</v>
      </c>
      <c r="G563" s="78" t="s">
        <v>3</v>
      </c>
      <c r="H563" s="82" t="s">
        <v>35</v>
      </c>
      <c r="I563" s="88"/>
      <c r="J563" s="143">
        <f t="shared" si="31"/>
        <v>0.56577162629757793</v>
      </c>
    </row>
    <row r="564" spans="1:10" hidden="1" outlineLevel="1" x14ac:dyDescent="0.2">
      <c r="A564" s="74">
        <v>45</v>
      </c>
      <c r="B564" s="120" t="s">
        <v>403</v>
      </c>
      <c r="C564" s="121">
        <v>1</v>
      </c>
      <c r="D564" s="122">
        <v>13</v>
      </c>
      <c r="E564" s="122">
        <v>29.99</v>
      </c>
      <c r="F564" s="123">
        <v>13.931799999999999</v>
      </c>
      <c r="G564" s="78" t="s">
        <v>3</v>
      </c>
      <c r="H564" s="82" t="s">
        <v>35</v>
      </c>
      <c r="I564" s="88"/>
      <c r="J564" s="143">
        <f t="shared" si="31"/>
        <v>0.46454818272757586</v>
      </c>
    </row>
    <row r="565" spans="1:10" hidden="1" outlineLevel="1" x14ac:dyDescent="0.2">
      <c r="A565" s="74">
        <v>46</v>
      </c>
      <c r="B565" s="120" t="s">
        <v>288</v>
      </c>
      <c r="C565" s="121">
        <v>2</v>
      </c>
      <c r="D565" s="122">
        <v>170</v>
      </c>
      <c r="E565" s="122">
        <v>270</v>
      </c>
      <c r="F565" s="123">
        <v>82</v>
      </c>
      <c r="G565" s="78" t="s">
        <v>3</v>
      </c>
      <c r="H565" s="82" t="s">
        <v>35</v>
      </c>
      <c r="I565" s="88"/>
      <c r="J565" s="143">
        <f t="shared" si="31"/>
        <v>0.3037037037037037</v>
      </c>
    </row>
    <row r="566" spans="1:10" hidden="1" outlineLevel="1" x14ac:dyDescent="0.2">
      <c r="A566" s="74">
        <v>47</v>
      </c>
      <c r="B566" s="120" t="s">
        <v>404</v>
      </c>
      <c r="C566" s="121">
        <v>1</v>
      </c>
      <c r="D566" s="122">
        <v>5</v>
      </c>
      <c r="E566" s="122">
        <v>14.99</v>
      </c>
      <c r="F566" s="123">
        <v>8.1918000000000006</v>
      </c>
      <c r="G566" s="78" t="s">
        <v>3</v>
      </c>
      <c r="H566" s="82" t="s">
        <v>35</v>
      </c>
      <c r="I566" s="88"/>
      <c r="J566" s="143">
        <f t="shared" si="31"/>
        <v>0.54648432288192128</v>
      </c>
    </row>
    <row r="567" spans="1:10" hidden="1" outlineLevel="1" x14ac:dyDescent="0.2">
      <c r="A567" s="74">
        <v>48</v>
      </c>
      <c r="B567" s="120" t="s">
        <v>405</v>
      </c>
      <c r="C567" s="121">
        <v>1</v>
      </c>
      <c r="D567" s="122">
        <v>23</v>
      </c>
      <c r="E567" s="122">
        <v>59.34</v>
      </c>
      <c r="F567" s="123">
        <v>29.798800000000004</v>
      </c>
      <c r="G567" s="78" t="s">
        <v>3</v>
      </c>
      <c r="H567" s="82" t="s">
        <v>35</v>
      </c>
      <c r="I567" s="88"/>
      <c r="J567" s="143">
        <f t="shared" si="31"/>
        <v>0.50217054263565897</v>
      </c>
    </row>
    <row r="568" spans="1:10" hidden="1" outlineLevel="1" x14ac:dyDescent="0.2">
      <c r="A568" s="74">
        <v>49</v>
      </c>
      <c r="B568" s="120" t="s">
        <v>249</v>
      </c>
      <c r="C568" s="121">
        <v>1</v>
      </c>
      <c r="D568" s="122">
        <v>17</v>
      </c>
      <c r="E568" s="122">
        <v>54</v>
      </c>
      <c r="F568" s="123">
        <v>30.34</v>
      </c>
      <c r="G568" s="78" t="s">
        <v>3</v>
      </c>
      <c r="H568" s="82" t="s">
        <v>35</v>
      </c>
      <c r="I568" s="88"/>
      <c r="J568" s="143">
        <f t="shared" si="31"/>
        <v>0.56185185185185182</v>
      </c>
    </row>
    <row r="569" spans="1:10" hidden="1" outlineLevel="1" x14ac:dyDescent="0.2">
      <c r="A569" s="74">
        <v>50</v>
      </c>
      <c r="B569" s="120" t="s">
        <v>406</v>
      </c>
      <c r="C569" s="121">
        <v>1</v>
      </c>
      <c r="D569" s="122">
        <v>5</v>
      </c>
      <c r="E569" s="122">
        <v>21.75</v>
      </c>
      <c r="F569" s="123">
        <v>13.734999999999999</v>
      </c>
      <c r="G569" s="78" t="s">
        <v>3</v>
      </c>
      <c r="H569" s="82" t="s">
        <v>35</v>
      </c>
      <c r="I569" s="88"/>
      <c r="J569" s="143">
        <f t="shared" si="31"/>
        <v>0.6314942528735632</v>
      </c>
    </row>
    <row r="570" spans="1:10" hidden="1" outlineLevel="1" x14ac:dyDescent="0.2">
      <c r="A570" s="74">
        <v>51</v>
      </c>
      <c r="B570" s="120" t="s">
        <v>407</v>
      </c>
      <c r="C570" s="121">
        <v>2</v>
      </c>
      <c r="D570" s="122">
        <v>180</v>
      </c>
      <c r="E570" s="122">
        <v>300</v>
      </c>
      <c r="F570" s="123">
        <v>98.4</v>
      </c>
      <c r="G570" s="78" t="s">
        <v>3</v>
      </c>
      <c r="H570" s="82" t="s">
        <v>35</v>
      </c>
      <c r="I570" s="88"/>
      <c r="J570" s="143">
        <f t="shared" si="31"/>
        <v>0.32800000000000001</v>
      </c>
    </row>
    <row r="571" spans="1:10" hidden="1" outlineLevel="1" x14ac:dyDescent="0.2">
      <c r="A571" s="74">
        <v>52</v>
      </c>
      <c r="B571" s="120" t="s">
        <v>124</v>
      </c>
      <c r="C571" s="121">
        <v>15</v>
      </c>
      <c r="D571" s="122">
        <v>600</v>
      </c>
      <c r="E571" s="122">
        <v>1105.8800000000001</v>
      </c>
      <c r="F571" s="123">
        <v>414.8216000000001</v>
      </c>
      <c r="G571" s="78" t="s">
        <v>3</v>
      </c>
      <c r="H571" s="82" t="s">
        <v>35</v>
      </c>
      <c r="I571" s="88"/>
      <c r="J571" s="143">
        <f t="shared" si="31"/>
        <v>0.37510543639454558</v>
      </c>
    </row>
    <row r="572" spans="1:10" hidden="1" outlineLevel="1" x14ac:dyDescent="0.2">
      <c r="A572" s="74">
        <v>53</v>
      </c>
      <c r="B572" s="120" t="s">
        <v>289</v>
      </c>
      <c r="C572" s="121">
        <v>3</v>
      </c>
      <c r="D572" s="122">
        <v>33</v>
      </c>
      <c r="E572" s="122">
        <v>76</v>
      </c>
      <c r="F572" s="123">
        <v>35.26</v>
      </c>
      <c r="G572" s="78" t="s">
        <v>3</v>
      </c>
      <c r="H572" s="82" t="s">
        <v>35</v>
      </c>
      <c r="I572" s="88"/>
      <c r="J572" s="143">
        <f t="shared" si="31"/>
        <v>0.46394736842105261</v>
      </c>
    </row>
    <row r="573" spans="1:10" hidden="1" outlineLevel="1" x14ac:dyDescent="0.2">
      <c r="A573" s="74">
        <v>54</v>
      </c>
      <c r="B573" s="120" t="s">
        <v>183</v>
      </c>
      <c r="C573" s="121">
        <v>2</v>
      </c>
      <c r="D573" s="122">
        <v>4</v>
      </c>
      <c r="E573" s="122">
        <v>17</v>
      </c>
      <c r="F573" s="123">
        <v>10.66</v>
      </c>
      <c r="G573" s="78" t="s">
        <v>3</v>
      </c>
      <c r="H573" s="82" t="s">
        <v>35</v>
      </c>
      <c r="I573" s="88"/>
      <c r="J573" s="143">
        <f t="shared" si="31"/>
        <v>0.62705882352941178</v>
      </c>
    </row>
    <row r="574" spans="1:10" hidden="1" outlineLevel="1" x14ac:dyDescent="0.2">
      <c r="A574" s="74">
        <v>55</v>
      </c>
      <c r="B574" s="120" t="s">
        <v>253</v>
      </c>
      <c r="C574" s="121">
        <v>5</v>
      </c>
      <c r="D574" s="122">
        <v>10</v>
      </c>
      <c r="E574" s="122">
        <v>27.27</v>
      </c>
      <c r="F574" s="123">
        <v>14.1614</v>
      </c>
      <c r="G574" s="78" t="s">
        <v>3</v>
      </c>
      <c r="H574" s="82" t="s">
        <v>35</v>
      </c>
      <c r="I574" s="88"/>
      <c r="J574" s="143">
        <f t="shared" si="31"/>
        <v>0.51930326365969937</v>
      </c>
    </row>
    <row r="575" spans="1:10" hidden="1" outlineLevel="1" x14ac:dyDescent="0.2">
      <c r="A575" s="74">
        <v>56</v>
      </c>
      <c r="B575" s="120" t="s">
        <v>291</v>
      </c>
      <c r="C575" s="121">
        <v>5</v>
      </c>
      <c r="D575" s="122">
        <v>27.5</v>
      </c>
      <c r="E575" s="122">
        <v>66.88</v>
      </c>
      <c r="F575" s="123">
        <v>32.291599999999995</v>
      </c>
      <c r="G575" s="78" t="s">
        <v>3</v>
      </c>
      <c r="H575" s="82" t="s">
        <v>35</v>
      </c>
      <c r="I575" s="88"/>
      <c r="J575" s="143">
        <f t="shared" si="31"/>
        <v>0.48282894736842102</v>
      </c>
    </row>
    <row r="576" spans="1:10" hidden="1" outlineLevel="1" x14ac:dyDescent="0.2">
      <c r="A576" s="74">
        <v>57</v>
      </c>
      <c r="B576" s="120" t="s">
        <v>408</v>
      </c>
      <c r="C576" s="121">
        <v>1</v>
      </c>
      <c r="D576" s="122">
        <v>0</v>
      </c>
      <c r="E576" s="122">
        <v>100.37</v>
      </c>
      <c r="F576" s="123">
        <v>82.303400000000011</v>
      </c>
      <c r="G576" s="78" t="s">
        <v>3</v>
      </c>
      <c r="H576" s="82" t="s">
        <v>35</v>
      </c>
      <c r="I576" s="88"/>
      <c r="J576" s="143">
        <f t="shared" si="31"/>
        <v>0.82000000000000006</v>
      </c>
    </row>
    <row r="577" spans="1:10" hidden="1" outlineLevel="1" x14ac:dyDescent="0.2">
      <c r="A577" s="74">
        <v>58</v>
      </c>
      <c r="B577" s="120" t="s">
        <v>256</v>
      </c>
      <c r="C577" s="121">
        <v>2</v>
      </c>
      <c r="D577" s="122">
        <v>6</v>
      </c>
      <c r="E577" s="122">
        <v>23.89</v>
      </c>
      <c r="F577" s="123">
        <v>14.6698</v>
      </c>
      <c r="G577" s="78" t="s">
        <v>3</v>
      </c>
      <c r="H577" s="82" t="s">
        <v>35</v>
      </c>
      <c r="I577" s="88"/>
      <c r="J577" s="143">
        <f t="shared" si="31"/>
        <v>0.61405609041439935</v>
      </c>
    </row>
    <row r="578" spans="1:10" hidden="1" outlineLevel="1" x14ac:dyDescent="0.2">
      <c r="A578" s="74">
        <v>59</v>
      </c>
      <c r="B578" s="120" t="s">
        <v>409</v>
      </c>
      <c r="C578" s="121">
        <v>2</v>
      </c>
      <c r="D578" s="122">
        <v>150</v>
      </c>
      <c r="E578" s="122">
        <v>300</v>
      </c>
      <c r="F578" s="123">
        <v>123</v>
      </c>
      <c r="G578" s="78" t="s">
        <v>3</v>
      </c>
      <c r="H578" s="82" t="s">
        <v>35</v>
      </c>
      <c r="I578" s="88"/>
      <c r="J578" s="143">
        <f t="shared" ref="J578:J641" si="33">F578/E578</f>
        <v>0.41</v>
      </c>
    </row>
    <row r="579" spans="1:10" hidden="1" outlineLevel="1" x14ac:dyDescent="0.2">
      <c r="A579" s="74">
        <v>60</v>
      </c>
      <c r="B579" s="120" t="s">
        <v>103</v>
      </c>
      <c r="C579" s="121">
        <v>5</v>
      </c>
      <c r="D579" s="122">
        <v>37.5</v>
      </c>
      <c r="E579" s="122">
        <v>76.260000000000005</v>
      </c>
      <c r="F579" s="123">
        <v>31.783200000000004</v>
      </c>
      <c r="G579" s="78" t="s">
        <v>3</v>
      </c>
      <c r="H579" s="82" t="s">
        <v>35</v>
      </c>
      <c r="I579" s="88"/>
      <c r="J579" s="143">
        <f t="shared" si="33"/>
        <v>0.41677419354838713</v>
      </c>
    </row>
    <row r="580" spans="1:10" hidden="1" outlineLevel="1" x14ac:dyDescent="0.2">
      <c r="A580" s="74">
        <v>61</v>
      </c>
      <c r="B580" s="120" t="s">
        <v>182</v>
      </c>
      <c r="C580" s="121">
        <v>4</v>
      </c>
      <c r="D580" s="122">
        <v>4</v>
      </c>
      <c r="E580" s="122">
        <v>11.13</v>
      </c>
      <c r="F580" s="123">
        <v>5.8466000000000005</v>
      </c>
      <c r="G580" s="78" t="s">
        <v>3</v>
      </c>
      <c r="H580" s="82" t="s">
        <v>35</v>
      </c>
      <c r="I580" s="88"/>
      <c r="J580" s="143">
        <f t="shared" si="33"/>
        <v>0.52530098831985628</v>
      </c>
    </row>
    <row r="581" spans="1:10" hidden="1" outlineLevel="1" x14ac:dyDescent="0.2">
      <c r="A581" s="74">
        <v>62</v>
      </c>
      <c r="B581" s="120" t="s">
        <v>182</v>
      </c>
      <c r="C581" s="121">
        <v>21</v>
      </c>
      <c r="D581" s="122">
        <v>630</v>
      </c>
      <c r="E581" s="122">
        <v>1000.09</v>
      </c>
      <c r="F581" s="123">
        <v>303.47380000000004</v>
      </c>
      <c r="G581" s="78" t="s">
        <v>3</v>
      </c>
      <c r="H581" s="82" t="s">
        <v>35</v>
      </c>
      <c r="I581" s="88"/>
      <c r="J581" s="143">
        <f t="shared" si="33"/>
        <v>0.3034464898159166</v>
      </c>
    </row>
    <row r="582" spans="1:10" hidden="1" outlineLevel="1" x14ac:dyDescent="0.2">
      <c r="A582" s="74">
        <v>63</v>
      </c>
      <c r="B582" s="120" t="s">
        <v>410</v>
      </c>
      <c r="C582" s="121">
        <v>2</v>
      </c>
      <c r="D582" s="122">
        <v>0</v>
      </c>
      <c r="E582" s="122">
        <v>80.349999999999994</v>
      </c>
      <c r="F582" s="123">
        <v>65.887</v>
      </c>
      <c r="G582" s="78" t="s">
        <v>3</v>
      </c>
      <c r="H582" s="82" t="s">
        <v>35</v>
      </c>
      <c r="I582" s="88"/>
      <c r="J582" s="143">
        <f t="shared" si="33"/>
        <v>0.82000000000000006</v>
      </c>
    </row>
    <row r="583" spans="1:10" hidden="1" outlineLevel="1" x14ac:dyDescent="0.2">
      <c r="A583" s="74">
        <v>64</v>
      </c>
      <c r="B583" s="120" t="s">
        <v>294</v>
      </c>
      <c r="C583" s="121">
        <v>2</v>
      </c>
      <c r="D583" s="122">
        <v>4</v>
      </c>
      <c r="E583" s="122">
        <v>10</v>
      </c>
      <c r="F583" s="123">
        <v>4.92</v>
      </c>
      <c r="G583" s="78" t="s">
        <v>3</v>
      </c>
      <c r="H583" s="82" t="s">
        <v>35</v>
      </c>
      <c r="I583" s="88"/>
      <c r="J583" s="143">
        <f t="shared" si="33"/>
        <v>0.49199999999999999</v>
      </c>
    </row>
    <row r="584" spans="1:10" hidden="1" outlineLevel="1" x14ac:dyDescent="0.2">
      <c r="A584" s="74">
        <v>65</v>
      </c>
      <c r="B584" s="120" t="s">
        <v>179</v>
      </c>
      <c r="C584" s="121">
        <v>1</v>
      </c>
      <c r="D584" s="122">
        <v>14</v>
      </c>
      <c r="E584" s="122">
        <v>26.99</v>
      </c>
      <c r="F584" s="123">
        <v>10.651799999999998</v>
      </c>
      <c r="G584" s="78" t="s">
        <v>3</v>
      </c>
      <c r="H584" s="82" t="s">
        <v>35</v>
      </c>
      <c r="I584" s="88"/>
      <c r="J584" s="143">
        <f t="shared" si="33"/>
        <v>0.39465728047424969</v>
      </c>
    </row>
    <row r="585" spans="1:10" hidden="1" outlineLevel="1" x14ac:dyDescent="0.2">
      <c r="A585" s="74">
        <v>66</v>
      </c>
      <c r="B585" s="120" t="s">
        <v>128</v>
      </c>
      <c r="C585" s="121">
        <v>1</v>
      </c>
      <c r="D585" s="122">
        <v>10</v>
      </c>
      <c r="E585" s="122">
        <v>37.24</v>
      </c>
      <c r="F585" s="123">
        <v>22.336800000000004</v>
      </c>
      <c r="G585" s="78" t="s">
        <v>3</v>
      </c>
      <c r="H585" s="82" t="s">
        <v>35</v>
      </c>
      <c r="I585" s="88"/>
      <c r="J585" s="143">
        <f t="shared" si="33"/>
        <v>0.59980665950590772</v>
      </c>
    </row>
    <row r="586" spans="1:10" hidden="1" outlineLevel="1" x14ac:dyDescent="0.2">
      <c r="A586" s="74">
        <v>67</v>
      </c>
      <c r="B586" s="120" t="s">
        <v>411</v>
      </c>
      <c r="C586" s="121">
        <v>2</v>
      </c>
      <c r="D586" s="122">
        <v>20</v>
      </c>
      <c r="E586" s="122">
        <v>53.48</v>
      </c>
      <c r="F586" s="123">
        <v>27.453599999999998</v>
      </c>
      <c r="G586" s="78" t="s">
        <v>3</v>
      </c>
      <c r="H586" s="82" t="s">
        <v>35</v>
      </c>
      <c r="I586" s="88"/>
      <c r="J586" s="143">
        <f t="shared" si="33"/>
        <v>0.51334330590875088</v>
      </c>
    </row>
    <row r="587" spans="1:10" hidden="1" outlineLevel="1" x14ac:dyDescent="0.2">
      <c r="A587" s="74">
        <v>68</v>
      </c>
      <c r="B587" s="120" t="s">
        <v>412</v>
      </c>
      <c r="C587" s="121">
        <v>4</v>
      </c>
      <c r="D587" s="122">
        <v>4</v>
      </c>
      <c r="E587" s="122">
        <v>93.72</v>
      </c>
      <c r="F587" s="123">
        <v>73.570400000000006</v>
      </c>
      <c r="G587" s="78" t="s">
        <v>3</v>
      </c>
      <c r="H587" s="82" t="s">
        <v>35</v>
      </c>
      <c r="I587" s="88"/>
      <c r="J587" s="143">
        <f t="shared" si="33"/>
        <v>0.78500213401621866</v>
      </c>
    </row>
    <row r="588" spans="1:10" hidden="1" outlineLevel="1" x14ac:dyDescent="0.2">
      <c r="A588" s="74">
        <v>69</v>
      </c>
      <c r="B588" s="120" t="s">
        <v>413</v>
      </c>
      <c r="C588" s="121">
        <v>1</v>
      </c>
      <c r="D588" s="122">
        <v>10</v>
      </c>
      <c r="E588" s="122">
        <v>22.85</v>
      </c>
      <c r="F588" s="123">
        <v>10.537000000000001</v>
      </c>
      <c r="G588" s="78" t="s">
        <v>3</v>
      </c>
      <c r="H588" s="82" t="s">
        <v>35</v>
      </c>
      <c r="I588" s="88"/>
      <c r="J588" s="143">
        <f t="shared" si="33"/>
        <v>0.46113785557986869</v>
      </c>
    </row>
    <row r="589" spans="1:10" hidden="1" outlineLevel="1" x14ac:dyDescent="0.2">
      <c r="A589" s="74">
        <v>70</v>
      </c>
      <c r="B589" s="120" t="s">
        <v>414</v>
      </c>
      <c r="C589" s="121">
        <v>1</v>
      </c>
      <c r="D589" s="122">
        <v>9</v>
      </c>
      <c r="E589" s="122">
        <v>30.11</v>
      </c>
      <c r="F589" s="123">
        <v>17.310199999999998</v>
      </c>
      <c r="G589" s="78" t="s">
        <v>3</v>
      </c>
      <c r="H589" s="82" t="s">
        <v>35</v>
      </c>
      <c r="I589" s="88"/>
      <c r="J589" s="143">
        <f t="shared" si="33"/>
        <v>0.57489870474925264</v>
      </c>
    </row>
    <row r="590" spans="1:10" hidden="1" outlineLevel="1" x14ac:dyDescent="0.2">
      <c r="A590" s="74">
        <v>71</v>
      </c>
      <c r="B590" s="120" t="s">
        <v>342</v>
      </c>
      <c r="C590" s="121">
        <v>2</v>
      </c>
      <c r="D590" s="122">
        <v>2</v>
      </c>
      <c r="E590" s="122">
        <v>18.52</v>
      </c>
      <c r="F590" s="123">
        <v>13.5464</v>
      </c>
      <c r="G590" s="78" t="s">
        <v>3</v>
      </c>
      <c r="H590" s="82" t="s">
        <v>35</v>
      </c>
      <c r="I590" s="88"/>
      <c r="J590" s="143">
        <f t="shared" si="33"/>
        <v>0.73144708423326132</v>
      </c>
    </row>
    <row r="591" spans="1:10" hidden="1" outlineLevel="1" x14ac:dyDescent="0.2">
      <c r="A591" s="74">
        <v>72</v>
      </c>
      <c r="B591" s="120" t="s">
        <v>415</v>
      </c>
      <c r="C591" s="121">
        <v>1</v>
      </c>
      <c r="D591" s="122">
        <v>7</v>
      </c>
      <c r="E591" s="122">
        <v>20</v>
      </c>
      <c r="F591" s="123">
        <v>10.66</v>
      </c>
      <c r="G591" s="78" t="s">
        <v>3</v>
      </c>
      <c r="H591" s="82" t="s">
        <v>35</v>
      </c>
      <c r="I591" s="88"/>
      <c r="J591" s="143">
        <f t="shared" si="33"/>
        <v>0.53300000000000003</v>
      </c>
    </row>
    <row r="592" spans="1:10" hidden="1" outlineLevel="1" x14ac:dyDescent="0.2">
      <c r="A592" s="74">
        <v>73</v>
      </c>
      <c r="B592" s="120" t="s">
        <v>261</v>
      </c>
      <c r="C592" s="121">
        <v>1</v>
      </c>
      <c r="D592" s="122">
        <v>8</v>
      </c>
      <c r="E592" s="122">
        <v>23.46</v>
      </c>
      <c r="F592" s="123">
        <v>12.677200000000001</v>
      </c>
      <c r="G592" s="78" t="s">
        <v>3</v>
      </c>
      <c r="H592" s="82" t="s">
        <v>35</v>
      </c>
      <c r="I592" s="88"/>
      <c r="J592" s="143">
        <f t="shared" si="33"/>
        <v>0.54037510656436494</v>
      </c>
    </row>
    <row r="593" spans="1:10" hidden="1" outlineLevel="1" x14ac:dyDescent="0.2">
      <c r="A593" s="74"/>
      <c r="B593" s="80"/>
      <c r="C593" s="78"/>
      <c r="D593" s="119"/>
      <c r="E593" s="119"/>
      <c r="F593" s="119"/>
      <c r="G593" s="78"/>
      <c r="H593" s="82"/>
      <c r="I593" s="88"/>
      <c r="J593" s="143" t="e">
        <f t="shared" si="33"/>
        <v>#DIV/0!</v>
      </c>
    </row>
    <row r="594" spans="1:10" collapsed="1" x14ac:dyDescent="0.2">
      <c r="A594" s="156" t="s">
        <v>15</v>
      </c>
      <c r="B594" s="156"/>
      <c r="C594" s="157"/>
      <c r="D594" s="94">
        <f>SUM(D595:D676)</f>
        <v>2539.8000000000002</v>
      </c>
      <c r="E594" s="94">
        <f>SUM(E595:E676)</f>
        <v>4764.0599999999995</v>
      </c>
      <c r="F594" s="94">
        <f>SUM(F595:F676)</f>
        <v>2224.2599999999998</v>
      </c>
      <c r="G594" s="68">
        <f>I594+H594</f>
        <v>109</v>
      </c>
      <c r="H594" s="68">
        <f>COUNTIF(H595:H676,"BSB")</f>
        <v>58</v>
      </c>
      <c r="I594" s="68">
        <f>SUM(C595:C676)</f>
        <v>51</v>
      </c>
      <c r="J594" s="143">
        <f t="shared" si="33"/>
        <v>0.46688328862356898</v>
      </c>
    </row>
    <row r="595" spans="1:10" hidden="1" outlineLevel="1" x14ac:dyDescent="0.2">
      <c r="A595" s="74">
        <v>1</v>
      </c>
      <c r="B595" s="80" t="s">
        <v>416</v>
      </c>
      <c r="C595" s="78"/>
      <c r="D595" s="77">
        <v>8</v>
      </c>
      <c r="E595" s="77">
        <v>20</v>
      </c>
      <c r="F595" s="77">
        <f t="shared" ref="F595:F609" si="34">SUM(E595-D595)</f>
        <v>12</v>
      </c>
      <c r="G595" s="78" t="s">
        <v>3</v>
      </c>
      <c r="H595" s="82" t="s">
        <v>43</v>
      </c>
      <c r="I595" s="88"/>
      <c r="J595" s="143">
        <f t="shared" si="33"/>
        <v>0.6</v>
      </c>
    </row>
    <row r="596" spans="1:10" hidden="1" outlineLevel="1" x14ac:dyDescent="0.2">
      <c r="A596" s="74">
        <v>2</v>
      </c>
      <c r="B596" s="80" t="s">
        <v>417</v>
      </c>
      <c r="C596" s="78"/>
      <c r="D596" s="77">
        <v>16</v>
      </c>
      <c r="E596" s="77">
        <v>35</v>
      </c>
      <c r="F596" s="77">
        <f t="shared" si="34"/>
        <v>19</v>
      </c>
      <c r="G596" s="78" t="s">
        <v>3</v>
      </c>
      <c r="H596" s="82" t="s">
        <v>43</v>
      </c>
      <c r="I596" s="88"/>
      <c r="J596" s="143">
        <f t="shared" si="33"/>
        <v>0.54285714285714282</v>
      </c>
    </row>
    <row r="597" spans="1:10" hidden="1" outlineLevel="1" x14ac:dyDescent="0.2">
      <c r="A597" s="74">
        <v>3</v>
      </c>
      <c r="B597" s="80" t="s">
        <v>418</v>
      </c>
      <c r="C597" s="78"/>
      <c r="D597" s="77">
        <v>4.5</v>
      </c>
      <c r="E597" s="77">
        <v>10</v>
      </c>
      <c r="F597" s="77">
        <f t="shared" si="34"/>
        <v>5.5</v>
      </c>
      <c r="G597" s="78" t="s">
        <v>3</v>
      </c>
      <c r="H597" s="82" t="s">
        <v>43</v>
      </c>
      <c r="I597" s="88"/>
      <c r="J597" s="143">
        <f t="shared" si="33"/>
        <v>0.55000000000000004</v>
      </c>
    </row>
    <row r="598" spans="1:10" hidden="1" outlineLevel="1" x14ac:dyDescent="0.2">
      <c r="A598" s="74">
        <v>4</v>
      </c>
      <c r="B598" s="80" t="s">
        <v>419</v>
      </c>
      <c r="C598" s="78"/>
      <c r="D598" s="77">
        <v>30</v>
      </c>
      <c r="E598" s="77">
        <v>50</v>
      </c>
      <c r="F598" s="77">
        <f t="shared" si="34"/>
        <v>20</v>
      </c>
      <c r="G598" s="78" t="s">
        <v>3</v>
      </c>
      <c r="H598" s="82" t="s">
        <v>43</v>
      </c>
      <c r="I598" s="88"/>
      <c r="J598" s="143">
        <f t="shared" si="33"/>
        <v>0.4</v>
      </c>
    </row>
    <row r="599" spans="1:10" hidden="1" outlineLevel="1" x14ac:dyDescent="0.2">
      <c r="A599" s="74">
        <v>5</v>
      </c>
      <c r="B599" s="80" t="s">
        <v>420</v>
      </c>
      <c r="C599" s="78"/>
      <c r="D599" s="77">
        <v>5</v>
      </c>
      <c r="E599" s="77">
        <v>10</v>
      </c>
      <c r="F599" s="77">
        <f t="shared" si="34"/>
        <v>5</v>
      </c>
      <c r="G599" s="78" t="s">
        <v>3</v>
      </c>
      <c r="H599" s="82" t="s">
        <v>43</v>
      </c>
      <c r="I599" s="88"/>
      <c r="J599" s="143">
        <f t="shared" si="33"/>
        <v>0.5</v>
      </c>
    </row>
    <row r="600" spans="1:10" hidden="1" outlineLevel="1" x14ac:dyDescent="0.2">
      <c r="A600" s="74">
        <v>6</v>
      </c>
      <c r="B600" s="80" t="s">
        <v>298</v>
      </c>
      <c r="C600" s="78"/>
      <c r="D600" s="77">
        <v>45</v>
      </c>
      <c r="E600" s="77">
        <v>100</v>
      </c>
      <c r="F600" s="77">
        <f t="shared" si="34"/>
        <v>55</v>
      </c>
      <c r="G600" s="78" t="s">
        <v>3</v>
      </c>
      <c r="H600" s="82" t="s">
        <v>43</v>
      </c>
      <c r="I600" s="88"/>
      <c r="J600" s="143">
        <f t="shared" si="33"/>
        <v>0.55000000000000004</v>
      </c>
    </row>
    <row r="601" spans="1:10" hidden="1" outlineLevel="1" x14ac:dyDescent="0.2">
      <c r="A601" s="74">
        <v>7</v>
      </c>
      <c r="B601" s="80" t="s">
        <v>397</v>
      </c>
      <c r="C601" s="78"/>
      <c r="D601" s="77">
        <v>50</v>
      </c>
      <c r="E601" s="77">
        <v>90</v>
      </c>
      <c r="F601" s="77">
        <f t="shared" si="34"/>
        <v>40</v>
      </c>
      <c r="G601" s="78" t="s">
        <v>3</v>
      </c>
      <c r="H601" s="82" t="s">
        <v>43</v>
      </c>
      <c r="I601" s="88"/>
      <c r="J601" s="143">
        <f t="shared" si="33"/>
        <v>0.44444444444444442</v>
      </c>
    </row>
    <row r="602" spans="1:10" hidden="1" outlineLevel="1" x14ac:dyDescent="0.2">
      <c r="A602" s="74">
        <v>8</v>
      </c>
      <c r="B602" s="80" t="s">
        <v>421</v>
      </c>
      <c r="C602" s="78"/>
      <c r="D602" s="77">
        <v>60</v>
      </c>
      <c r="E602" s="77">
        <v>100</v>
      </c>
      <c r="F602" s="77">
        <f t="shared" si="34"/>
        <v>40</v>
      </c>
      <c r="G602" s="78" t="s">
        <v>3</v>
      </c>
      <c r="H602" s="82" t="s">
        <v>43</v>
      </c>
      <c r="I602" s="88"/>
      <c r="J602" s="143">
        <f t="shared" si="33"/>
        <v>0.4</v>
      </c>
    </row>
    <row r="603" spans="1:10" hidden="1" outlineLevel="1" x14ac:dyDescent="0.2">
      <c r="A603" s="74">
        <v>9</v>
      </c>
      <c r="B603" s="80" t="s">
        <v>425</v>
      </c>
      <c r="C603" s="78"/>
      <c r="D603" s="77">
        <v>7.5</v>
      </c>
      <c r="E603" s="77">
        <v>15</v>
      </c>
      <c r="F603" s="77">
        <f t="shared" si="34"/>
        <v>7.5</v>
      </c>
      <c r="G603" s="78" t="s">
        <v>3</v>
      </c>
      <c r="H603" s="82" t="s">
        <v>43</v>
      </c>
      <c r="I603" s="88"/>
      <c r="J603" s="143">
        <f t="shared" si="33"/>
        <v>0.5</v>
      </c>
    </row>
    <row r="604" spans="1:10" hidden="1" outlineLevel="1" x14ac:dyDescent="0.2">
      <c r="A604" s="74">
        <v>10</v>
      </c>
      <c r="B604" s="80" t="s">
        <v>422</v>
      </c>
      <c r="C604" s="78"/>
      <c r="D604" s="77">
        <v>70</v>
      </c>
      <c r="E604" s="77">
        <v>170</v>
      </c>
      <c r="F604" s="77">
        <f t="shared" si="34"/>
        <v>100</v>
      </c>
      <c r="G604" s="78" t="s">
        <v>3</v>
      </c>
      <c r="H604" s="82" t="s">
        <v>43</v>
      </c>
      <c r="I604" s="88"/>
      <c r="J604" s="143">
        <f t="shared" si="33"/>
        <v>0.58823529411764708</v>
      </c>
    </row>
    <row r="605" spans="1:10" hidden="1" outlineLevel="1" x14ac:dyDescent="0.2">
      <c r="A605" s="74">
        <v>11</v>
      </c>
      <c r="B605" s="80" t="s">
        <v>423</v>
      </c>
      <c r="C605" s="78"/>
      <c r="D605" s="77">
        <v>3.5</v>
      </c>
      <c r="E605" s="77">
        <v>10</v>
      </c>
      <c r="F605" s="77">
        <f t="shared" si="34"/>
        <v>6.5</v>
      </c>
      <c r="G605" s="78" t="s">
        <v>3</v>
      </c>
      <c r="H605" s="82" t="s">
        <v>43</v>
      </c>
      <c r="I605" s="88"/>
      <c r="J605" s="143">
        <f t="shared" si="33"/>
        <v>0.65</v>
      </c>
    </row>
    <row r="606" spans="1:10" hidden="1" outlineLevel="1" x14ac:dyDescent="0.2">
      <c r="A606" s="74">
        <v>12</v>
      </c>
      <c r="B606" s="80" t="s">
        <v>424</v>
      </c>
      <c r="C606" s="78"/>
      <c r="D606" s="77">
        <v>15</v>
      </c>
      <c r="E606" s="77">
        <v>25</v>
      </c>
      <c r="F606" s="77">
        <f t="shared" si="34"/>
        <v>10</v>
      </c>
      <c r="G606" s="78" t="s">
        <v>3</v>
      </c>
      <c r="H606" s="82" t="s">
        <v>43</v>
      </c>
      <c r="I606" s="88"/>
      <c r="J606" s="143">
        <f t="shared" si="33"/>
        <v>0.4</v>
      </c>
    </row>
    <row r="607" spans="1:10" hidden="1" outlineLevel="1" x14ac:dyDescent="0.2">
      <c r="A607" s="74">
        <v>13</v>
      </c>
      <c r="B607" s="80" t="s">
        <v>364</v>
      </c>
      <c r="C607" s="78"/>
      <c r="D607" s="77">
        <v>7.5</v>
      </c>
      <c r="E607" s="77">
        <v>15</v>
      </c>
      <c r="F607" s="77">
        <f t="shared" si="34"/>
        <v>7.5</v>
      </c>
      <c r="G607" s="78" t="s">
        <v>3</v>
      </c>
      <c r="H607" s="82" t="s">
        <v>43</v>
      </c>
      <c r="I607" s="88"/>
      <c r="J607" s="143">
        <f t="shared" si="33"/>
        <v>0.5</v>
      </c>
    </row>
    <row r="608" spans="1:10" hidden="1" outlineLevel="1" x14ac:dyDescent="0.2">
      <c r="A608" s="74">
        <v>14</v>
      </c>
      <c r="B608" s="80" t="s">
        <v>426</v>
      </c>
      <c r="C608" s="78"/>
      <c r="D608" s="77">
        <v>5.5</v>
      </c>
      <c r="E608" s="77">
        <v>15</v>
      </c>
      <c r="F608" s="77">
        <f t="shared" si="34"/>
        <v>9.5</v>
      </c>
      <c r="G608" s="78" t="s">
        <v>3</v>
      </c>
      <c r="H608" s="82" t="s">
        <v>43</v>
      </c>
      <c r="I608" s="88"/>
      <c r="J608" s="143">
        <f t="shared" si="33"/>
        <v>0.6333333333333333</v>
      </c>
    </row>
    <row r="609" spans="1:15" hidden="1" outlineLevel="1" collapsed="1" x14ac:dyDescent="0.2">
      <c r="A609" s="74">
        <v>15</v>
      </c>
      <c r="B609" s="48" t="s">
        <v>427</v>
      </c>
      <c r="C609" s="74"/>
      <c r="D609" s="124">
        <v>3.5</v>
      </c>
      <c r="E609" s="124">
        <v>5</v>
      </c>
      <c r="F609" s="124">
        <f t="shared" si="34"/>
        <v>1.5</v>
      </c>
      <c r="G609" s="74" t="s">
        <v>3</v>
      </c>
      <c r="H609" s="49" t="s">
        <v>43</v>
      </c>
      <c r="I609" s="88"/>
      <c r="J609" s="143">
        <f t="shared" si="33"/>
        <v>0.3</v>
      </c>
    </row>
    <row r="610" spans="1:15" hidden="1" outlineLevel="1" x14ac:dyDescent="0.2">
      <c r="A610" s="74">
        <v>49</v>
      </c>
      <c r="B610" s="80" t="s">
        <v>428</v>
      </c>
      <c r="C610" s="78"/>
      <c r="D610" s="77">
        <v>60</v>
      </c>
      <c r="E610" s="77">
        <v>100</v>
      </c>
      <c r="F610" s="126">
        <f t="shared" ref="F610:F641" si="35">E610-D610</f>
        <v>40</v>
      </c>
      <c r="G610" s="125" t="s">
        <v>3</v>
      </c>
      <c r="H610" s="88" t="s">
        <v>43</v>
      </c>
      <c r="I610" s="88"/>
      <c r="J610" s="143">
        <f t="shared" si="33"/>
        <v>0.4</v>
      </c>
    </row>
    <row r="611" spans="1:15" hidden="1" outlineLevel="1" x14ac:dyDescent="0.2">
      <c r="A611" s="74">
        <v>50</v>
      </c>
      <c r="B611" s="80" t="s">
        <v>429</v>
      </c>
      <c r="C611" s="78"/>
      <c r="D611" s="77">
        <v>17</v>
      </c>
      <c r="E611" s="77">
        <v>30</v>
      </c>
      <c r="F611" s="126">
        <f t="shared" si="35"/>
        <v>13</v>
      </c>
      <c r="G611" s="125" t="s">
        <v>3</v>
      </c>
      <c r="H611" s="88" t="s">
        <v>43</v>
      </c>
      <c r="I611" s="88"/>
      <c r="J611" s="143">
        <f t="shared" si="33"/>
        <v>0.43333333333333335</v>
      </c>
    </row>
    <row r="612" spans="1:15" hidden="1" outlineLevel="1" x14ac:dyDescent="0.2">
      <c r="A612" s="74">
        <v>51</v>
      </c>
      <c r="B612" s="80" t="s">
        <v>430</v>
      </c>
      <c r="C612" s="78"/>
      <c r="D612" s="77">
        <v>25</v>
      </c>
      <c r="E612" s="77">
        <v>60</v>
      </c>
      <c r="F612" s="126">
        <f t="shared" si="35"/>
        <v>35</v>
      </c>
      <c r="G612" s="125" t="s">
        <v>3</v>
      </c>
      <c r="H612" s="88" t="s">
        <v>43</v>
      </c>
      <c r="I612" s="88"/>
      <c r="J612" s="143">
        <f t="shared" si="33"/>
        <v>0.58333333333333337</v>
      </c>
      <c r="M612" s="129"/>
      <c r="N612" s="130"/>
      <c r="O612" s="131"/>
    </row>
    <row r="613" spans="1:15" hidden="1" outlineLevel="1" x14ac:dyDescent="0.2">
      <c r="A613" s="74">
        <v>52</v>
      </c>
      <c r="B613" s="80" t="s">
        <v>431</v>
      </c>
      <c r="C613" s="78"/>
      <c r="D613" s="77">
        <v>11</v>
      </c>
      <c r="E613" s="77">
        <v>25</v>
      </c>
      <c r="F613" s="126">
        <f t="shared" si="35"/>
        <v>14</v>
      </c>
      <c r="G613" s="125" t="s">
        <v>3</v>
      </c>
      <c r="H613" s="88" t="s">
        <v>43</v>
      </c>
      <c r="I613" s="88"/>
      <c r="J613" s="143">
        <f t="shared" si="33"/>
        <v>0.56000000000000005</v>
      </c>
      <c r="M613" s="129"/>
      <c r="N613" s="130"/>
      <c r="O613" s="131"/>
    </row>
    <row r="614" spans="1:15" hidden="1" outlineLevel="1" x14ac:dyDescent="0.2">
      <c r="A614" s="74">
        <v>53</v>
      </c>
      <c r="B614" s="80" t="s">
        <v>431</v>
      </c>
      <c r="C614" s="78"/>
      <c r="D614" s="77">
        <v>11</v>
      </c>
      <c r="E614" s="77">
        <v>25</v>
      </c>
      <c r="F614" s="126">
        <f t="shared" si="35"/>
        <v>14</v>
      </c>
      <c r="G614" s="125" t="s">
        <v>3</v>
      </c>
      <c r="H614" s="88" t="s">
        <v>43</v>
      </c>
      <c r="I614" s="88"/>
      <c r="J614" s="143">
        <f t="shared" si="33"/>
        <v>0.56000000000000005</v>
      </c>
      <c r="M614" s="129"/>
      <c r="N614" s="130"/>
      <c r="O614" s="131"/>
    </row>
    <row r="615" spans="1:15" hidden="1" outlineLevel="1" x14ac:dyDescent="0.2">
      <c r="A615" s="74">
        <v>54</v>
      </c>
      <c r="B615" s="80" t="s">
        <v>432</v>
      </c>
      <c r="C615" s="78"/>
      <c r="D615" s="77">
        <v>0</v>
      </c>
      <c r="E615" s="77">
        <v>50</v>
      </c>
      <c r="F615" s="126">
        <f t="shared" si="35"/>
        <v>50</v>
      </c>
      <c r="G615" s="125" t="s">
        <v>3</v>
      </c>
      <c r="H615" s="88" t="s">
        <v>43</v>
      </c>
      <c r="I615" s="88"/>
      <c r="J615" s="143">
        <f t="shared" si="33"/>
        <v>1</v>
      </c>
      <c r="M615" s="129"/>
      <c r="N615" s="130"/>
      <c r="O615" s="131"/>
    </row>
    <row r="616" spans="1:15" hidden="1" outlineLevel="1" x14ac:dyDescent="0.2">
      <c r="A616" s="74">
        <v>55</v>
      </c>
      <c r="B616" s="80" t="s">
        <v>433</v>
      </c>
      <c r="C616" s="78"/>
      <c r="D616" s="77">
        <v>20</v>
      </c>
      <c r="E616" s="77">
        <v>35</v>
      </c>
      <c r="F616" s="126">
        <f t="shared" si="35"/>
        <v>15</v>
      </c>
      <c r="G616" s="125" t="s">
        <v>3</v>
      </c>
      <c r="H616" s="88" t="s">
        <v>43</v>
      </c>
      <c r="I616" s="88"/>
      <c r="J616" s="143">
        <f t="shared" si="33"/>
        <v>0.42857142857142855</v>
      </c>
      <c r="M616" s="129"/>
      <c r="N616" s="130"/>
      <c r="O616" s="131"/>
    </row>
    <row r="617" spans="1:15" hidden="1" outlineLevel="1" x14ac:dyDescent="0.2">
      <c r="A617" s="74">
        <v>56</v>
      </c>
      <c r="B617" s="80" t="s">
        <v>434</v>
      </c>
      <c r="C617" s="78"/>
      <c r="D617" s="77">
        <v>50</v>
      </c>
      <c r="E617" s="77">
        <v>80</v>
      </c>
      <c r="F617" s="126">
        <f t="shared" si="35"/>
        <v>30</v>
      </c>
      <c r="G617" s="125" t="s">
        <v>3</v>
      </c>
      <c r="H617" s="88" t="s">
        <v>43</v>
      </c>
      <c r="I617" s="88"/>
      <c r="J617" s="143">
        <f t="shared" si="33"/>
        <v>0.375</v>
      </c>
      <c r="M617" s="129"/>
      <c r="N617" s="130"/>
      <c r="O617" s="131"/>
    </row>
    <row r="618" spans="1:15" hidden="1" outlineLevel="1" x14ac:dyDescent="0.2">
      <c r="A618" s="74">
        <v>57</v>
      </c>
      <c r="B618" s="80" t="s">
        <v>436</v>
      </c>
      <c r="C618" s="78"/>
      <c r="D618" s="77">
        <v>7.5</v>
      </c>
      <c r="E618" s="77">
        <v>15</v>
      </c>
      <c r="F618" s="126">
        <f t="shared" si="35"/>
        <v>7.5</v>
      </c>
      <c r="G618" s="125" t="s">
        <v>3</v>
      </c>
      <c r="H618" s="88" t="s">
        <v>43</v>
      </c>
      <c r="I618" s="88"/>
      <c r="J618" s="143">
        <f t="shared" si="33"/>
        <v>0.5</v>
      </c>
      <c r="M618" s="129"/>
      <c r="N618" s="130"/>
      <c r="O618" s="131"/>
    </row>
    <row r="619" spans="1:15" hidden="1" outlineLevel="1" x14ac:dyDescent="0.2">
      <c r="A619" s="74">
        <v>58</v>
      </c>
      <c r="B619" s="80" t="s">
        <v>437</v>
      </c>
      <c r="C619" s="78"/>
      <c r="D619" s="77">
        <v>7.5</v>
      </c>
      <c r="E619" s="77">
        <v>20</v>
      </c>
      <c r="F619" s="126">
        <f t="shared" si="35"/>
        <v>12.5</v>
      </c>
      <c r="G619" s="125" t="s">
        <v>3</v>
      </c>
      <c r="H619" s="88" t="s">
        <v>43</v>
      </c>
      <c r="I619" s="88"/>
      <c r="J619" s="143">
        <f t="shared" si="33"/>
        <v>0.625</v>
      </c>
      <c r="M619" s="129"/>
      <c r="N619" s="130"/>
      <c r="O619" s="131"/>
    </row>
    <row r="620" spans="1:15" hidden="1" outlineLevel="1" x14ac:dyDescent="0.2">
      <c r="A620" s="74">
        <v>59</v>
      </c>
      <c r="B620" s="80" t="s">
        <v>438</v>
      </c>
      <c r="C620" s="78"/>
      <c r="D620" s="77">
        <v>19</v>
      </c>
      <c r="E620" s="77">
        <v>40</v>
      </c>
      <c r="F620" s="126">
        <f t="shared" si="35"/>
        <v>21</v>
      </c>
      <c r="G620" s="125" t="s">
        <v>3</v>
      </c>
      <c r="H620" s="88" t="s">
        <v>43</v>
      </c>
      <c r="I620" s="88"/>
      <c r="J620" s="143">
        <f t="shared" si="33"/>
        <v>0.52500000000000002</v>
      </c>
    </row>
    <row r="621" spans="1:15" hidden="1" outlineLevel="1" x14ac:dyDescent="0.2">
      <c r="A621" s="74">
        <v>60</v>
      </c>
      <c r="B621" s="80" t="s">
        <v>438</v>
      </c>
      <c r="C621" s="78"/>
      <c r="D621" s="77">
        <v>19</v>
      </c>
      <c r="E621" s="77">
        <v>40</v>
      </c>
      <c r="F621" s="126">
        <f t="shared" si="35"/>
        <v>21</v>
      </c>
      <c r="G621" s="125" t="s">
        <v>3</v>
      </c>
      <c r="H621" s="88" t="s">
        <v>43</v>
      </c>
      <c r="I621" s="88"/>
      <c r="J621" s="143">
        <f t="shared" si="33"/>
        <v>0.52500000000000002</v>
      </c>
      <c r="M621" s="129"/>
      <c r="N621" s="129"/>
      <c r="O621" s="129"/>
    </row>
    <row r="622" spans="1:15" hidden="1" outlineLevel="1" x14ac:dyDescent="0.2">
      <c r="A622" s="74">
        <v>61</v>
      </c>
      <c r="B622" s="80" t="s">
        <v>438</v>
      </c>
      <c r="C622" s="78"/>
      <c r="D622" s="77">
        <v>19</v>
      </c>
      <c r="E622" s="77">
        <v>40</v>
      </c>
      <c r="F622" s="126">
        <f t="shared" si="35"/>
        <v>21</v>
      </c>
      <c r="G622" s="125" t="s">
        <v>3</v>
      </c>
      <c r="H622" s="88" t="s">
        <v>43</v>
      </c>
      <c r="I622" s="88"/>
      <c r="J622" s="143">
        <f t="shared" si="33"/>
        <v>0.52500000000000002</v>
      </c>
    </row>
    <row r="623" spans="1:15" hidden="1" outlineLevel="1" x14ac:dyDescent="0.2">
      <c r="A623" s="74">
        <v>62</v>
      </c>
      <c r="B623" s="80" t="s">
        <v>438</v>
      </c>
      <c r="C623" s="78"/>
      <c r="D623" s="77">
        <v>19</v>
      </c>
      <c r="E623" s="77">
        <v>40</v>
      </c>
      <c r="F623" s="126">
        <f t="shared" si="35"/>
        <v>21</v>
      </c>
      <c r="G623" s="125" t="s">
        <v>3</v>
      </c>
      <c r="H623" s="88" t="s">
        <v>43</v>
      </c>
      <c r="I623" s="88"/>
      <c r="J623" s="143">
        <f t="shared" si="33"/>
        <v>0.52500000000000002</v>
      </c>
    </row>
    <row r="624" spans="1:15" hidden="1" outlineLevel="1" x14ac:dyDescent="0.2">
      <c r="A624" s="74">
        <v>63</v>
      </c>
      <c r="B624" s="80" t="s">
        <v>438</v>
      </c>
      <c r="C624" s="78"/>
      <c r="D624" s="77">
        <v>19</v>
      </c>
      <c r="E624" s="77">
        <v>40</v>
      </c>
      <c r="F624" s="126">
        <f t="shared" si="35"/>
        <v>21</v>
      </c>
      <c r="G624" s="125" t="s">
        <v>3</v>
      </c>
      <c r="H624" s="88" t="s">
        <v>43</v>
      </c>
      <c r="I624" s="88"/>
      <c r="J624" s="143">
        <f t="shared" si="33"/>
        <v>0.52500000000000002</v>
      </c>
    </row>
    <row r="625" spans="1:10" hidden="1" outlineLevel="1" x14ac:dyDescent="0.2">
      <c r="A625" s="74">
        <v>64</v>
      </c>
      <c r="B625" s="80" t="s">
        <v>438</v>
      </c>
      <c r="C625" s="78"/>
      <c r="D625" s="77">
        <v>19</v>
      </c>
      <c r="E625" s="77">
        <v>40</v>
      </c>
      <c r="F625" s="126">
        <f t="shared" si="35"/>
        <v>21</v>
      </c>
      <c r="G625" s="125" t="s">
        <v>3</v>
      </c>
      <c r="H625" s="88" t="s">
        <v>43</v>
      </c>
      <c r="I625" s="88"/>
      <c r="J625" s="143">
        <f t="shared" si="33"/>
        <v>0.52500000000000002</v>
      </c>
    </row>
    <row r="626" spans="1:10" hidden="1" outlineLevel="1" x14ac:dyDescent="0.2">
      <c r="A626" s="74">
        <v>65</v>
      </c>
      <c r="B626" s="80" t="s">
        <v>437</v>
      </c>
      <c r="C626" s="78"/>
      <c r="D626" s="77">
        <v>7.5</v>
      </c>
      <c r="E626" s="77">
        <v>20</v>
      </c>
      <c r="F626" s="126">
        <f t="shared" si="35"/>
        <v>12.5</v>
      </c>
      <c r="G626" s="125" t="s">
        <v>3</v>
      </c>
      <c r="H626" s="88" t="s">
        <v>43</v>
      </c>
      <c r="I626" s="88"/>
      <c r="J626" s="143">
        <f t="shared" si="33"/>
        <v>0.625</v>
      </c>
    </row>
    <row r="627" spans="1:10" hidden="1" outlineLevel="1" x14ac:dyDescent="0.2">
      <c r="A627" s="74">
        <v>66</v>
      </c>
      <c r="B627" s="80" t="s">
        <v>439</v>
      </c>
      <c r="C627" s="78"/>
      <c r="D627" s="77">
        <v>25</v>
      </c>
      <c r="E627" s="77">
        <v>40</v>
      </c>
      <c r="F627" s="126">
        <f t="shared" si="35"/>
        <v>15</v>
      </c>
      <c r="G627" s="125" t="s">
        <v>3</v>
      </c>
      <c r="H627" s="88" t="s">
        <v>43</v>
      </c>
      <c r="I627" s="88"/>
      <c r="J627" s="143">
        <f t="shared" si="33"/>
        <v>0.375</v>
      </c>
    </row>
    <row r="628" spans="1:10" hidden="1" outlineLevel="1" x14ac:dyDescent="0.2">
      <c r="A628" s="74">
        <v>67</v>
      </c>
      <c r="B628" s="80" t="s">
        <v>443</v>
      </c>
      <c r="C628" s="78"/>
      <c r="D628" s="77">
        <v>25</v>
      </c>
      <c r="E628" s="77">
        <v>50</v>
      </c>
      <c r="F628" s="126">
        <f t="shared" si="35"/>
        <v>25</v>
      </c>
      <c r="G628" s="125" t="s">
        <v>3</v>
      </c>
      <c r="H628" s="88" t="s">
        <v>43</v>
      </c>
      <c r="I628" s="88"/>
      <c r="J628" s="143">
        <f t="shared" si="33"/>
        <v>0.5</v>
      </c>
    </row>
    <row r="629" spans="1:10" hidden="1" outlineLevel="1" x14ac:dyDescent="0.2">
      <c r="A629" s="74">
        <v>68</v>
      </c>
      <c r="B629" s="80" t="s">
        <v>440</v>
      </c>
      <c r="C629" s="78"/>
      <c r="D629" s="77">
        <v>480</v>
      </c>
      <c r="E629" s="77">
        <v>650</v>
      </c>
      <c r="F629" s="126">
        <f t="shared" si="35"/>
        <v>170</v>
      </c>
      <c r="G629" s="125" t="s">
        <v>3</v>
      </c>
      <c r="H629" s="88" t="s">
        <v>43</v>
      </c>
      <c r="I629" s="88"/>
      <c r="J629" s="143">
        <f t="shared" si="33"/>
        <v>0.26153846153846155</v>
      </c>
    </row>
    <row r="630" spans="1:10" hidden="1" outlineLevel="1" x14ac:dyDescent="0.2">
      <c r="A630" s="74">
        <v>69</v>
      </c>
      <c r="B630" s="80" t="s">
        <v>441</v>
      </c>
      <c r="C630" s="78"/>
      <c r="D630" s="77">
        <v>50</v>
      </c>
      <c r="E630" s="77">
        <v>80</v>
      </c>
      <c r="F630" s="126">
        <f t="shared" si="35"/>
        <v>30</v>
      </c>
      <c r="G630" s="125" t="s">
        <v>3</v>
      </c>
      <c r="H630" s="88" t="s">
        <v>43</v>
      </c>
      <c r="I630" s="88"/>
      <c r="J630" s="143">
        <f t="shared" si="33"/>
        <v>0.375</v>
      </c>
    </row>
    <row r="631" spans="1:10" hidden="1" outlineLevel="1" x14ac:dyDescent="0.2">
      <c r="A631" s="74">
        <v>70</v>
      </c>
      <c r="B631" s="80" t="s">
        <v>442</v>
      </c>
      <c r="C631" s="78"/>
      <c r="D631" s="77">
        <v>2</v>
      </c>
      <c r="E631" s="77">
        <v>5</v>
      </c>
      <c r="F631" s="126">
        <f t="shared" si="35"/>
        <v>3</v>
      </c>
      <c r="G631" s="125" t="s">
        <v>3</v>
      </c>
      <c r="H631" s="88" t="s">
        <v>43</v>
      </c>
      <c r="I631" s="88"/>
      <c r="J631" s="143">
        <f t="shared" si="33"/>
        <v>0.6</v>
      </c>
    </row>
    <row r="632" spans="1:10" hidden="1" outlineLevel="1" x14ac:dyDescent="0.2">
      <c r="A632" s="74">
        <v>71</v>
      </c>
      <c r="B632" s="80" t="s">
        <v>442</v>
      </c>
      <c r="C632" s="78"/>
      <c r="D632" s="77">
        <v>2</v>
      </c>
      <c r="E632" s="77">
        <v>5</v>
      </c>
      <c r="F632" s="126">
        <f t="shared" si="35"/>
        <v>3</v>
      </c>
      <c r="G632" s="125" t="s">
        <v>3</v>
      </c>
      <c r="H632" s="88" t="s">
        <v>43</v>
      </c>
      <c r="I632" s="88"/>
      <c r="J632" s="143">
        <f t="shared" si="33"/>
        <v>0.6</v>
      </c>
    </row>
    <row r="633" spans="1:10" hidden="1" outlineLevel="1" x14ac:dyDescent="0.2">
      <c r="A633" s="74">
        <v>72</v>
      </c>
      <c r="B633" s="80" t="s">
        <v>442</v>
      </c>
      <c r="C633" s="78"/>
      <c r="D633" s="77">
        <v>2</v>
      </c>
      <c r="E633" s="77">
        <v>5</v>
      </c>
      <c r="F633" s="126">
        <f t="shared" si="35"/>
        <v>3</v>
      </c>
      <c r="G633" s="125" t="s">
        <v>3</v>
      </c>
      <c r="H633" s="88" t="s">
        <v>43</v>
      </c>
      <c r="I633" s="88"/>
      <c r="J633" s="143">
        <f t="shared" si="33"/>
        <v>0.6</v>
      </c>
    </row>
    <row r="634" spans="1:10" hidden="1" outlineLevel="1" x14ac:dyDescent="0.2">
      <c r="A634" s="74">
        <v>73</v>
      </c>
      <c r="B634" s="80" t="s">
        <v>442</v>
      </c>
      <c r="C634" s="78"/>
      <c r="D634" s="77">
        <v>2</v>
      </c>
      <c r="E634" s="77">
        <v>5</v>
      </c>
      <c r="F634" s="126">
        <f t="shared" si="35"/>
        <v>3</v>
      </c>
      <c r="G634" s="125" t="s">
        <v>3</v>
      </c>
      <c r="H634" s="88" t="s">
        <v>43</v>
      </c>
      <c r="I634" s="88"/>
      <c r="J634" s="143">
        <f t="shared" si="33"/>
        <v>0.6</v>
      </c>
    </row>
    <row r="635" spans="1:10" hidden="1" outlineLevel="1" x14ac:dyDescent="0.2">
      <c r="A635" s="74">
        <v>74</v>
      </c>
      <c r="B635" s="80" t="s">
        <v>442</v>
      </c>
      <c r="C635" s="78"/>
      <c r="D635" s="77">
        <v>2</v>
      </c>
      <c r="E635" s="77">
        <v>5</v>
      </c>
      <c r="F635" s="126">
        <f t="shared" si="35"/>
        <v>3</v>
      </c>
      <c r="G635" s="125" t="s">
        <v>3</v>
      </c>
      <c r="H635" s="88" t="s">
        <v>43</v>
      </c>
      <c r="I635" s="88"/>
      <c r="J635" s="143">
        <f t="shared" si="33"/>
        <v>0.6</v>
      </c>
    </row>
    <row r="636" spans="1:10" hidden="1" outlineLevel="1" x14ac:dyDescent="0.2">
      <c r="A636" s="74">
        <v>75</v>
      </c>
      <c r="B636" s="80" t="s">
        <v>442</v>
      </c>
      <c r="C636" s="78"/>
      <c r="D636" s="77">
        <v>2</v>
      </c>
      <c r="E636" s="77">
        <v>5</v>
      </c>
      <c r="F636" s="126">
        <f t="shared" si="35"/>
        <v>3</v>
      </c>
      <c r="G636" s="125" t="s">
        <v>3</v>
      </c>
      <c r="H636" s="88" t="s">
        <v>43</v>
      </c>
      <c r="I636" s="88"/>
      <c r="J636" s="143">
        <f t="shared" si="33"/>
        <v>0.6</v>
      </c>
    </row>
    <row r="637" spans="1:10" hidden="1" outlineLevel="1" x14ac:dyDescent="0.2">
      <c r="A637" s="74">
        <v>76</v>
      </c>
      <c r="B637" s="80" t="s">
        <v>444</v>
      </c>
      <c r="C637" s="78"/>
      <c r="D637" s="77">
        <v>3.5</v>
      </c>
      <c r="E637" s="77">
        <v>10</v>
      </c>
      <c r="F637" s="126">
        <f t="shared" si="35"/>
        <v>6.5</v>
      </c>
      <c r="G637" s="125" t="s">
        <v>3</v>
      </c>
      <c r="H637" s="88" t="s">
        <v>43</v>
      </c>
      <c r="I637" s="88"/>
      <c r="J637" s="143">
        <f t="shared" si="33"/>
        <v>0.65</v>
      </c>
    </row>
    <row r="638" spans="1:10" hidden="1" outlineLevel="1" x14ac:dyDescent="0.2">
      <c r="A638" s="74">
        <v>77</v>
      </c>
      <c r="B638" s="80" t="s">
        <v>444</v>
      </c>
      <c r="C638" s="78"/>
      <c r="D638" s="77">
        <v>3.5</v>
      </c>
      <c r="E638" s="77">
        <v>10</v>
      </c>
      <c r="F638" s="126">
        <f t="shared" si="35"/>
        <v>6.5</v>
      </c>
      <c r="G638" s="125" t="s">
        <v>3</v>
      </c>
      <c r="H638" s="88" t="s">
        <v>43</v>
      </c>
      <c r="I638" s="88"/>
      <c r="J638" s="143">
        <f t="shared" si="33"/>
        <v>0.65</v>
      </c>
    </row>
    <row r="639" spans="1:10" hidden="1" outlineLevel="1" x14ac:dyDescent="0.2">
      <c r="A639" s="74">
        <v>78</v>
      </c>
      <c r="B639" s="80" t="s">
        <v>138</v>
      </c>
      <c r="C639" s="78"/>
      <c r="D639" s="77">
        <v>2</v>
      </c>
      <c r="E639" s="77">
        <v>5</v>
      </c>
      <c r="F639" s="126">
        <f t="shared" si="35"/>
        <v>3</v>
      </c>
      <c r="G639" s="125" t="s">
        <v>3</v>
      </c>
      <c r="H639" s="88" t="s">
        <v>43</v>
      </c>
      <c r="I639" s="88"/>
      <c r="J639" s="143">
        <f t="shared" si="33"/>
        <v>0.6</v>
      </c>
    </row>
    <row r="640" spans="1:10" hidden="1" outlineLevel="1" x14ac:dyDescent="0.2">
      <c r="A640" s="74">
        <v>79</v>
      </c>
      <c r="B640" s="80" t="s">
        <v>138</v>
      </c>
      <c r="C640" s="78"/>
      <c r="D640" s="77">
        <v>2</v>
      </c>
      <c r="E640" s="77">
        <v>5</v>
      </c>
      <c r="F640" s="126">
        <f t="shared" si="35"/>
        <v>3</v>
      </c>
      <c r="G640" s="125" t="s">
        <v>3</v>
      </c>
      <c r="H640" s="88" t="s">
        <v>43</v>
      </c>
      <c r="I640" s="88"/>
      <c r="J640" s="143">
        <f t="shared" si="33"/>
        <v>0.6</v>
      </c>
    </row>
    <row r="641" spans="1:10" hidden="1" outlineLevel="1" x14ac:dyDescent="0.2">
      <c r="A641" s="74">
        <v>80</v>
      </c>
      <c r="B641" s="80" t="s">
        <v>445</v>
      </c>
      <c r="C641" s="78"/>
      <c r="D641" s="77">
        <v>30</v>
      </c>
      <c r="E641" s="77">
        <v>50</v>
      </c>
      <c r="F641" s="126">
        <f t="shared" si="35"/>
        <v>20</v>
      </c>
      <c r="G641" s="125" t="s">
        <v>3</v>
      </c>
      <c r="H641" s="88" t="s">
        <v>43</v>
      </c>
      <c r="I641" s="88"/>
      <c r="J641" s="143">
        <f t="shared" si="33"/>
        <v>0.4</v>
      </c>
    </row>
    <row r="642" spans="1:10" hidden="1" outlineLevel="1" x14ac:dyDescent="0.2">
      <c r="A642" s="74">
        <v>81</v>
      </c>
      <c r="B642" s="80" t="s">
        <v>446</v>
      </c>
      <c r="C642" s="78"/>
      <c r="D642" s="77">
        <v>25</v>
      </c>
      <c r="E642" s="77">
        <v>60</v>
      </c>
      <c r="F642" s="126">
        <f t="shared" ref="F642:F673" si="36">E642-D642</f>
        <v>35</v>
      </c>
      <c r="G642" s="125" t="s">
        <v>3</v>
      </c>
      <c r="H642" s="88" t="s">
        <v>43</v>
      </c>
      <c r="I642" s="88"/>
      <c r="J642" s="143">
        <f t="shared" ref="J642:J705" si="37">F642/E642</f>
        <v>0.58333333333333337</v>
      </c>
    </row>
    <row r="643" spans="1:10" hidden="1" outlineLevel="1" x14ac:dyDescent="0.2">
      <c r="A643" s="74">
        <v>82</v>
      </c>
      <c r="B643" s="80" t="s">
        <v>447</v>
      </c>
      <c r="C643" s="78"/>
      <c r="D643" s="77">
        <v>10</v>
      </c>
      <c r="E643" s="77">
        <v>20</v>
      </c>
      <c r="F643" s="126">
        <f t="shared" si="36"/>
        <v>10</v>
      </c>
      <c r="G643" s="125" t="s">
        <v>3</v>
      </c>
      <c r="H643" s="88" t="s">
        <v>43</v>
      </c>
      <c r="I643" s="88"/>
      <c r="J643" s="143">
        <f t="shared" si="37"/>
        <v>0.5</v>
      </c>
    </row>
    <row r="644" spans="1:10" hidden="1" outlineLevel="1" x14ac:dyDescent="0.2">
      <c r="A644" s="74">
        <v>83</v>
      </c>
      <c r="B644" s="80" t="s">
        <v>448</v>
      </c>
      <c r="C644" s="78"/>
      <c r="D644" s="77">
        <v>8</v>
      </c>
      <c r="E644" s="77">
        <v>20</v>
      </c>
      <c r="F644" s="126">
        <f t="shared" si="36"/>
        <v>12</v>
      </c>
      <c r="G644" s="125" t="s">
        <v>3</v>
      </c>
      <c r="H644" s="88" t="s">
        <v>43</v>
      </c>
      <c r="I644" s="88"/>
      <c r="J644" s="143">
        <f t="shared" si="37"/>
        <v>0.6</v>
      </c>
    </row>
    <row r="645" spans="1:10" hidden="1" outlineLevel="1" x14ac:dyDescent="0.2">
      <c r="A645" s="74">
        <v>84</v>
      </c>
      <c r="B645" s="80" t="s">
        <v>449</v>
      </c>
      <c r="C645" s="78"/>
      <c r="D645" s="77">
        <v>50</v>
      </c>
      <c r="E645" s="77">
        <v>70</v>
      </c>
      <c r="F645" s="126">
        <f t="shared" si="36"/>
        <v>20</v>
      </c>
      <c r="G645" s="125" t="s">
        <v>3</v>
      </c>
      <c r="H645" s="88" t="s">
        <v>43</v>
      </c>
      <c r="I645" s="88"/>
      <c r="J645" s="143">
        <f t="shared" si="37"/>
        <v>0.2857142857142857</v>
      </c>
    </row>
    <row r="646" spans="1:10" hidden="1" outlineLevel="1" x14ac:dyDescent="0.2">
      <c r="A646" s="74">
        <v>85</v>
      </c>
      <c r="B646" s="80" t="s">
        <v>449</v>
      </c>
      <c r="C646" s="78"/>
      <c r="D646" s="77">
        <v>50</v>
      </c>
      <c r="E646" s="77">
        <v>70</v>
      </c>
      <c r="F646" s="126">
        <f t="shared" si="36"/>
        <v>20</v>
      </c>
      <c r="G646" s="125" t="s">
        <v>3</v>
      </c>
      <c r="H646" s="88" t="s">
        <v>43</v>
      </c>
      <c r="I646" s="88"/>
      <c r="J646" s="143">
        <f t="shared" si="37"/>
        <v>0.2857142857142857</v>
      </c>
    </row>
    <row r="647" spans="1:10" hidden="1" outlineLevel="1" x14ac:dyDescent="0.2">
      <c r="A647" s="74">
        <v>86</v>
      </c>
      <c r="B647" s="80" t="s">
        <v>449</v>
      </c>
      <c r="C647" s="78"/>
      <c r="D647" s="77">
        <v>50</v>
      </c>
      <c r="E647" s="77">
        <v>70</v>
      </c>
      <c r="F647" s="126">
        <f t="shared" si="36"/>
        <v>20</v>
      </c>
      <c r="G647" s="125" t="s">
        <v>3</v>
      </c>
      <c r="H647" s="88" t="s">
        <v>43</v>
      </c>
      <c r="I647" s="88"/>
      <c r="J647" s="143">
        <f t="shared" si="37"/>
        <v>0.2857142857142857</v>
      </c>
    </row>
    <row r="648" spans="1:10" hidden="1" outlineLevel="1" x14ac:dyDescent="0.2">
      <c r="A648" s="74">
        <v>87</v>
      </c>
      <c r="B648" s="80" t="s">
        <v>449</v>
      </c>
      <c r="C648" s="78"/>
      <c r="D648" s="77">
        <v>50</v>
      </c>
      <c r="E648" s="77">
        <v>70</v>
      </c>
      <c r="F648" s="126">
        <f t="shared" si="36"/>
        <v>20</v>
      </c>
      <c r="G648" s="125" t="s">
        <v>3</v>
      </c>
      <c r="H648" s="88" t="s">
        <v>43</v>
      </c>
      <c r="I648" s="88"/>
      <c r="J648" s="143">
        <f t="shared" si="37"/>
        <v>0.2857142857142857</v>
      </c>
    </row>
    <row r="649" spans="1:10" hidden="1" outlineLevel="1" x14ac:dyDescent="0.2">
      <c r="A649" s="74">
        <v>88</v>
      </c>
      <c r="B649" s="80" t="s">
        <v>450</v>
      </c>
      <c r="C649" s="78"/>
      <c r="D649" s="77">
        <v>33</v>
      </c>
      <c r="E649" s="77">
        <v>60</v>
      </c>
      <c r="F649" s="126">
        <f t="shared" si="36"/>
        <v>27</v>
      </c>
      <c r="G649" s="125" t="s">
        <v>3</v>
      </c>
      <c r="H649" s="88" t="s">
        <v>43</v>
      </c>
      <c r="I649" s="88"/>
      <c r="J649" s="143">
        <f t="shared" si="37"/>
        <v>0.45</v>
      </c>
    </row>
    <row r="650" spans="1:10" hidden="1" outlineLevel="1" x14ac:dyDescent="0.2">
      <c r="A650" s="74">
        <v>89</v>
      </c>
      <c r="B650" s="80" t="s">
        <v>451</v>
      </c>
      <c r="C650" s="78"/>
      <c r="D650" s="77">
        <v>16</v>
      </c>
      <c r="E650" s="77">
        <v>35</v>
      </c>
      <c r="F650" s="126">
        <f t="shared" si="36"/>
        <v>19</v>
      </c>
      <c r="G650" s="125" t="s">
        <v>3</v>
      </c>
      <c r="H650" s="88" t="s">
        <v>43</v>
      </c>
      <c r="I650" s="88"/>
      <c r="J650" s="143">
        <f t="shared" si="37"/>
        <v>0.54285714285714282</v>
      </c>
    </row>
    <row r="651" spans="1:10" hidden="1" outlineLevel="1" x14ac:dyDescent="0.2">
      <c r="A651" s="74">
        <v>113</v>
      </c>
      <c r="B651" s="80" t="s">
        <v>446</v>
      </c>
      <c r="C651" s="78"/>
      <c r="D651" s="77">
        <v>25</v>
      </c>
      <c r="E651" s="77">
        <v>50</v>
      </c>
      <c r="F651" s="126">
        <f t="shared" si="36"/>
        <v>25</v>
      </c>
      <c r="G651" s="125" t="s">
        <v>3</v>
      </c>
      <c r="H651" s="88" t="s">
        <v>43</v>
      </c>
      <c r="I651" s="88"/>
      <c r="J651" s="143">
        <f t="shared" si="37"/>
        <v>0.5</v>
      </c>
    </row>
    <row r="652" spans="1:10" hidden="1" outlineLevel="1" x14ac:dyDescent="0.2">
      <c r="A652" s="74">
        <v>114</v>
      </c>
      <c r="B652" s="80" t="s">
        <v>459</v>
      </c>
      <c r="C652" s="78"/>
      <c r="D652" s="77">
        <v>10</v>
      </c>
      <c r="E652" s="77">
        <v>20</v>
      </c>
      <c r="F652" s="77">
        <f t="shared" si="36"/>
        <v>10</v>
      </c>
      <c r="G652" s="125" t="s">
        <v>3</v>
      </c>
      <c r="H652" s="88" t="s">
        <v>43</v>
      </c>
      <c r="I652" s="88"/>
      <c r="J652" s="143">
        <f t="shared" si="37"/>
        <v>0.5</v>
      </c>
    </row>
    <row r="653" spans="1:10" hidden="1" outlineLevel="1" x14ac:dyDescent="0.2">
      <c r="A653" s="74">
        <v>112</v>
      </c>
      <c r="B653" s="80" t="s">
        <v>222</v>
      </c>
      <c r="C653" s="78">
        <v>4</v>
      </c>
      <c r="D653" s="77">
        <f>4*40</f>
        <v>160</v>
      </c>
      <c r="E653" s="77">
        <f>4*86</f>
        <v>344</v>
      </c>
      <c r="F653" s="126">
        <f t="shared" si="36"/>
        <v>184</v>
      </c>
      <c r="G653" s="125" t="s">
        <v>3</v>
      </c>
      <c r="H653" s="88" t="s">
        <v>345</v>
      </c>
      <c r="I653" s="88"/>
      <c r="J653" s="143">
        <f t="shared" si="37"/>
        <v>0.53488372093023251</v>
      </c>
    </row>
    <row r="654" spans="1:10" hidden="1" outlineLevel="1" x14ac:dyDescent="0.2">
      <c r="A654" s="74">
        <v>90</v>
      </c>
      <c r="B654" s="80" t="s">
        <v>401</v>
      </c>
      <c r="C654" s="78">
        <v>1</v>
      </c>
      <c r="D654" s="77">
        <v>10</v>
      </c>
      <c r="E654" s="77">
        <v>35</v>
      </c>
      <c r="F654" s="126">
        <f t="shared" si="36"/>
        <v>25</v>
      </c>
      <c r="G654" s="125" t="s">
        <v>3</v>
      </c>
      <c r="H654" s="88" t="s">
        <v>107</v>
      </c>
      <c r="I654" s="88"/>
      <c r="J654" s="143">
        <f t="shared" si="37"/>
        <v>0.7142857142857143</v>
      </c>
    </row>
    <row r="655" spans="1:10" hidden="1" outlineLevel="1" x14ac:dyDescent="0.2">
      <c r="A655" s="74">
        <v>91</v>
      </c>
      <c r="B655" s="80" t="s">
        <v>95</v>
      </c>
      <c r="C655" s="78">
        <v>1</v>
      </c>
      <c r="D655" s="77">
        <v>6</v>
      </c>
      <c r="E655" s="77">
        <v>22.65</v>
      </c>
      <c r="F655" s="126">
        <f t="shared" si="36"/>
        <v>16.649999999999999</v>
      </c>
      <c r="G655" s="125" t="s">
        <v>3</v>
      </c>
      <c r="H655" s="88" t="s">
        <v>107</v>
      </c>
      <c r="I655" s="88"/>
      <c r="J655" s="143">
        <f t="shared" si="37"/>
        <v>0.73509933774834435</v>
      </c>
    </row>
    <row r="656" spans="1:10" hidden="1" outlineLevel="1" x14ac:dyDescent="0.2">
      <c r="A656" s="74">
        <v>92</v>
      </c>
      <c r="B656" s="80" t="s">
        <v>452</v>
      </c>
      <c r="C656" s="78">
        <v>2</v>
      </c>
      <c r="D656" s="77">
        <v>18</v>
      </c>
      <c r="E656" s="77">
        <v>36.270000000000003</v>
      </c>
      <c r="F656" s="126">
        <f t="shared" si="36"/>
        <v>18.270000000000003</v>
      </c>
      <c r="G656" s="125" t="s">
        <v>3</v>
      </c>
      <c r="H656" s="88" t="s">
        <v>107</v>
      </c>
      <c r="I656" s="88"/>
      <c r="J656" s="143">
        <f t="shared" si="37"/>
        <v>0.50372208436724575</v>
      </c>
    </row>
    <row r="657" spans="1:10" hidden="1" outlineLevel="1" x14ac:dyDescent="0.2">
      <c r="A657" s="74">
        <v>93</v>
      </c>
      <c r="B657" s="80" t="s">
        <v>287</v>
      </c>
      <c r="C657" s="78">
        <v>1</v>
      </c>
      <c r="D657" s="77">
        <v>2.8</v>
      </c>
      <c r="E657" s="77">
        <v>27.64</v>
      </c>
      <c r="F657" s="126">
        <f t="shared" si="36"/>
        <v>24.84</v>
      </c>
      <c r="G657" s="125" t="s">
        <v>3</v>
      </c>
      <c r="H657" s="88" t="s">
        <v>107</v>
      </c>
      <c r="I657" s="88"/>
      <c r="J657" s="143">
        <f t="shared" si="37"/>
        <v>0.89869753979739508</v>
      </c>
    </row>
    <row r="658" spans="1:10" hidden="1" outlineLevel="1" x14ac:dyDescent="0.2">
      <c r="A658" s="74">
        <v>94</v>
      </c>
      <c r="B658" s="80" t="s">
        <v>453</v>
      </c>
      <c r="C658" s="78">
        <v>1</v>
      </c>
      <c r="D658" s="77">
        <v>10</v>
      </c>
      <c r="E658" s="77">
        <v>34.950000000000003</v>
      </c>
      <c r="F658" s="126">
        <f t="shared" si="36"/>
        <v>24.950000000000003</v>
      </c>
      <c r="G658" s="125" t="s">
        <v>3</v>
      </c>
      <c r="H658" s="88" t="s">
        <v>107</v>
      </c>
      <c r="I658" s="88"/>
      <c r="J658" s="143">
        <f t="shared" si="37"/>
        <v>0.71387696709585124</v>
      </c>
    </row>
    <row r="659" spans="1:10" hidden="1" outlineLevel="1" x14ac:dyDescent="0.2">
      <c r="A659" s="74">
        <v>95</v>
      </c>
      <c r="B659" s="80" t="s">
        <v>288</v>
      </c>
      <c r="C659" s="78">
        <v>1</v>
      </c>
      <c r="D659" s="77">
        <v>85</v>
      </c>
      <c r="E659" s="77">
        <v>144.63999999999999</v>
      </c>
      <c r="F659" s="126">
        <f t="shared" si="36"/>
        <v>59.639999999999986</v>
      </c>
      <c r="G659" s="125" t="s">
        <v>3</v>
      </c>
      <c r="H659" s="88" t="s">
        <v>107</v>
      </c>
      <c r="I659" s="88"/>
      <c r="J659" s="143">
        <f t="shared" si="37"/>
        <v>0.41233407079646012</v>
      </c>
    </row>
    <row r="660" spans="1:10" hidden="1" outlineLevel="1" x14ac:dyDescent="0.2">
      <c r="A660" s="74">
        <v>96</v>
      </c>
      <c r="B660" s="80" t="s">
        <v>124</v>
      </c>
      <c r="C660" s="78">
        <v>2</v>
      </c>
      <c r="D660" s="77">
        <v>80</v>
      </c>
      <c r="E660" s="77">
        <v>161.74</v>
      </c>
      <c r="F660" s="126">
        <f t="shared" si="36"/>
        <v>81.740000000000009</v>
      </c>
      <c r="G660" s="125" t="s">
        <v>3</v>
      </c>
      <c r="H660" s="88" t="s">
        <v>107</v>
      </c>
      <c r="I660" s="88"/>
      <c r="J660" s="143">
        <f t="shared" si="37"/>
        <v>0.50537900333869179</v>
      </c>
    </row>
    <row r="661" spans="1:10" hidden="1" outlineLevel="1" x14ac:dyDescent="0.2">
      <c r="A661" s="74">
        <v>97</v>
      </c>
      <c r="B661" s="80" t="s">
        <v>222</v>
      </c>
      <c r="C661" s="78">
        <v>5</v>
      </c>
      <c r="D661" s="77">
        <v>200</v>
      </c>
      <c r="E661" s="77">
        <v>404.45</v>
      </c>
      <c r="F661" s="126">
        <f t="shared" si="36"/>
        <v>204.45</v>
      </c>
      <c r="G661" s="125" t="s">
        <v>3</v>
      </c>
      <c r="H661" s="88" t="s">
        <v>107</v>
      </c>
      <c r="I661" s="88"/>
      <c r="J661" s="143">
        <f t="shared" si="37"/>
        <v>0.50550129805909261</v>
      </c>
    </row>
    <row r="662" spans="1:10" hidden="1" outlineLevel="1" x14ac:dyDescent="0.2">
      <c r="A662" s="74">
        <v>98</v>
      </c>
      <c r="B662" s="80" t="s">
        <v>378</v>
      </c>
      <c r="C662" s="78">
        <v>2</v>
      </c>
      <c r="D662" s="77">
        <v>54</v>
      </c>
      <c r="E662" s="77">
        <v>79.540000000000006</v>
      </c>
      <c r="F662" s="126">
        <f t="shared" si="36"/>
        <v>25.540000000000006</v>
      </c>
      <c r="G662" s="125" t="s">
        <v>3</v>
      </c>
      <c r="H662" s="88" t="s">
        <v>107</v>
      </c>
      <c r="I662" s="88"/>
      <c r="J662" s="143">
        <f t="shared" si="37"/>
        <v>0.32109630374654269</v>
      </c>
    </row>
    <row r="663" spans="1:10" hidden="1" outlineLevel="1" x14ac:dyDescent="0.2">
      <c r="A663" s="74">
        <v>99</v>
      </c>
      <c r="B663" s="80" t="s">
        <v>338</v>
      </c>
      <c r="C663" s="78">
        <v>4</v>
      </c>
      <c r="D663" s="77">
        <v>12</v>
      </c>
      <c r="E663" s="77">
        <v>31.96</v>
      </c>
      <c r="F663" s="126">
        <f t="shared" si="36"/>
        <v>19.96</v>
      </c>
      <c r="G663" s="125" t="s">
        <v>3</v>
      </c>
      <c r="H663" s="88" t="s">
        <v>107</v>
      </c>
      <c r="I663" s="88"/>
      <c r="J663" s="143">
        <f t="shared" si="37"/>
        <v>0.62453066332916152</v>
      </c>
    </row>
    <row r="664" spans="1:10" hidden="1" outlineLevel="1" x14ac:dyDescent="0.2">
      <c r="A664" s="74">
        <v>100</v>
      </c>
      <c r="B664" s="80" t="s">
        <v>253</v>
      </c>
      <c r="C664" s="78">
        <v>4</v>
      </c>
      <c r="D664" s="77">
        <v>12</v>
      </c>
      <c r="E664" s="77">
        <v>20</v>
      </c>
      <c r="F664" s="126">
        <f t="shared" si="36"/>
        <v>8</v>
      </c>
      <c r="G664" s="125" t="s">
        <v>3</v>
      </c>
      <c r="H664" s="88" t="s">
        <v>107</v>
      </c>
      <c r="I664" s="88"/>
      <c r="J664" s="143">
        <f t="shared" si="37"/>
        <v>0.4</v>
      </c>
    </row>
    <row r="665" spans="1:10" hidden="1" outlineLevel="1" x14ac:dyDescent="0.2">
      <c r="A665" s="74">
        <v>101</v>
      </c>
      <c r="B665" s="80" t="s">
        <v>176</v>
      </c>
      <c r="C665" s="78">
        <v>2</v>
      </c>
      <c r="D665" s="77">
        <v>5</v>
      </c>
      <c r="E665" s="77">
        <v>10</v>
      </c>
      <c r="F665" s="126">
        <f t="shared" si="36"/>
        <v>5</v>
      </c>
      <c r="G665" s="125" t="s">
        <v>3</v>
      </c>
      <c r="H665" s="88" t="s">
        <v>107</v>
      </c>
      <c r="I665" s="88"/>
      <c r="J665" s="143">
        <f t="shared" si="37"/>
        <v>0.5</v>
      </c>
    </row>
    <row r="666" spans="1:10" hidden="1" outlineLevel="1" x14ac:dyDescent="0.2">
      <c r="A666" s="74">
        <v>102</v>
      </c>
      <c r="B666" s="80" t="s">
        <v>98</v>
      </c>
      <c r="C666" s="78">
        <v>1</v>
      </c>
      <c r="D666" s="77">
        <v>10</v>
      </c>
      <c r="E666" s="77">
        <v>19.170000000000002</v>
      </c>
      <c r="F666" s="126">
        <f t="shared" si="36"/>
        <v>9.1700000000000017</v>
      </c>
      <c r="G666" s="125" t="s">
        <v>3</v>
      </c>
      <c r="H666" s="88" t="s">
        <v>107</v>
      </c>
      <c r="I666" s="88"/>
      <c r="J666" s="143">
        <f t="shared" si="37"/>
        <v>0.4783515910276474</v>
      </c>
    </row>
    <row r="667" spans="1:10" hidden="1" outlineLevel="1" x14ac:dyDescent="0.2">
      <c r="A667" s="74">
        <v>103</v>
      </c>
      <c r="B667" s="80" t="s">
        <v>291</v>
      </c>
      <c r="C667" s="78">
        <v>4</v>
      </c>
      <c r="D667" s="77">
        <v>22</v>
      </c>
      <c r="E667" s="77">
        <v>71.56</v>
      </c>
      <c r="F667" s="126">
        <f t="shared" si="36"/>
        <v>49.56</v>
      </c>
      <c r="G667" s="125" t="s">
        <v>3</v>
      </c>
      <c r="H667" s="88" t="s">
        <v>107</v>
      </c>
      <c r="I667" s="88"/>
      <c r="J667" s="143">
        <f t="shared" si="37"/>
        <v>0.69256567915036338</v>
      </c>
    </row>
    <row r="668" spans="1:10" hidden="1" outlineLevel="1" x14ac:dyDescent="0.2">
      <c r="A668" s="74">
        <v>104</v>
      </c>
      <c r="B668" s="80" t="s">
        <v>125</v>
      </c>
      <c r="C668" s="78">
        <v>1</v>
      </c>
      <c r="D668" s="77">
        <v>10</v>
      </c>
      <c r="E668" s="77">
        <v>30.11</v>
      </c>
      <c r="F668" s="126">
        <f t="shared" si="36"/>
        <v>20.11</v>
      </c>
      <c r="G668" s="125" t="s">
        <v>3</v>
      </c>
      <c r="H668" s="88" t="s">
        <v>107</v>
      </c>
      <c r="I668" s="88"/>
      <c r="J668" s="143">
        <f t="shared" si="37"/>
        <v>0.66788442377947521</v>
      </c>
    </row>
    <row r="669" spans="1:10" hidden="1" outlineLevel="1" x14ac:dyDescent="0.2">
      <c r="A669" s="74">
        <v>105</v>
      </c>
      <c r="B669" s="80" t="s">
        <v>454</v>
      </c>
      <c r="C669" s="78">
        <v>1</v>
      </c>
      <c r="D669" s="77">
        <v>8.5</v>
      </c>
      <c r="E669" s="77">
        <v>23.63</v>
      </c>
      <c r="F669" s="126">
        <f t="shared" si="36"/>
        <v>15.129999999999999</v>
      </c>
      <c r="G669" s="125" t="s">
        <v>3</v>
      </c>
      <c r="H669" s="88" t="s">
        <v>107</v>
      </c>
      <c r="I669" s="88"/>
      <c r="J669" s="143">
        <f t="shared" si="37"/>
        <v>0.64028776978417268</v>
      </c>
    </row>
    <row r="670" spans="1:10" hidden="1" outlineLevel="1" x14ac:dyDescent="0.2">
      <c r="A670" s="74">
        <v>106</v>
      </c>
      <c r="B670" s="80" t="s">
        <v>455</v>
      </c>
      <c r="C670" s="78">
        <v>1</v>
      </c>
      <c r="D670" s="77">
        <v>3</v>
      </c>
      <c r="E670" s="77">
        <v>10</v>
      </c>
      <c r="F670" s="126">
        <f t="shared" si="36"/>
        <v>7</v>
      </c>
      <c r="G670" s="125" t="s">
        <v>3</v>
      </c>
      <c r="H670" s="88" t="s">
        <v>107</v>
      </c>
      <c r="I670" s="88"/>
      <c r="J670" s="143">
        <f t="shared" si="37"/>
        <v>0.7</v>
      </c>
    </row>
    <row r="671" spans="1:10" hidden="1" outlineLevel="1" x14ac:dyDescent="0.2">
      <c r="A671" s="74">
        <v>107</v>
      </c>
      <c r="B671" s="80" t="s">
        <v>294</v>
      </c>
      <c r="C671" s="78">
        <v>2</v>
      </c>
      <c r="D671" s="77">
        <v>5</v>
      </c>
      <c r="E671" s="77">
        <v>10</v>
      </c>
      <c r="F671" s="126">
        <f t="shared" si="36"/>
        <v>5</v>
      </c>
      <c r="G671" s="125" t="s">
        <v>3</v>
      </c>
      <c r="H671" s="88" t="s">
        <v>107</v>
      </c>
      <c r="I671" s="88"/>
      <c r="J671" s="143">
        <f t="shared" si="37"/>
        <v>0.5</v>
      </c>
    </row>
    <row r="672" spans="1:10" hidden="1" outlineLevel="1" x14ac:dyDescent="0.2">
      <c r="A672" s="74">
        <v>108</v>
      </c>
      <c r="B672" s="80" t="s">
        <v>456</v>
      </c>
      <c r="C672" s="78">
        <v>1</v>
      </c>
      <c r="D672" s="77">
        <v>30</v>
      </c>
      <c r="E672" s="77">
        <v>60.25</v>
      </c>
      <c r="F672" s="126">
        <f t="shared" si="36"/>
        <v>30.25</v>
      </c>
      <c r="G672" s="125" t="s">
        <v>3</v>
      </c>
      <c r="H672" s="88" t="s">
        <v>107</v>
      </c>
      <c r="I672" s="88"/>
      <c r="J672" s="143">
        <f t="shared" si="37"/>
        <v>0.50207468879668049</v>
      </c>
    </row>
    <row r="673" spans="1:10" hidden="1" outlineLevel="1" x14ac:dyDescent="0.2">
      <c r="A673" s="74">
        <v>109</v>
      </c>
      <c r="B673" s="80" t="s">
        <v>457</v>
      </c>
      <c r="C673" s="78">
        <v>7</v>
      </c>
      <c r="D673" s="77">
        <v>161</v>
      </c>
      <c r="E673" s="77">
        <v>281.74</v>
      </c>
      <c r="F673" s="126">
        <f t="shared" si="36"/>
        <v>120.74000000000001</v>
      </c>
      <c r="G673" s="125" t="s">
        <v>3</v>
      </c>
      <c r="H673" s="88" t="s">
        <v>107</v>
      </c>
      <c r="I673" s="88"/>
      <c r="J673" s="143">
        <f t="shared" si="37"/>
        <v>0.42855114644707887</v>
      </c>
    </row>
    <row r="674" spans="1:10" hidden="1" outlineLevel="1" x14ac:dyDescent="0.2">
      <c r="A674" s="74">
        <v>110</v>
      </c>
      <c r="B674" s="80" t="s">
        <v>106</v>
      </c>
      <c r="C674" s="78">
        <v>2</v>
      </c>
      <c r="D674" s="77">
        <v>2</v>
      </c>
      <c r="E674" s="77">
        <v>29.16</v>
      </c>
      <c r="F674" s="126">
        <f t="shared" ref="F674:F675" si="38">E674-D674</f>
        <v>27.16</v>
      </c>
      <c r="G674" s="125" t="s">
        <v>3</v>
      </c>
      <c r="H674" s="88" t="s">
        <v>107</v>
      </c>
      <c r="I674" s="88"/>
      <c r="J674" s="143">
        <f t="shared" si="37"/>
        <v>0.93141289437585739</v>
      </c>
    </row>
    <row r="675" spans="1:10" hidden="1" outlineLevel="1" x14ac:dyDescent="0.2">
      <c r="A675" s="74">
        <v>111</v>
      </c>
      <c r="B675" s="80" t="s">
        <v>458</v>
      </c>
      <c r="C675" s="78">
        <v>1</v>
      </c>
      <c r="D675" s="77">
        <v>12</v>
      </c>
      <c r="E675" s="77">
        <v>30.6</v>
      </c>
      <c r="F675" s="126">
        <f t="shared" si="38"/>
        <v>18.600000000000001</v>
      </c>
      <c r="G675" s="125" t="s">
        <v>3</v>
      </c>
      <c r="H675" s="88" t="s">
        <v>107</v>
      </c>
      <c r="I675" s="88"/>
      <c r="J675" s="143">
        <f t="shared" si="37"/>
        <v>0.60784313725490202</v>
      </c>
    </row>
    <row r="676" spans="1:10" hidden="1" outlineLevel="1" x14ac:dyDescent="0.2">
      <c r="A676" s="74"/>
      <c r="B676" s="80"/>
      <c r="C676" s="78"/>
      <c r="D676" s="77"/>
      <c r="E676" s="77"/>
      <c r="F676" s="77"/>
      <c r="G676" s="125"/>
      <c r="H676" s="88"/>
      <c r="I676" s="88"/>
      <c r="J676" s="143" t="e">
        <f t="shared" si="37"/>
        <v>#DIV/0!</v>
      </c>
    </row>
    <row r="677" spans="1:10" hidden="1" outlineLevel="1" x14ac:dyDescent="0.2">
      <c r="A677" s="74"/>
      <c r="B677" s="80"/>
      <c r="C677" s="78"/>
      <c r="D677" s="77"/>
      <c r="E677" s="77"/>
      <c r="F677" s="77"/>
      <c r="G677" s="125"/>
      <c r="H677" s="88"/>
      <c r="I677" s="88"/>
      <c r="J677" s="143" t="e">
        <f t="shared" si="37"/>
        <v>#DIV/0!</v>
      </c>
    </row>
    <row r="678" spans="1:10" collapsed="1" x14ac:dyDescent="0.2">
      <c r="A678" s="156" t="s">
        <v>16</v>
      </c>
      <c r="B678" s="156"/>
      <c r="C678" s="157"/>
      <c r="D678" s="94">
        <f>SUM(D679:D734)</f>
        <v>2098.15</v>
      </c>
      <c r="E678" s="94">
        <f>SUM(E679:E734)</f>
        <v>6044.48</v>
      </c>
      <c r="F678" s="94">
        <f>SUM(F679:F734)</f>
        <v>2965.1460000000011</v>
      </c>
      <c r="G678" s="68">
        <f>I678+H678</f>
        <v>90</v>
      </c>
      <c r="H678" s="68">
        <f>COUNTIF(H679:H734,"BSB")</f>
        <v>37</v>
      </c>
      <c r="I678" s="68">
        <f>SUM(C679:C734)</f>
        <v>53</v>
      </c>
      <c r="J678" s="143">
        <f t="shared" si="37"/>
        <v>0.49055435703319417</v>
      </c>
    </row>
    <row r="679" spans="1:10" hidden="1" outlineLevel="1" x14ac:dyDescent="0.2">
      <c r="A679" s="74">
        <v>1</v>
      </c>
      <c r="B679" s="80" t="s">
        <v>460</v>
      </c>
      <c r="C679" s="78"/>
      <c r="D679" s="77">
        <v>1</v>
      </c>
      <c r="E679" s="77">
        <v>5</v>
      </c>
      <c r="F679" s="77">
        <f>E679-D679</f>
        <v>4</v>
      </c>
      <c r="G679" s="125" t="s">
        <v>3</v>
      </c>
      <c r="H679" s="88" t="s">
        <v>43</v>
      </c>
      <c r="I679" s="88"/>
      <c r="J679" s="143">
        <f t="shared" si="37"/>
        <v>0.8</v>
      </c>
    </row>
    <row r="680" spans="1:10" hidden="1" outlineLevel="1" x14ac:dyDescent="0.2">
      <c r="A680" s="74">
        <v>0</v>
      </c>
      <c r="B680" s="80" t="s">
        <v>484</v>
      </c>
      <c r="C680" s="78"/>
      <c r="D680" s="77">
        <v>202.65</v>
      </c>
      <c r="E680" s="77">
        <v>463.51</v>
      </c>
      <c r="F680" s="77">
        <v>260.86</v>
      </c>
      <c r="G680" s="125" t="s">
        <v>3</v>
      </c>
      <c r="H680" s="88" t="s">
        <v>43</v>
      </c>
      <c r="I680" s="88"/>
      <c r="J680" s="143">
        <f t="shared" si="37"/>
        <v>0.56279260425880784</v>
      </c>
    </row>
    <row r="681" spans="1:10" hidden="1" outlineLevel="1" x14ac:dyDescent="0.2">
      <c r="A681" s="74">
        <v>2</v>
      </c>
      <c r="B681" s="80" t="s">
        <v>444</v>
      </c>
      <c r="C681" s="78"/>
      <c r="D681" s="77">
        <v>3.5</v>
      </c>
      <c r="E681" s="77">
        <v>10</v>
      </c>
      <c r="F681" s="77">
        <f t="shared" ref="F681:F682" si="39">E681-D681</f>
        <v>6.5</v>
      </c>
      <c r="G681" s="125" t="s">
        <v>3</v>
      </c>
      <c r="H681" s="88" t="s">
        <v>43</v>
      </c>
      <c r="I681" s="88"/>
      <c r="J681" s="143">
        <f t="shared" si="37"/>
        <v>0.65</v>
      </c>
    </row>
    <row r="682" spans="1:10" hidden="1" outlineLevel="1" x14ac:dyDescent="0.2">
      <c r="A682" s="74">
        <v>3</v>
      </c>
      <c r="B682" s="80" t="s">
        <v>461</v>
      </c>
      <c r="C682" s="78"/>
      <c r="D682" s="77">
        <v>3</v>
      </c>
      <c r="E682" s="77">
        <v>10</v>
      </c>
      <c r="F682" s="77">
        <f t="shared" si="39"/>
        <v>7</v>
      </c>
      <c r="G682" s="125" t="s">
        <v>3</v>
      </c>
      <c r="H682" s="88" t="s">
        <v>43</v>
      </c>
      <c r="I682" s="88"/>
      <c r="J682" s="143">
        <f t="shared" si="37"/>
        <v>0.7</v>
      </c>
    </row>
    <row r="683" spans="1:10" hidden="1" outlineLevel="1" x14ac:dyDescent="0.2">
      <c r="A683" s="74">
        <v>4</v>
      </c>
      <c r="B683" s="80" t="s">
        <v>462</v>
      </c>
      <c r="C683" s="78"/>
      <c r="D683" s="77">
        <v>40</v>
      </c>
      <c r="E683" s="77">
        <v>60</v>
      </c>
      <c r="F683" s="77">
        <f t="shared" ref="F683:F694" si="40">E683-D683</f>
        <v>20</v>
      </c>
      <c r="G683" s="125" t="s">
        <v>3</v>
      </c>
      <c r="H683" s="88" t="s">
        <v>43</v>
      </c>
      <c r="I683" s="88"/>
      <c r="J683" s="143">
        <f t="shared" si="37"/>
        <v>0.33333333333333331</v>
      </c>
    </row>
    <row r="684" spans="1:10" hidden="1" outlineLevel="1" x14ac:dyDescent="0.2">
      <c r="A684" s="74">
        <v>5</v>
      </c>
      <c r="B684" s="80" t="s">
        <v>463</v>
      </c>
      <c r="C684" s="78"/>
      <c r="D684" s="77">
        <v>6.5</v>
      </c>
      <c r="E684" s="77">
        <v>15</v>
      </c>
      <c r="F684" s="77">
        <f t="shared" si="40"/>
        <v>8.5</v>
      </c>
      <c r="G684" s="125" t="s">
        <v>3</v>
      </c>
      <c r="H684" s="88" t="s">
        <v>43</v>
      </c>
      <c r="I684" s="88"/>
      <c r="J684" s="143">
        <f t="shared" si="37"/>
        <v>0.56666666666666665</v>
      </c>
    </row>
    <row r="685" spans="1:10" hidden="1" outlineLevel="1" x14ac:dyDescent="0.2">
      <c r="A685" s="74">
        <v>6</v>
      </c>
      <c r="B685" s="80" t="s">
        <v>463</v>
      </c>
      <c r="C685" s="78"/>
      <c r="D685" s="77">
        <v>7.5</v>
      </c>
      <c r="E685" s="77">
        <v>15</v>
      </c>
      <c r="F685" s="77">
        <f t="shared" si="40"/>
        <v>7.5</v>
      </c>
      <c r="G685" s="125" t="s">
        <v>3</v>
      </c>
      <c r="H685" s="88" t="s">
        <v>43</v>
      </c>
      <c r="I685" s="88"/>
      <c r="J685" s="143">
        <f t="shared" si="37"/>
        <v>0.5</v>
      </c>
    </row>
    <row r="686" spans="1:10" hidden="1" outlineLevel="1" x14ac:dyDescent="0.2">
      <c r="A686" s="74">
        <v>7</v>
      </c>
      <c r="B686" s="80" t="s">
        <v>464</v>
      </c>
      <c r="C686" s="78"/>
      <c r="D686" s="77">
        <v>0</v>
      </c>
      <c r="E686" s="77">
        <v>50</v>
      </c>
      <c r="F686" s="77">
        <f t="shared" si="40"/>
        <v>50</v>
      </c>
      <c r="G686" s="125" t="s">
        <v>3</v>
      </c>
      <c r="H686" s="88" t="s">
        <v>43</v>
      </c>
      <c r="I686" s="88"/>
      <c r="J686" s="143">
        <f t="shared" si="37"/>
        <v>1</v>
      </c>
    </row>
    <row r="687" spans="1:10" hidden="1" outlineLevel="1" x14ac:dyDescent="0.2">
      <c r="A687" s="74">
        <v>8</v>
      </c>
      <c r="B687" s="80" t="s">
        <v>465</v>
      </c>
      <c r="C687" s="78"/>
      <c r="D687" s="77">
        <v>16</v>
      </c>
      <c r="E687" s="77">
        <v>40</v>
      </c>
      <c r="F687" s="77">
        <f t="shared" si="40"/>
        <v>24</v>
      </c>
      <c r="G687" s="125" t="s">
        <v>3</v>
      </c>
      <c r="H687" s="88" t="s">
        <v>43</v>
      </c>
      <c r="I687" s="88"/>
      <c r="J687" s="143">
        <f t="shared" si="37"/>
        <v>0.6</v>
      </c>
    </row>
    <row r="688" spans="1:10" hidden="1" outlineLevel="1" x14ac:dyDescent="0.2">
      <c r="A688" s="74">
        <v>9</v>
      </c>
      <c r="B688" s="80" t="s">
        <v>466</v>
      </c>
      <c r="C688" s="78"/>
      <c r="D688" s="77">
        <v>10</v>
      </c>
      <c r="E688" s="77">
        <v>20</v>
      </c>
      <c r="F688" s="77">
        <f t="shared" si="40"/>
        <v>10</v>
      </c>
      <c r="G688" s="125" t="s">
        <v>3</v>
      </c>
      <c r="H688" s="88" t="s">
        <v>43</v>
      </c>
      <c r="I688" s="88"/>
      <c r="J688" s="143">
        <f t="shared" si="37"/>
        <v>0.5</v>
      </c>
    </row>
    <row r="689" spans="1:10" hidden="1" outlineLevel="1" x14ac:dyDescent="0.2">
      <c r="A689" s="74">
        <v>10</v>
      </c>
      <c r="B689" s="80" t="s">
        <v>467</v>
      </c>
      <c r="C689" s="78"/>
      <c r="D689" s="77">
        <v>145</v>
      </c>
      <c r="E689" s="77">
        <v>185</v>
      </c>
      <c r="F689" s="77">
        <f t="shared" si="40"/>
        <v>40</v>
      </c>
      <c r="G689" s="125" t="s">
        <v>3</v>
      </c>
      <c r="H689" s="88" t="s">
        <v>43</v>
      </c>
      <c r="I689" s="88"/>
      <c r="J689" s="143">
        <f t="shared" si="37"/>
        <v>0.21621621621621623</v>
      </c>
    </row>
    <row r="690" spans="1:10" hidden="1" outlineLevel="1" x14ac:dyDescent="0.2">
      <c r="A690" s="74">
        <v>11</v>
      </c>
      <c r="B690" s="80" t="s">
        <v>461</v>
      </c>
      <c r="C690" s="78"/>
      <c r="D690" s="77">
        <v>3</v>
      </c>
      <c r="E690" s="77">
        <v>10</v>
      </c>
      <c r="F690" s="77">
        <f t="shared" si="40"/>
        <v>7</v>
      </c>
      <c r="G690" s="125" t="s">
        <v>3</v>
      </c>
      <c r="H690" s="88" t="s">
        <v>43</v>
      </c>
      <c r="I690" s="88"/>
      <c r="J690" s="143">
        <f t="shared" si="37"/>
        <v>0.7</v>
      </c>
    </row>
    <row r="691" spans="1:10" hidden="1" outlineLevel="1" x14ac:dyDescent="0.2">
      <c r="A691" s="74">
        <v>12</v>
      </c>
      <c r="B691" s="80" t="s">
        <v>461</v>
      </c>
      <c r="C691" s="78"/>
      <c r="D691" s="77">
        <v>3</v>
      </c>
      <c r="E691" s="77">
        <v>10</v>
      </c>
      <c r="F691" s="77">
        <f t="shared" si="40"/>
        <v>7</v>
      </c>
      <c r="G691" s="125" t="s">
        <v>3</v>
      </c>
      <c r="H691" s="88" t="s">
        <v>43</v>
      </c>
      <c r="I691" s="88"/>
      <c r="J691" s="143">
        <f t="shared" si="37"/>
        <v>0.7</v>
      </c>
    </row>
    <row r="692" spans="1:10" hidden="1" outlineLevel="1" x14ac:dyDescent="0.2">
      <c r="A692" s="74">
        <v>13</v>
      </c>
      <c r="B692" s="80" t="s">
        <v>279</v>
      </c>
      <c r="C692" s="78"/>
      <c r="D692" s="77">
        <v>6.5</v>
      </c>
      <c r="E692" s="77">
        <v>15</v>
      </c>
      <c r="F692" s="77">
        <f t="shared" si="40"/>
        <v>8.5</v>
      </c>
      <c r="G692" s="125" t="s">
        <v>3</v>
      </c>
      <c r="H692" s="88" t="s">
        <v>43</v>
      </c>
      <c r="I692" s="88"/>
      <c r="J692" s="143">
        <f t="shared" si="37"/>
        <v>0.56666666666666665</v>
      </c>
    </row>
    <row r="693" spans="1:10" hidden="1" outlineLevel="1" x14ac:dyDescent="0.2">
      <c r="A693" s="74">
        <v>14</v>
      </c>
      <c r="B693" s="80" t="s">
        <v>468</v>
      </c>
      <c r="C693" s="78"/>
      <c r="D693" s="77">
        <v>25</v>
      </c>
      <c r="E693" s="77">
        <v>50</v>
      </c>
      <c r="F693" s="77">
        <f t="shared" si="40"/>
        <v>25</v>
      </c>
      <c r="G693" s="125" t="s">
        <v>3</v>
      </c>
      <c r="H693" s="88" t="s">
        <v>43</v>
      </c>
      <c r="I693" s="88"/>
      <c r="J693" s="143">
        <f t="shared" si="37"/>
        <v>0.5</v>
      </c>
    </row>
    <row r="694" spans="1:10" hidden="1" outlineLevel="1" x14ac:dyDescent="0.2">
      <c r="A694" s="74">
        <v>15</v>
      </c>
      <c r="B694" s="80" t="s">
        <v>469</v>
      </c>
      <c r="C694" s="78"/>
      <c r="D694" s="77">
        <v>23</v>
      </c>
      <c r="E694" s="77">
        <v>50</v>
      </c>
      <c r="F694" s="77">
        <f t="shared" si="40"/>
        <v>27</v>
      </c>
      <c r="G694" s="125" t="s">
        <v>3</v>
      </c>
      <c r="H694" s="88" t="s">
        <v>43</v>
      </c>
      <c r="I694" s="88"/>
      <c r="J694" s="143">
        <f t="shared" si="37"/>
        <v>0.54</v>
      </c>
    </row>
    <row r="695" spans="1:10" hidden="1" outlineLevel="1" x14ac:dyDescent="0.2">
      <c r="A695" s="74">
        <v>16</v>
      </c>
      <c r="B695" s="80" t="s">
        <v>469</v>
      </c>
      <c r="C695" s="78"/>
      <c r="D695" s="77">
        <v>23</v>
      </c>
      <c r="E695" s="77">
        <v>50</v>
      </c>
      <c r="F695" s="77">
        <f t="shared" ref="F695:F707" si="41">E695-D695</f>
        <v>27</v>
      </c>
      <c r="G695" s="125" t="s">
        <v>3</v>
      </c>
      <c r="H695" s="88" t="s">
        <v>43</v>
      </c>
      <c r="I695" s="88"/>
      <c r="J695" s="143">
        <f t="shared" si="37"/>
        <v>0.54</v>
      </c>
    </row>
    <row r="696" spans="1:10" hidden="1" outlineLevel="1" x14ac:dyDescent="0.2">
      <c r="A696" s="74">
        <v>17</v>
      </c>
      <c r="B696" s="80" t="s">
        <v>470</v>
      </c>
      <c r="C696" s="78"/>
      <c r="D696" s="77">
        <v>80</v>
      </c>
      <c r="E696" s="77">
        <v>150</v>
      </c>
      <c r="F696" s="77">
        <f t="shared" si="41"/>
        <v>70</v>
      </c>
      <c r="G696" s="125" t="s">
        <v>3</v>
      </c>
      <c r="H696" s="88" t="s">
        <v>43</v>
      </c>
      <c r="I696" s="88"/>
      <c r="J696" s="143">
        <f t="shared" si="37"/>
        <v>0.46666666666666667</v>
      </c>
    </row>
    <row r="697" spans="1:10" hidden="1" outlineLevel="1" x14ac:dyDescent="0.2">
      <c r="A697" s="74">
        <v>18</v>
      </c>
      <c r="B697" s="80" t="s">
        <v>471</v>
      </c>
      <c r="C697" s="78"/>
      <c r="D697" s="77">
        <v>35</v>
      </c>
      <c r="E697" s="77">
        <v>80</v>
      </c>
      <c r="F697" s="77">
        <f t="shared" si="41"/>
        <v>45</v>
      </c>
      <c r="G697" s="125" t="s">
        <v>3</v>
      </c>
      <c r="H697" s="88" t="s">
        <v>43</v>
      </c>
      <c r="I697" s="88"/>
      <c r="J697" s="143">
        <f t="shared" si="37"/>
        <v>0.5625</v>
      </c>
    </row>
    <row r="698" spans="1:10" hidden="1" outlineLevel="1" x14ac:dyDescent="0.2">
      <c r="A698" s="74">
        <v>19</v>
      </c>
      <c r="B698" s="80" t="s">
        <v>472</v>
      </c>
      <c r="C698" s="78"/>
      <c r="D698" s="77">
        <v>0</v>
      </c>
      <c r="E698" s="77">
        <v>550</v>
      </c>
      <c r="F698" s="77">
        <f t="shared" si="41"/>
        <v>550</v>
      </c>
      <c r="G698" s="125" t="s">
        <v>3</v>
      </c>
      <c r="H698" s="88" t="s">
        <v>43</v>
      </c>
      <c r="I698" s="88"/>
      <c r="J698" s="143">
        <f t="shared" si="37"/>
        <v>1</v>
      </c>
    </row>
    <row r="699" spans="1:10" hidden="1" outlineLevel="1" x14ac:dyDescent="0.2">
      <c r="A699" s="74">
        <v>20</v>
      </c>
      <c r="B699" s="80" t="s">
        <v>470</v>
      </c>
      <c r="C699" s="78"/>
      <c r="D699" s="77">
        <v>80</v>
      </c>
      <c r="E699" s="77">
        <v>130</v>
      </c>
      <c r="F699" s="77">
        <f t="shared" si="41"/>
        <v>50</v>
      </c>
      <c r="G699" s="125" t="s">
        <v>3</v>
      </c>
      <c r="H699" s="88" t="s">
        <v>43</v>
      </c>
      <c r="I699" s="88"/>
      <c r="J699" s="143">
        <f t="shared" si="37"/>
        <v>0.38461538461538464</v>
      </c>
    </row>
    <row r="700" spans="1:10" hidden="1" outlineLevel="1" x14ac:dyDescent="0.2">
      <c r="A700" s="74">
        <v>21</v>
      </c>
      <c r="B700" s="80" t="s">
        <v>473</v>
      </c>
      <c r="C700" s="78"/>
      <c r="D700" s="77">
        <v>0</v>
      </c>
      <c r="E700" s="77">
        <v>350</v>
      </c>
      <c r="F700" s="77">
        <f t="shared" si="41"/>
        <v>350</v>
      </c>
      <c r="G700" s="125" t="s">
        <v>3</v>
      </c>
      <c r="H700" s="88" t="s">
        <v>43</v>
      </c>
      <c r="I700" s="88"/>
      <c r="J700" s="143">
        <f t="shared" si="37"/>
        <v>1</v>
      </c>
    </row>
    <row r="701" spans="1:10" hidden="1" outlineLevel="1" x14ac:dyDescent="0.2">
      <c r="A701" s="74">
        <v>22</v>
      </c>
      <c r="B701" s="80" t="s">
        <v>394</v>
      </c>
      <c r="C701" s="78"/>
      <c r="D701" s="77">
        <v>11</v>
      </c>
      <c r="E701" s="77">
        <v>25</v>
      </c>
      <c r="F701" s="77">
        <f t="shared" si="41"/>
        <v>14</v>
      </c>
      <c r="G701" s="125" t="s">
        <v>3</v>
      </c>
      <c r="H701" s="88" t="s">
        <v>43</v>
      </c>
      <c r="I701" s="88"/>
      <c r="J701" s="143">
        <f t="shared" si="37"/>
        <v>0.56000000000000005</v>
      </c>
    </row>
    <row r="702" spans="1:10" hidden="1" outlineLevel="1" x14ac:dyDescent="0.2">
      <c r="A702" s="74">
        <v>23</v>
      </c>
      <c r="B702" s="80" t="s">
        <v>474</v>
      </c>
      <c r="C702" s="78"/>
      <c r="D702" s="77">
        <v>3</v>
      </c>
      <c r="E702" s="77">
        <v>6</v>
      </c>
      <c r="F702" s="77">
        <f t="shared" si="41"/>
        <v>3</v>
      </c>
      <c r="G702" s="125" t="s">
        <v>3</v>
      </c>
      <c r="H702" s="88" t="s">
        <v>43</v>
      </c>
      <c r="I702" s="88"/>
      <c r="J702" s="143">
        <f t="shared" si="37"/>
        <v>0.5</v>
      </c>
    </row>
    <row r="703" spans="1:10" hidden="1" outlineLevel="1" x14ac:dyDescent="0.2">
      <c r="A703" s="74">
        <v>24</v>
      </c>
      <c r="B703" s="80" t="s">
        <v>475</v>
      </c>
      <c r="C703" s="78"/>
      <c r="D703" s="77">
        <v>45</v>
      </c>
      <c r="E703" s="77">
        <v>80</v>
      </c>
      <c r="F703" s="77">
        <f t="shared" si="41"/>
        <v>35</v>
      </c>
      <c r="G703" s="125" t="s">
        <v>3</v>
      </c>
      <c r="H703" s="88" t="s">
        <v>43</v>
      </c>
      <c r="I703" s="88"/>
      <c r="J703" s="143">
        <f t="shared" si="37"/>
        <v>0.4375</v>
      </c>
    </row>
    <row r="704" spans="1:10" hidden="1" outlineLevel="1" x14ac:dyDescent="0.2">
      <c r="A704" s="74">
        <v>25</v>
      </c>
      <c r="B704" s="80" t="s">
        <v>476</v>
      </c>
      <c r="C704" s="78"/>
      <c r="D704" s="77">
        <v>7.5</v>
      </c>
      <c r="E704" s="77">
        <v>15</v>
      </c>
      <c r="F704" s="77">
        <f t="shared" si="41"/>
        <v>7.5</v>
      </c>
      <c r="G704" s="125" t="s">
        <v>3</v>
      </c>
      <c r="H704" s="88" t="s">
        <v>43</v>
      </c>
      <c r="I704" s="88"/>
      <c r="J704" s="143">
        <f t="shared" si="37"/>
        <v>0.5</v>
      </c>
    </row>
    <row r="705" spans="1:12" hidden="1" outlineLevel="1" x14ac:dyDescent="0.2">
      <c r="A705" s="74">
        <v>26</v>
      </c>
      <c r="B705" s="80" t="s">
        <v>216</v>
      </c>
      <c r="C705" s="78"/>
      <c r="D705" s="77">
        <v>3.5</v>
      </c>
      <c r="E705" s="77">
        <v>10</v>
      </c>
      <c r="F705" s="77">
        <f t="shared" si="41"/>
        <v>6.5</v>
      </c>
      <c r="G705" s="125" t="s">
        <v>3</v>
      </c>
      <c r="H705" s="88" t="s">
        <v>43</v>
      </c>
      <c r="I705" s="88"/>
      <c r="J705" s="143">
        <f t="shared" si="37"/>
        <v>0.65</v>
      </c>
    </row>
    <row r="706" spans="1:12" hidden="1" outlineLevel="1" x14ac:dyDescent="0.2">
      <c r="A706" s="74">
        <v>27</v>
      </c>
      <c r="B706" s="80" t="s">
        <v>477</v>
      </c>
      <c r="C706" s="78"/>
      <c r="D706" s="77">
        <v>35</v>
      </c>
      <c r="E706" s="77">
        <v>65</v>
      </c>
      <c r="F706" s="77">
        <f t="shared" si="41"/>
        <v>30</v>
      </c>
      <c r="G706" s="125" t="s">
        <v>3</v>
      </c>
      <c r="H706" s="88" t="s">
        <v>43</v>
      </c>
      <c r="I706" s="88"/>
      <c r="J706" s="143">
        <f t="shared" ref="J706:J769" si="42">F706/E706</f>
        <v>0.46153846153846156</v>
      </c>
    </row>
    <row r="707" spans="1:12" hidden="1" outlineLevel="1" x14ac:dyDescent="0.2">
      <c r="A707" s="74">
        <v>28</v>
      </c>
      <c r="B707" s="80" t="s">
        <v>478</v>
      </c>
      <c r="C707" s="78"/>
      <c r="D707" s="77">
        <v>20</v>
      </c>
      <c r="E707" s="77">
        <v>45</v>
      </c>
      <c r="F707" s="77">
        <f t="shared" si="41"/>
        <v>25</v>
      </c>
      <c r="G707" s="125" t="s">
        <v>3</v>
      </c>
      <c r="H707" s="88" t="s">
        <v>43</v>
      </c>
      <c r="I707" s="88"/>
      <c r="J707" s="143">
        <f t="shared" si="42"/>
        <v>0.55555555555555558</v>
      </c>
    </row>
    <row r="708" spans="1:12" hidden="1" outlineLevel="1" x14ac:dyDescent="0.2">
      <c r="A708" s="74">
        <v>29</v>
      </c>
      <c r="B708" s="80" t="s">
        <v>45</v>
      </c>
      <c r="C708" s="78"/>
      <c r="D708" s="77">
        <v>40</v>
      </c>
      <c r="E708" s="77">
        <v>70</v>
      </c>
      <c r="F708" s="77">
        <f t="shared" ref="F708:F710" si="43">E708-D708</f>
        <v>30</v>
      </c>
      <c r="G708" s="125" t="s">
        <v>3</v>
      </c>
      <c r="H708" s="88" t="s">
        <v>43</v>
      </c>
      <c r="I708" s="88"/>
      <c r="J708" s="143">
        <f t="shared" si="42"/>
        <v>0.42857142857142855</v>
      </c>
    </row>
    <row r="709" spans="1:12" hidden="1" outlineLevel="1" x14ac:dyDescent="0.2">
      <c r="A709" s="74">
        <v>30</v>
      </c>
      <c r="B709" s="80" t="s">
        <v>461</v>
      </c>
      <c r="C709" s="78"/>
      <c r="D709" s="77">
        <v>3.5</v>
      </c>
      <c r="E709" s="77">
        <v>10</v>
      </c>
      <c r="F709" s="77">
        <f t="shared" si="43"/>
        <v>6.5</v>
      </c>
      <c r="G709" s="125" t="s">
        <v>3</v>
      </c>
      <c r="H709" s="88" t="s">
        <v>43</v>
      </c>
      <c r="I709" s="88"/>
      <c r="J709" s="143">
        <f t="shared" si="42"/>
        <v>0.65</v>
      </c>
    </row>
    <row r="710" spans="1:12" hidden="1" outlineLevel="1" x14ac:dyDescent="0.2">
      <c r="A710" s="74">
        <v>31</v>
      </c>
      <c r="B710" s="80" t="s">
        <v>479</v>
      </c>
      <c r="C710" s="78"/>
      <c r="D710" s="77">
        <v>16</v>
      </c>
      <c r="E710" s="77">
        <v>40</v>
      </c>
      <c r="F710" s="77">
        <f t="shared" si="43"/>
        <v>24</v>
      </c>
      <c r="G710" s="125" t="s">
        <v>3</v>
      </c>
      <c r="H710" s="88" t="s">
        <v>43</v>
      </c>
      <c r="I710" s="88"/>
      <c r="J710" s="143">
        <f t="shared" si="42"/>
        <v>0.6</v>
      </c>
    </row>
    <row r="711" spans="1:12" hidden="1" outlineLevel="1" x14ac:dyDescent="0.2">
      <c r="A711" s="74">
        <v>35</v>
      </c>
      <c r="B711" s="80" t="s">
        <v>483</v>
      </c>
      <c r="C711" s="78"/>
      <c r="D711" s="77">
        <v>16</v>
      </c>
      <c r="E711" s="77">
        <v>40</v>
      </c>
      <c r="F711" s="77">
        <f t="shared" ref="F711:F712" si="44">E711-D711</f>
        <v>24</v>
      </c>
      <c r="G711" s="125" t="s">
        <v>3</v>
      </c>
      <c r="H711" s="88" t="s">
        <v>43</v>
      </c>
      <c r="I711" s="88"/>
      <c r="J711" s="143">
        <f t="shared" si="42"/>
        <v>0.6</v>
      </c>
    </row>
    <row r="712" spans="1:12" hidden="1" outlineLevel="1" x14ac:dyDescent="0.2">
      <c r="A712" s="74">
        <v>36</v>
      </c>
      <c r="B712" s="80" t="s">
        <v>485</v>
      </c>
      <c r="C712" s="78"/>
      <c r="D712" s="77">
        <v>30</v>
      </c>
      <c r="E712" s="77">
        <v>50</v>
      </c>
      <c r="F712" s="77">
        <f t="shared" si="44"/>
        <v>20</v>
      </c>
      <c r="G712" s="125" t="s">
        <v>3</v>
      </c>
      <c r="H712" s="88" t="s">
        <v>43</v>
      </c>
      <c r="I712" s="88"/>
      <c r="J712" s="143">
        <f t="shared" si="42"/>
        <v>0.4</v>
      </c>
    </row>
    <row r="713" spans="1:12" hidden="1" outlineLevel="1" x14ac:dyDescent="0.2">
      <c r="A713" s="74">
        <v>37</v>
      </c>
      <c r="B713" s="80" t="s">
        <v>485</v>
      </c>
      <c r="C713" s="78"/>
      <c r="D713" s="77">
        <v>30</v>
      </c>
      <c r="E713" s="77">
        <v>50</v>
      </c>
      <c r="F713" s="77">
        <f t="shared" ref="F713:F714" si="45">E713-D713</f>
        <v>20</v>
      </c>
      <c r="G713" s="125" t="s">
        <v>3</v>
      </c>
      <c r="H713" s="88" t="s">
        <v>43</v>
      </c>
      <c r="I713" s="88"/>
      <c r="J713" s="143">
        <f t="shared" si="42"/>
        <v>0.4</v>
      </c>
    </row>
    <row r="714" spans="1:12" hidden="1" outlineLevel="1" x14ac:dyDescent="0.2">
      <c r="A714" s="74">
        <v>38</v>
      </c>
      <c r="B714" s="80" t="s">
        <v>486</v>
      </c>
      <c r="C714" s="78"/>
      <c r="D714" s="77">
        <v>50</v>
      </c>
      <c r="E714" s="77">
        <v>100</v>
      </c>
      <c r="F714" s="77">
        <f t="shared" si="45"/>
        <v>50</v>
      </c>
      <c r="G714" s="125" t="s">
        <v>3</v>
      </c>
      <c r="H714" s="88" t="s">
        <v>43</v>
      </c>
      <c r="I714" s="88"/>
      <c r="J714" s="143">
        <f t="shared" si="42"/>
        <v>0.5</v>
      </c>
    </row>
    <row r="715" spans="1:12" hidden="1" outlineLevel="1" x14ac:dyDescent="0.2">
      <c r="A715" s="74">
        <v>39</v>
      </c>
      <c r="B715" s="80" t="s">
        <v>486</v>
      </c>
      <c r="C715" s="78"/>
      <c r="D715" s="77">
        <v>50</v>
      </c>
      <c r="E715" s="77">
        <v>82</v>
      </c>
      <c r="F715" s="77">
        <f t="shared" ref="F715" si="46">E715-D715</f>
        <v>32</v>
      </c>
      <c r="G715" s="125" t="s">
        <v>3</v>
      </c>
      <c r="H715" s="88" t="s">
        <v>43</v>
      </c>
      <c r="I715" s="88"/>
      <c r="J715" s="143">
        <f t="shared" si="42"/>
        <v>0.3902439024390244</v>
      </c>
    </row>
    <row r="716" spans="1:12" hidden="1" outlineLevel="1" x14ac:dyDescent="0.2">
      <c r="A716" s="74">
        <v>40</v>
      </c>
      <c r="B716" s="80" t="s">
        <v>487</v>
      </c>
      <c r="C716" s="78">
        <v>5</v>
      </c>
      <c r="D716" s="77">
        <v>85</v>
      </c>
      <c r="E716" s="77">
        <v>224</v>
      </c>
      <c r="F716" s="77">
        <v>111.2</v>
      </c>
      <c r="G716" s="125" t="s">
        <v>3</v>
      </c>
      <c r="H716" s="88" t="s">
        <v>35</v>
      </c>
      <c r="I716" s="88"/>
      <c r="J716" s="143">
        <f t="shared" si="42"/>
        <v>0.49642857142857144</v>
      </c>
      <c r="L716" s="130"/>
    </row>
    <row r="717" spans="1:12" hidden="1" outlineLevel="1" x14ac:dyDescent="0.2">
      <c r="A717" s="74">
        <v>41</v>
      </c>
      <c r="B717" s="80" t="s">
        <v>286</v>
      </c>
      <c r="C717" s="78">
        <v>1</v>
      </c>
      <c r="D717" s="77">
        <v>13</v>
      </c>
      <c r="E717" s="77">
        <v>36.82</v>
      </c>
      <c r="F717" s="77">
        <v>19.059999999999999</v>
      </c>
      <c r="G717" s="125" t="s">
        <v>3</v>
      </c>
      <c r="H717" s="88" t="s">
        <v>35</v>
      </c>
      <c r="I717" s="88"/>
      <c r="J717" s="143">
        <f t="shared" si="42"/>
        <v>0.51765344921238454</v>
      </c>
      <c r="L717" s="130"/>
    </row>
    <row r="718" spans="1:12" hidden="1" outlineLevel="1" x14ac:dyDescent="0.2">
      <c r="A718" s="74">
        <v>42</v>
      </c>
      <c r="B718" s="80" t="s">
        <v>182</v>
      </c>
      <c r="C718" s="78">
        <v>8</v>
      </c>
      <c r="D718" s="77">
        <v>320</v>
      </c>
      <c r="E718" s="77">
        <v>750</v>
      </c>
      <c r="F718" s="77">
        <v>344</v>
      </c>
      <c r="G718" s="125" t="s">
        <v>3</v>
      </c>
      <c r="H718" s="88" t="s">
        <v>35</v>
      </c>
      <c r="I718" s="88"/>
      <c r="J718" s="143">
        <f t="shared" si="42"/>
        <v>0.45866666666666667</v>
      </c>
      <c r="L718" s="130"/>
    </row>
    <row r="719" spans="1:12" hidden="1" outlineLevel="1" x14ac:dyDescent="0.2">
      <c r="A719" s="74">
        <v>43</v>
      </c>
      <c r="B719" s="80" t="s">
        <v>488</v>
      </c>
      <c r="C719" s="78">
        <v>1</v>
      </c>
      <c r="D719" s="77">
        <v>5</v>
      </c>
      <c r="E719" s="77">
        <v>34.71</v>
      </c>
      <c r="F719" s="77">
        <v>23.77</v>
      </c>
      <c r="G719" s="125" t="s">
        <v>3</v>
      </c>
      <c r="H719" s="88" t="s">
        <v>35</v>
      </c>
      <c r="I719" s="88"/>
      <c r="J719" s="143">
        <f t="shared" si="42"/>
        <v>0.68481705560357242</v>
      </c>
      <c r="L719" s="130"/>
    </row>
    <row r="720" spans="1:12" hidden="1" outlineLevel="1" x14ac:dyDescent="0.2">
      <c r="A720" s="74">
        <v>44</v>
      </c>
      <c r="B720" s="80" t="s">
        <v>412</v>
      </c>
      <c r="C720" s="78">
        <v>3</v>
      </c>
      <c r="D720" s="77">
        <v>3</v>
      </c>
      <c r="E720" s="77">
        <v>46.77</v>
      </c>
      <c r="F720" s="77">
        <v>35.020000000000003</v>
      </c>
      <c r="G720" s="125" t="s">
        <v>3</v>
      </c>
      <c r="H720" s="88" t="s">
        <v>35</v>
      </c>
      <c r="I720" s="88"/>
      <c r="J720" s="143">
        <f t="shared" si="42"/>
        <v>0.74877057943125935</v>
      </c>
      <c r="L720" s="130"/>
    </row>
    <row r="721" spans="1:10" hidden="1" outlineLevel="1" x14ac:dyDescent="0.2">
      <c r="A721" s="74">
        <v>45</v>
      </c>
      <c r="B721" s="80" t="s">
        <v>101</v>
      </c>
      <c r="C721" s="78">
        <v>3</v>
      </c>
      <c r="D721" s="77">
        <v>16.5</v>
      </c>
      <c r="E721" s="77">
        <v>47.76</v>
      </c>
      <c r="F721" s="77">
        <v>25.007999999999999</v>
      </c>
      <c r="G721" s="125" t="s">
        <v>3</v>
      </c>
      <c r="H721" s="88" t="s">
        <v>35</v>
      </c>
      <c r="I721" s="88"/>
      <c r="J721" s="143">
        <f t="shared" si="42"/>
        <v>0.52361809045226126</v>
      </c>
    </row>
    <row r="722" spans="1:10" hidden="1" outlineLevel="1" x14ac:dyDescent="0.2">
      <c r="A722" s="74">
        <v>46</v>
      </c>
      <c r="B722" s="80" t="s">
        <v>489</v>
      </c>
      <c r="C722" s="78">
        <v>4</v>
      </c>
      <c r="D722" s="77">
        <v>30</v>
      </c>
      <c r="E722" s="77">
        <v>72.45</v>
      </c>
      <c r="F722" s="77">
        <v>33.96</v>
      </c>
      <c r="G722" s="125" t="s">
        <v>3</v>
      </c>
      <c r="H722" s="88" t="s">
        <v>35</v>
      </c>
      <c r="I722" s="88"/>
      <c r="J722" s="143">
        <f t="shared" si="42"/>
        <v>0.46873706004140786</v>
      </c>
    </row>
    <row r="723" spans="1:10" hidden="1" outlineLevel="1" x14ac:dyDescent="0.2">
      <c r="A723" s="74">
        <v>47</v>
      </c>
      <c r="B723" s="80" t="s">
        <v>222</v>
      </c>
      <c r="C723" s="78">
        <v>6</v>
      </c>
      <c r="D723" s="77">
        <v>240</v>
      </c>
      <c r="E723" s="77">
        <v>446.97</v>
      </c>
      <c r="F723" s="77">
        <v>165.57600000000002</v>
      </c>
      <c r="G723" s="125" t="s">
        <v>3</v>
      </c>
      <c r="H723" s="88" t="s">
        <v>35</v>
      </c>
      <c r="I723" s="88"/>
      <c r="J723" s="143">
        <f t="shared" si="42"/>
        <v>0.37044096919256331</v>
      </c>
    </row>
    <row r="724" spans="1:10" hidden="1" outlineLevel="1" x14ac:dyDescent="0.2">
      <c r="A724" s="74">
        <v>48</v>
      </c>
      <c r="B724" s="80" t="s">
        <v>289</v>
      </c>
      <c r="C724" s="78">
        <v>2</v>
      </c>
      <c r="D724" s="77">
        <v>21</v>
      </c>
      <c r="E724" s="77">
        <v>41.47</v>
      </c>
      <c r="F724" s="77">
        <v>16.375999999999998</v>
      </c>
      <c r="G724" s="125" t="s">
        <v>3</v>
      </c>
      <c r="H724" s="88" t="s">
        <v>35</v>
      </c>
      <c r="I724" s="88"/>
      <c r="J724" s="143">
        <f t="shared" si="42"/>
        <v>0.3948878707499397</v>
      </c>
    </row>
    <row r="725" spans="1:10" hidden="1" outlineLevel="1" x14ac:dyDescent="0.2">
      <c r="A725" s="74">
        <v>49</v>
      </c>
      <c r="B725" s="80" t="s">
        <v>490</v>
      </c>
      <c r="C725" s="78">
        <v>1</v>
      </c>
      <c r="D725" s="77">
        <v>40</v>
      </c>
      <c r="E725" s="77">
        <v>147.74</v>
      </c>
      <c r="F725" s="77">
        <v>86.192000000000007</v>
      </c>
      <c r="G725" s="125" t="s">
        <v>3</v>
      </c>
      <c r="H725" s="88" t="s">
        <v>35</v>
      </c>
      <c r="I725" s="88"/>
      <c r="J725" s="143">
        <f t="shared" si="42"/>
        <v>0.58340327602545017</v>
      </c>
    </row>
    <row r="726" spans="1:10" hidden="1" outlineLevel="1" x14ac:dyDescent="0.2">
      <c r="A726" s="74">
        <v>50</v>
      </c>
      <c r="B726" s="80" t="s">
        <v>103</v>
      </c>
      <c r="C726" s="78">
        <v>1</v>
      </c>
      <c r="D726" s="77">
        <v>7.5</v>
      </c>
      <c r="E726" s="77">
        <v>27.73</v>
      </c>
      <c r="F726" s="77">
        <v>16.184000000000001</v>
      </c>
      <c r="G726" s="125" t="s">
        <v>3</v>
      </c>
      <c r="H726" s="88" t="s">
        <v>35</v>
      </c>
      <c r="I726" s="88"/>
      <c r="J726" s="143">
        <f t="shared" si="42"/>
        <v>0.58362783988460154</v>
      </c>
    </row>
    <row r="727" spans="1:10" hidden="1" outlineLevel="1" x14ac:dyDescent="0.2">
      <c r="A727" s="74">
        <v>51</v>
      </c>
      <c r="B727" s="80" t="s">
        <v>457</v>
      </c>
      <c r="C727" s="78">
        <v>6</v>
      </c>
      <c r="D727" s="77">
        <v>222</v>
      </c>
      <c r="E727" s="77">
        <v>368.36</v>
      </c>
      <c r="F727" s="77">
        <v>117.08800000000001</v>
      </c>
      <c r="G727" s="125" t="s">
        <v>3</v>
      </c>
      <c r="H727" s="88" t="s">
        <v>35</v>
      </c>
      <c r="I727" s="88"/>
      <c r="J727" s="143">
        <f t="shared" si="42"/>
        <v>0.31786296014768162</v>
      </c>
    </row>
    <row r="728" spans="1:10" hidden="1" outlineLevel="1" x14ac:dyDescent="0.2">
      <c r="A728" s="74">
        <v>52</v>
      </c>
      <c r="B728" s="80" t="s">
        <v>411</v>
      </c>
      <c r="C728" s="78">
        <v>2</v>
      </c>
      <c r="D728" s="77">
        <v>20</v>
      </c>
      <c r="E728" s="77">
        <v>57.49</v>
      </c>
      <c r="F728" s="77">
        <v>29.992000000000001</v>
      </c>
      <c r="G728" s="125" t="s">
        <v>3</v>
      </c>
      <c r="H728" s="88" t="s">
        <v>35</v>
      </c>
      <c r="I728" s="88"/>
      <c r="J728" s="143">
        <f t="shared" si="42"/>
        <v>0.52169072882240386</v>
      </c>
    </row>
    <row r="729" spans="1:10" hidden="1" outlineLevel="1" x14ac:dyDescent="0.2">
      <c r="A729" s="74">
        <v>53</v>
      </c>
      <c r="B729" s="80" t="s">
        <v>106</v>
      </c>
      <c r="C729" s="78">
        <v>1</v>
      </c>
      <c r="D729" s="77">
        <v>1</v>
      </c>
      <c r="E729" s="77">
        <v>12.7</v>
      </c>
      <c r="F729" s="77">
        <v>9.36</v>
      </c>
      <c r="G729" s="125" t="s">
        <v>3</v>
      </c>
      <c r="H729" s="88" t="s">
        <v>35</v>
      </c>
      <c r="I729" s="88"/>
      <c r="J729" s="143">
        <f t="shared" si="42"/>
        <v>0.73700787401574808</v>
      </c>
    </row>
    <row r="730" spans="1:10" hidden="1" outlineLevel="1" x14ac:dyDescent="0.2">
      <c r="A730" s="74">
        <v>54</v>
      </c>
      <c r="B730" s="80" t="s">
        <v>345</v>
      </c>
      <c r="C730" s="78">
        <v>9</v>
      </c>
      <c r="D730" s="77"/>
      <c r="E730" s="77">
        <v>723</v>
      </c>
      <c r="F730" s="77"/>
      <c r="G730" s="125"/>
      <c r="H730" s="88"/>
      <c r="I730" s="88"/>
      <c r="J730" s="143">
        <f t="shared" si="42"/>
        <v>0</v>
      </c>
    </row>
    <row r="731" spans="1:10" hidden="1" outlineLevel="1" x14ac:dyDescent="0.2">
      <c r="A731" s="74">
        <v>55</v>
      </c>
      <c r="B731" s="80"/>
      <c r="C731" s="78"/>
      <c r="D731" s="77"/>
      <c r="E731" s="77"/>
      <c r="F731" s="77"/>
      <c r="G731" s="125"/>
      <c r="H731" s="88"/>
      <c r="I731" s="88"/>
      <c r="J731" s="143" t="e">
        <f t="shared" si="42"/>
        <v>#DIV/0!</v>
      </c>
    </row>
    <row r="732" spans="1:10" hidden="1" outlineLevel="1" x14ac:dyDescent="0.2">
      <c r="A732" s="74">
        <v>56</v>
      </c>
      <c r="B732" s="80"/>
      <c r="C732" s="78"/>
      <c r="D732" s="77"/>
      <c r="E732" s="77"/>
      <c r="F732" s="77"/>
      <c r="G732" s="125"/>
      <c r="H732" s="88"/>
      <c r="I732" s="88"/>
      <c r="J732" s="143" t="e">
        <f t="shared" si="42"/>
        <v>#DIV/0!</v>
      </c>
    </row>
    <row r="733" spans="1:10" hidden="1" outlineLevel="1" x14ac:dyDescent="0.2">
      <c r="A733" s="74">
        <v>57</v>
      </c>
      <c r="B733" s="80"/>
      <c r="C733" s="78"/>
      <c r="D733" s="77"/>
      <c r="E733" s="77"/>
      <c r="F733" s="77"/>
      <c r="G733" s="125"/>
      <c r="H733" s="88"/>
      <c r="I733" s="88"/>
      <c r="J733" s="143" t="e">
        <f t="shared" si="42"/>
        <v>#DIV/0!</v>
      </c>
    </row>
    <row r="734" spans="1:10" hidden="1" outlineLevel="1" x14ac:dyDescent="0.2">
      <c r="A734" s="74"/>
      <c r="B734" s="80"/>
      <c r="C734" s="78"/>
      <c r="D734" s="77"/>
      <c r="E734" s="77"/>
      <c r="F734" s="77"/>
      <c r="G734" s="125"/>
      <c r="H734" s="88"/>
      <c r="I734" s="88"/>
      <c r="J734" s="143" t="e">
        <f t="shared" si="42"/>
        <v>#DIV/0!</v>
      </c>
    </row>
    <row r="735" spans="1:10" collapsed="1" x14ac:dyDescent="0.2">
      <c r="A735" s="156" t="s">
        <v>17</v>
      </c>
      <c r="B735" s="156"/>
      <c r="C735" s="157"/>
      <c r="D735" s="94">
        <f>SUM(D736:D815)</f>
        <v>5459.73</v>
      </c>
      <c r="E735" s="94">
        <f>SUM(E736:E800)</f>
        <v>5981.4099999999989</v>
      </c>
      <c r="F735" s="94">
        <f>SUM(F736:F800)</f>
        <v>2613.6579999999999</v>
      </c>
      <c r="G735" s="68">
        <f>I735+H735</f>
        <v>153</v>
      </c>
      <c r="H735" s="68">
        <f>COUNTIF(H736:H7800,"BSB")</f>
        <v>93</v>
      </c>
      <c r="I735" s="68">
        <f>SUM(C736:C800)</f>
        <v>60</v>
      </c>
      <c r="J735" s="143">
        <f t="shared" si="42"/>
        <v>0.43696352532262467</v>
      </c>
    </row>
    <row r="736" spans="1:10" hidden="1" outlineLevel="1" x14ac:dyDescent="0.2">
      <c r="A736" s="74">
        <v>1</v>
      </c>
      <c r="B736" s="80" t="s">
        <v>491</v>
      </c>
      <c r="C736" s="78"/>
      <c r="D736" s="77">
        <v>17</v>
      </c>
      <c r="E736" s="77">
        <v>30</v>
      </c>
      <c r="F736" s="77">
        <f t="shared" ref="F736:F741" si="47">E736-D736</f>
        <v>13</v>
      </c>
      <c r="G736" s="125" t="s">
        <v>383</v>
      </c>
      <c r="H736" s="88" t="s">
        <v>492</v>
      </c>
      <c r="I736" s="88"/>
      <c r="J736" s="143">
        <f t="shared" si="42"/>
        <v>0.43333333333333335</v>
      </c>
    </row>
    <row r="737" spans="1:10" hidden="1" outlineLevel="1" x14ac:dyDescent="0.2">
      <c r="A737" s="74">
        <v>2</v>
      </c>
      <c r="B737" s="80" t="s">
        <v>493</v>
      </c>
      <c r="C737" s="78"/>
      <c r="D737" s="77">
        <v>50</v>
      </c>
      <c r="E737" s="77">
        <v>60</v>
      </c>
      <c r="F737" s="77">
        <f t="shared" si="47"/>
        <v>10</v>
      </c>
      <c r="G737" s="125" t="s">
        <v>383</v>
      </c>
      <c r="H737" s="88" t="s">
        <v>492</v>
      </c>
      <c r="I737" s="88"/>
      <c r="J737" s="143">
        <f t="shared" si="42"/>
        <v>0.16666666666666666</v>
      </c>
    </row>
    <row r="738" spans="1:10" hidden="1" outlineLevel="1" x14ac:dyDescent="0.2">
      <c r="A738" s="74">
        <v>3</v>
      </c>
      <c r="B738" s="80" t="s">
        <v>494</v>
      </c>
      <c r="C738" s="78"/>
      <c r="D738" s="77">
        <v>20</v>
      </c>
      <c r="E738" s="77">
        <v>40</v>
      </c>
      <c r="F738" s="77">
        <f t="shared" si="47"/>
        <v>20</v>
      </c>
      <c r="G738" s="125" t="s">
        <v>383</v>
      </c>
      <c r="H738" s="88" t="s">
        <v>492</v>
      </c>
      <c r="I738" s="88"/>
      <c r="J738" s="143">
        <f t="shared" si="42"/>
        <v>0.5</v>
      </c>
    </row>
    <row r="739" spans="1:10" hidden="1" outlineLevel="1" x14ac:dyDescent="0.2">
      <c r="A739" s="74">
        <v>4</v>
      </c>
      <c r="B739" s="80" t="s">
        <v>494</v>
      </c>
      <c r="C739" s="78"/>
      <c r="D739" s="77">
        <v>20</v>
      </c>
      <c r="E739" s="77">
        <v>36.700000000000003</v>
      </c>
      <c r="F739" s="77">
        <f t="shared" si="47"/>
        <v>16.700000000000003</v>
      </c>
      <c r="G739" s="125" t="s">
        <v>383</v>
      </c>
      <c r="H739" s="88" t="s">
        <v>492</v>
      </c>
      <c r="I739" s="88"/>
      <c r="J739" s="143">
        <f t="shared" si="42"/>
        <v>0.45504087193460496</v>
      </c>
    </row>
    <row r="740" spans="1:10" hidden="1" outlineLevel="1" x14ac:dyDescent="0.2">
      <c r="A740" s="74">
        <v>5</v>
      </c>
      <c r="B740" s="80" t="s">
        <v>494</v>
      </c>
      <c r="C740" s="78"/>
      <c r="D740" s="77">
        <v>20</v>
      </c>
      <c r="E740" s="77">
        <v>36.700000000000003</v>
      </c>
      <c r="F740" s="77">
        <f t="shared" si="47"/>
        <v>16.700000000000003</v>
      </c>
      <c r="G740" s="125" t="s">
        <v>383</v>
      </c>
      <c r="H740" s="88" t="s">
        <v>492</v>
      </c>
      <c r="I740" s="88"/>
      <c r="J740" s="143">
        <f t="shared" si="42"/>
        <v>0.45504087193460496</v>
      </c>
    </row>
    <row r="741" spans="1:10" hidden="1" outlineLevel="1" x14ac:dyDescent="0.2">
      <c r="A741" s="74">
        <v>6</v>
      </c>
      <c r="B741" s="80" t="s">
        <v>494</v>
      </c>
      <c r="C741" s="78"/>
      <c r="D741" s="77">
        <v>20</v>
      </c>
      <c r="E741" s="77">
        <v>36.700000000000003</v>
      </c>
      <c r="F741" s="77">
        <f t="shared" si="47"/>
        <v>16.700000000000003</v>
      </c>
      <c r="G741" s="125" t="s">
        <v>383</v>
      </c>
      <c r="H741" s="88" t="s">
        <v>492</v>
      </c>
      <c r="I741" s="88"/>
      <c r="J741" s="143">
        <f t="shared" si="42"/>
        <v>0.45504087193460496</v>
      </c>
    </row>
    <row r="742" spans="1:10" hidden="1" outlineLevel="1" x14ac:dyDescent="0.2">
      <c r="A742" s="74">
        <v>7</v>
      </c>
      <c r="B742" s="80" t="s">
        <v>497</v>
      </c>
      <c r="C742" s="78"/>
      <c r="D742" s="77">
        <v>18</v>
      </c>
      <c r="E742" s="77">
        <v>30</v>
      </c>
      <c r="F742" s="77">
        <f t="shared" ref="F742:F799" si="48">E742-D742</f>
        <v>12</v>
      </c>
      <c r="G742" s="125" t="s">
        <v>383</v>
      </c>
      <c r="H742" s="88" t="s">
        <v>492</v>
      </c>
      <c r="I742" s="88"/>
      <c r="J742" s="143">
        <f t="shared" si="42"/>
        <v>0.4</v>
      </c>
    </row>
    <row r="743" spans="1:10" hidden="1" outlineLevel="1" x14ac:dyDescent="0.2">
      <c r="A743" s="74">
        <v>8</v>
      </c>
      <c r="B743" s="80" t="s">
        <v>498</v>
      </c>
      <c r="C743" s="78"/>
      <c r="D743" s="77">
        <v>40</v>
      </c>
      <c r="E743" s="77">
        <v>94</v>
      </c>
      <c r="F743" s="77">
        <f t="shared" si="48"/>
        <v>54</v>
      </c>
      <c r="G743" s="125" t="s">
        <v>383</v>
      </c>
      <c r="H743" s="88" t="s">
        <v>492</v>
      </c>
      <c r="I743" s="88"/>
      <c r="J743" s="143">
        <f t="shared" si="42"/>
        <v>0.57446808510638303</v>
      </c>
    </row>
    <row r="744" spans="1:10" hidden="1" outlineLevel="1" x14ac:dyDescent="0.2">
      <c r="A744" s="74">
        <v>9</v>
      </c>
      <c r="B744" s="80" t="s">
        <v>499</v>
      </c>
      <c r="C744" s="78"/>
      <c r="D744" s="77">
        <v>50</v>
      </c>
      <c r="E744" s="77">
        <v>120</v>
      </c>
      <c r="F744" s="77">
        <f t="shared" si="48"/>
        <v>70</v>
      </c>
      <c r="G744" s="125" t="s">
        <v>383</v>
      </c>
      <c r="H744" s="88" t="s">
        <v>492</v>
      </c>
      <c r="I744" s="88"/>
      <c r="J744" s="143">
        <f t="shared" si="42"/>
        <v>0.58333333333333337</v>
      </c>
    </row>
    <row r="745" spans="1:10" hidden="1" outlineLevel="1" x14ac:dyDescent="0.2">
      <c r="A745" s="74">
        <v>10</v>
      </c>
      <c r="B745" s="80" t="s">
        <v>136</v>
      </c>
      <c r="C745" s="78"/>
      <c r="D745" s="77">
        <v>21.23</v>
      </c>
      <c r="E745" s="77">
        <v>30</v>
      </c>
      <c r="F745" s="77">
        <f t="shared" si="48"/>
        <v>8.77</v>
      </c>
      <c r="G745" s="125" t="s">
        <v>383</v>
      </c>
      <c r="H745" s="88" t="s">
        <v>492</v>
      </c>
      <c r="I745" s="88"/>
      <c r="J745" s="143">
        <f t="shared" si="42"/>
        <v>0.29233333333333333</v>
      </c>
    </row>
    <row r="746" spans="1:10" hidden="1" outlineLevel="1" x14ac:dyDescent="0.2">
      <c r="A746" s="74">
        <v>11</v>
      </c>
      <c r="B746" s="80" t="s">
        <v>500</v>
      </c>
      <c r="C746" s="78"/>
      <c r="D746" s="77">
        <v>70</v>
      </c>
      <c r="E746" s="77">
        <v>100</v>
      </c>
      <c r="F746" s="77">
        <f t="shared" si="48"/>
        <v>30</v>
      </c>
      <c r="G746" s="125" t="s">
        <v>383</v>
      </c>
      <c r="H746" s="88" t="s">
        <v>492</v>
      </c>
      <c r="I746" s="88"/>
      <c r="J746" s="143">
        <f t="shared" si="42"/>
        <v>0.3</v>
      </c>
    </row>
    <row r="747" spans="1:10" hidden="1" outlineLevel="1" x14ac:dyDescent="0.2">
      <c r="A747" s="74">
        <v>12</v>
      </c>
      <c r="B747" s="80" t="s">
        <v>501</v>
      </c>
      <c r="C747" s="78"/>
      <c r="D747" s="77">
        <v>25</v>
      </c>
      <c r="E747" s="77">
        <v>50</v>
      </c>
      <c r="F747" s="77">
        <f t="shared" si="48"/>
        <v>25</v>
      </c>
      <c r="G747" s="125" t="s">
        <v>383</v>
      </c>
      <c r="H747" s="88" t="s">
        <v>492</v>
      </c>
      <c r="I747" s="88"/>
      <c r="J747" s="143">
        <f t="shared" si="42"/>
        <v>0.5</v>
      </c>
    </row>
    <row r="748" spans="1:10" hidden="1" outlineLevel="1" x14ac:dyDescent="0.2">
      <c r="A748" s="74">
        <v>13</v>
      </c>
      <c r="B748" s="80" t="s">
        <v>393</v>
      </c>
      <c r="C748" s="78"/>
      <c r="D748" s="77">
        <v>30</v>
      </c>
      <c r="E748" s="77">
        <v>50</v>
      </c>
      <c r="F748" s="77">
        <f t="shared" si="48"/>
        <v>20</v>
      </c>
      <c r="G748" s="125" t="s">
        <v>383</v>
      </c>
      <c r="H748" s="88" t="s">
        <v>492</v>
      </c>
      <c r="I748" s="88"/>
      <c r="J748" s="143">
        <f t="shared" si="42"/>
        <v>0.4</v>
      </c>
    </row>
    <row r="749" spans="1:10" hidden="1" outlineLevel="1" x14ac:dyDescent="0.2">
      <c r="A749" s="74">
        <v>14</v>
      </c>
      <c r="B749" s="80" t="s">
        <v>436</v>
      </c>
      <c r="C749" s="78"/>
      <c r="D749" s="77">
        <v>7.5</v>
      </c>
      <c r="E749" s="77">
        <v>12</v>
      </c>
      <c r="F749" s="77">
        <f t="shared" si="48"/>
        <v>4.5</v>
      </c>
      <c r="G749" s="125" t="s">
        <v>383</v>
      </c>
      <c r="H749" s="88" t="s">
        <v>492</v>
      </c>
      <c r="I749" s="88"/>
      <c r="J749" s="143">
        <f t="shared" si="42"/>
        <v>0.375</v>
      </c>
    </row>
    <row r="750" spans="1:10" hidden="1" outlineLevel="1" x14ac:dyDescent="0.2">
      <c r="A750" s="74">
        <v>15</v>
      </c>
      <c r="B750" s="80" t="s">
        <v>138</v>
      </c>
      <c r="C750" s="78"/>
      <c r="D750" s="77">
        <v>3</v>
      </c>
      <c r="E750" s="77">
        <v>7</v>
      </c>
      <c r="F750" s="77">
        <f t="shared" si="48"/>
        <v>4</v>
      </c>
      <c r="G750" s="125" t="s">
        <v>383</v>
      </c>
      <c r="H750" s="88" t="s">
        <v>492</v>
      </c>
      <c r="I750" s="88"/>
      <c r="J750" s="143">
        <f t="shared" si="42"/>
        <v>0.5714285714285714</v>
      </c>
    </row>
    <row r="751" spans="1:10" hidden="1" outlineLevel="1" x14ac:dyDescent="0.2">
      <c r="A751" s="74">
        <v>16</v>
      </c>
      <c r="B751" s="80" t="s">
        <v>502</v>
      </c>
      <c r="C751" s="78"/>
      <c r="D751" s="77">
        <v>65</v>
      </c>
      <c r="E751" s="77">
        <v>125</v>
      </c>
      <c r="F751" s="77">
        <f t="shared" si="48"/>
        <v>60</v>
      </c>
      <c r="G751" s="125" t="s">
        <v>383</v>
      </c>
      <c r="H751" s="88" t="s">
        <v>492</v>
      </c>
      <c r="I751" s="88"/>
      <c r="J751" s="143">
        <f t="shared" si="42"/>
        <v>0.48</v>
      </c>
    </row>
    <row r="752" spans="1:10" hidden="1" outlineLevel="1" x14ac:dyDescent="0.2">
      <c r="A752" s="74">
        <v>17</v>
      </c>
      <c r="B752" s="80" t="s">
        <v>503</v>
      </c>
      <c r="C752" s="78"/>
      <c r="D752" s="77">
        <v>25</v>
      </c>
      <c r="E752" s="77">
        <v>40</v>
      </c>
      <c r="F752" s="77">
        <f t="shared" si="48"/>
        <v>15</v>
      </c>
      <c r="G752" s="125" t="s">
        <v>383</v>
      </c>
      <c r="H752" s="88" t="s">
        <v>492</v>
      </c>
      <c r="I752" s="88"/>
      <c r="J752" s="143">
        <f t="shared" si="42"/>
        <v>0.375</v>
      </c>
    </row>
    <row r="753" spans="1:10" hidden="1" outlineLevel="1" x14ac:dyDescent="0.2">
      <c r="A753" s="74">
        <v>18</v>
      </c>
      <c r="B753" s="80" t="s">
        <v>393</v>
      </c>
      <c r="C753" s="78"/>
      <c r="D753" s="77">
        <v>28</v>
      </c>
      <c r="E753" s="77">
        <v>47</v>
      </c>
      <c r="F753" s="77">
        <f t="shared" ref="F753" si="49">E753-D753</f>
        <v>19</v>
      </c>
      <c r="G753" s="125" t="s">
        <v>383</v>
      </c>
      <c r="H753" s="88" t="s">
        <v>492</v>
      </c>
      <c r="I753" s="88"/>
      <c r="J753" s="143">
        <f t="shared" si="42"/>
        <v>0.40425531914893614</v>
      </c>
    </row>
    <row r="754" spans="1:10" hidden="1" outlineLevel="1" x14ac:dyDescent="0.2">
      <c r="A754" s="74">
        <v>19</v>
      </c>
      <c r="B754" s="80" t="s">
        <v>393</v>
      </c>
      <c r="C754" s="78"/>
      <c r="D754" s="77">
        <v>28</v>
      </c>
      <c r="E754" s="77">
        <v>47</v>
      </c>
      <c r="F754" s="77">
        <f t="shared" ref="F754:F763" si="50">E754-D754</f>
        <v>19</v>
      </c>
      <c r="G754" s="125" t="s">
        <v>383</v>
      </c>
      <c r="H754" s="88" t="s">
        <v>492</v>
      </c>
      <c r="I754" s="88"/>
      <c r="J754" s="143">
        <f t="shared" si="42"/>
        <v>0.40425531914893614</v>
      </c>
    </row>
    <row r="755" spans="1:10" hidden="1" outlineLevel="1" x14ac:dyDescent="0.2">
      <c r="A755" s="74">
        <v>20</v>
      </c>
      <c r="B755" s="80" t="s">
        <v>393</v>
      </c>
      <c r="C755" s="78"/>
      <c r="D755" s="77">
        <v>28</v>
      </c>
      <c r="E755" s="77">
        <v>47</v>
      </c>
      <c r="F755" s="77">
        <f t="shared" si="50"/>
        <v>19</v>
      </c>
      <c r="G755" s="125" t="s">
        <v>383</v>
      </c>
      <c r="H755" s="88" t="s">
        <v>492</v>
      </c>
      <c r="I755" s="88"/>
      <c r="J755" s="143">
        <f t="shared" si="42"/>
        <v>0.40425531914893614</v>
      </c>
    </row>
    <row r="756" spans="1:10" hidden="1" outlineLevel="1" x14ac:dyDescent="0.2">
      <c r="A756" s="74">
        <v>21</v>
      </c>
      <c r="B756" s="80" t="s">
        <v>393</v>
      </c>
      <c r="C756" s="78"/>
      <c r="D756" s="77">
        <v>28</v>
      </c>
      <c r="E756" s="77">
        <v>47</v>
      </c>
      <c r="F756" s="77">
        <f t="shared" si="50"/>
        <v>19</v>
      </c>
      <c r="G756" s="125" t="s">
        <v>383</v>
      </c>
      <c r="H756" s="88" t="s">
        <v>492</v>
      </c>
      <c r="I756" s="88"/>
      <c r="J756" s="143">
        <f t="shared" si="42"/>
        <v>0.40425531914893614</v>
      </c>
    </row>
    <row r="757" spans="1:10" hidden="1" outlineLevel="1" x14ac:dyDescent="0.2">
      <c r="A757" s="74">
        <v>22</v>
      </c>
      <c r="B757" s="80" t="s">
        <v>393</v>
      </c>
      <c r="C757" s="78"/>
      <c r="D757" s="77">
        <v>28</v>
      </c>
      <c r="E757" s="77">
        <v>47</v>
      </c>
      <c r="F757" s="77">
        <f t="shared" si="50"/>
        <v>19</v>
      </c>
      <c r="G757" s="125" t="s">
        <v>383</v>
      </c>
      <c r="H757" s="88" t="s">
        <v>492</v>
      </c>
      <c r="I757" s="88"/>
      <c r="J757" s="143">
        <f t="shared" si="42"/>
        <v>0.40425531914893614</v>
      </c>
    </row>
    <row r="758" spans="1:10" hidden="1" outlineLevel="1" x14ac:dyDescent="0.2">
      <c r="A758" s="74">
        <v>23</v>
      </c>
      <c r="B758" s="80" t="s">
        <v>393</v>
      </c>
      <c r="C758" s="78"/>
      <c r="D758" s="77">
        <v>28</v>
      </c>
      <c r="E758" s="77">
        <v>47</v>
      </c>
      <c r="F758" s="77">
        <f t="shared" si="50"/>
        <v>19</v>
      </c>
      <c r="G758" s="125" t="s">
        <v>383</v>
      </c>
      <c r="H758" s="88" t="s">
        <v>492</v>
      </c>
      <c r="I758" s="88"/>
      <c r="J758" s="143">
        <f t="shared" si="42"/>
        <v>0.40425531914893614</v>
      </c>
    </row>
    <row r="759" spans="1:10" hidden="1" outlineLevel="1" x14ac:dyDescent="0.2">
      <c r="A759" s="74">
        <v>24</v>
      </c>
      <c r="B759" s="80" t="s">
        <v>393</v>
      </c>
      <c r="C759" s="78"/>
      <c r="D759" s="77">
        <v>28</v>
      </c>
      <c r="E759" s="77">
        <v>47</v>
      </c>
      <c r="F759" s="77">
        <f t="shared" si="50"/>
        <v>19</v>
      </c>
      <c r="G759" s="125" t="s">
        <v>383</v>
      </c>
      <c r="H759" s="88" t="s">
        <v>492</v>
      </c>
      <c r="I759" s="88"/>
      <c r="J759" s="143">
        <f t="shared" si="42"/>
        <v>0.40425531914893614</v>
      </c>
    </row>
    <row r="760" spans="1:10" hidden="1" outlineLevel="1" x14ac:dyDescent="0.2">
      <c r="A760" s="74">
        <v>25</v>
      </c>
      <c r="B760" s="80" t="s">
        <v>393</v>
      </c>
      <c r="C760" s="78"/>
      <c r="D760" s="77">
        <v>28</v>
      </c>
      <c r="E760" s="77">
        <v>47</v>
      </c>
      <c r="F760" s="77">
        <f t="shared" si="50"/>
        <v>19</v>
      </c>
      <c r="G760" s="125" t="s">
        <v>383</v>
      </c>
      <c r="H760" s="88" t="s">
        <v>492</v>
      </c>
      <c r="I760" s="88"/>
      <c r="J760" s="143">
        <f t="shared" si="42"/>
        <v>0.40425531914893614</v>
      </c>
    </row>
    <row r="761" spans="1:10" hidden="1" outlineLevel="1" x14ac:dyDescent="0.2">
      <c r="A761" s="74">
        <v>26</v>
      </c>
      <c r="B761" s="80" t="s">
        <v>393</v>
      </c>
      <c r="C761" s="78"/>
      <c r="D761" s="77">
        <v>28</v>
      </c>
      <c r="E761" s="77">
        <v>47</v>
      </c>
      <c r="F761" s="77">
        <f t="shared" si="50"/>
        <v>19</v>
      </c>
      <c r="G761" s="125" t="s">
        <v>383</v>
      </c>
      <c r="H761" s="88" t="s">
        <v>492</v>
      </c>
      <c r="I761" s="88"/>
      <c r="J761" s="143">
        <f t="shared" si="42"/>
        <v>0.40425531914893614</v>
      </c>
    </row>
    <row r="762" spans="1:10" hidden="1" outlineLevel="1" x14ac:dyDescent="0.2">
      <c r="A762" s="74">
        <v>27</v>
      </c>
      <c r="B762" s="80" t="s">
        <v>393</v>
      </c>
      <c r="C762" s="78"/>
      <c r="D762" s="77">
        <v>28</v>
      </c>
      <c r="E762" s="77">
        <v>47</v>
      </c>
      <c r="F762" s="77">
        <f t="shared" si="50"/>
        <v>19</v>
      </c>
      <c r="G762" s="125" t="s">
        <v>383</v>
      </c>
      <c r="H762" s="88" t="s">
        <v>492</v>
      </c>
      <c r="I762" s="88"/>
      <c r="J762" s="143">
        <f t="shared" si="42"/>
        <v>0.40425531914893614</v>
      </c>
    </row>
    <row r="763" spans="1:10" hidden="1" outlineLevel="1" x14ac:dyDescent="0.2">
      <c r="A763" s="74">
        <v>28</v>
      </c>
      <c r="B763" s="80" t="s">
        <v>505</v>
      </c>
      <c r="C763" s="78"/>
      <c r="D763" s="77">
        <v>25</v>
      </c>
      <c r="E763" s="77">
        <v>40</v>
      </c>
      <c r="F763" s="77">
        <f t="shared" si="50"/>
        <v>15</v>
      </c>
      <c r="G763" s="125" t="s">
        <v>383</v>
      </c>
      <c r="H763" s="88" t="s">
        <v>492</v>
      </c>
      <c r="I763" s="88"/>
      <c r="J763" s="143">
        <f t="shared" si="42"/>
        <v>0.375</v>
      </c>
    </row>
    <row r="764" spans="1:10" hidden="1" outlineLevel="1" x14ac:dyDescent="0.2">
      <c r="A764" s="74">
        <v>29</v>
      </c>
      <c r="B764" s="80" t="s">
        <v>506</v>
      </c>
      <c r="C764" s="78"/>
      <c r="D764" s="77">
        <v>40</v>
      </c>
      <c r="E764" s="77">
        <v>80</v>
      </c>
      <c r="F764" s="77">
        <f t="shared" si="48"/>
        <v>40</v>
      </c>
      <c r="G764" s="125" t="s">
        <v>383</v>
      </c>
      <c r="H764" s="88" t="s">
        <v>492</v>
      </c>
      <c r="I764" s="88"/>
      <c r="J764" s="143">
        <f t="shared" si="42"/>
        <v>0.5</v>
      </c>
    </row>
    <row r="765" spans="1:10" hidden="1" outlineLevel="1" x14ac:dyDescent="0.2">
      <c r="A765" s="74">
        <v>30</v>
      </c>
      <c r="B765" s="80" t="s">
        <v>506</v>
      </c>
      <c r="C765" s="78"/>
      <c r="D765" s="77">
        <v>40</v>
      </c>
      <c r="E765" s="77">
        <v>80</v>
      </c>
      <c r="F765" s="77">
        <f t="shared" ref="F765" si="51">E765-D765</f>
        <v>40</v>
      </c>
      <c r="G765" s="125" t="s">
        <v>383</v>
      </c>
      <c r="H765" s="88" t="s">
        <v>492</v>
      </c>
      <c r="I765" s="88"/>
      <c r="J765" s="143">
        <f t="shared" si="42"/>
        <v>0.5</v>
      </c>
    </row>
    <row r="766" spans="1:10" hidden="1" outlineLevel="1" x14ac:dyDescent="0.2">
      <c r="A766" s="74">
        <v>31</v>
      </c>
      <c r="B766" s="80" t="s">
        <v>507</v>
      </c>
      <c r="C766" s="78"/>
      <c r="D766" s="77">
        <v>25</v>
      </c>
      <c r="E766" s="77">
        <v>50</v>
      </c>
      <c r="F766" s="77">
        <f t="shared" si="48"/>
        <v>25</v>
      </c>
      <c r="G766" s="125" t="s">
        <v>383</v>
      </c>
      <c r="H766" s="88" t="s">
        <v>492</v>
      </c>
      <c r="I766" s="88"/>
      <c r="J766" s="143">
        <f t="shared" si="42"/>
        <v>0.5</v>
      </c>
    </row>
    <row r="767" spans="1:10" hidden="1" outlineLevel="1" x14ac:dyDescent="0.2">
      <c r="A767" s="74">
        <v>32</v>
      </c>
      <c r="B767" s="80" t="s">
        <v>509</v>
      </c>
      <c r="C767" s="78"/>
      <c r="D767" s="77">
        <v>55</v>
      </c>
      <c r="E767" s="77">
        <v>85</v>
      </c>
      <c r="F767" s="77">
        <f t="shared" si="48"/>
        <v>30</v>
      </c>
      <c r="G767" s="125" t="s">
        <v>383</v>
      </c>
      <c r="H767" s="88" t="s">
        <v>492</v>
      </c>
      <c r="I767" s="88"/>
      <c r="J767" s="143">
        <f t="shared" si="42"/>
        <v>0.35294117647058826</v>
      </c>
    </row>
    <row r="768" spans="1:10" hidden="1" outlineLevel="1" x14ac:dyDescent="0.2">
      <c r="A768" s="74">
        <v>33</v>
      </c>
      <c r="B768" s="80" t="s">
        <v>510</v>
      </c>
      <c r="C768" s="78"/>
      <c r="D768" s="77">
        <v>50</v>
      </c>
      <c r="E768" s="77">
        <v>80</v>
      </c>
      <c r="F768" s="77">
        <f t="shared" si="48"/>
        <v>30</v>
      </c>
      <c r="G768" s="125" t="s">
        <v>383</v>
      </c>
      <c r="H768" s="88" t="s">
        <v>492</v>
      </c>
      <c r="I768" s="88"/>
      <c r="J768" s="143">
        <f t="shared" si="42"/>
        <v>0.375</v>
      </c>
    </row>
    <row r="769" spans="1:10" hidden="1" outlineLevel="1" x14ac:dyDescent="0.2">
      <c r="A769" s="74">
        <v>34</v>
      </c>
      <c r="B769" s="80" t="s">
        <v>45</v>
      </c>
      <c r="C769" s="78"/>
      <c r="D769" s="77">
        <v>40</v>
      </c>
      <c r="E769" s="77">
        <v>65</v>
      </c>
      <c r="F769" s="77">
        <f t="shared" si="48"/>
        <v>25</v>
      </c>
      <c r="G769" s="125" t="s">
        <v>383</v>
      </c>
      <c r="H769" s="88" t="s">
        <v>492</v>
      </c>
      <c r="I769" s="88"/>
      <c r="J769" s="143">
        <f t="shared" si="42"/>
        <v>0.38461538461538464</v>
      </c>
    </row>
    <row r="770" spans="1:10" hidden="1" outlineLevel="1" x14ac:dyDescent="0.2">
      <c r="A770" s="74">
        <v>35</v>
      </c>
      <c r="B770" s="80" t="s">
        <v>511</v>
      </c>
      <c r="C770" s="78"/>
      <c r="D770" s="77">
        <v>20</v>
      </c>
      <c r="E770" s="77">
        <v>40</v>
      </c>
      <c r="F770" s="77">
        <f t="shared" si="48"/>
        <v>20</v>
      </c>
      <c r="G770" s="125" t="s">
        <v>383</v>
      </c>
      <c r="H770" s="88" t="s">
        <v>492</v>
      </c>
      <c r="I770" s="88"/>
      <c r="J770" s="143">
        <f t="shared" ref="J770:J800" si="52">F770/E770</f>
        <v>0.5</v>
      </c>
    </row>
    <row r="771" spans="1:10" hidden="1" outlineLevel="1" x14ac:dyDescent="0.2">
      <c r="A771" s="74">
        <v>36</v>
      </c>
      <c r="B771" s="80" t="s">
        <v>512</v>
      </c>
      <c r="C771" s="78"/>
      <c r="D771" s="77">
        <v>100</v>
      </c>
      <c r="E771" s="77">
        <v>145</v>
      </c>
      <c r="F771" s="77">
        <f t="shared" si="48"/>
        <v>45</v>
      </c>
      <c r="G771" s="125" t="s">
        <v>383</v>
      </c>
      <c r="H771" s="88" t="s">
        <v>492</v>
      </c>
      <c r="I771" s="88"/>
      <c r="J771" s="143">
        <f t="shared" si="52"/>
        <v>0.31034482758620691</v>
      </c>
    </row>
    <row r="772" spans="1:10" hidden="1" outlineLevel="1" x14ac:dyDescent="0.2">
      <c r="A772" s="74">
        <v>37</v>
      </c>
      <c r="B772" s="80" t="s">
        <v>512</v>
      </c>
      <c r="C772" s="78"/>
      <c r="D772" s="77">
        <v>100</v>
      </c>
      <c r="E772" s="77">
        <v>100</v>
      </c>
      <c r="F772" s="77">
        <f t="shared" ref="F772" si="53">E772-D772</f>
        <v>0</v>
      </c>
      <c r="G772" s="125" t="s">
        <v>383</v>
      </c>
      <c r="H772" s="88" t="s">
        <v>492</v>
      </c>
      <c r="I772" s="88"/>
      <c r="J772" s="143">
        <f t="shared" si="52"/>
        <v>0</v>
      </c>
    </row>
    <row r="773" spans="1:10" hidden="1" outlineLevel="1" x14ac:dyDescent="0.2">
      <c r="A773" s="74">
        <v>38</v>
      </c>
      <c r="B773" s="80" t="s">
        <v>513</v>
      </c>
      <c r="C773" s="78"/>
      <c r="D773" s="77">
        <v>16</v>
      </c>
      <c r="E773" s="77">
        <v>30</v>
      </c>
      <c r="F773" s="77">
        <f t="shared" si="48"/>
        <v>14</v>
      </c>
      <c r="G773" s="125" t="s">
        <v>383</v>
      </c>
      <c r="H773" s="88" t="s">
        <v>492</v>
      </c>
      <c r="I773" s="88"/>
      <c r="J773" s="143">
        <f t="shared" si="52"/>
        <v>0.46666666666666667</v>
      </c>
    </row>
    <row r="774" spans="1:10" hidden="1" outlineLevel="1" x14ac:dyDescent="0.2">
      <c r="A774" s="74">
        <v>39</v>
      </c>
      <c r="B774" s="80" t="s">
        <v>513</v>
      </c>
      <c r="C774" s="78"/>
      <c r="D774" s="77">
        <v>16</v>
      </c>
      <c r="E774" s="77">
        <v>30</v>
      </c>
      <c r="F774" s="77">
        <f t="shared" ref="F774" si="54">E774-D774</f>
        <v>14</v>
      </c>
      <c r="G774" s="125" t="s">
        <v>383</v>
      </c>
      <c r="H774" s="88" t="s">
        <v>492</v>
      </c>
      <c r="I774" s="88"/>
      <c r="J774" s="143">
        <f t="shared" si="52"/>
        <v>0.46666666666666667</v>
      </c>
    </row>
    <row r="775" spans="1:10" hidden="1" outlineLevel="1" x14ac:dyDescent="0.2">
      <c r="A775" s="74">
        <v>40</v>
      </c>
      <c r="B775" s="80" t="s">
        <v>393</v>
      </c>
      <c r="C775" s="78"/>
      <c r="D775" s="77">
        <v>30</v>
      </c>
      <c r="E775" s="77">
        <v>50</v>
      </c>
      <c r="F775" s="77">
        <f t="shared" si="48"/>
        <v>20</v>
      </c>
      <c r="G775" s="125" t="s">
        <v>383</v>
      </c>
      <c r="H775" s="88" t="s">
        <v>492</v>
      </c>
      <c r="I775" s="88"/>
      <c r="J775" s="143">
        <f t="shared" si="52"/>
        <v>0.4</v>
      </c>
    </row>
    <row r="776" spans="1:10" hidden="1" outlineLevel="1" x14ac:dyDescent="0.2">
      <c r="A776" s="74">
        <v>41</v>
      </c>
      <c r="B776" s="80" t="s">
        <v>514</v>
      </c>
      <c r="C776" s="78"/>
      <c r="D776" s="77">
        <v>80</v>
      </c>
      <c r="E776" s="77">
        <v>100</v>
      </c>
      <c r="F776" s="77">
        <f t="shared" si="48"/>
        <v>20</v>
      </c>
      <c r="G776" s="125" t="s">
        <v>383</v>
      </c>
      <c r="H776" s="88" t="s">
        <v>492</v>
      </c>
      <c r="I776" s="88"/>
      <c r="J776" s="143">
        <f t="shared" si="52"/>
        <v>0.2</v>
      </c>
    </row>
    <row r="777" spans="1:10" hidden="1" outlineLevel="1" x14ac:dyDescent="0.2">
      <c r="A777" s="74">
        <v>42</v>
      </c>
      <c r="B777" s="80" t="s">
        <v>104</v>
      </c>
      <c r="C777" s="78">
        <v>1</v>
      </c>
      <c r="D777" s="77">
        <v>38</v>
      </c>
      <c r="E777" s="77">
        <v>86.44</v>
      </c>
      <c r="F777" s="77">
        <v>38.751999999999995</v>
      </c>
      <c r="G777" s="125" t="s">
        <v>383</v>
      </c>
      <c r="H777" s="88" t="s">
        <v>107</v>
      </c>
      <c r="I777" s="88"/>
      <c r="J777" s="143">
        <f t="shared" si="52"/>
        <v>0.44831096714484031</v>
      </c>
    </row>
    <row r="778" spans="1:10" hidden="1" outlineLevel="1" x14ac:dyDescent="0.2">
      <c r="A778" s="74">
        <v>43</v>
      </c>
      <c r="B778" s="80" t="s">
        <v>95</v>
      </c>
      <c r="C778" s="78">
        <v>1</v>
      </c>
      <c r="D778" s="77">
        <v>5</v>
      </c>
      <c r="E778" s="77">
        <v>25</v>
      </c>
      <c r="F778" s="77">
        <v>16</v>
      </c>
      <c r="G778" s="125" t="s">
        <v>383</v>
      </c>
      <c r="H778" s="88" t="s">
        <v>107</v>
      </c>
      <c r="I778" s="88"/>
      <c r="J778" s="143">
        <f t="shared" si="52"/>
        <v>0.64</v>
      </c>
    </row>
    <row r="779" spans="1:10" hidden="1" outlineLevel="1" x14ac:dyDescent="0.2">
      <c r="A779" s="74">
        <v>44</v>
      </c>
      <c r="B779" s="80" t="s">
        <v>489</v>
      </c>
      <c r="C779" s="78">
        <v>2</v>
      </c>
      <c r="D779" s="77">
        <v>14</v>
      </c>
      <c r="E779" s="77">
        <v>32.869999999999997</v>
      </c>
      <c r="F779" s="77">
        <v>15.095999999999998</v>
      </c>
      <c r="G779" s="125" t="s">
        <v>383</v>
      </c>
      <c r="H779" s="88" t="s">
        <v>107</v>
      </c>
      <c r="I779" s="88"/>
      <c r="J779" s="143">
        <f t="shared" si="52"/>
        <v>0.45926376635229693</v>
      </c>
    </row>
    <row r="780" spans="1:10" hidden="1" outlineLevel="1" x14ac:dyDescent="0.2">
      <c r="A780" s="74">
        <v>45</v>
      </c>
      <c r="B780" s="80" t="s">
        <v>222</v>
      </c>
      <c r="C780" s="78">
        <v>11</v>
      </c>
      <c r="D780" s="77">
        <v>440</v>
      </c>
      <c r="E780" s="77">
        <v>863.08</v>
      </c>
      <c r="F780" s="77">
        <v>338.46400000000006</v>
      </c>
      <c r="G780" s="125" t="s">
        <v>383</v>
      </c>
      <c r="H780" s="88" t="s">
        <v>107</v>
      </c>
      <c r="I780" s="88"/>
      <c r="J780" s="143">
        <f t="shared" si="52"/>
        <v>0.39215831672614365</v>
      </c>
    </row>
    <row r="781" spans="1:10" hidden="1" outlineLevel="1" x14ac:dyDescent="0.2">
      <c r="A781" s="74">
        <v>46</v>
      </c>
      <c r="B781" s="80" t="s">
        <v>338</v>
      </c>
      <c r="C781" s="78">
        <v>2</v>
      </c>
      <c r="D781" s="77">
        <v>7</v>
      </c>
      <c r="E781" s="77">
        <v>43.14</v>
      </c>
      <c r="F781" s="77">
        <v>28.911999999999999</v>
      </c>
      <c r="G781" s="125" t="s">
        <v>383</v>
      </c>
      <c r="H781" s="88" t="s">
        <v>107</v>
      </c>
      <c r="I781" s="88"/>
      <c r="J781" s="143">
        <f t="shared" si="52"/>
        <v>0.67019007881316639</v>
      </c>
    </row>
    <row r="782" spans="1:10" hidden="1" outlineLevel="1" x14ac:dyDescent="0.2">
      <c r="A782" s="74">
        <v>47</v>
      </c>
      <c r="B782" s="80" t="s">
        <v>176</v>
      </c>
      <c r="C782" s="78">
        <v>1</v>
      </c>
      <c r="D782" s="77">
        <v>2.5</v>
      </c>
      <c r="E782" s="77">
        <v>23.02</v>
      </c>
      <c r="F782" s="77">
        <v>16.416</v>
      </c>
      <c r="G782" s="125" t="s">
        <v>383</v>
      </c>
      <c r="H782" s="88" t="s">
        <v>107</v>
      </c>
      <c r="I782" s="88"/>
      <c r="J782" s="143">
        <f t="shared" si="52"/>
        <v>0.7131190269331017</v>
      </c>
    </row>
    <row r="783" spans="1:10" hidden="1" outlineLevel="1" x14ac:dyDescent="0.2">
      <c r="A783" s="74">
        <v>48</v>
      </c>
      <c r="B783" s="80" t="s">
        <v>515</v>
      </c>
      <c r="C783" s="78">
        <v>2</v>
      </c>
      <c r="D783" s="77">
        <v>30</v>
      </c>
      <c r="E783" s="77">
        <v>74.540000000000006</v>
      </c>
      <c r="F783" s="77">
        <v>35.632000000000005</v>
      </c>
      <c r="G783" s="125" t="s">
        <v>383</v>
      </c>
      <c r="H783" s="88" t="s">
        <v>107</v>
      </c>
      <c r="I783" s="88"/>
      <c r="J783" s="143">
        <f t="shared" si="52"/>
        <v>0.47802522135766035</v>
      </c>
    </row>
    <row r="784" spans="1:10" hidden="1" outlineLevel="1" x14ac:dyDescent="0.2">
      <c r="A784" s="74">
        <v>49</v>
      </c>
      <c r="B784" s="80" t="s">
        <v>516</v>
      </c>
      <c r="C784" s="78">
        <v>1</v>
      </c>
      <c r="D784" s="77">
        <v>20</v>
      </c>
      <c r="E784" s="77">
        <v>39.99</v>
      </c>
      <c r="F784" s="77">
        <v>15.992000000000001</v>
      </c>
      <c r="G784" s="125" t="s">
        <v>383</v>
      </c>
      <c r="H784" s="88" t="s">
        <v>107</v>
      </c>
      <c r="I784" s="88"/>
      <c r="J784" s="143">
        <f t="shared" si="52"/>
        <v>0.39989997499374846</v>
      </c>
    </row>
    <row r="785" spans="1:10" hidden="1" outlineLevel="1" x14ac:dyDescent="0.2">
      <c r="A785" s="74">
        <v>50</v>
      </c>
      <c r="B785" s="80" t="s">
        <v>517</v>
      </c>
      <c r="C785" s="78">
        <v>1</v>
      </c>
      <c r="D785" s="77">
        <v>6</v>
      </c>
      <c r="E785" s="77">
        <v>23.48</v>
      </c>
      <c r="F785" s="77">
        <v>13.984</v>
      </c>
      <c r="G785" s="125" t="s">
        <v>383</v>
      </c>
      <c r="H785" s="88" t="s">
        <v>107</v>
      </c>
      <c r="I785" s="88"/>
      <c r="J785" s="143">
        <f t="shared" si="52"/>
        <v>0.59557069846678024</v>
      </c>
    </row>
    <row r="786" spans="1:10" hidden="1" outlineLevel="1" x14ac:dyDescent="0.2">
      <c r="A786" s="74">
        <v>51</v>
      </c>
      <c r="B786" s="80" t="s">
        <v>179</v>
      </c>
      <c r="C786" s="78">
        <v>1</v>
      </c>
      <c r="D786" s="77">
        <v>18</v>
      </c>
      <c r="E786" s="77">
        <v>37.1</v>
      </c>
      <c r="F786" s="77">
        <v>15.280000000000001</v>
      </c>
      <c r="G786" s="125" t="s">
        <v>383</v>
      </c>
      <c r="H786" s="88" t="s">
        <v>107</v>
      </c>
      <c r="I786" s="88"/>
      <c r="J786" s="143">
        <f t="shared" si="52"/>
        <v>0.41185983827493261</v>
      </c>
    </row>
    <row r="787" spans="1:10" hidden="1" outlineLevel="1" x14ac:dyDescent="0.2">
      <c r="A787" s="74">
        <v>52</v>
      </c>
      <c r="B787" s="80" t="s">
        <v>518</v>
      </c>
      <c r="C787" s="78">
        <v>8</v>
      </c>
      <c r="D787" s="77">
        <v>304</v>
      </c>
      <c r="E787" s="77">
        <v>667.44</v>
      </c>
      <c r="F787" s="77">
        <v>290.75200000000007</v>
      </c>
      <c r="G787" s="125" t="s">
        <v>383</v>
      </c>
      <c r="H787" s="88" t="s">
        <v>107</v>
      </c>
      <c r="I787" s="88"/>
      <c r="J787" s="143">
        <f t="shared" si="52"/>
        <v>0.43562267769387519</v>
      </c>
    </row>
    <row r="788" spans="1:10" hidden="1" outlineLevel="1" x14ac:dyDescent="0.2">
      <c r="A788" s="74">
        <v>53</v>
      </c>
      <c r="B788" s="80" t="s">
        <v>519</v>
      </c>
      <c r="C788" s="78">
        <v>3</v>
      </c>
      <c r="D788" s="77">
        <v>72</v>
      </c>
      <c r="E788" s="77">
        <v>139.28</v>
      </c>
      <c r="F788" s="77">
        <v>53.823999999999998</v>
      </c>
      <c r="G788" s="125" t="s">
        <v>383</v>
      </c>
      <c r="H788" s="88" t="s">
        <v>107</v>
      </c>
      <c r="I788" s="88"/>
      <c r="J788" s="143">
        <f t="shared" si="52"/>
        <v>0.3864445720850086</v>
      </c>
    </row>
    <row r="789" spans="1:10" hidden="1" outlineLevel="1" x14ac:dyDescent="0.2">
      <c r="A789" s="74">
        <v>54</v>
      </c>
      <c r="B789" s="80" t="s">
        <v>342</v>
      </c>
      <c r="C789" s="78">
        <v>1</v>
      </c>
      <c r="D789" s="77">
        <v>1</v>
      </c>
      <c r="E789" s="77">
        <v>17.899999999999999</v>
      </c>
      <c r="F789" s="77">
        <v>13.52</v>
      </c>
      <c r="G789" s="125" t="s">
        <v>383</v>
      </c>
      <c r="H789" s="88" t="s">
        <v>107</v>
      </c>
      <c r="I789" s="88"/>
      <c r="J789" s="143">
        <f t="shared" si="52"/>
        <v>0.75530726256983249</v>
      </c>
    </row>
    <row r="790" spans="1:10" hidden="1" outlineLevel="1" x14ac:dyDescent="0.2">
      <c r="A790" s="74">
        <v>55</v>
      </c>
      <c r="B790" s="80" t="s">
        <v>260</v>
      </c>
      <c r="C790" s="78">
        <v>1</v>
      </c>
      <c r="D790" s="77">
        <v>1</v>
      </c>
      <c r="E790" s="77">
        <v>7.71</v>
      </c>
      <c r="F790" s="77">
        <v>5.3680000000000003</v>
      </c>
      <c r="G790" s="125" t="s">
        <v>383</v>
      </c>
      <c r="H790" s="88" t="s">
        <v>107</v>
      </c>
      <c r="I790" s="88"/>
      <c r="J790" s="143">
        <f t="shared" si="52"/>
        <v>0.69623865110246441</v>
      </c>
    </row>
    <row r="791" spans="1:10" hidden="1" outlineLevel="1" x14ac:dyDescent="0.2">
      <c r="A791" s="74">
        <v>56</v>
      </c>
      <c r="B791" s="80" t="s">
        <v>520</v>
      </c>
      <c r="C791" s="78">
        <v>1</v>
      </c>
      <c r="D791" s="77">
        <v>10</v>
      </c>
      <c r="E791" s="77">
        <v>25</v>
      </c>
      <c r="F791" s="77">
        <v>12</v>
      </c>
      <c r="G791" s="125" t="s">
        <v>383</v>
      </c>
      <c r="H791" s="88" t="s">
        <v>107</v>
      </c>
      <c r="I791" s="88"/>
      <c r="J791" s="143">
        <f t="shared" si="52"/>
        <v>0.48</v>
      </c>
    </row>
    <row r="792" spans="1:10" hidden="1" outlineLevel="1" x14ac:dyDescent="0.2">
      <c r="A792" s="74">
        <v>57</v>
      </c>
      <c r="B792" s="80" t="s">
        <v>521</v>
      </c>
      <c r="C792" s="78">
        <v>1</v>
      </c>
      <c r="D792" s="77">
        <v>0.7</v>
      </c>
      <c r="E792" s="77">
        <v>2.5</v>
      </c>
      <c r="F792" s="77">
        <v>1.44</v>
      </c>
      <c r="G792" s="125" t="s">
        <v>383</v>
      </c>
      <c r="H792" s="88" t="s">
        <v>107</v>
      </c>
      <c r="I792" s="88"/>
      <c r="J792" s="143">
        <f t="shared" si="52"/>
        <v>0.57599999999999996</v>
      </c>
    </row>
    <row r="793" spans="1:10" hidden="1" outlineLevel="1" x14ac:dyDescent="0.2">
      <c r="A793" s="74">
        <v>58</v>
      </c>
      <c r="B793" s="80" t="s">
        <v>289</v>
      </c>
      <c r="C793" s="78">
        <v>1</v>
      </c>
      <c r="D793" s="77">
        <v>11</v>
      </c>
      <c r="E793" s="77">
        <v>62.59</v>
      </c>
      <c r="F793" s="77">
        <v>41.272000000000006</v>
      </c>
      <c r="G793" s="125" t="s">
        <v>383</v>
      </c>
      <c r="H793" s="88" t="s">
        <v>107</v>
      </c>
      <c r="I793" s="88"/>
      <c r="J793" s="143">
        <f t="shared" si="52"/>
        <v>0.65940246045694206</v>
      </c>
    </row>
    <row r="794" spans="1:10" hidden="1" outlineLevel="1" x14ac:dyDescent="0.2">
      <c r="A794" s="74">
        <v>59</v>
      </c>
      <c r="B794" s="80" t="s">
        <v>290</v>
      </c>
      <c r="C794" s="78">
        <v>1</v>
      </c>
      <c r="D794" s="77">
        <v>7</v>
      </c>
      <c r="E794" s="77">
        <v>13</v>
      </c>
      <c r="F794" s="77">
        <v>4.8</v>
      </c>
      <c r="G794" s="125" t="s">
        <v>383</v>
      </c>
      <c r="H794" s="88" t="s">
        <v>107</v>
      </c>
      <c r="I794" s="88"/>
      <c r="J794" s="143">
        <f t="shared" si="52"/>
        <v>0.3692307692307692</v>
      </c>
    </row>
    <row r="795" spans="1:10" hidden="1" outlineLevel="1" x14ac:dyDescent="0.2">
      <c r="A795" s="74">
        <v>60</v>
      </c>
      <c r="B795" s="80" t="s">
        <v>457</v>
      </c>
      <c r="C795" s="78">
        <v>2</v>
      </c>
      <c r="D795" s="77">
        <v>48</v>
      </c>
      <c r="E795" s="77">
        <v>95.14</v>
      </c>
      <c r="F795" s="77">
        <v>37.712000000000003</v>
      </c>
      <c r="G795" s="125" t="s">
        <v>383</v>
      </c>
      <c r="H795" s="88" t="s">
        <v>107</v>
      </c>
      <c r="I795" s="88"/>
      <c r="J795" s="143">
        <f t="shared" si="52"/>
        <v>0.39638427580407826</v>
      </c>
    </row>
    <row r="796" spans="1:10" hidden="1" outlineLevel="1" x14ac:dyDescent="0.2">
      <c r="A796" s="74">
        <v>61</v>
      </c>
      <c r="B796" s="80" t="s">
        <v>522</v>
      </c>
      <c r="C796" s="78">
        <v>2</v>
      </c>
      <c r="D796" s="77">
        <v>20</v>
      </c>
      <c r="E796" s="77">
        <v>49.15</v>
      </c>
      <c r="F796" s="77">
        <v>23.32</v>
      </c>
      <c r="G796" s="125" t="s">
        <v>383</v>
      </c>
      <c r="H796" s="88" t="s">
        <v>107</v>
      </c>
      <c r="I796" s="88"/>
      <c r="J796" s="143">
        <f t="shared" si="52"/>
        <v>0.47446592065106818</v>
      </c>
    </row>
    <row r="797" spans="1:10" hidden="1" outlineLevel="1" x14ac:dyDescent="0.2">
      <c r="A797" s="74">
        <v>62</v>
      </c>
      <c r="B797" s="80" t="s">
        <v>523</v>
      </c>
      <c r="C797" s="78">
        <v>6</v>
      </c>
      <c r="D797" s="77">
        <v>21</v>
      </c>
      <c r="E797" s="77">
        <v>52.52</v>
      </c>
      <c r="F797" s="77">
        <v>25.216000000000001</v>
      </c>
      <c r="G797" s="125" t="s">
        <v>383</v>
      </c>
      <c r="H797" s="88" t="s">
        <v>107</v>
      </c>
      <c r="I797" s="88"/>
      <c r="J797" s="143">
        <f t="shared" si="52"/>
        <v>0.48012185833968013</v>
      </c>
    </row>
    <row r="798" spans="1:10" hidden="1" outlineLevel="1" x14ac:dyDescent="0.2">
      <c r="A798" s="74">
        <v>63</v>
      </c>
      <c r="B798" s="80" t="s">
        <v>182</v>
      </c>
      <c r="C798" s="78">
        <v>8</v>
      </c>
      <c r="D798" s="77">
        <v>400</v>
      </c>
      <c r="E798" s="77">
        <v>1059.42</v>
      </c>
      <c r="F798" s="77">
        <v>527.53600000000006</v>
      </c>
      <c r="G798" s="125" t="s">
        <v>383</v>
      </c>
      <c r="H798" s="88" t="s">
        <v>107</v>
      </c>
      <c r="I798" s="88"/>
      <c r="J798" s="143">
        <f t="shared" si="52"/>
        <v>0.49794793377508451</v>
      </c>
    </row>
    <row r="799" spans="1:10" hidden="1" outlineLevel="1" x14ac:dyDescent="0.2">
      <c r="A799" s="74">
        <v>64</v>
      </c>
      <c r="B799" s="80" t="s">
        <v>222</v>
      </c>
      <c r="C799" s="78">
        <v>2</v>
      </c>
      <c r="D799" s="77">
        <v>80</v>
      </c>
      <c r="E799" s="77">
        <v>198</v>
      </c>
      <c r="F799" s="77">
        <f t="shared" si="48"/>
        <v>118</v>
      </c>
      <c r="G799" s="125" t="s">
        <v>383</v>
      </c>
      <c r="H799" s="88" t="s">
        <v>345</v>
      </c>
      <c r="I799" s="88"/>
      <c r="J799" s="143">
        <f t="shared" si="52"/>
        <v>0.59595959595959591</v>
      </c>
    </row>
    <row r="800" spans="1:10" hidden="1" outlineLevel="1" x14ac:dyDescent="0.2">
      <c r="A800" s="74"/>
      <c r="B800" s="80"/>
      <c r="C800" s="78"/>
      <c r="D800" s="77"/>
      <c r="E800" s="77"/>
      <c r="F800" s="77"/>
      <c r="G800" s="125"/>
      <c r="H800" s="88"/>
      <c r="I800" s="88"/>
      <c r="J800" s="143" t="e">
        <f t="shared" si="52"/>
        <v>#DIV/0!</v>
      </c>
    </row>
    <row r="801" spans="1:10" collapsed="1" x14ac:dyDescent="0.2">
      <c r="A801" s="156" t="s">
        <v>18</v>
      </c>
      <c r="B801" s="156"/>
      <c r="C801" s="157"/>
      <c r="D801" s="94">
        <f>SUM(D802:D903)</f>
        <v>2153.8000000000002</v>
      </c>
      <c r="E801" s="94">
        <f>SUM(E802:E903)</f>
        <v>4479.8900000000003</v>
      </c>
      <c r="F801" s="94">
        <f>SUM(F802:F903)</f>
        <v>2326.09</v>
      </c>
      <c r="G801" s="68">
        <f>I801+H801</f>
        <v>95</v>
      </c>
      <c r="H801" s="68">
        <f>COUNTIF(H802:H7903,"BSB")</f>
        <v>52</v>
      </c>
      <c r="I801" s="68">
        <f>SUM(C802:C903)</f>
        <v>43</v>
      </c>
      <c r="J801" s="143">
        <f>F801/E801</f>
        <v>0.51922926679003278</v>
      </c>
    </row>
    <row r="802" spans="1:10" hidden="1" outlineLevel="1" x14ac:dyDescent="0.2">
      <c r="A802" s="74">
        <v>1</v>
      </c>
      <c r="B802" s="80" t="s">
        <v>524</v>
      </c>
      <c r="C802" s="78"/>
      <c r="D802" s="77">
        <v>18</v>
      </c>
      <c r="E802" s="77">
        <v>35</v>
      </c>
      <c r="F802" s="77">
        <f t="shared" ref="F802:F815" si="55">E802-D802</f>
        <v>17</v>
      </c>
      <c r="G802" s="125" t="s">
        <v>383</v>
      </c>
      <c r="H802" s="88" t="s">
        <v>492</v>
      </c>
      <c r="I802" s="88"/>
    </row>
    <row r="803" spans="1:10" hidden="1" outlineLevel="1" x14ac:dyDescent="0.2">
      <c r="A803" s="74">
        <v>2</v>
      </c>
      <c r="B803" s="80" t="s">
        <v>510</v>
      </c>
      <c r="C803" s="78"/>
      <c r="D803" s="77">
        <v>50</v>
      </c>
      <c r="E803" s="77">
        <v>80</v>
      </c>
      <c r="F803" s="77">
        <f t="shared" si="55"/>
        <v>30</v>
      </c>
      <c r="G803" s="125" t="s">
        <v>383</v>
      </c>
      <c r="H803" s="88" t="s">
        <v>492</v>
      </c>
      <c r="I803" s="88"/>
    </row>
    <row r="804" spans="1:10" hidden="1" outlineLevel="1" x14ac:dyDescent="0.2">
      <c r="A804" s="74">
        <v>3</v>
      </c>
      <c r="B804" s="80" t="s">
        <v>510</v>
      </c>
      <c r="C804" s="78"/>
      <c r="D804" s="77">
        <v>50</v>
      </c>
      <c r="E804" s="77">
        <v>75</v>
      </c>
      <c r="F804" s="77">
        <f t="shared" ref="F804:F805" si="56">E804-D804</f>
        <v>25</v>
      </c>
      <c r="G804" s="125" t="s">
        <v>383</v>
      </c>
      <c r="H804" s="88" t="s">
        <v>492</v>
      </c>
      <c r="I804" s="88"/>
    </row>
    <row r="805" spans="1:10" hidden="1" outlineLevel="1" x14ac:dyDescent="0.2">
      <c r="A805" s="74">
        <v>4</v>
      </c>
      <c r="B805" s="80" t="s">
        <v>510</v>
      </c>
      <c r="C805" s="78"/>
      <c r="D805" s="77">
        <v>50</v>
      </c>
      <c r="E805" s="77">
        <v>60</v>
      </c>
      <c r="F805" s="77">
        <f t="shared" si="56"/>
        <v>10</v>
      </c>
      <c r="G805" s="125" t="s">
        <v>383</v>
      </c>
      <c r="H805" s="88" t="s">
        <v>492</v>
      </c>
      <c r="I805" s="88"/>
    </row>
    <row r="806" spans="1:10" hidden="1" outlineLevel="1" x14ac:dyDescent="0.2">
      <c r="A806" s="74">
        <v>5</v>
      </c>
      <c r="B806" s="80" t="s">
        <v>525</v>
      </c>
      <c r="C806" s="78"/>
      <c r="D806" s="77">
        <v>0</v>
      </c>
      <c r="E806" s="77">
        <v>80</v>
      </c>
      <c r="F806" s="77">
        <f t="shared" si="55"/>
        <v>80</v>
      </c>
      <c r="G806" s="125" t="s">
        <v>383</v>
      </c>
      <c r="H806" s="88" t="s">
        <v>492</v>
      </c>
      <c r="I806" s="88"/>
    </row>
    <row r="807" spans="1:10" hidden="1" outlineLevel="1" x14ac:dyDescent="0.2">
      <c r="A807" s="74">
        <v>6</v>
      </c>
      <c r="B807" s="80" t="s">
        <v>216</v>
      </c>
      <c r="C807" s="78"/>
      <c r="D807" s="77">
        <v>5</v>
      </c>
      <c r="E807" s="77">
        <v>10</v>
      </c>
      <c r="F807" s="77">
        <f t="shared" si="55"/>
        <v>5</v>
      </c>
      <c r="G807" s="125" t="s">
        <v>383</v>
      </c>
      <c r="H807" s="88" t="s">
        <v>492</v>
      </c>
      <c r="I807" s="88"/>
    </row>
    <row r="808" spans="1:10" hidden="1" outlineLevel="1" x14ac:dyDescent="0.2">
      <c r="A808" s="74">
        <v>7</v>
      </c>
      <c r="B808" s="80" t="s">
        <v>216</v>
      </c>
      <c r="C808" s="78"/>
      <c r="D808" s="77">
        <v>5</v>
      </c>
      <c r="E808" s="77">
        <v>10</v>
      </c>
      <c r="F808" s="77">
        <f t="shared" ref="F808:F809" si="57">E808-D808</f>
        <v>5</v>
      </c>
      <c r="G808" s="125" t="s">
        <v>383</v>
      </c>
      <c r="H808" s="88" t="s">
        <v>492</v>
      </c>
      <c r="I808" s="88"/>
    </row>
    <row r="809" spans="1:10" hidden="1" outlineLevel="1" x14ac:dyDescent="0.2">
      <c r="A809" s="74">
        <v>8</v>
      </c>
      <c r="B809" s="80" t="s">
        <v>510</v>
      </c>
      <c r="C809" s="78"/>
      <c r="D809" s="77">
        <v>50</v>
      </c>
      <c r="E809" s="77">
        <v>80</v>
      </c>
      <c r="F809" s="77">
        <f t="shared" si="57"/>
        <v>30</v>
      </c>
      <c r="G809" s="125" t="s">
        <v>383</v>
      </c>
      <c r="H809" s="88" t="s">
        <v>492</v>
      </c>
      <c r="I809" s="88"/>
    </row>
    <row r="810" spans="1:10" hidden="1" outlineLevel="1" x14ac:dyDescent="0.2">
      <c r="A810" s="74">
        <v>9</v>
      </c>
      <c r="B810" s="80" t="s">
        <v>526</v>
      </c>
      <c r="C810" s="78"/>
      <c r="D810" s="77">
        <v>30</v>
      </c>
      <c r="E810" s="77">
        <v>45</v>
      </c>
      <c r="F810" s="77">
        <f t="shared" si="55"/>
        <v>15</v>
      </c>
      <c r="G810" s="125" t="s">
        <v>383</v>
      </c>
      <c r="H810" s="88" t="s">
        <v>492</v>
      </c>
      <c r="I810" s="88"/>
    </row>
    <row r="811" spans="1:10" hidden="1" outlineLevel="1" x14ac:dyDescent="0.2">
      <c r="A811" s="74">
        <v>10</v>
      </c>
      <c r="B811" s="80" t="s">
        <v>527</v>
      </c>
      <c r="C811" s="78"/>
      <c r="D811" s="77">
        <v>10</v>
      </c>
      <c r="E811" s="77">
        <v>30</v>
      </c>
      <c r="F811" s="77">
        <f t="shared" si="55"/>
        <v>20</v>
      </c>
      <c r="G811" s="125" t="s">
        <v>383</v>
      </c>
      <c r="H811" s="88" t="s">
        <v>492</v>
      </c>
      <c r="I811" s="88"/>
    </row>
    <row r="812" spans="1:10" hidden="1" outlineLevel="1" x14ac:dyDescent="0.2">
      <c r="A812" s="74">
        <v>11</v>
      </c>
      <c r="B812" s="80" t="s">
        <v>528</v>
      </c>
      <c r="C812" s="78"/>
      <c r="D812" s="77">
        <v>10</v>
      </c>
      <c r="E812" s="77">
        <v>15</v>
      </c>
      <c r="F812" s="77">
        <f t="shared" si="55"/>
        <v>5</v>
      </c>
      <c r="G812" s="125" t="s">
        <v>383</v>
      </c>
      <c r="H812" s="88" t="s">
        <v>492</v>
      </c>
      <c r="I812" s="88"/>
    </row>
    <row r="813" spans="1:10" hidden="1" outlineLevel="1" x14ac:dyDescent="0.2">
      <c r="A813" s="74">
        <v>12</v>
      </c>
      <c r="B813" s="80" t="s">
        <v>531</v>
      </c>
      <c r="C813" s="78"/>
      <c r="D813" s="77">
        <v>20</v>
      </c>
      <c r="E813" s="77">
        <v>25</v>
      </c>
      <c r="F813" s="77">
        <f t="shared" si="55"/>
        <v>5</v>
      </c>
      <c r="G813" s="125" t="s">
        <v>383</v>
      </c>
      <c r="H813" s="88" t="s">
        <v>492</v>
      </c>
      <c r="I813" s="88"/>
    </row>
    <row r="814" spans="1:10" hidden="1" outlineLevel="1" x14ac:dyDescent="0.2">
      <c r="A814" s="74">
        <v>13</v>
      </c>
      <c r="B814" s="80" t="s">
        <v>536</v>
      </c>
      <c r="C814" s="78"/>
      <c r="D814" s="77">
        <v>15</v>
      </c>
      <c r="E814" s="77">
        <v>45</v>
      </c>
      <c r="F814" s="77">
        <f t="shared" si="55"/>
        <v>30</v>
      </c>
      <c r="G814" s="125" t="s">
        <v>383</v>
      </c>
      <c r="H814" s="88" t="s">
        <v>492</v>
      </c>
      <c r="I814" s="88"/>
    </row>
    <row r="815" spans="1:10" hidden="1" outlineLevel="1" x14ac:dyDescent="0.2">
      <c r="A815" s="74">
        <v>14</v>
      </c>
      <c r="B815" s="80" t="s">
        <v>533</v>
      </c>
      <c r="C815" s="78"/>
      <c r="D815" s="77">
        <v>18</v>
      </c>
      <c r="E815" s="77">
        <v>40</v>
      </c>
      <c r="F815" s="77">
        <f t="shared" si="55"/>
        <v>22</v>
      </c>
      <c r="G815" s="125" t="s">
        <v>383</v>
      </c>
      <c r="H815" s="88" t="s">
        <v>492</v>
      </c>
      <c r="I815" s="88"/>
    </row>
    <row r="816" spans="1:10" hidden="1" outlineLevel="1" x14ac:dyDescent="0.2">
      <c r="A816" s="74">
        <v>15</v>
      </c>
      <c r="B816" s="145" t="s">
        <v>534</v>
      </c>
      <c r="C816" s="78"/>
      <c r="D816" s="77">
        <v>25</v>
      </c>
      <c r="E816" s="77">
        <v>32</v>
      </c>
      <c r="F816" s="77">
        <f t="shared" ref="F816:F831" si="58">E816-D816</f>
        <v>7</v>
      </c>
      <c r="G816" s="125" t="s">
        <v>383</v>
      </c>
      <c r="H816" s="88" t="s">
        <v>492</v>
      </c>
      <c r="I816" s="88"/>
    </row>
    <row r="817" spans="1:9" hidden="1" outlineLevel="1" x14ac:dyDescent="0.2">
      <c r="A817" s="74">
        <v>16</v>
      </c>
      <c r="B817" s="145" t="s">
        <v>534</v>
      </c>
      <c r="C817" s="78"/>
      <c r="D817" s="77">
        <v>25</v>
      </c>
      <c r="E817" s="77">
        <v>32</v>
      </c>
      <c r="F817" s="77">
        <f t="shared" ref="F817:F818" si="59">E817-D817</f>
        <v>7</v>
      </c>
      <c r="G817" s="125" t="s">
        <v>383</v>
      </c>
      <c r="H817" s="88" t="s">
        <v>492</v>
      </c>
      <c r="I817" s="88"/>
    </row>
    <row r="818" spans="1:9" hidden="1" outlineLevel="1" x14ac:dyDescent="0.2">
      <c r="A818" s="74">
        <v>17</v>
      </c>
      <c r="B818" s="145" t="s">
        <v>534</v>
      </c>
      <c r="C818" s="78"/>
      <c r="D818" s="77">
        <v>25</v>
      </c>
      <c r="E818" s="77">
        <v>32</v>
      </c>
      <c r="F818" s="77">
        <f t="shared" si="59"/>
        <v>7</v>
      </c>
      <c r="G818" s="125" t="s">
        <v>383</v>
      </c>
      <c r="H818" s="88" t="s">
        <v>492</v>
      </c>
      <c r="I818" s="88"/>
    </row>
    <row r="819" spans="1:9" hidden="1" outlineLevel="1" x14ac:dyDescent="0.2">
      <c r="A819" s="74">
        <v>18</v>
      </c>
      <c r="B819" s="80" t="s">
        <v>535</v>
      </c>
      <c r="C819" s="78"/>
      <c r="D819" s="77">
        <v>37</v>
      </c>
      <c r="E819" s="77">
        <v>50</v>
      </c>
      <c r="F819" s="77">
        <f t="shared" si="58"/>
        <v>13</v>
      </c>
      <c r="G819" s="125" t="s">
        <v>383</v>
      </c>
      <c r="H819" s="88" t="s">
        <v>492</v>
      </c>
      <c r="I819" s="88"/>
    </row>
    <row r="820" spans="1:9" hidden="1" outlineLevel="1" x14ac:dyDescent="0.2">
      <c r="A820" s="74">
        <v>19</v>
      </c>
      <c r="B820" s="145" t="s">
        <v>513</v>
      </c>
      <c r="C820" s="78"/>
      <c r="D820" s="77">
        <v>15</v>
      </c>
      <c r="E820" s="77">
        <v>30</v>
      </c>
      <c r="F820" s="77">
        <f t="shared" si="58"/>
        <v>15</v>
      </c>
      <c r="G820" s="125" t="s">
        <v>383</v>
      </c>
      <c r="H820" s="88" t="s">
        <v>492</v>
      </c>
      <c r="I820" s="88"/>
    </row>
    <row r="821" spans="1:9" hidden="1" outlineLevel="1" x14ac:dyDescent="0.2">
      <c r="A821" s="74">
        <v>20</v>
      </c>
      <c r="B821" s="80" t="s">
        <v>532</v>
      </c>
      <c r="C821" s="78"/>
      <c r="D821" s="77">
        <v>17.5</v>
      </c>
      <c r="E821" s="77">
        <v>40</v>
      </c>
      <c r="F821" s="77">
        <f t="shared" si="58"/>
        <v>22.5</v>
      </c>
      <c r="G821" s="125" t="s">
        <v>383</v>
      </c>
      <c r="H821" s="88" t="s">
        <v>492</v>
      </c>
      <c r="I821" s="88"/>
    </row>
    <row r="822" spans="1:9" hidden="1" outlineLevel="1" x14ac:dyDescent="0.2">
      <c r="A822" s="74">
        <v>21</v>
      </c>
      <c r="B822" s="80" t="s">
        <v>539</v>
      </c>
      <c r="C822" s="78"/>
      <c r="D822" s="77">
        <v>5.5</v>
      </c>
      <c r="E822" s="77">
        <v>15</v>
      </c>
      <c r="F822" s="77">
        <f t="shared" si="58"/>
        <v>9.5</v>
      </c>
      <c r="G822" s="125" t="s">
        <v>383</v>
      </c>
      <c r="H822" s="88" t="s">
        <v>492</v>
      </c>
      <c r="I822" s="88"/>
    </row>
    <row r="823" spans="1:9" hidden="1" outlineLevel="1" x14ac:dyDescent="0.2">
      <c r="A823" s="74">
        <v>22</v>
      </c>
      <c r="B823" s="80" t="s">
        <v>538</v>
      </c>
      <c r="C823" s="78"/>
      <c r="D823" s="77">
        <v>14</v>
      </c>
      <c r="E823" s="77">
        <v>20</v>
      </c>
      <c r="F823" s="77">
        <f t="shared" si="58"/>
        <v>6</v>
      </c>
      <c r="G823" s="125" t="s">
        <v>383</v>
      </c>
      <c r="H823" s="88" t="s">
        <v>492</v>
      </c>
      <c r="I823" s="88"/>
    </row>
    <row r="824" spans="1:9" hidden="1" outlineLevel="1" x14ac:dyDescent="0.2">
      <c r="A824" s="74">
        <v>23</v>
      </c>
      <c r="B824" s="48" t="s">
        <v>537</v>
      </c>
      <c r="C824" s="78"/>
      <c r="D824" s="77">
        <v>1.3</v>
      </c>
      <c r="E824" s="77">
        <v>80</v>
      </c>
      <c r="F824" s="77">
        <f t="shared" si="58"/>
        <v>78.7</v>
      </c>
      <c r="G824" s="125" t="s">
        <v>383</v>
      </c>
      <c r="H824" s="88" t="s">
        <v>492</v>
      </c>
      <c r="I824" s="88"/>
    </row>
    <row r="825" spans="1:9" hidden="1" outlineLevel="1" x14ac:dyDescent="0.2">
      <c r="A825" s="74">
        <v>24</v>
      </c>
      <c r="B825" s="48" t="s">
        <v>471</v>
      </c>
      <c r="C825" s="78"/>
      <c r="D825" s="77">
        <v>35</v>
      </c>
      <c r="E825" s="77">
        <v>50</v>
      </c>
      <c r="F825" s="77">
        <f t="shared" si="58"/>
        <v>15</v>
      </c>
      <c r="G825" s="125" t="s">
        <v>383</v>
      </c>
      <c r="H825" s="88" t="s">
        <v>492</v>
      </c>
      <c r="I825" s="88"/>
    </row>
    <row r="826" spans="1:9" hidden="1" outlineLevel="1" x14ac:dyDescent="0.2">
      <c r="A826" s="74">
        <v>25</v>
      </c>
      <c r="B826" s="48" t="s">
        <v>540</v>
      </c>
      <c r="C826" s="78"/>
      <c r="D826" s="77">
        <v>54</v>
      </c>
      <c r="E826" s="77">
        <v>80</v>
      </c>
      <c r="F826" s="77">
        <f t="shared" si="58"/>
        <v>26</v>
      </c>
      <c r="G826" s="125" t="s">
        <v>383</v>
      </c>
      <c r="H826" s="88" t="s">
        <v>492</v>
      </c>
      <c r="I826" s="88"/>
    </row>
    <row r="827" spans="1:9" hidden="1" outlineLevel="1" x14ac:dyDescent="0.2">
      <c r="A827" s="74">
        <v>26</v>
      </c>
      <c r="B827" s="48" t="s">
        <v>536</v>
      </c>
      <c r="C827" s="78"/>
      <c r="D827" s="77">
        <v>25</v>
      </c>
      <c r="E827" s="77">
        <v>35</v>
      </c>
      <c r="F827" s="77">
        <f t="shared" si="58"/>
        <v>10</v>
      </c>
      <c r="G827" s="125" t="s">
        <v>383</v>
      </c>
      <c r="H827" s="88" t="s">
        <v>492</v>
      </c>
      <c r="I827" s="88"/>
    </row>
    <row r="828" spans="1:9" hidden="1" outlineLevel="1" x14ac:dyDescent="0.2">
      <c r="A828" s="74">
        <v>27</v>
      </c>
      <c r="B828" s="48" t="s">
        <v>536</v>
      </c>
      <c r="C828" s="78"/>
      <c r="D828" s="77">
        <v>25</v>
      </c>
      <c r="E828" s="77">
        <v>35</v>
      </c>
      <c r="F828" s="77">
        <f t="shared" si="58"/>
        <v>10</v>
      </c>
      <c r="G828" s="125" t="s">
        <v>383</v>
      </c>
      <c r="H828" s="88" t="s">
        <v>492</v>
      </c>
      <c r="I828" s="88"/>
    </row>
    <row r="829" spans="1:9" hidden="1" outlineLevel="1" x14ac:dyDescent="0.2">
      <c r="A829" s="74">
        <v>28</v>
      </c>
      <c r="B829" s="80" t="s">
        <v>541</v>
      </c>
      <c r="C829" s="78"/>
      <c r="D829" s="77">
        <v>22</v>
      </c>
      <c r="E829" s="77">
        <v>40</v>
      </c>
      <c r="F829" s="77">
        <f t="shared" si="58"/>
        <v>18</v>
      </c>
      <c r="G829" s="125" t="s">
        <v>383</v>
      </c>
      <c r="H829" s="88" t="s">
        <v>492</v>
      </c>
      <c r="I829" s="88"/>
    </row>
    <row r="830" spans="1:9" hidden="1" outlineLevel="1" x14ac:dyDescent="0.2">
      <c r="A830" s="74">
        <v>29</v>
      </c>
      <c r="B830" s="145" t="s">
        <v>534</v>
      </c>
      <c r="C830" s="78"/>
      <c r="D830" s="77">
        <v>25</v>
      </c>
      <c r="E830" s="77">
        <v>50</v>
      </c>
      <c r="F830" s="77">
        <f t="shared" si="58"/>
        <v>25</v>
      </c>
      <c r="G830" s="125" t="s">
        <v>383</v>
      </c>
      <c r="H830" s="88" t="s">
        <v>492</v>
      </c>
      <c r="I830" s="88"/>
    </row>
    <row r="831" spans="1:9" hidden="1" outlineLevel="1" x14ac:dyDescent="0.2">
      <c r="A831" s="74">
        <v>30</v>
      </c>
      <c r="B831" s="80" t="s">
        <v>542</v>
      </c>
      <c r="C831" s="78"/>
      <c r="D831" s="77">
        <v>30</v>
      </c>
      <c r="E831" s="77">
        <v>35</v>
      </c>
      <c r="F831" s="77">
        <f t="shared" si="58"/>
        <v>5</v>
      </c>
      <c r="G831" s="125" t="s">
        <v>383</v>
      </c>
      <c r="H831" s="88" t="s">
        <v>492</v>
      </c>
      <c r="I831" s="88"/>
    </row>
    <row r="832" spans="1:9" hidden="1" outlineLevel="1" x14ac:dyDescent="0.2">
      <c r="A832" s="74">
        <v>31</v>
      </c>
      <c r="B832" s="80" t="s">
        <v>543</v>
      </c>
      <c r="C832" s="78"/>
      <c r="D832" s="77">
        <v>18</v>
      </c>
      <c r="E832" s="77">
        <v>40</v>
      </c>
      <c r="F832" s="77">
        <f t="shared" ref="F832:F895" si="60">E832-D832</f>
        <v>22</v>
      </c>
      <c r="G832" s="125" t="s">
        <v>383</v>
      </c>
      <c r="H832" s="88" t="s">
        <v>492</v>
      </c>
      <c r="I832" s="88"/>
    </row>
    <row r="833" spans="1:9" hidden="1" outlineLevel="1" x14ac:dyDescent="0.2">
      <c r="A833" s="74">
        <v>32</v>
      </c>
      <c r="B833" s="80" t="s">
        <v>543</v>
      </c>
      <c r="C833" s="78"/>
      <c r="D833" s="77">
        <v>18</v>
      </c>
      <c r="E833" s="77">
        <v>40</v>
      </c>
      <c r="F833" s="77">
        <f t="shared" ref="F833" si="61">E833-D833</f>
        <v>22</v>
      </c>
      <c r="G833" s="125" t="s">
        <v>383</v>
      </c>
      <c r="H833" s="88" t="s">
        <v>492</v>
      </c>
      <c r="I833" s="88"/>
    </row>
    <row r="834" spans="1:9" hidden="1" outlineLevel="1" x14ac:dyDescent="0.2">
      <c r="A834" s="74">
        <v>33</v>
      </c>
      <c r="B834" s="80" t="s">
        <v>544</v>
      </c>
      <c r="C834" s="78"/>
      <c r="D834" s="77">
        <v>9</v>
      </c>
      <c r="E834" s="77">
        <v>20</v>
      </c>
      <c r="F834" s="77">
        <f t="shared" si="60"/>
        <v>11</v>
      </c>
      <c r="G834" s="125" t="s">
        <v>383</v>
      </c>
      <c r="H834" s="88" t="s">
        <v>492</v>
      </c>
      <c r="I834" s="88"/>
    </row>
    <row r="835" spans="1:9" hidden="1" outlineLevel="1" x14ac:dyDescent="0.2">
      <c r="A835" s="74">
        <v>34</v>
      </c>
      <c r="B835" s="80" t="s">
        <v>545</v>
      </c>
      <c r="C835" s="78"/>
      <c r="D835" s="77">
        <v>22</v>
      </c>
      <c r="E835" s="77">
        <v>50</v>
      </c>
      <c r="F835" s="77">
        <f t="shared" si="60"/>
        <v>28</v>
      </c>
      <c r="G835" s="125" t="s">
        <v>383</v>
      </c>
      <c r="H835" s="88" t="s">
        <v>492</v>
      </c>
      <c r="I835" s="88"/>
    </row>
    <row r="836" spans="1:9" hidden="1" outlineLevel="1" x14ac:dyDescent="0.2">
      <c r="A836" s="74">
        <v>35</v>
      </c>
      <c r="B836" s="80" t="s">
        <v>546</v>
      </c>
      <c r="C836" s="78"/>
      <c r="D836" s="77">
        <v>30</v>
      </c>
      <c r="E836" s="77">
        <v>45</v>
      </c>
      <c r="F836" s="77">
        <f t="shared" si="60"/>
        <v>15</v>
      </c>
      <c r="G836" s="125" t="s">
        <v>383</v>
      </c>
      <c r="H836" s="88" t="s">
        <v>492</v>
      </c>
      <c r="I836" s="88"/>
    </row>
    <row r="837" spans="1:9" hidden="1" outlineLevel="1" x14ac:dyDescent="0.2">
      <c r="A837" s="74">
        <v>36</v>
      </c>
      <c r="B837" s="80" t="s">
        <v>45</v>
      </c>
      <c r="C837" s="78"/>
      <c r="D837" s="77">
        <v>40</v>
      </c>
      <c r="E837" s="77">
        <v>90</v>
      </c>
      <c r="F837" s="77">
        <f t="shared" si="60"/>
        <v>50</v>
      </c>
      <c r="G837" s="125" t="s">
        <v>383</v>
      </c>
      <c r="H837" s="88" t="s">
        <v>492</v>
      </c>
      <c r="I837" s="88"/>
    </row>
    <row r="838" spans="1:9" hidden="1" outlineLevel="1" x14ac:dyDescent="0.2">
      <c r="A838" s="74">
        <v>37</v>
      </c>
      <c r="B838" s="80" t="s">
        <v>533</v>
      </c>
      <c r="C838" s="78"/>
      <c r="D838" s="77">
        <v>18</v>
      </c>
      <c r="E838" s="77">
        <v>40</v>
      </c>
      <c r="F838" s="77">
        <f t="shared" si="60"/>
        <v>22</v>
      </c>
      <c r="G838" s="125" t="s">
        <v>383</v>
      </c>
      <c r="H838" s="88" t="s">
        <v>492</v>
      </c>
      <c r="I838" s="88"/>
    </row>
    <row r="839" spans="1:9" hidden="1" outlineLevel="1" x14ac:dyDescent="0.2">
      <c r="A839" s="74">
        <v>38</v>
      </c>
      <c r="B839" s="80" t="s">
        <v>533</v>
      </c>
      <c r="C839" s="78"/>
      <c r="D839" s="77">
        <v>18</v>
      </c>
      <c r="E839" s="77">
        <v>40</v>
      </c>
      <c r="F839" s="77">
        <f t="shared" ref="F839" si="62">E839-D839</f>
        <v>22</v>
      </c>
      <c r="G839" s="125" t="s">
        <v>383</v>
      </c>
      <c r="H839" s="88" t="s">
        <v>492</v>
      </c>
      <c r="I839" s="88"/>
    </row>
    <row r="840" spans="1:9" hidden="1" outlineLevel="1" x14ac:dyDescent="0.2">
      <c r="A840" s="74">
        <v>39</v>
      </c>
      <c r="B840" s="80" t="s">
        <v>279</v>
      </c>
      <c r="C840" s="78"/>
      <c r="D840" s="77">
        <v>5.5</v>
      </c>
      <c r="E840" s="77">
        <v>15</v>
      </c>
      <c r="F840" s="77">
        <f t="shared" si="60"/>
        <v>9.5</v>
      </c>
      <c r="G840" s="125" t="s">
        <v>383</v>
      </c>
      <c r="H840" s="88" t="s">
        <v>492</v>
      </c>
      <c r="I840" s="88"/>
    </row>
    <row r="841" spans="1:9" hidden="1" outlineLevel="1" x14ac:dyDescent="0.2">
      <c r="A841" s="74">
        <v>40</v>
      </c>
      <c r="B841" s="80" t="s">
        <v>547</v>
      </c>
      <c r="C841" s="78"/>
      <c r="D841" s="77">
        <v>8.5</v>
      </c>
      <c r="E841" s="77">
        <v>15</v>
      </c>
      <c r="F841" s="77">
        <f t="shared" si="60"/>
        <v>6.5</v>
      </c>
      <c r="G841" s="125" t="s">
        <v>383</v>
      </c>
      <c r="H841" s="88" t="s">
        <v>492</v>
      </c>
      <c r="I841" s="88"/>
    </row>
    <row r="842" spans="1:9" hidden="1" outlineLevel="1" x14ac:dyDescent="0.2">
      <c r="A842" s="74">
        <v>41</v>
      </c>
      <c r="B842" s="80" t="s">
        <v>136</v>
      </c>
      <c r="C842" s="78"/>
      <c r="D842" s="77">
        <v>8</v>
      </c>
      <c r="E842" s="77">
        <v>20</v>
      </c>
      <c r="F842" s="77">
        <f t="shared" si="60"/>
        <v>12</v>
      </c>
      <c r="G842" s="125" t="s">
        <v>383</v>
      </c>
      <c r="H842" s="88" t="s">
        <v>492</v>
      </c>
      <c r="I842" s="88"/>
    </row>
    <row r="843" spans="1:9" hidden="1" outlineLevel="1" x14ac:dyDescent="0.2">
      <c r="A843" s="74">
        <v>42</v>
      </c>
      <c r="B843" s="80" t="s">
        <v>548</v>
      </c>
      <c r="C843" s="78"/>
      <c r="D843" s="77">
        <v>108</v>
      </c>
      <c r="E843" s="77">
        <v>200</v>
      </c>
      <c r="F843" s="77">
        <f>E843-D843</f>
        <v>92</v>
      </c>
      <c r="G843" s="125" t="s">
        <v>383</v>
      </c>
      <c r="H843" s="88" t="s">
        <v>492</v>
      </c>
      <c r="I843" s="88"/>
    </row>
    <row r="844" spans="1:9" hidden="1" outlineLevel="1" x14ac:dyDescent="0.2">
      <c r="A844" s="74">
        <v>43</v>
      </c>
      <c r="B844" s="80" t="s">
        <v>551</v>
      </c>
      <c r="C844" s="78"/>
      <c r="D844" s="77">
        <v>80</v>
      </c>
      <c r="E844" s="77">
        <v>150</v>
      </c>
      <c r="F844" s="77">
        <f t="shared" si="60"/>
        <v>70</v>
      </c>
      <c r="G844" s="125" t="s">
        <v>383</v>
      </c>
      <c r="H844" s="88" t="s">
        <v>492</v>
      </c>
      <c r="I844" s="88"/>
    </row>
    <row r="845" spans="1:9" hidden="1" outlineLevel="1" x14ac:dyDescent="0.2">
      <c r="A845" s="74">
        <v>44</v>
      </c>
      <c r="B845" s="80" t="s">
        <v>45</v>
      </c>
      <c r="C845" s="78"/>
      <c r="D845" s="77">
        <v>40</v>
      </c>
      <c r="E845" s="77">
        <v>80</v>
      </c>
      <c r="F845" s="77">
        <f t="shared" si="60"/>
        <v>40</v>
      </c>
      <c r="G845" s="125" t="s">
        <v>383</v>
      </c>
      <c r="H845" s="88" t="s">
        <v>492</v>
      </c>
      <c r="I845" s="88"/>
    </row>
    <row r="846" spans="1:9" hidden="1" outlineLevel="1" x14ac:dyDescent="0.2">
      <c r="A846" s="74">
        <v>45</v>
      </c>
      <c r="B846" s="80" t="s">
        <v>538</v>
      </c>
      <c r="C846" s="78"/>
      <c r="D846" s="77">
        <v>11</v>
      </c>
      <c r="E846" s="77">
        <v>25</v>
      </c>
      <c r="F846" s="77">
        <f t="shared" si="60"/>
        <v>14</v>
      </c>
      <c r="G846" s="125" t="s">
        <v>383</v>
      </c>
      <c r="H846" s="88" t="s">
        <v>492</v>
      </c>
      <c r="I846" s="88"/>
    </row>
    <row r="847" spans="1:9" hidden="1" outlineLevel="1" x14ac:dyDescent="0.2">
      <c r="A847" s="74">
        <v>46</v>
      </c>
      <c r="B847" s="80" t="s">
        <v>538</v>
      </c>
      <c r="C847" s="78"/>
      <c r="D847" s="77">
        <v>11</v>
      </c>
      <c r="E847" s="77">
        <v>25</v>
      </c>
      <c r="F847" s="77">
        <f t="shared" ref="F847" si="63">E847-D847</f>
        <v>14</v>
      </c>
      <c r="G847" s="125" t="s">
        <v>383</v>
      </c>
      <c r="H847" s="88" t="s">
        <v>492</v>
      </c>
      <c r="I847" s="88"/>
    </row>
    <row r="848" spans="1:9" hidden="1" outlineLevel="1" x14ac:dyDescent="0.2">
      <c r="A848" s="74">
        <v>47</v>
      </c>
      <c r="B848" s="80" t="s">
        <v>298</v>
      </c>
      <c r="C848" s="78"/>
      <c r="D848" s="77">
        <v>38</v>
      </c>
      <c r="E848" s="77">
        <v>50</v>
      </c>
      <c r="F848" s="77">
        <f t="shared" si="60"/>
        <v>12</v>
      </c>
      <c r="G848" s="125" t="s">
        <v>383</v>
      </c>
      <c r="H848" s="88" t="s">
        <v>492</v>
      </c>
      <c r="I848" s="88"/>
    </row>
    <row r="849" spans="1:9" hidden="1" outlineLevel="1" x14ac:dyDescent="0.2">
      <c r="A849" s="74">
        <v>48</v>
      </c>
      <c r="B849" s="80" t="s">
        <v>552</v>
      </c>
      <c r="C849" s="78"/>
      <c r="D849" s="77">
        <v>20</v>
      </c>
      <c r="E849" s="77">
        <v>40</v>
      </c>
      <c r="F849" s="77">
        <f t="shared" si="60"/>
        <v>20</v>
      </c>
      <c r="G849" s="125" t="s">
        <v>383</v>
      </c>
      <c r="H849" s="88" t="s">
        <v>492</v>
      </c>
      <c r="I849" s="88"/>
    </row>
    <row r="850" spans="1:9" hidden="1" outlineLevel="1" x14ac:dyDescent="0.2">
      <c r="A850" s="74">
        <v>49</v>
      </c>
      <c r="B850" s="80" t="s">
        <v>364</v>
      </c>
      <c r="C850" s="78"/>
      <c r="D850" s="77">
        <v>7.5</v>
      </c>
      <c r="E850" s="77">
        <v>20</v>
      </c>
      <c r="F850" s="77">
        <f t="shared" si="60"/>
        <v>12.5</v>
      </c>
      <c r="G850" s="125" t="s">
        <v>383</v>
      </c>
      <c r="H850" s="88" t="s">
        <v>492</v>
      </c>
      <c r="I850" s="88"/>
    </row>
    <row r="851" spans="1:9" hidden="1" outlineLevel="1" x14ac:dyDescent="0.2">
      <c r="A851" s="74">
        <v>50</v>
      </c>
      <c r="B851" s="80" t="s">
        <v>538</v>
      </c>
      <c r="C851" s="78"/>
      <c r="D851" s="77">
        <v>11</v>
      </c>
      <c r="E851" s="77">
        <v>30</v>
      </c>
      <c r="F851" s="77">
        <f t="shared" ref="F851:F852" si="64">E851-D851</f>
        <v>19</v>
      </c>
      <c r="G851" s="125" t="s">
        <v>383</v>
      </c>
      <c r="H851" s="88" t="s">
        <v>492</v>
      </c>
      <c r="I851" s="88"/>
    </row>
    <row r="852" spans="1:9" hidden="1" outlineLevel="1" x14ac:dyDescent="0.2">
      <c r="A852" s="74">
        <v>51</v>
      </c>
      <c r="B852" s="80" t="s">
        <v>538</v>
      </c>
      <c r="C852" s="78"/>
      <c r="D852" s="77">
        <v>11</v>
      </c>
      <c r="E852" s="77">
        <v>30</v>
      </c>
      <c r="F852" s="77">
        <f t="shared" si="64"/>
        <v>19</v>
      </c>
      <c r="G852" s="125" t="s">
        <v>383</v>
      </c>
      <c r="H852" s="88" t="s">
        <v>492</v>
      </c>
      <c r="I852" s="88"/>
    </row>
    <row r="853" spans="1:9" hidden="1" outlineLevel="1" x14ac:dyDescent="0.2">
      <c r="A853" s="74">
        <v>52</v>
      </c>
      <c r="B853" s="80" t="s">
        <v>538</v>
      </c>
      <c r="C853" s="78"/>
      <c r="D853" s="77">
        <v>11</v>
      </c>
      <c r="E853" s="77">
        <v>30</v>
      </c>
      <c r="F853" s="77">
        <f t="shared" ref="F853" si="65">E853-D853</f>
        <v>19</v>
      </c>
      <c r="G853" s="125" t="s">
        <v>383</v>
      </c>
      <c r="H853" s="88" t="s">
        <v>492</v>
      </c>
      <c r="I853" s="88"/>
    </row>
    <row r="854" spans="1:9" hidden="1" outlineLevel="1" x14ac:dyDescent="0.2">
      <c r="A854" s="74">
        <v>53</v>
      </c>
      <c r="B854" s="48" t="s">
        <v>553</v>
      </c>
      <c r="C854" s="49">
        <v>1</v>
      </c>
      <c r="D854" s="77">
        <v>70</v>
      </c>
      <c r="E854" s="77">
        <v>167.7</v>
      </c>
      <c r="F854" s="77">
        <f t="shared" si="60"/>
        <v>97.699999999999989</v>
      </c>
      <c r="G854" s="125" t="s">
        <v>383</v>
      </c>
      <c r="H854" s="88" t="s">
        <v>107</v>
      </c>
      <c r="I854" s="88"/>
    </row>
    <row r="855" spans="1:9" hidden="1" outlineLevel="1" x14ac:dyDescent="0.2">
      <c r="A855" s="74">
        <v>54</v>
      </c>
      <c r="B855" s="48" t="s">
        <v>81</v>
      </c>
      <c r="C855" s="49">
        <v>1</v>
      </c>
      <c r="D855" s="77">
        <v>7</v>
      </c>
      <c r="E855" s="77">
        <v>19.260000000000002</v>
      </c>
      <c r="F855" s="77">
        <f t="shared" si="60"/>
        <v>12.260000000000002</v>
      </c>
      <c r="G855" s="125" t="s">
        <v>383</v>
      </c>
      <c r="H855" s="88" t="s">
        <v>107</v>
      </c>
      <c r="I855" s="88"/>
    </row>
    <row r="856" spans="1:9" hidden="1" outlineLevel="1" x14ac:dyDescent="0.2">
      <c r="A856" s="74">
        <v>55</v>
      </c>
      <c r="B856" s="48" t="s">
        <v>523</v>
      </c>
      <c r="C856" s="49">
        <v>2</v>
      </c>
      <c r="D856" s="77">
        <v>6</v>
      </c>
      <c r="E856" s="77">
        <v>80.8</v>
      </c>
      <c r="F856" s="77">
        <f t="shared" si="60"/>
        <v>74.8</v>
      </c>
      <c r="G856" s="125" t="s">
        <v>383</v>
      </c>
      <c r="H856" s="88" t="s">
        <v>107</v>
      </c>
      <c r="I856" s="88"/>
    </row>
    <row r="857" spans="1:9" hidden="1" outlineLevel="1" x14ac:dyDescent="0.2">
      <c r="A857" s="74">
        <v>56</v>
      </c>
      <c r="B857" s="48" t="s">
        <v>554</v>
      </c>
      <c r="C857" s="49">
        <v>1</v>
      </c>
      <c r="D857" s="77">
        <v>39</v>
      </c>
      <c r="E857" s="77">
        <v>91.61</v>
      </c>
      <c r="F857" s="77">
        <f t="shared" si="60"/>
        <v>52.61</v>
      </c>
      <c r="G857" s="125" t="s">
        <v>383</v>
      </c>
      <c r="H857" s="88" t="s">
        <v>107</v>
      </c>
      <c r="I857" s="88"/>
    </row>
    <row r="858" spans="1:9" hidden="1" outlineLevel="1" x14ac:dyDescent="0.2">
      <c r="A858" s="74">
        <v>57</v>
      </c>
      <c r="B858" s="48" t="s">
        <v>555</v>
      </c>
      <c r="C858" s="49">
        <v>1</v>
      </c>
      <c r="D858" s="77">
        <v>50</v>
      </c>
      <c r="E858" s="77">
        <v>80</v>
      </c>
      <c r="F858" s="77">
        <f t="shared" si="60"/>
        <v>30</v>
      </c>
      <c r="G858" s="125" t="s">
        <v>383</v>
      </c>
      <c r="H858" s="88" t="s">
        <v>107</v>
      </c>
      <c r="I858" s="88"/>
    </row>
    <row r="859" spans="1:9" hidden="1" outlineLevel="1" x14ac:dyDescent="0.2">
      <c r="A859" s="74">
        <v>58</v>
      </c>
      <c r="B859" s="48" t="s">
        <v>556</v>
      </c>
      <c r="C859" s="49">
        <v>1</v>
      </c>
      <c r="D859" s="77">
        <v>7</v>
      </c>
      <c r="E859" s="77">
        <v>24.32</v>
      </c>
      <c r="F859" s="77">
        <f t="shared" si="60"/>
        <v>17.32</v>
      </c>
      <c r="G859" s="125" t="s">
        <v>383</v>
      </c>
      <c r="H859" s="88" t="s">
        <v>107</v>
      </c>
      <c r="I859" s="88"/>
    </row>
    <row r="860" spans="1:9" hidden="1" outlineLevel="1" x14ac:dyDescent="0.2">
      <c r="A860" s="74">
        <v>59</v>
      </c>
      <c r="B860" s="48" t="s">
        <v>260</v>
      </c>
      <c r="C860" s="49">
        <v>1</v>
      </c>
      <c r="D860" s="77">
        <v>1</v>
      </c>
      <c r="E860" s="77">
        <v>9.73</v>
      </c>
      <c r="F860" s="77">
        <f t="shared" si="60"/>
        <v>8.73</v>
      </c>
      <c r="G860" s="125" t="s">
        <v>383</v>
      </c>
      <c r="H860" s="88" t="s">
        <v>107</v>
      </c>
      <c r="I860" s="88"/>
    </row>
    <row r="861" spans="1:9" hidden="1" outlineLevel="1" x14ac:dyDescent="0.2">
      <c r="A861" s="74">
        <v>60</v>
      </c>
      <c r="B861" s="48" t="s">
        <v>335</v>
      </c>
      <c r="C861" s="49">
        <v>2</v>
      </c>
      <c r="D861" s="77">
        <v>28</v>
      </c>
      <c r="E861" s="77">
        <v>95.67</v>
      </c>
      <c r="F861" s="77">
        <f t="shared" si="60"/>
        <v>67.67</v>
      </c>
      <c r="G861" s="125" t="s">
        <v>383</v>
      </c>
      <c r="H861" s="88" t="s">
        <v>107</v>
      </c>
      <c r="I861" s="88"/>
    </row>
    <row r="862" spans="1:9" hidden="1" outlineLevel="1" x14ac:dyDescent="0.2">
      <c r="A862" s="74">
        <v>61</v>
      </c>
      <c r="B862" s="48" t="s">
        <v>222</v>
      </c>
      <c r="C862" s="49">
        <v>2</v>
      </c>
      <c r="D862" s="77">
        <v>80</v>
      </c>
      <c r="E862" s="77">
        <v>189.6</v>
      </c>
      <c r="F862" s="77">
        <f t="shared" si="60"/>
        <v>109.6</v>
      </c>
      <c r="G862" s="125" t="s">
        <v>383</v>
      </c>
      <c r="H862" s="88" t="s">
        <v>107</v>
      </c>
      <c r="I862" s="88"/>
    </row>
    <row r="863" spans="1:9" hidden="1" outlineLevel="1" x14ac:dyDescent="0.2">
      <c r="A863" s="74">
        <v>62</v>
      </c>
      <c r="B863" s="48" t="s">
        <v>515</v>
      </c>
      <c r="C863" s="49">
        <v>24</v>
      </c>
      <c r="D863" s="77">
        <v>360</v>
      </c>
      <c r="E863" s="77">
        <v>807.57</v>
      </c>
      <c r="F863" s="77">
        <f t="shared" si="60"/>
        <v>447.57000000000005</v>
      </c>
      <c r="G863" s="125" t="s">
        <v>383</v>
      </c>
      <c r="H863" s="88" t="s">
        <v>107</v>
      </c>
      <c r="I863" s="88"/>
    </row>
    <row r="864" spans="1:9" hidden="1" outlineLevel="1" x14ac:dyDescent="0.2">
      <c r="A864" s="74">
        <v>63</v>
      </c>
      <c r="B864" s="48" t="s">
        <v>557</v>
      </c>
      <c r="C864" s="49">
        <v>1</v>
      </c>
      <c r="D864" s="77">
        <v>16</v>
      </c>
      <c r="E864" s="77">
        <v>38.229999999999997</v>
      </c>
      <c r="F864" s="77">
        <f t="shared" si="60"/>
        <v>22.229999999999997</v>
      </c>
      <c r="G864" s="125" t="s">
        <v>383</v>
      </c>
      <c r="H864" s="88" t="s">
        <v>107</v>
      </c>
      <c r="I864" s="88"/>
    </row>
    <row r="865" spans="1:9" hidden="1" outlineLevel="1" x14ac:dyDescent="0.2">
      <c r="A865" s="74">
        <v>64</v>
      </c>
      <c r="B865" s="48" t="s">
        <v>457</v>
      </c>
      <c r="C865" s="49">
        <v>6</v>
      </c>
      <c r="D865" s="77">
        <v>234</v>
      </c>
      <c r="E865" s="77">
        <v>494.4</v>
      </c>
      <c r="F865" s="77">
        <f t="shared" si="60"/>
        <v>260.39999999999998</v>
      </c>
      <c r="G865" s="125" t="s">
        <v>383</v>
      </c>
      <c r="H865" s="88" t="s">
        <v>107</v>
      </c>
      <c r="I865" s="88"/>
    </row>
    <row r="866" spans="1:9" hidden="1" outlineLevel="1" x14ac:dyDescent="0.2">
      <c r="A866" s="74">
        <v>65</v>
      </c>
      <c r="B866" s="80"/>
      <c r="C866" s="78"/>
      <c r="D866" s="77"/>
      <c r="E866" s="77"/>
      <c r="F866" s="77">
        <f t="shared" si="60"/>
        <v>0</v>
      </c>
      <c r="G866" s="125"/>
      <c r="H866" s="88"/>
      <c r="I866" s="88"/>
    </row>
    <row r="867" spans="1:9" hidden="1" outlineLevel="1" x14ac:dyDescent="0.2">
      <c r="A867" s="74">
        <v>66</v>
      </c>
      <c r="B867" s="80"/>
      <c r="C867" s="78"/>
      <c r="D867" s="77"/>
      <c r="E867" s="77"/>
      <c r="F867" s="77">
        <f t="shared" si="60"/>
        <v>0</v>
      </c>
      <c r="G867" s="125"/>
      <c r="H867" s="88"/>
      <c r="I867" s="88"/>
    </row>
    <row r="868" spans="1:9" hidden="1" outlineLevel="1" x14ac:dyDescent="0.2">
      <c r="A868" s="74">
        <v>67</v>
      </c>
      <c r="B868" s="80"/>
      <c r="C868" s="78"/>
      <c r="D868" s="77"/>
      <c r="E868" s="77"/>
      <c r="F868" s="77">
        <f t="shared" si="60"/>
        <v>0</v>
      </c>
      <c r="G868" s="125"/>
      <c r="H868" s="88"/>
      <c r="I868" s="88"/>
    </row>
    <row r="869" spans="1:9" hidden="1" outlineLevel="1" x14ac:dyDescent="0.2">
      <c r="A869" s="74">
        <v>68</v>
      </c>
      <c r="B869" s="80"/>
      <c r="C869" s="78"/>
      <c r="D869" s="77"/>
      <c r="E869" s="77"/>
      <c r="F869" s="77">
        <f t="shared" si="60"/>
        <v>0</v>
      </c>
      <c r="G869" s="125"/>
      <c r="H869" s="88"/>
      <c r="I869" s="88"/>
    </row>
    <row r="870" spans="1:9" hidden="1" outlineLevel="1" x14ac:dyDescent="0.2">
      <c r="A870" s="74">
        <v>69</v>
      </c>
      <c r="B870" s="80"/>
      <c r="C870" s="78"/>
      <c r="D870" s="77"/>
      <c r="E870" s="77"/>
      <c r="F870" s="77">
        <f t="shared" si="60"/>
        <v>0</v>
      </c>
      <c r="G870" s="125"/>
      <c r="H870" s="88"/>
      <c r="I870" s="88"/>
    </row>
    <row r="871" spans="1:9" hidden="1" outlineLevel="1" x14ac:dyDescent="0.2">
      <c r="A871" s="74">
        <v>70</v>
      </c>
      <c r="B871" s="80"/>
      <c r="C871" s="78"/>
      <c r="D871" s="77"/>
      <c r="E871" s="77"/>
      <c r="F871" s="77">
        <f t="shared" si="60"/>
        <v>0</v>
      </c>
      <c r="G871" s="125"/>
      <c r="H871" s="88"/>
      <c r="I871" s="88"/>
    </row>
    <row r="872" spans="1:9" hidden="1" outlineLevel="1" x14ac:dyDescent="0.2">
      <c r="A872" s="74">
        <v>71</v>
      </c>
      <c r="B872" s="80"/>
      <c r="C872" s="78"/>
      <c r="D872" s="77"/>
      <c r="E872" s="77"/>
      <c r="F872" s="77">
        <f t="shared" si="60"/>
        <v>0</v>
      </c>
      <c r="G872" s="125"/>
      <c r="H872" s="88"/>
      <c r="I872" s="88"/>
    </row>
    <row r="873" spans="1:9" hidden="1" outlineLevel="1" x14ac:dyDescent="0.2">
      <c r="A873" s="74">
        <v>72</v>
      </c>
      <c r="B873" s="80"/>
      <c r="C873" s="78"/>
      <c r="D873" s="77"/>
      <c r="E873" s="77"/>
      <c r="F873" s="77">
        <f t="shared" si="60"/>
        <v>0</v>
      </c>
      <c r="G873" s="125"/>
      <c r="H873" s="88"/>
      <c r="I873" s="88"/>
    </row>
    <row r="874" spans="1:9" hidden="1" outlineLevel="1" x14ac:dyDescent="0.2">
      <c r="A874" s="74">
        <v>73</v>
      </c>
      <c r="B874" s="80"/>
      <c r="C874" s="78"/>
      <c r="D874" s="77"/>
      <c r="E874" s="77"/>
      <c r="F874" s="77">
        <f t="shared" si="60"/>
        <v>0</v>
      </c>
      <c r="G874" s="125"/>
      <c r="H874" s="88"/>
      <c r="I874" s="88"/>
    </row>
    <row r="875" spans="1:9" hidden="1" outlineLevel="1" x14ac:dyDescent="0.2">
      <c r="A875" s="74">
        <v>74</v>
      </c>
      <c r="B875" s="80"/>
      <c r="C875" s="78"/>
      <c r="D875" s="77"/>
      <c r="E875" s="77"/>
      <c r="F875" s="77">
        <f t="shared" si="60"/>
        <v>0</v>
      </c>
      <c r="G875" s="125"/>
      <c r="H875" s="88"/>
      <c r="I875" s="88"/>
    </row>
    <row r="876" spans="1:9" hidden="1" outlineLevel="1" x14ac:dyDescent="0.2">
      <c r="A876" s="74">
        <v>75</v>
      </c>
      <c r="B876" s="80"/>
      <c r="C876" s="78"/>
      <c r="D876" s="77"/>
      <c r="E876" s="77"/>
      <c r="F876" s="77">
        <f t="shared" si="60"/>
        <v>0</v>
      </c>
      <c r="G876" s="125"/>
      <c r="H876" s="88"/>
      <c r="I876" s="88"/>
    </row>
    <row r="877" spans="1:9" hidden="1" outlineLevel="1" x14ac:dyDescent="0.2">
      <c r="A877" s="74">
        <v>76</v>
      </c>
      <c r="B877" s="80"/>
      <c r="C877" s="78"/>
      <c r="D877" s="77"/>
      <c r="E877" s="77"/>
      <c r="F877" s="77">
        <f t="shared" si="60"/>
        <v>0</v>
      </c>
      <c r="G877" s="125"/>
      <c r="H877" s="88"/>
      <c r="I877" s="88"/>
    </row>
    <row r="878" spans="1:9" hidden="1" outlineLevel="1" x14ac:dyDescent="0.2">
      <c r="A878" s="74">
        <v>77</v>
      </c>
      <c r="B878" s="80"/>
      <c r="C878" s="78"/>
      <c r="D878" s="77"/>
      <c r="E878" s="77"/>
      <c r="F878" s="77">
        <f t="shared" si="60"/>
        <v>0</v>
      </c>
      <c r="G878" s="125"/>
      <c r="H878" s="88"/>
      <c r="I878" s="88"/>
    </row>
    <row r="879" spans="1:9" hidden="1" outlineLevel="1" x14ac:dyDescent="0.2">
      <c r="A879" s="74">
        <v>78</v>
      </c>
      <c r="B879" s="80"/>
      <c r="C879" s="78"/>
      <c r="D879" s="77"/>
      <c r="E879" s="77"/>
      <c r="F879" s="77">
        <f t="shared" si="60"/>
        <v>0</v>
      </c>
      <c r="G879" s="125"/>
      <c r="H879" s="88"/>
      <c r="I879" s="88"/>
    </row>
    <row r="880" spans="1:9" hidden="1" outlineLevel="1" x14ac:dyDescent="0.2">
      <c r="A880" s="74">
        <v>79</v>
      </c>
      <c r="B880" s="80"/>
      <c r="C880" s="78"/>
      <c r="D880" s="77"/>
      <c r="E880" s="77"/>
      <c r="F880" s="77">
        <f t="shared" si="60"/>
        <v>0</v>
      </c>
      <c r="G880" s="125"/>
      <c r="H880" s="88"/>
      <c r="I880" s="88"/>
    </row>
    <row r="881" spans="1:9" hidden="1" outlineLevel="1" x14ac:dyDescent="0.2">
      <c r="A881" s="74">
        <v>80</v>
      </c>
      <c r="B881" s="80"/>
      <c r="C881" s="78"/>
      <c r="D881" s="77"/>
      <c r="E881" s="77"/>
      <c r="F881" s="77">
        <f t="shared" si="60"/>
        <v>0</v>
      </c>
      <c r="G881" s="125"/>
      <c r="H881" s="88"/>
      <c r="I881" s="88"/>
    </row>
    <row r="882" spans="1:9" hidden="1" outlineLevel="1" x14ac:dyDescent="0.2">
      <c r="A882" s="74">
        <v>81</v>
      </c>
      <c r="B882" s="80"/>
      <c r="C882" s="78"/>
      <c r="D882" s="77"/>
      <c r="E882" s="77"/>
      <c r="F882" s="77">
        <f t="shared" si="60"/>
        <v>0</v>
      </c>
      <c r="G882" s="125"/>
      <c r="H882" s="88"/>
      <c r="I882" s="88"/>
    </row>
    <row r="883" spans="1:9" hidden="1" outlineLevel="1" x14ac:dyDescent="0.2">
      <c r="A883" s="74">
        <v>82</v>
      </c>
      <c r="B883" s="80"/>
      <c r="C883" s="78"/>
      <c r="D883" s="77"/>
      <c r="E883" s="77"/>
      <c r="F883" s="77">
        <f t="shared" si="60"/>
        <v>0</v>
      </c>
      <c r="G883" s="125"/>
      <c r="H883" s="88"/>
      <c r="I883" s="88"/>
    </row>
    <row r="884" spans="1:9" hidden="1" outlineLevel="1" x14ac:dyDescent="0.2">
      <c r="A884" s="74">
        <v>83</v>
      </c>
      <c r="B884" s="80"/>
      <c r="C884" s="78"/>
      <c r="D884" s="77"/>
      <c r="E884" s="77"/>
      <c r="F884" s="77">
        <f t="shared" si="60"/>
        <v>0</v>
      </c>
      <c r="G884" s="125"/>
      <c r="H884" s="88"/>
      <c r="I884" s="88"/>
    </row>
    <row r="885" spans="1:9" hidden="1" outlineLevel="1" x14ac:dyDescent="0.2">
      <c r="A885" s="74">
        <v>84</v>
      </c>
      <c r="B885" s="80"/>
      <c r="C885" s="78"/>
      <c r="D885" s="77"/>
      <c r="E885" s="77"/>
      <c r="F885" s="77">
        <f t="shared" si="60"/>
        <v>0</v>
      </c>
      <c r="G885" s="125"/>
      <c r="H885" s="88"/>
      <c r="I885" s="88"/>
    </row>
    <row r="886" spans="1:9" hidden="1" outlineLevel="1" x14ac:dyDescent="0.2">
      <c r="A886" s="74">
        <v>85</v>
      </c>
      <c r="B886" s="80"/>
      <c r="C886" s="78"/>
      <c r="D886" s="77"/>
      <c r="E886" s="77"/>
      <c r="F886" s="77">
        <f t="shared" si="60"/>
        <v>0</v>
      </c>
      <c r="G886" s="125"/>
      <c r="H886" s="88"/>
      <c r="I886" s="88"/>
    </row>
    <row r="887" spans="1:9" hidden="1" outlineLevel="1" x14ac:dyDescent="0.2">
      <c r="A887" s="74">
        <v>86</v>
      </c>
      <c r="B887" s="80"/>
      <c r="C887" s="78"/>
      <c r="D887" s="77"/>
      <c r="E887" s="77"/>
      <c r="F887" s="77">
        <f t="shared" si="60"/>
        <v>0</v>
      </c>
      <c r="G887" s="125"/>
      <c r="H887" s="88"/>
      <c r="I887" s="88"/>
    </row>
    <row r="888" spans="1:9" hidden="1" outlineLevel="1" x14ac:dyDescent="0.2">
      <c r="A888" s="74">
        <v>87</v>
      </c>
      <c r="B888" s="80"/>
      <c r="C888" s="78"/>
      <c r="D888" s="77"/>
      <c r="E888" s="77"/>
      <c r="F888" s="77">
        <f t="shared" si="60"/>
        <v>0</v>
      </c>
      <c r="G888" s="125"/>
      <c r="H888" s="88"/>
      <c r="I888" s="88"/>
    </row>
    <row r="889" spans="1:9" hidden="1" outlineLevel="1" x14ac:dyDescent="0.2">
      <c r="A889" s="74">
        <v>88</v>
      </c>
      <c r="B889" s="80"/>
      <c r="C889" s="78"/>
      <c r="D889" s="77"/>
      <c r="E889" s="77"/>
      <c r="F889" s="77">
        <f t="shared" si="60"/>
        <v>0</v>
      </c>
      <c r="G889" s="125"/>
      <c r="H889" s="88"/>
      <c r="I889" s="88"/>
    </row>
    <row r="890" spans="1:9" hidden="1" outlineLevel="1" x14ac:dyDescent="0.2">
      <c r="A890" s="74">
        <v>89</v>
      </c>
      <c r="B890" s="80"/>
      <c r="C890" s="78"/>
      <c r="D890" s="77"/>
      <c r="E890" s="77"/>
      <c r="F890" s="77">
        <f t="shared" si="60"/>
        <v>0</v>
      </c>
      <c r="G890" s="125"/>
      <c r="H890" s="88"/>
      <c r="I890" s="88"/>
    </row>
    <row r="891" spans="1:9" hidden="1" outlineLevel="1" x14ac:dyDescent="0.2">
      <c r="A891" s="74">
        <v>90</v>
      </c>
      <c r="B891" s="80"/>
      <c r="C891" s="78"/>
      <c r="D891" s="77"/>
      <c r="E891" s="77"/>
      <c r="F891" s="77">
        <f t="shared" si="60"/>
        <v>0</v>
      </c>
      <c r="G891" s="125"/>
      <c r="H891" s="88"/>
      <c r="I891" s="88"/>
    </row>
    <row r="892" spans="1:9" hidden="1" outlineLevel="1" x14ac:dyDescent="0.2">
      <c r="A892" s="74">
        <v>91</v>
      </c>
      <c r="B892" s="80"/>
      <c r="C892" s="78"/>
      <c r="D892" s="77"/>
      <c r="E892" s="77"/>
      <c r="F892" s="77">
        <f t="shared" si="60"/>
        <v>0</v>
      </c>
      <c r="G892" s="125"/>
      <c r="H892" s="88"/>
      <c r="I892" s="88"/>
    </row>
    <row r="893" spans="1:9" hidden="1" outlineLevel="1" x14ac:dyDescent="0.2">
      <c r="A893" s="74">
        <v>92</v>
      </c>
      <c r="B893" s="80"/>
      <c r="C893" s="78"/>
      <c r="D893" s="77"/>
      <c r="E893" s="77"/>
      <c r="F893" s="77">
        <f t="shared" si="60"/>
        <v>0</v>
      </c>
      <c r="G893" s="125"/>
      <c r="H893" s="88"/>
      <c r="I893" s="88"/>
    </row>
    <row r="894" spans="1:9" hidden="1" outlineLevel="1" x14ac:dyDescent="0.2">
      <c r="A894" s="74">
        <v>93</v>
      </c>
      <c r="B894" s="80"/>
      <c r="C894" s="78"/>
      <c r="D894" s="77"/>
      <c r="E894" s="77"/>
      <c r="F894" s="77">
        <f t="shared" si="60"/>
        <v>0</v>
      </c>
      <c r="G894" s="125"/>
      <c r="H894" s="88"/>
      <c r="I894" s="88"/>
    </row>
    <row r="895" spans="1:9" hidden="1" outlineLevel="1" x14ac:dyDescent="0.2">
      <c r="A895" s="74">
        <v>94</v>
      </c>
      <c r="B895" s="80"/>
      <c r="C895" s="78"/>
      <c r="D895" s="77"/>
      <c r="E895" s="77"/>
      <c r="F895" s="77">
        <f t="shared" si="60"/>
        <v>0</v>
      </c>
      <c r="G895" s="125"/>
      <c r="H895" s="88"/>
      <c r="I895" s="88"/>
    </row>
    <row r="896" spans="1:9" hidden="1" outlineLevel="1" x14ac:dyDescent="0.2">
      <c r="A896" s="74">
        <v>95</v>
      </c>
      <c r="B896" s="80"/>
      <c r="C896" s="78"/>
      <c r="D896" s="77"/>
      <c r="E896" s="77"/>
      <c r="F896" s="77">
        <f t="shared" ref="F896:F918" si="66">E896-D896</f>
        <v>0</v>
      </c>
      <c r="G896" s="125"/>
      <c r="H896" s="88"/>
      <c r="I896" s="88"/>
    </row>
    <row r="897" spans="1:9" hidden="1" outlineLevel="1" x14ac:dyDescent="0.2">
      <c r="A897" s="74">
        <v>96</v>
      </c>
      <c r="B897" s="80"/>
      <c r="C897" s="78"/>
      <c r="D897" s="77"/>
      <c r="E897" s="77"/>
      <c r="F897" s="77">
        <f t="shared" si="66"/>
        <v>0</v>
      </c>
      <c r="G897" s="125"/>
      <c r="H897" s="88"/>
      <c r="I897" s="88"/>
    </row>
    <row r="898" spans="1:9" hidden="1" outlineLevel="1" x14ac:dyDescent="0.2">
      <c r="A898" s="74">
        <v>97</v>
      </c>
      <c r="B898" s="80"/>
      <c r="C898" s="78"/>
      <c r="D898" s="77"/>
      <c r="E898" s="77"/>
      <c r="F898" s="77">
        <f t="shared" si="66"/>
        <v>0</v>
      </c>
      <c r="G898" s="125"/>
      <c r="H898" s="88"/>
      <c r="I898" s="88"/>
    </row>
    <row r="899" spans="1:9" hidden="1" outlineLevel="1" x14ac:dyDescent="0.2">
      <c r="A899" s="74">
        <v>98</v>
      </c>
      <c r="B899" s="80"/>
      <c r="C899" s="78"/>
      <c r="D899" s="77"/>
      <c r="E899" s="77"/>
      <c r="F899" s="77">
        <f t="shared" si="66"/>
        <v>0</v>
      </c>
      <c r="G899" s="125"/>
      <c r="H899" s="88"/>
      <c r="I899" s="88"/>
    </row>
    <row r="900" spans="1:9" hidden="1" outlineLevel="1" x14ac:dyDescent="0.2">
      <c r="A900" s="74">
        <v>99</v>
      </c>
      <c r="B900" s="80"/>
      <c r="C900" s="78"/>
      <c r="D900" s="77"/>
      <c r="E900" s="77"/>
      <c r="F900" s="77">
        <f t="shared" si="66"/>
        <v>0</v>
      </c>
      <c r="G900" s="125"/>
      <c r="H900" s="88"/>
      <c r="I900" s="88"/>
    </row>
    <row r="901" spans="1:9" hidden="1" outlineLevel="1" x14ac:dyDescent="0.2">
      <c r="A901" s="74">
        <v>100</v>
      </c>
      <c r="B901" s="80"/>
      <c r="C901" s="78"/>
      <c r="D901" s="77"/>
      <c r="E901" s="77"/>
      <c r="F901" s="77">
        <f t="shared" si="66"/>
        <v>0</v>
      </c>
      <c r="G901" s="125"/>
      <c r="H901" s="88"/>
      <c r="I901" s="88"/>
    </row>
    <row r="902" spans="1:9" hidden="1" outlineLevel="1" x14ac:dyDescent="0.2">
      <c r="A902" s="74">
        <v>101</v>
      </c>
      <c r="B902" s="80"/>
      <c r="C902" s="78"/>
      <c r="D902" s="77"/>
      <c r="E902" s="77"/>
      <c r="F902" s="77">
        <f t="shared" si="66"/>
        <v>0</v>
      </c>
      <c r="G902" s="125"/>
      <c r="H902" s="88"/>
      <c r="I902" s="88"/>
    </row>
    <row r="903" spans="1:9" hidden="1" outlineLevel="1" x14ac:dyDescent="0.2">
      <c r="A903" s="74">
        <v>102</v>
      </c>
      <c r="B903" s="80"/>
      <c r="C903" s="78"/>
      <c r="D903" s="77"/>
      <c r="E903" s="77"/>
      <c r="F903" s="77">
        <f t="shared" si="66"/>
        <v>0</v>
      </c>
      <c r="G903" s="125"/>
      <c r="H903" s="88"/>
      <c r="I903" s="88"/>
    </row>
    <row r="904" spans="1:9" hidden="1" outlineLevel="1" x14ac:dyDescent="0.2">
      <c r="A904" s="74">
        <v>103</v>
      </c>
      <c r="B904" s="80"/>
      <c r="C904" s="78"/>
      <c r="D904" s="77"/>
      <c r="E904" s="77"/>
      <c r="F904" s="77">
        <f t="shared" si="66"/>
        <v>0</v>
      </c>
      <c r="G904" s="125"/>
      <c r="H904" s="88"/>
      <c r="I904" s="88"/>
    </row>
    <row r="905" spans="1:9" hidden="1" outlineLevel="1" x14ac:dyDescent="0.2">
      <c r="A905" s="74">
        <v>104</v>
      </c>
      <c r="B905" s="80"/>
      <c r="C905" s="78"/>
      <c r="D905" s="77"/>
      <c r="E905" s="77"/>
      <c r="F905" s="77">
        <f t="shared" si="66"/>
        <v>0</v>
      </c>
      <c r="G905" s="125"/>
      <c r="H905" s="88"/>
      <c r="I905" s="88"/>
    </row>
    <row r="906" spans="1:9" hidden="1" outlineLevel="1" x14ac:dyDescent="0.2">
      <c r="A906" s="74">
        <v>105</v>
      </c>
      <c r="B906" s="80"/>
      <c r="C906" s="78"/>
      <c r="D906" s="77"/>
      <c r="E906" s="77"/>
      <c r="F906" s="77">
        <f t="shared" si="66"/>
        <v>0</v>
      </c>
      <c r="G906" s="125"/>
      <c r="H906" s="88"/>
      <c r="I906" s="88"/>
    </row>
    <row r="907" spans="1:9" hidden="1" outlineLevel="1" x14ac:dyDescent="0.2">
      <c r="A907" s="74">
        <v>106</v>
      </c>
      <c r="B907" s="80"/>
      <c r="C907" s="78"/>
      <c r="D907" s="77"/>
      <c r="E907" s="77"/>
      <c r="F907" s="77">
        <f t="shared" si="66"/>
        <v>0</v>
      </c>
      <c r="G907" s="125"/>
      <c r="H907" s="88"/>
      <c r="I907" s="88"/>
    </row>
    <row r="908" spans="1:9" hidden="1" outlineLevel="1" x14ac:dyDescent="0.2">
      <c r="A908" s="74">
        <v>107</v>
      </c>
      <c r="B908" s="80"/>
      <c r="C908" s="78"/>
      <c r="D908" s="77"/>
      <c r="E908" s="77"/>
      <c r="F908" s="77">
        <f t="shared" si="66"/>
        <v>0</v>
      </c>
      <c r="G908" s="125"/>
      <c r="H908" s="88"/>
      <c r="I908" s="88"/>
    </row>
    <row r="909" spans="1:9" hidden="1" outlineLevel="1" x14ac:dyDescent="0.2">
      <c r="A909" s="74">
        <v>108</v>
      </c>
      <c r="B909" s="80"/>
      <c r="C909" s="78"/>
      <c r="D909" s="77"/>
      <c r="E909" s="77"/>
      <c r="F909" s="77">
        <f t="shared" si="66"/>
        <v>0</v>
      </c>
      <c r="G909" s="125"/>
      <c r="H909" s="88"/>
      <c r="I909" s="88"/>
    </row>
    <row r="910" spans="1:9" hidden="1" outlineLevel="1" x14ac:dyDescent="0.2">
      <c r="A910" s="74">
        <v>109</v>
      </c>
      <c r="B910" s="80"/>
      <c r="C910" s="78"/>
      <c r="D910" s="77"/>
      <c r="E910" s="77"/>
      <c r="F910" s="77">
        <f t="shared" si="66"/>
        <v>0</v>
      </c>
      <c r="G910" s="125"/>
      <c r="H910" s="88"/>
      <c r="I910" s="88"/>
    </row>
    <row r="911" spans="1:9" hidden="1" outlineLevel="1" x14ac:dyDescent="0.2">
      <c r="A911" s="74">
        <v>110</v>
      </c>
      <c r="B911" s="80"/>
      <c r="C911" s="78"/>
      <c r="D911" s="77"/>
      <c r="E911" s="77"/>
      <c r="F911" s="77">
        <f t="shared" si="66"/>
        <v>0</v>
      </c>
      <c r="G911" s="125"/>
      <c r="H911" s="88"/>
      <c r="I911" s="88"/>
    </row>
    <row r="912" spans="1:9" hidden="1" outlineLevel="1" x14ac:dyDescent="0.2">
      <c r="A912" s="74">
        <v>111</v>
      </c>
      <c r="B912" s="80"/>
      <c r="C912" s="78"/>
      <c r="D912" s="77"/>
      <c r="E912" s="77"/>
      <c r="F912" s="77">
        <f t="shared" si="66"/>
        <v>0</v>
      </c>
      <c r="G912" s="125"/>
      <c r="H912" s="88"/>
      <c r="I912" s="88"/>
    </row>
    <row r="913" spans="1:9" hidden="1" outlineLevel="1" x14ac:dyDescent="0.2">
      <c r="A913" s="74">
        <v>112</v>
      </c>
      <c r="B913" s="80"/>
      <c r="C913" s="78"/>
      <c r="D913" s="77"/>
      <c r="E913" s="77"/>
      <c r="F913" s="77">
        <f t="shared" si="66"/>
        <v>0</v>
      </c>
      <c r="G913" s="125"/>
      <c r="H913" s="88"/>
      <c r="I913" s="88"/>
    </row>
    <row r="914" spans="1:9" hidden="1" outlineLevel="1" x14ac:dyDescent="0.2">
      <c r="A914" s="74">
        <v>113</v>
      </c>
      <c r="B914" s="80"/>
      <c r="C914" s="78"/>
      <c r="D914" s="77"/>
      <c r="E914" s="77"/>
      <c r="F914" s="77">
        <f t="shared" si="66"/>
        <v>0</v>
      </c>
      <c r="G914" s="125"/>
      <c r="H914" s="88"/>
      <c r="I914" s="88"/>
    </row>
    <row r="915" spans="1:9" hidden="1" outlineLevel="1" x14ac:dyDescent="0.2">
      <c r="A915" s="74">
        <v>114</v>
      </c>
      <c r="B915" s="80"/>
      <c r="C915" s="78"/>
      <c r="D915" s="77"/>
      <c r="E915" s="77"/>
      <c r="F915" s="77">
        <f t="shared" si="66"/>
        <v>0</v>
      </c>
      <c r="G915" s="125"/>
      <c r="H915" s="88"/>
      <c r="I915" s="88"/>
    </row>
    <row r="916" spans="1:9" hidden="1" outlineLevel="1" x14ac:dyDescent="0.2">
      <c r="A916" s="74">
        <v>115</v>
      </c>
      <c r="B916" s="80"/>
      <c r="C916" s="78"/>
      <c r="D916" s="77"/>
      <c r="E916" s="77"/>
      <c r="F916" s="77">
        <f t="shared" si="66"/>
        <v>0</v>
      </c>
      <c r="G916" s="125"/>
      <c r="H916" s="88"/>
      <c r="I916" s="88"/>
    </row>
    <row r="917" spans="1:9" hidden="1" outlineLevel="1" x14ac:dyDescent="0.2">
      <c r="A917" s="74">
        <v>116</v>
      </c>
      <c r="B917" s="80"/>
      <c r="C917" s="78"/>
      <c r="D917" s="77"/>
      <c r="E917" s="77"/>
      <c r="F917" s="77">
        <f t="shared" si="66"/>
        <v>0</v>
      </c>
      <c r="G917" s="125"/>
      <c r="H917" s="88"/>
      <c r="I917" s="88"/>
    </row>
    <row r="918" spans="1:9" hidden="1" outlineLevel="1" x14ac:dyDescent="0.2">
      <c r="A918" s="74">
        <v>117</v>
      </c>
      <c r="B918" s="80"/>
      <c r="C918" s="78"/>
      <c r="D918" s="77"/>
      <c r="E918" s="77"/>
      <c r="F918" s="77">
        <f t="shared" si="66"/>
        <v>0</v>
      </c>
      <c r="G918" s="125"/>
      <c r="H918" s="88"/>
      <c r="I918" s="88"/>
    </row>
    <row r="919" spans="1:9" collapsed="1" x14ac:dyDescent="0.2"/>
    <row r="1048053" spans="6:6" x14ac:dyDescent="0.2">
      <c r="F1048053" s="77">
        <f>E1048053-D1048053</f>
        <v>0</v>
      </c>
    </row>
  </sheetData>
  <autoFilter ref="A595:I675" xr:uid="{00000000-0001-0000-0200-000000000000}">
    <sortState xmlns:xlrd2="http://schemas.microsoft.com/office/spreadsheetml/2017/richdata2" ref="A596:I675">
      <sortCondition ref="H595:H675"/>
    </sortState>
  </autoFilter>
  <mergeCells count="12">
    <mergeCell ref="A383:C383"/>
    <mergeCell ref="A594:C594"/>
    <mergeCell ref="A297:C297"/>
    <mergeCell ref="A2:C2"/>
    <mergeCell ref="A75:C75"/>
    <mergeCell ref="A140:C140"/>
    <mergeCell ref="A221:C221"/>
    <mergeCell ref="A801:C801"/>
    <mergeCell ref="A735:C735"/>
    <mergeCell ref="A678:C678"/>
    <mergeCell ref="A519:C519"/>
    <mergeCell ref="A450:C450"/>
  </mergeCells>
  <phoneticPr fontId="16" type="noConversion"/>
  <conditionalFormatting sqref="A2">
    <cfRule type="expression" dxfId="38" priority="7005">
      <formula>G2 = "Vendido"</formula>
    </cfRule>
    <cfRule type="expression" dxfId="37" priority="7006">
      <formula>G2 = "Estoque"</formula>
    </cfRule>
    <cfRule type="expression" dxfId="36" priority="7007">
      <formula>G2 = "Pendente"</formula>
    </cfRule>
    <cfRule type="expression" dxfId="35" priority="7008">
      <formula>G2 = "Tem que compra"</formula>
    </cfRule>
    <cfRule type="expression" dxfId="34" priority="7009">
      <formula>G2 = "Atacado"</formula>
    </cfRule>
    <cfRule type="expression" dxfId="33" priority="7010">
      <formula>G2 = "Loja"</formula>
    </cfRule>
  </conditionalFormatting>
  <conditionalFormatting sqref="A75">
    <cfRule type="expression" dxfId="32" priority="486">
      <formula>G75 = "Vendido"</formula>
    </cfRule>
    <cfRule type="expression" dxfId="31" priority="487">
      <formula>G75 = "Estoque"</formula>
    </cfRule>
    <cfRule type="expression" dxfId="30" priority="488">
      <formula>G75 = "Pendente"</formula>
    </cfRule>
    <cfRule type="expression" dxfId="29" priority="489">
      <formula>G75 = "Tem que compra"</formula>
    </cfRule>
    <cfRule type="expression" dxfId="28" priority="490">
      <formula>G75 = "Atacado"</formula>
    </cfRule>
    <cfRule type="expression" dxfId="27" priority="491">
      <formula>G75 = "Loja"</formula>
    </cfRule>
  </conditionalFormatting>
  <conditionalFormatting sqref="A140">
    <cfRule type="expression" dxfId="26" priority="459">
      <formula>G140 = "Vendido"</formula>
    </cfRule>
    <cfRule type="expression" dxfId="25" priority="460">
      <formula>G140 = "Estoque"</formula>
    </cfRule>
    <cfRule type="expression" dxfId="24" priority="461">
      <formula>G140 = "Pendente"</formula>
    </cfRule>
    <cfRule type="expression" dxfId="23" priority="462">
      <formula>G140 = "Tem que compra"</formula>
    </cfRule>
    <cfRule type="expression" dxfId="22" priority="463">
      <formula>G140 = "Atacado"</formula>
    </cfRule>
    <cfRule type="expression" dxfId="21" priority="464">
      <formula>G140 = "Loja"</formula>
    </cfRule>
  </conditionalFormatting>
  <conditionalFormatting sqref="A221 A297 A594">
    <cfRule type="expression" dxfId="20" priority="287">
      <formula>G221 = "Estoque"</formula>
    </cfRule>
    <cfRule type="expression" dxfId="19" priority="295">
      <formula>G221 = "Vendido"</formula>
    </cfRule>
  </conditionalFormatting>
  <conditionalFormatting sqref="A383">
    <cfRule type="expression" dxfId="18" priority="220">
      <formula>G383 = "Estoque"</formula>
    </cfRule>
    <cfRule type="expression" dxfId="17" priority="221">
      <formula>G383 = "Vendido"</formula>
    </cfRule>
  </conditionalFormatting>
  <conditionalFormatting sqref="A450">
    <cfRule type="expression" dxfId="16" priority="195">
      <formula>G450 = "Estoque"</formula>
    </cfRule>
    <cfRule type="expression" dxfId="15" priority="196">
      <formula>G450 = "Vendido"</formula>
    </cfRule>
  </conditionalFormatting>
  <conditionalFormatting sqref="A519">
    <cfRule type="expression" dxfId="14" priority="167">
      <formula>G519 = "Estoque"</formula>
    </cfRule>
    <cfRule type="expression" dxfId="13" priority="168">
      <formula>G519 = "Vendido"</formula>
    </cfRule>
  </conditionalFormatting>
  <conditionalFormatting sqref="A678">
    <cfRule type="expression" dxfId="12" priority="136">
      <formula>G678 = "Estoque"</formula>
    </cfRule>
    <cfRule type="expression" dxfId="11" priority="137">
      <formula>G678 = "Vendido"</formula>
    </cfRule>
  </conditionalFormatting>
  <conditionalFormatting sqref="A735">
    <cfRule type="expression" dxfId="10" priority="91">
      <formula>G735 = "Estoque"</formula>
    </cfRule>
    <cfRule type="expression" dxfId="9" priority="92">
      <formula>G735 = "Vendido"</formula>
    </cfRule>
  </conditionalFormatting>
  <conditionalFormatting sqref="A801">
    <cfRule type="expression" dxfId="8" priority="1">
      <formula>G801 = "Estoque"</formula>
    </cfRule>
    <cfRule type="expression" dxfId="7" priority="2">
      <formula>G801 = "Vendido"</formula>
    </cfRule>
  </conditionalFormatting>
  <conditionalFormatting sqref="B1:B296">
    <cfRule type="expression" dxfId="6" priority="312">
      <formula>G1 = "Pendente"</formula>
    </cfRule>
    <cfRule type="expression" dxfId="5" priority="6993">
      <formula>G1 = "Vendido"</formula>
    </cfRule>
  </conditionalFormatting>
  <conditionalFormatting sqref="B298:B1048576">
    <cfRule type="expression" dxfId="4" priority="4">
      <formula>G298 = "Pendente"</formula>
    </cfRule>
    <cfRule type="expression" dxfId="3" priority="6">
      <formula>G298 = "Vendido"</formula>
    </cfRule>
  </conditionalFormatting>
  <conditionalFormatting sqref="F551:F592">
    <cfRule type="cellIs" dxfId="2" priority="148" operator="lessThan">
      <formula>0</formula>
    </cfRule>
  </conditionalFormatting>
  <conditionalFormatting sqref="G1:G1048576">
    <cfRule type="expression" dxfId="1" priority="3">
      <formula>G1 = "Pendente"</formula>
    </cfRule>
    <cfRule type="expression" dxfId="0" priority="5">
      <formula>G1 = "Vendido"</formula>
    </cfRule>
  </conditionalFormatting>
  <pageMargins left="0.511811024" right="0.511811024" top="0.78740157499999996" bottom="0.78740157499999996" header="0.31496062000000002" footer="0.31496062000000002"/>
  <pageSetup paperSize="9" orientation="portrait" horizontalDpi="360" verticalDpi="360" r:id="rId1"/>
  <ignoredErrors>
    <ignoredError sqref="G2 H75:I75" formulaRange="1"/>
    <ignoredError sqref="F450" formula="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54"/>
  <sheetViews>
    <sheetView tabSelected="1" workbookViewId="0">
      <selection activeCell="E43" sqref="E43"/>
    </sheetView>
  </sheetViews>
  <sheetFormatPr defaultRowHeight="15" x14ac:dyDescent="0.25"/>
  <cols>
    <col min="1" max="1" width="16.28515625" bestFit="1" customWidth="1"/>
    <col min="2" max="2" width="20.85546875" style="38" bestFit="1" customWidth="1"/>
    <col min="3" max="3" width="17.7109375" style="38" bestFit="1" customWidth="1"/>
    <col min="4" max="4" width="15.5703125" style="38" customWidth="1"/>
    <col min="5" max="6" width="15.5703125" bestFit="1" customWidth="1"/>
    <col min="7" max="7" width="13.28515625" bestFit="1" customWidth="1"/>
    <col min="8" max="8" width="10.85546875" customWidth="1"/>
    <col min="9" max="9" width="8.85546875" bestFit="1" customWidth="1"/>
    <col min="10" max="10" width="12.85546875" bestFit="1" customWidth="1"/>
    <col min="11" max="11" width="13.5703125" bestFit="1" customWidth="1"/>
    <col min="12" max="12" width="10.140625" bestFit="1" customWidth="1"/>
    <col min="13" max="13" width="11.28515625" bestFit="1" customWidth="1"/>
    <col min="14" max="14" width="17.85546875" style="38" bestFit="1" customWidth="1"/>
    <col min="16" max="16" width="13.85546875" bestFit="1" customWidth="1"/>
    <col min="17" max="17" width="11.7109375" bestFit="1" customWidth="1"/>
  </cols>
  <sheetData>
    <row r="1" spans="1:17" s="28" customFormat="1" ht="25.5" customHeight="1" x14ac:dyDescent="0.25">
      <c r="A1" s="164" t="s">
        <v>194</v>
      </c>
      <c r="B1" s="164"/>
      <c r="C1" s="164"/>
      <c r="D1" s="164"/>
      <c r="E1" s="164"/>
      <c r="F1" s="164"/>
      <c r="G1" s="164"/>
      <c r="I1" s="161" t="s">
        <v>189</v>
      </c>
      <c r="J1" s="162"/>
      <c r="K1" s="162"/>
      <c r="L1" s="163"/>
      <c r="M1" s="133">
        <f>SUM(L3:L12)</f>
        <v>985.49</v>
      </c>
      <c r="N1" s="134" t="s">
        <v>202</v>
      </c>
      <c r="P1" s="165" t="s">
        <v>304</v>
      </c>
      <c r="Q1" s="165"/>
    </row>
    <row r="2" spans="1:17" s="28" customFormat="1" ht="25.5" customHeight="1" x14ac:dyDescent="0.25">
      <c r="A2" s="164" t="s">
        <v>195</v>
      </c>
      <c r="B2" s="167" t="s">
        <v>269</v>
      </c>
      <c r="C2" s="167"/>
      <c r="D2" s="167"/>
      <c r="E2" s="167"/>
      <c r="F2" s="166" t="s">
        <v>270</v>
      </c>
      <c r="G2" s="166" t="s">
        <v>482</v>
      </c>
      <c r="I2" s="32" t="s">
        <v>185</v>
      </c>
      <c r="J2" s="134" t="s">
        <v>191</v>
      </c>
      <c r="K2" s="32" t="s">
        <v>192</v>
      </c>
      <c r="L2" s="32" t="s">
        <v>23</v>
      </c>
      <c r="M2" s="32" t="s">
        <v>200</v>
      </c>
      <c r="N2" s="134"/>
      <c r="P2" s="56"/>
      <c r="Q2" s="56"/>
    </row>
    <row r="3" spans="1:17" ht="15.75" x14ac:dyDescent="0.25">
      <c r="A3" s="164"/>
      <c r="B3" s="58" t="s">
        <v>529</v>
      </c>
      <c r="C3" s="58"/>
      <c r="D3" s="58" t="s">
        <v>219</v>
      </c>
      <c r="E3" s="58" t="s">
        <v>219</v>
      </c>
      <c r="F3" s="166"/>
      <c r="G3" s="166"/>
      <c r="I3" s="25" t="s">
        <v>190</v>
      </c>
      <c r="J3" s="53">
        <v>6</v>
      </c>
      <c r="K3" s="27">
        <v>35</v>
      </c>
      <c r="L3" s="27">
        <f t="shared" ref="L3:L5" si="0">K3*J3</f>
        <v>210</v>
      </c>
      <c r="M3" s="54" t="s">
        <v>201</v>
      </c>
      <c r="N3" s="19"/>
      <c r="P3" s="56" t="s">
        <v>185</v>
      </c>
      <c r="Q3" s="56" t="s">
        <v>305</v>
      </c>
    </row>
    <row r="4" spans="1:17" x14ac:dyDescent="0.25">
      <c r="A4" s="136" t="s">
        <v>6</v>
      </c>
      <c r="B4" s="19">
        <v>4858.9399999999996</v>
      </c>
      <c r="C4" s="148">
        <v>6189.1</v>
      </c>
      <c r="D4" s="146">
        <v>520.76</v>
      </c>
      <c r="E4" s="19">
        <v>348.3</v>
      </c>
      <c r="F4" s="19">
        <v>0</v>
      </c>
      <c r="G4" s="19">
        <v>1625</v>
      </c>
      <c r="I4" s="25" t="s">
        <v>193</v>
      </c>
      <c r="J4" s="53">
        <v>2</v>
      </c>
      <c r="K4" s="27">
        <v>35</v>
      </c>
      <c r="L4" s="27">
        <f t="shared" si="0"/>
        <v>70</v>
      </c>
      <c r="M4" s="54" t="s">
        <v>201</v>
      </c>
      <c r="N4" s="19"/>
      <c r="P4" s="55" t="s">
        <v>306</v>
      </c>
      <c r="Q4" s="19">
        <f>595.68+115</f>
        <v>710.68</v>
      </c>
    </row>
    <row r="5" spans="1:17" x14ac:dyDescent="0.25">
      <c r="A5" s="136" t="s">
        <v>8</v>
      </c>
      <c r="B5" s="19">
        <v>6206.24</v>
      </c>
      <c r="C5" s="148">
        <v>7644.19</v>
      </c>
      <c r="D5" s="146">
        <v>577.48</v>
      </c>
      <c r="E5" s="19">
        <v>465.33</v>
      </c>
      <c r="F5" s="19">
        <v>0</v>
      </c>
      <c r="G5" s="19">
        <v>3170</v>
      </c>
      <c r="I5" s="25" t="s">
        <v>199</v>
      </c>
      <c r="J5" s="53">
        <v>2</v>
      </c>
      <c r="K5" s="27">
        <v>55</v>
      </c>
      <c r="L5" s="27">
        <f t="shared" si="0"/>
        <v>110</v>
      </c>
      <c r="M5" s="54" t="s">
        <v>201</v>
      </c>
      <c r="N5" s="19"/>
      <c r="P5" s="55" t="s">
        <v>361</v>
      </c>
      <c r="Q5" s="19">
        <v>240</v>
      </c>
    </row>
    <row r="6" spans="1:17" x14ac:dyDescent="0.25">
      <c r="A6" s="136" t="s">
        <v>9</v>
      </c>
      <c r="B6" s="19">
        <v>5051.3900000000003</v>
      </c>
      <c r="C6" s="148">
        <v>6509.53</v>
      </c>
      <c r="D6" s="146">
        <v>348</v>
      </c>
      <c r="E6" s="19">
        <v>285.36</v>
      </c>
      <c r="F6" s="19">
        <v>0</v>
      </c>
      <c r="G6" s="19">
        <v>3550</v>
      </c>
      <c r="I6" s="25" t="s">
        <v>193</v>
      </c>
      <c r="J6" s="53">
        <v>2</v>
      </c>
      <c r="K6" s="27">
        <v>35</v>
      </c>
      <c r="L6" s="27">
        <f>K6*J6</f>
        <v>70</v>
      </c>
      <c r="M6" s="54" t="s">
        <v>201</v>
      </c>
      <c r="N6" s="19"/>
      <c r="P6" s="55" t="s">
        <v>307</v>
      </c>
      <c r="Q6" s="19">
        <v>188.01</v>
      </c>
    </row>
    <row r="7" spans="1:17" x14ac:dyDescent="0.25">
      <c r="A7" s="136" t="s">
        <v>10</v>
      </c>
      <c r="B7" s="19">
        <v>4227.1099999999997</v>
      </c>
      <c r="C7" s="149">
        <v>5808.78</v>
      </c>
      <c r="D7" s="146">
        <v>638</v>
      </c>
      <c r="E7" s="19">
        <v>503.48</v>
      </c>
      <c r="F7" s="19">
        <v>0</v>
      </c>
      <c r="G7" s="19">
        <v>1216</v>
      </c>
      <c r="I7" s="25" t="s">
        <v>193</v>
      </c>
      <c r="J7" s="53">
        <v>2</v>
      </c>
      <c r="K7" s="27">
        <v>25</v>
      </c>
      <c r="L7" s="27">
        <f t="shared" ref="L7" si="1">K7*J7</f>
        <v>50</v>
      </c>
      <c r="M7" s="54" t="s">
        <v>201</v>
      </c>
      <c r="N7" s="19"/>
      <c r="P7" s="55" t="s">
        <v>308</v>
      </c>
      <c r="Q7" s="19">
        <v>173.89</v>
      </c>
    </row>
    <row r="8" spans="1:17" x14ac:dyDescent="0.25">
      <c r="A8" s="136" t="s">
        <v>11</v>
      </c>
      <c r="B8" s="19">
        <v>3442.53</v>
      </c>
      <c r="C8" s="148">
        <v>5808.78</v>
      </c>
      <c r="D8" s="146">
        <v>89</v>
      </c>
      <c r="E8" s="19">
        <v>72.89</v>
      </c>
      <c r="F8" s="19">
        <v>241.45</v>
      </c>
      <c r="G8" s="19">
        <v>3211.56</v>
      </c>
      <c r="I8" s="25" t="s">
        <v>199</v>
      </c>
      <c r="J8" s="53">
        <v>6</v>
      </c>
      <c r="K8" s="27">
        <v>40</v>
      </c>
      <c r="L8" s="27">
        <v>475.49</v>
      </c>
      <c r="M8" s="54" t="s">
        <v>435</v>
      </c>
      <c r="N8" s="19"/>
      <c r="P8" s="55" t="s">
        <v>309</v>
      </c>
      <c r="Q8" s="19">
        <v>975.71</v>
      </c>
    </row>
    <row r="9" spans="1:17" x14ac:dyDescent="0.25">
      <c r="A9" s="136" t="s">
        <v>12</v>
      </c>
      <c r="B9" s="19">
        <v>2692.63</v>
      </c>
      <c r="C9" s="148">
        <v>3652.51</v>
      </c>
      <c r="D9" s="146">
        <v>379</v>
      </c>
      <c r="E9" s="19">
        <v>310.77999999999997</v>
      </c>
      <c r="F9" s="19">
        <v>424.9</v>
      </c>
      <c r="G9" s="19">
        <v>1195</v>
      </c>
      <c r="I9" s="25"/>
      <c r="J9" s="53"/>
      <c r="K9" s="27"/>
      <c r="L9" s="27"/>
      <c r="M9" s="54"/>
      <c r="N9" s="19"/>
      <c r="P9" s="55" t="s">
        <v>310</v>
      </c>
      <c r="Q9" s="19">
        <v>269.89999999999998</v>
      </c>
    </row>
    <row r="10" spans="1:17" x14ac:dyDescent="0.25">
      <c r="A10" s="136" t="s">
        <v>13</v>
      </c>
      <c r="B10" s="19">
        <v>2158.48</v>
      </c>
      <c r="C10" s="148">
        <v>2847.35</v>
      </c>
      <c r="D10" s="146">
        <v>1267</v>
      </c>
      <c r="E10" s="19">
        <v>978.54</v>
      </c>
      <c r="F10" s="19">
        <v>336</v>
      </c>
      <c r="G10" s="19">
        <v>1786</v>
      </c>
      <c r="I10" s="54"/>
      <c r="J10" s="54"/>
      <c r="K10" s="52"/>
      <c r="L10" s="27"/>
      <c r="M10" s="54"/>
      <c r="N10" s="19"/>
      <c r="P10" s="55" t="s">
        <v>23</v>
      </c>
      <c r="Q10" s="19">
        <f>SUM(Q4:Q9)</f>
        <v>2558.19</v>
      </c>
    </row>
    <row r="11" spans="1:17" x14ac:dyDescent="0.25">
      <c r="A11" s="136" t="s">
        <v>14</v>
      </c>
      <c r="B11" s="19">
        <v>1982.42</v>
      </c>
      <c r="C11" s="148">
        <v>2447.59</v>
      </c>
      <c r="D11" s="146">
        <v>1136.24</v>
      </c>
      <c r="E11" s="19">
        <v>931.71</v>
      </c>
      <c r="F11" s="19">
        <v>228</v>
      </c>
      <c r="G11" s="19">
        <v>2490</v>
      </c>
      <c r="I11" s="25"/>
      <c r="J11" s="53"/>
      <c r="K11" s="27"/>
      <c r="L11" s="27"/>
      <c r="M11" s="54"/>
      <c r="N11" s="19"/>
    </row>
    <row r="12" spans="1:17" x14ac:dyDescent="0.25">
      <c r="A12" s="136" t="s">
        <v>15</v>
      </c>
      <c r="B12" s="19">
        <v>1403.28</v>
      </c>
      <c r="C12" s="148">
        <v>1779.14</v>
      </c>
      <c r="D12" s="146">
        <v>446.94</v>
      </c>
      <c r="E12" s="19">
        <v>330.37</v>
      </c>
      <c r="F12" s="19">
        <v>466.81</v>
      </c>
      <c r="G12" s="19">
        <v>2845</v>
      </c>
      <c r="I12" s="25"/>
      <c r="J12" s="53"/>
      <c r="K12" s="27"/>
      <c r="L12" s="27"/>
      <c r="M12" s="54"/>
      <c r="N12" s="19"/>
    </row>
    <row r="13" spans="1:17" x14ac:dyDescent="0.25">
      <c r="A13" s="136" t="s">
        <v>16</v>
      </c>
      <c r="B13" s="19">
        <v>488.4</v>
      </c>
      <c r="C13" s="148">
        <v>612.99</v>
      </c>
      <c r="D13" s="146">
        <v>280.39999999999998</v>
      </c>
      <c r="E13" s="19">
        <v>949.2</v>
      </c>
      <c r="F13" s="19">
        <v>723.8</v>
      </c>
      <c r="G13" s="19">
        <f>SUM(vendas!E679:E715)</f>
        <v>3006.51</v>
      </c>
      <c r="I13" s="25" t="s">
        <v>302</v>
      </c>
      <c r="J13" s="118">
        <v>48.92</v>
      </c>
      <c r="K13" s="25"/>
      <c r="L13" s="142">
        <f>SUM(L3:L12)</f>
        <v>985.49</v>
      </c>
      <c r="M13" s="54"/>
      <c r="N13" s="19">
        <f>SUM(N2:N12)</f>
        <v>0</v>
      </c>
    </row>
    <row r="14" spans="1:17" ht="14.25" customHeight="1" x14ac:dyDescent="0.25">
      <c r="A14" s="136" t="s">
        <v>17</v>
      </c>
      <c r="B14" s="19">
        <v>1560.83</v>
      </c>
      <c r="C14" s="148">
        <v>1964.96</v>
      </c>
      <c r="D14" s="146">
        <v>1186.5</v>
      </c>
      <c r="E14" s="19">
        <v>949.2</v>
      </c>
      <c r="F14" s="19">
        <v>192</v>
      </c>
      <c r="G14" s="93">
        <v>2343.1</v>
      </c>
    </row>
    <row r="15" spans="1:17" x14ac:dyDescent="0.25">
      <c r="A15" s="136" t="s">
        <v>18</v>
      </c>
      <c r="B15" s="19">
        <v>1505.59</v>
      </c>
      <c r="C15" s="148">
        <v>1913.48</v>
      </c>
      <c r="D15" s="146">
        <v>888.58</v>
      </c>
      <c r="E15" s="19">
        <v>658.34</v>
      </c>
      <c r="F15" s="19">
        <v>561.83000000000004</v>
      </c>
      <c r="G15" s="19">
        <f>SUM(vendas!E802:E853)</f>
        <v>2381</v>
      </c>
    </row>
    <row r="16" spans="1:17" ht="20.25" customHeight="1" x14ac:dyDescent="0.25">
      <c r="A16" s="135" t="s">
        <v>196</v>
      </c>
      <c r="B16" s="137">
        <f t="shared" ref="B16:G16" si="2">SUM(B4:B15)</f>
        <v>35577.839999999997</v>
      </c>
      <c r="C16" s="137">
        <f t="shared" si="2"/>
        <v>47178.400000000001</v>
      </c>
      <c r="D16" s="137">
        <f t="shared" si="2"/>
        <v>7757.8999999999987</v>
      </c>
      <c r="E16" s="137">
        <f t="shared" si="2"/>
        <v>6783.5</v>
      </c>
      <c r="F16" s="137">
        <f t="shared" si="2"/>
        <v>3174.79</v>
      </c>
      <c r="G16" s="137">
        <f t="shared" si="2"/>
        <v>28819.17</v>
      </c>
    </row>
    <row r="17" spans="1:10" ht="18.75" x14ac:dyDescent="0.3">
      <c r="A17" s="135" t="s">
        <v>197</v>
      </c>
      <c r="B17" s="147">
        <f>B16+F16+L13</f>
        <v>39738.119999999995</v>
      </c>
      <c r="C17" s="147">
        <f>C16+F16+L13</f>
        <v>51338.68</v>
      </c>
      <c r="D17" s="137">
        <f>C17-B17</f>
        <v>11600.560000000005</v>
      </c>
      <c r="E17" s="137"/>
      <c r="F17" s="137"/>
      <c r="G17" s="137"/>
    </row>
    <row r="18" spans="1:10" x14ac:dyDescent="0.25">
      <c r="A18" s="135" t="s">
        <v>23</v>
      </c>
      <c r="B18" s="137"/>
      <c r="C18" s="137"/>
      <c r="D18" s="137"/>
      <c r="E18" s="136"/>
      <c r="F18" s="136"/>
      <c r="G18" s="136"/>
    </row>
    <row r="19" spans="1:10" x14ac:dyDescent="0.25">
      <c r="A19" s="135" t="s">
        <v>202</v>
      </c>
      <c r="B19" s="137">
        <f>N13</f>
        <v>0</v>
      </c>
      <c r="C19" s="137"/>
      <c r="D19" s="137"/>
      <c r="E19" s="137"/>
      <c r="F19" s="137"/>
      <c r="G19" s="137"/>
    </row>
    <row r="20" spans="1:10" x14ac:dyDescent="0.25">
      <c r="A20" s="135" t="s">
        <v>220</v>
      </c>
      <c r="B20" s="137">
        <f>-(B21/E20)</f>
        <v>81000</v>
      </c>
      <c r="C20" s="137"/>
      <c r="D20" s="137"/>
      <c r="E20" s="138">
        <v>1</v>
      </c>
      <c r="F20" s="138"/>
      <c r="G20" s="138"/>
    </row>
    <row r="21" spans="1:10" x14ac:dyDescent="0.25">
      <c r="A21" s="32" t="s">
        <v>198</v>
      </c>
      <c r="B21" s="134">
        <f>(B18-B19)-81000</f>
        <v>-81000</v>
      </c>
      <c r="C21" s="134"/>
      <c r="D21" s="134"/>
      <c r="E21" s="134"/>
      <c r="F21" s="134"/>
      <c r="G21" s="134"/>
    </row>
    <row r="24" spans="1:10" ht="26.25" customHeight="1" x14ac:dyDescent="0.25"/>
    <row r="25" spans="1:10" x14ac:dyDescent="0.25">
      <c r="C25" s="38">
        <v>51338.68</v>
      </c>
      <c r="J25" s="116"/>
    </row>
    <row r="26" spans="1:10" x14ac:dyDescent="0.25">
      <c r="J26" s="26"/>
    </row>
    <row r="38" spans="1:3" x14ac:dyDescent="0.25">
      <c r="A38" s="164" t="s">
        <v>195</v>
      </c>
      <c r="B38" s="173" t="s">
        <v>269</v>
      </c>
      <c r="C38" s="166" t="s">
        <v>270</v>
      </c>
    </row>
    <row r="39" spans="1:3" ht="15.75" customHeight="1" x14ac:dyDescent="0.25">
      <c r="A39" s="164"/>
      <c r="B39" s="174"/>
      <c r="C39" s="166"/>
    </row>
    <row r="40" spans="1:3" x14ac:dyDescent="0.25">
      <c r="A40" s="136" t="s">
        <v>6</v>
      </c>
      <c r="B40" s="148">
        <v>6189.1</v>
      </c>
      <c r="C40" s="19">
        <v>0</v>
      </c>
    </row>
    <row r="41" spans="1:3" x14ac:dyDescent="0.25">
      <c r="A41" s="136" t="s">
        <v>8</v>
      </c>
      <c r="B41" s="148">
        <v>7644.19</v>
      </c>
      <c r="C41" s="19">
        <v>0</v>
      </c>
    </row>
    <row r="42" spans="1:3" x14ac:dyDescent="0.25">
      <c r="A42" s="136" t="s">
        <v>9</v>
      </c>
      <c r="B42" s="148">
        <v>6509.53</v>
      </c>
      <c r="C42" s="19">
        <v>0</v>
      </c>
    </row>
    <row r="43" spans="1:3" x14ac:dyDescent="0.25">
      <c r="A43" s="136" t="s">
        <v>10</v>
      </c>
      <c r="B43" s="149">
        <v>5808.78</v>
      </c>
      <c r="C43" s="19">
        <v>0</v>
      </c>
    </row>
    <row r="44" spans="1:3" x14ac:dyDescent="0.25">
      <c r="A44" s="136" t="s">
        <v>11</v>
      </c>
      <c r="B44" s="148">
        <v>5808.78</v>
      </c>
      <c r="C44" s="19">
        <v>241.45</v>
      </c>
    </row>
    <row r="45" spans="1:3" x14ac:dyDescent="0.25">
      <c r="A45" s="136" t="s">
        <v>12</v>
      </c>
      <c r="B45" s="148">
        <v>3652.51</v>
      </c>
      <c r="C45" s="19">
        <v>424.9</v>
      </c>
    </row>
    <row r="46" spans="1:3" x14ac:dyDescent="0.25">
      <c r="A46" s="136" t="s">
        <v>13</v>
      </c>
      <c r="B46" s="148">
        <v>2847.35</v>
      </c>
      <c r="C46" s="19">
        <v>336</v>
      </c>
    </row>
    <row r="47" spans="1:3" x14ac:dyDescent="0.25">
      <c r="A47" s="136" t="s">
        <v>14</v>
      </c>
      <c r="B47" s="148">
        <v>2447.59</v>
      </c>
      <c r="C47" s="19">
        <v>228</v>
      </c>
    </row>
    <row r="48" spans="1:3" x14ac:dyDescent="0.25">
      <c r="A48" s="136" t="s">
        <v>15</v>
      </c>
      <c r="B48" s="148">
        <v>1779.14</v>
      </c>
      <c r="C48" s="19">
        <v>466.81</v>
      </c>
    </row>
    <row r="49" spans="1:5" x14ac:dyDescent="0.25">
      <c r="A49" s="136" t="s">
        <v>16</v>
      </c>
      <c r="B49" s="148">
        <v>612.99</v>
      </c>
      <c r="C49" s="19">
        <v>723.8</v>
      </c>
    </row>
    <row r="50" spans="1:5" x14ac:dyDescent="0.25">
      <c r="A50" s="136" t="s">
        <v>17</v>
      </c>
      <c r="B50" s="148">
        <v>1964.96</v>
      </c>
      <c r="C50" s="19">
        <v>192</v>
      </c>
    </row>
    <row r="51" spans="1:5" x14ac:dyDescent="0.25">
      <c r="A51" s="136" t="s">
        <v>18</v>
      </c>
      <c r="B51" s="148">
        <v>1913.48</v>
      </c>
      <c r="C51" s="19">
        <v>561.83000000000004</v>
      </c>
    </row>
    <row r="52" spans="1:5" x14ac:dyDescent="0.25">
      <c r="A52" s="135" t="s">
        <v>196</v>
      </c>
      <c r="B52" s="137">
        <f t="shared" ref="B52" si="3">SUM(B40:B51)</f>
        <v>47178.400000000001</v>
      </c>
      <c r="C52" s="137">
        <f>SUM(C40:C51)</f>
        <v>3174.79</v>
      </c>
    </row>
    <row r="53" spans="1:5" x14ac:dyDescent="0.25">
      <c r="A53" s="168" t="s">
        <v>559</v>
      </c>
      <c r="B53" s="169">
        <f>L13</f>
        <v>985.49</v>
      </c>
      <c r="C53" s="137"/>
    </row>
    <row r="54" spans="1:5" ht="35.25" customHeight="1" x14ac:dyDescent="0.35">
      <c r="A54" s="172" t="s">
        <v>558</v>
      </c>
      <c r="B54" s="170">
        <f>SUM(B52+C52+B53)</f>
        <v>51338.68</v>
      </c>
      <c r="C54" s="171"/>
      <c r="E54" s="38"/>
    </row>
  </sheetData>
  <mergeCells count="10">
    <mergeCell ref="A38:A39"/>
    <mergeCell ref="C38:C39"/>
    <mergeCell ref="B54:C54"/>
    <mergeCell ref="B38:B39"/>
    <mergeCell ref="I1:L1"/>
    <mergeCell ref="A1:G1"/>
    <mergeCell ref="P1:Q1"/>
    <mergeCell ref="A2:A3"/>
    <mergeCell ref="F2:F3"/>
    <mergeCell ref="G2:G3"/>
  </mergeCells>
  <phoneticPr fontId="16" type="noConversion"/>
  <pageMargins left="0.511811024" right="0.511811024" top="0.78740157499999996" bottom="0.78740157499999996" header="0.31496062000000002" footer="0.31496062000000002"/>
  <pageSetup paperSize="9" orientation="portrait" r:id="rId1"/>
  <ignoredErrors>
    <ignoredError sqref="G13 G15" formulaRange="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4</vt:i4>
      </vt:variant>
    </vt:vector>
  </HeadingPairs>
  <TitlesOfParts>
    <vt:vector size="4" baseType="lpstr">
      <vt:lpstr>devedores</vt:lpstr>
      <vt:lpstr>Relatorio</vt:lpstr>
      <vt:lpstr>vendas</vt:lpstr>
      <vt:lpstr>V. S. 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leo cunha</dc:creator>
  <cp:lastModifiedBy>leo cunha</cp:lastModifiedBy>
  <dcterms:created xsi:type="dcterms:W3CDTF">2021-01-28T11:21:43Z</dcterms:created>
  <dcterms:modified xsi:type="dcterms:W3CDTF">2023-10-31T13:49:49Z</dcterms:modified>
</cp:coreProperties>
</file>