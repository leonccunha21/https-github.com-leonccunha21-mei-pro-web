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leo\Documents\https-github.com-leonccunha21-mei-pro-web\data\excel\Dados coletas\"/>
    </mc:Choice>
  </mc:AlternateContent>
  <xr:revisionPtr revIDLastSave="0" documentId="13_ncr:1_{582B4BA9-E027-4E37-ABCD-4D2F41748E0C}" xr6:coauthVersionLast="47" xr6:coauthVersionMax="47" xr10:uidLastSave="{00000000-0000-0000-0000-000000000000}"/>
  <bookViews>
    <workbookView xWindow="-120" yWindow="-120" windowWidth="20730" windowHeight="11160" xr2:uid="{00000000-000D-0000-FFFF-FFFF00000000}"/>
  </bookViews>
  <sheets>
    <sheet name="vendas" sheetId="1" r:id="rId1"/>
  </sheets>
  <definedNames>
    <definedName name="_FilterDatabase" localSheetId="0" hidden="1">vendas!$A$133:$I$211</definedName>
    <definedName name="_xlnm._FilterDatabase" localSheetId="0" hidden="1">vendas!$A$1:$H$833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21" i="1" l="1"/>
  <c r="F820" i="1"/>
  <c r="F819" i="1"/>
  <c r="F815" i="1" l="1"/>
  <c r="F807" i="1"/>
  <c r="F801" i="1"/>
  <c r="F798" i="1"/>
  <c r="F791" i="1"/>
  <c r="F792" i="1"/>
  <c r="F793" i="1"/>
  <c r="F794" i="1"/>
  <c r="F795" i="1"/>
  <c r="F796" i="1"/>
  <c r="F800" i="1"/>
  <c r="F802" i="1"/>
  <c r="F803" i="1"/>
  <c r="F804" i="1"/>
  <c r="F805" i="1"/>
  <c r="F806" i="1"/>
  <c r="F808" i="1"/>
  <c r="F809" i="1"/>
  <c r="F810" i="1"/>
  <c r="F811" i="1"/>
  <c r="F812" i="1"/>
  <c r="F813" i="1"/>
  <c r="F814" i="1"/>
  <c r="F816" i="1"/>
  <c r="F817" i="1"/>
  <c r="F818" i="1"/>
  <c r="F822" i="1"/>
  <c r="F823" i="1"/>
  <c r="F824" i="1"/>
  <c r="F825" i="1"/>
  <c r="F826" i="1"/>
  <c r="F827" i="1"/>
  <c r="F828" i="1"/>
  <c r="F829" i="1"/>
  <c r="F830" i="1"/>
  <c r="F831" i="1"/>
  <c r="F832" i="1"/>
  <c r="F833" i="1"/>
  <c r="F786" i="1"/>
  <c r="F785" i="1"/>
  <c r="F777" i="1"/>
  <c r="F784" i="1"/>
  <c r="F787" i="1"/>
  <c r="F788" i="1"/>
  <c r="F789" i="1"/>
  <c r="F790" i="1"/>
  <c r="F797" i="1"/>
  <c r="F799" i="1"/>
  <c r="F776" i="1"/>
  <c r="F773" i="1"/>
  <c r="F772" i="1"/>
  <c r="F744" i="1" l="1"/>
  <c r="F742" i="1" l="1"/>
  <c r="F735" i="1" l="1"/>
  <c r="F733" i="1"/>
  <c r="F724" i="1"/>
  <c r="F725" i="1"/>
  <c r="F726" i="1"/>
  <c r="F727" i="1"/>
  <c r="F728" i="1"/>
  <c r="F729" i="1"/>
  <c r="F730" i="1"/>
  <c r="F731" i="1"/>
  <c r="F732" i="1"/>
  <c r="F723" i="1"/>
  <c r="F711" i="1"/>
  <c r="F710" i="1"/>
  <c r="F709" i="1"/>
  <c r="F712" i="1"/>
  <c r="F713" i="1"/>
  <c r="F714" i="1"/>
  <c r="F715" i="1"/>
  <c r="F716" i="1"/>
  <c r="F717" i="1"/>
  <c r="F718" i="1"/>
  <c r="F719" i="1"/>
  <c r="F720" i="1"/>
  <c r="F721" i="1"/>
  <c r="F722" i="1"/>
  <c r="F734" i="1"/>
  <c r="F736" i="1"/>
  <c r="F737" i="1"/>
  <c r="F738" i="1"/>
  <c r="F739" i="1"/>
  <c r="F740" i="1"/>
  <c r="F741" i="1"/>
  <c r="F743" i="1"/>
  <c r="F745" i="1"/>
  <c r="F746" i="1"/>
  <c r="F769" i="1"/>
  <c r="F770" i="1"/>
  <c r="F771" i="1"/>
  <c r="F774" i="1"/>
  <c r="F775" i="1"/>
  <c r="F778" i="1"/>
  <c r="F779" i="1"/>
  <c r="F780" i="1"/>
  <c r="F781" i="1"/>
  <c r="F782" i="1"/>
  <c r="F783" i="1"/>
  <c r="F708" i="1"/>
  <c r="F707" i="1"/>
  <c r="F706" i="1"/>
  <c r="F691" i="1"/>
  <c r="F690" i="1"/>
  <c r="F689" i="1"/>
  <c r="F688" i="1"/>
  <c r="F687" i="1" l="1"/>
  <c r="F686" i="1"/>
  <c r="F685" i="1" l="1"/>
  <c r="F682" i="1"/>
  <c r="F683" i="1"/>
  <c r="F684" i="1"/>
  <c r="F681" i="1"/>
  <c r="F680" i="1"/>
  <c r="F679" i="1"/>
  <c r="F678" i="1"/>
  <c r="F677" i="1"/>
  <c r="F676" i="1"/>
  <c r="F675" i="1"/>
  <c r="F674" i="1"/>
  <c r="F673" i="1"/>
  <c r="F672" i="1" l="1"/>
  <c r="F671" i="1"/>
  <c r="F670" i="1"/>
  <c r="F669" i="1"/>
  <c r="F668" i="1"/>
  <c r="F667" i="1"/>
  <c r="F666" i="1"/>
  <c r="F665" i="1"/>
  <c r="F664" i="1" l="1"/>
  <c r="F663" i="1"/>
  <c r="F662" i="1"/>
  <c r="F661" i="1"/>
  <c r="F660" i="1"/>
  <c r="F659" i="1"/>
  <c r="F658" i="1"/>
  <c r="F657" i="1"/>
  <c r="F655" i="1"/>
  <c r="F631" i="1"/>
  <c r="F630" i="1"/>
  <c r="E632" i="1"/>
  <c r="D632" i="1"/>
  <c r="F649" i="1"/>
  <c r="F647" i="1"/>
  <c r="F638" i="1"/>
  <c r="F637" i="1"/>
  <c r="F635" i="1"/>
  <c r="F627" i="1"/>
  <c r="F626" i="1"/>
  <c r="F625" i="1"/>
  <c r="F619" i="1"/>
  <c r="F617" i="1"/>
  <c r="F614" i="1"/>
  <c r="F612" i="1"/>
  <c r="F610" i="1"/>
  <c r="F605" i="1"/>
  <c r="F604" i="1"/>
  <c r="F603" i="1"/>
  <c r="F602" i="1"/>
  <c r="F601" i="1"/>
  <c r="F600" i="1"/>
  <c r="F593" i="1"/>
  <c r="F590" i="1"/>
  <c r="F591" i="1"/>
  <c r="F592" i="1"/>
  <c r="F594" i="1"/>
  <c r="F595" i="1"/>
  <c r="F596" i="1"/>
  <c r="F597" i="1"/>
  <c r="F598" i="1"/>
  <c r="F599" i="1"/>
  <c r="F606" i="1"/>
  <c r="F607" i="1"/>
  <c r="F609" i="1"/>
  <c r="F611" i="1"/>
  <c r="F613" i="1"/>
  <c r="F615" i="1"/>
  <c r="F616" i="1"/>
  <c r="F618" i="1"/>
  <c r="F620" i="1"/>
  <c r="F621" i="1"/>
  <c r="F622" i="1"/>
  <c r="F623" i="1"/>
  <c r="F624" i="1"/>
  <c r="F628" i="1"/>
  <c r="F629" i="1"/>
  <c r="F633" i="1"/>
  <c r="F634" i="1"/>
  <c r="F636" i="1"/>
  <c r="F639" i="1"/>
  <c r="F640" i="1"/>
  <c r="F641" i="1"/>
  <c r="F642" i="1"/>
  <c r="F643" i="1"/>
  <c r="F644" i="1"/>
  <c r="F645" i="1"/>
  <c r="F646" i="1"/>
  <c r="F648" i="1"/>
  <c r="F650" i="1"/>
  <c r="F651" i="1"/>
  <c r="F652" i="1"/>
  <c r="F653" i="1"/>
  <c r="F654" i="1"/>
  <c r="F589" i="1"/>
  <c r="F582" i="1"/>
  <c r="F583" i="1"/>
  <c r="F584" i="1"/>
  <c r="F585" i="1"/>
  <c r="F586" i="1"/>
  <c r="F587" i="1"/>
  <c r="F575" i="1"/>
  <c r="F576" i="1"/>
  <c r="F577" i="1"/>
  <c r="F578" i="1"/>
  <c r="F579" i="1"/>
  <c r="F580" i="1"/>
  <c r="F581" i="1"/>
  <c r="F588" i="1"/>
  <c r="F574" i="1"/>
  <c r="F528" i="1"/>
  <c r="F518" i="1"/>
  <c r="F519" i="1"/>
  <c r="F516" i="1"/>
  <c r="F513" i="1"/>
  <c r="F511" i="1"/>
  <c r="F509" i="1"/>
  <c r="F503" i="1"/>
  <c r="F504" i="1"/>
  <c r="F505" i="1"/>
  <c r="F506" i="1"/>
  <c r="F507" i="1"/>
  <c r="F508" i="1"/>
  <c r="F510" i="1"/>
  <c r="F512" i="1"/>
  <c r="F514" i="1"/>
  <c r="F515" i="1"/>
  <c r="F517" i="1"/>
  <c r="F520" i="1"/>
  <c r="F521" i="1"/>
  <c r="F522" i="1"/>
  <c r="F523" i="1"/>
  <c r="F524" i="1"/>
  <c r="F525" i="1"/>
  <c r="F526" i="1"/>
  <c r="F527" i="1"/>
  <c r="F529" i="1"/>
  <c r="F530" i="1"/>
  <c r="F531" i="1"/>
  <c r="F502" i="1"/>
  <c r="F501" i="1"/>
  <c r="E500" i="1"/>
  <c r="F459" i="1"/>
  <c r="F632" i="1" l="1"/>
  <c r="F608" i="1"/>
  <c r="F454" i="1"/>
  <c r="F443" i="1"/>
  <c r="F448" i="1"/>
  <c r="F441" i="1" l="1"/>
  <c r="F442" i="1"/>
  <c r="F444" i="1"/>
  <c r="F445" i="1"/>
  <c r="F446" i="1"/>
  <c r="F447" i="1"/>
  <c r="F449" i="1"/>
  <c r="F450" i="1"/>
  <c r="F451" i="1"/>
  <c r="F452" i="1"/>
  <c r="F453" i="1"/>
  <c r="F455" i="1"/>
  <c r="F456" i="1"/>
  <c r="F457" i="1"/>
  <c r="F458" i="1"/>
  <c r="F460" i="1"/>
  <c r="F461" i="1"/>
  <c r="F462" i="1"/>
  <c r="F463" i="1"/>
  <c r="F464" i="1"/>
  <c r="F465" i="1"/>
  <c r="F500" i="1"/>
  <c r="F438" i="1"/>
  <c r="F437" i="1"/>
  <c r="F436" i="1"/>
  <c r="F435" i="1"/>
  <c r="F434" i="1"/>
  <c r="F392" i="1" l="1"/>
  <c r="F391" i="1"/>
  <c r="F372" i="1" l="1"/>
  <c r="F371" i="1"/>
  <c r="F370" i="1"/>
  <c r="F369" i="1"/>
  <c r="F373" i="1"/>
  <c r="F374" i="1"/>
  <c r="F375" i="1"/>
  <c r="F376" i="1"/>
  <c r="F377" i="1"/>
  <c r="F378" i="1"/>
  <c r="F379" i="1"/>
  <c r="F380" i="1"/>
  <c r="F381" i="1"/>
  <c r="F382" i="1"/>
  <c r="F383" i="1"/>
  <c r="F384" i="1"/>
  <c r="F385" i="1"/>
  <c r="F386" i="1"/>
  <c r="F387" i="1"/>
  <c r="F388" i="1"/>
  <c r="F389" i="1"/>
  <c r="F390" i="1"/>
  <c r="F393" i="1"/>
  <c r="F394" i="1"/>
  <c r="F328" i="1" l="1"/>
  <c r="F327" i="1"/>
  <c r="F314" i="1"/>
  <c r="D309" i="1"/>
  <c r="F308" i="1"/>
  <c r="F331" i="1"/>
  <c r="F302" i="1"/>
  <c r="F301" i="1"/>
  <c r="F300" i="1"/>
  <c r="F299" i="1"/>
  <c r="F298" i="1"/>
  <c r="F294" i="1"/>
  <c r="F295" i="1"/>
  <c r="F209" i="1"/>
  <c r="F207"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8" i="1"/>
  <c r="F174" i="1"/>
  <c r="D87" i="1"/>
  <c r="F87" i="1" s="1"/>
  <c r="F291" i="1"/>
  <c r="F290" i="1"/>
  <c r="F289" i="1"/>
  <c r="F286" i="1"/>
  <c r="F287" i="1"/>
  <c r="F329" i="1"/>
  <c r="F288" i="1"/>
  <c r="F292" i="1"/>
  <c r="F293" i="1"/>
  <c r="F296" i="1"/>
  <c r="F297" i="1"/>
  <c r="F303" i="1"/>
  <c r="F304" i="1"/>
  <c r="F305" i="1"/>
  <c r="F330" i="1"/>
  <c r="F306" i="1"/>
  <c r="F307" i="1"/>
  <c r="F310" i="1"/>
  <c r="F311" i="1"/>
  <c r="F312" i="1"/>
  <c r="F313" i="1"/>
  <c r="F315" i="1"/>
  <c r="F316" i="1"/>
  <c r="F317" i="1"/>
  <c r="F318" i="1"/>
  <c r="F319" i="1"/>
  <c r="F320" i="1"/>
  <c r="F321" i="1"/>
  <c r="F322" i="1"/>
  <c r="F323" i="1"/>
  <c r="F324" i="1"/>
  <c r="F325" i="1"/>
  <c r="F326" i="1"/>
  <c r="F285" i="1"/>
  <c r="F309" i="1" l="1"/>
  <c r="F237" i="1" l="1"/>
  <c r="F233" i="1" l="1"/>
  <c r="F236" i="1" l="1"/>
  <c r="F235" i="1"/>
  <c r="D234" i="1" l="1"/>
  <c r="F232" i="1"/>
  <c r="F231" i="1"/>
  <c r="F230" i="1"/>
  <c r="F229" i="1"/>
  <c r="F228" i="1"/>
  <c r="F227" i="1"/>
  <c r="F226" i="1"/>
  <c r="F225" i="1"/>
  <c r="F224" i="1"/>
  <c r="F223" i="1"/>
  <c r="F222" i="1"/>
  <c r="F221" i="1"/>
  <c r="F220" i="1"/>
  <c r="F219" i="1"/>
  <c r="F218" i="1"/>
  <c r="F217" i="1"/>
  <c r="F216" i="1"/>
  <c r="F215" i="1"/>
  <c r="F214" i="1"/>
  <c r="F213" i="1"/>
  <c r="F212" i="1"/>
  <c r="F234" i="1" l="1"/>
  <c r="D210" i="1" l="1"/>
  <c r="F210" i="1" s="1"/>
  <c r="D211" i="1"/>
  <c r="E211" i="1"/>
  <c r="F211" i="1" l="1"/>
  <c r="F168" i="1" l="1"/>
  <c r="P175" i="1" l="1"/>
  <c r="Q175" i="1" s="1"/>
  <c r="P176" i="1"/>
  <c r="Q176" i="1" s="1"/>
  <c r="P179" i="1"/>
  <c r="Q179" i="1" s="1"/>
  <c r="P173" i="1"/>
  <c r="Q173" i="1" s="1"/>
  <c r="P174" i="1"/>
  <c r="Q174" i="1" s="1"/>
  <c r="P177" i="1"/>
  <c r="Q177" i="1" s="1"/>
  <c r="P178" i="1"/>
  <c r="Q178" i="1" s="1"/>
  <c r="F1047963" i="1"/>
  <c r="F173" i="1"/>
  <c r="F141" i="1"/>
  <c r="F151" i="1"/>
  <c r="F140" i="1"/>
  <c r="F167" i="1"/>
  <c r="F171" i="1"/>
  <c r="F133" i="1"/>
  <c r="F154" i="1"/>
  <c r="F144" i="1"/>
  <c r="F137" i="1"/>
  <c r="F166" i="1"/>
  <c r="F136" i="1"/>
  <c r="F145" i="1"/>
  <c r="F150" i="1"/>
  <c r="F147" i="1"/>
  <c r="F162" i="1"/>
  <c r="F161" i="1"/>
  <c r="F135" i="1"/>
  <c r="F169" i="1"/>
  <c r="F149" i="1"/>
  <c r="F148" i="1"/>
  <c r="F139" i="1"/>
  <c r="F138" i="1"/>
  <c r="F170" i="1"/>
  <c r="F165" i="1"/>
  <c r="F164" i="1"/>
  <c r="F157" i="1"/>
  <c r="F153" i="1"/>
  <c r="F152" i="1"/>
  <c r="F146" i="1"/>
  <c r="F143" i="1"/>
  <c r="F156" i="1"/>
  <c r="F155" i="1"/>
  <c r="F172" i="1"/>
  <c r="F134" i="1"/>
  <c r="F142" i="1"/>
  <c r="F163" i="1"/>
  <c r="F86" i="1"/>
  <c r="F85" i="1"/>
  <c r="F84" i="1"/>
  <c r="F83" i="1"/>
  <c r="F82" i="1"/>
  <c r="F81" i="1"/>
  <c r="F80" i="1"/>
  <c r="F79" i="1"/>
  <c r="F78" i="1"/>
  <c r="F77" i="1"/>
  <c r="F76" i="1"/>
  <c r="F75" i="1"/>
  <c r="F74" i="1"/>
  <c r="F73" i="1"/>
  <c r="F18" i="1"/>
  <c r="F17" i="1"/>
  <c r="F16" i="1"/>
  <c r="F15" i="1"/>
  <c r="F14" i="1"/>
  <c r="F13" i="1"/>
  <c r="F12" i="1"/>
  <c r="F11" i="1"/>
  <c r="F10" i="1"/>
  <c r="F9" i="1"/>
  <c r="F8" i="1"/>
  <c r="F7" i="1"/>
  <c r="F6" i="1"/>
  <c r="F5" i="1"/>
  <c r="F4" i="1"/>
  <c r="F3" i="1"/>
  <c r="D160" i="1" l="1"/>
  <c r="F160" i="1" s="1"/>
  <c r="D159" i="1"/>
  <c r="F159" i="1" s="1"/>
  <c r="D158" i="1" l="1"/>
  <c r="F158" i="1" l="1"/>
  <c r="D72" i="1" l="1"/>
  <c r="F72" i="1" l="1"/>
  <c r="D2" i="1" l="1"/>
  <c r="F2" i="1" l="1"/>
</calcChain>
</file>

<file path=xl/sharedStrings.xml><?xml version="1.0" encoding="utf-8"?>
<sst xmlns="http://schemas.openxmlformats.org/spreadsheetml/2006/main" count="2526" uniqueCount="462">
  <si>
    <t>Vendas</t>
  </si>
  <si>
    <t>Item</t>
  </si>
  <si>
    <t>Pago</t>
  </si>
  <si>
    <t>Vendido</t>
  </si>
  <si>
    <t>Lucro</t>
  </si>
  <si>
    <t>Situação</t>
  </si>
  <si>
    <t>Shopee</t>
  </si>
  <si>
    <t>Relogio rose</t>
  </si>
  <si>
    <t>globo de luz</t>
  </si>
  <si>
    <t>fone 14</t>
  </si>
  <si>
    <t>fone go</t>
  </si>
  <si>
    <t>fone shopee</t>
  </si>
  <si>
    <t>suporte moto</t>
  </si>
  <si>
    <t>tv box</t>
  </si>
  <si>
    <t>pasta hinode</t>
  </si>
  <si>
    <t>fita drl</t>
  </si>
  <si>
    <t>ginastica</t>
  </si>
  <si>
    <t>formataçao</t>
  </si>
  <si>
    <t>aquario jad</t>
  </si>
  <si>
    <t>Garrafa de água dobrável Yellowstone 425ml com grampo Carabina</t>
  </si>
  <si>
    <t>Jogo De Chave Torx E Allen 8 Pecas - Nipo - Sq</t>
  </si>
  <si>
    <t>ACENDEDOR DE FOGÃO</t>
  </si>
  <si>
    <t>Maquina Higiênica Aparador De Pelos Nariz E Orelha</t>
  </si>
  <si>
    <t>Cabo de Dados KinGo para Iphone</t>
  </si>
  <si>
    <t>Baterias Gimex Cr2016 3v Litio Lithium</t>
  </si>
  <si>
    <t>Cabo Micro Usb v8 , serve em vários aparelhos eletrônicos celulares</t>
  </si>
  <si>
    <t>Suporte Adesivo Celular Gel Mágico Cola Reutilizável</t>
  </si>
  <si>
    <t>Suporte Veicular para Celular THIS IS ONE</t>
  </si>
  <si>
    <t>Bateria De Litio 3v Tipo Botão CR2025 Knup Kp-bt2025</t>
  </si>
  <si>
    <t>MÁQUINA CORTAR CABELO À PILHA MAX-71012 /go</t>
  </si>
  <si>
    <t>Adaptador OTG USB V8</t>
  </si>
  <si>
    <t>Hub Usb 2.0 4 Portas - Extensor Hi-Speed 480mbps LEY-11 - Lehmox</t>
  </si>
  <si>
    <t>Grafite Em Po 25g Emavi De Uso Geral P/ Caneletas Cadeados E Fechaduras</t>
  </si>
  <si>
    <t>Kit Reparo Pneu Abs Remendo Sem Camara Carros Motos</t>
  </si>
  <si>
    <t>Rede Elástica Aranha P/ Moto Capacete 30cm X 30cm Bagageiro /GO</t>
  </si>
  <si>
    <t>Chapéu Australiano Pesca Caminhada Camping Proteção Nuca Sol</t>
  </si>
  <si>
    <t>Alicate de remoção de cabo coaxial / alicate rotativo / cortador de cabo coaxial Monster</t>
  </si>
  <si>
    <t>Afiador Amolador De Facas Tesoura Canivete Facão C/ Ventosa</t>
  </si>
  <si>
    <t>Suporte Gamepad Para Celular Pubg Free Fire Ajustável - Ko Gamer</t>
  </si>
  <si>
    <t>Limpa Tela e Lentes 60ml + Flanela</t>
  </si>
  <si>
    <t>Bateria Litio 2032 Unitário Cr2032 1 unidades</t>
  </si>
  <si>
    <t>Lâmpada LED Giratória Rgb Rotativa Mini Bola Maluca Luz Festa - Import</t>
  </si>
  <si>
    <t>Caneta Testador De Dinheiro Nota Falsa Money Teste Detector</t>
  </si>
  <si>
    <t>Bateria 9v Hw Original Comum Não Recarregável</t>
  </si>
  <si>
    <t>Capa De Braço Suporte Braçadeira De Celular Corrida Academia</t>
  </si>
  <si>
    <t>Fio de Solda Estanho arame de solda 1mm15g 1 Unidade</t>
  </si>
  <si>
    <t>Bateria A23 12v 1unidade Ótima Qualidade</t>
  </si>
  <si>
    <t>Suporte De Lanterna Tática Para Guidão Bicicleta 360° M01</t>
  </si>
  <si>
    <t>Cabo Dados Carregador USB 30 Pinos Para iPhone 4 iPad iPod</t>
  </si>
  <si>
    <t>Fio Fada Prata Cordão Luz Cores Natal 2m 20 Leds Pilh</t>
  </si>
  <si>
    <t>Mouse Multilaser Classic Box Optico</t>
  </si>
  <si>
    <t>Placa Adaptador De Som Usb 7.1 Canais 3d Adaptador Audio Pc</t>
  </si>
  <si>
    <t>Pilha Bateria 12v A27 Fina Super Power Controle Portão Alarme</t>
  </si>
  <si>
    <t>Fios Luz De Fada String Light 2m 20 Leds Rolha Decor</t>
  </si>
  <si>
    <t>Lampada Ring Light Efeito SunSet DIRETO DE DUBAI!!!!!!!</t>
  </si>
  <si>
    <t>Gamepad Suporte Controle Joystick Com Gatilhos Para Celular kingo YX-02</t>
  </si>
  <si>
    <t>Luminária de Led RGB c/ Caixa de Som (via Bluetooth)</t>
  </si>
  <si>
    <t>mini luminária de LED com controle remoto 3 em 1</t>
  </si>
  <si>
    <t>Bolas LOL Surprise + 1 Boneca + 4 Cards Para Meninas</t>
  </si>
  <si>
    <t>Mandril 1/2 Com Chave - Super 1.5 a 13mm - Encaixe Rosca 1/2 X 20 UNF</t>
  </si>
  <si>
    <t>Mini umidificador de ar ultrassônico, difusor de óleo essencial, 220ml, lâmpada led, purificador de carro, produtor de névoa com luz romântica</t>
  </si>
  <si>
    <t>Kit Reparo Remendo Borracheiro Pneu Sem Câmara Carro Moto</t>
  </si>
  <si>
    <t>ADESIVO COLA RATO - RATOEIRA ADESIVA HM</t>
  </si>
  <si>
    <t>Lanterna Lampião 6+1 LED Recarregável Bivolt com USB - JH-5800T</t>
  </si>
  <si>
    <t>A 70 Spray Líquido 200 ml - Nutriex</t>
  </si>
  <si>
    <t>Pop It Colorido Personagens Anime Naruto  Antistress</t>
  </si>
  <si>
    <t>Mini Máquina De Costura Manual Portátil De Mão Tecido</t>
  </si>
  <si>
    <t>Aspirador de Pó e Líquido Automotivo Portátil 12V 60W com Luz de LED Preto e Vermelho</t>
  </si>
  <si>
    <t>Organizador Para Lateral De Asiento Auto Carro -- AZUL</t>
  </si>
  <si>
    <t>Suporte Segurador Slim Anti Queda Compatível Com AirPods - Branco</t>
  </si>
  <si>
    <t>shopee</t>
  </si>
  <si>
    <t>Raquete mata mosquito</t>
  </si>
  <si>
    <t>Fone de ouvido pmcell</t>
  </si>
  <si>
    <t xml:space="preserve">Tv box </t>
  </si>
  <si>
    <t>placa bem vindo</t>
  </si>
  <si>
    <t>canivete</t>
  </si>
  <si>
    <t>Cabo impressora</t>
  </si>
  <si>
    <t>carregador relogio</t>
  </si>
  <si>
    <t xml:space="preserve">note 11 </t>
  </si>
  <si>
    <t>fone y30</t>
  </si>
  <si>
    <t>cartao de memoria</t>
  </si>
  <si>
    <t>bateria controle xbox</t>
  </si>
  <si>
    <t>vga para hdmi</t>
  </si>
  <si>
    <t>Bateria Recarregável 6800 V 3.7 mAh 26650 Protegido Li-ion Battery para Lanterna Farol Levou Acessório</t>
  </si>
  <si>
    <t>Cortador De Unha Linksky  OTIMA QUALIDADE!!</t>
  </si>
  <si>
    <t>FURADOR DE COURO 3mm,4mm,5mm – Kit Vazador</t>
  </si>
  <si>
    <t>Globo de luz de discoteca rotativo para festas,</t>
  </si>
  <si>
    <t>Lanterna Multiuso 8 Em 1 Com Ferramentas Sd-890 Elétrica Aaa</t>
  </si>
  <si>
    <t>Mini Morsa de Bancada - ID 6463M - Mini Morsa - Otima Qualidade.</t>
  </si>
  <si>
    <t>Pintinho Amarelinho De Pelúcia Dar Corda</t>
  </si>
  <si>
    <t>Silicone De Banho Corpo Cinto Esfoliante 😱😱</t>
  </si>
  <si>
    <t>led refletor</t>
  </si>
  <si>
    <t xml:space="preserve">carregador unirversal </t>
  </si>
  <si>
    <t>fone de ouvidos china</t>
  </si>
  <si>
    <t>cabo tipo-c</t>
  </si>
  <si>
    <t>central led</t>
  </si>
  <si>
    <t>corrente bike</t>
  </si>
  <si>
    <t>pistola de bolha</t>
  </si>
  <si>
    <t>controle tv box</t>
  </si>
  <si>
    <t xml:space="preserve">capinha celular </t>
  </si>
  <si>
    <t>pelicula</t>
  </si>
  <si>
    <t>d20</t>
  </si>
  <si>
    <t>carregador 35</t>
  </si>
  <si>
    <t>purificador</t>
  </si>
  <si>
    <t>pistola de limpeza</t>
  </si>
  <si>
    <t>suporte celuar</t>
  </si>
  <si>
    <t>regua 5</t>
  </si>
  <si>
    <t>kit de chave celular</t>
  </si>
  <si>
    <t>copo starlei</t>
  </si>
  <si>
    <t>regua pequena</t>
  </si>
  <si>
    <t>smartwhat x8</t>
  </si>
  <si>
    <t>SSD 240gb</t>
  </si>
  <si>
    <t>perfume hinode</t>
  </si>
  <si>
    <t xml:space="preserve">note 10s </t>
  </si>
  <si>
    <t>64GB/4GB</t>
  </si>
  <si>
    <t>128GB/4GB</t>
  </si>
  <si>
    <t>128GB/6GB</t>
  </si>
  <si>
    <t>Redmi POCO GT</t>
  </si>
  <si>
    <t>Redmi NOTE 11</t>
  </si>
  <si>
    <t>Redmi NOTE 10S</t>
  </si>
  <si>
    <t>Redmi POCO M3</t>
  </si>
  <si>
    <t>Redmi 9T</t>
  </si>
  <si>
    <t>Redmi 9C</t>
  </si>
  <si>
    <t>Preto</t>
  </si>
  <si>
    <t>Azul</t>
  </si>
  <si>
    <t>Amarelo</t>
  </si>
  <si>
    <t>Branco</t>
  </si>
  <si>
    <t>256 GB/8GB</t>
  </si>
  <si>
    <t>lucro</t>
  </si>
  <si>
    <t xml:space="preserve">inflavel </t>
  </si>
  <si>
    <t>suporte celular bike</t>
  </si>
  <si>
    <t>corretor de postura</t>
  </si>
  <si>
    <t>carregador iphone</t>
  </si>
  <si>
    <t>APARELHO DE BARBEAR METAL HM-10 HOME&amp;HOME</t>
  </si>
  <si>
    <t>Calculadora Eletrônica - Idea 8 Dígitos Suporte Id - 9727c</t>
  </si>
  <si>
    <t>Conjunto de chave de fenda de precisão de 6 peça</t>
  </si>
  <si>
    <t>KIT COSTURA 24PCS</t>
  </si>
  <si>
    <t>Kit De Chaves Precisão 31 Peças Torx Alen Philips Fenda</t>
  </si>
  <si>
    <t>Kit Mini Fusível Com 10 Peça Para Automóvel Nacional E Importado</t>
  </si>
  <si>
    <t>Maçarico Portátil Profissional Encaixe 1,300°c Ignição Automática, Soldas E Narguilé</t>
  </si>
  <si>
    <t>Pasta para Soldar Cobix Pote 110g Plastico Solda</t>
  </si>
  <si>
    <t>Relógio De Parede Redondo Preto E Branco Nativo Analógico 23cm</t>
  </si>
  <si>
    <t>Super Cola Instantânea Metal Madeira e Plástico 1un</t>
  </si>
  <si>
    <t>Termômetro Culinário Digital Espeto Alimento Cozinha Tp101</t>
  </si>
  <si>
    <t>Não foi possível obter informações do produto devido à exclusão</t>
  </si>
  <si>
    <t>Kit Agulha Mão Agulheiro Costura Passador Linha</t>
  </si>
  <si>
    <t>kit reparo</t>
  </si>
  <si>
    <t xml:space="preserve">Capinha iphone </t>
  </si>
  <si>
    <t>cabo y vga</t>
  </si>
  <si>
    <t>maquina de cortar tempero</t>
  </si>
  <si>
    <t>Mês</t>
  </si>
  <si>
    <t>Caixa de som charg 3+</t>
  </si>
  <si>
    <t>fone de ouvido preto</t>
  </si>
  <si>
    <t>taiser verde</t>
  </si>
  <si>
    <t>bomba de agua simples</t>
  </si>
  <si>
    <t>tela de janela</t>
  </si>
  <si>
    <t>Mouse pad</t>
  </si>
  <si>
    <t>himel hinode</t>
  </si>
  <si>
    <t>Adaptdor bluet</t>
  </si>
  <si>
    <t>kit cabelereiro</t>
  </si>
  <si>
    <t>maquina de corta babelo</t>
  </si>
  <si>
    <t>capinha documentos</t>
  </si>
  <si>
    <t>Ferramenta universal</t>
  </si>
  <si>
    <t>fone simples</t>
  </si>
  <si>
    <t>blogo de luz</t>
  </si>
  <si>
    <t>produto academia</t>
  </si>
  <si>
    <t>Caneca com Mixer Misturador de Café Cremoso Leite Automática Elétrica</t>
  </si>
  <si>
    <t>Globo de luz de discoteca rotativo, para festas, 3w, rgb luzes de palco para sua casa, para natal, para karaokê, natal show de casamento</t>
  </si>
  <si>
    <t>ML</t>
  </si>
  <si>
    <t>Fone b8</t>
  </si>
  <si>
    <t>Taiser azul</t>
  </si>
  <si>
    <t>Pelicula 3d</t>
  </si>
  <si>
    <t>Fone xaiome azul</t>
  </si>
  <si>
    <t>canhao de led festa</t>
  </si>
  <si>
    <t>Bateria Eken Original PG1050 Li-Ion 3.7 v 1050mAh Extra para Câmera H9R H9RS H6S sjcam SJ4000 SJ5000 + Carregador</t>
  </si>
  <si>
    <t>Calculadora Científica Xhaday Xh-82ms-a-10 Engenharia</t>
  </si>
  <si>
    <t>Capa Para Celular Impermeável - Aquática - Cores Sortidas</t>
  </si>
  <si>
    <t>Carregador Tomada Plug Adaptador Fonte Usb Bivolt 5w 2.1a</t>
  </si>
  <si>
    <t>Extensor Hdmi 30 Metros Via 1 Cabo Rede Rj45 Cat5e/6 Cobre</t>
  </si>
  <si>
    <t>Fone De Ouvido KinGo</t>
  </si>
  <si>
    <t>Jogo Chaves Precisão 31 Peças Celular Notebooks Relojoeiro!</t>
  </si>
  <si>
    <t>KIT CHAVE CATRACA COM PONTAS E SOQUETES 17 PEÇAS 123ÚTIL</t>
  </si>
  <si>
    <t>Kit Costura Agulha Linha</t>
  </si>
  <si>
    <t>Kit Reparo Remendo Borracheiro Pneu Sem Câmara Carro Moto prata</t>
  </si>
  <si>
    <t>Lanterna C/ Choque Type 1101 Light Flashlight</t>
  </si>
  <si>
    <t>Linha Costura Coloridas Kit 10 Tubos Cores Sortidas</t>
  </si>
  <si>
    <t>MINI PINÇAS PARA DEPILAÇÃO E SOBRANCELHAS</t>
  </si>
  <si>
    <t>PLUG ADAPTADOR P10 FÊMEA X P2 MACHO</t>
  </si>
  <si>
    <t>Sugador De Solda Alumínio Com Bico</t>
  </si>
  <si>
    <t>Suporte Segurador Slim Anti Queda Compatível Com AirPods</t>
  </si>
  <si>
    <t>Universal 3.5mm Bluetooth Car Kit A2DP Transmissor FM Sem Fio AUX Áudio Receptor de Música Adaptador Handsfree Mic Para Speaker Fone De Ouvido Com Caixa</t>
  </si>
  <si>
    <t>Globo de luz de discoteca rotativo, para festas, 3w, rgb luzes de palco para sua casa, para natal, para karaokê, natal show de casamento, 3w, rgb luzes de palco para sua casa, para natal, para karaokê, natal show de casamento</t>
  </si>
  <si>
    <t>modulo</t>
  </si>
  <si>
    <t>Smartwhat d20</t>
  </si>
  <si>
    <t>regua estençao</t>
  </si>
  <si>
    <t>porta documentos</t>
  </si>
  <si>
    <t>Academia</t>
  </si>
  <si>
    <t>Smartwhat x8</t>
  </si>
  <si>
    <t xml:space="preserve">globo de luz </t>
  </si>
  <si>
    <t xml:space="preserve">processador </t>
  </si>
  <si>
    <t>T e tomada</t>
  </si>
  <si>
    <t xml:space="preserve">grampeador </t>
  </si>
  <si>
    <t xml:space="preserve">controle jogo </t>
  </si>
  <si>
    <t>kit ferramenta</t>
  </si>
  <si>
    <t>luvas</t>
  </si>
  <si>
    <t>martelo</t>
  </si>
  <si>
    <t xml:space="preserve">cabo iphone </t>
  </si>
  <si>
    <t>fone b05</t>
  </si>
  <si>
    <t>toca + pescoço</t>
  </si>
  <si>
    <t>cadeira</t>
  </si>
  <si>
    <t>maleta ferramentas</t>
  </si>
  <si>
    <t>Bonecos Lego Heroes Skate 8cm</t>
  </si>
  <si>
    <t>Cabo ADAPTADOR de computador VGA para HDMI - 1,8 metros banhados (EC-2723). USO PARA PC (LEIA TODA A DESCRIÇÃO).</t>
  </si>
  <si>
    <t>Chave para Mandril HT S02 - 13 MM P/MANDRIL 10 MM - 3/8</t>
  </si>
  <si>
    <t>Dominó Profissional de Pvc - Azul</t>
  </si>
  <si>
    <t>Jardinagem do agregado familiar corte de grama foice agrícola dobrável alça longa mão foice manganês lâmina aço ferramentas capina</t>
  </si>
  <si>
    <t>Kit de costura maleta completa 12cm de plástico</t>
  </si>
  <si>
    <t>Kit Tesouras Reta E Dentada Pente Cabeleireiro E Barbeiro</t>
  </si>
  <si>
    <t>Pendente Luz De Inspeção com Lâmpada P/ Mecânico 12v</t>
  </si>
  <si>
    <t>Ponta Cônica Ferro Solda  Mxt Ml-108-p</t>
  </si>
  <si>
    <t>Protetor De Rg Capa Proteção Porta Documento Novo Rg 100% Acrílico</t>
  </si>
  <si>
    <t>Ratinho De Brinquedo A Corda Rato Realista Pet Gato Crianças</t>
  </si>
  <si>
    <t>Relógio Inteligente Smartwatch D20 Bluetooth Monitor Saúde</t>
  </si>
  <si>
    <t>Suporte Para Celular Bate Cola Ventosa Sucçao Magica</t>
  </si>
  <si>
    <t>Fone vermelho</t>
  </si>
  <si>
    <t>Perfume doll</t>
  </si>
  <si>
    <t>Beyblade pista</t>
  </si>
  <si>
    <t>Beyblade</t>
  </si>
  <si>
    <t>laiser</t>
  </si>
  <si>
    <t xml:space="preserve">caneca </t>
  </si>
  <si>
    <t xml:space="preserve">g5 </t>
  </si>
  <si>
    <t>kit chaves vermelha</t>
  </si>
  <si>
    <t>carregador celular</t>
  </si>
  <si>
    <t>Relogio d20</t>
  </si>
  <si>
    <t>Porta documentos</t>
  </si>
  <si>
    <t>Caixinha de som</t>
  </si>
  <si>
    <t>Perfume</t>
  </si>
  <si>
    <t>toca</t>
  </si>
  <si>
    <t>escova</t>
  </si>
  <si>
    <t>Caneta barbeadora</t>
  </si>
  <si>
    <t>placa de rede</t>
  </si>
  <si>
    <t>rede de janela</t>
  </si>
  <si>
    <t>cabo hdmi</t>
  </si>
  <si>
    <t>SUPER SURPRESA MAX ALEATORIA</t>
  </si>
  <si>
    <t>Kit Chave Catraca Reversível Jogo de Soquetes 39 Peças em Aço Carbono com Maleta</t>
  </si>
  <si>
    <t>Lanterna Tática Choque Ultra Defensigo 12 Mil Volt 😱😱</t>
  </si>
  <si>
    <t>Fone De Ouvido Sem Fio Bluetooth Headset Universal /GO</t>
  </si>
  <si>
    <t>Cabo Usb v8/Iphone Dados Silicone Emborrachado Proteção Colorido</t>
  </si>
  <si>
    <t>Caixa de som charge 3 PRIMEIRA LINHA</t>
  </si>
  <si>
    <t>Clip para bateria 9v</t>
  </si>
  <si>
    <t>Conjunto de chaves de fenda de 24 unidades de 28 peças</t>
  </si>
  <si>
    <t>CONVERSOR ADAPTADOR HDMI PARA VGA VHA HDMI</t>
  </si>
  <si>
    <t>Depilador Kemei Indolor Instantâneo Facial - Km-1021</t>
  </si>
  <si>
    <t>Ebulidor Aquecedor Agua Portatil Quente 500w Mergulhão 220v</t>
  </si>
  <si>
    <t>Faca Lâmina Afiada em Aço Inox com Capa Bainha Protetora Tampa Faquinha para Pesca Viagem Camping Cozinha</t>
  </si>
  <si>
    <t>Fitas Banana Dupla Face Espuma Adelbras 12mm X 2m</t>
  </si>
  <si>
    <t>Kit Acessorios Para Bomba De Ar Bicos Encher Bola 7 Pçs</t>
  </si>
  <si>
    <t>Kit Arco De Serra Mágica 7 Peças Corta Tudo Multifuncional</t>
  </si>
  <si>
    <t>Lanterna De Emergência Inteligente Multifuncional/Claro Exterior/Lâmpada De Carregamento USb</t>
  </si>
  <si>
    <t>Magic Ring ( Super NOVIDADE ) Mola Mágica</t>
  </si>
  <si>
    <t>T10 Luzes Do Carro LED Sílica Brilhante Branco Licença Luz Bulbo 194 168 W5w</t>
  </si>
  <si>
    <t>Vassoura Mágica Dobrável 3 em 1</t>
  </si>
  <si>
    <t>Magalu</t>
  </si>
  <si>
    <t>pochete celular</t>
  </si>
  <si>
    <t>pochete</t>
  </si>
  <si>
    <t xml:space="preserve">canivete </t>
  </si>
  <si>
    <t>gramepeador</t>
  </si>
  <si>
    <t xml:space="preserve">capinha </t>
  </si>
  <si>
    <t xml:space="preserve">cadeira </t>
  </si>
  <si>
    <t>fone de ouvido simples</t>
  </si>
  <si>
    <t>cabo tipo c</t>
  </si>
  <si>
    <t>carregador veicular</t>
  </si>
  <si>
    <t>Kit poker</t>
  </si>
  <si>
    <t>led h7</t>
  </si>
  <si>
    <t>refratometro</t>
  </si>
  <si>
    <t>chave articulada</t>
  </si>
  <si>
    <t>triturador de alimentos</t>
  </si>
  <si>
    <t>chapeu de palha</t>
  </si>
  <si>
    <t>x8</t>
  </si>
  <si>
    <t>maquina de costura</t>
  </si>
  <si>
    <t>pelicula privativa</t>
  </si>
  <si>
    <t>Fone y30</t>
  </si>
  <si>
    <t>lampada festa</t>
  </si>
  <si>
    <t>Cartela de Agulha Kit 27 peças - agulhas de costura</t>
  </si>
  <si>
    <t>Mini Batedor Elétrico Manual De Aço Inoxidável/Ferramenta Misturadora De Leite</t>
  </si>
  <si>
    <t>Bateria Recarregável 6800 V 3.7 mAh Li-ion Battery para Lanterna Farol Levou Acessório</t>
  </si>
  <si>
    <t>Jogo Chave Torx Com Furo Torque Tork Curta 9 Pecas T10 -t50</t>
  </si>
  <si>
    <t>Cantil De Bolso Porta Bebidas Destiladas Inox Vodka Rum Gin 240ml cristo rei</t>
  </si>
  <si>
    <t>Jogo Chave Vela 6 Peças Profissional Ferramentas Manuais Construção</t>
  </si>
  <si>
    <t>Beyblade Metal Led + Lançadores Incluso Promoção</t>
  </si>
  <si>
    <t>Presente surpresa se divirta !!</t>
  </si>
  <si>
    <t>Máquina De Sopro Automática Com Bolha!</t>
  </si>
  <si>
    <t>Jogo De Dominó Profissional Osso Colorido 28 Pedras Dominoes</t>
  </si>
  <si>
    <t>Jogo De Chave De Vela 6 Peças Monalisa</t>
  </si>
  <si>
    <t>BANDEIRA DO BRASIL 2 PANOS 0,90 X 1,30m</t>
  </si>
  <si>
    <t>Cadeira Nautika Dobrável Alvorada para Área Externa</t>
  </si>
  <si>
    <t>SURPRESA ALEATORIA</t>
  </si>
  <si>
    <t xml:space="preserve">lampa giratoria </t>
  </si>
  <si>
    <t>Cadeado M</t>
  </si>
  <si>
    <t>carregador completo tipo c</t>
  </si>
  <si>
    <t>Cabo v8</t>
  </si>
  <si>
    <t>copo termico</t>
  </si>
  <si>
    <t>Led placa mae</t>
  </si>
  <si>
    <t>umidificador</t>
  </si>
  <si>
    <t>caixa de som azul</t>
  </si>
  <si>
    <t>Led bike</t>
  </si>
  <si>
    <t>bateria notebook</t>
  </si>
  <si>
    <t>lampada solar</t>
  </si>
  <si>
    <t>kit tesoura</t>
  </si>
  <si>
    <t>corrente</t>
  </si>
  <si>
    <t>carta naruto</t>
  </si>
  <si>
    <t>caixa de som grande</t>
  </si>
  <si>
    <t>caixa de som pequena</t>
  </si>
  <si>
    <t>Acendedor de Fogão Lume</t>
  </si>
  <si>
    <t>AK66 Mobile controller shooter gamepad PUBG mobile controller</t>
  </si>
  <si>
    <t>BANDEIRA DO BRASIL 0,90 X 1,30m</t>
  </si>
  <si>
    <t>Cabo ADAPTADOR de computador VGA para HDMI- 1,8 metros banhados (EC-2723). USO PARA PC (LEIA TODA A DESCRIÇÃO).</t>
  </si>
  <si>
    <t>Controle Para Celular Pubg Free Fire + Manete Gamepad</t>
  </si>
  <si>
    <t>Estilete Profissional Multiuso + 3 Laminas de Refil</t>
  </si>
  <si>
    <t>Etiquetadora De Preço Manual 8 Dígitos Mx5500 Códigos, Data</t>
  </si>
  <si>
    <t>Fita Dupla Face Ambiente Interno Externo Adelbras</t>
  </si>
  <si>
    <t>Fita Led Digital 6803 5050 Rgb Prova D' Água 133 Efeitos 3d</t>
  </si>
  <si>
    <t>lanterna tatika De Shoque G 50.000k Volts Com Lanterna Led Full</t>
  </si>
  <si>
    <t>Máquina De Tosa Pet Clipper Cães Bivolt - Nanzhong</t>
  </si>
  <si>
    <t>Painel LED Luminoso Uber 5v USB</t>
  </si>
  <si>
    <t>Super Mini Game Brick Game Portátil 9999 jogos</t>
  </si>
  <si>
    <t>Suporte Anti-Perda Para Fone De Ouvido Sem Fio Com Gancho Para Apple Iphone Xs Max X Xr Airpods 2 / 3 Pro</t>
  </si>
  <si>
    <t>Suporte de Celular e GPS Haste Flexível X-CELL XC-SP-02</t>
  </si>
  <si>
    <t>Sutiã Adesivo Levanta Seio Invisible Pushup Tipo Orelha De C</t>
  </si>
  <si>
    <t>Trena 5 Metros 18mm Emborrachada Sparta 31312</t>
  </si>
  <si>
    <t>Ponta asoprador</t>
  </si>
  <si>
    <t>Carregador v8</t>
  </si>
  <si>
    <t>fone pmcell</t>
  </si>
  <si>
    <t>Umidificador</t>
  </si>
  <si>
    <t>Cabo usb tipo C</t>
  </si>
  <si>
    <t>Triturador de alimentos</t>
  </si>
  <si>
    <t>Aspirador veicular</t>
  </si>
  <si>
    <t>Amolador de faca pedra</t>
  </si>
  <si>
    <t>Amolador de faca</t>
  </si>
  <si>
    <t>mouse pad</t>
  </si>
  <si>
    <t>kit tesoura cabelo</t>
  </si>
  <si>
    <t>kit bomba bola</t>
  </si>
  <si>
    <t>Cadeira Campim</t>
  </si>
  <si>
    <t>processador de alimentos</t>
  </si>
  <si>
    <t>kit reparo pneu aluminio</t>
  </si>
  <si>
    <t>Cabo y vga</t>
  </si>
  <si>
    <t>relogio series i7</t>
  </si>
  <si>
    <t>Pulseira relogio</t>
  </si>
  <si>
    <t xml:space="preserve">Barbeador </t>
  </si>
  <si>
    <t>capinha</t>
  </si>
  <si>
    <t>Pelicula privacidade</t>
  </si>
  <si>
    <t>Displayport vga</t>
  </si>
  <si>
    <t>Corrente moto</t>
  </si>
  <si>
    <t>TV box in</t>
  </si>
  <si>
    <t>Laiser</t>
  </si>
  <si>
    <t>Capa controle</t>
  </si>
  <si>
    <t>Transmissor veicular</t>
  </si>
  <si>
    <t>pelicula 3d</t>
  </si>
  <si>
    <t>led dubai</t>
  </si>
  <si>
    <t>camisa do brasil</t>
  </si>
  <si>
    <t>capa retrovisor</t>
  </si>
  <si>
    <t>kir bandeira do brasil</t>
  </si>
  <si>
    <t>vuvunzela brasil</t>
  </si>
  <si>
    <t>Chave maleta</t>
  </si>
  <si>
    <t>carregador tipo c</t>
  </si>
  <si>
    <t>broca aco rapido p/metal 3,5mm c/10 mtx-715359</t>
  </si>
  <si>
    <t>Controle Remoto Tv Sony Lcd C/ Netflix Le-7444</t>
  </si>
  <si>
    <t>Lanterna Refletor Led 2 em 1 1w + 3w Emergência Portátil Pesca Acampamento Oficina</t>
  </si>
  <si>
    <t>Mão Inflável Para Torcer Na Copa Do Mundo</t>
  </si>
  <si>
    <t>Removedor E Esfoliado De Pelos Faciais Derma plane Glo</t>
  </si>
  <si>
    <t>Super Maçarico 150 mm Maçarico Portátil Simples Regulável</t>
  </si>
  <si>
    <t>Tela Mosquiteiro Flex Proteção Janela Porta 1,80m X 1,50m Retrátil PEAD</t>
  </si>
  <si>
    <t>controle de tv</t>
  </si>
  <si>
    <t>pelicula simples</t>
  </si>
  <si>
    <t>capinha transparente</t>
  </si>
  <si>
    <t>fone de ouvido vermelho</t>
  </si>
  <si>
    <t>carregadri simples v8</t>
  </si>
  <si>
    <t>formatação</t>
  </si>
  <si>
    <t>pochete ali</t>
  </si>
  <si>
    <t>controle tv sky</t>
  </si>
  <si>
    <t>pistola de ecnher pneu</t>
  </si>
  <si>
    <t>lanterna chaveiro</t>
  </si>
  <si>
    <t>lanterna solar 100ld</t>
  </si>
  <si>
    <t>Maleta de ferramentas vermelha 53pçs</t>
  </si>
  <si>
    <t>copo starley</t>
  </si>
  <si>
    <t>aquario</t>
  </si>
  <si>
    <t>armario aquario</t>
  </si>
  <si>
    <t>Cabo auxiliar</t>
  </si>
  <si>
    <t>Fone azul</t>
  </si>
  <si>
    <t>cabo kingo iphone</t>
  </si>
  <si>
    <t>caneca mix</t>
  </si>
  <si>
    <t>ring light mesa</t>
  </si>
  <si>
    <t>lamperna portatil</t>
  </si>
  <si>
    <t>bolsa ali</t>
  </si>
  <si>
    <t>Produtos parceria Rafael</t>
  </si>
  <si>
    <t>bandeira do brasil capo</t>
  </si>
  <si>
    <t>vuvunzela</t>
  </si>
  <si>
    <t>Bonés Com Estrela Tripalium PT</t>
  </si>
  <si>
    <t>Relógio Digital Silicone Prova D'água 50 metros</t>
  </si>
  <si>
    <t>Bolsa Sacola de Feira Compras Mercado Viagem Sacoleiro Impermeável</t>
  </si>
  <si>
    <t>Mini Compressor De Ar 300 Psi Para Veículos 12v</t>
  </si>
  <si>
    <t xml:space="preserve">microfone </t>
  </si>
  <si>
    <t xml:space="preserve">corneta </t>
  </si>
  <si>
    <t>led solar</t>
  </si>
  <si>
    <t>arvore de natal</t>
  </si>
  <si>
    <t>fone de ouvido 3</t>
  </si>
  <si>
    <t>fone de ouvido powerbank</t>
  </si>
  <si>
    <t>estabilizador</t>
  </si>
  <si>
    <t>corrente moto</t>
  </si>
  <si>
    <t>mouse e teclado sem fio branco</t>
  </si>
  <si>
    <t>lanterna ima</t>
  </si>
  <si>
    <t>corrente simpres moto</t>
  </si>
  <si>
    <t>microfone grande</t>
  </si>
  <si>
    <t>Camisa do brasil</t>
  </si>
  <si>
    <t>repetidor de sinal wifi</t>
  </si>
  <si>
    <t xml:space="preserve">vuvuzela </t>
  </si>
  <si>
    <t>pendrive 8g</t>
  </si>
  <si>
    <t>fita led  3d</t>
  </si>
  <si>
    <t>carregador kingo v8</t>
  </si>
  <si>
    <t>maleta ferramenta</t>
  </si>
  <si>
    <t>Kit Poker Profissional Luxo Em Lata Com 100 Fichas</t>
  </si>
  <si>
    <t>Lanterna Trazeira P /bicicleta Solar  * Pilha Nunca Mais*</t>
  </si>
  <si>
    <t>Receptor Transmissor Bluetooth Usb P2 Saida Car Atacado</t>
  </si>
  <si>
    <t>Super Maçarico 150 mm Maçarico Portátil Simples Regulável completo</t>
  </si>
  <si>
    <t>Super Maçarico 150 mm Maçarico Portátil Simples Regulável simples</t>
  </si>
  <si>
    <t>Barra Magnetica 30cm Ima Para Facas Multiuso Cozinha Ferramentas</t>
  </si>
  <si>
    <t>Super Cola Instantânea Metal Madeira Plástico</t>
  </si>
  <si>
    <t>Lanterna Multiuso 8 Em 1 Com Ferramentas Sd-890 Elétrica</t>
  </si>
  <si>
    <t>Kit Acessorios Para Bomba De Ar Bicos Encher Bola 7 Pecas</t>
  </si>
  <si>
    <t>pistola de bolhas</t>
  </si>
  <si>
    <t>tampao fiat argo</t>
  </si>
  <si>
    <t>capa carro brasil</t>
  </si>
  <si>
    <t>bandeira do brasil G</t>
  </si>
  <si>
    <t>pelicula camera</t>
  </si>
  <si>
    <t>cabo dpdp</t>
  </si>
  <si>
    <t>mouse sem fio</t>
  </si>
  <si>
    <t>pistola bolhas</t>
  </si>
  <si>
    <t>fone b5</t>
  </si>
  <si>
    <t>controle rossi redondo</t>
  </si>
  <si>
    <t>refletor solar</t>
  </si>
  <si>
    <t>barbeador dragao</t>
  </si>
  <si>
    <t xml:space="preserve">lampada giratoria </t>
  </si>
  <si>
    <t>cabi tipo c</t>
  </si>
  <si>
    <t>relogio ali</t>
  </si>
  <si>
    <t>Lampiao solar</t>
  </si>
  <si>
    <t>guarda chuva</t>
  </si>
  <si>
    <t>pistola brinquedo</t>
  </si>
  <si>
    <t>mouse simples</t>
  </si>
  <si>
    <t>lampaiao led</t>
  </si>
  <si>
    <t>bandeira do brasil</t>
  </si>
  <si>
    <t>carregador</t>
  </si>
  <si>
    <t>controle xbox</t>
  </si>
  <si>
    <t>led lua</t>
  </si>
  <si>
    <t>corrente pequena</t>
  </si>
  <si>
    <t>100 % Surpresa Pacotes De Presentes Da Sorte Para Produtos</t>
  </si>
  <si>
    <t>Passaros De Enfeite Mesa Canta Mexe Periquitos Robo Aves | Nanyju Brinquedos</t>
  </si>
  <si>
    <t>Repetidor De Sinal Wifi Ultra Rápido 300mb Com Botão Wps T90</t>
  </si>
  <si>
    <t>Suporte de Celular e GPS Haste Flexível X-CELL</t>
  </si>
  <si>
    <t>Mini máquina de bolha de stall bolha soprando brinquedo</t>
  </si>
  <si>
    <t>Tipo de venda</t>
  </si>
  <si>
    <t>Fisica</t>
  </si>
  <si>
    <t>concluida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</si>
</sst>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quot;R$&quot;#,##0.00;[Red]\-&quot;R$&quot;#,##0.00"/>
    <numFmt numFmtId="165" formatCode="_-&quot;R$&quot;* #,##0.00_-;\-&quot;R$&quot;* #,##0.00_-;_-&quot;R$&quot;* &quot;-&quot;??_-;_-@_-"/>
  </numFmts>
  <fonts count="12" x14ac:knownFonts="1">
    <font>
      <sz val="11"/>
      <color theme="1"/>
      <name val="Calibri"/>
      <family val="2"/>
      <scheme val="minor"/>
    </font>
    <font>
      <sz val="11"/>
      <color theme="1"/>
      <name val="Calibri"/>
      <family val="2"/>
      <scheme val="minor"/>
    </font>
    <font>
      <sz val="8"/>
      <name val="Calibri"/>
      <family val="2"/>
      <scheme val="minor"/>
    </font>
    <font>
      <sz val="10"/>
      <name val="Arial"/>
      <family val="2"/>
    </font>
    <font>
      <b/>
      <sz val="10"/>
      <color theme="0"/>
      <name val="Arial"/>
      <family val="2"/>
    </font>
    <font>
      <sz val="10"/>
      <color theme="1"/>
      <name val="Arial"/>
      <family val="2"/>
    </font>
    <font>
      <sz val="10"/>
      <color rgb="FF000000"/>
      <name val="Arial"/>
      <family val="2"/>
    </font>
    <font>
      <b/>
      <sz val="10"/>
      <name val="Arial"/>
      <family val="2"/>
    </font>
    <font>
      <sz val="10"/>
      <color theme="0"/>
      <name val="Arial"/>
      <family val="2"/>
    </font>
    <font>
      <sz val="10"/>
      <color theme="1"/>
      <name val="Arial"/>
      <family val="2"/>
    </font>
    <font>
      <sz val="10"/>
      <color theme="1"/>
      <name val="Arial"/>
      <family val="2"/>
    </font>
    <font>
      <sz val="10"/>
      <color rgb="FF00B050"/>
      <name val="Arial"/>
      <family val="2"/>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3" fillId="0" borderId="1" xfId="0" applyFont="1" applyBorder="1"/>
    <xf numFmtId="0" fontId="3" fillId="0" borderId="1" xfId="0" applyFont="1" applyBorder="1" applyAlignment="1">
      <alignment horizontal="center"/>
    </xf>
    <xf numFmtId="165" fontId="3" fillId="0" borderId="1" xfId="2" applyFont="1" applyBorder="1"/>
    <xf numFmtId="0" fontId="4" fillId="2" borderId="1" xfId="0" applyFont="1" applyFill="1" applyBorder="1" applyAlignment="1">
      <alignment horizontal="center" vertical="center"/>
    </xf>
    <xf numFmtId="165" fontId="4" fillId="2" borderId="1" xfId="2" applyFont="1" applyFill="1" applyBorder="1" applyAlignment="1">
      <alignment horizontal="center" vertical="center"/>
    </xf>
    <xf numFmtId="0" fontId="5" fillId="0" borderId="0" xfId="0" applyFont="1"/>
    <xf numFmtId="165" fontId="5" fillId="0" borderId="0" xfId="2" applyFont="1"/>
    <xf numFmtId="0" fontId="5" fillId="0" borderId="0" xfId="0" applyFont="1" applyAlignment="1">
      <alignment horizontal="center" vertical="center"/>
    </xf>
    <xf numFmtId="165" fontId="5" fillId="0" borderId="0" xfId="2" applyFont="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1" applyNumberFormat="1" applyFont="1" applyBorder="1" applyAlignment="1">
      <alignment horizontal="center" vertical="center"/>
    </xf>
    <xf numFmtId="165" fontId="5" fillId="0" borderId="1" xfId="2"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xf numFmtId="0" fontId="6" fillId="0" borderId="1" xfId="0" applyFont="1" applyBorder="1" applyAlignment="1">
      <alignment vertical="center"/>
    </xf>
    <xf numFmtId="0" fontId="5" fillId="0" borderId="1" xfId="0" applyFont="1" applyBorder="1" applyAlignment="1">
      <alignment horizontal="center"/>
    </xf>
    <xf numFmtId="16" fontId="5" fillId="0" borderId="1" xfId="0" applyNumberFormat="1" applyFont="1" applyBorder="1" applyAlignment="1">
      <alignment horizontal="center" vertical="center"/>
    </xf>
    <xf numFmtId="165" fontId="5" fillId="0" borderId="0" xfId="0" applyNumberFormat="1" applyFont="1"/>
    <xf numFmtId="0" fontId="7" fillId="0" borderId="1" xfId="0" applyFont="1" applyBorder="1"/>
    <xf numFmtId="165" fontId="3" fillId="0" borderId="1" xfId="2" applyFont="1" applyBorder="1" applyAlignment="1">
      <alignment horizontal="center"/>
    </xf>
    <xf numFmtId="165" fontId="3" fillId="0" borderId="1" xfId="2" applyFont="1" applyBorder="1" applyAlignment="1">
      <alignment horizontal="center" vertical="center"/>
    </xf>
    <xf numFmtId="9" fontId="5" fillId="0" borderId="1" xfId="3" applyFont="1" applyBorder="1" applyAlignment="1">
      <alignment horizontal="center" vertical="center"/>
    </xf>
    <xf numFmtId="9" fontId="5" fillId="0" borderId="0" xfId="0" applyNumberFormat="1" applyFont="1" applyAlignment="1">
      <alignment horizontal="center"/>
    </xf>
    <xf numFmtId="0" fontId="5" fillId="0" borderId="0" xfId="0" applyFont="1" applyAlignment="1">
      <alignment horizontal="center"/>
    </xf>
    <xf numFmtId="44" fontId="5" fillId="0" borderId="0" xfId="0" applyNumberFormat="1" applyFont="1"/>
    <xf numFmtId="165" fontId="5" fillId="0" borderId="1" xfId="2" applyFont="1" applyBorder="1"/>
    <xf numFmtId="0" fontId="3" fillId="3" borderId="1" xfId="0" applyFont="1" applyFill="1" applyBorder="1" applyAlignment="1">
      <alignment horizontal="center" vertical="center"/>
    </xf>
    <xf numFmtId="0" fontId="5" fillId="3" borderId="1" xfId="0" applyFont="1" applyFill="1" applyBorder="1"/>
    <xf numFmtId="0" fontId="5" fillId="3" borderId="1" xfId="0" applyFont="1" applyFill="1" applyBorder="1" applyAlignment="1">
      <alignment horizontal="center" vertical="center"/>
    </xf>
    <xf numFmtId="165" fontId="5" fillId="3" borderId="1" xfId="2" applyFont="1" applyFill="1" applyBorder="1" applyAlignment="1">
      <alignment horizontal="center" vertical="center"/>
    </xf>
    <xf numFmtId="0" fontId="5" fillId="3" borderId="1" xfId="0" applyFont="1" applyFill="1" applyBorder="1" applyAlignment="1">
      <alignment horizontal="center"/>
    </xf>
    <xf numFmtId="9" fontId="5" fillId="3" borderId="1" xfId="3" applyFont="1" applyFill="1" applyBorder="1" applyAlignment="1">
      <alignment horizontal="center" vertical="center"/>
    </xf>
    <xf numFmtId="0" fontId="3" fillId="4" borderId="1" xfId="0" applyFont="1" applyFill="1" applyBorder="1" applyAlignment="1">
      <alignment horizontal="center" vertical="center"/>
    </xf>
    <xf numFmtId="0" fontId="5" fillId="4" borderId="1" xfId="0" applyFont="1" applyFill="1" applyBorder="1"/>
    <xf numFmtId="165" fontId="5" fillId="4" borderId="1" xfId="2" applyFont="1" applyFill="1" applyBorder="1" applyAlignment="1">
      <alignment horizontal="center" vertical="center"/>
    </xf>
    <xf numFmtId="0" fontId="5" fillId="4" borderId="1" xfId="0" applyFont="1" applyFill="1" applyBorder="1" applyAlignment="1">
      <alignment horizontal="center"/>
    </xf>
    <xf numFmtId="9" fontId="5" fillId="4" borderId="1" xfId="3" applyFont="1" applyFill="1" applyBorder="1" applyAlignment="1">
      <alignment horizontal="center" vertical="center"/>
    </xf>
    <xf numFmtId="0" fontId="3" fillId="3" borderId="1" xfId="0" applyFont="1" applyFill="1" applyBorder="1"/>
    <xf numFmtId="0" fontId="3" fillId="3" borderId="1" xfId="0" applyFont="1" applyFill="1" applyBorder="1" applyAlignment="1">
      <alignment horizontal="center"/>
    </xf>
    <xf numFmtId="165" fontId="3" fillId="3" borderId="1" xfId="2" applyFont="1" applyFill="1" applyBorder="1" applyAlignment="1"/>
    <xf numFmtId="165" fontId="5" fillId="0" borderId="0" xfId="0" applyNumberFormat="1" applyFont="1" applyAlignment="1">
      <alignment horizontal="center" vertical="center"/>
    </xf>
    <xf numFmtId="0" fontId="5" fillId="0" borderId="0" xfId="2" applyNumberFormat="1" applyFont="1"/>
    <xf numFmtId="9" fontId="5" fillId="0" borderId="0" xfId="3" applyFont="1" applyAlignment="1">
      <alignment horizontal="center" vertical="center"/>
    </xf>
    <xf numFmtId="9" fontId="5" fillId="0" borderId="0" xfId="3" applyFont="1"/>
    <xf numFmtId="0" fontId="8" fillId="2" borderId="1" xfId="1" applyNumberFormat="1" applyFont="1" applyFill="1" applyBorder="1" applyAlignment="1">
      <alignment horizontal="center" vertical="center"/>
    </xf>
    <xf numFmtId="0" fontId="9" fillId="0" borderId="1" xfId="0" applyFont="1" applyBorder="1"/>
    <xf numFmtId="165" fontId="5" fillId="0" borderId="1" xfId="2" applyFont="1" applyFill="1" applyBorder="1" applyAlignment="1">
      <alignment horizontal="center" vertical="center"/>
    </xf>
    <xf numFmtId="0" fontId="10" fillId="0" borderId="1" xfId="0" applyFont="1" applyBorder="1"/>
    <xf numFmtId="0" fontId="10" fillId="0" borderId="1" xfId="0" applyFont="1" applyBorder="1" applyAlignment="1">
      <alignment horizontal="center"/>
    </xf>
    <xf numFmtId="44" fontId="10" fillId="0" borderId="1" xfId="2" applyNumberFormat="1" applyFont="1" applyFill="1" applyBorder="1"/>
    <xf numFmtId="44" fontId="10" fillId="0" borderId="1" xfId="0" applyNumberFormat="1" applyFont="1" applyBorder="1"/>
    <xf numFmtId="165" fontId="3" fillId="0" borderId="1" xfId="2" applyFont="1" applyFill="1" applyBorder="1" applyAlignment="1">
      <alignment horizontal="center" vertical="center"/>
    </xf>
    <xf numFmtId="165" fontId="5" fillId="0" borderId="1" xfId="3" applyNumberFormat="1" applyFont="1" applyBorder="1" applyAlignment="1">
      <alignment horizontal="center" vertical="center"/>
    </xf>
    <xf numFmtId="164" fontId="5" fillId="0" borderId="0" xfId="0" applyNumberFormat="1" applyFont="1" applyAlignment="1">
      <alignment horizontal="center" vertical="center"/>
    </xf>
    <xf numFmtId="164" fontId="5" fillId="0" borderId="0" xfId="2" applyNumberFormat="1" applyFont="1"/>
    <xf numFmtId="164" fontId="5" fillId="0" borderId="0" xfId="2" applyNumberFormat="1" applyFont="1" applyAlignment="1">
      <alignment horizontal="center" vertical="center"/>
    </xf>
    <xf numFmtId="0" fontId="11" fillId="0" borderId="1" xfId="0" applyFont="1" applyBorder="1"/>
  </cellXfs>
  <cellStyles count="4">
    <cellStyle name="Moeda" xfId="2" builtinId="4"/>
    <cellStyle name="Normal" xfId="0" builtinId="0"/>
    <cellStyle name="Porcentagem" xfId="3" builtinId="5"/>
    <cellStyle name="Vírgula" xfId="1" builtinId="3"/>
  </cellStyles>
  <dxfs count="5">
    <dxf>
      <font>
        <b/>
        <i/>
        <color rgb="FF00B050"/>
      </font>
    </dxf>
    <dxf>
      <font>
        <b/>
        <i/>
        <color rgb="FF00B0F0"/>
      </font>
    </dxf>
    <dxf>
      <font>
        <color rgb="FF9C0006"/>
      </font>
      <fill>
        <patternFill>
          <bgColor rgb="FFFFC7CE"/>
        </patternFill>
      </fill>
    </dxf>
    <dxf>
      <font>
        <b/>
        <i/>
        <color rgb="FF00B050"/>
      </font>
    </dxf>
    <dxf>
      <font>
        <b/>
        <i/>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Z1047963"/>
  <sheetViews>
    <sheetView tabSelected="1" zoomScale="115" zoomScaleNormal="115" workbookViewId="0">
      <selection activeCell="B10" sqref="B10"/>
    </sheetView>
  </sheetViews>
  <sheetFormatPr defaultColWidth="9.140625" defaultRowHeight="12.75" x14ac:dyDescent="0.2"/>
  <cols>
    <col min="1" max="1" width="8.7109375" style="9" customWidth="1"/>
    <col min="2" max="2" width="36.85546875" style="9" customWidth="1"/>
    <col min="3" max="3" width="4.5703125" style="9" bestFit="1" customWidth="1"/>
    <col min="4" max="5" width="16.140625" style="8" bestFit="1" customWidth="1"/>
    <col min="6" max="6" width="11.5703125" style="7" bestFit="1" customWidth="1"/>
    <col min="7" max="7" width="9" style="6" bestFit="1" customWidth="1"/>
    <col min="8" max="8" width="10" style="25" bestFit="1" customWidth="1"/>
    <col min="9" max="9" width="8" style="45" bestFit="1" customWidth="1"/>
    <col min="10" max="10" width="10" style="6" bestFit="1" customWidth="1"/>
    <col min="11" max="11" width="17" style="7" bestFit="1" customWidth="1"/>
    <col min="12" max="12" width="11.85546875" style="8" bestFit="1" customWidth="1"/>
    <col min="13" max="13" width="10.140625" style="7" bestFit="1" customWidth="1"/>
    <col min="14" max="14" width="14.5703125" style="9" bestFit="1" customWidth="1"/>
    <col min="15" max="15" width="15.140625" style="6" customWidth="1"/>
    <col min="16" max="16" width="15.140625" style="6" bestFit="1" customWidth="1"/>
    <col min="17" max="17" width="13.140625" style="6" bestFit="1" customWidth="1"/>
    <col min="18" max="22" width="9.140625" style="6"/>
    <col min="23" max="23" width="17.140625" style="6" bestFit="1" customWidth="1"/>
    <col min="24" max="24" width="12.85546875" style="6" bestFit="1" customWidth="1"/>
    <col min="25" max="25" width="9.28515625" style="6" bestFit="1" customWidth="1"/>
    <col min="26" max="26" width="14.140625" style="6" bestFit="1" customWidth="1"/>
    <col min="27" max="16384" width="9.140625" style="6"/>
  </cols>
  <sheetData>
    <row r="1" spans="1:9" x14ac:dyDescent="0.2">
      <c r="A1" s="4" t="s">
        <v>150</v>
      </c>
      <c r="B1" s="4" t="s">
        <v>0</v>
      </c>
      <c r="C1" s="46" t="s">
        <v>1</v>
      </c>
      <c r="D1" s="5" t="s">
        <v>2</v>
      </c>
      <c r="E1" s="5" t="s">
        <v>3</v>
      </c>
      <c r="F1" s="5" t="s">
        <v>4</v>
      </c>
      <c r="G1" s="4" t="s">
        <v>5</v>
      </c>
      <c r="H1" s="4" t="s">
        <v>459</v>
      </c>
      <c r="I1" s="4"/>
    </row>
    <row r="2" spans="1:9" x14ac:dyDescent="0.2">
      <c r="A2" s="10">
        <v>1</v>
      </c>
      <c r="B2" s="11" t="s">
        <v>7</v>
      </c>
      <c r="C2" s="2">
        <v>1</v>
      </c>
      <c r="D2" s="13">
        <f>130+18</f>
        <v>148</v>
      </c>
      <c r="E2" s="13">
        <v>250</v>
      </c>
      <c r="F2" s="13">
        <f t="shared" ref="F2:F9" si="0">E2-D2</f>
        <v>102</v>
      </c>
      <c r="G2" s="14" t="s">
        <v>461</v>
      </c>
      <c r="H2" s="14" t="s">
        <v>460</v>
      </c>
    </row>
    <row r="3" spans="1:9" x14ac:dyDescent="0.2">
      <c r="A3" s="10">
        <v>1</v>
      </c>
      <c r="B3" s="11" t="s">
        <v>8</v>
      </c>
      <c r="C3" s="2">
        <v>1</v>
      </c>
      <c r="D3" s="13">
        <v>40</v>
      </c>
      <c r="E3" s="13">
        <v>80</v>
      </c>
      <c r="F3" s="13">
        <f t="shared" si="0"/>
        <v>40</v>
      </c>
      <c r="G3" s="14" t="s">
        <v>461</v>
      </c>
      <c r="H3" s="14" t="s">
        <v>460</v>
      </c>
    </row>
    <row r="4" spans="1:9" x14ac:dyDescent="0.2">
      <c r="A4" s="10">
        <v>1</v>
      </c>
      <c r="B4" s="11" t="s">
        <v>9</v>
      </c>
      <c r="C4" s="2">
        <v>1</v>
      </c>
      <c r="D4" s="13">
        <v>9</v>
      </c>
      <c r="E4" s="13">
        <v>20</v>
      </c>
      <c r="F4" s="13">
        <f t="shared" si="0"/>
        <v>11</v>
      </c>
      <c r="G4" s="14" t="s">
        <v>461</v>
      </c>
      <c r="H4" s="14" t="s">
        <v>460</v>
      </c>
    </row>
    <row r="5" spans="1:9" x14ac:dyDescent="0.2">
      <c r="A5" s="10">
        <v>1</v>
      </c>
      <c r="B5" s="15" t="s">
        <v>10</v>
      </c>
      <c r="C5" s="2">
        <v>1</v>
      </c>
      <c r="D5" s="13">
        <v>6</v>
      </c>
      <c r="E5" s="13">
        <v>15</v>
      </c>
      <c r="F5" s="13">
        <f t="shared" si="0"/>
        <v>9</v>
      </c>
      <c r="G5" s="14" t="s">
        <v>461</v>
      </c>
      <c r="H5" s="14" t="s">
        <v>460</v>
      </c>
    </row>
    <row r="6" spans="1:9" x14ac:dyDescent="0.2">
      <c r="A6" s="10">
        <v>1</v>
      </c>
      <c r="B6" s="15" t="s">
        <v>10</v>
      </c>
      <c r="C6" s="2">
        <v>1</v>
      </c>
      <c r="D6" s="13">
        <v>6</v>
      </c>
      <c r="E6" s="13">
        <v>15</v>
      </c>
      <c r="F6" s="13">
        <f t="shared" si="0"/>
        <v>9</v>
      </c>
      <c r="G6" s="14" t="s">
        <v>461</v>
      </c>
      <c r="H6" s="14" t="s">
        <v>460</v>
      </c>
    </row>
    <row r="7" spans="1:9" x14ac:dyDescent="0.2">
      <c r="A7" s="10">
        <v>1</v>
      </c>
      <c r="B7" s="16" t="s">
        <v>11</v>
      </c>
      <c r="C7" s="2">
        <v>1</v>
      </c>
      <c r="D7" s="13">
        <v>2</v>
      </c>
      <c r="E7" s="13">
        <v>15</v>
      </c>
      <c r="F7" s="13">
        <f t="shared" si="0"/>
        <v>13</v>
      </c>
      <c r="G7" s="14" t="s">
        <v>461</v>
      </c>
      <c r="H7" s="18" t="s">
        <v>460</v>
      </c>
    </row>
    <row r="8" spans="1:9" x14ac:dyDescent="0.2">
      <c r="A8" s="10">
        <v>1</v>
      </c>
      <c r="B8" s="11" t="s">
        <v>12</v>
      </c>
      <c r="C8" s="2">
        <v>1</v>
      </c>
      <c r="D8" s="13">
        <v>6</v>
      </c>
      <c r="E8" s="13">
        <v>20</v>
      </c>
      <c r="F8" s="13">
        <f t="shared" si="0"/>
        <v>14</v>
      </c>
      <c r="G8" s="14" t="s">
        <v>461</v>
      </c>
      <c r="H8" s="14" t="s">
        <v>460</v>
      </c>
    </row>
    <row r="9" spans="1:9" x14ac:dyDescent="0.2">
      <c r="A9" s="10">
        <v>1</v>
      </c>
      <c r="B9" s="11" t="s">
        <v>13</v>
      </c>
      <c r="C9" s="2">
        <v>1</v>
      </c>
      <c r="D9" s="13">
        <v>150</v>
      </c>
      <c r="E9" s="13">
        <v>250</v>
      </c>
      <c r="F9" s="13">
        <f t="shared" si="0"/>
        <v>100</v>
      </c>
      <c r="G9" s="14" t="s">
        <v>461</v>
      </c>
      <c r="H9" s="14" t="s">
        <v>460</v>
      </c>
    </row>
    <row r="10" spans="1:9" x14ac:dyDescent="0.2">
      <c r="A10" s="10">
        <v>1</v>
      </c>
      <c r="B10" s="11" t="s">
        <v>13</v>
      </c>
      <c r="C10" s="2">
        <v>1</v>
      </c>
      <c r="D10" s="13">
        <v>150</v>
      </c>
      <c r="E10" s="13">
        <v>250</v>
      </c>
      <c r="F10" s="13">
        <f t="shared" ref="F10:F18" si="1">E10-D10</f>
        <v>100</v>
      </c>
      <c r="G10" s="14" t="s">
        <v>461</v>
      </c>
      <c r="H10" s="14" t="s">
        <v>460</v>
      </c>
    </row>
    <row r="11" spans="1:9" x14ac:dyDescent="0.2">
      <c r="A11" s="10">
        <v>1</v>
      </c>
      <c r="B11" s="16" t="s">
        <v>14</v>
      </c>
      <c r="C11" s="2">
        <v>1</v>
      </c>
      <c r="D11" s="13">
        <v>12.5</v>
      </c>
      <c r="E11" s="13">
        <v>25</v>
      </c>
      <c r="F11" s="13">
        <f t="shared" si="1"/>
        <v>12.5</v>
      </c>
      <c r="G11" s="14" t="s">
        <v>461</v>
      </c>
      <c r="H11" s="18" t="s">
        <v>460</v>
      </c>
    </row>
    <row r="12" spans="1:9" x14ac:dyDescent="0.2">
      <c r="A12" s="10">
        <v>1</v>
      </c>
      <c r="B12" s="16" t="s">
        <v>14</v>
      </c>
      <c r="C12" s="2">
        <v>1</v>
      </c>
      <c r="D12" s="13">
        <v>12.5</v>
      </c>
      <c r="E12" s="13">
        <v>25</v>
      </c>
      <c r="F12" s="13">
        <f t="shared" si="1"/>
        <v>12.5</v>
      </c>
      <c r="G12" s="14" t="s">
        <v>461</v>
      </c>
      <c r="H12" s="18" t="s">
        <v>460</v>
      </c>
    </row>
    <row r="13" spans="1:9" x14ac:dyDescent="0.2">
      <c r="A13" s="10">
        <v>1</v>
      </c>
      <c r="B13" s="16" t="s">
        <v>15</v>
      </c>
      <c r="C13" s="2">
        <v>1</v>
      </c>
      <c r="D13" s="13">
        <v>50</v>
      </c>
      <c r="E13" s="13">
        <v>70</v>
      </c>
      <c r="F13" s="13">
        <f t="shared" si="1"/>
        <v>20</v>
      </c>
      <c r="G13" s="14" t="s">
        <v>461</v>
      </c>
      <c r="H13" s="18" t="s">
        <v>460</v>
      </c>
    </row>
    <row r="14" spans="1:9" x14ac:dyDescent="0.2">
      <c r="A14" s="10">
        <v>1</v>
      </c>
      <c r="B14" s="11" t="s">
        <v>54</v>
      </c>
      <c r="C14" s="2">
        <v>1</v>
      </c>
      <c r="D14" s="13">
        <v>30</v>
      </c>
      <c r="E14" s="13">
        <v>70</v>
      </c>
      <c r="F14" s="13">
        <f t="shared" si="1"/>
        <v>40</v>
      </c>
      <c r="G14" s="14" t="s">
        <v>461</v>
      </c>
      <c r="H14" s="14" t="s">
        <v>460</v>
      </c>
    </row>
    <row r="15" spans="1:9" x14ac:dyDescent="0.2">
      <c r="A15" s="10">
        <v>1</v>
      </c>
      <c r="B15" s="15" t="s">
        <v>16</v>
      </c>
      <c r="C15" s="2">
        <v>1</v>
      </c>
      <c r="D15" s="13">
        <v>7</v>
      </c>
      <c r="E15" s="13">
        <v>20</v>
      </c>
      <c r="F15" s="13">
        <f t="shared" si="1"/>
        <v>13</v>
      </c>
      <c r="G15" s="14" t="s">
        <v>461</v>
      </c>
      <c r="H15" s="14" t="s">
        <v>460</v>
      </c>
    </row>
    <row r="16" spans="1:9" x14ac:dyDescent="0.2">
      <c r="A16" s="10">
        <v>1</v>
      </c>
      <c r="B16" s="15" t="s">
        <v>16</v>
      </c>
      <c r="C16" s="2">
        <v>1</v>
      </c>
      <c r="D16" s="13">
        <v>7</v>
      </c>
      <c r="E16" s="13">
        <v>20</v>
      </c>
      <c r="F16" s="13">
        <f t="shared" si="1"/>
        <v>13</v>
      </c>
      <c r="G16" s="14" t="s">
        <v>461</v>
      </c>
      <c r="H16" s="14" t="s">
        <v>460</v>
      </c>
    </row>
    <row r="17" spans="1:8" x14ac:dyDescent="0.2">
      <c r="A17" s="10">
        <v>1</v>
      </c>
      <c r="B17" s="16" t="s">
        <v>18</v>
      </c>
      <c r="C17" s="2">
        <v>1</v>
      </c>
      <c r="D17" s="13">
        <v>0</v>
      </c>
      <c r="E17" s="13">
        <v>430</v>
      </c>
      <c r="F17" s="13">
        <f t="shared" si="1"/>
        <v>430</v>
      </c>
      <c r="G17" s="14" t="s">
        <v>461</v>
      </c>
      <c r="H17" s="18" t="s">
        <v>460</v>
      </c>
    </row>
    <row r="18" spans="1:8" x14ac:dyDescent="0.2">
      <c r="A18" s="10">
        <v>1</v>
      </c>
      <c r="B18" s="16" t="s">
        <v>17</v>
      </c>
      <c r="C18" s="2">
        <v>1</v>
      </c>
      <c r="D18" s="13">
        <v>0</v>
      </c>
      <c r="E18" s="13">
        <v>50</v>
      </c>
      <c r="F18" s="13">
        <f t="shared" si="1"/>
        <v>50</v>
      </c>
      <c r="G18" s="14" t="s">
        <v>461</v>
      </c>
      <c r="H18" s="18" t="s">
        <v>460</v>
      </c>
    </row>
    <row r="19" spans="1:8" x14ac:dyDescent="0.2">
      <c r="A19" s="10">
        <v>1</v>
      </c>
      <c r="B19" s="20" t="s">
        <v>19</v>
      </c>
      <c r="C19" s="2">
        <v>1</v>
      </c>
      <c r="D19" s="21">
        <v>1.8</v>
      </c>
      <c r="E19" s="3">
        <v>1.18</v>
      </c>
      <c r="F19" s="3">
        <v>-0.83240000000000003</v>
      </c>
      <c r="G19" s="14" t="s">
        <v>461</v>
      </c>
      <c r="H19" s="18" t="s">
        <v>70</v>
      </c>
    </row>
    <row r="20" spans="1:8" x14ac:dyDescent="0.2">
      <c r="A20" s="10">
        <v>1</v>
      </c>
      <c r="B20" s="20" t="s">
        <v>20</v>
      </c>
      <c r="C20" s="2">
        <v>1</v>
      </c>
      <c r="D20" s="21">
        <v>5</v>
      </c>
      <c r="E20" s="21">
        <v>5.63</v>
      </c>
      <c r="F20" s="3">
        <v>-0.38339999999999996</v>
      </c>
      <c r="G20" s="14" t="s">
        <v>461</v>
      </c>
      <c r="H20" s="18" t="s">
        <v>70</v>
      </c>
    </row>
    <row r="21" spans="1:8" x14ac:dyDescent="0.2">
      <c r="A21" s="10">
        <v>1</v>
      </c>
      <c r="B21" s="20" t="s">
        <v>21</v>
      </c>
      <c r="C21" s="2">
        <v>1</v>
      </c>
      <c r="D21" s="21">
        <v>7</v>
      </c>
      <c r="E21" s="21">
        <v>10.199999999999999</v>
      </c>
      <c r="F21" s="3">
        <v>1.3639999999999994</v>
      </c>
      <c r="G21" s="14" t="s">
        <v>461</v>
      </c>
      <c r="H21" s="18" t="s">
        <v>70</v>
      </c>
    </row>
    <row r="22" spans="1:8" x14ac:dyDescent="0.2">
      <c r="A22" s="10">
        <v>1</v>
      </c>
      <c r="B22" s="20" t="s">
        <v>22</v>
      </c>
      <c r="C22" s="2">
        <v>1</v>
      </c>
      <c r="D22" s="21">
        <v>10</v>
      </c>
      <c r="E22" s="21">
        <v>13.95</v>
      </c>
      <c r="F22" s="3">
        <v>1.4389999999999996</v>
      </c>
      <c r="G22" s="14" t="s">
        <v>461</v>
      </c>
      <c r="H22" s="18" t="s">
        <v>70</v>
      </c>
    </row>
    <row r="23" spans="1:8" x14ac:dyDescent="0.2">
      <c r="A23" s="10">
        <v>1</v>
      </c>
      <c r="B23" s="20" t="s">
        <v>23</v>
      </c>
      <c r="C23" s="2">
        <v>1</v>
      </c>
      <c r="D23" s="21">
        <v>8</v>
      </c>
      <c r="E23" s="21">
        <v>11.79</v>
      </c>
      <c r="F23" s="3">
        <v>1.6677999999999993</v>
      </c>
      <c r="G23" s="14" t="s">
        <v>461</v>
      </c>
      <c r="H23" s="18" t="s">
        <v>70</v>
      </c>
    </row>
    <row r="24" spans="1:8" x14ac:dyDescent="0.2">
      <c r="A24" s="10">
        <v>1</v>
      </c>
      <c r="B24" s="20" t="s">
        <v>24</v>
      </c>
      <c r="C24" s="2">
        <v>3</v>
      </c>
      <c r="D24" s="21">
        <v>3</v>
      </c>
      <c r="E24" s="21">
        <v>6.58</v>
      </c>
      <c r="F24" s="3">
        <v>2.3956</v>
      </c>
      <c r="G24" s="14" t="s">
        <v>461</v>
      </c>
      <c r="H24" s="18" t="s">
        <v>70</v>
      </c>
    </row>
    <row r="25" spans="1:8" x14ac:dyDescent="0.2">
      <c r="A25" s="10">
        <v>1</v>
      </c>
      <c r="B25" s="20" t="s">
        <v>25</v>
      </c>
      <c r="C25" s="2">
        <v>3</v>
      </c>
      <c r="D25" s="21">
        <v>4.8000000000000007</v>
      </c>
      <c r="E25" s="21">
        <v>9.24</v>
      </c>
      <c r="F25" s="3">
        <v>2.7767999999999997</v>
      </c>
      <c r="G25" s="14" t="s">
        <v>461</v>
      </c>
      <c r="H25" s="18" t="s">
        <v>70</v>
      </c>
    </row>
    <row r="26" spans="1:8" x14ac:dyDescent="0.2">
      <c r="A26" s="10">
        <v>1</v>
      </c>
      <c r="B26" s="20" t="s">
        <v>26</v>
      </c>
      <c r="C26" s="2">
        <v>1</v>
      </c>
      <c r="D26" s="21">
        <v>3</v>
      </c>
      <c r="E26" s="21">
        <v>7.5</v>
      </c>
      <c r="F26" s="3">
        <v>3.1500000000000004</v>
      </c>
      <c r="G26" s="14" t="s">
        <v>461</v>
      </c>
      <c r="H26" s="18" t="s">
        <v>70</v>
      </c>
    </row>
    <row r="27" spans="1:8" x14ac:dyDescent="0.2">
      <c r="A27" s="10">
        <v>1</v>
      </c>
      <c r="B27" s="20" t="s">
        <v>27</v>
      </c>
      <c r="C27" s="2">
        <v>2</v>
      </c>
      <c r="D27" s="21">
        <v>5</v>
      </c>
      <c r="E27" s="21">
        <v>10</v>
      </c>
      <c r="F27" s="3">
        <v>3.2</v>
      </c>
      <c r="G27" s="14" t="s">
        <v>461</v>
      </c>
      <c r="H27" s="18" t="s">
        <v>70</v>
      </c>
    </row>
    <row r="28" spans="1:8" x14ac:dyDescent="0.2">
      <c r="A28" s="10">
        <v>1</v>
      </c>
      <c r="B28" s="20" t="s">
        <v>28</v>
      </c>
      <c r="C28" s="2">
        <v>3</v>
      </c>
      <c r="D28" s="21">
        <v>1.7999999999999998</v>
      </c>
      <c r="E28" s="21">
        <v>7.02</v>
      </c>
      <c r="F28" s="3">
        <v>3.9563999999999999</v>
      </c>
      <c r="G28" s="14" t="s">
        <v>461</v>
      </c>
      <c r="H28" s="18" t="s">
        <v>70</v>
      </c>
    </row>
    <row r="29" spans="1:8" x14ac:dyDescent="0.2">
      <c r="A29" s="10">
        <v>1</v>
      </c>
      <c r="B29" s="20" t="s">
        <v>29</v>
      </c>
      <c r="C29" s="2">
        <v>1</v>
      </c>
      <c r="D29" s="21">
        <v>9</v>
      </c>
      <c r="E29" s="21">
        <v>15.93</v>
      </c>
      <c r="F29" s="3">
        <v>4.0625999999999998</v>
      </c>
      <c r="G29" s="14" t="s">
        <v>461</v>
      </c>
      <c r="H29" s="18" t="s">
        <v>70</v>
      </c>
    </row>
    <row r="30" spans="1:8" x14ac:dyDescent="0.2">
      <c r="A30" s="10">
        <v>1</v>
      </c>
      <c r="B30" s="20" t="s">
        <v>30</v>
      </c>
      <c r="C30" s="2">
        <v>2</v>
      </c>
      <c r="D30" s="21">
        <v>3</v>
      </c>
      <c r="E30" s="21">
        <v>9.98</v>
      </c>
      <c r="F30" s="3">
        <v>5.1836000000000002</v>
      </c>
      <c r="G30" s="14" t="s">
        <v>461</v>
      </c>
      <c r="H30" s="18" t="s">
        <v>70</v>
      </c>
    </row>
    <row r="31" spans="1:8" x14ac:dyDescent="0.2">
      <c r="A31" s="10">
        <v>1</v>
      </c>
      <c r="B31" s="20" t="s">
        <v>31</v>
      </c>
      <c r="C31" s="2">
        <v>1</v>
      </c>
      <c r="D31" s="21">
        <v>7</v>
      </c>
      <c r="E31" s="21">
        <v>14.99</v>
      </c>
      <c r="F31" s="3">
        <v>5.2918000000000003</v>
      </c>
      <c r="G31" s="14" t="s">
        <v>461</v>
      </c>
      <c r="H31" s="18" t="s">
        <v>70</v>
      </c>
    </row>
    <row r="32" spans="1:8" x14ac:dyDescent="0.2">
      <c r="A32" s="10">
        <v>1</v>
      </c>
      <c r="B32" s="20" t="s">
        <v>32</v>
      </c>
      <c r="C32" s="2">
        <v>2</v>
      </c>
      <c r="D32" s="21">
        <v>7</v>
      </c>
      <c r="E32" s="21">
        <v>15</v>
      </c>
      <c r="F32" s="3">
        <v>5.3000000000000007</v>
      </c>
      <c r="G32" s="14" t="s">
        <v>461</v>
      </c>
      <c r="H32" s="18" t="s">
        <v>70</v>
      </c>
    </row>
    <row r="33" spans="1:8" x14ac:dyDescent="0.2">
      <c r="A33" s="10">
        <v>1</v>
      </c>
      <c r="B33" s="20" t="s">
        <v>33</v>
      </c>
      <c r="C33" s="2">
        <v>1</v>
      </c>
      <c r="D33" s="21">
        <v>7</v>
      </c>
      <c r="E33" s="3">
        <v>16</v>
      </c>
      <c r="F33" s="3">
        <v>6.12</v>
      </c>
      <c r="G33" s="14" t="s">
        <v>461</v>
      </c>
      <c r="H33" s="18" t="s">
        <v>70</v>
      </c>
    </row>
    <row r="34" spans="1:8" x14ac:dyDescent="0.2">
      <c r="A34" s="10">
        <v>1</v>
      </c>
      <c r="B34" s="20" t="s">
        <v>34</v>
      </c>
      <c r="C34" s="2">
        <v>1</v>
      </c>
      <c r="D34" s="21">
        <v>6</v>
      </c>
      <c r="E34" s="21">
        <v>15</v>
      </c>
      <c r="F34" s="3">
        <v>6.3000000000000007</v>
      </c>
      <c r="G34" s="14" t="s">
        <v>461</v>
      </c>
      <c r="H34" s="18" t="s">
        <v>70</v>
      </c>
    </row>
    <row r="35" spans="1:8" x14ac:dyDescent="0.2">
      <c r="A35" s="10">
        <v>1</v>
      </c>
      <c r="B35" s="20" t="s">
        <v>35</v>
      </c>
      <c r="C35" s="2">
        <v>1</v>
      </c>
      <c r="D35" s="21">
        <v>12</v>
      </c>
      <c r="E35" s="21">
        <v>22.77</v>
      </c>
      <c r="F35" s="3">
        <v>6.6714000000000002</v>
      </c>
      <c r="G35" s="14" t="s">
        <v>461</v>
      </c>
      <c r="H35" s="18" t="s">
        <v>70</v>
      </c>
    </row>
    <row r="36" spans="1:8" x14ac:dyDescent="0.2">
      <c r="A36" s="10">
        <v>1</v>
      </c>
      <c r="B36" s="20" t="s">
        <v>36</v>
      </c>
      <c r="C36" s="2">
        <v>1</v>
      </c>
      <c r="D36" s="21">
        <v>10</v>
      </c>
      <c r="E36" s="21">
        <v>20.41</v>
      </c>
      <c r="F36" s="3">
        <v>6.7362000000000002</v>
      </c>
      <c r="G36" s="14" t="s">
        <v>461</v>
      </c>
      <c r="H36" s="18" t="s">
        <v>70</v>
      </c>
    </row>
    <row r="37" spans="1:8" x14ac:dyDescent="0.2">
      <c r="A37" s="10">
        <v>1</v>
      </c>
      <c r="B37" s="20" t="s">
        <v>37</v>
      </c>
      <c r="C37" s="2">
        <v>2</v>
      </c>
      <c r="D37" s="21">
        <v>12</v>
      </c>
      <c r="E37" s="21">
        <v>23.64</v>
      </c>
      <c r="F37" s="3">
        <v>7.3848000000000003</v>
      </c>
      <c r="G37" s="14" t="s">
        <v>461</v>
      </c>
      <c r="H37" s="18" t="s">
        <v>70</v>
      </c>
    </row>
    <row r="38" spans="1:8" x14ac:dyDescent="0.2">
      <c r="A38" s="10">
        <v>1</v>
      </c>
      <c r="B38" s="20" t="s">
        <v>38</v>
      </c>
      <c r="C38" s="2">
        <v>1</v>
      </c>
      <c r="D38" s="21">
        <v>9</v>
      </c>
      <c r="E38" s="21">
        <v>20</v>
      </c>
      <c r="F38" s="3">
        <v>7.4</v>
      </c>
      <c r="G38" s="14" t="s">
        <v>461</v>
      </c>
      <c r="H38" s="18" t="s">
        <v>70</v>
      </c>
    </row>
    <row r="39" spans="1:8" x14ac:dyDescent="0.2">
      <c r="A39" s="10">
        <v>1</v>
      </c>
      <c r="B39" s="20" t="s">
        <v>39</v>
      </c>
      <c r="C39" s="2">
        <v>3</v>
      </c>
      <c r="D39" s="21">
        <v>36</v>
      </c>
      <c r="E39" s="21">
        <v>55.51</v>
      </c>
      <c r="F39" s="3">
        <v>9.5181999999999984</v>
      </c>
      <c r="G39" s="14" t="s">
        <v>461</v>
      </c>
      <c r="H39" s="18" t="s">
        <v>70</v>
      </c>
    </row>
    <row r="40" spans="1:8" x14ac:dyDescent="0.2">
      <c r="A40" s="10">
        <v>1</v>
      </c>
      <c r="B40" s="20" t="s">
        <v>40</v>
      </c>
      <c r="C40" s="2">
        <v>7</v>
      </c>
      <c r="D40" s="21">
        <v>7</v>
      </c>
      <c r="E40" s="21">
        <v>20.18</v>
      </c>
      <c r="F40" s="3">
        <v>9.5475999999999992</v>
      </c>
      <c r="G40" s="14" t="s">
        <v>461</v>
      </c>
      <c r="H40" s="18" t="s">
        <v>70</v>
      </c>
    </row>
    <row r="41" spans="1:8" x14ac:dyDescent="0.2">
      <c r="A41" s="10">
        <v>1</v>
      </c>
      <c r="B41" s="20" t="s">
        <v>41</v>
      </c>
      <c r="C41" s="2">
        <v>1</v>
      </c>
      <c r="D41" s="21">
        <v>15</v>
      </c>
      <c r="E41" s="21">
        <v>30</v>
      </c>
      <c r="F41" s="3">
        <v>9.6000000000000014</v>
      </c>
      <c r="G41" s="14" t="s">
        <v>461</v>
      </c>
      <c r="H41" s="18" t="s">
        <v>70</v>
      </c>
    </row>
    <row r="42" spans="1:8" x14ac:dyDescent="0.2">
      <c r="A42" s="10">
        <v>1</v>
      </c>
      <c r="B42" s="20" t="s">
        <v>42</v>
      </c>
      <c r="C42" s="2">
        <v>2</v>
      </c>
      <c r="D42" s="21">
        <v>12</v>
      </c>
      <c r="E42" s="3">
        <v>26.42</v>
      </c>
      <c r="F42" s="3">
        <v>9.6644000000000005</v>
      </c>
      <c r="G42" s="14" t="s">
        <v>461</v>
      </c>
      <c r="H42" s="18" t="s">
        <v>70</v>
      </c>
    </row>
    <row r="43" spans="1:8" x14ac:dyDescent="0.2">
      <c r="A43" s="10">
        <v>1</v>
      </c>
      <c r="B43" s="20" t="s">
        <v>43</v>
      </c>
      <c r="C43" s="2">
        <v>5</v>
      </c>
      <c r="D43" s="21">
        <v>15</v>
      </c>
      <c r="E43" s="21">
        <v>32.479999999999997</v>
      </c>
      <c r="F43" s="3">
        <v>11.633599999999998</v>
      </c>
      <c r="G43" s="14" t="s">
        <v>461</v>
      </c>
      <c r="H43" s="18" t="s">
        <v>70</v>
      </c>
    </row>
    <row r="44" spans="1:8" x14ac:dyDescent="0.2">
      <c r="A44" s="10">
        <v>1</v>
      </c>
      <c r="B44" s="20" t="s">
        <v>44</v>
      </c>
      <c r="C44" s="2">
        <v>2</v>
      </c>
      <c r="D44" s="21">
        <v>4</v>
      </c>
      <c r="E44" s="21">
        <v>19.899999999999999</v>
      </c>
      <c r="F44" s="3">
        <v>12.318</v>
      </c>
      <c r="G44" s="14" t="s">
        <v>461</v>
      </c>
      <c r="H44" s="18" t="s">
        <v>70</v>
      </c>
    </row>
    <row r="45" spans="1:8" x14ac:dyDescent="0.2">
      <c r="A45" s="10">
        <v>1</v>
      </c>
      <c r="B45" s="20" t="s">
        <v>45</v>
      </c>
      <c r="C45" s="2">
        <v>2</v>
      </c>
      <c r="D45" s="21">
        <v>16</v>
      </c>
      <c r="E45" s="3">
        <v>35.17</v>
      </c>
      <c r="F45" s="3">
        <v>12.839400000000001</v>
      </c>
      <c r="G45" s="14" t="s">
        <v>461</v>
      </c>
      <c r="H45" s="18" t="s">
        <v>70</v>
      </c>
    </row>
    <row r="46" spans="1:8" x14ac:dyDescent="0.2">
      <c r="A46" s="10">
        <v>1</v>
      </c>
      <c r="B46" s="20" t="s">
        <v>46</v>
      </c>
      <c r="C46" s="2">
        <v>13</v>
      </c>
      <c r="D46" s="21">
        <v>18.2</v>
      </c>
      <c r="E46" s="21">
        <v>39.14</v>
      </c>
      <c r="F46" s="3">
        <v>13.894800000000002</v>
      </c>
      <c r="G46" s="14" t="s">
        <v>461</v>
      </c>
      <c r="H46" s="18" t="s">
        <v>70</v>
      </c>
    </row>
    <row r="47" spans="1:8" x14ac:dyDescent="0.2">
      <c r="A47" s="10">
        <v>1</v>
      </c>
      <c r="B47" s="20" t="s">
        <v>47</v>
      </c>
      <c r="C47" s="2">
        <v>5</v>
      </c>
      <c r="D47" s="21">
        <v>25</v>
      </c>
      <c r="E47" s="21">
        <v>48.79</v>
      </c>
      <c r="F47" s="3">
        <v>15.0078</v>
      </c>
      <c r="G47" s="14" t="s">
        <v>461</v>
      </c>
      <c r="H47" s="18" t="s">
        <v>70</v>
      </c>
    </row>
    <row r="48" spans="1:8" x14ac:dyDescent="0.2">
      <c r="A48" s="10">
        <v>1</v>
      </c>
      <c r="B48" s="20" t="s">
        <v>48</v>
      </c>
      <c r="C48" s="2">
        <v>3</v>
      </c>
      <c r="D48" s="21">
        <v>1.5</v>
      </c>
      <c r="E48" s="21">
        <v>21.19</v>
      </c>
      <c r="F48" s="3">
        <v>15.875800000000002</v>
      </c>
      <c r="G48" s="14" t="s">
        <v>461</v>
      </c>
      <c r="H48" s="18" t="s">
        <v>70</v>
      </c>
    </row>
    <row r="49" spans="1:8" x14ac:dyDescent="0.2">
      <c r="A49" s="10">
        <v>1</v>
      </c>
      <c r="B49" s="20" t="s">
        <v>49</v>
      </c>
      <c r="C49" s="2">
        <v>2</v>
      </c>
      <c r="D49" s="21">
        <v>12</v>
      </c>
      <c r="E49" s="21">
        <v>34.909999999999997</v>
      </c>
      <c r="F49" s="3">
        <v>16.626199999999997</v>
      </c>
      <c r="G49" s="14" t="s">
        <v>461</v>
      </c>
      <c r="H49" s="18" t="s">
        <v>70</v>
      </c>
    </row>
    <row r="50" spans="1:8" x14ac:dyDescent="0.2">
      <c r="A50" s="10">
        <v>1</v>
      </c>
      <c r="B50" s="20" t="s">
        <v>50</v>
      </c>
      <c r="C50" s="2">
        <v>1</v>
      </c>
      <c r="D50" s="21">
        <v>5</v>
      </c>
      <c r="E50" s="21">
        <v>26.55</v>
      </c>
      <c r="F50" s="3">
        <v>16.771000000000001</v>
      </c>
      <c r="G50" s="14" t="s">
        <v>461</v>
      </c>
      <c r="H50" s="18" t="s">
        <v>70</v>
      </c>
    </row>
    <row r="51" spans="1:8" x14ac:dyDescent="0.2">
      <c r="A51" s="10">
        <v>1</v>
      </c>
      <c r="B51" s="20" t="s">
        <v>51</v>
      </c>
      <c r="C51" s="2">
        <v>2</v>
      </c>
      <c r="D51" s="21">
        <v>16</v>
      </c>
      <c r="E51" s="21">
        <v>40</v>
      </c>
      <c r="F51" s="3">
        <v>16.8</v>
      </c>
      <c r="G51" s="14" t="s">
        <v>461</v>
      </c>
      <c r="H51" s="18" t="s">
        <v>70</v>
      </c>
    </row>
    <row r="52" spans="1:8" x14ac:dyDescent="0.2">
      <c r="A52" s="10">
        <v>1</v>
      </c>
      <c r="B52" s="20" t="s">
        <v>52</v>
      </c>
      <c r="C52" s="2">
        <v>17</v>
      </c>
      <c r="D52" s="21">
        <v>17</v>
      </c>
      <c r="E52" s="21">
        <v>41.68</v>
      </c>
      <c r="F52" s="3">
        <v>17.177599999999998</v>
      </c>
      <c r="G52" s="14" t="s">
        <v>461</v>
      </c>
      <c r="H52" s="18" t="s">
        <v>70</v>
      </c>
    </row>
    <row r="53" spans="1:8" x14ac:dyDescent="0.2">
      <c r="A53" s="10">
        <v>1</v>
      </c>
      <c r="B53" s="20" t="s">
        <v>53</v>
      </c>
      <c r="C53" s="2">
        <v>3</v>
      </c>
      <c r="D53" s="21">
        <v>18</v>
      </c>
      <c r="E53" s="21">
        <v>42.92</v>
      </c>
      <c r="F53" s="3">
        <v>17.194400000000002</v>
      </c>
      <c r="G53" s="14" t="s">
        <v>461</v>
      </c>
      <c r="H53" s="18" t="s">
        <v>70</v>
      </c>
    </row>
    <row r="54" spans="1:8" x14ac:dyDescent="0.2">
      <c r="A54" s="10">
        <v>1</v>
      </c>
      <c r="B54" s="20" t="s">
        <v>185</v>
      </c>
      <c r="C54" s="2">
        <v>9</v>
      </c>
      <c r="D54" s="21">
        <v>36</v>
      </c>
      <c r="E54" s="21">
        <v>65.3</v>
      </c>
      <c r="F54" s="3">
        <v>17.545999999999999</v>
      </c>
      <c r="G54" s="14" t="s">
        <v>461</v>
      </c>
      <c r="H54" s="18" t="s">
        <v>70</v>
      </c>
    </row>
    <row r="55" spans="1:8" x14ac:dyDescent="0.2">
      <c r="A55" s="10">
        <v>1</v>
      </c>
      <c r="B55" s="20" t="s">
        <v>54</v>
      </c>
      <c r="C55" s="2">
        <v>1</v>
      </c>
      <c r="D55" s="21">
        <v>30</v>
      </c>
      <c r="E55" s="21">
        <v>59.14</v>
      </c>
      <c r="F55" s="3">
        <v>18.494800000000001</v>
      </c>
      <c r="G55" s="14" t="s">
        <v>461</v>
      </c>
      <c r="H55" s="18" t="s">
        <v>70</v>
      </c>
    </row>
    <row r="56" spans="1:8" x14ac:dyDescent="0.2">
      <c r="A56" s="10">
        <v>1</v>
      </c>
      <c r="B56" s="20" t="s">
        <v>55</v>
      </c>
      <c r="C56" s="2">
        <v>3</v>
      </c>
      <c r="D56" s="21">
        <v>30</v>
      </c>
      <c r="E56" s="21">
        <v>60</v>
      </c>
      <c r="F56" s="3">
        <v>19.200000000000003</v>
      </c>
      <c r="G56" s="14" t="s">
        <v>461</v>
      </c>
      <c r="H56" s="18" t="s">
        <v>70</v>
      </c>
    </row>
    <row r="57" spans="1:8" x14ac:dyDescent="0.2">
      <c r="A57" s="10">
        <v>1</v>
      </c>
      <c r="B57" s="20" t="s">
        <v>56</v>
      </c>
      <c r="C57" s="2">
        <v>1</v>
      </c>
      <c r="D57" s="21">
        <v>50</v>
      </c>
      <c r="E57" s="21">
        <v>90</v>
      </c>
      <c r="F57" s="3">
        <v>23.8</v>
      </c>
      <c r="G57" s="14" t="s">
        <v>461</v>
      </c>
      <c r="H57" s="18" t="s">
        <v>70</v>
      </c>
    </row>
    <row r="58" spans="1:8" x14ac:dyDescent="0.2">
      <c r="A58" s="10">
        <v>1</v>
      </c>
      <c r="B58" s="20" t="s">
        <v>57</v>
      </c>
      <c r="C58" s="2">
        <v>2</v>
      </c>
      <c r="D58" s="21">
        <v>34</v>
      </c>
      <c r="E58" s="21">
        <v>74.489999999999995</v>
      </c>
      <c r="F58" s="3">
        <v>27.081799999999994</v>
      </c>
      <c r="G58" s="14" t="s">
        <v>461</v>
      </c>
      <c r="H58" s="18" t="s">
        <v>70</v>
      </c>
    </row>
    <row r="59" spans="1:8" x14ac:dyDescent="0.2">
      <c r="A59" s="10">
        <v>1</v>
      </c>
      <c r="B59" s="20" t="s">
        <v>58</v>
      </c>
      <c r="C59" s="2">
        <v>3</v>
      </c>
      <c r="D59" s="21">
        <v>18</v>
      </c>
      <c r="E59" s="21">
        <v>55.33</v>
      </c>
      <c r="F59" s="3">
        <v>27.3706</v>
      </c>
      <c r="G59" s="14" t="s">
        <v>461</v>
      </c>
      <c r="H59" s="18" t="s">
        <v>70</v>
      </c>
    </row>
    <row r="60" spans="1:8" x14ac:dyDescent="0.2">
      <c r="A60" s="10">
        <v>1</v>
      </c>
      <c r="B60" s="20" t="s">
        <v>59</v>
      </c>
      <c r="C60" s="2">
        <v>1</v>
      </c>
      <c r="D60" s="21">
        <v>20</v>
      </c>
      <c r="E60" s="3">
        <v>60.42</v>
      </c>
      <c r="F60" s="3">
        <v>29.544400000000003</v>
      </c>
      <c r="G60" s="14" t="s">
        <v>461</v>
      </c>
      <c r="H60" s="18" t="s">
        <v>70</v>
      </c>
    </row>
    <row r="61" spans="1:8" x14ac:dyDescent="0.2">
      <c r="A61" s="10">
        <v>1</v>
      </c>
      <c r="B61" s="20" t="s">
        <v>60</v>
      </c>
      <c r="C61" s="2">
        <v>8</v>
      </c>
      <c r="D61" s="21">
        <v>24</v>
      </c>
      <c r="E61" s="21">
        <v>80.040000000000006</v>
      </c>
      <c r="F61" s="3">
        <v>41.632800000000003</v>
      </c>
      <c r="G61" s="14" t="s">
        <v>461</v>
      </c>
      <c r="H61" s="18" t="s">
        <v>70</v>
      </c>
    </row>
    <row r="62" spans="1:8" x14ac:dyDescent="0.2">
      <c r="A62" s="10">
        <v>1</v>
      </c>
      <c r="B62" s="20" t="s">
        <v>61</v>
      </c>
      <c r="C62" s="2">
        <v>2</v>
      </c>
      <c r="D62" s="21">
        <v>14</v>
      </c>
      <c r="E62" s="3">
        <v>69.510000000000005</v>
      </c>
      <c r="F62" s="3">
        <v>42.998200000000004</v>
      </c>
      <c r="G62" s="14" t="s">
        <v>461</v>
      </c>
      <c r="H62" s="18" t="s">
        <v>70</v>
      </c>
    </row>
    <row r="63" spans="1:8" x14ac:dyDescent="0.2">
      <c r="A63" s="10">
        <v>1</v>
      </c>
      <c r="B63" s="20" t="s">
        <v>62</v>
      </c>
      <c r="C63" s="2">
        <v>23</v>
      </c>
      <c r="D63" s="21">
        <v>80.5</v>
      </c>
      <c r="E63" s="21">
        <v>172.97</v>
      </c>
      <c r="F63" s="3">
        <v>61.3354</v>
      </c>
      <c r="G63" s="14" t="s">
        <v>461</v>
      </c>
      <c r="H63" s="18" t="s">
        <v>70</v>
      </c>
    </row>
    <row r="64" spans="1:8" x14ac:dyDescent="0.2">
      <c r="A64" s="10">
        <v>1</v>
      </c>
      <c r="B64" s="20" t="s">
        <v>63</v>
      </c>
      <c r="C64" s="2">
        <v>5</v>
      </c>
      <c r="D64" s="21">
        <v>125</v>
      </c>
      <c r="E64" s="21">
        <v>242.7</v>
      </c>
      <c r="F64" s="3">
        <v>74.013999999999996</v>
      </c>
      <c r="G64" s="14" t="s">
        <v>461</v>
      </c>
      <c r="H64" s="18" t="s">
        <v>70</v>
      </c>
    </row>
    <row r="65" spans="1:8" x14ac:dyDescent="0.2">
      <c r="A65" s="10">
        <v>1</v>
      </c>
      <c r="B65" s="20" t="s">
        <v>64</v>
      </c>
      <c r="C65" s="2">
        <v>11</v>
      </c>
      <c r="D65" s="21">
        <v>71.5</v>
      </c>
      <c r="E65" s="21">
        <v>190.9</v>
      </c>
      <c r="F65" s="3">
        <v>85.038000000000011</v>
      </c>
      <c r="G65" s="14" t="s">
        <v>461</v>
      </c>
      <c r="H65" s="18" t="s">
        <v>70</v>
      </c>
    </row>
    <row r="66" spans="1:8" x14ac:dyDescent="0.2">
      <c r="A66" s="10">
        <v>1</v>
      </c>
      <c r="B66" s="20" t="s">
        <v>65</v>
      </c>
      <c r="C66" s="2">
        <v>11</v>
      </c>
      <c r="D66" s="21">
        <v>110</v>
      </c>
      <c r="E66" s="21">
        <v>289.36</v>
      </c>
      <c r="F66" s="3">
        <v>127.27520000000001</v>
      </c>
      <c r="G66" s="14" t="s">
        <v>461</v>
      </c>
      <c r="H66" s="18" t="s">
        <v>70</v>
      </c>
    </row>
    <row r="67" spans="1:8" x14ac:dyDescent="0.2">
      <c r="A67" s="10">
        <v>1</v>
      </c>
      <c r="B67" s="20" t="s">
        <v>66</v>
      </c>
      <c r="C67" s="2">
        <v>24</v>
      </c>
      <c r="D67" s="21">
        <v>168</v>
      </c>
      <c r="E67" s="21">
        <v>426.22</v>
      </c>
      <c r="F67" s="3">
        <v>181.50040000000001</v>
      </c>
      <c r="G67" s="14" t="s">
        <v>461</v>
      </c>
      <c r="H67" s="18" t="s">
        <v>70</v>
      </c>
    </row>
    <row r="68" spans="1:8" x14ac:dyDescent="0.2">
      <c r="A68" s="10">
        <v>1</v>
      </c>
      <c r="B68" s="20" t="s">
        <v>67</v>
      </c>
      <c r="C68" s="2">
        <v>12</v>
      </c>
      <c r="D68" s="21">
        <v>456</v>
      </c>
      <c r="E68" s="21">
        <v>833.04</v>
      </c>
      <c r="F68" s="3">
        <v>227.09279999999998</v>
      </c>
      <c r="G68" s="14" t="s">
        <v>461</v>
      </c>
      <c r="H68" s="18" t="s">
        <v>70</v>
      </c>
    </row>
    <row r="69" spans="1:8" x14ac:dyDescent="0.2">
      <c r="A69" s="10">
        <v>1</v>
      </c>
      <c r="B69" s="20" t="s">
        <v>68</v>
      </c>
      <c r="C69" s="2">
        <v>30</v>
      </c>
      <c r="D69" s="21">
        <v>165</v>
      </c>
      <c r="E69" s="21">
        <v>633.63</v>
      </c>
      <c r="F69" s="3">
        <v>354.57659999999998</v>
      </c>
      <c r="G69" s="14" t="s">
        <v>461</v>
      </c>
      <c r="H69" s="18" t="s">
        <v>70</v>
      </c>
    </row>
    <row r="70" spans="1:8" x14ac:dyDescent="0.2">
      <c r="A70" s="10">
        <v>1</v>
      </c>
      <c r="B70" s="20" t="s">
        <v>189</v>
      </c>
      <c r="C70" s="2">
        <v>426</v>
      </c>
      <c r="D70" s="21">
        <v>426</v>
      </c>
      <c r="E70" s="21">
        <v>1580.15</v>
      </c>
      <c r="F70" s="3">
        <v>1295.723</v>
      </c>
      <c r="G70" s="14" t="s">
        <v>461</v>
      </c>
      <c r="H70" s="18" t="s">
        <v>70</v>
      </c>
    </row>
    <row r="71" spans="1:8" x14ac:dyDescent="0.2">
      <c r="A71" s="10">
        <v>1</v>
      </c>
      <c r="B71" s="20" t="s">
        <v>167</v>
      </c>
      <c r="C71" s="2">
        <v>45</v>
      </c>
      <c r="D71" s="21">
        <v>1800</v>
      </c>
      <c r="E71" s="21">
        <v>3059.27</v>
      </c>
      <c r="F71" s="3">
        <v>2508.6014</v>
      </c>
      <c r="G71" s="14" t="s">
        <v>461</v>
      </c>
      <c r="H71" s="18" t="s">
        <v>70</v>
      </c>
    </row>
    <row r="72" spans="1:8" x14ac:dyDescent="0.2">
      <c r="A72" s="10">
        <v>2</v>
      </c>
      <c r="B72" s="15" t="s">
        <v>71</v>
      </c>
      <c r="C72" s="14">
        <v>6</v>
      </c>
      <c r="D72" s="13">
        <f>6*18</f>
        <v>108</v>
      </c>
      <c r="E72" s="13">
        <v>210</v>
      </c>
      <c r="F72" s="13">
        <f t="shared" ref="F72:F86" si="2">E72-D72</f>
        <v>102</v>
      </c>
      <c r="G72" s="14" t="s">
        <v>461</v>
      </c>
      <c r="H72" s="18" t="s">
        <v>460</v>
      </c>
    </row>
    <row r="73" spans="1:8" x14ac:dyDescent="0.2">
      <c r="A73" s="10">
        <v>2</v>
      </c>
      <c r="B73" s="1" t="s">
        <v>72</v>
      </c>
      <c r="C73" s="14">
        <v>1</v>
      </c>
      <c r="D73" s="13">
        <v>4.5</v>
      </c>
      <c r="E73" s="22">
        <v>10</v>
      </c>
      <c r="F73" s="13">
        <f t="shared" si="2"/>
        <v>5.5</v>
      </c>
      <c r="G73" s="14" t="s">
        <v>461</v>
      </c>
      <c r="H73" s="18" t="s">
        <v>460</v>
      </c>
    </row>
    <row r="74" spans="1:8" x14ac:dyDescent="0.2">
      <c r="A74" s="10">
        <v>2</v>
      </c>
      <c r="B74" s="1" t="s">
        <v>73</v>
      </c>
      <c r="C74" s="14">
        <v>1</v>
      </c>
      <c r="D74" s="13">
        <v>165</v>
      </c>
      <c r="E74" s="22">
        <v>250</v>
      </c>
      <c r="F74" s="13">
        <f t="shared" si="2"/>
        <v>85</v>
      </c>
      <c r="G74" s="14" t="s">
        <v>461</v>
      </c>
      <c r="H74" s="18" t="s">
        <v>460</v>
      </c>
    </row>
    <row r="75" spans="1:8" x14ac:dyDescent="0.2">
      <c r="A75" s="10">
        <v>2</v>
      </c>
      <c r="B75" s="16" t="s">
        <v>74</v>
      </c>
      <c r="C75" s="12">
        <v>1</v>
      </c>
      <c r="D75" s="13">
        <v>55</v>
      </c>
      <c r="E75" s="13">
        <v>80</v>
      </c>
      <c r="F75" s="13">
        <f t="shared" si="2"/>
        <v>25</v>
      </c>
      <c r="G75" s="14" t="s">
        <v>461</v>
      </c>
      <c r="H75" s="18" t="s">
        <v>460</v>
      </c>
    </row>
    <row r="76" spans="1:8" x14ac:dyDescent="0.2">
      <c r="A76" s="10">
        <v>2</v>
      </c>
      <c r="B76" s="16" t="s">
        <v>151</v>
      </c>
      <c r="C76" s="12">
        <v>1</v>
      </c>
      <c r="D76" s="13">
        <v>70</v>
      </c>
      <c r="E76" s="13">
        <v>125</v>
      </c>
      <c r="F76" s="13">
        <f t="shared" si="2"/>
        <v>55</v>
      </c>
      <c r="G76" s="14" t="s">
        <v>461</v>
      </c>
      <c r="H76" s="18" t="s">
        <v>460</v>
      </c>
    </row>
    <row r="77" spans="1:8" x14ac:dyDescent="0.2">
      <c r="A77" s="10">
        <v>2</v>
      </c>
      <c r="B77" s="16" t="s">
        <v>151</v>
      </c>
      <c r="C77" s="12">
        <v>1</v>
      </c>
      <c r="D77" s="13">
        <v>70</v>
      </c>
      <c r="E77" s="13">
        <v>125</v>
      </c>
      <c r="F77" s="13">
        <f t="shared" si="2"/>
        <v>55</v>
      </c>
      <c r="G77" s="14" t="s">
        <v>461</v>
      </c>
      <c r="H77" s="18" t="s">
        <v>460</v>
      </c>
    </row>
    <row r="78" spans="1:8" x14ac:dyDescent="0.2">
      <c r="A78" s="10">
        <v>2</v>
      </c>
      <c r="B78" s="16" t="s">
        <v>75</v>
      </c>
      <c r="C78" s="12">
        <v>1</v>
      </c>
      <c r="D78" s="13">
        <v>35</v>
      </c>
      <c r="E78" s="13">
        <v>60</v>
      </c>
      <c r="F78" s="13">
        <f t="shared" si="2"/>
        <v>25</v>
      </c>
      <c r="G78" s="14" t="s">
        <v>461</v>
      </c>
      <c r="H78" s="18" t="s">
        <v>460</v>
      </c>
    </row>
    <row r="79" spans="1:8" x14ac:dyDescent="0.2">
      <c r="A79" s="10">
        <v>2</v>
      </c>
      <c r="B79" s="16" t="s">
        <v>76</v>
      </c>
      <c r="C79" s="12">
        <v>1</v>
      </c>
      <c r="D79" s="13">
        <v>9</v>
      </c>
      <c r="E79" s="13">
        <v>30</v>
      </c>
      <c r="F79" s="13">
        <f t="shared" si="2"/>
        <v>21</v>
      </c>
      <c r="G79" s="14" t="s">
        <v>461</v>
      </c>
      <c r="H79" s="18" t="s">
        <v>460</v>
      </c>
    </row>
    <row r="80" spans="1:8" x14ac:dyDescent="0.2">
      <c r="A80" s="10">
        <v>2</v>
      </c>
      <c r="B80" s="16" t="s">
        <v>77</v>
      </c>
      <c r="C80" s="12">
        <v>1</v>
      </c>
      <c r="D80" s="13">
        <v>0</v>
      </c>
      <c r="E80" s="13">
        <v>20</v>
      </c>
      <c r="F80" s="13">
        <f t="shared" si="2"/>
        <v>20</v>
      </c>
      <c r="G80" s="14" t="s">
        <v>461</v>
      </c>
      <c r="H80" s="18" t="s">
        <v>460</v>
      </c>
    </row>
    <row r="81" spans="1:8" x14ac:dyDescent="0.2">
      <c r="A81" s="10">
        <v>2</v>
      </c>
      <c r="B81" s="16" t="s">
        <v>17</v>
      </c>
      <c r="C81" s="12">
        <v>1</v>
      </c>
      <c r="D81" s="13">
        <v>0</v>
      </c>
      <c r="E81" s="13">
        <v>60</v>
      </c>
      <c r="F81" s="13">
        <f t="shared" si="2"/>
        <v>60</v>
      </c>
      <c r="G81" s="14" t="s">
        <v>461</v>
      </c>
      <c r="H81" s="18" t="s">
        <v>460</v>
      </c>
    </row>
    <row r="82" spans="1:8" x14ac:dyDescent="0.2">
      <c r="A82" s="10">
        <v>2</v>
      </c>
      <c r="B82" s="16" t="s">
        <v>78</v>
      </c>
      <c r="C82" s="12">
        <v>1</v>
      </c>
      <c r="D82" s="13">
        <v>1380</v>
      </c>
      <c r="E82" s="13">
        <v>1600</v>
      </c>
      <c r="F82" s="13">
        <f t="shared" si="2"/>
        <v>220</v>
      </c>
      <c r="G82" s="14" t="s">
        <v>461</v>
      </c>
      <c r="H82" s="18" t="s">
        <v>460</v>
      </c>
    </row>
    <row r="83" spans="1:8" collapsed="1" x14ac:dyDescent="0.2">
      <c r="A83" s="10">
        <v>2</v>
      </c>
      <c r="B83" s="15" t="s">
        <v>79</v>
      </c>
      <c r="C83" s="14">
        <v>1</v>
      </c>
      <c r="D83" s="13">
        <v>25</v>
      </c>
      <c r="E83" s="13">
        <v>70</v>
      </c>
      <c r="F83" s="13">
        <f t="shared" si="2"/>
        <v>45</v>
      </c>
      <c r="G83" s="14" t="s">
        <v>461</v>
      </c>
      <c r="H83" s="18" t="s">
        <v>460</v>
      </c>
    </row>
    <row r="84" spans="1:8" x14ac:dyDescent="0.2">
      <c r="A84" s="10">
        <v>2</v>
      </c>
      <c r="B84" s="15" t="s">
        <v>80</v>
      </c>
      <c r="C84" s="14">
        <v>1</v>
      </c>
      <c r="D84" s="13">
        <v>25</v>
      </c>
      <c r="E84" s="13">
        <v>80</v>
      </c>
      <c r="F84" s="13">
        <f t="shared" si="2"/>
        <v>55</v>
      </c>
      <c r="G84" s="14" t="s">
        <v>461</v>
      </c>
      <c r="H84" s="18" t="s">
        <v>460</v>
      </c>
    </row>
    <row r="85" spans="1:8" x14ac:dyDescent="0.2">
      <c r="A85" s="10">
        <v>2</v>
      </c>
      <c r="B85" s="15" t="s">
        <v>81</v>
      </c>
      <c r="C85" s="14">
        <v>1</v>
      </c>
      <c r="D85" s="13">
        <v>21</v>
      </c>
      <c r="E85" s="13">
        <v>40</v>
      </c>
      <c r="F85" s="13">
        <f t="shared" si="2"/>
        <v>19</v>
      </c>
      <c r="G85" s="14" t="s">
        <v>461</v>
      </c>
      <c r="H85" s="18" t="s">
        <v>460</v>
      </c>
    </row>
    <row r="86" spans="1:8" x14ac:dyDescent="0.2">
      <c r="A86" s="10">
        <v>2</v>
      </c>
      <c r="B86" s="15" t="s">
        <v>82</v>
      </c>
      <c r="C86" s="14">
        <v>1</v>
      </c>
      <c r="D86" s="13">
        <v>15</v>
      </c>
      <c r="E86" s="13">
        <v>30</v>
      </c>
      <c r="F86" s="13">
        <f t="shared" si="2"/>
        <v>15</v>
      </c>
      <c r="G86" s="14" t="s">
        <v>461</v>
      </c>
      <c r="H86" s="18" t="s">
        <v>460</v>
      </c>
    </row>
    <row r="87" spans="1:8" x14ac:dyDescent="0.2">
      <c r="A87" s="10">
        <v>2</v>
      </c>
      <c r="B87" s="15" t="s">
        <v>91</v>
      </c>
      <c r="C87" s="14">
        <v>3</v>
      </c>
      <c r="D87" s="13">
        <f>85*3</f>
        <v>255</v>
      </c>
      <c r="E87" s="13">
        <v>380</v>
      </c>
      <c r="F87" s="13">
        <f>E87-D87</f>
        <v>125</v>
      </c>
      <c r="G87" s="14" t="s">
        <v>461</v>
      </c>
      <c r="H87" s="18" t="s">
        <v>460</v>
      </c>
    </row>
    <row r="88" spans="1:8" x14ac:dyDescent="0.2">
      <c r="A88" s="10">
        <v>2</v>
      </c>
      <c r="B88" s="15" t="s">
        <v>64</v>
      </c>
      <c r="C88" s="17">
        <v>6</v>
      </c>
      <c r="D88" s="3">
        <v>36</v>
      </c>
      <c r="E88" s="3">
        <v>90</v>
      </c>
      <c r="F88" s="13">
        <v>68.88</v>
      </c>
      <c r="G88" s="14" t="s">
        <v>461</v>
      </c>
      <c r="H88" s="18" t="s">
        <v>70</v>
      </c>
    </row>
    <row r="89" spans="1:8" x14ac:dyDescent="0.2">
      <c r="A89" s="10">
        <v>2</v>
      </c>
      <c r="B89" s="15" t="s">
        <v>21</v>
      </c>
      <c r="C89" s="17">
        <v>1</v>
      </c>
      <c r="D89" s="3">
        <v>7</v>
      </c>
      <c r="E89" s="3">
        <v>13.72</v>
      </c>
      <c r="F89" s="13">
        <v>5.5103999999999997</v>
      </c>
      <c r="G89" s="14" t="s">
        <v>461</v>
      </c>
      <c r="H89" s="18" t="s">
        <v>70</v>
      </c>
    </row>
    <row r="90" spans="1:8" x14ac:dyDescent="0.2">
      <c r="A90" s="10">
        <v>2</v>
      </c>
      <c r="B90" s="15" t="s">
        <v>62</v>
      </c>
      <c r="C90" s="17">
        <v>7</v>
      </c>
      <c r="D90" s="3">
        <v>21</v>
      </c>
      <c r="E90" s="3">
        <v>260.77999999999997</v>
      </c>
      <c r="F90" s="13">
        <v>211.37959999999998</v>
      </c>
      <c r="G90" s="14" t="s">
        <v>461</v>
      </c>
      <c r="H90" s="18" t="s">
        <v>70</v>
      </c>
    </row>
    <row r="91" spans="1:8" x14ac:dyDescent="0.2">
      <c r="A91" s="10">
        <v>2</v>
      </c>
      <c r="B91" s="15" t="s">
        <v>67</v>
      </c>
      <c r="C91" s="17">
        <v>3</v>
      </c>
      <c r="D91" s="3">
        <v>114</v>
      </c>
      <c r="E91" s="3">
        <v>205.57</v>
      </c>
      <c r="F91" s="13">
        <v>137.4074</v>
      </c>
      <c r="G91" s="14" t="s">
        <v>461</v>
      </c>
      <c r="H91" s="18" t="s">
        <v>70</v>
      </c>
    </row>
    <row r="92" spans="1:8" x14ac:dyDescent="0.2">
      <c r="A92" s="10">
        <v>2</v>
      </c>
      <c r="B92" s="15" t="s">
        <v>43</v>
      </c>
      <c r="C92" s="17">
        <v>2</v>
      </c>
      <c r="D92" s="3">
        <v>6</v>
      </c>
      <c r="E92" s="3">
        <v>20.83</v>
      </c>
      <c r="F92" s="13">
        <v>14.6206</v>
      </c>
      <c r="G92" s="14" t="s">
        <v>461</v>
      </c>
      <c r="H92" s="18" t="s">
        <v>70</v>
      </c>
    </row>
    <row r="93" spans="1:8" x14ac:dyDescent="0.2">
      <c r="A93" s="10">
        <v>2</v>
      </c>
      <c r="B93" s="15" t="s">
        <v>28</v>
      </c>
      <c r="C93" s="17">
        <v>2</v>
      </c>
      <c r="D93" s="3">
        <v>2</v>
      </c>
      <c r="E93" s="3">
        <v>4.5</v>
      </c>
      <c r="F93" s="13">
        <v>2.87</v>
      </c>
      <c r="G93" s="14" t="s">
        <v>461</v>
      </c>
      <c r="H93" s="18" t="s">
        <v>70</v>
      </c>
    </row>
    <row r="94" spans="1:8" x14ac:dyDescent="0.2">
      <c r="A94" s="10">
        <v>2</v>
      </c>
      <c r="B94" s="15" t="s">
        <v>174</v>
      </c>
      <c r="C94" s="17">
        <v>1</v>
      </c>
      <c r="D94" s="3">
        <v>40</v>
      </c>
      <c r="E94" s="3">
        <v>57.26</v>
      </c>
      <c r="F94" s="13">
        <v>14.153199999999998</v>
      </c>
      <c r="G94" s="14" t="s">
        <v>461</v>
      </c>
      <c r="H94" s="18" t="s">
        <v>70</v>
      </c>
    </row>
    <row r="95" spans="1:8" x14ac:dyDescent="0.2">
      <c r="A95" s="10">
        <v>2</v>
      </c>
      <c r="B95" s="15" t="s">
        <v>40</v>
      </c>
      <c r="C95" s="17">
        <v>5</v>
      </c>
      <c r="D95" s="3">
        <v>5</v>
      </c>
      <c r="E95" s="3">
        <v>11.25</v>
      </c>
      <c r="F95" s="13">
        <v>8.4049999999999994</v>
      </c>
      <c r="G95" s="14" t="s">
        <v>461</v>
      </c>
      <c r="H95" s="18" t="s">
        <v>70</v>
      </c>
    </row>
    <row r="96" spans="1:8" x14ac:dyDescent="0.2">
      <c r="A96" s="10">
        <v>2</v>
      </c>
      <c r="B96" s="15" t="s">
        <v>83</v>
      </c>
      <c r="C96" s="17">
        <v>2</v>
      </c>
      <c r="D96" s="3">
        <v>24</v>
      </c>
      <c r="E96" s="3">
        <v>81.89</v>
      </c>
      <c r="F96" s="13">
        <v>57.309800000000003</v>
      </c>
      <c r="G96" s="14" t="s">
        <v>461</v>
      </c>
      <c r="H96" s="18" t="s">
        <v>70</v>
      </c>
    </row>
    <row r="97" spans="1:8" x14ac:dyDescent="0.2">
      <c r="A97" s="10">
        <v>2</v>
      </c>
      <c r="B97" s="15" t="s">
        <v>58</v>
      </c>
      <c r="C97" s="17">
        <v>1</v>
      </c>
      <c r="D97" s="3">
        <v>6</v>
      </c>
      <c r="E97" s="3">
        <v>20</v>
      </c>
      <c r="F97" s="13">
        <v>11.48</v>
      </c>
      <c r="G97" s="14" t="s">
        <v>461</v>
      </c>
      <c r="H97" s="18" t="s">
        <v>70</v>
      </c>
    </row>
    <row r="98" spans="1:8" x14ac:dyDescent="0.2">
      <c r="A98" s="10">
        <v>2</v>
      </c>
      <c r="B98" s="15" t="s">
        <v>48</v>
      </c>
      <c r="C98" s="17">
        <v>2</v>
      </c>
      <c r="D98" s="3">
        <v>1</v>
      </c>
      <c r="E98" s="3">
        <v>21.34</v>
      </c>
      <c r="F98" s="13">
        <v>17.088799999999999</v>
      </c>
      <c r="G98" s="14" t="s">
        <v>461</v>
      </c>
      <c r="H98" s="18" t="s">
        <v>70</v>
      </c>
    </row>
    <row r="99" spans="1:8" x14ac:dyDescent="0.2">
      <c r="A99" s="10">
        <v>2</v>
      </c>
      <c r="B99" s="15" t="s">
        <v>25</v>
      </c>
      <c r="C99" s="17">
        <v>1</v>
      </c>
      <c r="D99" s="3">
        <v>1.6</v>
      </c>
      <c r="E99" s="3">
        <v>6.6</v>
      </c>
      <c r="F99" s="13">
        <v>4.0999999999999996</v>
      </c>
      <c r="G99" s="14" t="s">
        <v>461</v>
      </c>
      <c r="H99" s="18" t="s">
        <v>70</v>
      </c>
    </row>
    <row r="100" spans="1:8" x14ac:dyDescent="0.2">
      <c r="A100" s="10">
        <v>2</v>
      </c>
      <c r="B100" s="15" t="s">
        <v>175</v>
      </c>
      <c r="C100" s="17">
        <v>2</v>
      </c>
      <c r="D100" s="3">
        <v>24</v>
      </c>
      <c r="E100" s="3">
        <v>69.7</v>
      </c>
      <c r="F100" s="13">
        <v>47.314</v>
      </c>
      <c r="G100" s="14" t="s">
        <v>461</v>
      </c>
      <c r="H100" s="18" t="s">
        <v>70</v>
      </c>
    </row>
    <row r="101" spans="1:8" x14ac:dyDescent="0.2">
      <c r="A101" s="10">
        <v>2</v>
      </c>
      <c r="B101" s="15" t="s">
        <v>166</v>
      </c>
      <c r="C101" s="17">
        <v>2</v>
      </c>
      <c r="D101" s="3">
        <v>70</v>
      </c>
      <c r="E101" s="3">
        <v>130.34</v>
      </c>
      <c r="F101" s="13">
        <v>78.178799999999995</v>
      </c>
      <c r="G101" s="14" t="s">
        <v>461</v>
      </c>
      <c r="H101" s="18" t="s">
        <v>70</v>
      </c>
    </row>
    <row r="102" spans="1:8" x14ac:dyDescent="0.2">
      <c r="A102" s="10">
        <v>2</v>
      </c>
      <c r="B102" s="15" t="s">
        <v>42</v>
      </c>
      <c r="C102" s="17">
        <v>1</v>
      </c>
      <c r="D102" s="3">
        <v>6</v>
      </c>
      <c r="E102" s="3">
        <v>10</v>
      </c>
      <c r="F102" s="13">
        <v>3.2800000000000002</v>
      </c>
      <c r="G102" s="14" t="s">
        <v>461</v>
      </c>
      <c r="H102" s="18" t="s">
        <v>70</v>
      </c>
    </row>
    <row r="103" spans="1:8" x14ac:dyDescent="0.2">
      <c r="A103" s="10">
        <v>2</v>
      </c>
      <c r="B103" s="15" t="s">
        <v>176</v>
      </c>
      <c r="C103" s="17">
        <v>1</v>
      </c>
      <c r="D103" s="3">
        <v>2</v>
      </c>
      <c r="E103" s="3">
        <v>14.07</v>
      </c>
      <c r="F103" s="13">
        <v>9.8974000000000011</v>
      </c>
      <c r="G103" s="14" t="s">
        <v>461</v>
      </c>
      <c r="H103" s="18" t="s">
        <v>70</v>
      </c>
    </row>
    <row r="104" spans="1:8" x14ac:dyDescent="0.2">
      <c r="A104" s="10">
        <v>2</v>
      </c>
      <c r="B104" s="15" t="s">
        <v>177</v>
      </c>
      <c r="C104" s="17">
        <v>1</v>
      </c>
      <c r="D104" s="3">
        <v>6</v>
      </c>
      <c r="E104" s="3">
        <v>12</v>
      </c>
      <c r="F104" s="13">
        <v>4.92</v>
      </c>
      <c r="G104" s="14" t="s">
        <v>461</v>
      </c>
      <c r="H104" s="18" t="s">
        <v>70</v>
      </c>
    </row>
    <row r="105" spans="1:8" x14ac:dyDescent="0.2">
      <c r="A105" s="10">
        <v>2</v>
      </c>
      <c r="B105" s="15" t="s">
        <v>84</v>
      </c>
      <c r="C105" s="17">
        <v>1</v>
      </c>
      <c r="D105" s="3">
        <v>2</v>
      </c>
      <c r="E105" s="3">
        <v>5.47</v>
      </c>
      <c r="F105" s="13">
        <v>2.8453999999999997</v>
      </c>
      <c r="G105" s="14" t="s">
        <v>461</v>
      </c>
      <c r="H105" s="18" t="s">
        <v>70</v>
      </c>
    </row>
    <row r="106" spans="1:8" x14ac:dyDescent="0.2">
      <c r="A106" s="10">
        <v>2</v>
      </c>
      <c r="B106" s="15" t="s">
        <v>178</v>
      </c>
      <c r="C106" s="17">
        <v>1</v>
      </c>
      <c r="D106" s="3">
        <v>15</v>
      </c>
      <c r="E106" s="3">
        <v>54.85</v>
      </c>
      <c r="F106" s="13">
        <v>32.677</v>
      </c>
      <c r="G106" s="14" t="s">
        <v>461</v>
      </c>
      <c r="H106" s="18" t="s">
        <v>70</v>
      </c>
    </row>
    <row r="107" spans="1:8" x14ac:dyDescent="0.2">
      <c r="A107" s="10">
        <v>2</v>
      </c>
      <c r="B107" s="15" t="s">
        <v>53</v>
      </c>
      <c r="C107" s="17">
        <v>1</v>
      </c>
      <c r="D107" s="3">
        <v>6</v>
      </c>
      <c r="E107" s="3">
        <v>18.54</v>
      </c>
      <c r="F107" s="13">
        <v>10.2828</v>
      </c>
      <c r="G107" s="14" t="s">
        <v>461</v>
      </c>
      <c r="H107" s="18" t="s">
        <v>70</v>
      </c>
    </row>
    <row r="108" spans="1:8" x14ac:dyDescent="0.2">
      <c r="A108" s="10">
        <v>2</v>
      </c>
      <c r="B108" s="15" t="s">
        <v>179</v>
      </c>
      <c r="C108" s="17">
        <v>2</v>
      </c>
      <c r="D108" s="3">
        <v>10</v>
      </c>
      <c r="E108" s="3">
        <v>27.5</v>
      </c>
      <c r="F108" s="13">
        <v>18.45</v>
      </c>
      <c r="G108" s="14" t="s">
        <v>461</v>
      </c>
      <c r="H108" s="18" t="s">
        <v>70</v>
      </c>
    </row>
    <row r="109" spans="1:8" x14ac:dyDescent="0.2">
      <c r="A109" s="10">
        <v>2</v>
      </c>
      <c r="B109" s="15" t="s">
        <v>85</v>
      </c>
      <c r="C109" s="17">
        <v>1</v>
      </c>
      <c r="D109" s="3">
        <v>6</v>
      </c>
      <c r="E109" s="3">
        <v>20</v>
      </c>
      <c r="F109" s="13">
        <v>11.48</v>
      </c>
      <c r="G109" s="14" t="s">
        <v>461</v>
      </c>
      <c r="H109" s="18" t="s">
        <v>70</v>
      </c>
    </row>
    <row r="110" spans="1:8" x14ac:dyDescent="0.2">
      <c r="A110" s="10">
        <v>2</v>
      </c>
      <c r="B110" s="15" t="s">
        <v>191</v>
      </c>
      <c r="C110" s="17">
        <v>58</v>
      </c>
      <c r="D110" s="3">
        <v>304</v>
      </c>
      <c r="E110" s="3">
        <v>4184.5199999999995</v>
      </c>
      <c r="F110" s="13">
        <v>3395.2264</v>
      </c>
      <c r="G110" s="14" t="s">
        <v>461</v>
      </c>
      <c r="H110" s="18" t="s">
        <v>70</v>
      </c>
    </row>
    <row r="111" spans="1:8" x14ac:dyDescent="0.2">
      <c r="A111" s="10">
        <v>2</v>
      </c>
      <c r="B111" s="15" t="s">
        <v>31</v>
      </c>
      <c r="C111" s="17">
        <v>1</v>
      </c>
      <c r="D111" s="3">
        <v>7</v>
      </c>
      <c r="E111" s="3">
        <v>11.82</v>
      </c>
      <c r="F111" s="13">
        <v>3.9524000000000004</v>
      </c>
      <c r="G111" s="14" t="s">
        <v>461</v>
      </c>
      <c r="H111" s="18" t="s">
        <v>70</v>
      </c>
    </row>
    <row r="112" spans="1:8" x14ac:dyDescent="0.2">
      <c r="A112" s="10">
        <v>2</v>
      </c>
      <c r="B112" s="15" t="s">
        <v>180</v>
      </c>
      <c r="C112" s="17">
        <v>1</v>
      </c>
      <c r="D112" s="3">
        <v>4</v>
      </c>
      <c r="E112" s="3">
        <v>11.34</v>
      </c>
      <c r="F112" s="13">
        <v>6.0187999999999997</v>
      </c>
      <c r="G112" s="14" t="s">
        <v>461</v>
      </c>
      <c r="H112" s="18" t="s">
        <v>70</v>
      </c>
    </row>
    <row r="113" spans="1:8" x14ac:dyDescent="0.2">
      <c r="A113" s="10">
        <v>2</v>
      </c>
      <c r="B113" s="15" t="s">
        <v>181</v>
      </c>
      <c r="C113" s="17">
        <v>2</v>
      </c>
      <c r="D113" s="3">
        <v>30</v>
      </c>
      <c r="E113" s="3">
        <v>55.56</v>
      </c>
      <c r="F113" s="13">
        <v>33.2592</v>
      </c>
      <c r="G113" s="14" t="s">
        <v>461</v>
      </c>
      <c r="H113" s="18" t="s">
        <v>70</v>
      </c>
    </row>
    <row r="114" spans="1:8" x14ac:dyDescent="0.2">
      <c r="A114" s="10">
        <v>2</v>
      </c>
      <c r="B114" s="15" t="s">
        <v>182</v>
      </c>
      <c r="C114" s="17">
        <v>1</v>
      </c>
      <c r="D114" s="3">
        <v>2</v>
      </c>
      <c r="E114" s="3">
        <v>4.54</v>
      </c>
      <c r="F114" s="13">
        <v>2.0828000000000002</v>
      </c>
      <c r="G114" s="14" t="s">
        <v>461</v>
      </c>
      <c r="H114" s="18" t="s">
        <v>70</v>
      </c>
    </row>
    <row r="115" spans="1:8" x14ac:dyDescent="0.2">
      <c r="A115" s="10">
        <v>2</v>
      </c>
      <c r="B115" s="15" t="s">
        <v>183</v>
      </c>
      <c r="C115" s="17">
        <v>5</v>
      </c>
      <c r="D115" s="3">
        <v>125</v>
      </c>
      <c r="E115" s="3">
        <v>117.88</v>
      </c>
      <c r="F115" s="13">
        <v>76.161599999999993</v>
      </c>
      <c r="G115" s="14" t="s">
        <v>461</v>
      </c>
      <c r="H115" s="18" t="s">
        <v>70</v>
      </c>
    </row>
    <row r="116" spans="1:8" x14ac:dyDescent="0.2">
      <c r="A116" s="10">
        <v>2</v>
      </c>
      <c r="B116" s="15" t="s">
        <v>184</v>
      </c>
      <c r="C116" s="17">
        <v>1</v>
      </c>
      <c r="D116" s="3">
        <v>50</v>
      </c>
      <c r="E116" s="3">
        <v>100</v>
      </c>
      <c r="F116" s="13">
        <v>41</v>
      </c>
      <c r="G116" s="14" t="s">
        <v>461</v>
      </c>
      <c r="H116" s="18" t="s">
        <v>70</v>
      </c>
    </row>
    <row r="117" spans="1:8" x14ac:dyDescent="0.2">
      <c r="A117" s="10">
        <v>2</v>
      </c>
      <c r="B117" s="15" t="s">
        <v>87</v>
      </c>
      <c r="C117" s="17">
        <v>1</v>
      </c>
      <c r="D117" s="3">
        <v>10</v>
      </c>
      <c r="E117" s="3">
        <v>18.57</v>
      </c>
      <c r="F117" s="13">
        <v>7.0274000000000001</v>
      </c>
      <c r="G117" s="14" t="s">
        <v>461</v>
      </c>
      <c r="H117" s="18" t="s">
        <v>70</v>
      </c>
    </row>
    <row r="118" spans="1:8" x14ac:dyDescent="0.2">
      <c r="A118" s="10">
        <v>2</v>
      </c>
      <c r="B118" s="15" t="s">
        <v>39</v>
      </c>
      <c r="C118" s="17">
        <v>1</v>
      </c>
      <c r="D118" s="3">
        <v>12</v>
      </c>
      <c r="E118" s="3">
        <v>18.75</v>
      </c>
      <c r="F118" s="13">
        <v>5.5350000000000001</v>
      </c>
      <c r="G118" s="14" t="s">
        <v>461</v>
      </c>
      <c r="H118" s="18" t="s">
        <v>70</v>
      </c>
    </row>
    <row r="119" spans="1:8" x14ac:dyDescent="0.2">
      <c r="A119" s="10">
        <v>2</v>
      </c>
      <c r="B119" s="15" t="s">
        <v>185</v>
      </c>
      <c r="C119" s="17">
        <v>18</v>
      </c>
      <c r="D119" s="3">
        <v>72</v>
      </c>
      <c r="E119" s="3">
        <v>152.26</v>
      </c>
      <c r="F119" s="13">
        <v>121.57319999999999</v>
      </c>
      <c r="G119" s="14" t="s">
        <v>461</v>
      </c>
      <c r="H119" s="18" t="s">
        <v>70</v>
      </c>
    </row>
    <row r="120" spans="1:8" x14ac:dyDescent="0.2">
      <c r="A120" s="10">
        <v>2</v>
      </c>
      <c r="B120" s="15" t="s">
        <v>22</v>
      </c>
      <c r="C120" s="17">
        <v>1</v>
      </c>
      <c r="D120" s="3">
        <v>9</v>
      </c>
      <c r="E120" s="3">
        <v>25</v>
      </c>
      <c r="F120" s="13">
        <v>13.120000000000001</v>
      </c>
      <c r="G120" s="14" t="s">
        <v>461</v>
      </c>
      <c r="H120" s="18" t="s">
        <v>70</v>
      </c>
    </row>
    <row r="121" spans="1:8" x14ac:dyDescent="0.2">
      <c r="A121" s="10">
        <v>2</v>
      </c>
      <c r="B121" s="15" t="s">
        <v>66</v>
      </c>
      <c r="C121" s="17">
        <v>18</v>
      </c>
      <c r="D121" s="3">
        <v>126</v>
      </c>
      <c r="E121" s="3">
        <v>312.8</v>
      </c>
      <c r="F121" s="13">
        <v>250.75600000000003</v>
      </c>
      <c r="G121" s="14" t="s">
        <v>461</v>
      </c>
      <c r="H121" s="18" t="s">
        <v>70</v>
      </c>
    </row>
    <row r="122" spans="1:8" x14ac:dyDescent="0.2">
      <c r="A122" s="10">
        <v>2</v>
      </c>
      <c r="B122" s="15" t="s">
        <v>88</v>
      </c>
      <c r="C122" s="17">
        <v>1</v>
      </c>
      <c r="D122" s="3">
        <v>12</v>
      </c>
      <c r="E122" s="3">
        <v>25</v>
      </c>
      <c r="F122" s="13">
        <v>10.66</v>
      </c>
      <c r="G122" s="14" t="s">
        <v>461</v>
      </c>
      <c r="H122" s="18" t="s">
        <v>70</v>
      </c>
    </row>
    <row r="123" spans="1:8" x14ac:dyDescent="0.2">
      <c r="A123" s="10">
        <v>2</v>
      </c>
      <c r="B123" s="15" t="s">
        <v>186</v>
      </c>
      <c r="C123" s="17">
        <v>1</v>
      </c>
      <c r="D123" s="3">
        <v>1</v>
      </c>
      <c r="E123" s="3">
        <v>2.2799999999999998</v>
      </c>
      <c r="F123" s="13">
        <v>1.0495999999999999</v>
      </c>
      <c r="G123" s="14" t="s">
        <v>461</v>
      </c>
      <c r="H123" s="18" t="s">
        <v>70</v>
      </c>
    </row>
    <row r="124" spans="1:8" x14ac:dyDescent="0.2">
      <c r="A124" s="10">
        <v>2</v>
      </c>
      <c r="B124" s="15" t="s">
        <v>68</v>
      </c>
      <c r="C124" s="17">
        <v>2</v>
      </c>
      <c r="D124" s="3">
        <v>11</v>
      </c>
      <c r="E124" s="3">
        <v>41.32</v>
      </c>
      <c r="F124" s="13">
        <v>29.372399999999999</v>
      </c>
      <c r="G124" s="14" t="s">
        <v>461</v>
      </c>
      <c r="H124" s="18" t="s">
        <v>70</v>
      </c>
    </row>
    <row r="125" spans="1:8" x14ac:dyDescent="0.2">
      <c r="A125" s="10">
        <v>2</v>
      </c>
      <c r="B125" s="15" t="s">
        <v>89</v>
      </c>
      <c r="C125" s="17">
        <v>1</v>
      </c>
      <c r="D125" s="3">
        <v>5</v>
      </c>
      <c r="E125" s="3">
        <v>10</v>
      </c>
      <c r="F125" s="13">
        <v>4.0999999999999996</v>
      </c>
      <c r="G125" s="14" t="s">
        <v>461</v>
      </c>
      <c r="H125" s="18" t="s">
        <v>70</v>
      </c>
    </row>
    <row r="126" spans="1:8" x14ac:dyDescent="0.2">
      <c r="A126" s="10">
        <v>2</v>
      </c>
      <c r="B126" s="15" t="s">
        <v>51</v>
      </c>
      <c r="C126" s="17">
        <v>3</v>
      </c>
      <c r="D126" s="3">
        <v>54</v>
      </c>
      <c r="E126" s="3">
        <v>63.89</v>
      </c>
      <c r="F126" s="13">
        <v>37.629800000000003</v>
      </c>
      <c r="G126" s="14" t="s">
        <v>461</v>
      </c>
      <c r="H126" s="18" t="s">
        <v>70</v>
      </c>
    </row>
    <row r="127" spans="1:8" x14ac:dyDescent="0.2">
      <c r="A127" s="10">
        <v>2</v>
      </c>
      <c r="B127" s="15" t="s">
        <v>187</v>
      </c>
      <c r="C127" s="17">
        <v>1</v>
      </c>
      <c r="D127" s="3">
        <v>0</v>
      </c>
      <c r="E127" s="3">
        <v>10</v>
      </c>
      <c r="F127" s="13">
        <v>8.1999999999999993</v>
      </c>
      <c r="G127" s="14" t="s">
        <v>461</v>
      </c>
      <c r="H127" s="18" t="s">
        <v>70</v>
      </c>
    </row>
    <row r="128" spans="1:8" x14ac:dyDescent="0.2">
      <c r="A128" s="10">
        <v>2</v>
      </c>
      <c r="B128" s="15" t="s">
        <v>90</v>
      </c>
      <c r="C128" s="17">
        <v>1</v>
      </c>
      <c r="D128" s="3">
        <v>10</v>
      </c>
      <c r="E128" s="3">
        <v>22.5</v>
      </c>
      <c r="F128" s="13">
        <v>10.25</v>
      </c>
      <c r="G128" s="14" t="s">
        <v>461</v>
      </c>
      <c r="H128" s="18" t="s">
        <v>70</v>
      </c>
    </row>
    <row r="129" spans="1:9" x14ac:dyDescent="0.2">
      <c r="A129" s="10">
        <v>2</v>
      </c>
      <c r="B129" s="15" t="s">
        <v>188</v>
      </c>
      <c r="C129" s="17">
        <v>1</v>
      </c>
      <c r="D129" s="3">
        <v>9</v>
      </c>
      <c r="E129" s="3">
        <v>24.45</v>
      </c>
      <c r="F129" s="13">
        <v>12.669</v>
      </c>
      <c r="G129" s="14" t="s">
        <v>461</v>
      </c>
      <c r="H129" s="18" t="s">
        <v>70</v>
      </c>
    </row>
    <row r="130" spans="1:9" x14ac:dyDescent="0.2">
      <c r="A130" s="10">
        <v>2</v>
      </c>
      <c r="B130" s="15" t="s">
        <v>142</v>
      </c>
      <c r="C130" s="17">
        <v>4</v>
      </c>
      <c r="D130" s="3">
        <v>2</v>
      </c>
      <c r="E130" s="3">
        <v>10.23</v>
      </c>
      <c r="F130" s="13">
        <v>7.9786000000000001</v>
      </c>
      <c r="G130" s="14" t="s">
        <v>461</v>
      </c>
      <c r="H130" s="18" t="s">
        <v>70</v>
      </c>
    </row>
    <row r="131" spans="1:9" x14ac:dyDescent="0.2">
      <c r="A131" s="10">
        <v>2</v>
      </c>
      <c r="B131" s="15" t="s">
        <v>189</v>
      </c>
      <c r="C131" s="17">
        <v>264</v>
      </c>
      <c r="D131" s="3">
        <v>264</v>
      </c>
      <c r="E131" s="3">
        <v>1576.06</v>
      </c>
      <c r="F131" s="13">
        <v>1291.5491999999999</v>
      </c>
      <c r="G131" s="14" t="s">
        <v>461</v>
      </c>
      <c r="H131" s="18" t="s">
        <v>70</v>
      </c>
    </row>
    <row r="132" spans="1:9" x14ac:dyDescent="0.2">
      <c r="A132" s="10">
        <v>2</v>
      </c>
      <c r="B132" s="15" t="s">
        <v>190</v>
      </c>
      <c r="C132" s="17">
        <v>2</v>
      </c>
      <c r="D132" s="3">
        <v>20</v>
      </c>
      <c r="E132" s="3">
        <v>44.95</v>
      </c>
      <c r="F132" s="13">
        <v>28.658999999999999</v>
      </c>
      <c r="G132" s="14" t="s">
        <v>461</v>
      </c>
      <c r="H132" s="18" t="s">
        <v>70</v>
      </c>
    </row>
    <row r="133" spans="1:9" x14ac:dyDescent="0.2">
      <c r="A133" s="10">
        <v>3</v>
      </c>
      <c r="B133" s="15" t="s">
        <v>113</v>
      </c>
      <c r="C133" s="2">
        <v>1</v>
      </c>
      <c r="D133" s="13">
        <v>1360</v>
      </c>
      <c r="E133" s="13">
        <v>1565</v>
      </c>
      <c r="F133" s="13">
        <f t="shared" ref="F133:F164" si="3">E133-D133</f>
        <v>205</v>
      </c>
      <c r="G133" s="14" t="s">
        <v>461</v>
      </c>
      <c r="H133" s="17" t="s">
        <v>460</v>
      </c>
      <c r="I133" s="23"/>
    </row>
    <row r="134" spans="1:9" x14ac:dyDescent="0.2">
      <c r="A134" s="10">
        <v>3</v>
      </c>
      <c r="B134" s="15" t="s">
        <v>13</v>
      </c>
      <c r="C134" s="2">
        <v>1</v>
      </c>
      <c r="D134" s="13">
        <v>140</v>
      </c>
      <c r="E134" s="13">
        <v>250</v>
      </c>
      <c r="F134" s="13">
        <f t="shared" si="3"/>
        <v>110</v>
      </c>
      <c r="G134" s="14" t="s">
        <v>461</v>
      </c>
      <c r="H134" s="18" t="s">
        <v>460</v>
      </c>
      <c r="I134" s="23"/>
    </row>
    <row r="135" spans="1:9" x14ac:dyDescent="0.2">
      <c r="A135" s="10">
        <v>3</v>
      </c>
      <c r="B135" s="15" t="s">
        <v>13</v>
      </c>
      <c r="C135" s="2">
        <v>1</v>
      </c>
      <c r="D135" s="13">
        <v>150</v>
      </c>
      <c r="E135" s="13">
        <v>250</v>
      </c>
      <c r="F135" s="13">
        <f t="shared" si="3"/>
        <v>100</v>
      </c>
      <c r="G135" s="14" t="s">
        <v>461</v>
      </c>
      <c r="H135" s="18" t="s">
        <v>460</v>
      </c>
      <c r="I135" s="23"/>
    </row>
    <row r="136" spans="1:9" x14ac:dyDescent="0.2">
      <c r="A136" s="10">
        <v>3</v>
      </c>
      <c r="B136" s="15" t="s">
        <v>108</v>
      </c>
      <c r="C136" s="2">
        <v>1</v>
      </c>
      <c r="D136" s="13">
        <v>87</v>
      </c>
      <c r="E136" s="13">
        <v>160</v>
      </c>
      <c r="F136" s="13">
        <f t="shared" si="3"/>
        <v>73</v>
      </c>
      <c r="G136" s="14" t="s">
        <v>461</v>
      </c>
      <c r="H136" s="18" t="s">
        <v>460</v>
      </c>
      <c r="I136" s="23"/>
    </row>
    <row r="137" spans="1:9" collapsed="1" x14ac:dyDescent="0.2">
      <c r="A137" s="10">
        <v>3</v>
      </c>
      <c r="B137" s="15" t="s">
        <v>110</v>
      </c>
      <c r="C137" s="2">
        <v>1</v>
      </c>
      <c r="D137" s="13">
        <v>100</v>
      </c>
      <c r="E137" s="13">
        <v>150</v>
      </c>
      <c r="F137" s="13">
        <f t="shared" si="3"/>
        <v>50</v>
      </c>
      <c r="G137" s="14" t="s">
        <v>461</v>
      </c>
      <c r="H137" s="18" t="s">
        <v>460</v>
      </c>
      <c r="I137" s="23"/>
    </row>
    <row r="138" spans="1:9" x14ac:dyDescent="0.2">
      <c r="A138" s="10">
        <v>3</v>
      </c>
      <c r="B138" s="15" t="s">
        <v>101</v>
      </c>
      <c r="C138" s="2">
        <v>1</v>
      </c>
      <c r="D138" s="13">
        <v>20</v>
      </c>
      <c r="E138" s="13">
        <v>60</v>
      </c>
      <c r="F138" s="13">
        <f t="shared" si="3"/>
        <v>40</v>
      </c>
      <c r="G138" s="14" t="s">
        <v>461</v>
      </c>
      <c r="H138" s="18" t="s">
        <v>460</v>
      </c>
      <c r="I138" s="23"/>
    </row>
    <row r="139" spans="1:9" x14ac:dyDescent="0.2">
      <c r="A139" s="10">
        <v>3</v>
      </c>
      <c r="B139" s="15" t="s">
        <v>101</v>
      </c>
      <c r="C139" s="2">
        <v>1</v>
      </c>
      <c r="D139" s="13">
        <v>20</v>
      </c>
      <c r="E139" s="13">
        <v>60</v>
      </c>
      <c r="F139" s="13">
        <f t="shared" si="3"/>
        <v>40</v>
      </c>
      <c r="G139" s="14" t="s">
        <v>461</v>
      </c>
      <c r="H139" s="18" t="s">
        <v>460</v>
      </c>
      <c r="I139" s="23"/>
    </row>
    <row r="140" spans="1:9" x14ac:dyDescent="0.2">
      <c r="A140" s="10">
        <v>3</v>
      </c>
      <c r="B140" s="15" t="s">
        <v>129</v>
      </c>
      <c r="C140" s="2">
        <v>1</v>
      </c>
      <c r="D140" s="13">
        <v>35</v>
      </c>
      <c r="E140" s="13">
        <v>70</v>
      </c>
      <c r="F140" s="13">
        <f t="shared" si="3"/>
        <v>35</v>
      </c>
      <c r="G140" s="14" t="s">
        <v>461</v>
      </c>
      <c r="H140" s="17" t="s">
        <v>460</v>
      </c>
      <c r="I140" s="23"/>
    </row>
    <row r="141" spans="1:9" x14ac:dyDescent="0.2">
      <c r="A141" s="10">
        <v>3</v>
      </c>
      <c r="B141" s="15" t="s">
        <v>131</v>
      </c>
      <c r="C141" s="2">
        <v>1</v>
      </c>
      <c r="D141" s="13">
        <v>35</v>
      </c>
      <c r="E141" s="13">
        <v>70</v>
      </c>
      <c r="F141" s="13">
        <f t="shared" si="3"/>
        <v>35</v>
      </c>
      <c r="G141" s="14" t="s">
        <v>461</v>
      </c>
      <c r="H141" s="17" t="s">
        <v>460</v>
      </c>
      <c r="I141" s="23"/>
    </row>
    <row r="142" spans="1:9" x14ac:dyDescent="0.2">
      <c r="A142" s="10">
        <v>3</v>
      </c>
      <c r="B142" s="15" t="s">
        <v>93</v>
      </c>
      <c r="C142" s="2">
        <v>1</v>
      </c>
      <c r="D142" s="13">
        <v>20</v>
      </c>
      <c r="E142" s="13">
        <v>50</v>
      </c>
      <c r="F142" s="13">
        <f t="shared" si="3"/>
        <v>30</v>
      </c>
      <c r="G142" s="14" t="s">
        <v>461</v>
      </c>
      <c r="H142" s="18" t="s">
        <v>460</v>
      </c>
      <c r="I142" s="23"/>
    </row>
    <row r="143" spans="1:9" x14ac:dyDescent="0.2">
      <c r="A143" s="10">
        <v>3</v>
      </c>
      <c r="B143" s="15" t="s">
        <v>96</v>
      </c>
      <c r="C143" s="2">
        <v>1</v>
      </c>
      <c r="D143" s="13">
        <v>30</v>
      </c>
      <c r="E143" s="13">
        <v>60</v>
      </c>
      <c r="F143" s="13">
        <f t="shared" si="3"/>
        <v>30</v>
      </c>
      <c r="G143" s="14" t="s">
        <v>461</v>
      </c>
      <c r="H143" s="18" t="s">
        <v>460</v>
      </c>
      <c r="I143" s="23"/>
    </row>
    <row r="144" spans="1:9" x14ac:dyDescent="0.2">
      <c r="A144" s="10">
        <v>3</v>
      </c>
      <c r="B144" s="15" t="s">
        <v>93</v>
      </c>
      <c r="C144" s="2">
        <v>1</v>
      </c>
      <c r="D144" s="13">
        <v>20</v>
      </c>
      <c r="E144" s="13">
        <v>50</v>
      </c>
      <c r="F144" s="13">
        <f t="shared" si="3"/>
        <v>30</v>
      </c>
      <c r="G144" s="14" t="s">
        <v>461</v>
      </c>
      <c r="H144" s="18" t="s">
        <v>460</v>
      </c>
      <c r="I144" s="23"/>
    </row>
    <row r="145" spans="1:9" x14ac:dyDescent="0.2">
      <c r="A145" s="10">
        <v>3</v>
      </c>
      <c r="B145" s="15" t="s">
        <v>107</v>
      </c>
      <c r="C145" s="2">
        <v>1</v>
      </c>
      <c r="D145" s="13">
        <v>20</v>
      </c>
      <c r="E145" s="13">
        <v>45</v>
      </c>
      <c r="F145" s="13">
        <f t="shared" si="3"/>
        <v>25</v>
      </c>
      <c r="G145" s="14" t="s">
        <v>461</v>
      </c>
      <c r="H145" s="18" t="s">
        <v>460</v>
      </c>
      <c r="I145" s="23"/>
    </row>
    <row r="146" spans="1:9" x14ac:dyDescent="0.2">
      <c r="A146" s="10">
        <v>3</v>
      </c>
      <c r="B146" s="15" t="s">
        <v>97</v>
      </c>
      <c r="C146" s="2">
        <v>1</v>
      </c>
      <c r="D146" s="13">
        <v>18</v>
      </c>
      <c r="E146" s="13">
        <v>40</v>
      </c>
      <c r="F146" s="13">
        <f t="shared" si="3"/>
        <v>22</v>
      </c>
      <c r="G146" s="14" t="s">
        <v>461</v>
      </c>
      <c r="H146" s="18" t="s">
        <v>460</v>
      </c>
      <c r="I146" s="23"/>
    </row>
    <row r="147" spans="1:9" x14ac:dyDescent="0.2">
      <c r="A147" s="10">
        <v>3</v>
      </c>
      <c r="B147" s="15" t="s">
        <v>98</v>
      </c>
      <c r="C147" s="2">
        <v>1</v>
      </c>
      <c r="D147" s="13">
        <v>28</v>
      </c>
      <c r="E147" s="13">
        <v>50</v>
      </c>
      <c r="F147" s="13">
        <f t="shared" si="3"/>
        <v>22</v>
      </c>
      <c r="G147" s="14" t="s">
        <v>461</v>
      </c>
      <c r="H147" s="18" t="s">
        <v>460</v>
      </c>
      <c r="I147" s="23"/>
    </row>
    <row r="148" spans="1:9" x14ac:dyDescent="0.2">
      <c r="A148" s="10">
        <v>3</v>
      </c>
      <c r="B148" s="15" t="s">
        <v>102</v>
      </c>
      <c r="C148" s="2">
        <v>1</v>
      </c>
      <c r="D148" s="13">
        <v>15</v>
      </c>
      <c r="E148" s="13">
        <v>35</v>
      </c>
      <c r="F148" s="13">
        <f t="shared" si="3"/>
        <v>20</v>
      </c>
      <c r="G148" s="14" t="s">
        <v>461</v>
      </c>
      <c r="H148" s="18" t="s">
        <v>460</v>
      </c>
      <c r="I148" s="23"/>
    </row>
    <row r="149" spans="1:9" x14ac:dyDescent="0.2">
      <c r="A149" s="10">
        <v>3</v>
      </c>
      <c r="B149" s="15" t="s">
        <v>103</v>
      </c>
      <c r="C149" s="2">
        <v>1</v>
      </c>
      <c r="D149" s="13">
        <v>20</v>
      </c>
      <c r="E149" s="13">
        <v>40</v>
      </c>
      <c r="F149" s="13">
        <f t="shared" si="3"/>
        <v>20</v>
      </c>
      <c r="G149" s="14" t="s">
        <v>461</v>
      </c>
      <c r="H149" s="18" t="s">
        <v>460</v>
      </c>
      <c r="I149" s="23"/>
    </row>
    <row r="150" spans="1:9" x14ac:dyDescent="0.2">
      <c r="A150" s="10">
        <v>3</v>
      </c>
      <c r="B150" s="15" t="s">
        <v>106</v>
      </c>
      <c r="C150" s="2">
        <v>1</v>
      </c>
      <c r="D150" s="13">
        <v>20</v>
      </c>
      <c r="E150" s="13">
        <v>40</v>
      </c>
      <c r="F150" s="13">
        <f t="shared" si="3"/>
        <v>20</v>
      </c>
      <c r="G150" s="14" t="s">
        <v>461</v>
      </c>
      <c r="H150" s="18" t="s">
        <v>460</v>
      </c>
      <c r="I150" s="23"/>
    </row>
    <row r="151" spans="1:9" x14ac:dyDescent="0.2">
      <c r="A151" s="10">
        <v>3</v>
      </c>
      <c r="B151" s="15" t="s">
        <v>130</v>
      </c>
      <c r="C151" s="2">
        <v>1</v>
      </c>
      <c r="D151" s="13">
        <v>20</v>
      </c>
      <c r="E151" s="13">
        <v>40</v>
      </c>
      <c r="F151" s="13">
        <f t="shared" si="3"/>
        <v>20</v>
      </c>
      <c r="G151" s="14" t="s">
        <v>461</v>
      </c>
      <c r="H151" s="17" t="s">
        <v>460</v>
      </c>
      <c r="I151" s="23"/>
    </row>
    <row r="152" spans="1:9" x14ac:dyDescent="0.2">
      <c r="A152" s="10">
        <v>3</v>
      </c>
      <c r="B152" s="15" t="s">
        <v>97</v>
      </c>
      <c r="C152" s="2">
        <v>1</v>
      </c>
      <c r="D152" s="13">
        <v>18</v>
      </c>
      <c r="E152" s="13">
        <v>35</v>
      </c>
      <c r="F152" s="13">
        <f t="shared" si="3"/>
        <v>17</v>
      </c>
      <c r="G152" s="14" t="s">
        <v>461</v>
      </c>
      <c r="H152" s="18" t="s">
        <v>460</v>
      </c>
      <c r="I152" s="23"/>
    </row>
    <row r="153" spans="1:9" x14ac:dyDescent="0.2">
      <c r="A153" s="10">
        <v>3</v>
      </c>
      <c r="B153" s="15" t="s">
        <v>97</v>
      </c>
      <c r="C153" s="2">
        <v>1</v>
      </c>
      <c r="D153" s="13">
        <v>18</v>
      </c>
      <c r="E153" s="13">
        <v>35</v>
      </c>
      <c r="F153" s="13">
        <f t="shared" si="3"/>
        <v>17</v>
      </c>
      <c r="G153" s="14" t="s">
        <v>461</v>
      </c>
      <c r="H153" s="18" t="s">
        <v>460</v>
      </c>
      <c r="I153" s="23"/>
    </row>
    <row r="154" spans="1:9" x14ac:dyDescent="0.2">
      <c r="A154" s="10">
        <v>3</v>
      </c>
      <c r="B154" s="15" t="s">
        <v>112</v>
      </c>
      <c r="C154" s="2">
        <v>1</v>
      </c>
      <c r="D154" s="13">
        <v>75</v>
      </c>
      <c r="E154" s="13">
        <v>90</v>
      </c>
      <c r="F154" s="13">
        <f t="shared" si="3"/>
        <v>15</v>
      </c>
      <c r="G154" s="14" t="s">
        <v>461</v>
      </c>
      <c r="H154" s="17" t="s">
        <v>460</v>
      </c>
      <c r="I154" s="23"/>
    </row>
    <row r="155" spans="1:9" x14ac:dyDescent="0.2">
      <c r="A155" s="10">
        <v>3</v>
      </c>
      <c r="B155" s="15" t="s">
        <v>99</v>
      </c>
      <c r="C155" s="2">
        <v>1</v>
      </c>
      <c r="D155" s="13">
        <v>7.5</v>
      </c>
      <c r="E155" s="13">
        <v>20</v>
      </c>
      <c r="F155" s="13">
        <f t="shared" si="3"/>
        <v>12.5</v>
      </c>
      <c r="G155" s="14" t="s">
        <v>461</v>
      </c>
      <c r="H155" s="18" t="s">
        <v>460</v>
      </c>
      <c r="I155" s="23"/>
    </row>
    <row r="156" spans="1:9" x14ac:dyDescent="0.2">
      <c r="A156" s="10">
        <v>3</v>
      </c>
      <c r="B156" s="15" t="s">
        <v>99</v>
      </c>
      <c r="C156" s="2">
        <v>1</v>
      </c>
      <c r="D156" s="13">
        <v>7.5</v>
      </c>
      <c r="E156" s="13">
        <v>20</v>
      </c>
      <c r="F156" s="13">
        <f t="shared" si="3"/>
        <v>12.5</v>
      </c>
      <c r="G156" s="14" t="s">
        <v>461</v>
      </c>
      <c r="H156" s="18" t="s">
        <v>460</v>
      </c>
      <c r="I156" s="23"/>
    </row>
    <row r="157" spans="1:9" x14ac:dyDescent="0.2">
      <c r="A157" s="10">
        <v>3</v>
      </c>
      <c r="B157" s="15" t="s">
        <v>98</v>
      </c>
      <c r="C157" s="2">
        <v>1</v>
      </c>
      <c r="D157" s="13">
        <v>10</v>
      </c>
      <c r="E157" s="13">
        <v>20</v>
      </c>
      <c r="F157" s="13">
        <f t="shared" si="3"/>
        <v>10</v>
      </c>
      <c r="G157" s="14" t="s">
        <v>461</v>
      </c>
      <c r="H157" s="18" t="s">
        <v>460</v>
      </c>
      <c r="I157" s="23"/>
    </row>
    <row r="158" spans="1:9" x14ac:dyDescent="0.2">
      <c r="A158" s="10">
        <v>3</v>
      </c>
      <c r="B158" s="15" t="s">
        <v>94</v>
      </c>
      <c r="C158" s="2">
        <v>1</v>
      </c>
      <c r="D158" s="13">
        <f>2*3</f>
        <v>6</v>
      </c>
      <c r="E158" s="13">
        <v>15</v>
      </c>
      <c r="F158" s="13">
        <f t="shared" si="3"/>
        <v>9</v>
      </c>
      <c r="G158" s="14" t="s">
        <v>461</v>
      </c>
      <c r="H158" s="18" t="s">
        <v>460</v>
      </c>
      <c r="I158" s="23"/>
    </row>
    <row r="159" spans="1:9" x14ac:dyDescent="0.2">
      <c r="A159" s="10">
        <v>3</v>
      </c>
      <c r="B159" s="15" t="s">
        <v>94</v>
      </c>
      <c r="C159" s="2">
        <v>1</v>
      </c>
      <c r="D159" s="13">
        <f>2*3</f>
        <v>6</v>
      </c>
      <c r="E159" s="13">
        <v>15</v>
      </c>
      <c r="F159" s="13">
        <f t="shared" si="3"/>
        <v>9</v>
      </c>
      <c r="G159" s="14" t="s">
        <v>461</v>
      </c>
      <c r="H159" s="18" t="s">
        <v>460</v>
      </c>
      <c r="I159" s="23"/>
    </row>
    <row r="160" spans="1:9" x14ac:dyDescent="0.2">
      <c r="A160" s="10">
        <v>3</v>
      </c>
      <c r="B160" s="15" t="s">
        <v>94</v>
      </c>
      <c r="C160" s="2">
        <v>1</v>
      </c>
      <c r="D160" s="13">
        <f>2*3</f>
        <v>6</v>
      </c>
      <c r="E160" s="13">
        <v>15</v>
      </c>
      <c r="F160" s="13">
        <f t="shared" si="3"/>
        <v>9</v>
      </c>
      <c r="G160" s="14" t="s">
        <v>461</v>
      </c>
      <c r="H160" s="18" t="s">
        <v>460</v>
      </c>
      <c r="I160" s="23"/>
    </row>
    <row r="161" spans="1:26" x14ac:dyDescent="0.2">
      <c r="A161" s="10">
        <v>3</v>
      </c>
      <c r="B161" s="15" t="s">
        <v>105</v>
      </c>
      <c r="C161" s="2">
        <v>1</v>
      </c>
      <c r="D161" s="13">
        <v>1.5</v>
      </c>
      <c r="E161" s="13">
        <v>10</v>
      </c>
      <c r="F161" s="13">
        <f t="shared" si="3"/>
        <v>8.5</v>
      </c>
      <c r="G161" s="14" t="s">
        <v>461</v>
      </c>
      <c r="H161" s="18" t="s">
        <v>460</v>
      </c>
      <c r="I161" s="23"/>
    </row>
    <row r="162" spans="1:26" x14ac:dyDescent="0.2">
      <c r="A162" s="10">
        <v>3</v>
      </c>
      <c r="B162" s="15" t="s">
        <v>105</v>
      </c>
      <c r="C162" s="2">
        <v>1</v>
      </c>
      <c r="D162" s="13">
        <v>2</v>
      </c>
      <c r="E162" s="13">
        <v>10</v>
      </c>
      <c r="F162" s="13">
        <f t="shared" si="3"/>
        <v>8</v>
      </c>
      <c r="G162" s="14" t="s">
        <v>461</v>
      </c>
      <c r="H162" s="18" t="s">
        <v>460</v>
      </c>
      <c r="I162" s="23"/>
    </row>
    <row r="163" spans="1:26" x14ac:dyDescent="0.2">
      <c r="A163" s="10">
        <v>3</v>
      </c>
      <c r="B163" s="15" t="s">
        <v>92</v>
      </c>
      <c r="C163" s="2">
        <v>1</v>
      </c>
      <c r="D163" s="13">
        <v>7.5</v>
      </c>
      <c r="E163" s="13">
        <v>15</v>
      </c>
      <c r="F163" s="13">
        <f t="shared" si="3"/>
        <v>7.5</v>
      </c>
      <c r="G163" s="14" t="s">
        <v>461</v>
      </c>
      <c r="H163" s="18" t="s">
        <v>460</v>
      </c>
      <c r="I163" s="23"/>
    </row>
    <row r="164" spans="1:26" x14ac:dyDescent="0.2">
      <c r="A164" s="10">
        <v>3</v>
      </c>
      <c r="B164" s="15" t="s">
        <v>99</v>
      </c>
      <c r="C164" s="2">
        <v>1</v>
      </c>
      <c r="D164" s="13">
        <v>7.5</v>
      </c>
      <c r="E164" s="13">
        <v>15</v>
      </c>
      <c r="F164" s="13">
        <f t="shared" si="3"/>
        <v>7.5</v>
      </c>
      <c r="G164" s="14" t="s">
        <v>461</v>
      </c>
      <c r="H164" s="18" t="s">
        <v>460</v>
      </c>
      <c r="I164" s="23"/>
    </row>
    <row r="165" spans="1:26" x14ac:dyDescent="0.2">
      <c r="A165" s="10">
        <v>3</v>
      </c>
      <c r="B165" s="15" t="s">
        <v>99</v>
      </c>
      <c r="C165" s="2">
        <v>1</v>
      </c>
      <c r="D165" s="13">
        <v>7.5</v>
      </c>
      <c r="E165" s="13">
        <v>15</v>
      </c>
      <c r="F165" s="13">
        <f t="shared" ref="F165:F196" si="4">E165-D165</f>
        <v>7.5</v>
      </c>
      <c r="G165" s="14" t="s">
        <v>461</v>
      </c>
      <c r="H165" s="18" t="s">
        <v>460</v>
      </c>
      <c r="I165" s="23"/>
    </row>
    <row r="166" spans="1:26" x14ac:dyDescent="0.2">
      <c r="A166" s="10">
        <v>3</v>
      </c>
      <c r="B166" s="15" t="s">
        <v>109</v>
      </c>
      <c r="C166" s="2">
        <v>1</v>
      </c>
      <c r="D166" s="13">
        <v>7.5</v>
      </c>
      <c r="E166" s="13">
        <v>15</v>
      </c>
      <c r="F166" s="13">
        <f t="shared" si="4"/>
        <v>7.5</v>
      </c>
      <c r="G166" s="14" t="s">
        <v>461</v>
      </c>
      <c r="H166" s="18" t="s">
        <v>460</v>
      </c>
      <c r="I166" s="23"/>
    </row>
    <row r="167" spans="1:26" x14ac:dyDescent="0.2">
      <c r="A167" s="10">
        <v>3</v>
      </c>
      <c r="B167" s="15" t="s">
        <v>99</v>
      </c>
      <c r="C167" s="2">
        <v>1</v>
      </c>
      <c r="D167" s="13">
        <v>7.5</v>
      </c>
      <c r="E167" s="13">
        <v>15</v>
      </c>
      <c r="F167" s="13">
        <f t="shared" si="4"/>
        <v>7.5</v>
      </c>
      <c r="G167" s="14" t="s">
        <v>461</v>
      </c>
      <c r="H167" s="17" t="s">
        <v>460</v>
      </c>
      <c r="I167" s="23"/>
    </row>
    <row r="168" spans="1:26" x14ac:dyDescent="0.2">
      <c r="A168" s="10">
        <v>3</v>
      </c>
      <c r="B168" s="15" t="s">
        <v>99</v>
      </c>
      <c r="C168" s="2">
        <v>1</v>
      </c>
      <c r="D168" s="13">
        <v>7.5</v>
      </c>
      <c r="E168" s="13">
        <v>15</v>
      </c>
      <c r="F168" s="13">
        <f t="shared" si="4"/>
        <v>7.5</v>
      </c>
      <c r="G168" s="14" t="s">
        <v>461</v>
      </c>
      <c r="H168" s="17" t="s">
        <v>460</v>
      </c>
      <c r="I168" s="23"/>
    </row>
    <row r="169" spans="1:26" x14ac:dyDescent="0.2">
      <c r="A169" s="10">
        <v>3</v>
      </c>
      <c r="B169" s="15" t="s">
        <v>104</v>
      </c>
      <c r="C169" s="2">
        <v>1</v>
      </c>
      <c r="D169" s="13">
        <v>8</v>
      </c>
      <c r="E169" s="13">
        <v>15</v>
      </c>
      <c r="F169" s="13">
        <f t="shared" si="4"/>
        <v>7</v>
      </c>
      <c r="G169" s="14" t="s">
        <v>461</v>
      </c>
      <c r="H169" s="18" t="s">
        <v>460</v>
      </c>
      <c r="I169" s="23"/>
    </row>
    <row r="170" spans="1:26" x14ac:dyDescent="0.2">
      <c r="A170" s="10">
        <v>3</v>
      </c>
      <c r="B170" s="15" t="s">
        <v>100</v>
      </c>
      <c r="C170" s="2">
        <v>1</v>
      </c>
      <c r="D170" s="13">
        <v>3.5</v>
      </c>
      <c r="E170" s="13">
        <v>10</v>
      </c>
      <c r="F170" s="13">
        <f t="shared" si="4"/>
        <v>6.5</v>
      </c>
      <c r="G170" s="14" t="s">
        <v>461</v>
      </c>
      <c r="H170" s="18" t="s">
        <v>460</v>
      </c>
      <c r="I170" s="23"/>
    </row>
    <row r="171" spans="1:26" x14ac:dyDescent="0.2">
      <c r="A171" s="10">
        <v>3</v>
      </c>
      <c r="B171" s="15" t="s">
        <v>100</v>
      </c>
      <c r="C171" s="2">
        <v>1</v>
      </c>
      <c r="D171" s="13">
        <v>3.5</v>
      </c>
      <c r="E171" s="13">
        <v>10</v>
      </c>
      <c r="F171" s="13">
        <f t="shared" si="4"/>
        <v>6.5</v>
      </c>
      <c r="G171" s="14" t="s">
        <v>461</v>
      </c>
      <c r="H171" s="17" t="s">
        <v>460</v>
      </c>
      <c r="I171" s="23"/>
    </row>
    <row r="172" spans="1:26" x14ac:dyDescent="0.2">
      <c r="A172" s="10">
        <v>3</v>
      </c>
      <c r="B172" s="15" t="s">
        <v>95</v>
      </c>
      <c r="C172" s="2">
        <v>1</v>
      </c>
      <c r="D172" s="13">
        <v>10</v>
      </c>
      <c r="E172" s="13">
        <v>15</v>
      </c>
      <c r="F172" s="13">
        <f t="shared" si="4"/>
        <v>5</v>
      </c>
      <c r="G172" s="14" t="s">
        <v>461</v>
      </c>
      <c r="H172" s="18" t="s">
        <v>460</v>
      </c>
      <c r="I172" s="23"/>
      <c r="O172" s="24">
        <v>0.35</v>
      </c>
      <c r="P172" s="24">
        <v>0.1</v>
      </c>
      <c r="Q172" s="25" t="s">
        <v>128</v>
      </c>
    </row>
    <row r="173" spans="1:26" x14ac:dyDescent="0.2">
      <c r="A173" s="10">
        <v>3</v>
      </c>
      <c r="B173" s="15" t="s">
        <v>132</v>
      </c>
      <c r="C173" s="2">
        <v>1</v>
      </c>
      <c r="D173" s="13">
        <v>35</v>
      </c>
      <c r="E173" s="13">
        <v>40</v>
      </c>
      <c r="F173" s="13">
        <f t="shared" si="4"/>
        <v>5</v>
      </c>
      <c r="G173" s="14" t="s">
        <v>461</v>
      </c>
      <c r="H173" s="17" t="s">
        <v>460</v>
      </c>
      <c r="I173" s="23"/>
      <c r="K173" s="7" t="s">
        <v>122</v>
      </c>
      <c r="L173" s="8" t="s">
        <v>114</v>
      </c>
      <c r="M173" s="7" t="s">
        <v>123</v>
      </c>
      <c r="N173" s="9">
        <v>900</v>
      </c>
      <c r="O173" s="26">
        <v>1200</v>
      </c>
      <c r="P173" s="26">
        <f>O173-(O173*$P$172)</f>
        <v>1080</v>
      </c>
      <c r="Q173" s="26">
        <f>P173-N173</f>
        <v>180</v>
      </c>
    </row>
    <row r="174" spans="1:26" x14ac:dyDescent="0.2">
      <c r="A174" s="10">
        <v>3</v>
      </c>
      <c r="B174" s="1" t="s">
        <v>36</v>
      </c>
      <c r="C174" s="2">
        <v>1</v>
      </c>
      <c r="D174" s="27">
        <v>12</v>
      </c>
      <c r="E174" s="13">
        <v>14.0548</v>
      </c>
      <c r="F174" s="13">
        <f>SUM(E174-(E174*0.18))</f>
        <v>11.524936</v>
      </c>
      <c r="G174" s="14" t="s">
        <v>461</v>
      </c>
      <c r="H174" s="17" t="s">
        <v>70</v>
      </c>
      <c r="I174" s="23"/>
      <c r="K174" s="7" t="s">
        <v>121</v>
      </c>
      <c r="L174" s="8" t="s">
        <v>114</v>
      </c>
      <c r="M174" s="7" t="s">
        <v>123</v>
      </c>
      <c r="N174" s="9">
        <v>1250</v>
      </c>
      <c r="O174" s="26">
        <v>1650</v>
      </c>
      <c r="P174" s="26">
        <f t="shared" ref="P174:P179" si="5">O174-(O174*$P$172)</f>
        <v>1485</v>
      </c>
      <c r="Q174" s="26">
        <f t="shared" ref="Q174:Q179" si="6">P174-N174</f>
        <v>235</v>
      </c>
    </row>
    <row r="175" spans="1:26" x14ac:dyDescent="0.2">
      <c r="A175" s="10">
        <v>3</v>
      </c>
      <c r="B175" s="1" t="s">
        <v>133</v>
      </c>
      <c r="C175" s="2">
        <v>1</v>
      </c>
      <c r="D175" s="27">
        <v>2</v>
      </c>
      <c r="E175" s="13">
        <v>5.7317999999999998</v>
      </c>
      <c r="F175" s="13">
        <f t="shared" si="4"/>
        <v>3.7317999999999998</v>
      </c>
      <c r="G175" s="14" t="s">
        <v>461</v>
      </c>
      <c r="H175" s="17" t="s">
        <v>70</v>
      </c>
      <c r="I175" s="23"/>
      <c r="K175" s="7" t="s">
        <v>120</v>
      </c>
      <c r="L175" s="8" t="s">
        <v>115</v>
      </c>
      <c r="M175" s="7" t="s">
        <v>125</v>
      </c>
      <c r="N175" s="9">
        <v>1200</v>
      </c>
      <c r="O175" s="26">
        <v>1600</v>
      </c>
      <c r="P175" s="26">
        <f t="shared" si="5"/>
        <v>1440</v>
      </c>
      <c r="Q175" s="26">
        <f t="shared" si="6"/>
        <v>240</v>
      </c>
      <c r="Z175" s="26"/>
    </row>
    <row r="176" spans="1:26" x14ac:dyDescent="0.2">
      <c r="A176" s="10">
        <v>3</v>
      </c>
      <c r="B176" s="1" t="s">
        <v>40</v>
      </c>
      <c r="C176" s="2">
        <v>1</v>
      </c>
      <c r="D176" s="27">
        <v>1</v>
      </c>
      <c r="E176" s="13">
        <v>6.2812000000000001</v>
      </c>
      <c r="F176" s="13">
        <f t="shared" si="4"/>
        <v>5.2812000000000001</v>
      </c>
      <c r="G176" s="14" t="s">
        <v>461</v>
      </c>
      <c r="H176" s="17" t="s">
        <v>70</v>
      </c>
      <c r="I176" s="23"/>
      <c r="K176" s="7" t="s">
        <v>119</v>
      </c>
      <c r="L176" s="8" t="s">
        <v>116</v>
      </c>
      <c r="M176" s="7" t="s">
        <v>126</v>
      </c>
      <c r="N176" s="9">
        <v>1360</v>
      </c>
      <c r="O176" s="26">
        <v>1800</v>
      </c>
      <c r="P176" s="26">
        <f t="shared" si="5"/>
        <v>1620</v>
      </c>
      <c r="Q176" s="26">
        <f t="shared" si="6"/>
        <v>260</v>
      </c>
      <c r="Z176" s="26"/>
    </row>
    <row r="177" spans="1:26" x14ac:dyDescent="0.2">
      <c r="A177" s="10">
        <v>3</v>
      </c>
      <c r="B177" s="1" t="s">
        <v>134</v>
      </c>
      <c r="C177" s="2">
        <v>1</v>
      </c>
      <c r="D177" s="27">
        <v>6</v>
      </c>
      <c r="E177" s="13">
        <v>8.3886000000000003</v>
      </c>
      <c r="F177" s="13">
        <f t="shared" si="4"/>
        <v>2.3886000000000003</v>
      </c>
      <c r="G177" s="14" t="s">
        <v>461</v>
      </c>
      <c r="H177" s="17" t="s">
        <v>70</v>
      </c>
      <c r="I177" s="23"/>
      <c r="K177" s="7" t="s">
        <v>118</v>
      </c>
      <c r="L177" s="8" t="s">
        <v>115</v>
      </c>
      <c r="M177" s="7" t="s">
        <v>124</v>
      </c>
      <c r="N177" s="9">
        <v>1260</v>
      </c>
      <c r="O177" s="26">
        <v>1700</v>
      </c>
      <c r="P177" s="26">
        <f t="shared" si="5"/>
        <v>1530</v>
      </c>
      <c r="Q177" s="26">
        <f t="shared" si="6"/>
        <v>270</v>
      </c>
      <c r="Z177" s="26"/>
    </row>
    <row r="178" spans="1:26" x14ac:dyDescent="0.2">
      <c r="A178" s="10">
        <v>3</v>
      </c>
      <c r="B178" s="1" t="s">
        <v>42</v>
      </c>
      <c r="C178" s="2">
        <v>1</v>
      </c>
      <c r="D178" s="27">
        <v>6</v>
      </c>
      <c r="E178" s="13">
        <v>8.1999999999999993</v>
      </c>
      <c r="F178" s="13">
        <f t="shared" si="4"/>
        <v>2.1999999999999993</v>
      </c>
      <c r="G178" s="14" t="s">
        <v>461</v>
      </c>
      <c r="H178" s="17" t="s">
        <v>70</v>
      </c>
      <c r="I178" s="23"/>
      <c r="K178" s="7" t="s">
        <v>118</v>
      </c>
      <c r="L178" s="8" t="s">
        <v>116</v>
      </c>
      <c r="M178" s="7" t="s">
        <v>123</v>
      </c>
      <c r="N178" s="9">
        <v>1360</v>
      </c>
      <c r="O178" s="26">
        <v>1850</v>
      </c>
      <c r="P178" s="26">
        <f t="shared" si="5"/>
        <v>1665</v>
      </c>
      <c r="Q178" s="26">
        <f t="shared" si="6"/>
        <v>305</v>
      </c>
      <c r="Z178" s="26"/>
    </row>
    <row r="179" spans="1:26" x14ac:dyDescent="0.2">
      <c r="A179" s="10">
        <v>3</v>
      </c>
      <c r="B179" s="1" t="s">
        <v>44</v>
      </c>
      <c r="C179" s="2">
        <v>1</v>
      </c>
      <c r="D179" s="27">
        <v>5</v>
      </c>
      <c r="E179" s="13">
        <v>8.1999999999999993</v>
      </c>
      <c r="F179" s="13">
        <f t="shared" si="4"/>
        <v>3.1999999999999993</v>
      </c>
      <c r="G179" s="14" t="s">
        <v>461</v>
      </c>
      <c r="H179" s="17" t="s">
        <v>70</v>
      </c>
      <c r="I179" s="23"/>
      <c r="K179" s="7" t="s">
        <v>117</v>
      </c>
      <c r="L179" s="8" t="s">
        <v>127</v>
      </c>
      <c r="M179" s="7" t="s">
        <v>124</v>
      </c>
      <c r="N179" s="9">
        <v>1800</v>
      </c>
      <c r="O179" s="26">
        <v>2399</v>
      </c>
      <c r="P179" s="26">
        <f t="shared" si="5"/>
        <v>2159.1</v>
      </c>
      <c r="Q179" s="26">
        <f t="shared" si="6"/>
        <v>359.09999999999991</v>
      </c>
      <c r="Z179" s="26"/>
    </row>
    <row r="180" spans="1:26" x14ac:dyDescent="0.2">
      <c r="A180" s="10">
        <v>3</v>
      </c>
      <c r="B180" s="1" t="s">
        <v>135</v>
      </c>
      <c r="C180" s="2">
        <v>1</v>
      </c>
      <c r="D180" s="27">
        <v>3.8</v>
      </c>
      <c r="E180" s="13">
        <v>12.341000000000001</v>
      </c>
      <c r="F180" s="13">
        <f t="shared" si="4"/>
        <v>8.5410000000000004</v>
      </c>
      <c r="G180" s="14" t="s">
        <v>461</v>
      </c>
      <c r="H180" s="17" t="s">
        <v>70</v>
      </c>
      <c r="I180" s="23"/>
      <c r="Z180" s="26"/>
    </row>
    <row r="181" spans="1:26" x14ac:dyDescent="0.2">
      <c r="A181" s="10">
        <v>3</v>
      </c>
      <c r="B181" s="1" t="s">
        <v>84</v>
      </c>
      <c r="C181" s="2">
        <v>1</v>
      </c>
      <c r="D181" s="27">
        <v>2</v>
      </c>
      <c r="E181" s="13">
        <v>5.0347999999999997</v>
      </c>
      <c r="F181" s="13">
        <f t="shared" si="4"/>
        <v>3.0347999999999997</v>
      </c>
      <c r="G181" s="14" t="s">
        <v>461</v>
      </c>
      <c r="H181" s="17" t="s">
        <v>70</v>
      </c>
      <c r="I181" s="23"/>
      <c r="Z181" s="26"/>
    </row>
    <row r="182" spans="1:26" x14ac:dyDescent="0.2">
      <c r="A182" s="10">
        <v>3</v>
      </c>
      <c r="B182" s="1" t="s">
        <v>32</v>
      </c>
      <c r="C182" s="2">
        <v>1</v>
      </c>
      <c r="D182" s="27">
        <v>2.5</v>
      </c>
      <c r="E182" s="13">
        <v>8.1999999999999993</v>
      </c>
      <c r="F182" s="13">
        <f t="shared" si="4"/>
        <v>5.6999999999999993</v>
      </c>
      <c r="G182" s="14" t="s">
        <v>461</v>
      </c>
      <c r="H182" s="17" t="s">
        <v>70</v>
      </c>
      <c r="I182" s="23"/>
    </row>
    <row r="183" spans="1:26" x14ac:dyDescent="0.2">
      <c r="A183" s="10">
        <v>3</v>
      </c>
      <c r="B183" s="1" t="s">
        <v>20</v>
      </c>
      <c r="C183" s="2">
        <v>1</v>
      </c>
      <c r="D183" s="27">
        <v>6</v>
      </c>
      <c r="E183" s="13">
        <v>9.8236000000000008</v>
      </c>
      <c r="F183" s="13">
        <f t="shared" si="4"/>
        <v>3.8236000000000008</v>
      </c>
      <c r="G183" s="14" t="s">
        <v>461</v>
      </c>
      <c r="H183" s="17" t="s">
        <v>70</v>
      </c>
      <c r="I183" s="23"/>
    </row>
    <row r="184" spans="1:26" x14ac:dyDescent="0.2">
      <c r="A184" s="10">
        <v>3</v>
      </c>
      <c r="B184" s="1" t="s">
        <v>136</v>
      </c>
      <c r="C184" s="2">
        <v>1</v>
      </c>
      <c r="D184" s="27">
        <v>5</v>
      </c>
      <c r="E184" s="13">
        <v>9.1265999999999998</v>
      </c>
      <c r="F184" s="13">
        <f t="shared" si="4"/>
        <v>4.1265999999999998</v>
      </c>
      <c r="G184" s="14" t="s">
        <v>461</v>
      </c>
      <c r="H184" s="17" t="s">
        <v>70</v>
      </c>
      <c r="I184" s="23"/>
    </row>
    <row r="185" spans="1:26" x14ac:dyDescent="0.2">
      <c r="A185" s="10">
        <v>3</v>
      </c>
      <c r="B185" s="1" t="s">
        <v>137</v>
      </c>
      <c r="C185" s="2">
        <v>1</v>
      </c>
      <c r="D185" s="27">
        <v>10</v>
      </c>
      <c r="E185" s="13">
        <v>17.2118</v>
      </c>
      <c r="F185" s="13">
        <f t="shared" si="4"/>
        <v>7.2118000000000002</v>
      </c>
      <c r="G185" s="14" t="s">
        <v>461</v>
      </c>
      <c r="H185" s="17" t="s">
        <v>70</v>
      </c>
      <c r="I185" s="23"/>
      <c r="N185" s="8"/>
      <c r="Q185" s="26"/>
    </row>
    <row r="186" spans="1:26" x14ac:dyDescent="0.2">
      <c r="A186" s="10">
        <v>3</v>
      </c>
      <c r="B186" s="1" t="s">
        <v>138</v>
      </c>
      <c r="C186" s="2">
        <v>1</v>
      </c>
      <c r="D186" s="27">
        <v>2</v>
      </c>
      <c r="E186" s="13">
        <v>11.086399999999999</v>
      </c>
      <c r="F186" s="13">
        <f t="shared" si="4"/>
        <v>9.0863999999999994</v>
      </c>
      <c r="G186" s="14" t="s">
        <v>461</v>
      </c>
      <c r="H186" s="17" t="s">
        <v>70</v>
      </c>
      <c r="I186" s="23"/>
      <c r="N186" s="8"/>
      <c r="Q186" s="26"/>
    </row>
    <row r="187" spans="1:26" x14ac:dyDescent="0.2">
      <c r="A187" s="10">
        <v>3</v>
      </c>
      <c r="B187" s="1" t="s">
        <v>139</v>
      </c>
      <c r="C187" s="2">
        <v>1</v>
      </c>
      <c r="D187" s="27">
        <v>21</v>
      </c>
      <c r="E187" s="13">
        <v>39.975000000000001</v>
      </c>
      <c r="F187" s="13">
        <f t="shared" si="4"/>
        <v>18.975000000000001</v>
      </c>
      <c r="G187" s="14" t="s">
        <v>461</v>
      </c>
      <c r="H187" s="17" t="s">
        <v>70</v>
      </c>
      <c r="I187" s="23"/>
      <c r="N187" s="8"/>
      <c r="Q187" s="26"/>
    </row>
    <row r="188" spans="1:26" x14ac:dyDescent="0.2">
      <c r="A188" s="10">
        <v>3</v>
      </c>
      <c r="B188" s="1" t="s">
        <v>140</v>
      </c>
      <c r="C188" s="2">
        <v>1</v>
      </c>
      <c r="D188" s="27">
        <v>8</v>
      </c>
      <c r="E188" s="13">
        <v>16.399999999999999</v>
      </c>
      <c r="F188" s="13">
        <f t="shared" si="4"/>
        <v>8.3999999999999986</v>
      </c>
      <c r="G188" s="14" t="s">
        <v>461</v>
      </c>
      <c r="H188" s="17" t="s">
        <v>70</v>
      </c>
      <c r="I188" s="23"/>
      <c r="N188" s="8"/>
      <c r="Q188" s="26"/>
    </row>
    <row r="189" spans="1:26" x14ac:dyDescent="0.2">
      <c r="A189" s="10">
        <v>3</v>
      </c>
      <c r="B189" s="1" t="s">
        <v>141</v>
      </c>
      <c r="C189" s="2">
        <v>1</v>
      </c>
      <c r="D189" s="27">
        <v>10</v>
      </c>
      <c r="E189" s="13">
        <v>13.94</v>
      </c>
      <c r="F189" s="13">
        <f t="shared" si="4"/>
        <v>3.9399999999999995</v>
      </c>
      <c r="G189" s="14" t="s">
        <v>461</v>
      </c>
      <c r="H189" s="17" t="s">
        <v>70</v>
      </c>
      <c r="I189" s="23"/>
      <c r="N189" s="8"/>
      <c r="Q189" s="26"/>
    </row>
    <row r="190" spans="1:26" x14ac:dyDescent="0.2">
      <c r="A190" s="10">
        <v>3</v>
      </c>
      <c r="B190" s="1" t="s">
        <v>90</v>
      </c>
      <c r="C190" s="2">
        <v>1</v>
      </c>
      <c r="D190" s="27">
        <v>10</v>
      </c>
      <c r="E190" s="13">
        <v>16.162200000000002</v>
      </c>
      <c r="F190" s="13">
        <f t="shared" si="4"/>
        <v>6.1622000000000021</v>
      </c>
      <c r="G190" s="14" t="s">
        <v>461</v>
      </c>
      <c r="H190" s="17" t="s">
        <v>70</v>
      </c>
      <c r="I190" s="23"/>
      <c r="N190" s="8"/>
      <c r="Q190" s="26"/>
    </row>
    <row r="191" spans="1:26" x14ac:dyDescent="0.2">
      <c r="A191" s="10">
        <v>3</v>
      </c>
      <c r="B191" s="1" t="s">
        <v>142</v>
      </c>
      <c r="C191" s="2">
        <v>1</v>
      </c>
      <c r="D191" s="27">
        <v>0.5</v>
      </c>
      <c r="E191" s="13">
        <v>1.5744</v>
      </c>
      <c r="F191" s="13">
        <f t="shared" si="4"/>
        <v>1.0744</v>
      </c>
      <c r="G191" s="14" t="s">
        <v>461</v>
      </c>
      <c r="H191" s="17" t="s">
        <v>70</v>
      </c>
      <c r="I191" s="23"/>
      <c r="N191" s="8"/>
      <c r="Q191" s="26"/>
    </row>
    <row r="192" spans="1:26" x14ac:dyDescent="0.2">
      <c r="A192" s="10">
        <v>3</v>
      </c>
      <c r="B192" s="1" t="s">
        <v>143</v>
      </c>
      <c r="C192" s="2">
        <v>1</v>
      </c>
      <c r="D192" s="27">
        <v>10</v>
      </c>
      <c r="E192" s="13">
        <v>15.744</v>
      </c>
      <c r="F192" s="13">
        <f t="shared" si="4"/>
        <v>5.7439999999999998</v>
      </c>
      <c r="G192" s="14" t="s">
        <v>461</v>
      </c>
      <c r="H192" s="17" t="s">
        <v>70</v>
      </c>
      <c r="I192" s="23"/>
    </row>
    <row r="193" spans="1:9" x14ac:dyDescent="0.2">
      <c r="A193" s="10">
        <v>3</v>
      </c>
      <c r="B193" s="1" t="s">
        <v>46</v>
      </c>
      <c r="C193" s="2">
        <v>2</v>
      </c>
      <c r="D193" s="27">
        <v>2.8</v>
      </c>
      <c r="E193" s="13">
        <v>6.15</v>
      </c>
      <c r="F193" s="13">
        <f t="shared" si="4"/>
        <v>3.3500000000000005</v>
      </c>
      <c r="G193" s="14" t="s">
        <v>461</v>
      </c>
      <c r="H193" s="17" t="s">
        <v>70</v>
      </c>
      <c r="I193" s="23"/>
    </row>
    <row r="194" spans="1:9" x14ac:dyDescent="0.2">
      <c r="A194" s="10">
        <v>3</v>
      </c>
      <c r="B194" s="1" t="s">
        <v>182</v>
      </c>
      <c r="C194" s="2">
        <v>2</v>
      </c>
      <c r="D194" s="27">
        <v>4</v>
      </c>
      <c r="E194" s="13">
        <v>14.76</v>
      </c>
      <c r="F194" s="13">
        <f t="shared" si="4"/>
        <v>10.76</v>
      </c>
      <c r="G194" s="14" t="s">
        <v>461</v>
      </c>
      <c r="H194" s="17" t="s">
        <v>70</v>
      </c>
      <c r="I194" s="23"/>
    </row>
    <row r="195" spans="1:9" x14ac:dyDescent="0.2">
      <c r="A195" s="10">
        <v>3</v>
      </c>
      <c r="B195" s="1" t="s">
        <v>89</v>
      </c>
      <c r="C195" s="2">
        <v>2</v>
      </c>
      <c r="D195" s="27">
        <v>10</v>
      </c>
      <c r="E195" s="13">
        <v>16.399999999999999</v>
      </c>
      <c r="F195" s="13">
        <f t="shared" si="4"/>
        <v>6.3999999999999986</v>
      </c>
      <c r="G195" s="14" t="s">
        <v>461</v>
      </c>
      <c r="H195" s="17" t="s">
        <v>70</v>
      </c>
      <c r="I195" s="23"/>
    </row>
    <row r="196" spans="1:9" x14ac:dyDescent="0.2">
      <c r="A196" s="10">
        <v>3</v>
      </c>
      <c r="B196" s="1" t="s">
        <v>142</v>
      </c>
      <c r="C196" s="2">
        <v>2</v>
      </c>
      <c r="D196" s="27">
        <v>1</v>
      </c>
      <c r="E196" s="13">
        <v>4.0999999999999996</v>
      </c>
      <c r="F196" s="13">
        <f t="shared" si="4"/>
        <v>3.0999999999999996</v>
      </c>
      <c r="G196" s="14" t="s">
        <v>461</v>
      </c>
      <c r="H196" s="17" t="s">
        <v>70</v>
      </c>
      <c r="I196" s="23"/>
    </row>
    <row r="197" spans="1:9" x14ac:dyDescent="0.2">
      <c r="A197" s="10">
        <v>3</v>
      </c>
      <c r="B197" s="1" t="s">
        <v>67</v>
      </c>
      <c r="C197" s="2">
        <v>4</v>
      </c>
      <c r="D197" s="27">
        <v>160</v>
      </c>
      <c r="E197" s="13">
        <v>216.7998</v>
      </c>
      <c r="F197" s="13">
        <f t="shared" ref="F197:F211" si="7">E197-D197</f>
        <v>56.799800000000005</v>
      </c>
      <c r="G197" s="14" t="s">
        <v>461</v>
      </c>
      <c r="H197" s="17" t="s">
        <v>70</v>
      </c>
      <c r="I197" s="23"/>
    </row>
    <row r="198" spans="1:9" x14ac:dyDescent="0.2">
      <c r="A198" s="10">
        <v>3</v>
      </c>
      <c r="B198" s="1" t="s">
        <v>83</v>
      </c>
      <c r="C198" s="2">
        <v>4</v>
      </c>
      <c r="D198" s="27">
        <v>48</v>
      </c>
      <c r="E198" s="13">
        <v>92.684600000000003</v>
      </c>
      <c r="F198" s="13">
        <f t="shared" si="7"/>
        <v>44.684600000000003</v>
      </c>
      <c r="G198" s="14" t="s">
        <v>461</v>
      </c>
      <c r="H198" s="17" t="s">
        <v>70</v>
      </c>
      <c r="I198" s="23"/>
    </row>
    <row r="199" spans="1:9" x14ac:dyDescent="0.2">
      <c r="A199" s="10">
        <v>3</v>
      </c>
      <c r="B199" s="1" t="s">
        <v>65</v>
      </c>
      <c r="C199" s="2">
        <v>4</v>
      </c>
      <c r="D199" s="27">
        <v>24</v>
      </c>
      <c r="E199" s="13">
        <v>102.6722</v>
      </c>
      <c r="F199" s="13">
        <f t="shared" si="7"/>
        <v>78.672200000000004</v>
      </c>
      <c r="G199" s="14" t="s">
        <v>461</v>
      </c>
      <c r="H199" s="17" t="s">
        <v>70</v>
      </c>
      <c r="I199" s="23"/>
    </row>
    <row r="200" spans="1:9" x14ac:dyDescent="0.2">
      <c r="A200" s="10">
        <v>3</v>
      </c>
      <c r="B200" s="1" t="s">
        <v>28</v>
      </c>
      <c r="C200" s="2">
        <v>5</v>
      </c>
      <c r="D200" s="27">
        <v>5</v>
      </c>
      <c r="E200" s="13">
        <v>12.603399999999999</v>
      </c>
      <c r="F200" s="13">
        <f t="shared" si="7"/>
        <v>7.6033999999999988</v>
      </c>
      <c r="G200" s="14" t="s">
        <v>461</v>
      </c>
      <c r="H200" s="17" t="s">
        <v>70</v>
      </c>
      <c r="I200" s="23"/>
    </row>
    <row r="201" spans="1:9" x14ac:dyDescent="0.2">
      <c r="A201" s="10">
        <v>3</v>
      </c>
      <c r="B201" s="1" t="s">
        <v>85</v>
      </c>
      <c r="C201" s="2">
        <v>5</v>
      </c>
      <c r="D201" s="27">
        <v>30</v>
      </c>
      <c r="E201" s="13">
        <v>61.778800000000004</v>
      </c>
      <c r="F201" s="13">
        <f t="shared" si="7"/>
        <v>31.778800000000004</v>
      </c>
      <c r="G201" s="14" t="s">
        <v>461</v>
      </c>
      <c r="H201" s="17" t="s">
        <v>70</v>
      </c>
      <c r="I201" s="23"/>
    </row>
    <row r="202" spans="1:9" x14ac:dyDescent="0.2">
      <c r="A202" s="10">
        <v>3</v>
      </c>
      <c r="B202" s="1" t="s">
        <v>64</v>
      </c>
      <c r="C202" s="2">
        <v>6</v>
      </c>
      <c r="D202" s="27">
        <v>33</v>
      </c>
      <c r="E202" s="13">
        <v>109.60939999999999</v>
      </c>
      <c r="F202" s="13">
        <f t="shared" si="7"/>
        <v>76.609399999999994</v>
      </c>
      <c r="G202" s="14" t="s">
        <v>461</v>
      </c>
      <c r="H202" s="17" t="s">
        <v>70</v>
      </c>
      <c r="I202" s="23"/>
    </row>
    <row r="203" spans="1:9" x14ac:dyDescent="0.2">
      <c r="A203" s="10">
        <v>3</v>
      </c>
      <c r="B203" s="1" t="s">
        <v>144</v>
      </c>
      <c r="C203" s="2">
        <v>7</v>
      </c>
      <c r="D203" s="27">
        <v>35</v>
      </c>
      <c r="E203" s="13">
        <v>65.1982</v>
      </c>
      <c r="F203" s="13">
        <f t="shared" si="7"/>
        <v>30.1982</v>
      </c>
      <c r="G203" s="14" t="s">
        <v>461</v>
      </c>
      <c r="H203" s="17" t="s">
        <v>70</v>
      </c>
      <c r="I203" s="23"/>
    </row>
    <row r="204" spans="1:9" x14ac:dyDescent="0.2">
      <c r="A204" s="10">
        <v>3</v>
      </c>
      <c r="B204" s="1" t="s">
        <v>145</v>
      </c>
      <c r="C204" s="2">
        <v>8</v>
      </c>
      <c r="D204" s="27">
        <v>16</v>
      </c>
      <c r="E204" s="13">
        <v>21.4922</v>
      </c>
      <c r="F204" s="13">
        <f>E204-D204</f>
        <v>5.4922000000000004</v>
      </c>
      <c r="G204" s="14" t="s">
        <v>461</v>
      </c>
      <c r="H204" s="17" t="s">
        <v>70</v>
      </c>
      <c r="I204" s="23"/>
    </row>
    <row r="205" spans="1:9" x14ac:dyDescent="0.2">
      <c r="A205" s="10">
        <v>3</v>
      </c>
      <c r="B205" s="1" t="s">
        <v>144</v>
      </c>
      <c r="C205" s="2">
        <v>13</v>
      </c>
      <c r="D205" s="27">
        <v>390</v>
      </c>
      <c r="E205" s="13">
        <v>580.15819999999997</v>
      </c>
      <c r="F205" s="13">
        <f>E205-D205</f>
        <v>190.15819999999997</v>
      </c>
      <c r="G205" s="14" t="s">
        <v>461</v>
      </c>
      <c r="H205" s="17" t="s">
        <v>70</v>
      </c>
      <c r="I205" s="23"/>
    </row>
    <row r="206" spans="1:9" x14ac:dyDescent="0.2">
      <c r="A206" s="10">
        <v>3</v>
      </c>
      <c r="B206" s="1" t="s">
        <v>166</v>
      </c>
      <c r="C206" s="2">
        <v>14</v>
      </c>
      <c r="D206" s="27">
        <v>490</v>
      </c>
      <c r="E206" s="13">
        <v>791.84119999999996</v>
      </c>
      <c r="F206" s="13">
        <f t="shared" si="7"/>
        <v>301.84119999999996</v>
      </c>
      <c r="G206" s="14" t="s">
        <v>461</v>
      </c>
      <c r="H206" s="17" t="s">
        <v>70</v>
      </c>
      <c r="I206" s="23"/>
    </row>
    <row r="207" spans="1:9" x14ac:dyDescent="0.2">
      <c r="A207" s="10">
        <v>3</v>
      </c>
      <c r="B207" s="1" t="s">
        <v>185</v>
      </c>
      <c r="C207" s="2">
        <v>39</v>
      </c>
      <c r="D207" s="27">
        <v>156</v>
      </c>
      <c r="E207" s="13">
        <v>288.75479999999999</v>
      </c>
      <c r="F207" s="13">
        <f>E207-D207</f>
        <v>132.75479999999999</v>
      </c>
      <c r="G207" s="14" t="s">
        <v>461</v>
      </c>
      <c r="H207" s="17" t="s">
        <v>70</v>
      </c>
      <c r="I207" s="23"/>
    </row>
    <row r="208" spans="1:9" x14ac:dyDescent="0.2">
      <c r="A208" s="10">
        <v>3</v>
      </c>
      <c r="B208" s="1" t="s">
        <v>66</v>
      </c>
      <c r="C208" s="2">
        <v>44</v>
      </c>
      <c r="D208" s="27">
        <v>308</v>
      </c>
      <c r="E208" s="13">
        <v>621.41240000000005</v>
      </c>
      <c r="F208" s="13">
        <f t="shared" si="7"/>
        <v>313.41240000000005</v>
      </c>
      <c r="G208" s="14" t="s">
        <v>461</v>
      </c>
      <c r="H208" s="17" t="s">
        <v>70</v>
      </c>
      <c r="I208" s="23"/>
    </row>
    <row r="209" spans="1:9" x14ac:dyDescent="0.2">
      <c r="A209" s="10">
        <v>3</v>
      </c>
      <c r="B209" s="1" t="s">
        <v>167</v>
      </c>
      <c r="C209" s="2">
        <v>54</v>
      </c>
      <c r="D209" s="27">
        <v>2160</v>
      </c>
      <c r="E209" s="13">
        <v>3299.6800000000003</v>
      </c>
      <c r="F209" s="13">
        <f>E209-D209</f>
        <v>1139.6800000000003</v>
      </c>
      <c r="G209" s="14" t="s">
        <v>461</v>
      </c>
      <c r="H209" s="17" t="s">
        <v>70</v>
      </c>
      <c r="I209" s="23"/>
    </row>
    <row r="210" spans="1:9" x14ac:dyDescent="0.2">
      <c r="A210" s="10">
        <v>3</v>
      </c>
      <c r="B210" s="15" t="s">
        <v>144</v>
      </c>
      <c r="C210" s="14">
        <v>3</v>
      </c>
      <c r="D210" s="13">
        <f>40*C210</f>
        <v>120</v>
      </c>
      <c r="E210" s="13">
        <v>297</v>
      </c>
      <c r="F210" s="13">
        <f t="shared" si="7"/>
        <v>177</v>
      </c>
      <c r="G210" s="14" t="s">
        <v>461</v>
      </c>
      <c r="H210" s="17" t="s">
        <v>70</v>
      </c>
      <c r="I210" s="23"/>
    </row>
    <row r="211" spans="1:9" x14ac:dyDescent="0.2">
      <c r="A211" s="10">
        <v>3</v>
      </c>
      <c r="B211" s="15" t="s">
        <v>146</v>
      </c>
      <c r="C211" s="14">
        <v>5</v>
      </c>
      <c r="D211" s="13">
        <f>7*C211</f>
        <v>35</v>
      </c>
      <c r="E211" s="13">
        <f>101.38-(101.38*18%)</f>
        <v>83.131599999999992</v>
      </c>
      <c r="F211" s="13">
        <f t="shared" si="7"/>
        <v>48.131599999999992</v>
      </c>
      <c r="G211" s="14" t="s">
        <v>461</v>
      </c>
      <c r="H211" s="17" t="s">
        <v>70</v>
      </c>
      <c r="I211" s="23"/>
    </row>
    <row r="212" spans="1:9" x14ac:dyDescent="0.2">
      <c r="A212" s="28">
        <v>4</v>
      </c>
      <c r="B212" s="29" t="s">
        <v>147</v>
      </c>
      <c r="C212" s="2">
        <v>1</v>
      </c>
      <c r="D212" s="31">
        <v>3</v>
      </c>
      <c r="E212" s="31">
        <v>6</v>
      </c>
      <c r="F212" s="31">
        <f>E212-D212</f>
        <v>3</v>
      </c>
      <c r="G212" s="14" t="s">
        <v>461</v>
      </c>
      <c r="H212" s="32" t="s">
        <v>460</v>
      </c>
      <c r="I212" s="33"/>
    </row>
    <row r="213" spans="1:9" x14ac:dyDescent="0.2">
      <c r="A213" s="28">
        <v>4</v>
      </c>
      <c r="B213" s="35" t="s">
        <v>148</v>
      </c>
      <c r="C213" s="2">
        <v>1</v>
      </c>
      <c r="D213" s="36">
        <v>11</v>
      </c>
      <c r="E213" s="36">
        <v>20</v>
      </c>
      <c r="F213" s="36">
        <f t="shared" ref="F213:F237" si="8">E213-D213</f>
        <v>9</v>
      </c>
      <c r="G213" s="14" t="s">
        <v>461</v>
      </c>
      <c r="H213" s="37" t="s">
        <v>460</v>
      </c>
      <c r="I213" s="38"/>
    </row>
    <row r="214" spans="1:9" x14ac:dyDescent="0.2">
      <c r="A214" s="28">
        <v>4</v>
      </c>
      <c r="B214" s="29" t="s">
        <v>148</v>
      </c>
      <c r="C214" s="2">
        <v>1</v>
      </c>
      <c r="D214" s="31">
        <v>11</v>
      </c>
      <c r="E214" s="31">
        <v>20</v>
      </c>
      <c r="F214" s="31">
        <f t="shared" si="8"/>
        <v>9</v>
      </c>
      <c r="G214" s="14" t="s">
        <v>461</v>
      </c>
      <c r="H214" s="32" t="s">
        <v>460</v>
      </c>
      <c r="I214" s="33"/>
    </row>
    <row r="215" spans="1:9" x14ac:dyDescent="0.2">
      <c r="A215" s="28">
        <v>4</v>
      </c>
      <c r="B215" s="35" t="s">
        <v>149</v>
      </c>
      <c r="C215" s="2">
        <v>1</v>
      </c>
      <c r="D215" s="36">
        <v>18.5</v>
      </c>
      <c r="E215" s="36">
        <v>40</v>
      </c>
      <c r="F215" s="36">
        <f t="shared" si="8"/>
        <v>21.5</v>
      </c>
      <c r="G215" s="14" t="s">
        <v>461</v>
      </c>
      <c r="H215" s="37" t="s">
        <v>460</v>
      </c>
      <c r="I215" s="38"/>
    </row>
    <row r="216" spans="1:9" x14ac:dyDescent="0.2">
      <c r="A216" s="28">
        <v>4</v>
      </c>
      <c r="B216" s="29" t="s">
        <v>151</v>
      </c>
      <c r="C216" s="2">
        <v>1</v>
      </c>
      <c r="D216" s="31">
        <v>70</v>
      </c>
      <c r="E216" s="31">
        <v>120</v>
      </c>
      <c r="F216" s="31">
        <f t="shared" si="8"/>
        <v>50</v>
      </c>
      <c r="G216" s="14" t="s">
        <v>461</v>
      </c>
      <c r="H216" s="32" t="s">
        <v>460</v>
      </c>
      <c r="I216" s="33"/>
    </row>
    <row r="217" spans="1:9" x14ac:dyDescent="0.2">
      <c r="A217" s="28">
        <v>4</v>
      </c>
      <c r="B217" s="35" t="s">
        <v>151</v>
      </c>
      <c r="C217" s="2">
        <v>1</v>
      </c>
      <c r="D217" s="36">
        <v>70</v>
      </c>
      <c r="E217" s="36">
        <v>120</v>
      </c>
      <c r="F217" s="36">
        <f t="shared" si="8"/>
        <v>50</v>
      </c>
      <c r="G217" s="14" t="s">
        <v>461</v>
      </c>
      <c r="H217" s="37" t="s">
        <v>460</v>
      </c>
      <c r="I217" s="38"/>
    </row>
    <row r="218" spans="1:9" x14ac:dyDescent="0.2">
      <c r="A218" s="28">
        <v>4</v>
      </c>
      <c r="B218" s="29" t="s">
        <v>152</v>
      </c>
      <c r="C218" s="2">
        <v>1</v>
      </c>
      <c r="D218" s="31">
        <v>45</v>
      </c>
      <c r="E218" s="31">
        <v>100</v>
      </c>
      <c r="F218" s="31">
        <f t="shared" si="8"/>
        <v>55</v>
      </c>
      <c r="G218" s="14" t="s">
        <v>461</v>
      </c>
      <c r="H218" s="32" t="s">
        <v>460</v>
      </c>
      <c r="I218" s="33"/>
    </row>
    <row r="219" spans="1:9" x14ac:dyDescent="0.2">
      <c r="A219" s="28">
        <v>4</v>
      </c>
      <c r="B219" s="35" t="s">
        <v>97</v>
      </c>
      <c r="C219" s="2">
        <v>1</v>
      </c>
      <c r="D219" s="36">
        <v>18</v>
      </c>
      <c r="E219" s="36">
        <v>40</v>
      </c>
      <c r="F219" s="36">
        <f t="shared" si="8"/>
        <v>22</v>
      </c>
      <c r="G219" s="14" t="s">
        <v>461</v>
      </c>
      <c r="H219" s="37" t="s">
        <v>460</v>
      </c>
      <c r="I219" s="38"/>
    </row>
    <row r="220" spans="1:9" x14ac:dyDescent="0.2">
      <c r="A220" s="28">
        <v>4</v>
      </c>
      <c r="B220" s="29" t="s">
        <v>97</v>
      </c>
      <c r="C220" s="2">
        <v>1</v>
      </c>
      <c r="D220" s="31">
        <v>18</v>
      </c>
      <c r="E220" s="31">
        <v>40</v>
      </c>
      <c r="F220" s="31">
        <f t="shared" si="8"/>
        <v>22</v>
      </c>
      <c r="G220" s="14" t="s">
        <v>461</v>
      </c>
      <c r="H220" s="32" t="s">
        <v>460</v>
      </c>
      <c r="I220" s="33"/>
    </row>
    <row r="221" spans="1:9" x14ac:dyDescent="0.2">
      <c r="A221" s="28">
        <v>4</v>
      </c>
      <c r="B221" s="35" t="s">
        <v>153</v>
      </c>
      <c r="C221" s="2">
        <v>1</v>
      </c>
      <c r="D221" s="36">
        <v>40</v>
      </c>
      <c r="E221" s="36">
        <v>80</v>
      </c>
      <c r="F221" s="36">
        <f t="shared" si="8"/>
        <v>40</v>
      </c>
      <c r="G221" s="14" t="s">
        <v>461</v>
      </c>
      <c r="H221" s="37" t="s">
        <v>460</v>
      </c>
      <c r="I221" s="38"/>
    </row>
    <row r="222" spans="1:9" x14ac:dyDescent="0.2">
      <c r="A222" s="28">
        <v>4</v>
      </c>
      <c r="B222" s="29" t="s">
        <v>154</v>
      </c>
      <c r="C222" s="2">
        <v>1</v>
      </c>
      <c r="D222" s="31">
        <v>10</v>
      </c>
      <c r="E222" s="31">
        <v>30</v>
      </c>
      <c r="F222" s="31">
        <f t="shared" si="8"/>
        <v>20</v>
      </c>
      <c r="G222" s="14" t="s">
        <v>461</v>
      </c>
      <c r="H222" s="32" t="s">
        <v>460</v>
      </c>
      <c r="I222" s="33"/>
    </row>
    <row r="223" spans="1:9" x14ac:dyDescent="0.2">
      <c r="A223" s="28">
        <v>4</v>
      </c>
      <c r="B223" s="35" t="s">
        <v>8</v>
      </c>
      <c r="C223" s="2">
        <v>1</v>
      </c>
      <c r="D223" s="36">
        <v>40</v>
      </c>
      <c r="E223" s="36">
        <v>70</v>
      </c>
      <c r="F223" s="36">
        <f t="shared" si="8"/>
        <v>30</v>
      </c>
      <c r="G223" s="14" t="s">
        <v>461</v>
      </c>
      <c r="H223" s="37" t="s">
        <v>460</v>
      </c>
      <c r="I223" s="38"/>
    </row>
    <row r="224" spans="1:9" x14ac:dyDescent="0.2">
      <c r="A224" s="28">
        <v>4</v>
      </c>
      <c r="B224" s="29" t="s">
        <v>155</v>
      </c>
      <c r="C224" s="2">
        <v>1</v>
      </c>
      <c r="D224" s="31">
        <v>12</v>
      </c>
      <c r="E224" s="31">
        <v>25</v>
      </c>
      <c r="F224" s="31">
        <f t="shared" si="8"/>
        <v>13</v>
      </c>
      <c r="G224" s="14" t="s">
        <v>461</v>
      </c>
      <c r="H224" s="32" t="s">
        <v>460</v>
      </c>
      <c r="I224" s="33"/>
    </row>
    <row r="225" spans="1:9" x14ac:dyDescent="0.2">
      <c r="A225" s="28">
        <v>4</v>
      </c>
      <c r="B225" s="35" t="s">
        <v>155</v>
      </c>
      <c r="C225" s="2">
        <v>1</v>
      </c>
      <c r="D225" s="36">
        <v>12</v>
      </c>
      <c r="E225" s="36">
        <v>25</v>
      </c>
      <c r="F225" s="36">
        <f t="shared" si="8"/>
        <v>13</v>
      </c>
      <c r="G225" s="14" t="s">
        <v>461</v>
      </c>
      <c r="H225" s="37" t="s">
        <v>460</v>
      </c>
      <c r="I225" s="38"/>
    </row>
    <row r="226" spans="1:9" x14ac:dyDescent="0.2">
      <c r="A226" s="28">
        <v>4</v>
      </c>
      <c r="B226" s="29" t="s">
        <v>148</v>
      </c>
      <c r="C226" s="2">
        <v>1</v>
      </c>
      <c r="D226" s="31">
        <v>11</v>
      </c>
      <c r="E226" s="31">
        <v>25</v>
      </c>
      <c r="F226" s="31">
        <f t="shared" si="8"/>
        <v>14</v>
      </c>
      <c r="G226" s="14" t="s">
        <v>461</v>
      </c>
      <c r="H226" s="32" t="s">
        <v>460</v>
      </c>
      <c r="I226" s="33"/>
    </row>
    <row r="227" spans="1:9" x14ac:dyDescent="0.2">
      <c r="A227" s="28">
        <v>4</v>
      </c>
      <c r="B227" s="35" t="s">
        <v>148</v>
      </c>
      <c r="C227" s="2">
        <v>1</v>
      </c>
      <c r="D227" s="36">
        <v>11</v>
      </c>
      <c r="E227" s="36">
        <v>25</v>
      </c>
      <c r="F227" s="36">
        <f t="shared" si="8"/>
        <v>14</v>
      </c>
      <c r="G227" s="14" t="s">
        <v>461</v>
      </c>
      <c r="H227" s="37" t="s">
        <v>460</v>
      </c>
      <c r="I227" s="38"/>
    </row>
    <row r="228" spans="1:9" x14ac:dyDescent="0.2">
      <c r="A228" s="28">
        <v>4</v>
      </c>
      <c r="B228" s="29" t="s">
        <v>156</v>
      </c>
      <c r="C228" s="2">
        <v>1</v>
      </c>
      <c r="D228" s="31">
        <v>2</v>
      </c>
      <c r="E228" s="31">
        <v>5</v>
      </c>
      <c r="F228" s="31">
        <f t="shared" si="8"/>
        <v>3</v>
      </c>
      <c r="G228" s="14" t="s">
        <v>461</v>
      </c>
      <c r="H228" s="32" t="s">
        <v>460</v>
      </c>
      <c r="I228" s="33"/>
    </row>
    <row r="229" spans="1:9" x14ac:dyDescent="0.2">
      <c r="A229" s="28">
        <v>4</v>
      </c>
      <c r="B229" s="35" t="s">
        <v>157</v>
      </c>
      <c r="C229" s="2">
        <v>1</v>
      </c>
      <c r="D229" s="36">
        <v>25</v>
      </c>
      <c r="E229" s="36">
        <v>45</v>
      </c>
      <c r="F229" s="36">
        <f t="shared" si="8"/>
        <v>20</v>
      </c>
      <c r="G229" s="14" t="s">
        <v>461</v>
      </c>
      <c r="H229" s="37" t="s">
        <v>460</v>
      </c>
      <c r="I229" s="38"/>
    </row>
    <row r="230" spans="1:9" x14ac:dyDescent="0.2">
      <c r="A230" s="28">
        <v>4</v>
      </c>
      <c r="B230" s="29" t="s">
        <v>158</v>
      </c>
      <c r="C230" s="2">
        <v>1</v>
      </c>
      <c r="D230" s="31">
        <v>8</v>
      </c>
      <c r="E230" s="31">
        <v>20</v>
      </c>
      <c r="F230" s="31">
        <f t="shared" si="8"/>
        <v>12</v>
      </c>
      <c r="G230" s="14" t="s">
        <v>461</v>
      </c>
      <c r="H230" s="32" t="s">
        <v>460</v>
      </c>
      <c r="I230" s="33"/>
    </row>
    <row r="231" spans="1:9" x14ac:dyDescent="0.2">
      <c r="A231" s="28">
        <v>4</v>
      </c>
      <c r="B231" s="35" t="s">
        <v>159</v>
      </c>
      <c r="C231" s="2">
        <v>1</v>
      </c>
      <c r="D231" s="36">
        <v>5.5</v>
      </c>
      <c r="E231" s="36">
        <v>20</v>
      </c>
      <c r="F231" s="36">
        <f t="shared" si="8"/>
        <v>14.5</v>
      </c>
      <c r="G231" s="14" t="s">
        <v>461</v>
      </c>
      <c r="H231" s="37" t="s">
        <v>460</v>
      </c>
      <c r="I231" s="38"/>
    </row>
    <row r="232" spans="1:9" x14ac:dyDescent="0.2">
      <c r="A232" s="28">
        <v>4</v>
      </c>
      <c r="B232" s="29" t="s">
        <v>160</v>
      </c>
      <c r="C232" s="2">
        <v>1</v>
      </c>
      <c r="D232" s="31">
        <v>50</v>
      </c>
      <c r="E232" s="31">
        <v>100</v>
      </c>
      <c r="F232" s="31">
        <f t="shared" si="8"/>
        <v>50</v>
      </c>
      <c r="G232" s="14" t="s">
        <v>461</v>
      </c>
      <c r="H232" s="37" t="s">
        <v>460</v>
      </c>
      <c r="I232" s="38"/>
    </row>
    <row r="233" spans="1:9" x14ac:dyDescent="0.2">
      <c r="A233" s="28">
        <v>4</v>
      </c>
      <c r="B233" s="35" t="s">
        <v>152</v>
      </c>
      <c r="C233" s="2">
        <v>1</v>
      </c>
      <c r="D233" s="36">
        <v>5</v>
      </c>
      <c r="E233" s="36">
        <v>10</v>
      </c>
      <c r="F233" s="36">
        <f t="shared" si="8"/>
        <v>5</v>
      </c>
      <c r="G233" s="14" t="s">
        <v>461</v>
      </c>
      <c r="H233" s="37" t="s">
        <v>460</v>
      </c>
      <c r="I233" s="38"/>
    </row>
    <row r="234" spans="1:9" x14ac:dyDescent="0.2">
      <c r="A234" s="28">
        <v>4</v>
      </c>
      <c r="B234" s="29" t="s">
        <v>161</v>
      </c>
      <c r="C234" s="2">
        <v>1</v>
      </c>
      <c r="D234" s="31">
        <f>(2*4)+(2*3)</f>
        <v>14</v>
      </c>
      <c r="E234" s="31">
        <v>30</v>
      </c>
      <c r="F234" s="31">
        <f t="shared" si="8"/>
        <v>16</v>
      </c>
      <c r="G234" s="14" t="s">
        <v>461</v>
      </c>
      <c r="H234" s="37" t="s">
        <v>460</v>
      </c>
      <c r="I234" s="38"/>
    </row>
    <row r="235" spans="1:9" x14ac:dyDescent="0.2">
      <c r="A235" s="28">
        <v>4</v>
      </c>
      <c r="B235" s="35" t="s">
        <v>162</v>
      </c>
      <c r="C235" s="2">
        <v>1</v>
      </c>
      <c r="D235" s="36">
        <v>25</v>
      </c>
      <c r="E235" s="36">
        <v>50</v>
      </c>
      <c r="F235" s="36">
        <f t="shared" si="8"/>
        <v>25</v>
      </c>
      <c r="G235" s="14" t="s">
        <v>461</v>
      </c>
      <c r="H235" s="37" t="s">
        <v>460</v>
      </c>
      <c r="I235" s="38"/>
    </row>
    <row r="236" spans="1:9" x14ac:dyDescent="0.2">
      <c r="A236" s="28">
        <v>4</v>
      </c>
      <c r="B236" s="29" t="s">
        <v>163</v>
      </c>
      <c r="C236" s="2">
        <v>1</v>
      </c>
      <c r="D236" s="31">
        <v>5</v>
      </c>
      <c r="E236" s="31">
        <v>10</v>
      </c>
      <c r="F236" s="31">
        <f t="shared" si="8"/>
        <v>5</v>
      </c>
      <c r="G236" s="14" t="s">
        <v>461</v>
      </c>
      <c r="H236" s="37" t="s">
        <v>460</v>
      </c>
      <c r="I236" s="38"/>
    </row>
    <row r="237" spans="1:9" x14ac:dyDescent="0.2">
      <c r="A237" s="28">
        <v>4</v>
      </c>
      <c r="B237" s="35" t="s">
        <v>164</v>
      </c>
      <c r="C237" s="2">
        <v>1</v>
      </c>
      <c r="D237" s="36">
        <v>40</v>
      </c>
      <c r="E237" s="36">
        <v>80</v>
      </c>
      <c r="F237" s="36">
        <f t="shared" si="8"/>
        <v>40</v>
      </c>
      <c r="G237" s="14" t="s">
        <v>461</v>
      </c>
      <c r="H237" s="37" t="s">
        <v>460</v>
      </c>
      <c r="I237" s="38"/>
    </row>
    <row r="238" spans="1:9" x14ac:dyDescent="0.2">
      <c r="A238" s="28">
        <v>4</v>
      </c>
      <c r="B238" s="29" t="s">
        <v>165</v>
      </c>
      <c r="C238" s="2">
        <v>1</v>
      </c>
      <c r="D238" s="31">
        <v>28</v>
      </c>
      <c r="E238" s="31">
        <v>60</v>
      </c>
      <c r="F238" s="31">
        <v>20.730999999999995</v>
      </c>
      <c r="G238" s="14" t="s">
        <v>461</v>
      </c>
      <c r="H238" s="32" t="s">
        <v>460</v>
      </c>
      <c r="I238" s="33"/>
    </row>
    <row r="239" spans="1:9" x14ac:dyDescent="0.2">
      <c r="A239" s="28">
        <v>4</v>
      </c>
      <c r="B239" s="39" t="s">
        <v>64</v>
      </c>
      <c r="C239" s="40">
        <v>6</v>
      </c>
      <c r="D239" s="41">
        <v>42</v>
      </c>
      <c r="E239" s="41">
        <v>90</v>
      </c>
      <c r="F239" s="36">
        <v>39.36</v>
      </c>
      <c r="G239" s="14" t="s">
        <v>461</v>
      </c>
      <c r="H239" s="37" t="s">
        <v>6</v>
      </c>
      <c r="I239" s="38"/>
    </row>
    <row r="240" spans="1:9" x14ac:dyDescent="0.2">
      <c r="A240" s="28">
        <v>4</v>
      </c>
      <c r="B240" s="39" t="s">
        <v>21</v>
      </c>
      <c r="C240" s="40">
        <v>1</v>
      </c>
      <c r="D240" s="41">
        <v>7</v>
      </c>
      <c r="E240" s="41">
        <v>13.72</v>
      </c>
      <c r="F240" s="31">
        <v>5.5104000000000006</v>
      </c>
      <c r="G240" s="14" t="s">
        <v>461</v>
      </c>
      <c r="H240" s="37" t="s">
        <v>6</v>
      </c>
      <c r="I240" s="33"/>
    </row>
    <row r="241" spans="1:9" x14ac:dyDescent="0.2">
      <c r="A241" s="28">
        <v>4</v>
      </c>
      <c r="B241" s="39" t="s">
        <v>62</v>
      </c>
      <c r="C241" s="40">
        <v>7</v>
      </c>
      <c r="D241" s="41">
        <v>21</v>
      </c>
      <c r="E241" s="41">
        <v>260.77999999999997</v>
      </c>
      <c r="F241" s="36">
        <v>196.61959999999999</v>
      </c>
      <c r="G241" s="14" t="s">
        <v>461</v>
      </c>
      <c r="H241" s="37" t="s">
        <v>6</v>
      </c>
      <c r="I241" s="38"/>
    </row>
    <row r="242" spans="1:9" x14ac:dyDescent="0.2">
      <c r="A242" s="28">
        <v>4</v>
      </c>
      <c r="B242" s="39" t="s">
        <v>67</v>
      </c>
      <c r="C242" s="40">
        <v>3</v>
      </c>
      <c r="D242" s="41">
        <v>114</v>
      </c>
      <c r="E242" s="41">
        <v>205.57</v>
      </c>
      <c r="F242" s="31">
        <v>75.087400000000002</v>
      </c>
      <c r="G242" s="14" t="s">
        <v>461</v>
      </c>
      <c r="H242" s="37" t="s">
        <v>6</v>
      </c>
      <c r="I242" s="33"/>
    </row>
    <row r="243" spans="1:9" x14ac:dyDescent="0.2">
      <c r="A243" s="28">
        <v>4</v>
      </c>
      <c r="B243" s="39" t="s">
        <v>43</v>
      </c>
      <c r="C243" s="40">
        <v>2</v>
      </c>
      <c r="D243" s="41">
        <v>6</v>
      </c>
      <c r="E243" s="41">
        <v>20.83</v>
      </c>
      <c r="F243" s="36">
        <v>12.160599999999999</v>
      </c>
      <c r="G243" s="14" t="s">
        <v>461</v>
      </c>
      <c r="H243" s="37" t="s">
        <v>6</v>
      </c>
      <c r="I243" s="38"/>
    </row>
    <row r="244" spans="1:9" x14ac:dyDescent="0.2">
      <c r="A244" s="28">
        <v>4</v>
      </c>
      <c r="B244" s="39" t="s">
        <v>28</v>
      </c>
      <c r="C244" s="40">
        <v>2</v>
      </c>
      <c r="D244" s="41">
        <v>2</v>
      </c>
      <c r="E244" s="41">
        <v>4.5</v>
      </c>
      <c r="F244" s="31">
        <v>2.0499999999999998</v>
      </c>
      <c r="G244" s="14" t="s">
        <v>461</v>
      </c>
      <c r="H244" s="37" t="s">
        <v>6</v>
      </c>
      <c r="I244" s="33"/>
    </row>
    <row r="245" spans="1:9" x14ac:dyDescent="0.2">
      <c r="A245" s="28">
        <v>4</v>
      </c>
      <c r="B245" s="39" t="s">
        <v>174</v>
      </c>
      <c r="C245" s="40">
        <v>1</v>
      </c>
      <c r="D245" s="41">
        <v>40</v>
      </c>
      <c r="E245" s="41">
        <v>57.26</v>
      </c>
      <c r="F245" s="36">
        <v>14.153199999999998</v>
      </c>
      <c r="G245" s="14" t="s">
        <v>461</v>
      </c>
      <c r="H245" s="37" t="s">
        <v>6</v>
      </c>
      <c r="I245" s="38"/>
    </row>
    <row r="246" spans="1:9" x14ac:dyDescent="0.2">
      <c r="A246" s="28">
        <v>4</v>
      </c>
      <c r="B246" s="39" t="s">
        <v>40</v>
      </c>
      <c r="C246" s="40">
        <v>5</v>
      </c>
      <c r="D246" s="41">
        <v>5</v>
      </c>
      <c r="E246" s="41">
        <v>11.25</v>
      </c>
      <c r="F246" s="31">
        <v>5.125</v>
      </c>
      <c r="G246" s="14" t="s">
        <v>461</v>
      </c>
      <c r="H246" s="37" t="s">
        <v>6</v>
      </c>
      <c r="I246" s="33"/>
    </row>
    <row r="247" spans="1:9" x14ac:dyDescent="0.2">
      <c r="A247" s="28">
        <v>4</v>
      </c>
      <c r="B247" s="39" t="s">
        <v>83</v>
      </c>
      <c r="C247" s="40">
        <v>2</v>
      </c>
      <c r="D247" s="41">
        <v>24</v>
      </c>
      <c r="E247" s="41">
        <v>81.89</v>
      </c>
      <c r="F247" s="36">
        <v>47.469799999999999</v>
      </c>
      <c r="G247" s="14" t="s">
        <v>461</v>
      </c>
      <c r="H247" s="37" t="s">
        <v>6</v>
      </c>
      <c r="I247" s="38"/>
    </row>
    <row r="248" spans="1:9" x14ac:dyDescent="0.2">
      <c r="A248" s="28">
        <v>4</v>
      </c>
      <c r="B248" s="39" t="s">
        <v>58</v>
      </c>
      <c r="C248" s="40">
        <v>1</v>
      </c>
      <c r="D248" s="41">
        <v>6</v>
      </c>
      <c r="E248" s="41">
        <v>20</v>
      </c>
      <c r="F248" s="31">
        <v>11.48</v>
      </c>
      <c r="G248" s="14" t="s">
        <v>461</v>
      </c>
      <c r="H248" s="37" t="s">
        <v>6</v>
      </c>
      <c r="I248" s="33"/>
    </row>
    <row r="249" spans="1:9" x14ac:dyDescent="0.2">
      <c r="A249" s="28">
        <v>4</v>
      </c>
      <c r="B249" s="39" t="s">
        <v>48</v>
      </c>
      <c r="C249" s="40">
        <v>2</v>
      </c>
      <c r="D249" s="41">
        <v>1</v>
      </c>
      <c r="E249" s="41">
        <v>21.34</v>
      </c>
      <c r="F249" s="36">
        <v>16.678799999999999</v>
      </c>
      <c r="G249" s="14" t="s">
        <v>461</v>
      </c>
      <c r="H249" s="37" t="s">
        <v>6</v>
      </c>
      <c r="I249" s="38"/>
    </row>
    <row r="250" spans="1:9" x14ac:dyDescent="0.2">
      <c r="A250" s="28">
        <v>4</v>
      </c>
      <c r="B250" s="39" t="s">
        <v>25</v>
      </c>
      <c r="C250" s="40">
        <v>1</v>
      </c>
      <c r="D250" s="41">
        <v>1.6</v>
      </c>
      <c r="E250" s="41">
        <v>6.6</v>
      </c>
      <c r="F250" s="31">
        <v>4.0999999999999996</v>
      </c>
      <c r="G250" s="14" t="s">
        <v>461</v>
      </c>
      <c r="H250" s="37" t="s">
        <v>6</v>
      </c>
      <c r="I250" s="33"/>
    </row>
    <row r="251" spans="1:9" x14ac:dyDescent="0.2">
      <c r="A251" s="28">
        <v>4</v>
      </c>
      <c r="B251" s="39" t="s">
        <v>175</v>
      </c>
      <c r="C251" s="40">
        <v>2</v>
      </c>
      <c r="D251" s="41">
        <v>24</v>
      </c>
      <c r="E251" s="41">
        <v>69.7</v>
      </c>
      <c r="F251" s="36">
        <v>37.474000000000004</v>
      </c>
      <c r="G251" s="14" t="s">
        <v>461</v>
      </c>
      <c r="H251" s="37" t="s">
        <v>6</v>
      </c>
      <c r="I251" s="38"/>
    </row>
    <row r="252" spans="1:9" x14ac:dyDescent="0.2">
      <c r="A252" s="28">
        <v>4</v>
      </c>
      <c r="B252" s="39" t="s">
        <v>166</v>
      </c>
      <c r="C252" s="40">
        <v>2</v>
      </c>
      <c r="D252" s="41">
        <v>70</v>
      </c>
      <c r="E252" s="41">
        <v>130.34</v>
      </c>
      <c r="F252" s="31">
        <v>49.478800000000007</v>
      </c>
      <c r="G252" s="14" t="s">
        <v>461</v>
      </c>
      <c r="H252" s="37" t="s">
        <v>6</v>
      </c>
      <c r="I252" s="33"/>
    </row>
    <row r="253" spans="1:9" x14ac:dyDescent="0.2">
      <c r="A253" s="28">
        <v>4</v>
      </c>
      <c r="B253" s="39" t="s">
        <v>42</v>
      </c>
      <c r="C253" s="40">
        <v>1</v>
      </c>
      <c r="D253" s="41">
        <v>6</v>
      </c>
      <c r="E253" s="41">
        <v>10</v>
      </c>
      <c r="F253" s="36">
        <v>3.2800000000000002</v>
      </c>
      <c r="G253" s="14" t="s">
        <v>461</v>
      </c>
      <c r="H253" s="37" t="s">
        <v>6</v>
      </c>
      <c r="I253" s="38"/>
    </row>
    <row r="254" spans="1:9" x14ac:dyDescent="0.2">
      <c r="A254" s="28">
        <v>4</v>
      </c>
      <c r="B254" s="39" t="s">
        <v>176</v>
      </c>
      <c r="C254" s="40">
        <v>1</v>
      </c>
      <c r="D254" s="41">
        <v>2</v>
      </c>
      <c r="E254" s="41">
        <v>14.07</v>
      </c>
      <c r="F254" s="31">
        <v>9.8974000000000011</v>
      </c>
      <c r="G254" s="14" t="s">
        <v>461</v>
      </c>
      <c r="H254" s="37" t="s">
        <v>6</v>
      </c>
      <c r="I254" s="33"/>
    </row>
    <row r="255" spans="1:9" x14ac:dyDescent="0.2">
      <c r="A255" s="28">
        <v>4</v>
      </c>
      <c r="B255" s="39" t="s">
        <v>177</v>
      </c>
      <c r="C255" s="40">
        <v>1</v>
      </c>
      <c r="D255" s="41">
        <v>6</v>
      </c>
      <c r="E255" s="41">
        <v>12</v>
      </c>
      <c r="F255" s="36">
        <v>4.92</v>
      </c>
      <c r="G255" s="14" t="s">
        <v>461</v>
      </c>
      <c r="H255" s="37" t="s">
        <v>6</v>
      </c>
      <c r="I255" s="38"/>
    </row>
    <row r="256" spans="1:9" x14ac:dyDescent="0.2">
      <c r="A256" s="28">
        <v>4</v>
      </c>
      <c r="B256" s="39" t="s">
        <v>84</v>
      </c>
      <c r="C256" s="40">
        <v>1</v>
      </c>
      <c r="D256" s="41">
        <v>2</v>
      </c>
      <c r="E256" s="41">
        <v>5.47</v>
      </c>
      <c r="F256" s="31">
        <v>2.8453999999999997</v>
      </c>
      <c r="G256" s="14" t="s">
        <v>461</v>
      </c>
      <c r="H256" s="37" t="s">
        <v>6</v>
      </c>
      <c r="I256" s="33"/>
    </row>
    <row r="257" spans="1:9" x14ac:dyDescent="0.2">
      <c r="A257" s="28">
        <v>4</v>
      </c>
      <c r="B257" s="39" t="s">
        <v>178</v>
      </c>
      <c r="C257" s="40">
        <v>1</v>
      </c>
      <c r="D257" s="41">
        <v>15</v>
      </c>
      <c r="E257" s="41">
        <v>54.85</v>
      </c>
      <c r="F257" s="36">
        <v>32.677</v>
      </c>
      <c r="G257" s="14" t="s">
        <v>461</v>
      </c>
      <c r="H257" s="37" t="s">
        <v>6</v>
      </c>
      <c r="I257" s="38"/>
    </row>
    <row r="258" spans="1:9" x14ac:dyDescent="0.2">
      <c r="A258" s="28">
        <v>4</v>
      </c>
      <c r="B258" s="39" t="s">
        <v>53</v>
      </c>
      <c r="C258" s="40">
        <v>1</v>
      </c>
      <c r="D258" s="41">
        <v>6</v>
      </c>
      <c r="E258" s="41">
        <v>18.54</v>
      </c>
      <c r="F258" s="31">
        <v>10.2828</v>
      </c>
      <c r="G258" s="14" t="s">
        <v>461</v>
      </c>
      <c r="H258" s="37" t="s">
        <v>6</v>
      </c>
      <c r="I258" s="33"/>
    </row>
    <row r="259" spans="1:9" x14ac:dyDescent="0.2">
      <c r="A259" s="28">
        <v>4</v>
      </c>
      <c r="B259" s="39" t="s">
        <v>179</v>
      </c>
      <c r="C259" s="40">
        <v>2</v>
      </c>
      <c r="D259" s="41">
        <v>10</v>
      </c>
      <c r="E259" s="41">
        <v>27.5</v>
      </c>
      <c r="F259" s="36">
        <v>14.35</v>
      </c>
      <c r="G259" s="14" t="s">
        <v>461</v>
      </c>
      <c r="H259" s="37" t="s">
        <v>6</v>
      </c>
      <c r="I259" s="38"/>
    </row>
    <row r="260" spans="1:9" x14ac:dyDescent="0.2">
      <c r="A260" s="28">
        <v>4</v>
      </c>
      <c r="B260" s="39" t="s">
        <v>85</v>
      </c>
      <c r="C260" s="40">
        <v>1</v>
      </c>
      <c r="D260" s="41">
        <v>6</v>
      </c>
      <c r="E260" s="41">
        <v>20</v>
      </c>
      <c r="F260" s="31">
        <v>11.48</v>
      </c>
      <c r="G260" s="14" t="s">
        <v>461</v>
      </c>
      <c r="H260" s="37" t="s">
        <v>6</v>
      </c>
      <c r="I260" s="33"/>
    </row>
    <row r="261" spans="1:9" x14ac:dyDescent="0.2">
      <c r="A261" s="28">
        <v>4</v>
      </c>
      <c r="B261" s="39" t="s">
        <v>167</v>
      </c>
      <c r="C261" s="40">
        <v>2</v>
      </c>
      <c r="D261" s="41">
        <v>80</v>
      </c>
      <c r="E261" s="41">
        <v>242.3</v>
      </c>
      <c r="F261" s="36">
        <v>133.08600000000001</v>
      </c>
      <c r="G261" s="14" t="s">
        <v>461</v>
      </c>
      <c r="H261" s="37" t="s">
        <v>6</v>
      </c>
      <c r="I261" s="38"/>
    </row>
    <row r="262" spans="1:9" x14ac:dyDescent="0.2">
      <c r="A262" s="28">
        <v>4</v>
      </c>
      <c r="B262" s="39" t="s">
        <v>191</v>
      </c>
      <c r="C262" s="40">
        <v>56</v>
      </c>
      <c r="D262" s="41">
        <v>224</v>
      </c>
      <c r="E262" s="41">
        <v>3942.22</v>
      </c>
      <c r="F262" s="31">
        <v>3048.9404</v>
      </c>
      <c r="G262" s="14" t="s">
        <v>461</v>
      </c>
      <c r="H262" s="37" t="s">
        <v>6</v>
      </c>
      <c r="I262" s="33"/>
    </row>
    <row r="263" spans="1:9" x14ac:dyDescent="0.2">
      <c r="A263" s="28">
        <v>4</v>
      </c>
      <c r="B263" s="39" t="s">
        <v>31</v>
      </c>
      <c r="C263" s="40">
        <v>1</v>
      </c>
      <c r="D263" s="41">
        <v>7</v>
      </c>
      <c r="E263" s="41">
        <v>11.82</v>
      </c>
      <c r="F263" s="36">
        <v>3.9524000000000004</v>
      </c>
      <c r="G263" s="14" t="s">
        <v>461</v>
      </c>
      <c r="H263" s="37" t="s">
        <v>6</v>
      </c>
      <c r="I263" s="38"/>
    </row>
    <row r="264" spans="1:9" x14ac:dyDescent="0.2">
      <c r="A264" s="28">
        <v>4</v>
      </c>
      <c r="B264" s="39" t="s">
        <v>180</v>
      </c>
      <c r="C264" s="40">
        <v>1</v>
      </c>
      <c r="D264" s="41">
        <v>4</v>
      </c>
      <c r="E264" s="41">
        <v>11.34</v>
      </c>
      <c r="F264" s="31">
        <v>6.0187999999999997</v>
      </c>
      <c r="G264" s="14" t="s">
        <v>461</v>
      </c>
      <c r="H264" s="37" t="s">
        <v>6</v>
      </c>
      <c r="I264" s="33"/>
    </row>
    <row r="265" spans="1:9" x14ac:dyDescent="0.2">
      <c r="A265" s="28">
        <v>4</v>
      </c>
      <c r="B265" s="39" t="s">
        <v>181</v>
      </c>
      <c r="C265" s="40">
        <v>2</v>
      </c>
      <c r="D265" s="41">
        <v>30</v>
      </c>
      <c r="E265" s="41">
        <v>55.56</v>
      </c>
      <c r="F265" s="36">
        <v>20.959200000000003</v>
      </c>
      <c r="G265" s="14" t="s">
        <v>461</v>
      </c>
      <c r="H265" s="37" t="s">
        <v>6</v>
      </c>
      <c r="I265" s="38"/>
    </row>
    <row r="266" spans="1:9" x14ac:dyDescent="0.2">
      <c r="A266" s="28">
        <v>4</v>
      </c>
      <c r="B266" s="39" t="s">
        <v>182</v>
      </c>
      <c r="C266" s="40">
        <v>1</v>
      </c>
      <c r="D266" s="41">
        <v>2</v>
      </c>
      <c r="E266" s="41">
        <v>4.54</v>
      </c>
      <c r="F266" s="31">
        <v>2.0828000000000002</v>
      </c>
      <c r="G266" s="14" t="s">
        <v>461</v>
      </c>
      <c r="H266" s="37" t="s">
        <v>6</v>
      </c>
      <c r="I266" s="33"/>
    </row>
    <row r="267" spans="1:9" x14ac:dyDescent="0.2">
      <c r="A267" s="28">
        <v>4</v>
      </c>
      <c r="B267" s="39" t="s">
        <v>183</v>
      </c>
      <c r="C267" s="40">
        <v>5</v>
      </c>
      <c r="D267" s="41">
        <v>125</v>
      </c>
      <c r="E267" s="41">
        <v>117.88</v>
      </c>
      <c r="F267" s="36">
        <v>-5.8384000000000036</v>
      </c>
      <c r="G267" s="14" t="s">
        <v>461</v>
      </c>
      <c r="H267" s="37" t="s">
        <v>6</v>
      </c>
      <c r="I267" s="38"/>
    </row>
    <row r="268" spans="1:9" x14ac:dyDescent="0.2">
      <c r="A268" s="28">
        <v>4</v>
      </c>
      <c r="B268" s="39" t="s">
        <v>184</v>
      </c>
      <c r="C268" s="40">
        <v>1</v>
      </c>
      <c r="D268" s="41">
        <v>50</v>
      </c>
      <c r="E268" s="41">
        <v>100</v>
      </c>
      <c r="F268" s="31">
        <v>41</v>
      </c>
      <c r="G268" s="14" t="s">
        <v>461</v>
      </c>
      <c r="H268" s="37" t="s">
        <v>6</v>
      </c>
      <c r="I268" s="33"/>
    </row>
    <row r="269" spans="1:9" x14ac:dyDescent="0.2">
      <c r="A269" s="28">
        <v>4</v>
      </c>
      <c r="B269" s="39" t="s">
        <v>87</v>
      </c>
      <c r="C269" s="40">
        <v>1</v>
      </c>
      <c r="D269" s="41">
        <v>10</v>
      </c>
      <c r="E269" s="41">
        <v>18.57</v>
      </c>
      <c r="F269" s="36">
        <v>7.0274000000000001</v>
      </c>
      <c r="G269" s="14" t="s">
        <v>461</v>
      </c>
      <c r="H269" s="37" t="s">
        <v>6</v>
      </c>
      <c r="I269" s="38"/>
    </row>
    <row r="270" spans="1:9" x14ac:dyDescent="0.2">
      <c r="A270" s="28">
        <v>4</v>
      </c>
      <c r="B270" s="39" t="s">
        <v>39</v>
      </c>
      <c r="C270" s="40">
        <v>1</v>
      </c>
      <c r="D270" s="41">
        <v>12</v>
      </c>
      <c r="E270" s="41">
        <v>18.75</v>
      </c>
      <c r="F270" s="31">
        <v>5.5350000000000001</v>
      </c>
      <c r="G270" s="14" t="s">
        <v>461</v>
      </c>
      <c r="H270" s="37" t="s">
        <v>6</v>
      </c>
      <c r="I270" s="33"/>
    </row>
    <row r="271" spans="1:9" x14ac:dyDescent="0.2">
      <c r="A271" s="28">
        <v>4</v>
      </c>
      <c r="B271" s="39" t="s">
        <v>185</v>
      </c>
      <c r="C271" s="40">
        <v>18</v>
      </c>
      <c r="D271" s="41">
        <v>72</v>
      </c>
      <c r="E271" s="41">
        <v>152.26</v>
      </c>
      <c r="F271" s="36">
        <v>65.813199999999995</v>
      </c>
      <c r="G271" s="14" t="s">
        <v>461</v>
      </c>
      <c r="H271" s="37" t="s">
        <v>6</v>
      </c>
      <c r="I271" s="38"/>
    </row>
    <row r="272" spans="1:9" x14ac:dyDescent="0.2">
      <c r="A272" s="28">
        <v>4</v>
      </c>
      <c r="B272" s="39" t="s">
        <v>22</v>
      </c>
      <c r="C272" s="40">
        <v>1</v>
      </c>
      <c r="D272" s="41">
        <v>9</v>
      </c>
      <c r="E272" s="41">
        <v>25</v>
      </c>
      <c r="F272" s="31">
        <v>13.120000000000001</v>
      </c>
      <c r="G272" s="14" t="s">
        <v>461</v>
      </c>
      <c r="H272" s="37" t="s">
        <v>6</v>
      </c>
      <c r="I272" s="33"/>
    </row>
    <row r="273" spans="1:9" x14ac:dyDescent="0.2">
      <c r="A273" s="28">
        <v>4</v>
      </c>
      <c r="B273" s="39" t="s">
        <v>66</v>
      </c>
      <c r="C273" s="40">
        <v>18</v>
      </c>
      <c r="D273" s="41">
        <v>126</v>
      </c>
      <c r="E273" s="41">
        <v>312.8</v>
      </c>
      <c r="F273" s="36">
        <v>153.17599999999999</v>
      </c>
      <c r="G273" s="14" t="s">
        <v>461</v>
      </c>
      <c r="H273" s="37" t="s">
        <v>6</v>
      </c>
      <c r="I273" s="38"/>
    </row>
    <row r="274" spans="1:9" x14ac:dyDescent="0.2">
      <c r="A274" s="28">
        <v>4</v>
      </c>
      <c r="B274" s="39" t="s">
        <v>88</v>
      </c>
      <c r="C274" s="40">
        <v>1</v>
      </c>
      <c r="D274" s="41">
        <v>12</v>
      </c>
      <c r="E274" s="41">
        <v>25</v>
      </c>
      <c r="F274" s="31">
        <v>10.66</v>
      </c>
      <c r="G274" s="14" t="s">
        <v>461</v>
      </c>
      <c r="H274" s="37" t="s">
        <v>6</v>
      </c>
      <c r="I274" s="33"/>
    </row>
    <row r="275" spans="1:9" x14ac:dyDescent="0.2">
      <c r="A275" s="28">
        <v>4</v>
      </c>
      <c r="B275" s="39" t="s">
        <v>186</v>
      </c>
      <c r="C275" s="40">
        <v>1</v>
      </c>
      <c r="D275" s="41">
        <v>1</v>
      </c>
      <c r="E275" s="41">
        <v>2.2799999999999998</v>
      </c>
      <c r="F275" s="36">
        <v>1.0495999999999999</v>
      </c>
      <c r="G275" s="14" t="s">
        <v>461</v>
      </c>
      <c r="H275" s="37" t="s">
        <v>6</v>
      </c>
      <c r="I275" s="38"/>
    </row>
    <row r="276" spans="1:9" x14ac:dyDescent="0.2">
      <c r="A276" s="28">
        <v>4</v>
      </c>
      <c r="B276" s="39" t="s">
        <v>68</v>
      </c>
      <c r="C276" s="40">
        <v>2</v>
      </c>
      <c r="D276" s="41">
        <v>11</v>
      </c>
      <c r="E276" s="41">
        <v>41.32</v>
      </c>
      <c r="F276" s="31">
        <v>24.862400000000001</v>
      </c>
      <c r="G276" s="14" t="s">
        <v>461</v>
      </c>
      <c r="H276" s="37" t="s">
        <v>6</v>
      </c>
      <c r="I276" s="33"/>
    </row>
    <row r="277" spans="1:9" x14ac:dyDescent="0.2">
      <c r="A277" s="28">
        <v>4</v>
      </c>
      <c r="B277" s="39" t="s">
        <v>89</v>
      </c>
      <c r="C277" s="40">
        <v>1</v>
      </c>
      <c r="D277" s="41">
        <v>5</v>
      </c>
      <c r="E277" s="41">
        <v>10</v>
      </c>
      <c r="F277" s="36">
        <v>4.0999999999999996</v>
      </c>
      <c r="G277" s="14" t="s">
        <v>461</v>
      </c>
      <c r="H277" s="37" t="s">
        <v>6</v>
      </c>
      <c r="I277" s="38"/>
    </row>
    <row r="278" spans="1:9" x14ac:dyDescent="0.2">
      <c r="A278" s="28">
        <v>4</v>
      </c>
      <c r="B278" s="39" t="s">
        <v>51</v>
      </c>
      <c r="C278" s="40">
        <v>3</v>
      </c>
      <c r="D278" s="41">
        <v>54</v>
      </c>
      <c r="E278" s="41">
        <v>63.89</v>
      </c>
      <c r="F278" s="31">
        <v>8.1097999999999999</v>
      </c>
      <c r="G278" s="14" t="s">
        <v>461</v>
      </c>
      <c r="H278" s="37" t="s">
        <v>6</v>
      </c>
      <c r="I278" s="33"/>
    </row>
    <row r="279" spans="1:9" x14ac:dyDescent="0.2">
      <c r="A279" s="28">
        <v>4</v>
      </c>
      <c r="B279" s="39" t="s">
        <v>187</v>
      </c>
      <c r="C279" s="40">
        <v>1</v>
      </c>
      <c r="D279" s="41">
        <v>0</v>
      </c>
      <c r="E279" s="41">
        <v>10</v>
      </c>
      <c r="F279" s="36">
        <v>8.1999999999999993</v>
      </c>
      <c r="G279" s="14" t="s">
        <v>461</v>
      </c>
      <c r="H279" s="37" t="s">
        <v>6</v>
      </c>
      <c r="I279" s="38"/>
    </row>
    <row r="280" spans="1:9" x14ac:dyDescent="0.2">
      <c r="A280" s="28">
        <v>4</v>
      </c>
      <c r="B280" s="39" t="s">
        <v>90</v>
      </c>
      <c r="C280" s="40">
        <v>1</v>
      </c>
      <c r="D280" s="41">
        <v>10</v>
      </c>
      <c r="E280" s="41">
        <v>22.5</v>
      </c>
      <c r="F280" s="31">
        <v>10.25</v>
      </c>
      <c r="G280" s="14" t="s">
        <v>461</v>
      </c>
      <c r="H280" s="37" t="s">
        <v>6</v>
      </c>
      <c r="I280" s="33"/>
    </row>
    <row r="281" spans="1:9" x14ac:dyDescent="0.2">
      <c r="A281" s="28">
        <v>4</v>
      </c>
      <c r="B281" s="39" t="s">
        <v>188</v>
      </c>
      <c r="C281" s="40">
        <v>1</v>
      </c>
      <c r="D281" s="41">
        <v>9</v>
      </c>
      <c r="E281" s="41">
        <v>24.45</v>
      </c>
      <c r="F281" s="36">
        <v>12.669</v>
      </c>
      <c r="G281" s="14" t="s">
        <v>461</v>
      </c>
      <c r="H281" s="37" t="s">
        <v>6</v>
      </c>
      <c r="I281" s="38"/>
    </row>
    <row r="282" spans="1:9" x14ac:dyDescent="0.2">
      <c r="A282" s="28">
        <v>4</v>
      </c>
      <c r="B282" s="39" t="s">
        <v>142</v>
      </c>
      <c r="C282" s="40">
        <v>4</v>
      </c>
      <c r="D282" s="41">
        <v>2</v>
      </c>
      <c r="E282" s="41">
        <v>10.23</v>
      </c>
      <c r="F282" s="31">
        <v>6.7486000000000006</v>
      </c>
      <c r="G282" s="14" t="s">
        <v>461</v>
      </c>
      <c r="H282" s="37" t="s">
        <v>6</v>
      </c>
      <c r="I282" s="33"/>
    </row>
    <row r="283" spans="1:9" x14ac:dyDescent="0.2">
      <c r="A283" s="28">
        <v>4</v>
      </c>
      <c r="B283" s="39" t="s">
        <v>189</v>
      </c>
      <c r="C283" s="40">
        <v>264</v>
      </c>
      <c r="D283" s="41">
        <v>264</v>
      </c>
      <c r="E283" s="41">
        <v>1576.06</v>
      </c>
      <c r="F283" s="36">
        <v>1075.8892000000001</v>
      </c>
      <c r="G283" s="14" t="s">
        <v>461</v>
      </c>
      <c r="H283" s="37" t="s">
        <v>6</v>
      </c>
      <c r="I283" s="38"/>
    </row>
    <row r="284" spans="1:9" x14ac:dyDescent="0.2">
      <c r="A284" s="28">
        <v>4</v>
      </c>
      <c r="B284" s="39" t="s">
        <v>190</v>
      </c>
      <c r="C284" s="40">
        <v>2</v>
      </c>
      <c r="D284" s="41">
        <v>20</v>
      </c>
      <c r="E284" s="41">
        <v>44.95</v>
      </c>
      <c r="F284" s="31">
        <v>20.459000000000003</v>
      </c>
      <c r="G284" s="14" t="s">
        <v>461</v>
      </c>
      <c r="H284" s="37" t="s">
        <v>6</v>
      </c>
      <c r="I284" s="33"/>
    </row>
    <row r="285" spans="1:9" x14ac:dyDescent="0.2">
      <c r="A285" s="34">
        <v>5</v>
      </c>
      <c r="B285" s="29" t="s">
        <v>172</v>
      </c>
      <c r="C285" s="2">
        <v>1</v>
      </c>
      <c r="D285" s="31">
        <v>50</v>
      </c>
      <c r="E285" s="31">
        <v>100</v>
      </c>
      <c r="F285" s="31">
        <f t="shared" ref="F285:F331" si="9">E285-D285</f>
        <v>50</v>
      </c>
      <c r="G285" s="14" t="s">
        <v>461</v>
      </c>
      <c r="H285" s="32" t="s">
        <v>460</v>
      </c>
      <c r="I285" s="38"/>
    </row>
    <row r="286" spans="1:9" x14ac:dyDescent="0.2">
      <c r="A286" s="28">
        <v>5</v>
      </c>
      <c r="B286" s="29" t="s">
        <v>171</v>
      </c>
      <c r="C286" s="2">
        <v>1</v>
      </c>
      <c r="D286" s="31">
        <v>3.5</v>
      </c>
      <c r="E286" s="31">
        <v>10</v>
      </c>
      <c r="F286" s="31">
        <f t="shared" si="9"/>
        <v>6.5</v>
      </c>
      <c r="G286" s="14" t="s">
        <v>461</v>
      </c>
      <c r="H286" s="32" t="s">
        <v>460</v>
      </c>
      <c r="I286" s="38"/>
    </row>
    <row r="287" spans="1:9" x14ac:dyDescent="0.2">
      <c r="A287" s="28">
        <v>5</v>
      </c>
      <c r="B287" s="29" t="s">
        <v>169</v>
      </c>
      <c r="C287" s="2">
        <v>1</v>
      </c>
      <c r="D287" s="31">
        <v>30</v>
      </c>
      <c r="E287" s="31">
        <v>70</v>
      </c>
      <c r="F287" s="31">
        <f t="shared" si="9"/>
        <v>40</v>
      </c>
      <c r="G287" s="14" t="s">
        <v>461</v>
      </c>
      <c r="H287" s="32" t="s">
        <v>460</v>
      </c>
      <c r="I287" s="38"/>
    </row>
    <row r="288" spans="1:9" x14ac:dyDescent="0.2">
      <c r="A288" s="28">
        <v>5</v>
      </c>
      <c r="B288" s="29" t="s">
        <v>173</v>
      </c>
      <c r="C288" s="2">
        <v>1</v>
      </c>
      <c r="D288" s="31">
        <v>76.5</v>
      </c>
      <c r="E288" s="31">
        <v>118.89</v>
      </c>
      <c r="F288" s="31">
        <f t="shared" si="9"/>
        <v>42.39</v>
      </c>
      <c r="G288" s="14" t="s">
        <v>461</v>
      </c>
      <c r="H288" s="32" t="s">
        <v>460</v>
      </c>
      <c r="I288" s="38"/>
    </row>
    <row r="289" spans="1:14" x14ac:dyDescent="0.2">
      <c r="A289" s="28">
        <v>5</v>
      </c>
      <c r="B289" s="29" t="s">
        <v>173</v>
      </c>
      <c r="C289" s="2">
        <v>1</v>
      </c>
      <c r="D289" s="31">
        <v>76.5</v>
      </c>
      <c r="E289" s="31">
        <v>118.89</v>
      </c>
      <c r="F289" s="31">
        <f t="shared" si="9"/>
        <v>42.39</v>
      </c>
      <c r="G289" s="14" t="s">
        <v>461</v>
      </c>
      <c r="H289" s="32" t="s">
        <v>460</v>
      </c>
      <c r="I289" s="38"/>
    </row>
    <row r="290" spans="1:14" x14ac:dyDescent="0.2">
      <c r="A290" s="28">
        <v>5</v>
      </c>
      <c r="B290" s="29" t="s">
        <v>173</v>
      </c>
      <c r="C290" s="2">
        <v>1</v>
      </c>
      <c r="D290" s="31">
        <v>76.5</v>
      </c>
      <c r="E290" s="31">
        <v>118.89</v>
      </c>
      <c r="F290" s="31">
        <f t="shared" si="9"/>
        <v>42.39</v>
      </c>
      <c r="G290" s="14" t="s">
        <v>461</v>
      </c>
      <c r="H290" s="32" t="s">
        <v>460</v>
      </c>
      <c r="I290" s="38"/>
    </row>
    <row r="291" spans="1:14" x14ac:dyDescent="0.2">
      <c r="A291" s="28">
        <v>5</v>
      </c>
      <c r="B291" s="29" t="s">
        <v>173</v>
      </c>
      <c r="C291" s="2">
        <v>1</v>
      </c>
      <c r="D291" s="31">
        <v>76.5</v>
      </c>
      <c r="E291" s="31">
        <v>118.89</v>
      </c>
      <c r="F291" s="31">
        <f t="shared" si="9"/>
        <v>42.39</v>
      </c>
      <c r="G291" s="14" t="s">
        <v>461</v>
      </c>
      <c r="H291" s="32" t="s">
        <v>460</v>
      </c>
      <c r="I291" s="38"/>
      <c r="L291" s="42"/>
      <c r="M291" s="43"/>
    </row>
    <row r="292" spans="1:14" x14ac:dyDescent="0.2">
      <c r="A292" s="28">
        <v>5</v>
      </c>
      <c r="B292" s="29" t="s">
        <v>192</v>
      </c>
      <c r="C292" s="2">
        <v>1</v>
      </c>
      <c r="D292" s="31"/>
      <c r="E292" s="31">
        <v>350</v>
      </c>
      <c r="F292" s="31">
        <f t="shared" si="9"/>
        <v>350</v>
      </c>
      <c r="G292" s="14" t="s">
        <v>461</v>
      </c>
      <c r="H292" s="32" t="s">
        <v>460</v>
      </c>
      <c r="I292" s="38"/>
      <c r="L292" s="44"/>
      <c r="N292" s="44"/>
    </row>
    <row r="293" spans="1:14" x14ac:dyDescent="0.2">
      <c r="A293" s="28">
        <v>5</v>
      </c>
      <c r="B293" s="29" t="s">
        <v>193</v>
      </c>
      <c r="C293" s="2">
        <v>1</v>
      </c>
      <c r="D293" s="31">
        <v>50</v>
      </c>
      <c r="E293" s="31">
        <v>80</v>
      </c>
      <c r="F293" s="31">
        <f t="shared" si="9"/>
        <v>30</v>
      </c>
      <c r="G293" s="14" t="s">
        <v>461</v>
      </c>
      <c r="H293" s="32" t="s">
        <v>460</v>
      </c>
      <c r="I293" s="38"/>
    </row>
    <row r="294" spans="1:14" x14ac:dyDescent="0.2">
      <c r="A294" s="28">
        <v>5</v>
      </c>
      <c r="B294" s="29" t="s">
        <v>193</v>
      </c>
      <c r="C294" s="2">
        <v>1</v>
      </c>
      <c r="D294" s="31">
        <v>50</v>
      </c>
      <c r="E294" s="31">
        <v>80</v>
      </c>
      <c r="F294" s="31">
        <f t="shared" si="9"/>
        <v>30</v>
      </c>
      <c r="G294" s="14" t="s">
        <v>461</v>
      </c>
      <c r="H294" s="32" t="s">
        <v>460</v>
      </c>
      <c r="I294" s="38"/>
    </row>
    <row r="295" spans="1:14" x14ac:dyDescent="0.2">
      <c r="A295" s="28">
        <v>5</v>
      </c>
      <c r="B295" s="29" t="s">
        <v>193</v>
      </c>
      <c r="C295" s="2">
        <v>1</v>
      </c>
      <c r="D295" s="31">
        <v>50</v>
      </c>
      <c r="E295" s="31">
        <v>80</v>
      </c>
      <c r="F295" s="31">
        <f t="shared" si="9"/>
        <v>30</v>
      </c>
      <c r="G295" s="14" t="s">
        <v>461</v>
      </c>
      <c r="H295" s="32" t="s">
        <v>460</v>
      </c>
      <c r="I295" s="38"/>
    </row>
    <row r="296" spans="1:14" x14ac:dyDescent="0.2">
      <c r="A296" s="28">
        <v>5</v>
      </c>
      <c r="B296" s="29" t="s">
        <v>194</v>
      </c>
      <c r="C296" s="2">
        <v>1</v>
      </c>
      <c r="D296" s="31">
        <v>17</v>
      </c>
      <c r="E296" s="31">
        <v>30</v>
      </c>
      <c r="F296" s="31">
        <f t="shared" si="9"/>
        <v>13</v>
      </c>
      <c r="G296" s="14" t="s">
        <v>461</v>
      </c>
      <c r="H296" s="32" t="s">
        <v>460</v>
      </c>
      <c r="I296" s="38"/>
    </row>
    <row r="297" spans="1:14" x14ac:dyDescent="0.2">
      <c r="A297" s="28">
        <v>5</v>
      </c>
      <c r="B297" s="29" t="s">
        <v>195</v>
      </c>
      <c r="C297" s="2">
        <v>1</v>
      </c>
      <c r="D297" s="31">
        <v>3.5</v>
      </c>
      <c r="E297" s="31">
        <v>5</v>
      </c>
      <c r="F297" s="31">
        <f t="shared" si="9"/>
        <v>1.5</v>
      </c>
      <c r="G297" s="14" t="s">
        <v>461</v>
      </c>
      <c r="H297" s="32" t="s">
        <v>460</v>
      </c>
      <c r="I297" s="38"/>
    </row>
    <row r="298" spans="1:14" x14ac:dyDescent="0.2">
      <c r="A298" s="28">
        <v>5</v>
      </c>
      <c r="B298" s="29" t="s">
        <v>195</v>
      </c>
      <c r="C298" s="2">
        <v>1</v>
      </c>
      <c r="D298" s="31">
        <v>3.5</v>
      </c>
      <c r="E298" s="31">
        <v>5</v>
      </c>
      <c r="F298" s="31">
        <f t="shared" si="9"/>
        <v>1.5</v>
      </c>
      <c r="G298" s="14" t="s">
        <v>461</v>
      </c>
      <c r="H298" s="32" t="s">
        <v>460</v>
      </c>
      <c r="I298" s="38"/>
    </row>
    <row r="299" spans="1:14" x14ac:dyDescent="0.2">
      <c r="A299" s="28">
        <v>5</v>
      </c>
      <c r="B299" s="29" t="s">
        <v>195</v>
      </c>
      <c r="C299" s="2">
        <v>1</v>
      </c>
      <c r="D299" s="31">
        <v>3.5</v>
      </c>
      <c r="E299" s="31">
        <v>5</v>
      </c>
      <c r="F299" s="31">
        <f t="shared" si="9"/>
        <v>1.5</v>
      </c>
      <c r="G299" s="14" t="s">
        <v>461</v>
      </c>
      <c r="H299" s="32" t="s">
        <v>460</v>
      </c>
      <c r="I299" s="38"/>
    </row>
    <row r="300" spans="1:14" x14ac:dyDescent="0.2">
      <c r="A300" s="28">
        <v>5</v>
      </c>
      <c r="B300" s="29" t="s">
        <v>195</v>
      </c>
      <c r="C300" s="2">
        <v>1</v>
      </c>
      <c r="D300" s="31">
        <v>3</v>
      </c>
      <c r="E300" s="31">
        <v>5</v>
      </c>
      <c r="F300" s="31">
        <f t="shared" si="9"/>
        <v>2</v>
      </c>
      <c r="G300" s="14" t="s">
        <v>461</v>
      </c>
      <c r="H300" s="32" t="s">
        <v>460</v>
      </c>
      <c r="I300" s="38"/>
    </row>
    <row r="301" spans="1:14" x14ac:dyDescent="0.2">
      <c r="A301" s="28">
        <v>5</v>
      </c>
      <c r="B301" s="29" t="s">
        <v>195</v>
      </c>
      <c r="C301" s="2">
        <v>1</v>
      </c>
      <c r="D301" s="31">
        <v>3</v>
      </c>
      <c r="E301" s="31">
        <v>5</v>
      </c>
      <c r="F301" s="31">
        <f t="shared" si="9"/>
        <v>2</v>
      </c>
      <c r="G301" s="14" t="s">
        <v>461</v>
      </c>
      <c r="H301" s="32" t="s">
        <v>460</v>
      </c>
      <c r="I301" s="38"/>
    </row>
    <row r="302" spans="1:14" x14ac:dyDescent="0.2">
      <c r="A302" s="28">
        <v>5</v>
      </c>
      <c r="B302" s="29" t="s">
        <v>195</v>
      </c>
      <c r="C302" s="2">
        <v>1</v>
      </c>
      <c r="D302" s="31">
        <v>3</v>
      </c>
      <c r="E302" s="31">
        <v>5</v>
      </c>
      <c r="F302" s="31">
        <f t="shared" si="9"/>
        <v>2</v>
      </c>
      <c r="G302" s="14" t="s">
        <v>461</v>
      </c>
      <c r="H302" s="32" t="s">
        <v>460</v>
      </c>
      <c r="I302" s="38"/>
    </row>
    <row r="303" spans="1:14" x14ac:dyDescent="0.2">
      <c r="A303" s="28">
        <v>5</v>
      </c>
      <c r="B303" s="29" t="s">
        <v>196</v>
      </c>
      <c r="C303" s="2">
        <v>1</v>
      </c>
      <c r="D303" s="31">
        <v>28</v>
      </c>
      <c r="E303" s="31">
        <v>50</v>
      </c>
      <c r="F303" s="31">
        <f t="shared" si="9"/>
        <v>22</v>
      </c>
      <c r="G303" s="14" t="s">
        <v>461</v>
      </c>
      <c r="H303" s="32" t="s">
        <v>460</v>
      </c>
      <c r="I303" s="38"/>
    </row>
    <row r="304" spans="1:14" x14ac:dyDescent="0.2">
      <c r="A304" s="28">
        <v>5</v>
      </c>
      <c r="B304" s="29" t="s">
        <v>197</v>
      </c>
      <c r="C304" s="2">
        <v>1</v>
      </c>
      <c r="D304" s="31">
        <v>130</v>
      </c>
      <c r="E304" s="31">
        <v>225</v>
      </c>
      <c r="F304" s="31">
        <f t="shared" si="9"/>
        <v>95</v>
      </c>
      <c r="G304" s="14" t="s">
        <v>461</v>
      </c>
      <c r="H304" s="32" t="s">
        <v>460</v>
      </c>
      <c r="I304" s="38"/>
    </row>
    <row r="305" spans="1:9" x14ac:dyDescent="0.2">
      <c r="A305" s="28">
        <v>5</v>
      </c>
      <c r="B305" s="29" t="s">
        <v>198</v>
      </c>
      <c r="C305" s="2">
        <v>1</v>
      </c>
      <c r="D305" s="31">
        <v>40</v>
      </c>
      <c r="E305" s="31">
        <v>85</v>
      </c>
      <c r="F305" s="31">
        <f t="shared" si="9"/>
        <v>45</v>
      </c>
      <c r="G305" s="14" t="s">
        <v>461</v>
      </c>
      <c r="H305" s="32" t="s">
        <v>460</v>
      </c>
      <c r="I305" s="38"/>
    </row>
    <row r="306" spans="1:9" x14ac:dyDescent="0.2">
      <c r="A306" s="28">
        <v>5</v>
      </c>
      <c r="B306" s="29" t="s">
        <v>199</v>
      </c>
      <c r="C306" s="2">
        <v>1</v>
      </c>
      <c r="D306" s="31">
        <v>0</v>
      </c>
      <c r="E306" s="31">
        <v>250</v>
      </c>
      <c r="F306" s="31">
        <f t="shared" si="9"/>
        <v>250</v>
      </c>
      <c r="G306" s="14" t="s">
        <v>461</v>
      </c>
      <c r="H306" s="32" t="s">
        <v>460</v>
      </c>
      <c r="I306" s="38"/>
    </row>
    <row r="307" spans="1:9" x14ac:dyDescent="0.2">
      <c r="A307" s="28">
        <v>5</v>
      </c>
      <c r="B307" s="29" t="s">
        <v>112</v>
      </c>
      <c r="C307" s="2">
        <v>1</v>
      </c>
      <c r="D307" s="31">
        <v>75</v>
      </c>
      <c r="E307" s="31">
        <v>100</v>
      </c>
      <c r="F307" s="31">
        <f t="shared" si="9"/>
        <v>25</v>
      </c>
      <c r="G307" s="14" t="s">
        <v>461</v>
      </c>
      <c r="H307" s="32" t="s">
        <v>460</v>
      </c>
      <c r="I307" s="38"/>
    </row>
    <row r="308" spans="1:9" x14ac:dyDescent="0.2">
      <c r="A308" s="28">
        <v>5</v>
      </c>
      <c r="B308" s="29" t="s">
        <v>112</v>
      </c>
      <c r="C308" s="2">
        <v>1</v>
      </c>
      <c r="D308" s="31">
        <v>75</v>
      </c>
      <c r="E308" s="31">
        <v>100</v>
      </c>
      <c r="F308" s="31">
        <f t="shared" si="9"/>
        <v>25</v>
      </c>
      <c r="G308" s="14" t="s">
        <v>461</v>
      </c>
      <c r="H308" s="32" t="s">
        <v>460</v>
      </c>
      <c r="I308" s="38"/>
    </row>
    <row r="309" spans="1:9" x14ac:dyDescent="0.2">
      <c r="A309" s="28">
        <v>5</v>
      </c>
      <c r="B309" s="29" t="s">
        <v>200</v>
      </c>
      <c r="C309" s="2">
        <v>1</v>
      </c>
      <c r="D309" s="31">
        <f>3+2.5+2.5</f>
        <v>8</v>
      </c>
      <c r="E309" s="31">
        <v>15</v>
      </c>
      <c r="F309" s="31">
        <f t="shared" si="9"/>
        <v>7</v>
      </c>
      <c r="G309" s="14" t="s">
        <v>461</v>
      </c>
      <c r="H309" s="32" t="s">
        <v>460</v>
      </c>
      <c r="I309" s="38"/>
    </row>
    <row r="310" spans="1:9" x14ac:dyDescent="0.2">
      <c r="A310" s="28">
        <v>5</v>
      </c>
      <c r="B310" s="29" t="s">
        <v>98</v>
      </c>
      <c r="C310" s="2">
        <v>1</v>
      </c>
      <c r="D310" s="31">
        <v>7.5</v>
      </c>
      <c r="E310" s="31">
        <v>20</v>
      </c>
      <c r="F310" s="31">
        <f t="shared" si="9"/>
        <v>12.5</v>
      </c>
      <c r="G310" s="14" t="s">
        <v>461</v>
      </c>
      <c r="H310" s="32" t="s">
        <v>460</v>
      </c>
      <c r="I310" s="38"/>
    </row>
    <row r="311" spans="1:9" x14ac:dyDescent="0.2">
      <c r="A311" s="28">
        <v>5</v>
      </c>
      <c r="B311" s="29" t="s">
        <v>201</v>
      </c>
      <c r="C311" s="2">
        <v>1</v>
      </c>
      <c r="D311" s="31">
        <v>35</v>
      </c>
      <c r="E311" s="31">
        <v>50</v>
      </c>
      <c r="F311" s="31">
        <f t="shared" si="9"/>
        <v>15</v>
      </c>
      <c r="G311" s="14" t="s">
        <v>461</v>
      </c>
      <c r="H311" s="32" t="s">
        <v>460</v>
      </c>
      <c r="I311" s="38"/>
    </row>
    <row r="312" spans="1:9" x14ac:dyDescent="0.2">
      <c r="A312" s="28">
        <v>5</v>
      </c>
      <c r="B312" s="29" t="s">
        <v>202</v>
      </c>
      <c r="C312" s="2">
        <v>1</v>
      </c>
      <c r="D312" s="31">
        <v>15</v>
      </c>
      <c r="E312" s="31">
        <v>30</v>
      </c>
      <c r="F312" s="31">
        <f t="shared" si="9"/>
        <v>15</v>
      </c>
      <c r="G312" s="14" t="s">
        <v>461</v>
      </c>
      <c r="H312" s="32" t="s">
        <v>460</v>
      </c>
      <c r="I312" s="38"/>
    </row>
    <row r="313" spans="1:9" x14ac:dyDescent="0.2">
      <c r="A313" s="28">
        <v>5</v>
      </c>
      <c r="B313" s="29" t="s">
        <v>198</v>
      </c>
      <c r="C313" s="2">
        <v>1</v>
      </c>
      <c r="D313" s="31">
        <v>40</v>
      </c>
      <c r="E313" s="31">
        <v>70</v>
      </c>
      <c r="F313" s="31">
        <f t="shared" si="9"/>
        <v>30</v>
      </c>
      <c r="G313" s="14" t="s">
        <v>461</v>
      </c>
      <c r="H313" s="32" t="s">
        <v>460</v>
      </c>
      <c r="I313" s="38"/>
    </row>
    <row r="314" spans="1:9" x14ac:dyDescent="0.2">
      <c r="A314" s="28">
        <v>5</v>
      </c>
      <c r="B314" s="29" t="s">
        <v>198</v>
      </c>
      <c r="C314" s="2">
        <v>1</v>
      </c>
      <c r="D314" s="31">
        <v>40</v>
      </c>
      <c r="E314" s="31">
        <v>70</v>
      </c>
      <c r="F314" s="31">
        <f t="shared" si="9"/>
        <v>30</v>
      </c>
      <c r="G314" s="14" t="s">
        <v>461</v>
      </c>
      <c r="H314" s="32" t="s">
        <v>460</v>
      </c>
      <c r="I314" s="38"/>
    </row>
    <row r="315" spans="1:9" x14ac:dyDescent="0.2">
      <c r="A315" s="28">
        <v>5</v>
      </c>
      <c r="B315" s="29" t="s">
        <v>203</v>
      </c>
      <c r="C315" s="2">
        <v>1</v>
      </c>
      <c r="D315" s="31">
        <v>32</v>
      </c>
      <c r="E315" s="31">
        <v>60</v>
      </c>
      <c r="F315" s="31">
        <f t="shared" si="9"/>
        <v>28</v>
      </c>
      <c r="G315" s="14" t="s">
        <v>461</v>
      </c>
      <c r="H315" s="32" t="s">
        <v>460</v>
      </c>
      <c r="I315" s="38"/>
    </row>
    <row r="316" spans="1:9" x14ac:dyDescent="0.2">
      <c r="A316" s="28">
        <v>5</v>
      </c>
      <c r="B316" s="29" t="s">
        <v>204</v>
      </c>
      <c r="C316" s="2">
        <v>1</v>
      </c>
      <c r="D316" s="31">
        <v>3</v>
      </c>
      <c r="E316" s="31">
        <v>10</v>
      </c>
      <c r="F316" s="31">
        <f t="shared" si="9"/>
        <v>7</v>
      </c>
      <c r="G316" s="14" t="s">
        <v>461</v>
      </c>
      <c r="H316" s="32" t="s">
        <v>460</v>
      </c>
      <c r="I316" s="38"/>
    </row>
    <row r="317" spans="1:9" x14ac:dyDescent="0.2">
      <c r="A317" s="28">
        <v>5</v>
      </c>
      <c r="B317" s="29" t="s">
        <v>205</v>
      </c>
      <c r="C317" s="2">
        <v>1</v>
      </c>
      <c r="D317" s="31">
        <v>18</v>
      </c>
      <c r="E317" s="31">
        <v>30</v>
      </c>
      <c r="F317" s="31">
        <f t="shared" si="9"/>
        <v>12</v>
      </c>
      <c r="G317" s="14" t="s">
        <v>461</v>
      </c>
      <c r="H317" s="32" t="s">
        <v>460</v>
      </c>
      <c r="I317" s="38"/>
    </row>
    <row r="318" spans="1:9" x14ac:dyDescent="0.2">
      <c r="A318" s="28">
        <v>5</v>
      </c>
      <c r="B318" s="29" t="s">
        <v>98</v>
      </c>
      <c r="C318" s="2">
        <v>1</v>
      </c>
      <c r="D318" s="31">
        <v>7.5</v>
      </c>
      <c r="E318" s="31">
        <v>20</v>
      </c>
      <c r="F318" s="31">
        <f t="shared" si="9"/>
        <v>12.5</v>
      </c>
      <c r="G318" s="14" t="s">
        <v>461</v>
      </c>
      <c r="H318" s="32" t="s">
        <v>460</v>
      </c>
      <c r="I318" s="38"/>
    </row>
    <row r="319" spans="1:9" x14ac:dyDescent="0.2">
      <c r="A319" s="28">
        <v>5</v>
      </c>
      <c r="B319" s="29" t="s">
        <v>206</v>
      </c>
      <c r="C319" s="2">
        <v>1</v>
      </c>
      <c r="D319" s="31">
        <v>0</v>
      </c>
      <c r="E319" s="31">
        <v>15</v>
      </c>
      <c r="F319" s="31">
        <f t="shared" si="9"/>
        <v>15</v>
      </c>
      <c r="G319" s="14" t="s">
        <v>461</v>
      </c>
      <c r="H319" s="32" t="s">
        <v>460</v>
      </c>
      <c r="I319" s="38"/>
    </row>
    <row r="320" spans="1:9" x14ac:dyDescent="0.2">
      <c r="A320" s="28">
        <v>5</v>
      </c>
      <c r="B320" s="29" t="s">
        <v>163</v>
      </c>
      <c r="C320" s="2">
        <v>1</v>
      </c>
      <c r="D320" s="31">
        <v>5</v>
      </c>
      <c r="E320" s="31">
        <v>10</v>
      </c>
      <c r="F320" s="31">
        <f t="shared" si="9"/>
        <v>5</v>
      </c>
      <c r="G320" s="14" t="s">
        <v>461</v>
      </c>
      <c r="H320" s="32" t="s">
        <v>460</v>
      </c>
      <c r="I320" s="38"/>
    </row>
    <row r="321" spans="1:9" x14ac:dyDescent="0.2">
      <c r="A321" s="28">
        <v>5</v>
      </c>
      <c r="B321" s="29" t="s">
        <v>207</v>
      </c>
      <c r="C321" s="2">
        <v>1</v>
      </c>
      <c r="D321" s="31">
        <v>32</v>
      </c>
      <c r="E321" s="31">
        <v>60</v>
      </c>
      <c r="F321" s="31">
        <f t="shared" si="9"/>
        <v>28</v>
      </c>
      <c r="G321" s="14" t="s">
        <v>461</v>
      </c>
      <c r="H321" s="32" t="s">
        <v>460</v>
      </c>
      <c r="I321" s="38"/>
    </row>
    <row r="322" spans="1:9" x14ac:dyDescent="0.2">
      <c r="A322" s="28">
        <v>5</v>
      </c>
      <c r="B322" s="29" t="s">
        <v>208</v>
      </c>
      <c r="C322" s="2">
        <v>1</v>
      </c>
      <c r="D322" s="31">
        <v>28</v>
      </c>
      <c r="E322" s="31">
        <v>60</v>
      </c>
      <c r="F322" s="31">
        <f t="shared" si="9"/>
        <v>32</v>
      </c>
      <c r="G322" s="14" t="s">
        <v>461</v>
      </c>
      <c r="H322" s="32" t="s">
        <v>460</v>
      </c>
      <c r="I322" s="38"/>
    </row>
    <row r="323" spans="1:9" x14ac:dyDescent="0.2">
      <c r="A323" s="28">
        <v>5</v>
      </c>
      <c r="B323" s="29" t="s">
        <v>209</v>
      </c>
      <c r="C323" s="2">
        <v>1</v>
      </c>
      <c r="D323" s="31">
        <v>60</v>
      </c>
      <c r="E323" s="31">
        <v>116</v>
      </c>
      <c r="F323" s="31">
        <f t="shared" si="9"/>
        <v>56</v>
      </c>
      <c r="G323" s="14" t="s">
        <v>461</v>
      </c>
      <c r="H323" s="32" t="s">
        <v>460</v>
      </c>
      <c r="I323" s="38"/>
    </row>
    <row r="324" spans="1:9" x14ac:dyDescent="0.2">
      <c r="A324" s="28">
        <v>5</v>
      </c>
      <c r="B324" s="29" t="s">
        <v>204</v>
      </c>
      <c r="C324" s="2">
        <v>1</v>
      </c>
      <c r="D324" s="31">
        <v>8.5</v>
      </c>
      <c r="E324" s="31">
        <v>20</v>
      </c>
      <c r="F324" s="31">
        <f t="shared" si="9"/>
        <v>11.5</v>
      </c>
      <c r="G324" s="14" t="s">
        <v>461</v>
      </c>
      <c r="H324" s="32" t="s">
        <v>460</v>
      </c>
      <c r="I324" s="38"/>
    </row>
    <row r="325" spans="1:9" x14ac:dyDescent="0.2">
      <c r="A325" s="28">
        <v>5</v>
      </c>
      <c r="B325" s="29" t="s">
        <v>209</v>
      </c>
      <c r="C325" s="2">
        <v>1</v>
      </c>
      <c r="D325" s="31">
        <v>60</v>
      </c>
      <c r="E325" s="31">
        <v>130</v>
      </c>
      <c r="F325" s="31">
        <f t="shared" si="9"/>
        <v>70</v>
      </c>
      <c r="G325" s="14" t="s">
        <v>461</v>
      </c>
      <c r="H325" s="32" t="s">
        <v>460</v>
      </c>
      <c r="I325" s="38"/>
    </row>
    <row r="326" spans="1:9" x14ac:dyDescent="0.2">
      <c r="A326" s="28">
        <v>5</v>
      </c>
      <c r="B326" s="29" t="s">
        <v>210</v>
      </c>
      <c r="C326" s="2">
        <v>1</v>
      </c>
      <c r="D326" s="31">
        <v>33</v>
      </c>
      <c r="E326" s="31">
        <v>60</v>
      </c>
      <c r="F326" s="31">
        <f t="shared" si="9"/>
        <v>27</v>
      </c>
      <c r="G326" s="14" t="s">
        <v>461</v>
      </c>
      <c r="H326" s="32" t="s">
        <v>460</v>
      </c>
      <c r="I326" s="38"/>
    </row>
    <row r="327" spans="1:9" x14ac:dyDescent="0.2">
      <c r="A327" s="28">
        <v>5</v>
      </c>
      <c r="B327" s="29" t="s">
        <v>209</v>
      </c>
      <c r="C327" s="2">
        <v>1</v>
      </c>
      <c r="D327" s="31">
        <v>60</v>
      </c>
      <c r="E327" s="31">
        <v>120</v>
      </c>
      <c r="F327" s="31">
        <f t="shared" si="9"/>
        <v>60</v>
      </c>
      <c r="G327" s="14" t="s">
        <v>461</v>
      </c>
      <c r="H327" s="32" t="s">
        <v>460</v>
      </c>
      <c r="I327" s="38"/>
    </row>
    <row r="328" spans="1:9" x14ac:dyDescent="0.2">
      <c r="A328" s="28">
        <v>5</v>
      </c>
      <c r="B328" s="29" t="s">
        <v>209</v>
      </c>
      <c r="C328" s="2">
        <v>1</v>
      </c>
      <c r="D328" s="31">
        <v>60</v>
      </c>
      <c r="E328" s="31">
        <v>130</v>
      </c>
      <c r="F328" s="31">
        <f t="shared" si="9"/>
        <v>70</v>
      </c>
      <c r="G328" s="14" t="s">
        <v>461</v>
      </c>
      <c r="H328" s="32" t="s">
        <v>460</v>
      </c>
      <c r="I328" s="38"/>
    </row>
    <row r="329" spans="1:9" x14ac:dyDescent="0.2">
      <c r="A329" s="28">
        <v>5</v>
      </c>
      <c r="B329" s="29" t="s">
        <v>170</v>
      </c>
      <c r="C329" s="30">
        <v>1</v>
      </c>
      <c r="D329" s="31">
        <v>50</v>
      </c>
      <c r="E329" s="31">
        <v>79</v>
      </c>
      <c r="F329" s="31">
        <f t="shared" si="9"/>
        <v>29</v>
      </c>
      <c r="G329" s="14" t="s">
        <v>461</v>
      </c>
      <c r="H329" s="32" t="s">
        <v>168</v>
      </c>
      <c r="I329" s="38"/>
    </row>
    <row r="330" spans="1:9" x14ac:dyDescent="0.2">
      <c r="A330" s="28">
        <v>5</v>
      </c>
      <c r="B330" s="29" t="s">
        <v>198</v>
      </c>
      <c r="C330" s="30">
        <v>1</v>
      </c>
      <c r="D330" s="31">
        <v>40</v>
      </c>
      <c r="E330" s="31">
        <v>94.78</v>
      </c>
      <c r="F330" s="31">
        <f t="shared" si="9"/>
        <v>54.78</v>
      </c>
      <c r="G330" s="14" t="s">
        <v>461</v>
      </c>
      <c r="H330" s="32" t="s">
        <v>168</v>
      </c>
      <c r="I330" s="38"/>
    </row>
    <row r="331" spans="1:9" x14ac:dyDescent="0.2">
      <c r="A331" s="28">
        <v>5</v>
      </c>
      <c r="B331" s="29" t="s">
        <v>198</v>
      </c>
      <c r="C331" s="30">
        <v>1</v>
      </c>
      <c r="D331" s="31">
        <v>40</v>
      </c>
      <c r="E331" s="31">
        <v>102.44</v>
      </c>
      <c r="F331" s="31">
        <f t="shared" si="9"/>
        <v>62.44</v>
      </c>
      <c r="G331" s="14" t="s">
        <v>461</v>
      </c>
      <c r="H331" s="32" t="s">
        <v>168</v>
      </c>
      <c r="I331" s="38"/>
    </row>
    <row r="332" spans="1:9" x14ac:dyDescent="0.2">
      <c r="A332" s="28">
        <v>5</v>
      </c>
      <c r="B332" s="29" t="s">
        <v>64</v>
      </c>
      <c r="C332" s="30">
        <v>3</v>
      </c>
      <c r="D332" s="31">
        <v>16.5</v>
      </c>
      <c r="E332" s="31">
        <v>38.97</v>
      </c>
      <c r="F332" s="31">
        <v>26.514599999999998</v>
      </c>
      <c r="G332" s="14" t="s">
        <v>461</v>
      </c>
      <c r="H332" s="32" t="s">
        <v>6</v>
      </c>
      <c r="I332" s="38"/>
    </row>
    <row r="333" spans="1:9" x14ac:dyDescent="0.2">
      <c r="A333" s="28">
        <v>5</v>
      </c>
      <c r="B333" s="29" t="s">
        <v>37</v>
      </c>
      <c r="C333" s="30">
        <v>1</v>
      </c>
      <c r="D333" s="31">
        <v>7</v>
      </c>
      <c r="E333" s="31">
        <v>15.14</v>
      </c>
      <c r="F333" s="31">
        <v>9.6052</v>
      </c>
      <c r="G333" s="14" t="s">
        <v>461</v>
      </c>
      <c r="H333" s="32" t="s">
        <v>6</v>
      </c>
      <c r="I333" s="38"/>
    </row>
    <row r="334" spans="1:9" x14ac:dyDescent="0.2">
      <c r="A334" s="28">
        <v>5</v>
      </c>
      <c r="B334" s="29" t="s">
        <v>36</v>
      </c>
      <c r="C334" s="30">
        <v>1</v>
      </c>
      <c r="D334" s="31">
        <v>12</v>
      </c>
      <c r="E334" s="31">
        <v>24.17</v>
      </c>
      <c r="F334" s="31">
        <v>14.360600000000002</v>
      </c>
      <c r="G334" s="14" t="s">
        <v>461</v>
      </c>
      <c r="H334" s="32" t="s">
        <v>6</v>
      </c>
      <c r="I334" s="38"/>
    </row>
    <row r="335" spans="1:9" x14ac:dyDescent="0.2">
      <c r="A335" s="28">
        <v>5</v>
      </c>
      <c r="B335" s="29" t="s">
        <v>67</v>
      </c>
      <c r="C335" s="30">
        <v>1</v>
      </c>
      <c r="D335" s="31">
        <v>40</v>
      </c>
      <c r="E335" s="31">
        <v>75</v>
      </c>
      <c r="F335" s="31">
        <v>41.3</v>
      </c>
      <c r="G335" s="14" t="s">
        <v>461</v>
      </c>
      <c r="H335" s="32" t="s">
        <v>6</v>
      </c>
      <c r="I335" s="38"/>
    </row>
    <row r="336" spans="1:9" collapsed="1" x14ac:dyDescent="0.2">
      <c r="A336" s="28">
        <v>5</v>
      </c>
      <c r="B336" s="29" t="s">
        <v>43</v>
      </c>
      <c r="C336" s="30">
        <v>1</v>
      </c>
      <c r="D336" s="31">
        <v>3</v>
      </c>
      <c r="E336" s="31">
        <v>7.5</v>
      </c>
      <c r="F336" s="31">
        <v>5.31</v>
      </c>
      <c r="G336" s="14" t="s">
        <v>461</v>
      </c>
      <c r="H336" s="32" t="s">
        <v>6</v>
      </c>
      <c r="I336" s="38"/>
    </row>
    <row r="337" spans="1:9" x14ac:dyDescent="0.2">
      <c r="A337" s="28">
        <v>5</v>
      </c>
      <c r="B337" s="29" t="s">
        <v>28</v>
      </c>
      <c r="C337" s="30">
        <v>1</v>
      </c>
      <c r="D337" s="31">
        <v>1</v>
      </c>
      <c r="E337" s="31">
        <v>9.09</v>
      </c>
      <c r="F337" s="31">
        <v>9.5461999999999989</v>
      </c>
      <c r="G337" s="14" t="s">
        <v>461</v>
      </c>
      <c r="H337" s="32" t="s">
        <v>6</v>
      </c>
      <c r="I337" s="38"/>
    </row>
    <row r="338" spans="1:9" x14ac:dyDescent="0.2">
      <c r="A338" s="28">
        <v>5</v>
      </c>
      <c r="B338" s="29" t="s">
        <v>40</v>
      </c>
      <c r="C338" s="30">
        <v>5</v>
      </c>
      <c r="D338" s="31">
        <v>5</v>
      </c>
      <c r="E338" s="31">
        <v>18.75</v>
      </c>
      <c r="F338" s="31">
        <v>16.225000000000001</v>
      </c>
      <c r="G338" s="14" t="s">
        <v>461</v>
      </c>
      <c r="H338" s="32" t="s">
        <v>6</v>
      </c>
      <c r="I338" s="38"/>
    </row>
    <row r="339" spans="1:9" x14ac:dyDescent="0.2">
      <c r="A339" s="28">
        <v>5</v>
      </c>
      <c r="B339" s="29" t="s">
        <v>211</v>
      </c>
      <c r="C339" s="30">
        <v>2</v>
      </c>
      <c r="D339" s="31">
        <v>24</v>
      </c>
      <c r="E339" s="31">
        <v>54.92</v>
      </c>
      <c r="F339" s="31">
        <v>36.485600000000005</v>
      </c>
      <c r="G339" s="14" t="s">
        <v>461</v>
      </c>
      <c r="H339" s="32" t="s">
        <v>6</v>
      </c>
      <c r="I339" s="38"/>
    </row>
    <row r="340" spans="1:9" x14ac:dyDescent="0.2">
      <c r="A340" s="28">
        <v>5</v>
      </c>
      <c r="B340" s="29" t="s">
        <v>212</v>
      </c>
      <c r="C340" s="30">
        <v>5</v>
      </c>
      <c r="D340" s="31">
        <v>65</v>
      </c>
      <c r="E340" s="31">
        <v>118.62</v>
      </c>
      <c r="F340" s="31">
        <v>63.271600000000007</v>
      </c>
      <c r="G340" s="14" t="s">
        <v>461</v>
      </c>
      <c r="H340" s="32" t="s">
        <v>6</v>
      </c>
      <c r="I340" s="38"/>
    </row>
    <row r="341" spans="1:9" x14ac:dyDescent="0.2">
      <c r="A341" s="28">
        <v>5</v>
      </c>
      <c r="B341" s="29" t="s">
        <v>25</v>
      </c>
      <c r="C341" s="30">
        <v>1</v>
      </c>
      <c r="D341" s="31">
        <v>1.6</v>
      </c>
      <c r="E341" s="31">
        <v>5.62</v>
      </c>
      <c r="F341" s="31">
        <v>4.7435999999999998</v>
      </c>
      <c r="G341" s="14" t="s">
        <v>461</v>
      </c>
      <c r="H341" s="32" t="s">
        <v>6</v>
      </c>
      <c r="I341" s="38"/>
    </row>
    <row r="342" spans="1:9" x14ac:dyDescent="0.2">
      <c r="A342" s="28">
        <v>5</v>
      </c>
      <c r="B342" s="29" t="s">
        <v>42</v>
      </c>
      <c r="C342" s="30">
        <v>1</v>
      </c>
      <c r="D342" s="31">
        <v>6</v>
      </c>
      <c r="E342" s="31">
        <v>11.58</v>
      </c>
      <c r="F342" s="31">
        <v>6.5844000000000005</v>
      </c>
      <c r="G342" s="14" t="s">
        <v>461</v>
      </c>
      <c r="H342" s="32" t="s">
        <v>6</v>
      </c>
      <c r="I342" s="38"/>
    </row>
    <row r="343" spans="1:9" x14ac:dyDescent="0.2">
      <c r="A343" s="28">
        <v>5</v>
      </c>
      <c r="B343" s="29" t="s">
        <v>44</v>
      </c>
      <c r="C343" s="30">
        <v>1</v>
      </c>
      <c r="D343" s="31">
        <v>7</v>
      </c>
      <c r="E343" s="31">
        <v>16.89</v>
      </c>
      <c r="F343" s="31">
        <v>11.670200000000001</v>
      </c>
      <c r="G343" s="14" t="s">
        <v>461</v>
      </c>
      <c r="H343" s="32" t="s">
        <v>6</v>
      </c>
      <c r="I343" s="38"/>
    </row>
    <row r="344" spans="1:9" x14ac:dyDescent="0.2">
      <c r="A344" s="28">
        <v>5</v>
      </c>
      <c r="B344" s="29" t="s">
        <v>213</v>
      </c>
      <c r="C344" s="30">
        <v>10</v>
      </c>
      <c r="D344" s="31">
        <v>40</v>
      </c>
      <c r="E344" s="31">
        <v>114.72</v>
      </c>
      <c r="F344" s="31">
        <v>88.169600000000003</v>
      </c>
      <c r="G344" s="14" t="s">
        <v>461</v>
      </c>
      <c r="H344" s="32" t="s">
        <v>6</v>
      </c>
      <c r="I344" s="38"/>
    </row>
    <row r="345" spans="1:9" x14ac:dyDescent="0.2">
      <c r="A345" s="28">
        <v>5</v>
      </c>
      <c r="B345" s="29" t="s">
        <v>214</v>
      </c>
      <c r="C345" s="30">
        <v>1</v>
      </c>
      <c r="D345" s="31">
        <v>92</v>
      </c>
      <c r="E345" s="31">
        <v>144.32</v>
      </c>
      <c r="F345" s="31">
        <v>61.737599999999993</v>
      </c>
      <c r="G345" s="14" t="s">
        <v>461</v>
      </c>
      <c r="H345" s="32" t="s">
        <v>6</v>
      </c>
      <c r="I345" s="38"/>
    </row>
    <row r="346" spans="1:9" x14ac:dyDescent="0.2">
      <c r="A346" s="28">
        <v>5</v>
      </c>
      <c r="B346" s="29" t="s">
        <v>85</v>
      </c>
      <c r="C346" s="30">
        <v>3</v>
      </c>
      <c r="D346" s="31">
        <v>18</v>
      </c>
      <c r="E346" s="31">
        <v>40.43</v>
      </c>
      <c r="F346" s="31">
        <v>26.467399999999998</v>
      </c>
      <c r="G346" s="14" t="s">
        <v>461</v>
      </c>
      <c r="H346" s="32" t="s">
        <v>6</v>
      </c>
      <c r="I346" s="38"/>
    </row>
    <row r="347" spans="1:9" x14ac:dyDescent="0.2">
      <c r="A347" s="28">
        <v>5</v>
      </c>
      <c r="B347" s="29" t="s">
        <v>86</v>
      </c>
      <c r="C347" s="30">
        <v>1</v>
      </c>
      <c r="D347" s="31">
        <v>40</v>
      </c>
      <c r="E347" s="31">
        <v>98.02</v>
      </c>
      <c r="F347" s="31">
        <v>68.4636</v>
      </c>
      <c r="G347" s="14" t="s">
        <v>461</v>
      </c>
      <c r="H347" s="32" t="s">
        <v>6</v>
      </c>
      <c r="I347" s="38"/>
    </row>
    <row r="348" spans="1:9" x14ac:dyDescent="0.2">
      <c r="A348" s="28">
        <v>5</v>
      </c>
      <c r="B348" s="29" t="s">
        <v>167</v>
      </c>
      <c r="C348" s="30">
        <v>33</v>
      </c>
      <c r="D348" s="31">
        <v>1320</v>
      </c>
      <c r="E348" s="31">
        <v>2378.09</v>
      </c>
      <c r="F348" s="31">
        <v>1248.5462000000002</v>
      </c>
      <c r="G348" s="14" t="s">
        <v>461</v>
      </c>
      <c r="H348" s="32" t="s">
        <v>6</v>
      </c>
      <c r="I348" s="38"/>
    </row>
    <row r="349" spans="1:9" x14ac:dyDescent="0.2">
      <c r="A349" s="28">
        <v>5</v>
      </c>
      <c r="B349" s="29" t="s">
        <v>215</v>
      </c>
      <c r="C349" s="30">
        <v>3</v>
      </c>
      <c r="D349" s="31">
        <v>30</v>
      </c>
      <c r="E349" s="31">
        <v>104.67</v>
      </c>
      <c r="F349" s="31">
        <v>88.110600000000005</v>
      </c>
      <c r="G349" s="14" t="s">
        <v>461</v>
      </c>
      <c r="H349" s="32" t="s">
        <v>6</v>
      </c>
      <c r="I349" s="38"/>
    </row>
    <row r="350" spans="1:9" x14ac:dyDescent="0.2">
      <c r="A350" s="28">
        <v>5</v>
      </c>
      <c r="B350" s="29" t="s">
        <v>180</v>
      </c>
      <c r="C350" s="30">
        <v>1</v>
      </c>
      <c r="D350" s="31">
        <v>10</v>
      </c>
      <c r="E350" s="31">
        <v>19.989999999999998</v>
      </c>
      <c r="F350" s="31">
        <v>11.788199999999998</v>
      </c>
      <c r="G350" s="14" t="s">
        <v>461</v>
      </c>
      <c r="H350" s="32" t="s">
        <v>6</v>
      </c>
      <c r="I350" s="38"/>
    </row>
    <row r="351" spans="1:9" x14ac:dyDescent="0.2">
      <c r="A351" s="28">
        <v>5</v>
      </c>
      <c r="B351" s="29" t="s">
        <v>182</v>
      </c>
      <c r="C351" s="30">
        <v>1</v>
      </c>
      <c r="D351" s="31">
        <v>1</v>
      </c>
      <c r="E351" s="31">
        <v>4.68</v>
      </c>
      <c r="F351" s="31">
        <v>4.3423999999999996</v>
      </c>
      <c r="G351" s="14" t="s">
        <v>461</v>
      </c>
      <c r="H351" s="32" t="s">
        <v>6</v>
      </c>
      <c r="I351" s="38"/>
    </row>
    <row r="352" spans="1:9" x14ac:dyDescent="0.2">
      <c r="A352" s="28">
        <v>5</v>
      </c>
      <c r="B352" s="29" t="s">
        <v>216</v>
      </c>
      <c r="C352" s="30">
        <v>1</v>
      </c>
      <c r="D352" s="31">
        <v>7</v>
      </c>
      <c r="E352" s="31">
        <v>14.04</v>
      </c>
      <c r="F352" s="31">
        <v>8.3071999999999981</v>
      </c>
      <c r="G352" s="14" t="s">
        <v>461</v>
      </c>
      <c r="H352" s="32" t="s">
        <v>6</v>
      </c>
      <c r="I352" s="38"/>
    </row>
    <row r="353" spans="1:9" x14ac:dyDescent="0.2">
      <c r="A353" s="28">
        <v>5</v>
      </c>
      <c r="B353" s="29" t="s">
        <v>61</v>
      </c>
      <c r="C353" s="30">
        <v>1</v>
      </c>
      <c r="D353" s="31">
        <v>25</v>
      </c>
      <c r="E353" s="31">
        <v>48</v>
      </c>
      <c r="F353" s="31">
        <v>27.14</v>
      </c>
      <c r="G353" s="14" t="s">
        <v>461</v>
      </c>
      <c r="H353" s="32" t="s">
        <v>6</v>
      </c>
      <c r="I353" s="38"/>
    </row>
    <row r="354" spans="1:9" x14ac:dyDescent="0.2">
      <c r="A354" s="28">
        <v>5</v>
      </c>
      <c r="B354" s="29" t="s">
        <v>217</v>
      </c>
      <c r="C354" s="30">
        <v>3</v>
      </c>
      <c r="D354" s="31">
        <v>15</v>
      </c>
      <c r="E354" s="31">
        <v>39.85</v>
      </c>
      <c r="F354" s="31">
        <v>29.323</v>
      </c>
      <c r="G354" s="14" t="s">
        <v>461</v>
      </c>
      <c r="H354" s="32" t="s">
        <v>6</v>
      </c>
      <c r="I354" s="38"/>
    </row>
    <row r="355" spans="1:9" x14ac:dyDescent="0.2">
      <c r="A355" s="28">
        <v>5</v>
      </c>
      <c r="B355" s="29" t="s">
        <v>63</v>
      </c>
      <c r="C355" s="30">
        <v>1</v>
      </c>
      <c r="D355" s="31">
        <v>30</v>
      </c>
      <c r="E355" s="31">
        <v>60.27</v>
      </c>
      <c r="F355" s="31">
        <v>35.718600000000002</v>
      </c>
      <c r="G355" s="14" t="s">
        <v>461</v>
      </c>
      <c r="H355" s="32" t="s">
        <v>6</v>
      </c>
      <c r="I355" s="38"/>
    </row>
    <row r="356" spans="1:9" x14ac:dyDescent="0.2">
      <c r="A356" s="28">
        <v>5</v>
      </c>
      <c r="B356" s="29" t="s">
        <v>185</v>
      </c>
      <c r="C356" s="30">
        <v>5</v>
      </c>
      <c r="D356" s="31">
        <v>15</v>
      </c>
      <c r="E356" s="31">
        <v>48.09</v>
      </c>
      <c r="F356" s="31">
        <v>39.046200000000006</v>
      </c>
      <c r="G356" s="14" t="s">
        <v>461</v>
      </c>
      <c r="H356" s="32" t="s">
        <v>6</v>
      </c>
      <c r="I356" s="38"/>
    </row>
    <row r="357" spans="1:9" x14ac:dyDescent="0.2">
      <c r="A357" s="28">
        <v>5</v>
      </c>
      <c r="B357" s="29" t="s">
        <v>59</v>
      </c>
      <c r="C357" s="30">
        <v>1</v>
      </c>
      <c r="D357" s="31">
        <v>4</v>
      </c>
      <c r="E357" s="31">
        <v>32.6</v>
      </c>
      <c r="F357" s="31">
        <v>33.748000000000005</v>
      </c>
      <c r="G357" s="14" t="s">
        <v>461</v>
      </c>
      <c r="H357" s="32" t="s">
        <v>6</v>
      </c>
      <c r="I357" s="38"/>
    </row>
    <row r="358" spans="1:9" x14ac:dyDescent="0.2">
      <c r="A358" s="28">
        <v>5</v>
      </c>
      <c r="B358" s="29" t="s">
        <v>29</v>
      </c>
      <c r="C358" s="30">
        <v>2</v>
      </c>
      <c r="D358" s="31">
        <v>20</v>
      </c>
      <c r="E358" s="31">
        <v>48.57</v>
      </c>
      <c r="F358" s="31">
        <v>33.712600000000002</v>
      </c>
      <c r="G358" s="14" t="s">
        <v>461</v>
      </c>
      <c r="H358" s="32" t="s">
        <v>6</v>
      </c>
      <c r="I358" s="38"/>
    </row>
    <row r="359" spans="1:9" x14ac:dyDescent="0.2">
      <c r="A359" s="28">
        <v>5</v>
      </c>
      <c r="B359" s="29" t="s">
        <v>66</v>
      </c>
      <c r="C359" s="30">
        <v>5</v>
      </c>
      <c r="D359" s="31">
        <v>35</v>
      </c>
      <c r="E359" s="31">
        <v>96.78</v>
      </c>
      <c r="F359" s="31">
        <v>72.900400000000005</v>
      </c>
      <c r="G359" s="14" t="s">
        <v>461</v>
      </c>
      <c r="H359" s="32" t="s">
        <v>6</v>
      </c>
      <c r="I359" s="38"/>
    </row>
    <row r="360" spans="1:9" x14ac:dyDescent="0.2">
      <c r="A360" s="28">
        <v>5</v>
      </c>
      <c r="B360" s="29" t="s">
        <v>218</v>
      </c>
      <c r="C360" s="30">
        <v>1</v>
      </c>
      <c r="D360" s="31">
        <v>12</v>
      </c>
      <c r="E360" s="31">
        <v>49.8</v>
      </c>
      <c r="F360" s="31">
        <v>44.603999999999999</v>
      </c>
      <c r="G360" s="14" t="s">
        <v>461</v>
      </c>
      <c r="H360" s="32" t="s">
        <v>6</v>
      </c>
      <c r="I360" s="38"/>
    </row>
    <row r="361" spans="1:9" x14ac:dyDescent="0.2">
      <c r="A361" s="28">
        <v>5</v>
      </c>
      <c r="B361" s="29" t="s">
        <v>219</v>
      </c>
      <c r="C361" s="30">
        <v>1</v>
      </c>
      <c r="D361" s="31">
        <v>24</v>
      </c>
      <c r="E361" s="31">
        <v>39.99</v>
      </c>
      <c r="F361" s="31">
        <v>18.868200000000002</v>
      </c>
      <c r="G361" s="14" t="s">
        <v>461</v>
      </c>
      <c r="H361" s="32" t="s">
        <v>6</v>
      </c>
      <c r="I361" s="38"/>
    </row>
    <row r="362" spans="1:9" x14ac:dyDescent="0.2">
      <c r="A362" s="28">
        <v>5</v>
      </c>
      <c r="B362" s="29" t="s">
        <v>65</v>
      </c>
      <c r="C362" s="30">
        <v>1</v>
      </c>
      <c r="D362" s="31">
        <v>8</v>
      </c>
      <c r="E362" s="31">
        <v>37.61</v>
      </c>
      <c r="F362" s="31">
        <v>34.939799999999998</v>
      </c>
      <c r="G362" s="14" t="s">
        <v>461</v>
      </c>
      <c r="H362" s="32" t="s">
        <v>6</v>
      </c>
      <c r="I362" s="38"/>
    </row>
    <row r="363" spans="1:9" x14ac:dyDescent="0.2">
      <c r="A363" s="28">
        <v>5</v>
      </c>
      <c r="B363" s="29" t="s">
        <v>220</v>
      </c>
      <c r="C363" s="30">
        <v>1</v>
      </c>
      <c r="D363" s="31">
        <v>3</v>
      </c>
      <c r="E363" s="31">
        <v>16.739999999999998</v>
      </c>
      <c r="F363" s="31">
        <v>16.213199999999997</v>
      </c>
      <c r="G363" s="14" t="s">
        <v>461</v>
      </c>
      <c r="H363" s="32" t="s">
        <v>6</v>
      </c>
      <c r="I363" s="38"/>
    </row>
    <row r="364" spans="1:9" x14ac:dyDescent="0.2">
      <c r="A364" s="28">
        <v>5</v>
      </c>
      <c r="B364" s="29" t="s">
        <v>221</v>
      </c>
      <c r="C364" s="30">
        <v>1</v>
      </c>
      <c r="D364" s="31">
        <v>5</v>
      </c>
      <c r="E364" s="31">
        <v>16</v>
      </c>
      <c r="F364" s="31">
        <v>12.98</v>
      </c>
      <c r="G364" s="14" t="s">
        <v>461</v>
      </c>
      <c r="H364" s="32" t="s">
        <v>6</v>
      </c>
      <c r="I364" s="38"/>
    </row>
    <row r="365" spans="1:9" x14ac:dyDescent="0.2">
      <c r="A365" s="28">
        <v>5</v>
      </c>
      <c r="B365" s="29" t="s">
        <v>141</v>
      </c>
      <c r="C365" s="30">
        <v>1</v>
      </c>
      <c r="D365" s="31">
        <v>13</v>
      </c>
      <c r="E365" s="31">
        <v>26.99</v>
      </c>
      <c r="F365" s="31">
        <v>16.508199999999999</v>
      </c>
      <c r="G365" s="14" t="s">
        <v>461</v>
      </c>
      <c r="H365" s="32" t="s">
        <v>6</v>
      </c>
      <c r="I365" s="38"/>
    </row>
    <row r="366" spans="1:9" x14ac:dyDescent="0.2">
      <c r="A366" s="28">
        <v>5</v>
      </c>
      <c r="B366" s="29" t="s">
        <v>222</v>
      </c>
      <c r="C366" s="30">
        <v>1</v>
      </c>
      <c r="D366" s="31">
        <v>50</v>
      </c>
      <c r="E366" s="31">
        <v>120.6</v>
      </c>
      <c r="F366" s="31">
        <v>83.307999999999993</v>
      </c>
      <c r="G366" s="14" t="s">
        <v>461</v>
      </c>
      <c r="H366" s="32" t="s">
        <v>6</v>
      </c>
      <c r="I366" s="38"/>
    </row>
    <row r="367" spans="1:9" x14ac:dyDescent="0.2">
      <c r="A367" s="28">
        <v>5</v>
      </c>
      <c r="B367" s="29" t="s">
        <v>223</v>
      </c>
      <c r="C367" s="30">
        <v>1</v>
      </c>
      <c r="D367" s="31">
        <v>3</v>
      </c>
      <c r="E367" s="31">
        <v>11.2</v>
      </c>
      <c r="F367" s="31">
        <v>9.6759999999999984</v>
      </c>
      <c r="G367" s="14" t="s">
        <v>461</v>
      </c>
      <c r="H367" s="32" t="s">
        <v>6</v>
      </c>
      <c r="I367" s="38"/>
    </row>
    <row r="368" spans="1:9" x14ac:dyDescent="0.2">
      <c r="A368" s="28">
        <v>5</v>
      </c>
      <c r="B368" s="29" t="s">
        <v>190</v>
      </c>
      <c r="C368" s="30">
        <v>1</v>
      </c>
      <c r="D368" s="31">
        <v>8</v>
      </c>
      <c r="E368" s="31">
        <v>18.989999999999998</v>
      </c>
      <c r="F368" s="31">
        <v>12.968199999999998</v>
      </c>
      <c r="G368" s="14" t="s">
        <v>461</v>
      </c>
      <c r="H368" s="32" t="s">
        <v>6</v>
      </c>
      <c r="I368" s="38"/>
    </row>
    <row r="369" spans="1:9" x14ac:dyDescent="0.2">
      <c r="A369" s="10">
        <v>6</v>
      </c>
      <c r="B369" s="15" t="s">
        <v>224</v>
      </c>
      <c r="C369" s="2">
        <v>1</v>
      </c>
      <c r="D369" s="13">
        <v>50</v>
      </c>
      <c r="E369" s="13">
        <v>100</v>
      </c>
      <c r="F369" s="13">
        <f>E369-D369</f>
        <v>50</v>
      </c>
      <c r="G369" s="14" t="s">
        <v>461</v>
      </c>
      <c r="H369" s="17" t="s">
        <v>460</v>
      </c>
      <c r="I369" s="38"/>
    </row>
    <row r="370" spans="1:9" x14ac:dyDescent="0.2">
      <c r="A370" s="10">
        <v>6</v>
      </c>
      <c r="B370" s="15" t="s">
        <v>225</v>
      </c>
      <c r="C370" s="2">
        <v>1</v>
      </c>
      <c r="D370" s="13">
        <v>20</v>
      </c>
      <c r="E370" s="13">
        <v>30</v>
      </c>
      <c r="F370" s="13">
        <f>E370-D370</f>
        <v>10</v>
      </c>
      <c r="G370" s="14" t="s">
        <v>461</v>
      </c>
      <c r="H370" s="17" t="s">
        <v>460</v>
      </c>
      <c r="I370" s="38"/>
    </row>
    <row r="371" spans="1:9" x14ac:dyDescent="0.2">
      <c r="A371" s="10">
        <v>6</v>
      </c>
      <c r="B371" s="15" t="s">
        <v>226</v>
      </c>
      <c r="C371" s="2">
        <v>1</v>
      </c>
      <c r="D371" s="13">
        <v>20</v>
      </c>
      <c r="E371" s="13">
        <v>50</v>
      </c>
      <c r="F371" s="13">
        <f>E371-D371</f>
        <v>30</v>
      </c>
      <c r="G371" s="14" t="s">
        <v>461</v>
      </c>
      <c r="H371" s="17" t="s">
        <v>460</v>
      </c>
      <c r="I371" s="38"/>
    </row>
    <row r="372" spans="1:9" x14ac:dyDescent="0.2">
      <c r="A372" s="10">
        <v>6</v>
      </c>
      <c r="B372" s="15" t="s">
        <v>227</v>
      </c>
      <c r="C372" s="2">
        <v>1</v>
      </c>
      <c r="D372" s="13">
        <v>10</v>
      </c>
      <c r="E372" s="13">
        <v>30</v>
      </c>
      <c r="F372" s="13">
        <f>E372-D372</f>
        <v>20</v>
      </c>
      <c r="G372" s="14" t="s">
        <v>461</v>
      </c>
      <c r="H372" s="17" t="s">
        <v>460</v>
      </c>
      <c r="I372" s="38"/>
    </row>
    <row r="373" spans="1:9" x14ac:dyDescent="0.2">
      <c r="A373" s="10">
        <v>6</v>
      </c>
      <c r="B373" s="15" t="s">
        <v>228</v>
      </c>
      <c r="C373" s="2">
        <v>1</v>
      </c>
      <c r="D373" s="13">
        <v>27</v>
      </c>
      <c r="E373" s="13">
        <v>35</v>
      </c>
      <c r="F373" s="13">
        <f t="shared" ref="F373:F394" si="10">E373-D373</f>
        <v>8</v>
      </c>
      <c r="G373" s="14" t="s">
        <v>461</v>
      </c>
      <c r="H373" s="17" t="s">
        <v>460</v>
      </c>
      <c r="I373" s="38"/>
    </row>
    <row r="374" spans="1:9" x14ac:dyDescent="0.2">
      <c r="A374" s="10">
        <v>6</v>
      </c>
      <c r="B374" s="15" t="s">
        <v>229</v>
      </c>
      <c r="C374" s="2">
        <v>1</v>
      </c>
      <c r="D374" s="13">
        <v>55</v>
      </c>
      <c r="E374" s="13">
        <v>100</v>
      </c>
      <c r="F374" s="13">
        <f t="shared" si="10"/>
        <v>45</v>
      </c>
      <c r="G374" s="14" t="s">
        <v>461</v>
      </c>
      <c r="H374" s="17" t="s">
        <v>460</v>
      </c>
      <c r="I374" s="38"/>
    </row>
    <row r="375" spans="1:9" x14ac:dyDescent="0.2">
      <c r="A375" s="10">
        <v>6</v>
      </c>
      <c r="B375" s="15" t="s">
        <v>230</v>
      </c>
      <c r="C375" s="2">
        <v>1</v>
      </c>
      <c r="D375" s="13">
        <v>0</v>
      </c>
      <c r="E375" s="13">
        <v>250</v>
      </c>
      <c r="F375" s="13">
        <f t="shared" si="10"/>
        <v>250</v>
      </c>
      <c r="G375" s="14" t="s">
        <v>461</v>
      </c>
      <c r="H375" s="17" t="s">
        <v>460</v>
      </c>
      <c r="I375" s="38"/>
    </row>
    <row r="376" spans="1:9" x14ac:dyDescent="0.2">
      <c r="A376" s="10">
        <v>6</v>
      </c>
      <c r="B376" s="15" t="s">
        <v>231</v>
      </c>
      <c r="C376" s="2">
        <v>1</v>
      </c>
      <c r="D376" s="13">
        <v>10</v>
      </c>
      <c r="E376" s="13">
        <v>20</v>
      </c>
      <c r="F376" s="13">
        <f t="shared" si="10"/>
        <v>10</v>
      </c>
      <c r="G376" s="14" t="s">
        <v>461</v>
      </c>
      <c r="H376" s="17" t="s">
        <v>460</v>
      </c>
      <c r="I376" s="38"/>
    </row>
    <row r="377" spans="1:9" x14ac:dyDescent="0.2">
      <c r="A377" s="10">
        <v>6</v>
      </c>
      <c r="B377" s="15" t="s">
        <v>232</v>
      </c>
      <c r="C377" s="2">
        <v>1</v>
      </c>
      <c r="D377" s="13">
        <v>6.5</v>
      </c>
      <c r="E377" s="13">
        <v>15</v>
      </c>
      <c r="F377" s="13">
        <f t="shared" si="10"/>
        <v>8.5</v>
      </c>
      <c r="G377" s="14" t="s">
        <v>461</v>
      </c>
      <c r="H377" s="17" t="s">
        <v>460</v>
      </c>
      <c r="I377" s="38"/>
    </row>
    <row r="378" spans="1:9" x14ac:dyDescent="0.2">
      <c r="A378" s="10">
        <v>6</v>
      </c>
      <c r="B378" s="15" t="s">
        <v>233</v>
      </c>
      <c r="C378" s="2">
        <v>1</v>
      </c>
      <c r="D378" s="13">
        <v>30</v>
      </c>
      <c r="E378" s="13">
        <v>50</v>
      </c>
      <c r="F378" s="13">
        <f t="shared" si="10"/>
        <v>20</v>
      </c>
      <c r="G378" s="14" t="s">
        <v>461</v>
      </c>
      <c r="H378" s="17" t="s">
        <v>460</v>
      </c>
      <c r="I378" s="38"/>
    </row>
    <row r="379" spans="1:9" x14ac:dyDescent="0.2">
      <c r="A379" s="10">
        <v>6</v>
      </c>
      <c r="B379" s="15" t="s">
        <v>229</v>
      </c>
      <c r="C379" s="2">
        <v>1</v>
      </c>
      <c r="D379" s="13">
        <v>55</v>
      </c>
      <c r="E379" s="13">
        <v>100</v>
      </c>
      <c r="F379" s="13">
        <f t="shared" si="10"/>
        <v>45</v>
      </c>
      <c r="G379" s="14" t="s">
        <v>461</v>
      </c>
      <c r="H379" s="17" t="s">
        <v>460</v>
      </c>
      <c r="I379" s="38"/>
    </row>
    <row r="380" spans="1:9" x14ac:dyDescent="0.2">
      <c r="A380" s="10">
        <v>6</v>
      </c>
      <c r="B380" s="15" t="s">
        <v>234</v>
      </c>
      <c r="C380" s="2">
        <v>1</v>
      </c>
      <c r="D380" s="13">
        <v>2</v>
      </c>
      <c r="E380" s="13">
        <v>5</v>
      </c>
      <c r="F380" s="13">
        <f t="shared" si="10"/>
        <v>3</v>
      </c>
      <c r="G380" s="14" t="s">
        <v>461</v>
      </c>
      <c r="H380" s="17" t="s">
        <v>460</v>
      </c>
      <c r="I380" s="38"/>
    </row>
    <row r="381" spans="1:9" x14ac:dyDescent="0.2">
      <c r="A381" s="10">
        <v>6</v>
      </c>
      <c r="B381" s="15" t="s">
        <v>234</v>
      </c>
      <c r="C381" s="2">
        <v>1</v>
      </c>
      <c r="D381" s="13">
        <v>2</v>
      </c>
      <c r="E381" s="13">
        <v>5</v>
      </c>
      <c r="F381" s="13">
        <f t="shared" si="10"/>
        <v>3</v>
      </c>
      <c r="G381" s="14" t="s">
        <v>461</v>
      </c>
      <c r="H381" s="17" t="s">
        <v>460</v>
      </c>
      <c r="I381" s="38"/>
    </row>
    <row r="382" spans="1:9" x14ac:dyDescent="0.2">
      <c r="A382" s="10">
        <v>6</v>
      </c>
      <c r="B382" s="15" t="s">
        <v>234</v>
      </c>
      <c r="C382" s="2">
        <v>1</v>
      </c>
      <c r="D382" s="13">
        <v>3</v>
      </c>
      <c r="E382" s="13">
        <v>5</v>
      </c>
      <c r="F382" s="13">
        <f t="shared" si="10"/>
        <v>2</v>
      </c>
      <c r="G382" s="14" t="s">
        <v>461</v>
      </c>
      <c r="H382" s="17" t="s">
        <v>460</v>
      </c>
      <c r="I382" s="38"/>
    </row>
    <row r="383" spans="1:9" x14ac:dyDescent="0.2">
      <c r="A383" s="10">
        <v>6</v>
      </c>
      <c r="B383" s="15" t="s">
        <v>235</v>
      </c>
      <c r="C383" s="2">
        <v>1</v>
      </c>
      <c r="D383" s="13">
        <v>27</v>
      </c>
      <c r="E383" s="13">
        <v>50</v>
      </c>
      <c r="F383" s="13">
        <f t="shared" si="10"/>
        <v>23</v>
      </c>
      <c r="G383" s="14" t="s">
        <v>461</v>
      </c>
      <c r="H383" s="17" t="s">
        <v>460</v>
      </c>
      <c r="I383" s="38"/>
    </row>
    <row r="384" spans="1:9" x14ac:dyDescent="0.2">
      <c r="A384" s="10">
        <v>6</v>
      </c>
      <c r="B384" s="15" t="s">
        <v>236</v>
      </c>
      <c r="C384" s="2">
        <v>1</v>
      </c>
      <c r="D384" s="13">
        <v>20</v>
      </c>
      <c r="E384" s="13">
        <v>50</v>
      </c>
      <c r="F384" s="13">
        <f t="shared" si="10"/>
        <v>30</v>
      </c>
      <c r="G384" s="14" t="s">
        <v>461</v>
      </c>
      <c r="H384" s="17" t="s">
        <v>460</v>
      </c>
      <c r="I384" s="38"/>
    </row>
    <row r="385" spans="1:9" x14ac:dyDescent="0.2">
      <c r="A385" s="10">
        <v>6</v>
      </c>
      <c r="B385" s="15" t="s">
        <v>237</v>
      </c>
      <c r="C385" s="2">
        <v>1</v>
      </c>
      <c r="D385" s="13">
        <v>20</v>
      </c>
      <c r="E385" s="13">
        <v>40</v>
      </c>
      <c r="F385" s="13">
        <f t="shared" si="10"/>
        <v>20</v>
      </c>
      <c r="G385" s="14" t="s">
        <v>461</v>
      </c>
      <c r="H385" s="17" t="s">
        <v>460</v>
      </c>
      <c r="I385" s="38"/>
    </row>
    <row r="386" spans="1:9" x14ac:dyDescent="0.2">
      <c r="A386" s="10">
        <v>6</v>
      </c>
      <c r="B386" s="15" t="s">
        <v>238</v>
      </c>
      <c r="C386" s="2">
        <v>1</v>
      </c>
      <c r="D386" s="13">
        <v>7.5</v>
      </c>
      <c r="E386" s="13">
        <v>20</v>
      </c>
      <c r="F386" s="13">
        <f t="shared" si="10"/>
        <v>12.5</v>
      </c>
      <c r="G386" s="14" t="s">
        <v>461</v>
      </c>
      <c r="H386" s="17" t="s">
        <v>460</v>
      </c>
      <c r="I386" s="38"/>
    </row>
    <row r="387" spans="1:9" x14ac:dyDescent="0.2">
      <c r="A387" s="10">
        <v>6</v>
      </c>
      <c r="B387" s="15" t="s">
        <v>201</v>
      </c>
      <c r="C387" s="2">
        <v>1</v>
      </c>
      <c r="D387" s="13">
        <v>35</v>
      </c>
      <c r="E387" s="13">
        <v>40</v>
      </c>
      <c r="F387" s="13">
        <f t="shared" si="10"/>
        <v>5</v>
      </c>
      <c r="G387" s="14" t="s">
        <v>461</v>
      </c>
      <c r="H387" s="17" t="s">
        <v>460</v>
      </c>
      <c r="I387" s="38"/>
    </row>
    <row r="388" spans="1:9" x14ac:dyDescent="0.2">
      <c r="A388" s="10">
        <v>6</v>
      </c>
      <c r="B388" s="15" t="s">
        <v>239</v>
      </c>
      <c r="C388" s="2">
        <v>1</v>
      </c>
      <c r="D388" s="13">
        <v>14</v>
      </c>
      <c r="E388" s="13">
        <v>30</v>
      </c>
      <c r="F388" s="13">
        <f t="shared" si="10"/>
        <v>16</v>
      </c>
      <c r="G388" s="14" t="s">
        <v>461</v>
      </c>
      <c r="H388" s="17" t="s">
        <v>460</v>
      </c>
      <c r="I388" s="38"/>
    </row>
    <row r="389" spans="1:9" x14ac:dyDescent="0.2">
      <c r="A389" s="10">
        <v>6</v>
      </c>
      <c r="B389" s="15" t="s">
        <v>240</v>
      </c>
      <c r="C389" s="2">
        <v>1</v>
      </c>
      <c r="D389" s="13">
        <v>30</v>
      </c>
      <c r="E389" s="13">
        <v>50</v>
      </c>
      <c r="F389" s="13">
        <f t="shared" si="10"/>
        <v>20</v>
      </c>
      <c r="G389" s="14" t="s">
        <v>461</v>
      </c>
      <c r="H389" s="17" t="s">
        <v>460</v>
      </c>
      <c r="I389" s="38"/>
    </row>
    <row r="390" spans="1:9" x14ac:dyDescent="0.2">
      <c r="A390" s="10">
        <v>6</v>
      </c>
      <c r="B390" s="15" t="s">
        <v>241</v>
      </c>
      <c r="C390" s="2">
        <v>1</v>
      </c>
      <c r="D390" s="13">
        <v>12</v>
      </c>
      <c r="E390" s="13">
        <v>25</v>
      </c>
      <c r="F390" s="13">
        <f t="shared" si="10"/>
        <v>13</v>
      </c>
      <c r="G390" s="14" t="s">
        <v>461</v>
      </c>
      <c r="H390" s="17" t="s">
        <v>460</v>
      </c>
      <c r="I390" s="38"/>
    </row>
    <row r="391" spans="1:9" x14ac:dyDescent="0.2">
      <c r="A391" s="10">
        <v>6</v>
      </c>
      <c r="B391" s="15" t="s">
        <v>241</v>
      </c>
      <c r="C391" s="2">
        <v>1</v>
      </c>
      <c r="D391" s="13">
        <v>12</v>
      </c>
      <c r="E391" s="13">
        <v>25</v>
      </c>
      <c r="F391" s="13">
        <f>E391-D391</f>
        <v>13</v>
      </c>
      <c r="G391" s="14" t="s">
        <v>461</v>
      </c>
      <c r="H391" s="17" t="s">
        <v>460</v>
      </c>
      <c r="I391" s="38"/>
    </row>
    <row r="392" spans="1:9" x14ac:dyDescent="0.2">
      <c r="A392" s="10">
        <v>6</v>
      </c>
      <c r="B392" s="15" t="s">
        <v>241</v>
      </c>
      <c r="C392" s="2">
        <v>1</v>
      </c>
      <c r="D392" s="13">
        <v>12</v>
      </c>
      <c r="E392" s="13">
        <v>25</v>
      </c>
      <c r="F392" s="13">
        <f>E392-D392</f>
        <v>13</v>
      </c>
      <c r="G392" s="14" t="s">
        <v>461</v>
      </c>
      <c r="H392" s="17" t="s">
        <v>460</v>
      </c>
      <c r="I392" s="38"/>
    </row>
    <row r="393" spans="1:9" x14ac:dyDescent="0.2">
      <c r="A393" s="10">
        <v>6</v>
      </c>
      <c r="B393" s="15" t="s">
        <v>75</v>
      </c>
      <c r="C393" s="2">
        <v>1</v>
      </c>
      <c r="D393" s="13">
        <v>13</v>
      </c>
      <c r="E393" s="13">
        <v>30</v>
      </c>
      <c r="F393" s="13">
        <f t="shared" si="10"/>
        <v>17</v>
      </c>
      <c r="G393" s="14" t="s">
        <v>461</v>
      </c>
      <c r="H393" s="17" t="s">
        <v>460</v>
      </c>
      <c r="I393" s="38"/>
    </row>
    <row r="394" spans="1:9" x14ac:dyDescent="0.2">
      <c r="A394" s="10">
        <v>6</v>
      </c>
      <c r="B394" s="15" t="s">
        <v>242</v>
      </c>
      <c r="C394" s="2">
        <v>1</v>
      </c>
      <c r="D394" s="13">
        <v>7</v>
      </c>
      <c r="E394" s="13">
        <v>15</v>
      </c>
      <c r="F394" s="13">
        <f t="shared" si="10"/>
        <v>8</v>
      </c>
      <c r="G394" s="14" t="s">
        <v>461</v>
      </c>
      <c r="H394" s="17" t="s">
        <v>460</v>
      </c>
      <c r="I394" s="38"/>
    </row>
    <row r="395" spans="1:9" x14ac:dyDescent="0.2">
      <c r="A395" s="10">
        <v>6</v>
      </c>
      <c r="B395" s="47" t="s">
        <v>243</v>
      </c>
      <c r="C395" s="14">
        <v>14</v>
      </c>
      <c r="D395" s="13">
        <v>700</v>
      </c>
      <c r="E395" s="13">
        <v>1129.81</v>
      </c>
      <c r="F395" s="13">
        <v>352.44419999999997</v>
      </c>
      <c r="G395" s="14" t="s">
        <v>461</v>
      </c>
      <c r="H395" s="17" t="s">
        <v>6</v>
      </c>
      <c r="I395" s="38"/>
    </row>
    <row r="396" spans="1:9" x14ac:dyDescent="0.2">
      <c r="A396" s="10">
        <v>6</v>
      </c>
      <c r="B396" s="47" t="s">
        <v>244</v>
      </c>
      <c r="C396" s="14">
        <v>1</v>
      </c>
      <c r="D396" s="13">
        <v>35</v>
      </c>
      <c r="E396" s="13">
        <v>103.78</v>
      </c>
      <c r="F396" s="13">
        <v>56.3996</v>
      </c>
      <c r="G396" s="14" t="s">
        <v>461</v>
      </c>
      <c r="H396" s="17" t="s">
        <v>6</v>
      </c>
      <c r="I396" s="38"/>
    </row>
    <row r="397" spans="1:9" x14ac:dyDescent="0.2">
      <c r="A397" s="10">
        <v>6</v>
      </c>
      <c r="B397" s="47" t="s">
        <v>245</v>
      </c>
      <c r="C397" s="14">
        <v>1</v>
      </c>
      <c r="D397" s="13">
        <v>50</v>
      </c>
      <c r="E397" s="13">
        <v>150.97999999999999</v>
      </c>
      <c r="F397" s="13">
        <v>82.803599999999989</v>
      </c>
      <c r="G397" s="14" t="s">
        <v>461</v>
      </c>
      <c r="H397" s="17" t="s">
        <v>6</v>
      </c>
      <c r="I397" s="38"/>
    </row>
    <row r="398" spans="1:9" x14ac:dyDescent="0.2">
      <c r="A398" s="10">
        <v>6</v>
      </c>
      <c r="B398" s="47" t="s">
        <v>61</v>
      </c>
      <c r="C398" s="14">
        <v>1</v>
      </c>
      <c r="D398" s="13">
        <v>9</v>
      </c>
      <c r="E398" s="13">
        <v>20.7</v>
      </c>
      <c r="F398" s="13">
        <v>9.5939999999999994</v>
      </c>
      <c r="G398" s="14" t="s">
        <v>461</v>
      </c>
      <c r="H398" s="17" t="s">
        <v>6</v>
      </c>
      <c r="I398" s="38"/>
    </row>
    <row r="399" spans="1:9" x14ac:dyDescent="0.2">
      <c r="A399" s="10">
        <v>6</v>
      </c>
      <c r="B399" s="47" t="s">
        <v>246</v>
      </c>
      <c r="C399" s="14">
        <v>1</v>
      </c>
      <c r="D399" s="13">
        <v>10</v>
      </c>
      <c r="E399" s="13">
        <v>35.99</v>
      </c>
      <c r="F399" s="13">
        <v>21.311800000000002</v>
      </c>
      <c r="G399" s="14" t="s">
        <v>461</v>
      </c>
      <c r="H399" s="17" t="s">
        <v>6</v>
      </c>
      <c r="I399" s="38"/>
    </row>
    <row r="400" spans="1:9" x14ac:dyDescent="0.2">
      <c r="A400" s="10">
        <v>6</v>
      </c>
      <c r="B400" s="15" t="s">
        <v>64</v>
      </c>
      <c r="C400" s="14">
        <v>5</v>
      </c>
      <c r="D400" s="13">
        <v>27.5</v>
      </c>
      <c r="E400" s="13">
        <v>71.680000000000007</v>
      </c>
      <c r="F400" s="13">
        <v>36.22760000000001</v>
      </c>
      <c r="G400" s="14" t="s">
        <v>461</v>
      </c>
      <c r="H400" s="17" t="s">
        <v>6</v>
      </c>
      <c r="I400" s="38"/>
    </row>
    <row r="401" spans="1:9" x14ac:dyDescent="0.2">
      <c r="A401" s="10">
        <v>6</v>
      </c>
      <c r="B401" s="15" t="s">
        <v>37</v>
      </c>
      <c r="C401" s="14">
        <v>1</v>
      </c>
      <c r="D401" s="13">
        <v>6</v>
      </c>
      <c r="E401" s="13">
        <v>13.5</v>
      </c>
      <c r="F401" s="13">
        <v>6.15</v>
      </c>
      <c r="G401" s="14" t="s">
        <v>461</v>
      </c>
      <c r="H401" s="17" t="s">
        <v>6</v>
      </c>
      <c r="I401" s="38"/>
    </row>
    <row r="402" spans="1:9" x14ac:dyDescent="0.2">
      <c r="A402" s="10">
        <v>6</v>
      </c>
      <c r="B402" s="15" t="s">
        <v>43</v>
      </c>
      <c r="C402" s="14">
        <v>9</v>
      </c>
      <c r="D402" s="13">
        <v>36</v>
      </c>
      <c r="E402" s="13">
        <v>82.15</v>
      </c>
      <c r="F402" s="13">
        <v>37.843000000000004</v>
      </c>
      <c r="G402" s="14" t="s">
        <v>461</v>
      </c>
      <c r="H402" s="17" t="s">
        <v>6</v>
      </c>
      <c r="I402" s="38"/>
    </row>
    <row r="403" spans="1:9" x14ac:dyDescent="0.2">
      <c r="A403" s="10">
        <v>6</v>
      </c>
      <c r="B403" s="15" t="s">
        <v>46</v>
      </c>
      <c r="C403" s="14">
        <v>5</v>
      </c>
      <c r="D403" s="13">
        <v>6.25</v>
      </c>
      <c r="E403" s="13">
        <v>26</v>
      </c>
      <c r="F403" s="13">
        <v>16.195</v>
      </c>
      <c r="G403" s="14" t="s">
        <v>461</v>
      </c>
      <c r="H403" s="17" t="s">
        <v>6</v>
      </c>
      <c r="I403" s="38"/>
    </row>
    <row r="404" spans="1:9" x14ac:dyDescent="0.2">
      <c r="A404" s="10">
        <v>6</v>
      </c>
      <c r="B404" s="15" t="s">
        <v>40</v>
      </c>
      <c r="C404" s="14">
        <v>5</v>
      </c>
      <c r="D404" s="13">
        <v>5</v>
      </c>
      <c r="E404" s="13">
        <v>12.8</v>
      </c>
      <c r="F404" s="13">
        <v>6.3960000000000008</v>
      </c>
      <c r="G404" s="14" t="s">
        <v>461</v>
      </c>
      <c r="H404" s="17" t="s">
        <v>6</v>
      </c>
      <c r="I404" s="38"/>
    </row>
    <row r="405" spans="1:9" x14ac:dyDescent="0.2">
      <c r="A405" s="10">
        <v>6</v>
      </c>
      <c r="B405" s="15" t="s">
        <v>212</v>
      </c>
      <c r="C405" s="14">
        <v>2</v>
      </c>
      <c r="D405" s="13">
        <v>26</v>
      </c>
      <c r="E405" s="13">
        <v>58.81</v>
      </c>
      <c r="F405" s="13">
        <v>26.904200000000003</v>
      </c>
      <c r="G405" s="14" t="s">
        <v>461</v>
      </c>
      <c r="H405" s="17" t="s">
        <v>6</v>
      </c>
      <c r="I405" s="38"/>
    </row>
    <row r="406" spans="1:9" x14ac:dyDescent="0.2">
      <c r="A406" s="10">
        <v>6</v>
      </c>
      <c r="B406" s="15" t="s">
        <v>247</v>
      </c>
      <c r="C406" s="14">
        <v>1</v>
      </c>
      <c r="D406" s="13">
        <v>4</v>
      </c>
      <c r="E406" s="13">
        <v>9.52</v>
      </c>
      <c r="F406" s="13">
        <v>4.5263999999999998</v>
      </c>
      <c r="G406" s="14" t="s">
        <v>461</v>
      </c>
      <c r="H406" s="17" t="s">
        <v>6</v>
      </c>
      <c r="I406" s="38"/>
    </row>
    <row r="407" spans="1:9" x14ac:dyDescent="0.2">
      <c r="A407" s="10">
        <v>6</v>
      </c>
      <c r="B407" s="15" t="s">
        <v>248</v>
      </c>
      <c r="C407" s="14">
        <v>1</v>
      </c>
      <c r="D407" s="13">
        <v>70</v>
      </c>
      <c r="E407" s="13">
        <v>130</v>
      </c>
      <c r="F407" s="13">
        <v>49.2</v>
      </c>
      <c r="G407" s="14" t="s">
        <v>461</v>
      </c>
      <c r="H407" s="17" t="s">
        <v>6</v>
      </c>
      <c r="I407" s="38"/>
    </row>
    <row r="408" spans="1:9" x14ac:dyDescent="0.2">
      <c r="A408" s="10">
        <v>6</v>
      </c>
      <c r="B408" s="15" t="s">
        <v>44</v>
      </c>
      <c r="C408" s="14">
        <v>2</v>
      </c>
      <c r="D408" s="13">
        <v>14</v>
      </c>
      <c r="E408" s="13">
        <v>31.85</v>
      </c>
      <c r="F408" s="13">
        <v>14.637</v>
      </c>
      <c r="G408" s="14" t="s">
        <v>461</v>
      </c>
      <c r="H408" s="17" t="s">
        <v>6</v>
      </c>
      <c r="I408" s="38"/>
    </row>
    <row r="409" spans="1:9" x14ac:dyDescent="0.2">
      <c r="A409" s="10">
        <v>6</v>
      </c>
      <c r="B409" s="15" t="s">
        <v>213</v>
      </c>
      <c r="C409" s="14">
        <v>11</v>
      </c>
      <c r="D409" s="13">
        <v>30.799999999999997</v>
      </c>
      <c r="E409" s="13">
        <v>124.82</v>
      </c>
      <c r="F409" s="13">
        <v>77.096399999999988</v>
      </c>
      <c r="G409" s="14" t="s">
        <v>461</v>
      </c>
      <c r="H409" s="17" t="s">
        <v>6</v>
      </c>
      <c r="I409" s="38"/>
    </row>
    <row r="410" spans="1:9" x14ac:dyDescent="0.2">
      <c r="A410" s="10">
        <v>6</v>
      </c>
      <c r="B410" s="15" t="s">
        <v>249</v>
      </c>
      <c r="C410" s="14">
        <v>1</v>
      </c>
      <c r="D410" s="13">
        <v>1.5</v>
      </c>
      <c r="E410" s="13">
        <v>10.64</v>
      </c>
      <c r="F410" s="13">
        <v>7.4948000000000006</v>
      </c>
      <c r="G410" s="14" t="s">
        <v>461</v>
      </c>
      <c r="H410" s="17" t="s">
        <v>6</v>
      </c>
      <c r="I410" s="38"/>
    </row>
    <row r="411" spans="1:9" x14ac:dyDescent="0.2">
      <c r="A411" s="10">
        <v>6</v>
      </c>
      <c r="B411" s="15" t="s">
        <v>250</v>
      </c>
      <c r="C411" s="14">
        <v>1</v>
      </c>
      <c r="D411" s="13">
        <v>18</v>
      </c>
      <c r="E411" s="13">
        <v>40</v>
      </c>
      <c r="F411" s="13">
        <v>18.04</v>
      </c>
      <c r="G411" s="14" t="s">
        <v>461</v>
      </c>
      <c r="H411" s="17" t="s">
        <v>6</v>
      </c>
      <c r="I411" s="38"/>
    </row>
    <row r="412" spans="1:9" x14ac:dyDescent="0.2">
      <c r="A412" s="10">
        <v>6</v>
      </c>
      <c r="B412" s="15" t="s">
        <v>251</v>
      </c>
      <c r="C412" s="14">
        <v>1</v>
      </c>
      <c r="D412" s="13">
        <v>14</v>
      </c>
      <c r="E412" s="13">
        <v>26.99</v>
      </c>
      <c r="F412" s="13">
        <v>10.651799999999998</v>
      </c>
      <c r="G412" s="14" t="s">
        <v>461</v>
      </c>
      <c r="H412" s="17" t="s">
        <v>6</v>
      </c>
      <c r="I412" s="38"/>
    </row>
    <row r="413" spans="1:9" x14ac:dyDescent="0.2">
      <c r="A413" s="10">
        <v>6</v>
      </c>
      <c r="B413" s="15" t="s">
        <v>252</v>
      </c>
      <c r="C413" s="14">
        <v>1</v>
      </c>
      <c r="D413" s="13">
        <v>20</v>
      </c>
      <c r="E413" s="13">
        <v>35</v>
      </c>
      <c r="F413" s="13">
        <v>12.3</v>
      </c>
      <c r="G413" s="14" t="s">
        <v>461</v>
      </c>
      <c r="H413" s="17" t="s">
        <v>6</v>
      </c>
      <c r="I413" s="38"/>
    </row>
    <row r="414" spans="1:9" x14ac:dyDescent="0.2">
      <c r="A414" s="10">
        <v>6</v>
      </c>
      <c r="B414" s="15" t="s">
        <v>253</v>
      </c>
      <c r="C414" s="14">
        <v>1</v>
      </c>
      <c r="D414" s="13">
        <v>18</v>
      </c>
      <c r="E414" s="13">
        <v>42.9</v>
      </c>
      <c r="F414" s="13">
        <v>20.417999999999999</v>
      </c>
      <c r="G414" s="14" t="s">
        <v>461</v>
      </c>
      <c r="H414" s="17" t="s">
        <v>6</v>
      </c>
      <c r="I414" s="38"/>
    </row>
    <row r="415" spans="1:9" x14ac:dyDescent="0.2">
      <c r="A415" s="10">
        <v>6</v>
      </c>
      <c r="B415" s="15" t="s">
        <v>254</v>
      </c>
      <c r="C415" s="14">
        <v>1</v>
      </c>
      <c r="D415" s="13">
        <v>4</v>
      </c>
      <c r="E415" s="13">
        <v>8.99</v>
      </c>
      <c r="F415" s="13">
        <v>4.0918000000000001</v>
      </c>
      <c r="G415" s="14" t="s">
        <v>461</v>
      </c>
      <c r="H415" s="17" t="s">
        <v>6</v>
      </c>
      <c r="I415" s="38"/>
    </row>
    <row r="416" spans="1:9" x14ac:dyDescent="0.2">
      <c r="A416" s="10">
        <v>6</v>
      </c>
      <c r="B416" s="15" t="s">
        <v>255</v>
      </c>
      <c r="C416" s="14">
        <v>2</v>
      </c>
      <c r="D416" s="13">
        <v>10</v>
      </c>
      <c r="E416" s="13">
        <v>19.5</v>
      </c>
      <c r="F416" s="13">
        <v>7.79</v>
      </c>
      <c r="G416" s="14" t="s">
        <v>461</v>
      </c>
      <c r="H416" s="17" t="s">
        <v>6</v>
      </c>
      <c r="I416" s="38"/>
    </row>
    <row r="417" spans="1:9" x14ac:dyDescent="0.2">
      <c r="A417" s="10">
        <v>6</v>
      </c>
      <c r="B417" s="15" t="s">
        <v>167</v>
      </c>
      <c r="C417" s="14">
        <v>28</v>
      </c>
      <c r="D417" s="13">
        <v>1120</v>
      </c>
      <c r="E417" s="13">
        <v>2154.84</v>
      </c>
      <c r="F417" s="13">
        <v>848.56880000000012</v>
      </c>
      <c r="G417" s="14" t="s">
        <v>461</v>
      </c>
      <c r="H417" s="17" t="s">
        <v>6</v>
      </c>
      <c r="I417" s="38"/>
    </row>
    <row r="418" spans="1:9" x14ac:dyDescent="0.2">
      <c r="A418" s="10">
        <v>6</v>
      </c>
      <c r="B418" s="15" t="s">
        <v>215</v>
      </c>
      <c r="C418" s="14">
        <v>4</v>
      </c>
      <c r="D418" s="13">
        <v>42</v>
      </c>
      <c r="E418" s="13">
        <v>145.21</v>
      </c>
      <c r="F418" s="13">
        <v>84.632200000000012</v>
      </c>
      <c r="G418" s="14" t="s">
        <v>461</v>
      </c>
      <c r="H418" s="17" t="s">
        <v>6</v>
      </c>
      <c r="I418" s="38"/>
    </row>
    <row r="419" spans="1:9" x14ac:dyDescent="0.2">
      <c r="A419" s="10">
        <v>6</v>
      </c>
      <c r="B419" s="15" t="s">
        <v>256</v>
      </c>
      <c r="C419" s="14">
        <v>2</v>
      </c>
      <c r="D419" s="13">
        <v>5</v>
      </c>
      <c r="E419" s="13">
        <v>15.3</v>
      </c>
      <c r="F419" s="13">
        <v>8.4460000000000015</v>
      </c>
      <c r="G419" s="14" t="s">
        <v>461</v>
      </c>
      <c r="H419" s="17" t="s">
        <v>6</v>
      </c>
      <c r="I419" s="38"/>
    </row>
    <row r="420" spans="1:9" x14ac:dyDescent="0.2">
      <c r="A420" s="10">
        <v>6</v>
      </c>
      <c r="B420" s="15" t="s">
        <v>145</v>
      </c>
      <c r="C420" s="14">
        <v>1</v>
      </c>
      <c r="D420" s="13">
        <v>2</v>
      </c>
      <c r="E420" s="13">
        <v>6.88</v>
      </c>
      <c r="F420" s="13">
        <v>4.0015999999999998</v>
      </c>
      <c r="G420" s="14" t="s">
        <v>461</v>
      </c>
      <c r="H420" s="17" t="s">
        <v>6</v>
      </c>
      <c r="I420" s="38"/>
    </row>
    <row r="421" spans="1:9" x14ac:dyDescent="0.2">
      <c r="A421" s="10">
        <v>6</v>
      </c>
      <c r="B421" s="15" t="s">
        <v>257</v>
      </c>
      <c r="C421" s="14">
        <v>1</v>
      </c>
      <c r="D421" s="13">
        <v>32</v>
      </c>
      <c r="E421" s="13">
        <v>57</v>
      </c>
      <c r="F421" s="13">
        <v>20.5</v>
      </c>
      <c r="G421" s="14" t="s">
        <v>461</v>
      </c>
      <c r="H421" s="17" t="s">
        <v>6</v>
      </c>
      <c r="I421" s="38"/>
    </row>
    <row r="422" spans="1:9" x14ac:dyDescent="0.2">
      <c r="A422" s="10">
        <v>6</v>
      </c>
      <c r="B422" s="15" t="s">
        <v>182</v>
      </c>
      <c r="C422" s="14">
        <v>1</v>
      </c>
      <c r="D422" s="13">
        <v>2</v>
      </c>
      <c r="E422" s="13">
        <v>5</v>
      </c>
      <c r="F422" s="13">
        <v>2.46</v>
      </c>
      <c r="G422" s="14" t="s">
        <v>461</v>
      </c>
      <c r="H422" s="17" t="s">
        <v>6</v>
      </c>
      <c r="I422" s="38"/>
    </row>
    <row r="423" spans="1:9" x14ac:dyDescent="0.2">
      <c r="A423" s="10">
        <v>6</v>
      </c>
      <c r="B423" s="15" t="s">
        <v>138</v>
      </c>
      <c r="C423" s="14">
        <v>1</v>
      </c>
      <c r="D423" s="13">
        <v>2.5</v>
      </c>
      <c r="E423" s="13">
        <v>10.46</v>
      </c>
      <c r="F423" s="13">
        <v>6.5272000000000006</v>
      </c>
      <c r="G423" s="14" t="s">
        <v>461</v>
      </c>
      <c r="H423" s="17" t="s">
        <v>6</v>
      </c>
      <c r="I423" s="38"/>
    </row>
    <row r="424" spans="1:9" x14ac:dyDescent="0.2">
      <c r="A424" s="10">
        <v>6</v>
      </c>
      <c r="B424" s="15" t="s">
        <v>217</v>
      </c>
      <c r="C424" s="14">
        <v>5</v>
      </c>
      <c r="D424" s="13">
        <v>27.5</v>
      </c>
      <c r="E424" s="13">
        <v>94.03</v>
      </c>
      <c r="F424" s="13">
        <v>54.554600000000001</v>
      </c>
      <c r="G424" s="14" t="s">
        <v>461</v>
      </c>
      <c r="H424" s="17" t="s">
        <v>6</v>
      </c>
      <c r="I424" s="38"/>
    </row>
    <row r="425" spans="1:9" x14ac:dyDescent="0.2">
      <c r="A425" s="10">
        <v>6</v>
      </c>
      <c r="B425" s="15" t="s">
        <v>258</v>
      </c>
      <c r="C425" s="14">
        <v>1</v>
      </c>
      <c r="D425" s="13">
        <v>40</v>
      </c>
      <c r="E425" s="13">
        <v>59.21</v>
      </c>
      <c r="F425" s="13">
        <v>15.7522</v>
      </c>
      <c r="G425" s="14" t="s">
        <v>461</v>
      </c>
      <c r="H425" s="17" t="s">
        <v>6</v>
      </c>
      <c r="I425" s="38"/>
    </row>
    <row r="426" spans="1:9" x14ac:dyDescent="0.2">
      <c r="A426" s="10">
        <v>6</v>
      </c>
      <c r="B426" s="15" t="s">
        <v>185</v>
      </c>
      <c r="C426" s="14">
        <v>1</v>
      </c>
      <c r="D426" s="13">
        <v>3</v>
      </c>
      <c r="E426" s="13">
        <v>11.01</v>
      </c>
      <c r="F426" s="13">
        <v>6.5682</v>
      </c>
      <c r="G426" s="14" t="s">
        <v>461</v>
      </c>
      <c r="H426" s="17" t="s">
        <v>6</v>
      </c>
      <c r="I426" s="38"/>
    </row>
    <row r="427" spans="1:9" x14ac:dyDescent="0.2">
      <c r="A427" s="10">
        <v>6</v>
      </c>
      <c r="B427" s="15" t="s">
        <v>259</v>
      </c>
      <c r="C427" s="14">
        <v>1</v>
      </c>
      <c r="D427" s="13">
        <v>0</v>
      </c>
      <c r="E427" s="13">
        <v>2.94</v>
      </c>
      <c r="F427" s="13">
        <v>2.4108000000000001</v>
      </c>
      <c r="G427" s="14" t="s">
        <v>461</v>
      </c>
      <c r="H427" s="17" t="s">
        <v>6</v>
      </c>
      <c r="I427" s="38"/>
    </row>
    <row r="428" spans="1:9" x14ac:dyDescent="0.2">
      <c r="A428" s="10">
        <v>6</v>
      </c>
      <c r="B428" s="15" t="s">
        <v>66</v>
      </c>
      <c r="C428" s="14">
        <v>8</v>
      </c>
      <c r="D428" s="13">
        <v>60</v>
      </c>
      <c r="E428" s="13">
        <v>171.61</v>
      </c>
      <c r="F428" s="13">
        <v>91.520200000000017</v>
      </c>
      <c r="G428" s="14" t="s">
        <v>461</v>
      </c>
      <c r="H428" s="17" t="s">
        <v>6</v>
      </c>
      <c r="I428" s="38"/>
    </row>
    <row r="429" spans="1:9" x14ac:dyDescent="0.2">
      <c r="A429" s="10">
        <v>6</v>
      </c>
      <c r="B429" s="15" t="s">
        <v>52</v>
      </c>
      <c r="C429" s="14">
        <v>1</v>
      </c>
      <c r="D429" s="13">
        <v>1</v>
      </c>
      <c r="E429" s="13">
        <v>13.01</v>
      </c>
      <c r="F429" s="13">
        <v>9.8482000000000003</v>
      </c>
      <c r="G429" s="14" t="s">
        <v>461</v>
      </c>
      <c r="H429" s="17" t="s">
        <v>6</v>
      </c>
      <c r="I429" s="38"/>
    </row>
    <row r="430" spans="1:9" x14ac:dyDescent="0.2">
      <c r="A430" s="10">
        <v>6</v>
      </c>
      <c r="B430" s="15" t="s">
        <v>220</v>
      </c>
      <c r="C430" s="14">
        <v>6</v>
      </c>
      <c r="D430" s="13">
        <v>15</v>
      </c>
      <c r="E430" s="13">
        <v>29.58</v>
      </c>
      <c r="F430" s="13">
        <v>11.955599999999999</v>
      </c>
      <c r="G430" s="14" t="s">
        <v>461</v>
      </c>
      <c r="H430" s="17" t="s">
        <v>6</v>
      </c>
      <c r="I430" s="38"/>
    </row>
    <row r="431" spans="1:9" x14ac:dyDescent="0.2">
      <c r="A431" s="10">
        <v>6</v>
      </c>
      <c r="B431" s="15" t="s">
        <v>142</v>
      </c>
      <c r="C431" s="14">
        <v>1</v>
      </c>
      <c r="D431" s="13">
        <v>0.5</v>
      </c>
      <c r="E431" s="13">
        <v>1.79</v>
      </c>
      <c r="F431" s="13">
        <v>1.0578000000000001</v>
      </c>
      <c r="G431" s="14" t="s">
        <v>461</v>
      </c>
      <c r="H431" s="17" t="s">
        <v>6</v>
      </c>
      <c r="I431" s="38"/>
    </row>
    <row r="432" spans="1:9" collapsed="1" x14ac:dyDescent="0.2">
      <c r="A432" s="10">
        <v>6</v>
      </c>
      <c r="B432" s="15" t="s">
        <v>260</v>
      </c>
      <c r="C432" s="14">
        <v>4</v>
      </c>
      <c r="D432" s="13">
        <v>2</v>
      </c>
      <c r="E432" s="13">
        <v>19.77</v>
      </c>
      <c r="F432" s="13">
        <v>14.571400000000001</v>
      </c>
      <c r="G432" s="14" t="s">
        <v>461</v>
      </c>
      <c r="H432" s="17" t="s">
        <v>6</v>
      </c>
      <c r="I432" s="38"/>
    </row>
    <row r="433" spans="1:10" x14ac:dyDescent="0.2">
      <c r="A433" s="10">
        <v>6</v>
      </c>
      <c r="B433" s="15" t="s">
        <v>261</v>
      </c>
      <c r="C433" s="14">
        <v>1</v>
      </c>
      <c r="D433" s="13">
        <v>30</v>
      </c>
      <c r="E433" s="13">
        <v>69.67</v>
      </c>
      <c r="F433" s="13">
        <v>32.529400000000003</v>
      </c>
      <c r="G433" s="14" t="s">
        <v>461</v>
      </c>
      <c r="H433" s="17" t="s">
        <v>6</v>
      </c>
      <c r="I433" s="38"/>
    </row>
    <row r="434" spans="1:10" x14ac:dyDescent="0.2">
      <c r="A434" s="10">
        <v>7</v>
      </c>
      <c r="B434" s="15" t="s">
        <v>263</v>
      </c>
      <c r="C434" s="2">
        <v>1</v>
      </c>
      <c r="D434" s="13">
        <v>18</v>
      </c>
      <c r="E434" s="13">
        <v>30</v>
      </c>
      <c r="F434" s="13">
        <f>E434-D434</f>
        <v>12</v>
      </c>
      <c r="G434" s="14" t="s">
        <v>461</v>
      </c>
      <c r="H434" s="17" t="s">
        <v>460</v>
      </c>
      <c r="I434" s="23"/>
    </row>
    <row r="435" spans="1:10" x14ac:dyDescent="0.2">
      <c r="A435" s="10">
        <v>7</v>
      </c>
      <c r="B435" s="15" t="s">
        <v>264</v>
      </c>
      <c r="C435" s="2">
        <v>1</v>
      </c>
      <c r="D435" s="13">
        <v>18</v>
      </c>
      <c r="E435" s="13">
        <v>50</v>
      </c>
      <c r="F435" s="13">
        <f t="shared" ref="F435:F465" si="11">E435-D435</f>
        <v>32</v>
      </c>
      <c r="G435" s="14" t="s">
        <v>461</v>
      </c>
      <c r="H435" s="17" t="s">
        <v>460</v>
      </c>
      <c r="I435" s="23"/>
    </row>
    <row r="436" spans="1:10" x14ac:dyDescent="0.2">
      <c r="A436" s="10">
        <v>7</v>
      </c>
      <c r="B436" s="15" t="s">
        <v>265</v>
      </c>
      <c r="C436" s="2">
        <v>1</v>
      </c>
      <c r="D436" s="13">
        <v>13</v>
      </c>
      <c r="E436" s="13">
        <v>30</v>
      </c>
      <c r="F436" s="13">
        <f t="shared" si="11"/>
        <v>17</v>
      </c>
      <c r="G436" s="14" t="s">
        <v>461</v>
      </c>
      <c r="H436" s="17" t="s">
        <v>460</v>
      </c>
      <c r="I436" s="23"/>
    </row>
    <row r="437" spans="1:10" x14ac:dyDescent="0.2">
      <c r="A437" s="10">
        <v>7</v>
      </c>
      <c r="B437" s="15" t="s">
        <v>8</v>
      </c>
      <c r="C437" s="2">
        <v>1</v>
      </c>
      <c r="D437" s="13">
        <v>40</v>
      </c>
      <c r="E437" s="13">
        <v>70</v>
      </c>
      <c r="F437" s="13">
        <f t="shared" si="11"/>
        <v>30</v>
      </c>
      <c r="G437" s="14" t="s">
        <v>461</v>
      </c>
      <c r="H437" s="17" t="s">
        <v>460</v>
      </c>
      <c r="I437" s="23"/>
    </row>
    <row r="438" spans="1:10" x14ac:dyDescent="0.2">
      <c r="A438" s="10">
        <v>7</v>
      </c>
      <c r="B438" s="15" t="s">
        <v>266</v>
      </c>
      <c r="C438" s="2">
        <v>1</v>
      </c>
      <c r="D438" s="13">
        <v>35</v>
      </c>
      <c r="E438" s="13">
        <v>40</v>
      </c>
      <c r="F438" s="13">
        <f t="shared" si="11"/>
        <v>5</v>
      </c>
      <c r="G438" s="14" t="s">
        <v>461</v>
      </c>
      <c r="H438" s="17" t="s">
        <v>460</v>
      </c>
      <c r="I438" s="23"/>
    </row>
    <row r="439" spans="1:10" x14ac:dyDescent="0.2">
      <c r="A439" s="10">
        <v>7</v>
      </c>
      <c r="B439" s="15" t="s">
        <v>267</v>
      </c>
      <c r="C439" s="2">
        <v>1</v>
      </c>
      <c r="D439" s="13">
        <v>22.5</v>
      </c>
      <c r="E439" s="13">
        <v>30</v>
      </c>
      <c r="F439" s="13">
        <v>7.5</v>
      </c>
      <c r="G439" s="14" t="s">
        <v>461</v>
      </c>
      <c r="H439" s="17" t="s">
        <v>460</v>
      </c>
      <c r="I439" s="23"/>
    </row>
    <row r="440" spans="1:10" x14ac:dyDescent="0.2">
      <c r="A440" s="10">
        <v>7</v>
      </c>
      <c r="B440" s="15" t="s">
        <v>171</v>
      </c>
      <c r="C440" s="2">
        <v>1</v>
      </c>
      <c r="D440" s="13">
        <v>14</v>
      </c>
      <c r="E440" s="13">
        <v>20</v>
      </c>
      <c r="F440" s="13">
        <v>6</v>
      </c>
      <c r="G440" s="14" t="s">
        <v>461</v>
      </c>
      <c r="H440" s="17" t="s">
        <v>460</v>
      </c>
      <c r="I440" s="23"/>
    </row>
    <row r="441" spans="1:10" x14ac:dyDescent="0.2">
      <c r="A441" s="10">
        <v>7</v>
      </c>
      <c r="B441" s="15" t="s">
        <v>203</v>
      </c>
      <c r="C441" s="2">
        <v>1</v>
      </c>
      <c r="D441" s="13">
        <v>32</v>
      </c>
      <c r="E441" s="13">
        <v>60</v>
      </c>
      <c r="F441" s="13">
        <f t="shared" si="11"/>
        <v>28</v>
      </c>
      <c r="G441" s="14" t="s">
        <v>461</v>
      </c>
      <c r="H441" s="17" t="s">
        <v>460</v>
      </c>
      <c r="I441" s="23"/>
    </row>
    <row r="442" spans="1:10" x14ac:dyDescent="0.2">
      <c r="A442" s="10">
        <v>7</v>
      </c>
      <c r="B442" s="15" t="s">
        <v>268</v>
      </c>
      <c r="C442" s="2">
        <v>1</v>
      </c>
      <c r="D442" s="13">
        <v>60</v>
      </c>
      <c r="E442" s="13">
        <v>140</v>
      </c>
      <c r="F442" s="13">
        <f t="shared" si="11"/>
        <v>80</v>
      </c>
      <c r="G442" s="14" t="s">
        <v>461</v>
      </c>
      <c r="H442" s="17" t="s">
        <v>460</v>
      </c>
      <c r="I442" s="23"/>
    </row>
    <row r="443" spans="1:10" x14ac:dyDescent="0.2">
      <c r="A443" s="10">
        <v>7</v>
      </c>
      <c r="B443" s="15" t="s">
        <v>269</v>
      </c>
      <c r="C443" s="2">
        <v>1</v>
      </c>
      <c r="D443" s="13">
        <v>5</v>
      </c>
      <c r="E443" s="13">
        <v>6</v>
      </c>
      <c r="F443" s="13">
        <f>E443-D443</f>
        <v>1</v>
      </c>
      <c r="G443" s="14" t="s">
        <v>461</v>
      </c>
      <c r="H443" s="17" t="s">
        <v>460</v>
      </c>
      <c r="I443" s="23"/>
    </row>
    <row r="444" spans="1:10" x14ac:dyDescent="0.2">
      <c r="A444" s="10">
        <v>7</v>
      </c>
      <c r="B444" s="15" t="s">
        <v>269</v>
      </c>
      <c r="C444" s="2">
        <v>1</v>
      </c>
      <c r="D444" s="13">
        <v>5</v>
      </c>
      <c r="E444" s="13">
        <v>6</v>
      </c>
      <c r="F444" s="13">
        <f t="shared" si="11"/>
        <v>1</v>
      </c>
      <c r="G444" s="14" t="s">
        <v>461</v>
      </c>
      <c r="H444" s="17" t="s">
        <v>460</v>
      </c>
      <c r="I444" s="23"/>
    </row>
    <row r="445" spans="1:10" x14ac:dyDescent="0.2">
      <c r="A445" s="10">
        <v>7</v>
      </c>
      <c r="B445" s="15" t="s">
        <v>206</v>
      </c>
      <c r="C445" s="2">
        <v>1</v>
      </c>
      <c r="D445" s="13">
        <v>5.5</v>
      </c>
      <c r="E445" s="13">
        <v>6.5</v>
      </c>
      <c r="F445" s="13">
        <f t="shared" si="11"/>
        <v>1</v>
      </c>
      <c r="G445" s="14" t="s">
        <v>461</v>
      </c>
      <c r="H445" s="17" t="s">
        <v>460</v>
      </c>
      <c r="I445" s="23"/>
    </row>
    <row r="446" spans="1:10" x14ac:dyDescent="0.2">
      <c r="A446" s="10">
        <v>7</v>
      </c>
      <c r="B446" s="15" t="s">
        <v>270</v>
      </c>
      <c r="C446" s="2">
        <v>1</v>
      </c>
      <c r="D446" s="13">
        <v>5.5</v>
      </c>
      <c r="E446" s="13">
        <v>6.5</v>
      </c>
      <c r="F446" s="13">
        <f t="shared" si="11"/>
        <v>1</v>
      </c>
      <c r="G446" s="14" t="s">
        <v>461</v>
      </c>
      <c r="H446" s="17" t="s">
        <v>460</v>
      </c>
      <c r="I446" s="23"/>
    </row>
    <row r="447" spans="1:10" x14ac:dyDescent="0.2">
      <c r="A447" s="10">
        <v>7</v>
      </c>
      <c r="B447" s="15" t="s">
        <v>271</v>
      </c>
      <c r="C447" s="2">
        <v>1</v>
      </c>
      <c r="D447" s="13">
        <v>9.5</v>
      </c>
      <c r="E447" s="13">
        <v>12</v>
      </c>
      <c r="F447" s="13">
        <f t="shared" si="11"/>
        <v>2.5</v>
      </c>
      <c r="G447" s="14" t="s">
        <v>461</v>
      </c>
      <c r="H447" s="17" t="s">
        <v>460</v>
      </c>
      <c r="I447" s="23"/>
      <c r="J447" s="19"/>
    </row>
    <row r="448" spans="1:10" x14ac:dyDescent="0.2">
      <c r="A448" s="10">
        <v>7</v>
      </c>
      <c r="B448" s="15" t="s">
        <v>272</v>
      </c>
      <c r="C448" s="2">
        <v>1</v>
      </c>
      <c r="D448" s="13">
        <v>23</v>
      </c>
      <c r="E448" s="13">
        <v>50</v>
      </c>
      <c r="F448" s="13">
        <f t="shared" si="11"/>
        <v>27</v>
      </c>
      <c r="G448" s="14" t="s">
        <v>461</v>
      </c>
      <c r="H448" s="17" t="s">
        <v>460</v>
      </c>
      <c r="I448" s="23"/>
    </row>
    <row r="449" spans="1:9" x14ac:dyDescent="0.2">
      <c r="A449" s="10">
        <v>7</v>
      </c>
      <c r="B449" s="15" t="s">
        <v>273</v>
      </c>
      <c r="C449" s="2">
        <v>1</v>
      </c>
      <c r="D449" s="13">
        <v>30</v>
      </c>
      <c r="E449" s="13">
        <v>70</v>
      </c>
      <c r="F449" s="13">
        <f t="shared" si="11"/>
        <v>40</v>
      </c>
      <c r="G449" s="14" t="s">
        <v>461</v>
      </c>
      <c r="H449" s="17" t="s">
        <v>460</v>
      </c>
      <c r="I449" s="23"/>
    </row>
    <row r="450" spans="1:9" x14ac:dyDescent="0.2">
      <c r="A450" s="10">
        <v>7</v>
      </c>
      <c r="B450" s="15" t="s">
        <v>274</v>
      </c>
      <c r="C450" s="2">
        <v>1</v>
      </c>
      <c r="D450" s="13">
        <v>45</v>
      </c>
      <c r="E450" s="13">
        <v>115</v>
      </c>
      <c r="F450" s="13">
        <f t="shared" si="11"/>
        <v>70</v>
      </c>
      <c r="G450" s="14" t="s">
        <v>461</v>
      </c>
      <c r="H450" s="17" t="s">
        <v>460</v>
      </c>
      <c r="I450" s="23"/>
    </row>
    <row r="451" spans="1:9" x14ac:dyDescent="0.2">
      <c r="A451" s="10">
        <v>7</v>
      </c>
      <c r="B451" s="15" t="s">
        <v>275</v>
      </c>
      <c r="C451" s="2">
        <v>1</v>
      </c>
      <c r="D451" s="13">
        <v>8.1999999999999993</v>
      </c>
      <c r="E451" s="13">
        <v>20</v>
      </c>
      <c r="F451" s="13">
        <f t="shared" si="11"/>
        <v>11.8</v>
      </c>
      <c r="G451" s="14" t="s">
        <v>461</v>
      </c>
      <c r="H451" s="17" t="s">
        <v>460</v>
      </c>
      <c r="I451" s="23"/>
    </row>
    <row r="452" spans="1:9" x14ac:dyDescent="0.2">
      <c r="A452" s="10">
        <v>7</v>
      </c>
      <c r="B452" s="15" t="s">
        <v>103</v>
      </c>
      <c r="C452" s="2">
        <v>1</v>
      </c>
      <c r="D452" s="13">
        <v>21</v>
      </c>
      <c r="E452" s="13">
        <v>39</v>
      </c>
      <c r="F452" s="13">
        <f t="shared" si="11"/>
        <v>18</v>
      </c>
      <c r="G452" s="14" t="s">
        <v>461</v>
      </c>
      <c r="H452" s="17" t="s">
        <v>460</v>
      </c>
      <c r="I452" s="23"/>
    </row>
    <row r="453" spans="1:9" x14ac:dyDescent="0.2">
      <c r="A453" s="10">
        <v>7</v>
      </c>
      <c r="B453" s="15" t="s">
        <v>276</v>
      </c>
      <c r="C453" s="2">
        <v>1</v>
      </c>
      <c r="D453" s="13">
        <v>20</v>
      </c>
      <c r="E453" s="13">
        <v>35</v>
      </c>
      <c r="F453" s="13">
        <f t="shared" si="11"/>
        <v>15</v>
      </c>
      <c r="G453" s="14" t="s">
        <v>461</v>
      </c>
      <c r="H453" s="17" t="s">
        <v>460</v>
      </c>
      <c r="I453" s="23"/>
    </row>
    <row r="454" spans="1:9" x14ac:dyDescent="0.2">
      <c r="A454" s="10">
        <v>7</v>
      </c>
      <c r="B454" s="15" t="s">
        <v>276</v>
      </c>
      <c r="C454" s="2">
        <v>1</v>
      </c>
      <c r="D454" s="13">
        <v>20</v>
      </c>
      <c r="E454" s="13">
        <v>35</v>
      </c>
      <c r="F454" s="13">
        <f>E454-D454</f>
        <v>15</v>
      </c>
      <c r="G454" s="14" t="s">
        <v>461</v>
      </c>
      <c r="H454" s="17" t="s">
        <v>460</v>
      </c>
      <c r="I454" s="23"/>
    </row>
    <row r="455" spans="1:9" x14ac:dyDescent="0.2">
      <c r="A455" s="10">
        <v>7</v>
      </c>
      <c r="B455" s="15" t="s">
        <v>111</v>
      </c>
      <c r="C455" s="2">
        <v>1</v>
      </c>
      <c r="D455" s="13">
        <v>120</v>
      </c>
      <c r="E455" s="13">
        <v>300</v>
      </c>
      <c r="F455" s="13">
        <f t="shared" si="11"/>
        <v>180</v>
      </c>
      <c r="G455" s="14" t="s">
        <v>461</v>
      </c>
      <c r="H455" s="17" t="s">
        <v>460</v>
      </c>
      <c r="I455" s="23"/>
    </row>
    <row r="456" spans="1:9" x14ac:dyDescent="0.2">
      <c r="A456" s="10">
        <v>7</v>
      </c>
      <c r="B456" s="15" t="s">
        <v>277</v>
      </c>
      <c r="C456" s="2">
        <v>1</v>
      </c>
      <c r="D456" s="13">
        <v>16</v>
      </c>
      <c r="E456" s="13">
        <v>30</v>
      </c>
      <c r="F456" s="13">
        <f t="shared" si="11"/>
        <v>14</v>
      </c>
      <c r="G456" s="14" t="s">
        <v>461</v>
      </c>
      <c r="H456" s="17" t="s">
        <v>460</v>
      </c>
      <c r="I456" s="23"/>
    </row>
    <row r="457" spans="1:9" x14ac:dyDescent="0.2">
      <c r="A457" s="10">
        <v>7</v>
      </c>
      <c r="B457" s="15" t="s">
        <v>278</v>
      </c>
      <c r="C457" s="2">
        <v>1</v>
      </c>
      <c r="D457" s="13">
        <v>29</v>
      </c>
      <c r="E457" s="13">
        <v>130</v>
      </c>
      <c r="F457" s="13">
        <f t="shared" si="11"/>
        <v>101</v>
      </c>
      <c r="G457" s="14" t="s">
        <v>461</v>
      </c>
      <c r="H457" s="17" t="s">
        <v>460</v>
      </c>
      <c r="I457" s="23"/>
    </row>
    <row r="458" spans="1:9" x14ac:dyDescent="0.2">
      <c r="A458" s="10">
        <v>7</v>
      </c>
      <c r="B458" s="15" t="s">
        <v>279</v>
      </c>
      <c r="C458" s="2">
        <v>1</v>
      </c>
      <c r="D458" s="13">
        <v>8</v>
      </c>
      <c r="E458" s="13">
        <v>20</v>
      </c>
      <c r="F458" s="13">
        <f t="shared" si="11"/>
        <v>12</v>
      </c>
      <c r="G458" s="14" t="s">
        <v>461</v>
      </c>
      <c r="H458" s="17" t="s">
        <v>460</v>
      </c>
      <c r="I458" s="23"/>
    </row>
    <row r="459" spans="1:9" collapsed="1" x14ac:dyDescent="0.2">
      <c r="A459" s="10">
        <v>7</v>
      </c>
      <c r="B459" s="15" t="s">
        <v>279</v>
      </c>
      <c r="C459" s="2">
        <v>1</v>
      </c>
      <c r="D459" s="13">
        <v>8</v>
      </c>
      <c r="E459" s="13">
        <v>20</v>
      </c>
      <c r="F459" s="13">
        <f>E459-D459</f>
        <v>12</v>
      </c>
      <c r="G459" s="14" t="s">
        <v>461</v>
      </c>
      <c r="H459" s="17" t="s">
        <v>460</v>
      </c>
      <c r="I459" s="23"/>
    </row>
    <row r="460" spans="1:9" x14ac:dyDescent="0.2">
      <c r="A460" s="10">
        <v>7</v>
      </c>
      <c r="B460" s="15" t="s">
        <v>280</v>
      </c>
      <c r="C460" s="2">
        <v>1</v>
      </c>
      <c r="D460" s="13">
        <v>7.5</v>
      </c>
      <c r="E460" s="13">
        <v>20</v>
      </c>
      <c r="F460" s="13">
        <f t="shared" si="11"/>
        <v>12.5</v>
      </c>
      <c r="G460" s="14" t="s">
        <v>461</v>
      </c>
      <c r="H460" s="17" t="s">
        <v>460</v>
      </c>
      <c r="I460" s="23"/>
    </row>
    <row r="461" spans="1:9" x14ac:dyDescent="0.2">
      <c r="A461" s="10">
        <v>7</v>
      </c>
      <c r="B461" s="15" t="s">
        <v>281</v>
      </c>
      <c r="C461" s="2">
        <v>1</v>
      </c>
      <c r="D461" s="13">
        <v>20</v>
      </c>
      <c r="E461" s="13">
        <v>60</v>
      </c>
      <c r="F461" s="13">
        <f t="shared" si="11"/>
        <v>40</v>
      </c>
      <c r="G461" s="14" t="s">
        <v>461</v>
      </c>
      <c r="H461" s="17" t="s">
        <v>460</v>
      </c>
      <c r="I461" s="23"/>
    </row>
    <row r="462" spans="1:9" x14ac:dyDescent="0.2">
      <c r="A462" s="10">
        <v>7</v>
      </c>
      <c r="B462" s="15" t="s">
        <v>209</v>
      </c>
      <c r="C462" s="2">
        <v>1</v>
      </c>
      <c r="D462" s="13">
        <v>40</v>
      </c>
      <c r="E462" s="13">
        <v>135</v>
      </c>
      <c r="F462" s="13">
        <f t="shared" si="11"/>
        <v>95</v>
      </c>
      <c r="G462" s="14" t="s">
        <v>461</v>
      </c>
      <c r="H462" s="17" t="s">
        <v>460</v>
      </c>
      <c r="I462" s="23"/>
    </row>
    <row r="463" spans="1:9" x14ac:dyDescent="0.2">
      <c r="A463" s="10">
        <v>7</v>
      </c>
      <c r="B463" s="15" t="s">
        <v>282</v>
      </c>
      <c r="C463" s="2">
        <v>1</v>
      </c>
      <c r="D463" s="13">
        <v>15</v>
      </c>
      <c r="E463" s="13">
        <v>30</v>
      </c>
      <c r="F463" s="13">
        <f t="shared" si="11"/>
        <v>15</v>
      </c>
      <c r="G463" s="14" t="s">
        <v>461</v>
      </c>
      <c r="H463" s="17" t="s">
        <v>460</v>
      </c>
      <c r="I463" s="23"/>
    </row>
    <row r="464" spans="1:9" x14ac:dyDescent="0.2">
      <c r="A464" s="10">
        <v>7</v>
      </c>
      <c r="B464" s="15" t="s">
        <v>229</v>
      </c>
      <c r="C464" s="2">
        <v>1</v>
      </c>
      <c r="D464" s="13">
        <v>35</v>
      </c>
      <c r="E464" s="13">
        <v>70</v>
      </c>
      <c r="F464" s="13">
        <f t="shared" si="11"/>
        <v>35</v>
      </c>
      <c r="G464" s="14" t="s">
        <v>461</v>
      </c>
      <c r="H464" s="17" t="s">
        <v>460</v>
      </c>
      <c r="I464" s="23"/>
    </row>
    <row r="465" spans="1:9" x14ac:dyDescent="0.2">
      <c r="A465" s="10">
        <v>7</v>
      </c>
      <c r="B465" s="15" t="s">
        <v>276</v>
      </c>
      <c r="C465" s="2">
        <v>1</v>
      </c>
      <c r="D465" s="13">
        <v>60</v>
      </c>
      <c r="E465" s="13">
        <v>100</v>
      </c>
      <c r="F465" s="13">
        <f t="shared" si="11"/>
        <v>40</v>
      </c>
      <c r="G465" s="14" t="s">
        <v>461</v>
      </c>
      <c r="H465" s="17" t="s">
        <v>460</v>
      </c>
      <c r="I465" s="23"/>
    </row>
    <row r="466" spans="1:9" x14ac:dyDescent="0.2">
      <c r="A466" s="10">
        <v>7</v>
      </c>
      <c r="B466" s="15" t="s">
        <v>145</v>
      </c>
      <c r="C466" s="14">
        <v>1</v>
      </c>
      <c r="D466" s="13">
        <v>1</v>
      </c>
      <c r="E466" s="13">
        <v>1</v>
      </c>
      <c r="F466" s="13">
        <v>-0.18</v>
      </c>
      <c r="G466" s="14" t="s">
        <v>461</v>
      </c>
      <c r="H466" s="17" t="s">
        <v>6</v>
      </c>
      <c r="I466" s="23"/>
    </row>
    <row r="467" spans="1:9" x14ac:dyDescent="0.2">
      <c r="A467" s="10">
        <v>7</v>
      </c>
      <c r="B467" s="15" t="s">
        <v>283</v>
      </c>
      <c r="C467" s="14">
        <v>1</v>
      </c>
      <c r="D467" s="13">
        <v>2</v>
      </c>
      <c r="E467" s="13">
        <v>2.5499999999999998</v>
      </c>
      <c r="F467" s="13">
        <v>0.09</v>
      </c>
      <c r="G467" s="14" t="s">
        <v>461</v>
      </c>
      <c r="H467" s="17" t="s">
        <v>6</v>
      </c>
      <c r="I467" s="23"/>
    </row>
    <row r="468" spans="1:9" x14ac:dyDescent="0.2">
      <c r="A468" s="10">
        <v>7</v>
      </c>
      <c r="B468" s="15" t="s">
        <v>182</v>
      </c>
      <c r="C468" s="14">
        <v>1</v>
      </c>
      <c r="D468" s="13">
        <v>2</v>
      </c>
      <c r="E468" s="13">
        <v>3.32</v>
      </c>
      <c r="F468" s="13">
        <v>0.72</v>
      </c>
      <c r="G468" s="14" t="s">
        <v>461</v>
      </c>
      <c r="H468" s="17" t="s">
        <v>6</v>
      </c>
      <c r="I468" s="23"/>
    </row>
    <row r="469" spans="1:9" x14ac:dyDescent="0.2">
      <c r="A469" s="10">
        <v>7</v>
      </c>
      <c r="B469" s="15" t="s">
        <v>46</v>
      </c>
      <c r="C469" s="14">
        <v>1</v>
      </c>
      <c r="D469" s="13">
        <v>1</v>
      </c>
      <c r="E469" s="13">
        <v>3.41</v>
      </c>
      <c r="F469" s="13">
        <v>1.8</v>
      </c>
      <c r="G469" s="14" t="s">
        <v>461</v>
      </c>
      <c r="H469" s="17" t="s">
        <v>6</v>
      </c>
      <c r="I469" s="23"/>
    </row>
    <row r="470" spans="1:9" x14ac:dyDescent="0.2">
      <c r="A470" s="10">
        <v>7</v>
      </c>
      <c r="B470" s="15" t="s">
        <v>40</v>
      </c>
      <c r="C470" s="14">
        <v>2</v>
      </c>
      <c r="D470" s="13">
        <v>2</v>
      </c>
      <c r="E470" s="13">
        <v>4.01</v>
      </c>
      <c r="F470" s="13">
        <v>1.29</v>
      </c>
      <c r="G470" s="14" t="s">
        <v>461</v>
      </c>
      <c r="H470" s="17" t="s">
        <v>6</v>
      </c>
      <c r="I470" s="23"/>
    </row>
    <row r="471" spans="1:9" x14ac:dyDescent="0.2">
      <c r="A471" s="10">
        <v>7</v>
      </c>
      <c r="B471" s="15" t="s">
        <v>220</v>
      </c>
      <c r="C471" s="14">
        <v>1</v>
      </c>
      <c r="D471" s="13">
        <v>2.5</v>
      </c>
      <c r="E471" s="13">
        <v>5</v>
      </c>
      <c r="F471" s="13">
        <v>1.6</v>
      </c>
      <c r="G471" s="14" t="s">
        <v>461</v>
      </c>
      <c r="H471" s="17" t="s">
        <v>6</v>
      </c>
      <c r="I471" s="23"/>
    </row>
    <row r="472" spans="1:9" x14ac:dyDescent="0.2">
      <c r="A472" s="10">
        <v>7</v>
      </c>
      <c r="B472" s="15" t="s">
        <v>52</v>
      </c>
      <c r="C472" s="14">
        <v>2</v>
      </c>
      <c r="D472" s="13">
        <v>2</v>
      </c>
      <c r="E472" s="13">
        <v>6.28</v>
      </c>
      <c r="F472" s="13">
        <v>3.15</v>
      </c>
      <c r="G472" s="14" t="s">
        <v>461</v>
      </c>
      <c r="H472" s="17" t="s">
        <v>6</v>
      </c>
      <c r="I472" s="23"/>
    </row>
    <row r="473" spans="1:9" x14ac:dyDescent="0.2">
      <c r="A473" s="10">
        <v>7</v>
      </c>
      <c r="B473" s="15" t="s">
        <v>260</v>
      </c>
      <c r="C473" s="14">
        <v>3</v>
      </c>
      <c r="D473" s="13">
        <v>3</v>
      </c>
      <c r="E473" s="13">
        <v>8.06</v>
      </c>
      <c r="F473" s="13">
        <v>3.61</v>
      </c>
      <c r="G473" s="14" t="s">
        <v>461</v>
      </c>
      <c r="H473" s="17" t="s">
        <v>6</v>
      </c>
      <c r="I473" s="23"/>
    </row>
    <row r="474" spans="1:9" x14ac:dyDescent="0.2">
      <c r="A474" s="10">
        <v>7</v>
      </c>
      <c r="B474" s="15" t="s">
        <v>138</v>
      </c>
      <c r="C474" s="14">
        <v>2</v>
      </c>
      <c r="D474" s="13">
        <v>4</v>
      </c>
      <c r="E474" s="13">
        <v>9.27</v>
      </c>
      <c r="F474" s="13">
        <v>3.6</v>
      </c>
      <c r="G474" s="14" t="s">
        <v>461</v>
      </c>
      <c r="H474" s="17" t="s">
        <v>6</v>
      </c>
      <c r="I474" s="23"/>
    </row>
    <row r="475" spans="1:9" x14ac:dyDescent="0.2">
      <c r="A475" s="10">
        <v>7</v>
      </c>
      <c r="B475" s="15" t="s">
        <v>37</v>
      </c>
      <c r="C475" s="14">
        <v>1</v>
      </c>
      <c r="D475" s="13">
        <v>7</v>
      </c>
      <c r="E475" s="13">
        <v>13.5</v>
      </c>
      <c r="F475" s="13">
        <v>4.07</v>
      </c>
      <c r="G475" s="14" t="s">
        <v>461</v>
      </c>
      <c r="H475" s="17" t="s">
        <v>6</v>
      </c>
      <c r="I475" s="23"/>
    </row>
    <row r="476" spans="1:9" x14ac:dyDescent="0.2">
      <c r="A476" s="10">
        <v>7</v>
      </c>
      <c r="B476" s="15" t="s">
        <v>133</v>
      </c>
      <c r="C476" s="14">
        <v>1</v>
      </c>
      <c r="D476" s="13">
        <v>2.5</v>
      </c>
      <c r="E476" s="13">
        <v>15.12</v>
      </c>
      <c r="F476" s="13">
        <v>9.9</v>
      </c>
      <c r="G476" s="14" t="s">
        <v>461</v>
      </c>
      <c r="H476" s="17" t="s">
        <v>6</v>
      </c>
      <c r="I476" s="23"/>
    </row>
    <row r="477" spans="1:9" x14ac:dyDescent="0.2">
      <c r="A477" s="10">
        <v>7</v>
      </c>
      <c r="B477" s="15" t="s">
        <v>256</v>
      </c>
      <c r="C477" s="14">
        <v>2</v>
      </c>
      <c r="D477" s="13">
        <v>4</v>
      </c>
      <c r="E477" s="13">
        <v>15.94</v>
      </c>
      <c r="F477" s="13">
        <v>9.07</v>
      </c>
      <c r="G477" s="14" t="s">
        <v>461</v>
      </c>
      <c r="H477" s="17" t="s">
        <v>6</v>
      </c>
      <c r="I477" s="23"/>
    </row>
    <row r="478" spans="1:9" x14ac:dyDescent="0.2">
      <c r="A478" s="10">
        <v>7</v>
      </c>
      <c r="B478" s="15" t="s">
        <v>284</v>
      </c>
      <c r="C478" s="14">
        <v>1</v>
      </c>
      <c r="D478" s="13">
        <v>9</v>
      </c>
      <c r="E478" s="13">
        <v>17.989999999999998</v>
      </c>
      <c r="F478" s="13">
        <v>5.75</v>
      </c>
      <c r="G478" s="14" t="s">
        <v>461</v>
      </c>
      <c r="H478" s="17" t="s">
        <v>6</v>
      </c>
      <c r="I478" s="23"/>
    </row>
    <row r="479" spans="1:9" x14ac:dyDescent="0.2">
      <c r="A479" s="10">
        <v>7</v>
      </c>
      <c r="B479" s="15" t="s">
        <v>43</v>
      </c>
      <c r="C479" s="14">
        <v>1</v>
      </c>
      <c r="D479" s="13">
        <v>3</v>
      </c>
      <c r="E479" s="13">
        <v>21.9</v>
      </c>
      <c r="F479" s="13">
        <v>14.96</v>
      </c>
      <c r="G479" s="14" t="s">
        <v>461</v>
      </c>
      <c r="H479" s="17" t="s">
        <v>6</v>
      </c>
      <c r="I479" s="23"/>
    </row>
    <row r="480" spans="1:9" x14ac:dyDescent="0.2">
      <c r="A480" s="10">
        <v>7</v>
      </c>
      <c r="B480" s="15" t="s">
        <v>285</v>
      </c>
      <c r="C480" s="14">
        <v>1</v>
      </c>
      <c r="D480" s="13">
        <v>12</v>
      </c>
      <c r="E480" s="13">
        <v>27.11</v>
      </c>
      <c r="F480" s="13">
        <v>10.23</v>
      </c>
      <c r="G480" s="14" t="s">
        <v>461</v>
      </c>
      <c r="H480" s="17" t="s">
        <v>6</v>
      </c>
      <c r="I480" s="23"/>
    </row>
    <row r="481" spans="1:9" x14ac:dyDescent="0.2">
      <c r="A481" s="10">
        <v>7</v>
      </c>
      <c r="B481" s="15" t="s">
        <v>28</v>
      </c>
      <c r="C481" s="14">
        <v>12</v>
      </c>
      <c r="D481" s="13">
        <v>8.3999999999999986</v>
      </c>
      <c r="E481" s="13">
        <v>30</v>
      </c>
      <c r="F481" s="13">
        <v>16.2</v>
      </c>
      <c r="G481" s="14" t="s">
        <v>461</v>
      </c>
      <c r="H481" s="17" t="s">
        <v>6</v>
      </c>
      <c r="I481" s="23"/>
    </row>
    <row r="482" spans="1:9" x14ac:dyDescent="0.2">
      <c r="A482" s="10">
        <v>7</v>
      </c>
      <c r="B482" s="15" t="s">
        <v>286</v>
      </c>
      <c r="C482" s="14">
        <v>1</v>
      </c>
      <c r="D482" s="13">
        <v>13</v>
      </c>
      <c r="E482" s="13">
        <v>33.64</v>
      </c>
      <c r="F482" s="13">
        <v>14.58</v>
      </c>
      <c r="G482" s="14" t="s">
        <v>461</v>
      </c>
      <c r="H482" s="17" t="s">
        <v>6</v>
      </c>
      <c r="I482" s="23"/>
    </row>
    <row r="483" spans="1:9" x14ac:dyDescent="0.2">
      <c r="A483" s="10">
        <v>7</v>
      </c>
      <c r="B483" s="15" t="s">
        <v>287</v>
      </c>
      <c r="C483" s="14">
        <v>1</v>
      </c>
      <c r="D483" s="13">
        <v>15</v>
      </c>
      <c r="E483" s="13">
        <v>35.99</v>
      </c>
      <c r="F483" s="13">
        <v>14.51</v>
      </c>
      <c r="G483" s="14" t="s">
        <v>461</v>
      </c>
      <c r="H483" s="17" t="s">
        <v>6</v>
      </c>
      <c r="I483" s="23"/>
    </row>
    <row r="484" spans="1:9" x14ac:dyDescent="0.2">
      <c r="A484" s="10">
        <v>7</v>
      </c>
      <c r="B484" s="15" t="s">
        <v>288</v>
      </c>
      <c r="C484" s="14">
        <v>1</v>
      </c>
      <c r="D484" s="13">
        <v>15</v>
      </c>
      <c r="E484" s="13">
        <v>39.43</v>
      </c>
      <c r="F484" s="13">
        <v>17.329999999999998</v>
      </c>
      <c r="G484" s="14" t="s">
        <v>461</v>
      </c>
      <c r="H484" s="17" t="s">
        <v>6</v>
      </c>
      <c r="I484" s="23"/>
    </row>
    <row r="485" spans="1:9" x14ac:dyDescent="0.2">
      <c r="A485" s="10">
        <v>7</v>
      </c>
      <c r="B485" s="15" t="s">
        <v>289</v>
      </c>
      <c r="C485" s="14">
        <v>2</v>
      </c>
      <c r="D485" s="13">
        <v>20</v>
      </c>
      <c r="E485" s="13">
        <v>39.6</v>
      </c>
      <c r="F485" s="13">
        <v>12.47</v>
      </c>
      <c r="G485" s="14" t="s">
        <v>461</v>
      </c>
      <c r="H485" s="17" t="s">
        <v>6</v>
      </c>
      <c r="I485" s="23"/>
    </row>
    <row r="486" spans="1:9" x14ac:dyDescent="0.2">
      <c r="A486" s="10">
        <v>7</v>
      </c>
      <c r="B486" s="15" t="s">
        <v>290</v>
      </c>
      <c r="C486" s="14">
        <v>1</v>
      </c>
      <c r="D486" s="13">
        <v>20</v>
      </c>
      <c r="E486" s="13">
        <v>40.97</v>
      </c>
      <c r="F486" s="13">
        <v>13.6</v>
      </c>
      <c r="G486" s="14" t="s">
        <v>461</v>
      </c>
      <c r="H486" s="17" t="s">
        <v>6</v>
      </c>
      <c r="I486" s="23"/>
    </row>
    <row r="487" spans="1:9" x14ac:dyDescent="0.2">
      <c r="A487" s="10">
        <v>7</v>
      </c>
      <c r="B487" s="15" t="s">
        <v>291</v>
      </c>
      <c r="C487" s="14">
        <v>1</v>
      </c>
      <c r="D487" s="13">
        <v>15</v>
      </c>
      <c r="E487" s="13">
        <v>44.22</v>
      </c>
      <c r="F487" s="13">
        <v>21.26</v>
      </c>
      <c r="G487" s="14" t="s">
        <v>461</v>
      </c>
      <c r="H487" s="17" t="s">
        <v>6</v>
      </c>
      <c r="I487" s="23"/>
    </row>
    <row r="488" spans="1:9" x14ac:dyDescent="0.2">
      <c r="A488" s="10">
        <v>7</v>
      </c>
      <c r="B488" s="15" t="s">
        <v>292</v>
      </c>
      <c r="C488" s="14">
        <v>1</v>
      </c>
      <c r="D488" s="13">
        <v>23</v>
      </c>
      <c r="E488" s="13">
        <v>45.77</v>
      </c>
      <c r="F488" s="13">
        <v>14.53</v>
      </c>
      <c r="G488" s="14" t="s">
        <v>461</v>
      </c>
      <c r="H488" s="17" t="s">
        <v>6</v>
      </c>
      <c r="I488" s="23"/>
    </row>
    <row r="489" spans="1:9" x14ac:dyDescent="0.2">
      <c r="A489" s="10">
        <v>7</v>
      </c>
      <c r="B489" s="15" t="s">
        <v>213</v>
      </c>
      <c r="C489" s="14">
        <v>4</v>
      </c>
      <c r="D489" s="13">
        <v>8</v>
      </c>
      <c r="E489" s="13">
        <v>47.17</v>
      </c>
      <c r="F489" s="13">
        <v>30.68</v>
      </c>
      <c r="G489" s="14" t="s">
        <v>461</v>
      </c>
      <c r="H489" s="17" t="s">
        <v>6</v>
      </c>
      <c r="I489" s="23"/>
    </row>
    <row r="490" spans="1:9" x14ac:dyDescent="0.2">
      <c r="A490" s="10">
        <v>7</v>
      </c>
      <c r="B490" s="15" t="s">
        <v>293</v>
      </c>
      <c r="C490" s="14">
        <v>1</v>
      </c>
      <c r="D490" s="13">
        <v>20</v>
      </c>
      <c r="E490" s="13">
        <v>48</v>
      </c>
      <c r="F490" s="13">
        <v>19.36</v>
      </c>
      <c r="G490" s="14" t="s">
        <v>461</v>
      </c>
      <c r="H490" s="17" t="s">
        <v>6</v>
      </c>
      <c r="I490" s="23"/>
    </row>
    <row r="491" spans="1:9" x14ac:dyDescent="0.2">
      <c r="A491" s="10">
        <v>7</v>
      </c>
      <c r="B491" s="15" t="s">
        <v>294</v>
      </c>
      <c r="C491" s="14">
        <v>2</v>
      </c>
      <c r="D491" s="13">
        <v>36</v>
      </c>
      <c r="E491" s="13">
        <v>70.39</v>
      </c>
      <c r="F491" s="13">
        <v>21.72</v>
      </c>
      <c r="G491" s="14" t="s">
        <v>461</v>
      </c>
      <c r="H491" s="17" t="s">
        <v>6</v>
      </c>
      <c r="I491" s="23"/>
    </row>
    <row r="492" spans="1:9" x14ac:dyDescent="0.2">
      <c r="A492" s="10">
        <v>7</v>
      </c>
      <c r="B492" s="15" t="s">
        <v>217</v>
      </c>
      <c r="C492" s="14">
        <v>4</v>
      </c>
      <c r="D492" s="13">
        <v>22</v>
      </c>
      <c r="E492" s="13">
        <v>79.22</v>
      </c>
      <c r="F492" s="13">
        <v>42.96</v>
      </c>
      <c r="G492" s="14" t="s">
        <v>461</v>
      </c>
      <c r="H492" s="17" t="s">
        <v>6</v>
      </c>
      <c r="I492" s="23"/>
    </row>
    <row r="493" spans="1:9" x14ac:dyDescent="0.2">
      <c r="A493" s="10">
        <v>7</v>
      </c>
      <c r="B493" s="15" t="s">
        <v>215</v>
      </c>
      <c r="C493" s="14">
        <v>4</v>
      </c>
      <c r="D493" s="13">
        <v>42</v>
      </c>
      <c r="E493" s="13">
        <v>113.81</v>
      </c>
      <c r="F493" s="13">
        <v>51.32</v>
      </c>
      <c r="G493" s="14" t="s">
        <v>461</v>
      </c>
      <c r="H493" s="17" t="s">
        <v>6</v>
      </c>
      <c r="I493" s="23"/>
    </row>
    <row r="494" spans="1:9" x14ac:dyDescent="0.2">
      <c r="A494" s="10">
        <v>7</v>
      </c>
      <c r="B494" s="15" t="s">
        <v>212</v>
      </c>
      <c r="C494" s="14">
        <v>4</v>
      </c>
      <c r="D494" s="13">
        <v>52</v>
      </c>
      <c r="E494" s="13">
        <v>115.36</v>
      </c>
      <c r="F494" s="13">
        <v>42.6</v>
      </c>
      <c r="G494" s="14" t="s">
        <v>461</v>
      </c>
      <c r="H494" s="17" t="s">
        <v>6</v>
      </c>
      <c r="I494" s="23"/>
    </row>
    <row r="495" spans="1:9" x14ac:dyDescent="0.2">
      <c r="A495" s="10">
        <v>7</v>
      </c>
      <c r="B495" s="15" t="s">
        <v>295</v>
      </c>
      <c r="C495" s="14">
        <v>1</v>
      </c>
      <c r="D495" s="13">
        <v>60</v>
      </c>
      <c r="E495" s="13">
        <v>152.06</v>
      </c>
      <c r="F495" s="13">
        <v>64.69</v>
      </c>
      <c r="G495" s="14" t="s">
        <v>461</v>
      </c>
      <c r="H495" s="17" t="s">
        <v>6</v>
      </c>
      <c r="I495" s="23"/>
    </row>
    <row r="496" spans="1:9" x14ac:dyDescent="0.2">
      <c r="A496" s="10">
        <v>7</v>
      </c>
      <c r="B496" s="15" t="s">
        <v>66</v>
      </c>
      <c r="C496" s="14">
        <v>9</v>
      </c>
      <c r="D496" s="13">
        <v>72</v>
      </c>
      <c r="E496" s="13">
        <v>176.39</v>
      </c>
      <c r="F496" s="13">
        <v>72.64</v>
      </c>
      <c r="G496" s="14" t="s">
        <v>461</v>
      </c>
      <c r="H496" s="17" t="s">
        <v>6</v>
      </c>
      <c r="I496" s="23"/>
    </row>
    <row r="497" spans="1:9" x14ac:dyDescent="0.2">
      <c r="A497" s="10">
        <v>7</v>
      </c>
      <c r="B497" s="15" t="s">
        <v>64</v>
      </c>
      <c r="C497" s="14">
        <v>14</v>
      </c>
      <c r="D497" s="13">
        <v>77</v>
      </c>
      <c r="E497" s="13">
        <v>189.2</v>
      </c>
      <c r="F497" s="13">
        <v>78.14</v>
      </c>
      <c r="G497" s="14" t="s">
        <v>461</v>
      </c>
      <c r="H497" s="17" t="s">
        <v>6</v>
      </c>
      <c r="I497" s="23"/>
    </row>
    <row r="498" spans="1:9" x14ac:dyDescent="0.2">
      <c r="A498" s="10">
        <v>7</v>
      </c>
      <c r="B498" s="15" t="s">
        <v>296</v>
      </c>
      <c r="C498" s="14">
        <v>8</v>
      </c>
      <c r="D498" s="13">
        <v>240</v>
      </c>
      <c r="E498" s="13">
        <v>407.9</v>
      </c>
      <c r="F498" s="13">
        <v>94.48</v>
      </c>
      <c r="G498" s="14" t="s">
        <v>461</v>
      </c>
      <c r="H498" s="17" t="s">
        <v>6</v>
      </c>
      <c r="I498" s="23"/>
    </row>
    <row r="499" spans="1:9" x14ac:dyDescent="0.2">
      <c r="A499" s="10">
        <v>7</v>
      </c>
      <c r="B499" s="15" t="s">
        <v>167</v>
      </c>
      <c r="C499" s="14">
        <v>15</v>
      </c>
      <c r="D499" s="13">
        <v>600</v>
      </c>
      <c r="E499" s="13">
        <v>1122.8</v>
      </c>
      <c r="F499" s="13">
        <v>320.7</v>
      </c>
      <c r="G499" s="14" t="s">
        <v>461</v>
      </c>
      <c r="H499" s="17" t="s">
        <v>6</v>
      </c>
      <c r="I499" s="23"/>
    </row>
    <row r="500" spans="1:9" x14ac:dyDescent="0.2">
      <c r="A500" s="10">
        <v>7</v>
      </c>
      <c r="B500" s="15" t="s">
        <v>167</v>
      </c>
      <c r="C500" s="14">
        <v>3</v>
      </c>
      <c r="D500" s="13">
        <v>40</v>
      </c>
      <c r="E500" s="13">
        <f>120-(120*0.18)</f>
        <v>98.4</v>
      </c>
      <c r="F500" s="13">
        <f>E500-D500</f>
        <v>58.400000000000006</v>
      </c>
      <c r="G500" s="14" t="s">
        <v>461</v>
      </c>
      <c r="H500" s="17" t="s">
        <v>6</v>
      </c>
      <c r="I500" s="23"/>
    </row>
    <row r="501" spans="1:9" x14ac:dyDescent="0.2">
      <c r="A501" s="10">
        <v>8</v>
      </c>
      <c r="B501" s="15" t="s">
        <v>297</v>
      </c>
      <c r="C501" s="2">
        <v>1</v>
      </c>
      <c r="D501" s="13">
        <v>15</v>
      </c>
      <c r="E501" s="13">
        <v>30</v>
      </c>
      <c r="F501" s="13">
        <f>E501-D501</f>
        <v>15</v>
      </c>
      <c r="G501" s="14" t="s">
        <v>461</v>
      </c>
      <c r="H501" s="17" t="s">
        <v>460</v>
      </c>
      <c r="I501" s="23"/>
    </row>
    <row r="502" spans="1:9" x14ac:dyDescent="0.2">
      <c r="A502" s="10">
        <v>8</v>
      </c>
      <c r="B502" s="15" t="s">
        <v>206</v>
      </c>
      <c r="C502" s="2">
        <v>1</v>
      </c>
      <c r="D502" s="13">
        <v>7.5</v>
      </c>
      <c r="E502" s="13">
        <v>15</v>
      </c>
      <c r="F502" s="13">
        <f>E502-D502</f>
        <v>7.5</v>
      </c>
      <c r="G502" s="14" t="s">
        <v>461</v>
      </c>
      <c r="H502" s="17" t="s">
        <v>460</v>
      </c>
      <c r="I502" s="23"/>
    </row>
    <row r="503" spans="1:9" x14ac:dyDescent="0.2">
      <c r="A503" s="10">
        <v>8</v>
      </c>
      <c r="B503" s="15" t="s">
        <v>209</v>
      </c>
      <c r="C503" s="2">
        <v>1</v>
      </c>
      <c r="D503" s="13">
        <v>60</v>
      </c>
      <c r="E503" s="13">
        <v>120</v>
      </c>
      <c r="F503" s="13">
        <f t="shared" ref="F503:F531" si="12">E503-D503</f>
        <v>60</v>
      </c>
      <c r="G503" s="14" t="s">
        <v>461</v>
      </c>
      <c r="H503" s="17" t="s">
        <v>460</v>
      </c>
      <c r="I503" s="23"/>
    </row>
    <row r="504" spans="1:9" x14ac:dyDescent="0.2">
      <c r="A504" s="10">
        <v>8</v>
      </c>
      <c r="B504" s="15" t="s">
        <v>298</v>
      </c>
      <c r="C504" s="2">
        <v>1</v>
      </c>
      <c r="D504" s="13">
        <v>40</v>
      </c>
      <c r="E504" s="13">
        <v>80</v>
      </c>
      <c r="F504" s="13">
        <f t="shared" si="12"/>
        <v>40</v>
      </c>
      <c r="G504" s="14" t="s">
        <v>461</v>
      </c>
      <c r="H504" s="17" t="s">
        <v>460</v>
      </c>
      <c r="I504" s="23"/>
    </row>
    <row r="505" spans="1:9" x14ac:dyDescent="0.2">
      <c r="A505" s="10">
        <v>8</v>
      </c>
      <c r="B505" s="15" t="s">
        <v>276</v>
      </c>
      <c r="C505" s="2">
        <v>1</v>
      </c>
      <c r="D505" s="13">
        <v>17</v>
      </c>
      <c r="E505" s="13">
        <v>40</v>
      </c>
      <c r="F505" s="13">
        <f t="shared" si="12"/>
        <v>23</v>
      </c>
      <c r="G505" s="14" t="s">
        <v>461</v>
      </c>
      <c r="H505" s="17" t="s">
        <v>460</v>
      </c>
      <c r="I505" s="23"/>
    </row>
    <row r="506" spans="1:9" x14ac:dyDescent="0.2">
      <c r="A506" s="10">
        <v>8</v>
      </c>
      <c r="B506" s="15" t="s">
        <v>209</v>
      </c>
      <c r="C506" s="2">
        <v>1</v>
      </c>
      <c r="D506" s="13">
        <v>60</v>
      </c>
      <c r="E506" s="13">
        <v>130</v>
      </c>
      <c r="F506" s="13">
        <f t="shared" si="12"/>
        <v>70</v>
      </c>
      <c r="G506" s="14" t="s">
        <v>461</v>
      </c>
      <c r="H506" s="17" t="s">
        <v>460</v>
      </c>
      <c r="I506" s="23"/>
    </row>
    <row r="507" spans="1:9" x14ac:dyDescent="0.2">
      <c r="A507" s="10">
        <v>8</v>
      </c>
      <c r="B507" s="15" t="s">
        <v>13</v>
      </c>
      <c r="C507" s="2">
        <v>1</v>
      </c>
      <c r="D507" s="13">
        <v>130</v>
      </c>
      <c r="E507" s="13">
        <v>200</v>
      </c>
      <c r="F507" s="13">
        <f t="shared" si="12"/>
        <v>70</v>
      </c>
      <c r="G507" s="14" t="s">
        <v>461</v>
      </c>
      <c r="H507" s="17" t="s">
        <v>460</v>
      </c>
      <c r="I507" s="23"/>
    </row>
    <row r="508" spans="1:9" x14ac:dyDescent="0.2">
      <c r="A508" s="10">
        <v>8</v>
      </c>
      <c r="B508" s="15" t="s">
        <v>299</v>
      </c>
      <c r="C508" s="2">
        <v>1</v>
      </c>
      <c r="D508" s="13">
        <v>15</v>
      </c>
      <c r="E508" s="13">
        <v>30</v>
      </c>
      <c r="F508" s="13">
        <f t="shared" si="12"/>
        <v>15</v>
      </c>
      <c r="G508" s="14" t="s">
        <v>461</v>
      </c>
      <c r="H508" s="17" t="s">
        <v>460</v>
      </c>
      <c r="I508" s="23"/>
    </row>
    <row r="509" spans="1:9" x14ac:dyDescent="0.2">
      <c r="A509" s="10">
        <v>8</v>
      </c>
      <c r="B509" s="15" t="s">
        <v>299</v>
      </c>
      <c r="C509" s="2">
        <v>1</v>
      </c>
      <c r="D509" s="13">
        <v>15</v>
      </c>
      <c r="E509" s="13">
        <v>30</v>
      </c>
      <c r="F509" s="13">
        <f>E509-D509</f>
        <v>15</v>
      </c>
      <c r="G509" s="14" t="s">
        <v>461</v>
      </c>
      <c r="H509" s="17" t="s">
        <v>460</v>
      </c>
      <c r="I509" s="23"/>
    </row>
    <row r="510" spans="1:9" x14ac:dyDescent="0.2">
      <c r="A510" s="10">
        <v>8</v>
      </c>
      <c r="B510" s="15" t="s">
        <v>300</v>
      </c>
      <c r="C510" s="2">
        <v>1</v>
      </c>
      <c r="D510" s="13">
        <v>5.5</v>
      </c>
      <c r="E510" s="13">
        <v>10</v>
      </c>
      <c r="F510" s="13">
        <f t="shared" si="12"/>
        <v>4.5</v>
      </c>
      <c r="G510" s="14" t="s">
        <v>461</v>
      </c>
      <c r="H510" s="17" t="s">
        <v>460</v>
      </c>
      <c r="I510" s="23"/>
    </row>
    <row r="511" spans="1:9" x14ac:dyDescent="0.2">
      <c r="A511" s="10">
        <v>8</v>
      </c>
      <c r="B511" s="15" t="s">
        <v>300</v>
      </c>
      <c r="C511" s="2">
        <v>1</v>
      </c>
      <c r="D511" s="13">
        <v>5.5</v>
      </c>
      <c r="E511" s="13">
        <v>10</v>
      </c>
      <c r="F511" s="13">
        <f>E511-D511</f>
        <v>4.5</v>
      </c>
      <c r="G511" s="14" t="s">
        <v>461</v>
      </c>
      <c r="H511" s="17" t="s">
        <v>460</v>
      </c>
      <c r="I511" s="23"/>
    </row>
    <row r="512" spans="1:9" x14ac:dyDescent="0.2">
      <c r="A512" s="10">
        <v>8</v>
      </c>
      <c r="B512" s="15" t="s">
        <v>301</v>
      </c>
      <c r="C512" s="2">
        <v>1</v>
      </c>
      <c r="D512" s="13">
        <v>50</v>
      </c>
      <c r="E512" s="13">
        <v>85</v>
      </c>
      <c r="F512" s="13">
        <f t="shared" si="12"/>
        <v>35</v>
      </c>
      <c r="G512" s="14" t="s">
        <v>461</v>
      </c>
      <c r="H512" s="17" t="s">
        <v>460</v>
      </c>
      <c r="I512" s="23"/>
    </row>
    <row r="513" spans="1:9" x14ac:dyDescent="0.2">
      <c r="A513" s="10">
        <v>8</v>
      </c>
      <c r="B513" s="15" t="s">
        <v>301</v>
      </c>
      <c r="C513" s="2">
        <v>1</v>
      </c>
      <c r="D513" s="13">
        <v>50</v>
      </c>
      <c r="E513" s="13">
        <v>85</v>
      </c>
      <c r="F513" s="13">
        <f>E513-D513</f>
        <v>35</v>
      </c>
      <c r="G513" s="14" t="s">
        <v>461</v>
      </c>
      <c r="H513" s="17" t="s">
        <v>460</v>
      </c>
      <c r="I513" s="23"/>
    </row>
    <row r="514" spans="1:9" x14ac:dyDescent="0.2">
      <c r="A514" s="10">
        <v>8</v>
      </c>
      <c r="B514" s="15" t="s">
        <v>302</v>
      </c>
      <c r="C514" s="2">
        <v>1</v>
      </c>
      <c r="D514" s="13"/>
      <c r="E514" s="13">
        <v>80</v>
      </c>
      <c r="F514" s="13">
        <f t="shared" si="12"/>
        <v>80</v>
      </c>
      <c r="G514" s="14" t="s">
        <v>461</v>
      </c>
      <c r="H514" s="17" t="s">
        <v>460</v>
      </c>
      <c r="I514" s="23"/>
    </row>
    <row r="515" spans="1:9" x14ac:dyDescent="0.2">
      <c r="A515" s="10">
        <v>8</v>
      </c>
      <c r="B515" s="15" t="s">
        <v>303</v>
      </c>
      <c r="C515" s="2">
        <v>1</v>
      </c>
      <c r="D515" s="13">
        <v>30</v>
      </c>
      <c r="E515" s="13">
        <v>55</v>
      </c>
      <c r="F515" s="13">
        <f t="shared" si="12"/>
        <v>25</v>
      </c>
      <c r="G515" s="14" t="s">
        <v>461</v>
      </c>
      <c r="H515" s="17" t="s">
        <v>460</v>
      </c>
      <c r="I515" s="23"/>
    </row>
    <row r="516" spans="1:9" x14ac:dyDescent="0.2">
      <c r="A516" s="10">
        <v>8</v>
      </c>
      <c r="B516" s="15" t="s">
        <v>303</v>
      </c>
      <c r="C516" s="2">
        <v>1</v>
      </c>
      <c r="D516" s="13">
        <v>30</v>
      </c>
      <c r="E516" s="13">
        <v>55</v>
      </c>
      <c r="F516" s="13">
        <f>E516-D516</f>
        <v>25</v>
      </c>
      <c r="G516" s="14" t="s">
        <v>461</v>
      </c>
      <c r="H516" s="17" t="s">
        <v>460</v>
      </c>
      <c r="I516" s="23"/>
    </row>
    <row r="517" spans="1:9" x14ac:dyDescent="0.2">
      <c r="A517" s="10">
        <v>8</v>
      </c>
      <c r="B517" s="15" t="s">
        <v>209</v>
      </c>
      <c r="C517" s="2">
        <v>1</v>
      </c>
      <c r="D517" s="13">
        <v>60</v>
      </c>
      <c r="E517" s="13">
        <v>100</v>
      </c>
      <c r="F517" s="13">
        <f t="shared" si="12"/>
        <v>40</v>
      </c>
      <c r="G517" s="14" t="s">
        <v>461</v>
      </c>
      <c r="H517" s="17" t="s">
        <v>460</v>
      </c>
      <c r="I517" s="23"/>
    </row>
    <row r="518" spans="1:9" x14ac:dyDescent="0.2">
      <c r="A518" s="10">
        <v>8</v>
      </c>
      <c r="B518" s="15" t="s">
        <v>209</v>
      </c>
      <c r="C518" s="2">
        <v>1</v>
      </c>
      <c r="D518" s="13">
        <v>60</v>
      </c>
      <c r="E518" s="13">
        <v>105</v>
      </c>
      <c r="F518" s="13">
        <f>E518-D518</f>
        <v>45</v>
      </c>
      <c r="G518" s="14" t="s">
        <v>461</v>
      </c>
      <c r="H518" s="17" t="s">
        <v>460</v>
      </c>
      <c r="I518" s="23"/>
    </row>
    <row r="519" spans="1:9" x14ac:dyDescent="0.2">
      <c r="A519" s="10">
        <v>8</v>
      </c>
      <c r="B519" s="15" t="s">
        <v>209</v>
      </c>
      <c r="C519" s="2">
        <v>1</v>
      </c>
      <c r="D519" s="13">
        <v>60</v>
      </c>
      <c r="E519" s="13">
        <v>105</v>
      </c>
      <c r="F519" s="13">
        <f>E519-D519</f>
        <v>45</v>
      </c>
      <c r="G519" s="14" t="s">
        <v>461</v>
      </c>
      <c r="H519" s="17" t="s">
        <v>460</v>
      </c>
      <c r="I519" s="23"/>
    </row>
    <row r="520" spans="1:9" x14ac:dyDescent="0.2">
      <c r="A520" s="10">
        <v>8</v>
      </c>
      <c r="B520" s="15" t="s">
        <v>304</v>
      </c>
      <c r="C520" s="2">
        <v>1</v>
      </c>
      <c r="D520" s="13">
        <v>50</v>
      </c>
      <c r="E520" s="13">
        <v>80</v>
      </c>
      <c r="F520" s="13">
        <f t="shared" si="12"/>
        <v>30</v>
      </c>
      <c r="G520" s="14" t="s">
        <v>461</v>
      </c>
      <c r="H520" s="17" t="s">
        <v>460</v>
      </c>
      <c r="I520" s="23"/>
    </row>
    <row r="521" spans="1:9" x14ac:dyDescent="0.2">
      <c r="A521" s="10">
        <v>8</v>
      </c>
      <c r="B521" s="15" t="s">
        <v>305</v>
      </c>
      <c r="C521" s="2">
        <v>1</v>
      </c>
      <c r="D521" s="13">
        <v>17</v>
      </c>
      <c r="E521" s="13">
        <v>30</v>
      </c>
      <c r="F521" s="13">
        <f t="shared" si="12"/>
        <v>13</v>
      </c>
      <c r="G521" s="14" t="s">
        <v>461</v>
      </c>
      <c r="H521" s="17" t="s">
        <v>460</v>
      </c>
      <c r="I521" s="23"/>
    </row>
    <row r="522" spans="1:9" x14ac:dyDescent="0.2">
      <c r="A522" s="10">
        <v>8</v>
      </c>
      <c r="B522" s="15" t="s">
        <v>306</v>
      </c>
      <c r="C522" s="2">
        <v>1</v>
      </c>
      <c r="D522" s="13">
        <v>0</v>
      </c>
      <c r="E522" s="13">
        <v>200</v>
      </c>
      <c r="F522" s="13">
        <f t="shared" si="12"/>
        <v>200</v>
      </c>
      <c r="G522" s="14" t="s">
        <v>461</v>
      </c>
      <c r="H522" s="17" t="s">
        <v>460</v>
      </c>
      <c r="I522" s="23"/>
    </row>
    <row r="523" spans="1:9" x14ac:dyDescent="0.2">
      <c r="A523" s="10">
        <v>8</v>
      </c>
      <c r="B523" s="15" t="s">
        <v>307</v>
      </c>
      <c r="C523" s="2">
        <v>1</v>
      </c>
      <c r="D523" s="13">
        <v>30</v>
      </c>
      <c r="E523" s="13">
        <v>50</v>
      </c>
      <c r="F523" s="13">
        <f t="shared" si="12"/>
        <v>20</v>
      </c>
      <c r="G523" s="14" t="s">
        <v>461</v>
      </c>
      <c r="H523" s="17" t="s">
        <v>460</v>
      </c>
      <c r="I523" s="23"/>
    </row>
    <row r="524" spans="1:9" x14ac:dyDescent="0.2">
      <c r="A524" s="10">
        <v>8</v>
      </c>
      <c r="B524" s="15" t="s">
        <v>103</v>
      </c>
      <c r="C524" s="2">
        <v>1</v>
      </c>
      <c r="D524" s="13">
        <v>22</v>
      </c>
      <c r="E524" s="13">
        <v>45</v>
      </c>
      <c r="F524" s="13">
        <f t="shared" si="12"/>
        <v>23</v>
      </c>
      <c r="G524" s="14" t="s">
        <v>461</v>
      </c>
      <c r="H524" s="17" t="s">
        <v>460</v>
      </c>
      <c r="I524" s="23"/>
    </row>
    <row r="525" spans="1:9" x14ac:dyDescent="0.2">
      <c r="A525" s="10">
        <v>8</v>
      </c>
      <c r="B525" s="15" t="s">
        <v>309</v>
      </c>
      <c r="C525" s="2">
        <v>1</v>
      </c>
      <c r="D525" s="13">
        <v>40</v>
      </c>
      <c r="E525" s="13">
        <v>70</v>
      </c>
      <c r="F525" s="13">
        <f t="shared" si="12"/>
        <v>30</v>
      </c>
      <c r="G525" s="14" t="s">
        <v>461</v>
      </c>
      <c r="H525" s="17" t="s">
        <v>460</v>
      </c>
      <c r="I525" s="23"/>
    </row>
    <row r="526" spans="1:9" x14ac:dyDescent="0.2">
      <c r="A526" s="10">
        <v>8</v>
      </c>
      <c r="B526" s="15" t="s">
        <v>163</v>
      </c>
      <c r="C526" s="2">
        <v>1</v>
      </c>
      <c r="D526" s="13">
        <v>4.5</v>
      </c>
      <c r="E526" s="13">
        <v>10</v>
      </c>
      <c r="F526" s="13">
        <f t="shared" si="12"/>
        <v>5.5</v>
      </c>
      <c r="G526" s="14" t="s">
        <v>461</v>
      </c>
      <c r="H526" s="17" t="s">
        <v>460</v>
      </c>
      <c r="I526" s="23"/>
    </row>
    <row r="527" spans="1:9" x14ac:dyDescent="0.2">
      <c r="A527" s="10">
        <v>8</v>
      </c>
      <c r="B527" s="15" t="s">
        <v>310</v>
      </c>
      <c r="C527" s="2">
        <v>1</v>
      </c>
      <c r="D527" s="13">
        <v>5</v>
      </c>
      <c r="E527" s="13">
        <v>10</v>
      </c>
      <c r="F527" s="13">
        <f t="shared" si="12"/>
        <v>5</v>
      </c>
      <c r="G527" s="14" t="s">
        <v>461</v>
      </c>
      <c r="H527" s="17" t="s">
        <v>460</v>
      </c>
      <c r="I527" s="23"/>
    </row>
    <row r="528" spans="1:9" x14ac:dyDescent="0.2">
      <c r="A528" s="10">
        <v>8</v>
      </c>
      <c r="B528" s="15" t="s">
        <v>163</v>
      </c>
      <c r="C528" s="2">
        <v>1</v>
      </c>
      <c r="D528" s="13">
        <v>4.5</v>
      </c>
      <c r="E528" s="13">
        <v>10</v>
      </c>
      <c r="F528" s="13">
        <f>E528-D528</f>
        <v>5.5</v>
      </c>
      <c r="G528" s="14" t="s">
        <v>461</v>
      </c>
      <c r="H528" s="17" t="s">
        <v>460</v>
      </c>
      <c r="I528" s="23"/>
    </row>
    <row r="529" spans="1:9" x14ac:dyDescent="0.2">
      <c r="A529" s="10">
        <v>8</v>
      </c>
      <c r="B529" s="15" t="s">
        <v>311</v>
      </c>
      <c r="C529" s="2">
        <v>1</v>
      </c>
      <c r="D529" s="13">
        <v>245</v>
      </c>
      <c r="E529" s="13">
        <v>350</v>
      </c>
      <c r="F529" s="13">
        <f t="shared" si="12"/>
        <v>105</v>
      </c>
      <c r="G529" s="14" t="s">
        <v>461</v>
      </c>
      <c r="H529" s="17" t="s">
        <v>460</v>
      </c>
      <c r="I529" s="23"/>
    </row>
    <row r="530" spans="1:9" x14ac:dyDescent="0.2">
      <c r="A530" s="10">
        <v>8</v>
      </c>
      <c r="B530" s="15" t="s">
        <v>312</v>
      </c>
      <c r="C530" s="2">
        <v>1</v>
      </c>
      <c r="D530" s="13">
        <v>135</v>
      </c>
      <c r="E530" s="13">
        <v>200</v>
      </c>
      <c r="F530" s="13">
        <f t="shared" si="12"/>
        <v>65</v>
      </c>
      <c r="G530" s="14" t="s">
        <v>461</v>
      </c>
      <c r="H530" s="17" t="s">
        <v>460</v>
      </c>
      <c r="I530" s="23"/>
    </row>
    <row r="531" spans="1:9" x14ac:dyDescent="0.2">
      <c r="A531" s="10">
        <v>8</v>
      </c>
      <c r="B531" s="15" t="s">
        <v>303</v>
      </c>
      <c r="C531" s="2">
        <v>1</v>
      </c>
      <c r="D531" s="48">
        <v>30</v>
      </c>
      <c r="E531" s="48">
        <v>70</v>
      </c>
      <c r="F531" s="48">
        <f t="shared" si="12"/>
        <v>40</v>
      </c>
      <c r="G531" s="14" t="s">
        <v>461</v>
      </c>
      <c r="H531" s="17" t="s">
        <v>460</v>
      </c>
      <c r="I531" s="23"/>
    </row>
    <row r="532" spans="1:9" x14ac:dyDescent="0.2">
      <c r="A532" s="10">
        <v>8</v>
      </c>
      <c r="B532" s="49" t="s">
        <v>64</v>
      </c>
      <c r="C532" s="50">
        <v>5</v>
      </c>
      <c r="D532" s="51">
        <v>27.5</v>
      </c>
      <c r="E532" s="51">
        <v>64.95</v>
      </c>
      <c r="F532" s="52">
        <v>30.709000000000003</v>
      </c>
      <c r="G532" s="14" t="s">
        <v>461</v>
      </c>
      <c r="H532" s="17" t="s">
        <v>6</v>
      </c>
      <c r="I532" s="23"/>
    </row>
    <row r="533" spans="1:9" x14ac:dyDescent="0.2">
      <c r="A533" s="10">
        <v>8</v>
      </c>
      <c r="B533" s="49" t="s">
        <v>313</v>
      </c>
      <c r="C533" s="50">
        <v>1</v>
      </c>
      <c r="D533" s="51">
        <v>7</v>
      </c>
      <c r="E533" s="51">
        <v>15.99</v>
      </c>
      <c r="F533" s="52">
        <v>7.3718000000000004</v>
      </c>
      <c r="G533" s="14" t="s">
        <v>461</v>
      </c>
      <c r="H533" s="17" t="s">
        <v>6</v>
      </c>
      <c r="I533" s="23"/>
    </row>
    <row r="534" spans="1:9" x14ac:dyDescent="0.2">
      <c r="A534" s="10">
        <v>8</v>
      </c>
      <c r="B534" s="49" t="s">
        <v>37</v>
      </c>
      <c r="C534" s="50">
        <v>1</v>
      </c>
      <c r="D534" s="51">
        <v>6</v>
      </c>
      <c r="E534" s="51">
        <v>13.5</v>
      </c>
      <c r="F534" s="52">
        <v>6.15</v>
      </c>
      <c r="G534" s="14" t="s">
        <v>461</v>
      </c>
      <c r="H534" s="17" t="s">
        <v>6</v>
      </c>
      <c r="I534" s="23"/>
    </row>
    <row r="535" spans="1:9" x14ac:dyDescent="0.2">
      <c r="A535" s="10">
        <v>8</v>
      </c>
      <c r="B535" s="49" t="s">
        <v>314</v>
      </c>
      <c r="C535" s="50">
        <v>1</v>
      </c>
      <c r="D535" s="51">
        <v>15</v>
      </c>
      <c r="E535" s="51">
        <v>29.99</v>
      </c>
      <c r="F535" s="52">
        <v>12.291799999999999</v>
      </c>
      <c r="G535" s="14" t="s">
        <v>461</v>
      </c>
      <c r="H535" s="17" t="s">
        <v>6</v>
      </c>
      <c r="I535" s="23"/>
    </row>
    <row r="536" spans="1:9" x14ac:dyDescent="0.2">
      <c r="A536" s="10">
        <v>8</v>
      </c>
      <c r="B536" s="49" t="s">
        <v>315</v>
      </c>
      <c r="C536" s="50">
        <v>1</v>
      </c>
      <c r="D536" s="51">
        <v>18</v>
      </c>
      <c r="E536" s="51">
        <v>35</v>
      </c>
      <c r="F536" s="52">
        <v>13.94</v>
      </c>
      <c r="G536" s="14" t="s">
        <v>461</v>
      </c>
      <c r="H536" s="17" t="s">
        <v>6</v>
      </c>
      <c r="I536" s="23"/>
    </row>
    <row r="537" spans="1:9" x14ac:dyDescent="0.2">
      <c r="A537" s="10">
        <v>8</v>
      </c>
      <c r="B537" s="49" t="s">
        <v>43</v>
      </c>
      <c r="C537" s="50">
        <v>1</v>
      </c>
      <c r="D537" s="51">
        <v>4</v>
      </c>
      <c r="E537" s="51">
        <v>16.03</v>
      </c>
      <c r="F537" s="52">
        <v>9.8646000000000011</v>
      </c>
      <c r="G537" s="14" t="s">
        <v>461</v>
      </c>
      <c r="H537" s="17" t="s">
        <v>6</v>
      </c>
      <c r="I537" s="23"/>
    </row>
    <row r="538" spans="1:9" collapsed="1" x14ac:dyDescent="0.2">
      <c r="A538" s="10">
        <v>8</v>
      </c>
      <c r="B538" s="49" t="s">
        <v>46</v>
      </c>
      <c r="C538" s="50">
        <v>5</v>
      </c>
      <c r="D538" s="51">
        <v>7.5</v>
      </c>
      <c r="E538" s="51">
        <v>18.14</v>
      </c>
      <c r="F538" s="52">
        <v>8.7248000000000001</v>
      </c>
      <c r="G538" s="14" t="s">
        <v>461</v>
      </c>
      <c r="H538" s="17" t="s">
        <v>6</v>
      </c>
      <c r="I538" s="23"/>
    </row>
    <row r="539" spans="1:9" x14ac:dyDescent="0.2">
      <c r="A539" s="10">
        <v>8</v>
      </c>
      <c r="B539" s="49" t="s">
        <v>40</v>
      </c>
      <c r="C539" s="50">
        <v>4</v>
      </c>
      <c r="D539" s="51">
        <v>4</v>
      </c>
      <c r="E539" s="51">
        <v>14.73</v>
      </c>
      <c r="F539" s="52">
        <v>8.7986000000000004</v>
      </c>
      <c r="G539" s="14" t="s">
        <v>461</v>
      </c>
      <c r="H539" s="17" t="s">
        <v>6</v>
      </c>
      <c r="I539" s="23"/>
    </row>
    <row r="540" spans="1:9" x14ac:dyDescent="0.2">
      <c r="A540" s="10">
        <v>8</v>
      </c>
      <c r="B540" s="49" t="s">
        <v>285</v>
      </c>
      <c r="C540" s="50">
        <v>5</v>
      </c>
      <c r="D540" s="51">
        <v>60</v>
      </c>
      <c r="E540" s="51">
        <v>139.82</v>
      </c>
      <c r="F540" s="52">
        <v>65.452399999999997</v>
      </c>
      <c r="G540" s="14" t="s">
        <v>461</v>
      </c>
      <c r="H540" s="17" t="s">
        <v>6</v>
      </c>
      <c r="I540" s="23"/>
    </row>
    <row r="541" spans="1:9" x14ac:dyDescent="0.2">
      <c r="A541" s="10">
        <v>8</v>
      </c>
      <c r="B541" s="49" t="s">
        <v>289</v>
      </c>
      <c r="C541" s="50">
        <v>1</v>
      </c>
      <c r="D541" s="51">
        <v>10</v>
      </c>
      <c r="E541" s="51">
        <v>31.79</v>
      </c>
      <c r="F541" s="52">
        <v>17.867799999999999</v>
      </c>
      <c r="G541" s="14" t="s">
        <v>461</v>
      </c>
      <c r="H541" s="17" t="s">
        <v>6</v>
      </c>
      <c r="I541" s="23"/>
    </row>
    <row r="542" spans="1:9" x14ac:dyDescent="0.2">
      <c r="A542" s="10">
        <v>8</v>
      </c>
      <c r="B542" s="49" t="s">
        <v>316</v>
      </c>
      <c r="C542" s="50">
        <v>14</v>
      </c>
      <c r="D542" s="51">
        <v>182</v>
      </c>
      <c r="E542" s="51">
        <v>487.15</v>
      </c>
      <c r="F542" s="52">
        <v>250.22299999999998</v>
      </c>
      <c r="G542" s="14" t="s">
        <v>461</v>
      </c>
      <c r="H542" s="17" t="s">
        <v>6</v>
      </c>
      <c r="I542" s="23"/>
    </row>
    <row r="543" spans="1:9" x14ac:dyDescent="0.2">
      <c r="A543" s="10">
        <v>8</v>
      </c>
      <c r="B543" s="49" t="s">
        <v>25</v>
      </c>
      <c r="C543" s="50">
        <v>3</v>
      </c>
      <c r="D543" s="51">
        <v>4.5</v>
      </c>
      <c r="E543" s="51">
        <v>11.97</v>
      </c>
      <c r="F543" s="52">
        <v>6.1254000000000008</v>
      </c>
      <c r="G543" s="14" t="s">
        <v>461</v>
      </c>
      <c r="H543" s="17" t="s">
        <v>6</v>
      </c>
      <c r="I543" s="23"/>
    </row>
    <row r="544" spans="1:9" x14ac:dyDescent="0.2">
      <c r="A544" s="10">
        <v>8</v>
      </c>
      <c r="B544" s="49" t="s">
        <v>213</v>
      </c>
      <c r="C544" s="50">
        <v>8</v>
      </c>
      <c r="D544" s="51">
        <v>22.4</v>
      </c>
      <c r="E544" s="51">
        <v>72.25</v>
      </c>
      <c r="F544" s="52">
        <v>40.877000000000002</v>
      </c>
      <c r="G544" s="14" t="s">
        <v>461</v>
      </c>
      <c r="H544" s="17" t="s">
        <v>6</v>
      </c>
      <c r="I544" s="23"/>
    </row>
    <row r="545" spans="1:9" x14ac:dyDescent="0.2">
      <c r="A545" s="10">
        <v>8</v>
      </c>
      <c r="B545" s="49" t="s">
        <v>317</v>
      </c>
      <c r="C545" s="50">
        <v>1</v>
      </c>
      <c r="D545" s="51">
        <v>13</v>
      </c>
      <c r="E545" s="51">
        <v>29.99</v>
      </c>
      <c r="F545" s="52">
        <v>13.931799999999999</v>
      </c>
      <c r="G545" s="14" t="s">
        <v>461</v>
      </c>
      <c r="H545" s="17" t="s">
        <v>6</v>
      </c>
      <c r="I545" s="23"/>
    </row>
    <row r="546" spans="1:9" x14ac:dyDescent="0.2">
      <c r="A546" s="10">
        <v>8</v>
      </c>
      <c r="B546" s="49" t="s">
        <v>214</v>
      </c>
      <c r="C546" s="50">
        <v>2</v>
      </c>
      <c r="D546" s="51">
        <v>170</v>
      </c>
      <c r="E546" s="51">
        <v>270</v>
      </c>
      <c r="F546" s="52">
        <v>82</v>
      </c>
      <c r="G546" s="14" t="s">
        <v>461</v>
      </c>
      <c r="H546" s="17" t="s">
        <v>6</v>
      </c>
      <c r="I546" s="23"/>
    </row>
    <row r="547" spans="1:9" x14ac:dyDescent="0.2">
      <c r="A547" s="10">
        <v>8</v>
      </c>
      <c r="B547" s="49" t="s">
        <v>318</v>
      </c>
      <c r="C547" s="50">
        <v>1</v>
      </c>
      <c r="D547" s="51">
        <v>5</v>
      </c>
      <c r="E547" s="51">
        <v>14.99</v>
      </c>
      <c r="F547" s="52">
        <v>8.1918000000000006</v>
      </c>
      <c r="G547" s="14" t="s">
        <v>461</v>
      </c>
      <c r="H547" s="17" t="s">
        <v>6</v>
      </c>
      <c r="I547" s="23"/>
    </row>
    <row r="548" spans="1:9" x14ac:dyDescent="0.2">
      <c r="A548" s="10">
        <v>8</v>
      </c>
      <c r="B548" s="49" t="s">
        <v>319</v>
      </c>
      <c r="C548" s="50">
        <v>1</v>
      </c>
      <c r="D548" s="51">
        <v>23</v>
      </c>
      <c r="E548" s="51">
        <v>59.34</v>
      </c>
      <c r="F548" s="52">
        <v>29.798800000000004</v>
      </c>
      <c r="G548" s="14" t="s">
        <v>461</v>
      </c>
      <c r="H548" s="17" t="s">
        <v>6</v>
      </c>
      <c r="I548" s="23"/>
    </row>
    <row r="549" spans="1:9" x14ac:dyDescent="0.2">
      <c r="A549" s="10">
        <v>8</v>
      </c>
      <c r="B549" s="49" t="s">
        <v>178</v>
      </c>
      <c r="C549" s="50">
        <v>1</v>
      </c>
      <c r="D549" s="51">
        <v>17</v>
      </c>
      <c r="E549" s="51">
        <v>54</v>
      </c>
      <c r="F549" s="52">
        <v>30.34</v>
      </c>
      <c r="G549" s="14" t="s">
        <v>461</v>
      </c>
      <c r="H549" s="17" t="s">
        <v>6</v>
      </c>
      <c r="I549" s="23"/>
    </row>
    <row r="550" spans="1:9" x14ac:dyDescent="0.2">
      <c r="A550" s="10">
        <v>8</v>
      </c>
      <c r="B550" s="49" t="s">
        <v>320</v>
      </c>
      <c r="C550" s="50">
        <v>1</v>
      </c>
      <c r="D550" s="51">
        <v>5</v>
      </c>
      <c r="E550" s="51">
        <v>21.75</v>
      </c>
      <c r="F550" s="52">
        <v>13.734999999999999</v>
      </c>
      <c r="G550" s="14" t="s">
        <v>461</v>
      </c>
      <c r="H550" s="17" t="s">
        <v>6</v>
      </c>
      <c r="I550" s="23"/>
    </row>
    <row r="551" spans="1:9" x14ac:dyDescent="0.2">
      <c r="A551" s="10">
        <v>8</v>
      </c>
      <c r="B551" s="49" t="s">
        <v>321</v>
      </c>
      <c r="C551" s="50">
        <v>2</v>
      </c>
      <c r="D551" s="51">
        <v>180</v>
      </c>
      <c r="E551" s="51">
        <v>300</v>
      </c>
      <c r="F551" s="52">
        <v>98.4</v>
      </c>
      <c r="G551" s="14" t="s">
        <v>461</v>
      </c>
      <c r="H551" s="17" t="s">
        <v>6</v>
      </c>
      <c r="I551" s="23"/>
    </row>
    <row r="552" spans="1:9" x14ac:dyDescent="0.2">
      <c r="A552" s="10">
        <v>8</v>
      </c>
      <c r="B552" s="49" t="s">
        <v>86</v>
      </c>
      <c r="C552" s="50">
        <v>15</v>
      </c>
      <c r="D552" s="51">
        <v>600</v>
      </c>
      <c r="E552" s="51">
        <v>1105.8800000000001</v>
      </c>
      <c r="F552" s="52">
        <v>414.8216000000001</v>
      </c>
      <c r="G552" s="14" t="s">
        <v>461</v>
      </c>
      <c r="H552" s="17" t="s">
        <v>6</v>
      </c>
      <c r="I552" s="23"/>
    </row>
    <row r="553" spans="1:9" x14ac:dyDescent="0.2">
      <c r="A553" s="10">
        <v>8</v>
      </c>
      <c r="B553" s="49" t="s">
        <v>215</v>
      </c>
      <c r="C553" s="50">
        <v>3</v>
      </c>
      <c r="D553" s="51">
        <v>33</v>
      </c>
      <c r="E553" s="51">
        <v>76</v>
      </c>
      <c r="F553" s="52">
        <v>35.26</v>
      </c>
      <c r="G553" s="14" t="s">
        <v>461</v>
      </c>
      <c r="H553" s="17" t="s">
        <v>6</v>
      </c>
      <c r="I553" s="23"/>
    </row>
    <row r="554" spans="1:9" x14ac:dyDescent="0.2">
      <c r="A554" s="10">
        <v>8</v>
      </c>
      <c r="B554" s="49" t="s">
        <v>145</v>
      </c>
      <c r="C554" s="50">
        <v>2</v>
      </c>
      <c r="D554" s="51">
        <v>4</v>
      </c>
      <c r="E554" s="51">
        <v>17</v>
      </c>
      <c r="F554" s="52">
        <v>10.66</v>
      </c>
      <c r="G554" s="14" t="s">
        <v>461</v>
      </c>
      <c r="H554" s="17" t="s">
        <v>6</v>
      </c>
      <c r="I554" s="23"/>
    </row>
    <row r="555" spans="1:9" x14ac:dyDescent="0.2">
      <c r="A555" s="10">
        <v>8</v>
      </c>
      <c r="B555" s="49" t="s">
        <v>182</v>
      </c>
      <c r="C555" s="50">
        <v>5</v>
      </c>
      <c r="D555" s="51">
        <v>10</v>
      </c>
      <c r="E555" s="51">
        <v>27.27</v>
      </c>
      <c r="F555" s="52">
        <v>14.1614</v>
      </c>
      <c r="G555" s="14" t="s">
        <v>461</v>
      </c>
      <c r="H555" s="17" t="s">
        <v>6</v>
      </c>
      <c r="I555" s="23"/>
    </row>
    <row r="556" spans="1:9" x14ac:dyDescent="0.2">
      <c r="A556" s="10">
        <v>8</v>
      </c>
      <c r="B556" s="49" t="s">
        <v>217</v>
      </c>
      <c r="C556" s="50">
        <v>5</v>
      </c>
      <c r="D556" s="51">
        <v>27.5</v>
      </c>
      <c r="E556" s="51">
        <v>66.88</v>
      </c>
      <c r="F556" s="52">
        <v>32.291599999999995</v>
      </c>
      <c r="G556" s="14" t="s">
        <v>461</v>
      </c>
      <c r="H556" s="17" t="s">
        <v>6</v>
      </c>
      <c r="I556" s="23"/>
    </row>
    <row r="557" spans="1:9" x14ac:dyDescent="0.2">
      <c r="A557" s="10">
        <v>8</v>
      </c>
      <c r="B557" s="49" t="s">
        <v>322</v>
      </c>
      <c r="C557" s="50">
        <v>1</v>
      </c>
      <c r="D557" s="51">
        <v>0</v>
      </c>
      <c r="E557" s="51">
        <v>100.37</v>
      </c>
      <c r="F557" s="52">
        <v>82.303400000000011</v>
      </c>
      <c r="G557" s="14" t="s">
        <v>461</v>
      </c>
      <c r="H557" s="17" t="s">
        <v>6</v>
      </c>
      <c r="I557" s="23"/>
    </row>
    <row r="558" spans="1:9" x14ac:dyDescent="0.2">
      <c r="A558" s="10">
        <v>8</v>
      </c>
      <c r="B558" s="49" t="s">
        <v>185</v>
      </c>
      <c r="C558" s="50">
        <v>2</v>
      </c>
      <c r="D558" s="51">
        <v>6</v>
      </c>
      <c r="E558" s="51">
        <v>23.89</v>
      </c>
      <c r="F558" s="52">
        <v>14.6698</v>
      </c>
      <c r="G558" s="14" t="s">
        <v>461</v>
      </c>
      <c r="H558" s="17" t="s">
        <v>6</v>
      </c>
      <c r="I558" s="23"/>
    </row>
    <row r="559" spans="1:9" x14ac:dyDescent="0.2">
      <c r="A559" s="10">
        <v>8</v>
      </c>
      <c r="B559" s="49" t="s">
        <v>323</v>
      </c>
      <c r="C559" s="50">
        <v>2</v>
      </c>
      <c r="D559" s="51">
        <v>150</v>
      </c>
      <c r="E559" s="51">
        <v>300</v>
      </c>
      <c r="F559" s="52">
        <v>123</v>
      </c>
      <c r="G559" s="14" t="s">
        <v>461</v>
      </c>
      <c r="H559" s="17" t="s">
        <v>6</v>
      </c>
      <c r="I559" s="23"/>
    </row>
    <row r="560" spans="1:9" x14ac:dyDescent="0.2">
      <c r="A560" s="10">
        <v>8</v>
      </c>
      <c r="B560" s="49" t="s">
        <v>66</v>
      </c>
      <c r="C560" s="50">
        <v>5</v>
      </c>
      <c r="D560" s="51">
        <v>37.5</v>
      </c>
      <c r="E560" s="51">
        <v>76.260000000000005</v>
      </c>
      <c r="F560" s="52">
        <v>31.783200000000004</v>
      </c>
      <c r="G560" s="14" t="s">
        <v>461</v>
      </c>
      <c r="H560" s="17" t="s">
        <v>6</v>
      </c>
      <c r="I560" s="23"/>
    </row>
    <row r="561" spans="1:9" x14ac:dyDescent="0.2">
      <c r="A561" s="10">
        <v>8</v>
      </c>
      <c r="B561" s="49" t="s">
        <v>144</v>
      </c>
      <c r="C561" s="50">
        <v>4</v>
      </c>
      <c r="D561" s="51">
        <v>4</v>
      </c>
      <c r="E561" s="51">
        <v>11.13</v>
      </c>
      <c r="F561" s="52">
        <v>5.8466000000000005</v>
      </c>
      <c r="G561" s="14" t="s">
        <v>461</v>
      </c>
      <c r="H561" s="17" t="s">
        <v>6</v>
      </c>
      <c r="I561" s="23"/>
    </row>
    <row r="562" spans="1:9" x14ac:dyDescent="0.2">
      <c r="A562" s="10">
        <v>8</v>
      </c>
      <c r="B562" s="49" t="s">
        <v>144</v>
      </c>
      <c r="C562" s="50">
        <v>21</v>
      </c>
      <c r="D562" s="51">
        <v>630</v>
      </c>
      <c r="E562" s="51">
        <v>1000.09</v>
      </c>
      <c r="F562" s="52">
        <v>303.47380000000004</v>
      </c>
      <c r="G562" s="14" t="s">
        <v>461</v>
      </c>
      <c r="H562" s="17" t="s">
        <v>6</v>
      </c>
      <c r="I562" s="23"/>
    </row>
    <row r="563" spans="1:9" x14ac:dyDescent="0.2">
      <c r="A563" s="10">
        <v>8</v>
      </c>
      <c r="B563" s="49" t="s">
        <v>324</v>
      </c>
      <c r="C563" s="50">
        <v>2</v>
      </c>
      <c r="D563" s="51">
        <v>0</v>
      </c>
      <c r="E563" s="51">
        <v>80.349999999999994</v>
      </c>
      <c r="F563" s="52">
        <v>65.887</v>
      </c>
      <c r="G563" s="14" t="s">
        <v>461</v>
      </c>
      <c r="H563" s="17" t="s">
        <v>6</v>
      </c>
      <c r="I563" s="23"/>
    </row>
    <row r="564" spans="1:9" x14ac:dyDescent="0.2">
      <c r="A564" s="10">
        <v>8</v>
      </c>
      <c r="B564" s="49" t="s">
        <v>220</v>
      </c>
      <c r="C564" s="50">
        <v>2</v>
      </c>
      <c r="D564" s="51">
        <v>4</v>
      </c>
      <c r="E564" s="51">
        <v>10</v>
      </c>
      <c r="F564" s="52">
        <v>4.92</v>
      </c>
      <c r="G564" s="14" t="s">
        <v>461</v>
      </c>
      <c r="H564" s="17" t="s">
        <v>6</v>
      </c>
      <c r="I564" s="23"/>
    </row>
    <row r="565" spans="1:9" x14ac:dyDescent="0.2">
      <c r="A565" s="10">
        <v>8</v>
      </c>
      <c r="B565" s="49" t="s">
        <v>141</v>
      </c>
      <c r="C565" s="50">
        <v>1</v>
      </c>
      <c r="D565" s="51">
        <v>14</v>
      </c>
      <c r="E565" s="51">
        <v>26.99</v>
      </c>
      <c r="F565" s="52">
        <v>10.651799999999998</v>
      </c>
      <c r="G565" s="14" t="s">
        <v>461</v>
      </c>
      <c r="H565" s="17" t="s">
        <v>6</v>
      </c>
      <c r="I565" s="23"/>
    </row>
    <row r="566" spans="1:9" x14ac:dyDescent="0.2">
      <c r="A566" s="10">
        <v>8</v>
      </c>
      <c r="B566" s="49" t="s">
        <v>90</v>
      </c>
      <c r="C566" s="50">
        <v>1</v>
      </c>
      <c r="D566" s="51">
        <v>10</v>
      </c>
      <c r="E566" s="51">
        <v>37.24</v>
      </c>
      <c r="F566" s="52">
        <v>22.336800000000004</v>
      </c>
      <c r="G566" s="14" t="s">
        <v>461</v>
      </c>
      <c r="H566" s="17" t="s">
        <v>6</v>
      </c>
      <c r="I566" s="23"/>
    </row>
    <row r="567" spans="1:9" x14ac:dyDescent="0.2">
      <c r="A567" s="10">
        <v>8</v>
      </c>
      <c r="B567" s="49" t="s">
        <v>325</v>
      </c>
      <c r="C567" s="50">
        <v>2</v>
      </c>
      <c r="D567" s="51">
        <v>20</v>
      </c>
      <c r="E567" s="51">
        <v>53.48</v>
      </c>
      <c r="F567" s="52">
        <v>27.453599999999998</v>
      </c>
      <c r="G567" s="14" t="s">
        <v>461</v>
      </c>
      <c r="H567" s="17" t="s">
        <v>6</v>
      </c>
      <c r="I567" s="23"/>
    </row>
    <row r="568" spans="1:9" x14ac:dyDescent="0.2">
      <c r="A568" s="10">
        <v>8</v>
      </c>
      <c r="B568" s="49" t="s">
        <v>326</v>
      </c>
      <c r="C568" s="50">
        <v>4</v>
      </c>
      <c r="D568" s="51">
        <v>4</v>
      </c>
      <c r="E568" s="51">
        <v>93.72</v>
      </c>
      <c r="F568" s="52">
        <v>73.570400000000006</v>
      </c>
      <c r="G568" s="14" t="s">
        <v>461</v>
      </c>
      <c r="H568" s="17" t="s">
        <v>6</v>
      </c>
      <c r="I568" s="23"/>
    </row>
    <row r="569" spans="1:9" x14ac:dyDescent="0.2">
      <c r="A569" s="10">
        <v>8</v>
      </c>
      <c r="B569" s="49" t="s">
        <v>327</v>
      </c>
      <c r="C569" s="50">
        <v>1</v>
      </c>
      <c r="D569" s="51">
        <v>10</v>
      </c>
      <c r="E569" s="51">
        <v>22.85</v>
      </c>
      <c r="F569" s="52">
        <v>10.537000000000001</v>
      </c>
      <c r="G569" s="14" t="s">
        <v>461</v>
      </c>
      <c r="H569" s="17" t="s">
        <v>6</v>
      </c>
      <c r="I569" s="23"/>
    </row>
    <row r="570" spans="1:9" x14ac:dyDescent="0.2">
      <c r="A570" s="10">
        <v>8</v>
      </c>
      <c r="B570" s="49" t="s">
        <v>328</v>
      </c>
      <c r="C570" s="50">
        <v>1</v>
      </c>
      <c r="D570" s="51">
        <v>9</v>
      </c>
      <c r="E570" s="51">
        <v>30.11</v>
      </c>
      <c r="F570" s="52">
        <v>17.310199999999998</v>
      </c>
      <c r="G570" s="14" t="s">
        <v>461</v>
      </c>
      <c r="H570" s="17" t="s">
        <v>6</v>
      </c>
      <c r="I570" s="23"/>
    </row>
    <row r="571" spans="1:9" x14ac:dyDescent="0.2">
      <c r="A571" s="10">
        <v>8</v>
      </c>
      <c r="B571" s="49" t="s">
        <v>260</v>
      </c>
      <c r="C571" s="50">
        <v>2</v>
      </c>
      <c r="D571" s="51">
        <v>2</v>
      </c>
      <c r="E571" s="51">
        <v>18.52</v>
      </c>
      <c r="F571" s="52">
        <v>13.5464</v>
      </c>
      <c r="G571" s="14" t="s">
        <v>461</v>
      </c>
      <c r="H571" s="17" t="s">
        <v>6</v>
      </c>
      <c r="I571" s="23"/>
    </row>
    <row r="572" spans="1:9" x14ac:dyDescent="0.2">
      <c r="A572" s="10">
        <v>8</v>
      </c>
      <c r="B572" s="49" t="s">
        <v>329</v>
      </c>
      <c r="C572" s="50">
        <v>1</v>
      </c>
      <c r="D572" s="51">
        <v>7</v>
      </c>
      <c r="E572" s="51">
        <v>20</v>
      </c>
      <c r="F572" s="52">
        <v>10.66</v>
      </c>
      <c r="G572" s="14" t="s">
        <v>461</v>
      </c>
      <c r="H572" s="17" t="s">
        <v>6</v>
      </c>
      <c r="I572" s="23"/>
    </row>
    <row r="573" spans="1:9" x14ac:dyDescent="0.2">
      <c r="A573" s="10">
        <v>8</v>
      </c>
      <c r="B573" s="49" t="s">
        <v>190</v>
      </c>
      <c r="C573" s="50">
        <v>1</v>
      </c>
      <c r="D573" s="51">
        <v>8</v>
      </c>
      <c r="E573" s="51">
        <v>23.46</v>
      </c>
      <c r="F573" s="52">
        <v>12.677200000000001</v>
      </c>
      <c r="G573" s="14" t="s">
        <v>461</v>
      </c>
      <c r="H573" s="17" t="s">
        <v>6</v>
      </c>
      <c r="I573" s="23"/>
    </row>
    <row r="574" spans="1:9" x14ac:dyDescent="0.2">
      <c r="A574" s="10">
        <v>9</v>
      </c>
      <c r="B574" s="15" t="s">
        <v>330</v>
      </c>
      <c r="C574" s="2">
        <v>1</v>
      </c>
      <c r="D574" s="13">
        <v>8</v>
      </c>
      <c r="E574" s="13">
        <v>20</v>
      </c>
      <c r="F574" s="13">
        <f t="shared" ref="F574:F588" si="13">SUM(E574-D574)</f>
        <v>12</v>
      </c>
      <c r="G574" s="14" t="s">
        <v>461</v>
      </c>
      <c r="H574" s="17" t="s">
        <v>460</v>
      </c>
      <c r="I574" s="23"/>
    </row>
    <row r="575" spans="1:9" x14ac:dyDescent="0.2">
      <c r="A575" s="10">
        <v>9</v>
      </c>
      <c r="B575" s="15" t="s">
        <v>331</v>
      </c>
      <c r="C575" s="2">
        <v>1</v>
      </c>
      <c r="D575" s="13">
        <v>16</v>
      </c>
      <c r="E575" s="13">
        <v>35</v>
      </c>
      <c r="F575" s="13">
        <f t="shared" si="13"/>
        <v>19</v>
      </c>
      <c r="G575" s="14" t="s">
        <v>461</v>
      </c>
      <c r="H575" s="17" t="s">
        <v>460</v>
      </c>
      <c r="I575" s="23"/>
    </row>
    <row r="576" spans="1:9" x14ac:dyDescent="0.2">
      <c r="A576" s="10">
        <v>9</v>
      </c>
      <c r="B576" s="15" t="s">
        <v>332</v>
      </c>
      <c r="C576" s="2">
        <v>1</v>
      </c>
      <c r="D576" s="13">
        <v>4.5</v>
      </c>
      <c r="E576" s="13">
        <v>10</v>
      </c>
      <c r="F576" s="13">
        <f t="shared" si="13"/>
        <v>5.5</v>
      </c>
      <c r="G576" s="14" t="s">
        <v>461</v>
      </c>
      <c r="H576" s="17" t="s">
        <v>460</v>
      </c>
      <c r="I576" s="23"/>
    </row>
    <row r="577" spans="1:14" x14ac:dyDescent="0.2">
      <c r="A577" s="10">
        <v>9</v>
      </c>
      <c r="B577" s="15" t="s">
        <v>333</v>
      </c>
      <c r="C577" s="2">
        <v>1</v>
      </c>
      <c r="D577" s="13">
        <v>30</v>
      </c>
      <c r="E577" s="13">
        <v>50</v>
      </c>
      <c r="F577" s="13">
        <f t="shared" si="13"/>
        <v>20</v>
      </c>
      <c r="G577" s="14" t="s">
        <v>461</v>
      </c>
      <c r="H577" s="17" t="s">
        <v>460</v>
      </c>
      <c r="I577" s="23"/>
    </row>
    <row r="578" spans="1:14" x14ac:dyDescent="0.2">
      <c r="A578" s="10">
        <v>9</v>
      </c>
      <c r="B578" s="15" t="s">
        <v>334</v>
      </c>
      <c r="C578" s="2">
        <v>1</v>
      </c>
      <c r="D578" s="13">
        <v>5</v>
      </c>
      <c r="E578" s="13">
        <v>10</v>
      </c>
      <c r="F578" s="13">
        <f t="shared" si="13"/>
        <v>5</v>
      </c>
      <c r="G578" s="14" t="s">
        <v>461</v>
      </c>
      <c r="H578" s="17" t="s">
        <v>460</v>
      </c>
      <c r="I578" s="23"/>
    </row>
    <row r="579" spans="1:14" x14ac:dyDescent="0.2">
      <c r="A579" s="10">
        <v>9</v>
      </c>
      <c r="B579" s="15" t="s">
        <v>224</v>
      </c>
      <c r="C579" s="2">
        <v>1</v>
      </c>
      <c r="D579" s="13">
        <v>45</v>
      </c>
      <c r="E579" s="13">
        <v>100</v>
      </c>
      <c r="F579" s="13">
        <f t="shared" si="13"/>
        <v>55</v>
      </c>
      <c r="G579" s="14" t="s">
        <v>461</v>
      </c>
      <c r="H579" s="17" t="s">
        <v>460</v>
      </c>
      <c r="I579" s="23"/>
    </row>
    <row r="580" spans="1:14" x14ac:dyDescent="0.2">
      <c r="A580" s="10">
        <v>9</v>
      </c>
      <c r="B580" s="15" t="s">
        <v>311</v>
      </c>
      <c r="C580" s="2">
        <v>1</v>
      </c>
      <c r="D580" s="13">
        <v>50</v>
      </c>
      <c r="E580" s="13">
        <v>90</v>
      </c>
      <c r="F580" s="13">
        <f t="shared" si="13"/>
        <v>40</v>
      </c>
      <c r="G580" s="14" t="s">
        <v>461</v>
      </c>
      <c r="H580" s="17" t="s">
        <v>460</v>
      </c>
      <c r="I580" s="23"/>
    </row>
    <row r="581" spans="1:14" x14ac:dyDescent="0.2">
      <c r="A581" s="10">
        <v>9</v>
      </c>
      <c r="B581" s="15" t="s">
        <v>335</v>
      </c>
      <c r="C581" s="2">
        <v>1</v>
      </c>
      <c r="D581" s="13">
        <v>60</v>
      </c>
      <c r="E581" s="13">
        <v>100</v>
      </c>
      <c r="F581" s="13">
        <f t="shared" si="13"/>
        <v>40</v>
      </c>
      <c r="G581" s="14" t="s">
        <v>461</v>
      </c>
      <c r="H581" s="17" t="s">
        <v>460</v>
      </c>
      <c r="I581" s="23"/>
    </row>
    <row r="582" spans="1:14" x14ac:dyDescent="0.2">
      <c r="A582" s="10">
        <v>9</v>
      </c>
      <c r="B582" s="15" t="s">
        <v>339</v>
      </c>
      <c r="C582" s="2">
        <v>1</v>
      </c>
      <c r="D582" s="13">
        <v>7.5</v>
      </c>
      <c r="E582" s="13">
        <v>15</v>
      </c>
      <c r="F582" s="13">
        <f t="shared" si="13"/>
        <v>7.5</v>
      </c>
      <c r="G582" s="14" t="s">
        <v>461</v>
      </c>
      <c r="H582" s="17" t="s">
        <v>460</v>
      </c>
      <c r="I582" s="23"/>
    </row>
    <row r="583" spans="1:14" x14ac:dyDescent="0.2">
      <c r="A583" s="10">
        <v>9</v>
      </c>
      <c r="B583" s="15" t="s">
        <v>336</v>
      </c>
      <c r="C583" s="2">
        <v>1</v>
      </c>
      <c r="D583" s="13">
        <v>70</v>
      </c>
      <c r="E583" s="13">
        <v>170</v>
      </c>
      <c r="F583" s="13">
        <f t="shared" si="13"/>
        <v>100</v>
      </c>
      <c r="G583" s="14" t="s">
        <v>461</v>
      </c>
      <c r="H583" s="17" t="s">
        <v>460</v>
      </c>
      <c r="I583" s="23"/>
    </row>
    <row r="584" spans="1:14" x14ac:dyDescent="0.2">
      <c r="A584" s="10">
        <v>9</v>
      </c>
      <c r="B584" s="15" t="s">
        <v>337</v>
      </c>
      <c r="C584" s="2">
        <v>1</v>
      </c>
      <c r="D584" s="13">
        <v>3.5</v>
      </c>
      <c r="E584" s="13">
        <v>10</v>
      </c>
      <c r="F584" s="13">
        <f t="shared" si="13"/>
        <v>6.5</v>
      </c>
      <c r="G584" s="14" t="s">
        <v>461</v>
      </c>
      <c r="H584" s="17" t="s">
        <v>460</v>
      </c>
      <c r="I584" s="23"/>
    </row>
    <row r="585" spans="1:14" x14ac:dyDescent="0.2">
      <c r="A585" s="10">
        <v>9</v>
      </c>
      <c r="B585" s="15" t="s">
        <v>338</v>
      </c>
      <c r="C585" s="2">
        <v>1</v>
      </c>
      <c r="D585" s="13">
        <v>15</v>
      </c>
      <c r="E585" s="13">
        <v>25</v>
      </c>
      <c r="F585" s="13">
        <f t="shared" si="13"/>
        <v>10</v>
      </c>
      <c r="G585" s="14" t="s">
        <v>461</v>
      </c>
      <c r="H585" s="17" t="s">
        <v>460</v>
      </c>
      <c r="I585" s="23"/>
    </row>
    <row r="586" spans="1:14" x14ac:dyDescent="0.2">
      <c r="A586" s="10">
        <v>9</v>
      </c>
      <c r="B586" s="15" t="s">
        <v>279</v>
      </c>
      <c r="C586" s="2">
        <v>1</v>
      </c>
      <c r="D586" s="13">
        <v>7.5</v>
      </c>
      <c r="E586" s="13">
        <v>15</v>
      </c>
      <c r="F586" s="13">
        <f t="shared" si="13"/>
        <v>7.5</v>
      </c>
      <c r="G586" s="14" t="s">
        <v>461</v>
      </c>
      <c r="H586" s="17" t="s">
        <v>460</v>
      </c>
      <c r="I586" s="23"/>
    </row>
    <row r="587" spans="1:14" x14ac:dyDescent="0.2">
      <c r="A587" s="10">
        <v>9</v>
      </c>
      <c r="B587" s="15" t="s">
        <v>340</v>
      </c>
      <c r="C587" s="2">
        <v>1</v>
      </c>
      <c r="D587" s="13">
        <v>5.5</v>
      </c>
      <c r="E587" s="13">
        <v>15</v>
      </c>
      <c r="F587" s="13">
        <f t="shared" si="13"/>
        <v>9.5</v>
      </c>
      <c r="G587" s="14" t="s">
        <v>461</v>
      </c>
      <c r="H587" s="17" t="s">
        <v>460</v>
      </c>
      <c r="I587" s="23"/>
    </row>
    <row r="588" spans="1:14" collapsed="1" x14ac:dyDescent="0.2">
      <c r="A588" s="10">
        <v>9</v>
      </c>
      <c r="B588" s="1" t="s">
        <v>341</v>
      </c>
      <c r="C588" s="2">
        <v>1</v>
      </c>
      <c r="D588" s="53">
        <v>3.5</v>
      </c>
      <c r="E588" s="53">
        <v>5</v>
      </c>
      <c r="F588" s="53">
        <f t="shared" si="13"/>
        <v>1.5</v>
      </c>
      <c r="G588" s="14" t="s">
        <v>461</v>
      </c>
      <c r="H588" s="2" t="s">
        <v>460</v>
      </c>
      <c r="I588" s="23"/>
    </row>
    <row r="589" spans="1:14" x14ac:dyDescent="0.2">
      <c r="A589" s="10">
        <v>9</v>
      </c>
      <c r="B589" s="15" t="s">
        <v>342</v>
      </c>
      <c r="C589" s="2">
        <v>1</v>
      </c>
      <c r="D589" s="13">
        <v>60</v>
      </c>
      <c r="E589" s="13">
        <v>100</v>
      </c>
      <c r="F589" s="54">
        <f t="shared" ref="F589:F620" si="14">E589-D589</f>
        <v>40</v>
      </c>
      <c r="G589" s="14" t="s">
        <v>461</v>
      </c>
      <c r="H589" s="23" t="s">
        <v>460</v>
      </c>
      <c r="I589" s="23"/>
    </row>
    <row r="590" spans="1:14" x14ac:dyDescent="0.2">
      <c r="A590" s="10">
        <v>9</v>
      </c>
      <c r="B590" s="15" t="s">
        <v>343</v>
      </c>
      <c r="C590" s="2">
        <v>1</v>
      </c>
      <c r="D590" s="13">
        <v>17</v>
      </c>
      <c r="E590" s="13">
        <v>30</v>
      </c>
      <c r="F590" s="54">
        <f t="shared" si="14"/>
        <v>13</v>
      </c>
      <c r="G590" s="14" t="s">
        <v>461</v>
      </c>
      <c r="H590" s="23" t="s">
        <v>460</v>
      </c>
      <c r="I590" s="23"/>
    </row>
    <row r="591" spans="1:14" x14ac:dyDescent="0.2">
      <c r="A591" s="10">
        <v>9</v>
      </c>
      <c r="B591" s="15" t="s">
        <v>344</v>
      </c>
      <c r="C591" s="2">
        <v>1</v>
      </c>
      <c r="D591" s="13">
        <v>25</v>
      </c>
      <c r="E591" s="13">
        <v>60</v>
      </c>
      <c r="F591" s="54">
        <f t="shared" si="14"/>
        <v>35</v>
      </c>
      <c r="G591" s="14" t="s">
        <v>461</v>
      </c>
      <c r="H591" s="23" t="s">
        <v>460</v>
      </c>
      <c r="I591" s="23"/>
      <c r="L591" s="55"/>
      <c r="M591" s="56"/>
      <c r="N591" s="57"/>
    </row>
    <row r="592" spans="1:14" x14ac:dyDescent="0.2">
      <c r="A592" s="10">
        <v>9</v>
      </c>
      <c r="B592" s="15" t="s">
        <v>345</v>
      </c>
      <c r="C592" s="2">
        <v>1</v>
      </c>
      <c r="D592" s="13">
        <v>11</v>
      </c>
      <c r="E592" s="13">
        <v>25</v>
      </c>
      <c r="F592" s="54">
        <f t="shared" si="14"/>
        <v>14</v>
      </c>
      <c r="G592" s="14" t="s">
        <v>461</v>
      </c>
      <c r="H592" s="23" t="s">
        <v>460</v>
      </c>
      <c r="I592" s="23"/>
      <c r="L592" s="55"/>
      <c r="M592" s="56"/>
      <c r="N592" s="57"/>
    </row>
    <row r="593" spans="1:14" x14ac:dyDescent="0.2">
      <c r="A593" s="10">
        <v>9</v>
      </c>
      <c r="B593" s="15" t="s">
        <v>345</v>
      </c>
      <c r="C593" s="2">
        <v>1</v>
      </c>
      <c r="D593" s="13">
        <v>11</v>
      </c>
      <c r="E593" s="13">
        <v>25</v>
      </c>
      <c r="F593" s="54">
        <f t="shared" si="14"/>
        <v>14</v>
      </c>
      <c r="G593" s="14" t="s">
        <v>461</v>
      </c>
      <c r="H593" s="23" t="s">
        <v>460</v>
      </c>
      <c r="I593" s="23"/>
      <c r="L593" s="55"/>
      <c r="M593" s="56"/>
      <c r="N593" s="57"/>
    </row>
    <row r="594" spans="1:14" x14ac:dyDescent="0.2">
      <c r="A594" s="10">
        <v>9</v>
      </c>
      <c r="B594" s="15" t="s">
        <v>346</v>
      </c>
      <c r="C594" s="2">
        <v>1</v>
      </c>
      <c r="D594" s="13">
        <v>0</v>
      </c>
      <c r="E594" s="13">
        <v>50</v>
      </c>
      <c r="F594" s="54">
        <f t="shared" si="14"/>
        <v>50</v>
      </c>
      <c r="G594" s="14" t="s">
        <v>461</v>
      </c>
      <c r="H594" s="23" t="s">
        <v>460</v>
      </c>
      <c r="I594" s="23"/>
      <c r="L594" s="55"/>
      <c r="M594" s="56"/>
      <c r="N594" s="57"/>
    </row>
    <row r="595" spans="1:14" x14ac:dyDescent="0.2">
      <c r="A595" s="10">
        <v>9</v>
      </c>
      <c r="B595" s="15" t="s">
        <v>347</v>
      </c>
      <c r="C595" s="2">
        <v>1</v>
      </c>
      <c r="D595" s="13">
        <v>20</v>
      </c>
      <c r="E595" s="13">
        <v>35</v>
      </c>
      <c r="F595" s="54">
        <f t="shared" si="14"/>
        <v>15</v>
      </c>
      <c r="G595" s="14" t="s">
        <v>461</v>
      </c>
      <c r="H595" s="23" t="s">
        <v>460</v>
      </c>
      <c r="I595" s="23"/>
      <c r="L595" s="55"/>
      <c r="M595" s="56"/>
      <c r="N595" s="57"/>
    </row>
    <row r="596" spans="1:14" x14ac:dyDescent="0.2">
      <c r="A596" s="10">
        <v>9</v>
      </c>
      <c r="B596" s="15" t="s">
        <v>348</v>
      </c>
      <c r="C596" s="2">
        <v>1</v>
      </c>
      <c r="D596" s="13">
        <v>50</v>
      </c>
      <c r="E596" s="13">
        <v>80</v>
      </c>
      <c r="F596" s="54">
        <f t="shared" si="14"/>
        <v>30</v>
      </c>
      <c r="G596" s="14" t="s">
        <v>461</v>
      </c>
      <c r="H596" s="23" t="s">
        <v>460</v>
      </c>
      <c r="I596" s="23"/>
      <c r="L596" s="55"/>
      <c r="M596" s="56"/>
      <c r="N596" s="57"/>
    </row>
    <row r="597" spans="1:14" x14ac:dyDescent="0.2">
      <c r="A597" s="10">
        <v>9</v>
      </c>
      <c r="B597" s="15" t="s">
        <v>349</v>
      </c>
      <c r="C597" s="2">
        <v>1</v>
      </c>
      <c r="D597" s="13">
        <v>7.5</v>
      </c>
      <c r="E597" s="13">
        <v>15</v>
      </c>
      <c r="F597" s="54">
        <f t="shared" si="14"/>
        <v>7.5</v>
      </c>
      <c r="G597" s="14" t="s">
        <v>461</v>
      </c>
      <c r="H597" s="23" t="s">
        <v>460</v>
      </c>
      <c r="I597" s="23"/>
      <c r="L597" s="55"/>
      <c r="M597" s="56"/>
      <c r="N597" s="57"/>
    </row>
    <row r="598" spans="1:14" x14ac:dyDescent="0.2">
      <c r="A598" s="10">
        <v>9</v>
      </c>
      <c r="B598" s="15" t="s">
        <v>350</v>
      </c>
      <c r="C598" s="2">
        <v>1</v>
      </c>
      <c r="D598" s="13">
        <v>7.5</v>
      </c>
      <c r="E598" s="13">
        <v>20</v>
      </c>
      <c r="F598" s="54">
        <f t="shared" si="14"/>
        <v>12.5</v>
      </c>
      <c r="G598" s="14" t="s">
        <v>461</v>
      </c>
      <c r="H598" s="23" t="s">
        <v>460</v>
      </c>
      <c r="I598" s="23"/>
      <c r="L598" s="55"/>
      <c r="M598" s="56"/>
      <c r="N598" s="57"/>
    </row>
    <row r="599" spans="1:14" x14ac:dyDescent="0.2">
      <c r="A599" s="10">
        <v>9</v>
      </c>
      <c r="B599" s="15" t="s">
        <v>351</v>
      </c>
      <c r="C599" s="2">
        <v>1</v>
      </c>
      <c r="D599" s="13">
        <v>19</v>
      </c>
      <c r="E599" s="13">
        <v>40</v>
      </c>
      <c r="F599" s="54">
        <f t="shared" si="14"/>
        <v>21</v>
      </c>
      <c r="G599" s="14" t="s">
        <v>461</v>
      </c>
      <c r="H599" s="23" t="s">
        <v>460</v>
      </c>
      <c r="I599" s="23"/>
    </row>
    <row r="600" spans="1:14" x14ac:dyDescent="0.2">
      <c r="A600" s="10">
        <v>9</v>
      </c>
      <c r="B600" s="15" t="s">
        <v>351</v>
      </c>
      <c r="C600" s="2">
        <v>1</v>
      </c>
      <c r="D600" s="13">
        <v>19</v>
      </c>
      <c r="E600" s="13">
        <v>40</v>
      </c>
      <c r="F600" s="54">
        <f t="shared" si="14"/>
        <v>21</v>
      </c>
      <c r="G600" s="14" t="s">
        <v>461</v>
      </c>
      <c r="H600" s="23" t="s">
        <v>460</v>
      </c>
      <c r="I600" s="23"/>
      <c r="L600" s="55"/>
      <c r="M600" s="55"/>
      <c r="N600" s="55"/>
    </row>
    <row r="601" spans="1:14" x14ac:dyDescent="0.2">
      <c r="A601" s="10">
        <v>9</v>
      </c>
      <c r="B601" s="15" t="s">
        <v>351</v>
      </c>
      <c r="C601" s="2">
        <v>1</v>
      </c>
      <c r="D601" s="13">
        <v>19</v>
      </c>
      <c r="E601" s="13">
        <v>40</v>
      </c>
      <c r="F601" s="54">
        <f t="shared" si="14"/>
        <v>21</v>
      </c>
      <c r="G601" s="14" t="s">
        <v>461</v>
      </c>
      <c r="H601" s="23" t="s">
        <v>460</v>
      </c>
      <c r="I601" s="23"/>
    </row>
    <row r="602" spans="1:14" x14ac:dyDescent="0.2">
      <c r="A602" s="10">
        <v>9</v>
      </c>
      <c r="B602" s="15" t="s">
        <v>351</v>
      </c>
      <c r="C602" s="2">
        <v>1</v>
      </c>
      <c r="D602" s="13">
        <v>19</v>
      </c>
      <c r="E602" s="13">
        <v>40</v>
      </c>
      <c r="F602" s="54">
        <f t="shared" si="14"/>
        <v>21</v>
      </c>
      <c r="G602" s="14" t="s">
        <v>461</v>
      </c>
      <c r="H602" s="23" t="s">
        <v>460</v>
      </c>
      <c r="I602" s="23"/>
    </row>
    <row r="603" spans="1:14" x14ac:dyDescent="0.2">
      <c r="A603" s="10">
        <v>9</v>
      </c>
      <c r="B603" s="15" t="s">
        <v>351</v>
      </c>
      <c r="C603" s="2">
        <v>1</v>
      </c>
      <c r="D603" s="13">
        <v>19</v>
      </c>
      <c r="E603" s="13">
        <v>40</v>
      </c>
      <c r="F603" s="54">
        <f t="shared" si="14"/>
        <v>21</v>
      </c>
      <c r="G603" s="14" t="s">
        <v>461</v>
      </c>
      <c r="H603" s="23" t="s">
        <v>460</v>
      </c>
      <c r="I603" s="23"/>
    </row>
    <row r="604" spans="1:14" x14ac:dyDescent="0.2">
      <c r="A604" s="10">
        <v>9</v>
      </c>
      <c r="B604" s="15" t="s">
        <v>351</v>
      </c>
      <c r="C604" s="2">
        <v>1</v>
      </c>
      <c r="D604" s="13">
        <v>19</v>
      </c>
      <c r="E604" s="13">
        <v>40</v>
      </c>
      <c r="F604" s="54">
        <f t="shared" si="14"/>
        <v>21</v>
      </c>
      <c r="G604" s="14" t="s">
        <v>461</v>
      </c>
      <c r="H604" s="23" t="s">
        <v>460</v>
      </c>
      <c r="I604" s="23"/>
    </row>
    <row r="605" spans="1:14" x14ac:dyDescent="0.2">
      <c r="A605" s="10">
        <v>9</v>
      </c>
      <c r="B605" s="15" t="s">
        <v>350</v>
      </c>
      <c r="C605" s="2">
        <v>1</v>
      </c>
      <c r="D605" s="13">
        <v>7.5</v>
      </c>
      <c r="E605" s="13">
        <v>20</v>
      </c>
      <c r="F605" s="54">
        <f t="shared" si="14"/>
        <v>12.5</v>
      </c>
      <c r="G605" s="14" t="s">
        <v>461</v>
      </c>
      <c r="H605" s="23" t="s">
        <v>460</v>
      </c>
      <c r="I605" s="23"/>
    </row>
    <row r="606" spans="1:14" x14ac:dyDescent="0.2">
      <c r="A606" s="10">
        <v>9</v>
      </c>
      <c r="B606" s="15" t="s">
        <v>352</v>
      </c>
      <c r="C606" s="2">
        <v>1</v>
      </c>
      <c r="D606" s="13">
        <v>25</v>
      </c>
      <c r="E606" s="13">
        <v>40</v>
      </c>
      <c r="F606" s="54">
        <f t="shared" si="14"/>
        <v>15</v>
      </c>
      <c r="G606" s="14" t="s">
        <v>461</v>
      </c>
      <c r="H606" s="23" t="s">
        <v>460</v>
      </c>
      <c r="I606" s="23"/>
    </row>
    <row r="607" spans="1:14" x14ac:dyDescent="0.2">
      <c r="A607" s="10">
        <v>9</v>
      </c>
      <c r="B607" s="15" t="s">
        <v>356</v>
      </c>
      <c r="C607" s="2">
        <v>1</v>
      </c>
      <c r="D607" s="13">
        <v>25</v>
      </c>
      <c r="E607" s="13">
        <v>50</v>
      </c>
      <c r="F607" s="54">
        <f t="shared" si="14"/>
        <v>25</v>
      </c>
      <c r="G607" s="14" t="s">
        <v>461</v>
      </c>
      <c r="H607" s="23" t="s">
        <v>460</v>
      </c>
      <c r="I607" s="23"/>
    </row>
    <row r="608" spans="1:14" x14ac:dyDescent="0.2">
      <c r="A608" s="10">
        <v>9</v>
      </c>
      <c r="B608" s="15" t="s">
        <v>353</v>
      </c>
      <c r="C608" s="2">
        <v>1</v>
      </c>
      <c r="D608" s="13">
        <v>480</v>
      </c>
      <c r="E608" s="13">
        <v>650</v>
      </c>
      <c r="F608" s="54">
        <f t="shared" si="14"/>
        <v>170</v>
      </c>
      <c r="G608" s="14" t="s">
        <v>461</v>
      </c>
      <c r="H608" s="23" t="s">
        <v>460</v>
      </c>
      <c r="I608" s="23"/>
    </row>
    <row r="609" spans="1:9" x14ac:dyDescent="0.2">
      <c r="A609" s="10">
        <v>9</v>
      </c>
      <c r="B609" s="15" t="s">
        <v>354</v>
      </c>
      <c r="C609" s="2">
        <v>1</v>
      </c>
      <c r="D609" s="13">
        <v>50</v>
      </c>
      <c r="E609" s="13">
        <v>80</v>
      </c>
      <c r="F609" s="54">
        <f t="shared" si="14"/>
        <v>30</v>
      </c>
      <c r="G609" s="14" t="s">
        <v>461</v>
      </c>
      <c r="H609" s="23" t="s">
        <v>460</v>
      </c>
      <c r="I609" s="23"/>
    </row>
    <row r="610" spans="1:9" x14ac:dyDescent="0.2">
      <c r="A610" s="10">
        <v>9</v>
      </c>
      <c r="B610" s="15" t="s">
        <v>355</v>
      </c>
      <c r="C610" s="2">
        <v>1</v>
      </c>
      <c r="D610" s="13">
        <v>2</v>
      </c>
      <c r="E610" s="13">
        <v>5</v>
      </c>
      <c r="F610" s="54">
        <f t="shared" si="14"/>
        <v>3</v>
      </c>
      <c r="G610" s="14" t="s">
        <v>461</v>
      </c>
      <c r="H610" s="23" t="s">
        <v>460</v>
      </c>
      <c r="I610" s="23"/>
    </row>
    <row r="611" spans="1:9" x14ac:dyDescent="0.2">
      <c r="A611" s="10">
        <v>9</v>
      </c>
      <c r="B611" s="15" t="s">
        <v>355</v>
      </c>
      <c r="C611" s="2">
        <v>1</v>
      </c>
      <c r="D611" s="13">
        <v>2</v>
      </c>
      <c r="E611" s="13">
        <v>5</v>
      </c>
      <c r="F611" s="54">
        <f t="shared" si="14"/>
        <v>3</v>
      </c>
      <c r="G611" s="14" t="s">
        <v>461</v>
      </c>
      <c r="H611" s="23" t="s">
        <v>460</v>
      </c>
      <c r="I611" s="23"/>
    </row>
    <row r="612" spans="1:9" x14ac:dyDescent="0.2">
      <c r="A612" s="10">
        <v>9</v>
      </c>
      <c r="B612" s="15" t="s">
        <v>355</v>
      </c>
      <c r="C612" s="2">
        <v>1</v>
      </c>
      <c r="D612" s="13">
        <v>2</v>
      </c>
      <c r="E612" s="13">
        <v>5</v>
      </c>
      <c r="F612" s="54">
        <f t="shared" si="14"/>
        <v>3</v>
      </c>
      <c r="G612" s="14" t="s">
        <v>461</v>
      </c>
      <c r="H612" s="23" t="s">
        <v>460</v>
      </c>
      <c r="I612" s="23"/>
    </row>
    <row r="613" spans="1:9" x14ac:dyDescent="0.2">
      <c r="A613" s="10">
        <v>9</v>
      </c>
      <c r="B613" s="15" t="s">
        <v>355</v>
      </c>
      <c r="C613" s="2">
        <v>1</v>
      </c>
      <c r="D613" s="13">
        <v>2</v>
      </c>
      <c r="E613" s="13">
        <v>5</v>
      </c>
      <c r="F613" s="54">
        <f t="shared" si="14"/>
        <v>3</v>
      </c>
      <c r="G613" s="14" t="s">
        <v>461</v>
      </c>
      <c r="H613" s="23" t="s">
        <v>460</v>
      </c>
      <c r="I613" s="23"/>
    </row>
    <row r="614" spans="1:9" x14ac:dyDescent="0.2">
      <c r="A614" s="10">
        <v>9</v>
      </c>
      <c r="B614" s="15" t="s">
        <v>355</v>
      </c>
      <c r="C614" s="2">
        <v>1</v>
      </c>
      <c r="D614" s="13">
        <v>2</v>
      </c>
      <c r="E614" s="13">
        <v>5</v>
      </c>
      <c r="F614" s="54">
        <f t="shared" si="14"/>
        <v>3</v>
      </c>
      <c r="G614" s="14" t="s">
        <v>461</v>
      </c>
      <c r="H614" s="23" t="s">
        <v>460</v>
      </c>
      <c r="I614" s="23"/>
    </row>
    <row r="615" spans="1:9" x14ac:dyDescent="0.2">
      <c r="A615" s="10">
        <v>9</v>
      </c>
      <c r="B615" s="15" t="s">
        <v>355</v>
      </c>
      <c r="C615" s="2">
        <v>1</v>
      </c>
      <c r="D615" s="13">
        <v>2</v>
      </c>
      <c r="E615" s="13">
        <v>5</v>
      </c>
      <c r="F615" s="54">
        <f t="shared" si="14"/>
        <v>3</v>
      </c>
      <c r="G615" s="14" t="s">
        <v>461</v>
      </c>
      <c r="H615" s="23" t="s">
        <v>460</v>
      </c>
      <c r="I615" s="23"/>
    </row>
    <row r="616" spans="1:9" x14ac:dyDescent="0.2">
      <c r="A616" s="10">
        <v>9</v>
      </c>
      <c r="B616" s="15" t="s">
        <v>357</v>
      </c>
      <c r="C616" s="2">
        <v>1</v>
      </c>
      <c r="D616" s="13">
        <v>3.5</v>
      </c>
      <c r="E616" s="13">
        <v>10</v>
      </c>
      <c r="F616" s="54">
        <f t="shared" si="14"/>
        <v>6.5</v>
      </c>
      <c r="G616" s="14" t="s">
        <v>461</v>
      </c>
      <c r="H616" s="23" t="s">
        <v>460</v>
      </c>
      <c r="I616" s="23"/>
    </row>
    <row r="617" spans="1:9" x14ac:dyDescent="0.2">
      <c r="A617" s="10">
        <v>9</v>
      </c>
      <c r="B617" s="15" t="s">
        <v>357</v>
      </c>
      <c r="C617" s="2">
        <v>1</v>
      </c>
      <c r="D617" s="13">
        <v>3.5</v>
      </c>
      <c r="E617" s="13">
        <v>10</v>
      </c>
      <c r="F617" s="54">
        <f t="shared" si="14"/>
        <v>6.5</v>
      </c>
      <c r="G617" s="14" t="s">
        <v>461</v>
      </c>
      <c r="H617" s="23" t="s">
        <v>460</v>
      </c>
      <c r="I617" s="23"/>
    </row>
    <row r="618" spans="1:9" x14ac:dyDescent="0.2">
      <c r="A618" s="10">
        <v>9</v>
      </c>
      <c r="B618" s="15" t="s">
        <v>100</v>
      </c>
      <c r="C618" s="2">
        <v>1</v>
      </c>
      <c r="D618" s="13">
        <v>2</v>
      </c>
      <c r="E618" s="13">
        <v>5</v>
      </c>
      <c r="F618" s="54">
        <f t="shared" si="14"/>
        <v>3</v>
      </c>
      <c r="G618" s="14" t="s">
        <v>461</v>
      </c>
      <c r="H618" s="23" t="s">
        <v>460</v>
      </c>
      <c r="I618" s="23"/>
    </row>
    <row r="619" spans="1:9" x14ac:dyDescent="0.2">
      <c r="A619" s="10">
        <v>9</v>
      </c>
      <c r="B619" s="15" t="s">
        <v>100</v>
      </c>
      <c r="C619" s="2">
        <v>1</v>
      </c>
      <c r="D619" s="13">
        <v>2</v>
      </c>
      <c r="E619" s="13">
        <v>5</v>
      </c>
      <c r="F619" s="54">
        <f t="shared" si="14"/>
        <v>3</v>
      </c>
      <c r="G619" s="14" t="s">
        <v>461</v>
      </c>
      <c r="H619" s="23" t="s">
        <v>460</v>
      </c>
      <c r="I619" s="23"/>
    </row>
    <row r="620" spans="1:9" x14ac:dyDescent="0.2">
      <c r="A620" s="10">
        <v>9</v>
      </c>
      <c r="B620" s="15" t="s">
        <v>358</v>
      </c>
      <c r="C620" s="2">
        <v>1</v>
      </c>
      <c r="D620" s="13">
        <v>30</v>
      </c>
      <c r="E620" s="13">
        <v>50</v>
      </c>
      <c r="F620" s="54">
        <f t="shared" si="14"/>
        <v>20</v>
      </c>
      <c r="G620" s="14" t="s">
        <v>461</v>
      </c>
      <c r="H620" s="23" t="s">
        <v>460</v>
      </c>
      <c r="I620" s="23"/>
    </row>
    <row r="621" spans="1:9" x14ac:dyDescent="0.2">
      <c r="A621" s="10">
        <v>9</v>
      </c>
      <c r="B621" s="15" t="s">
        <v>359</v>
      </c>
      <c r="C621" s="2">
        <v>1</v>
      </c>
      <c r="D621" s="13">
        <v>25</v>
      </c>
      <c r="E621" s="13">
        <v>60</v>
      </c>
      <c r="F621" s="54">
        <f t="shared" ref="F621:F652" si="15">E621-D621</f>
        <v>35</v>
      </c>
      <c r="G621" s="14" t="s">
        <v>461</v>
      </c>
      <c r="H621" s="23" t="s">
        <v>460</v>
      </c>
      <c r="I621" s="23"/>
    </row>
    <row r="622" spans="1:9" x14ac:dyDescent="0.2">
      <c r="A622" s="10">
        <v>9</v>
      </c>
      <c r="B622" s="15" t="s">
        <v>360</v>
      </c>
      <c r="C622" s="2">
        <v>1</v>
      </c>
      <c r="D622" s="13">
        <v>10</v>
      </c>
      <c r="E622" s="13">
        <v>20</v>
      </c>
      <c r="F622" s="54">
        <f t="shared" si="15"/>
        <v>10</v>
      </c>
      <c r="G622" s="14" t="s">
        <v>461</v>
      </c>
      <c r="H622" s="23" t="s">
        <v>460</v>
      </c>
      <c r="I622" s="23"/>
    </row>
    <row r="623" spans="1:9" x14ac:dyDescent="0.2">
      <c r="A623" s="10">
        <v>9</v>
      </c>
      <c r="B623" s="15" t="s">
        <v>361</v>
      </c>
      <c r="C623" s="2">
        <v>1</v>
      </c>
      <c r="D623" s="13">
        <v>8</v>
      </c>
      <c r="E623" s="13">
        <v>20</v>
      </c>
      <c r="F623" s="54">
        <f t="shared" si="15"/>
        <v>12</v>
      </c>
      <c r="G623" s="14" t="s">
        <v>461</v>
      </c>
      <c r="H623" s="23" t="s">
        <v>460</v>
      </c>
      <c r="I623" s="23"/>
    </row>
    <row r="624" spans="1:9" x14ac:dyDescent="0.2">
      <c r="A624" s="10">
        <v>9</v>
      </c>
      <c r="B624" s="15" t="s">
        <v>362</v>
      </c>
      <c r="C624" s="2">
        <v>1</v>
      </c>
      <c r="D624" s="13">
        <v>50</v>
      </c>
      <c r="E624" s="13">
        <v>70</v>
      </c>
      <c r="F624" s="54">
        <f t="shared" si="15"/>
        <v>20</v>
      </c>
      <c r="G624" s="14" t="s">
        <v>461</v>
      </c>
      <c r="H624" s="23" t="s">
        <v>460</v>
      </c>
      <c r="I624" s="23"/>
    </row>
    <row r="625" spans="1:9" x14ac:dyDescent="0.2">
      <c r="A625" s="10">
        <v>9</v>
      </c>
      <c r="B625" s="15" t="s">
        <v>362</v>
      </c>
      <c r="C625" s="2">
        <v>1</v>
      </c>
      <c r="D625" s="13">
        <v>50</v>
      </c>
      <c r="E625" s="13">
        <v>70</v>
      </c>
      <c r="F625" s="54">
        <f t="shared" si="15"/>
        <v>20</v>
      </c>
      <c r="G625" s="14" t="s">
        <v>461</v>
      </c>
      <c r="H625" s="23" t="s">
        <v>460</v>
      </c>
      <c r="I625" s="23"/>
    </row>
    <row r="626" spans="1:9" x14ac:dyDescent="0.2">
      <c r="A626" s="10">
        <v>9</v>
      </c>
      <c r="B626" s="15" t="s">
        <v>362</v>
      </c>
      <c r="C626" s="2">
        <v>1</v>
      </c>
      <c r="D626" s="13">
        <v>50</v>
      </c>
      <c r="E626" s="13">
        <v>70</v>
      </c>
      <c r="F626" s="54">
        <f t="shared" si="15"/>
        <v>20</v>
      </c>
      <c r="G626" s="14" t="s">
        <v>461</v>
      </c>
      <c r="H626" s="23" t="s">
        <v>460</v>
      </c>
      <c r="I626" s="23"/>
    </row>
    <row r="627" spans="1:9" x14ac:dyDescent="0.2">
      <c r="A627" s="10">
        <v>9</v>
      </c>
      <c r="B627" s="15" t="s">
        <v>362</v>
      </c>
      <c r="C627" s="2">
        <v>1</v>
      </c>
      <c r="D627" s="13">
        <v>50</v>
      </c>
      <c r="E627" s="13">
        <v>70</v>
      </c>
      <c r="F627" s="54">
        <f t="shared" si="15"/>
        <v>20</v>
      </c>
      <c r="G627" s="14" t="s">
        <v>461</v>
      </c>
      <c r="H627" s="23" t="s">
        <v>460</v>
      </c>
      <c r="I627" s="23"/>
    </row>
    <row r="628" spans="1:9" x14ac:dyDescent="0.2">
      <c r="A628" s="10">
        <v>9</v>
      </c>
      <c r="B628" s="15" t="s">
        <v>363</v>
      </c>
      <c r="C628" s="2">
        <v>1</v>
      </c>
      <c r="D628" s="13">
        <v>33</v>
      </c>
      <c r="E628" s="13">
        <v>60</v>
      </c>
      <c r="F628" s="54">
        <f t="shared" si="15"/>
        <v>27</v>
      </c>
      <c r="G628" s="14" t="s">
        <v>461</v>
      </c>
      <c r="H628" s="23" t="s">
        <v>460</v>
      </c>
      <c r="I628" s="23"/>
    </row>
    <row r="629" spans="1:9" x14ac:dyDescent="0.2">
      <c r="A629" s="10">
        <v>9</v>
      </c>
      <c r="B629" s="15" t="s">
        <v>364</v>
      </c>
      <c r="C629" s="2">
        <v>1</v>
      </c>
      <c r="D629" s="13">
        <v>16</v>
      </c>
      <c r="E629" s="13">
        <v>35</v>
      </c>
      <c r="F629" s="54">
        <f t="shared" si="15"/>
        <v>19</v>
      </c>
      <c r="G629" s="14" t="s">
        <v>461</v>
      </c>
      <c r="H629" s="23" t="s">
        <v>460</v>
      </c>
      <c r="I629" s="23"/>
    </row>
    <row r="630" spans="1:9" x14ac:dyDescent="0.2">
      <c r="A630" s="10">
        <v>9</v>
      </c>
      <c r="B630" s="15" t="s">
        <v>359</v>
      </c>
      <c r="C630" s="2">
        <v>1</v>
      </c>
      <c r="D630" s="13">
        <v>25</v>
      </c>
      <c r="E630" s="13">
        <v>50</v>
      </c>
      <c r="F630" s="54">
        <f t="shared" si="15"/>
        <v>25</v>
      </c>
      <c r="G630" s="14" t="s">
        <v>461</v>
      </c>
      <c r="H630" s="23" t="s">
        <v>460</v>
      </c>
      <c r="I630" s="23"/>
    </row>
    <row r="631" spans="1:9" x14ac:dyDescent="0.2">
      <c r="A631" s="10">
        <v>9</v>
      </c>
      <c r="B631" s="15" t="s">
        <v>372</v>
      </c>
      <c r="C631" s="2">
        <v>1</v>
      </c>
      <c r="D631" s="13">
        <v>10</v>
      </c>
      <c r="E631" s="13">
        <v>20</v>
      </c>
      <c r="F631" s="13">
        <f t="shared" si="15"/>
        <v>10</v>
      </c>
      <c r="G631" s="14" t="s">
        <v>461</v>
      </c>
      <c r="H631" s="23" t="s">
        <v>460</v>
      </c>
      <c r="I631" s="23"/>
    </row>
    <row r="632" spans="1:9" x14ac:dyDescent="0.2">
      <c r="A632" s="10">
        <v>9</v>
      </c>
      <c r="B632" s="15" t="s">
        <v>167</v>
      </c>
      <c r="C632" s="14">
        <v>4</v>
      </c>
      <c r="D632" s="13">
        <f>4*40</f>
        <v>160</v>
      </c>
      <c r="E632" s="13">
        <f>4*86</f>
        <v>344</v>
      </c>
      <c r="F632" s="54">
        <f t="shared" si="15"/>
        <v>184</v>
      </c>
      <c r="G632" s="14" t="s">
        <v>461</v>
      </c>
      <c r="H632" s="23" t="s">
        <v>262</v>
      </c>
      <c r="I632" s="23"/>
    </row>
    <row r="633" spans="1:9" x14ac:dyDescent="0.2">
      <c r="A633" s="10">
        <v>9</v>
      </c>
      <c r="B633" s="15" t="s">
        <v>315</v>
      </c>
      <c r="C633" s="14">
        <v>1</v>
      </c>
      <c r="D633" s="13">
        <v>10</v>
      </c>
      <c r="E633" s="13">
        <v>35</v>
      </c>
      <c r="F633" s="54">
        <f t="shared" si="15"/>
        <v>25</v>
      </c>
      <c r="G633" s="14" t="s">
        <v>461</v>
      </c>
      <c r="H633" s="23" t="s">
        <v>70</v>
      </c>
      <c r="I633" s="23"/>
    </row>
    <row r="634" spans="1:9" x14ac:dyDescent="0.2">
      <c r="A634" s="10">
        <v>9</v>
      </c>
      <c r="B634" s="15" t="s">
        <v>58</v>
      </c>
      <c r="C634" s="14">
        <v>1</v>
      </c>
      <c r="D634" s="13">
        <v>6</v>
      </c>
      <c r="E634" s="13">
        <v>22.65</v>
      </c>
      <c r="F634" s="54">
        <f t="shared" si="15"/>
        <v>16.649999999999999</v>
      </c>
      <c r="G634" s="14" t="s">
        <v>461</v>
      </c>
      <c r="H634" s="23" t="s">
        <v>70</v>
      </c>
      <c r="I634" s="23"/>
    </row>
    <row r="635" spans="1:9" x14ac:dyDescent="0.2">
      <c r="A635" s="10">
        <v>9</v>
      </c>
      <c r="B635" s="15" t="s">
        <v>365</v>
      </c>
      <c r="C635" s="14">
        <v>2</v>
      </c>
      <c r="D635" s="13">
        <v>18</v>
      </c>
      <c r="E635" s="13">
        <v>36.270000000000003</v>
      </c>
      <c r="F635" s="54">
        <f t="shared" si="15"/>
        <v>18.270000000000003</v>
      </c>
      <c r="G635" s="14" t="s">
        <v>461</v>
      </c>
      <c r="H635" s="23" t="s">
        <v>70</v>
      </c>
      <c r="I635" s="23"/>
    </row>
    <row r="636" spans="1:9" x14ac:dyDescent="0.2">
      <c r="A636" s="10">
        <v>9</v>
      </c>
      <c r="B636" s="15" t="s">
        <v>213</v>
      </c>
      <c r="C636" s="14">
        <v>1</v>
      </c>
      <c r="D636" s="13">
        <v>2.8</v>
      </c>
      <c r="E636" s="13">
        <v>27.64</v>
      </c>
      <c r="F636" s="54">
        <f t="shared" si="15"/>
        <v>24.84</v>
      </c>
      <c r="G636" s="14" t="s">
        <v>461</v>
      </c>
      <c r="H636" s="23" t="s">
        <v>70</v>
      </c>
      <c r="I636" s="23"/>
    </row>
    <row r="637" spans="1:9" x14ac:dyDescent="0.2">
      <c r="A637" s="10">
        <v>9</v>
      </c>
      <c r="B637" s="15" t="s">
        <v>366</v>
      </c>
      <c r="C637" s="14">
        <v>1</v>
      </c>
      <c r="D637" s="13">
        <v>10</v>
      </c>
      <c r="E637" s="13">
        <v>34.950000000000003</v>
      </c>
      <c r="F637" s="54">
        <f t="shared" si="15"/>
        <v>24.950000000000003</v>
      </c>
      <c r="G637" s="14" t="s">
        <v>461</v>
      </c>
      <c r="H637" s="23" t="s">
        <v>70</v>
      </c>
      <c r="I637" s="23"/>
    </row>
    <row r="638" spans="1:9" x14ac:dyDescent="0.2">
      <c r="A638" s="10">
        <v>9</v>
      </c>
      <c r="B638" s="15" t="s">
        <v>214</v>
      </c>
      <c r="C638" s="14">
        <v>1</v>
      </c>
      <c r="D638" s="13">
        <v>85</v>
      </c>
      <c r="E638" s="13">
        <v>144.63999999999999</v>
      </c>
      <c r="F638" s="54">
        <f t="shared" si="15"/>
        <v>59.639999999999986</v>
      </c>
      <c r="G638" s="14" t="s">
        <v>461</v>
      </c>
      <c r="H638" s="23" t="s">
        <v>70</v>
      </c>
      <c r="I638" s="23"/>
    </row>
    <row r="639" spans="1:9" x14ac:dyDescent="0.2">
      <c r="A639" s="10">
        <v>9</v>
      </c>
      <c r="B639" s="15" t="s">
        <v>86</v>
      </c>
      <c r="C639" s="14">
        <v>2</v>
      </c>
      <c r="D639" s="13">
        <v>80</v>
      </c>
      <c r="E639" s="13">
        <v>161.74</v>
      </c>
      <c r="F639" s="54">
        <f t="shared" si="15"/>
        <v>81.740000000000009</v>
      </c>
      <c r="G639" s="14" t="s">
        <v>461</v>
      </c>
      <c r="H639" s="23" t="s">
        <v>70</v>
      </c>
      <c r="I639" s="23"/>
    </row>
    <row r="640" spans="1:9" x14ac:dyDescent="0.2">
      <c r="A640" s="10">
        <v>9</v>
      </c>
      <c r="B640" s="15" t="s">
        <v>167</v>
      </c>
      <c r="C640" s="14">
        <v>5</v>
      </c>
      <c r="D640" s="13">
        <v>200</v>
      </c>
      <c r="E640" s="13">
        <v>404.45</v>
      </c>
      <c r="F640" s="54">
        <f t="shared" si="15"/>
        <v>204.45</v>
      </c>
      <c r="G640" s="14" t="s">
        <v>461</v>
      </c>
      <c r="H640" s="23" t="s">
        <v>70</v>
      </c>
      <c r="I640" s="23"/>
    </row>
    <row r="641" spans="1:9" x14ac:dyDescent="0.2">
      <c r="A641" s="10">
        <v>9</v>
      </c>
      <c r="B641" s="15" t="s">
        <v>293</v>
      </c>
      <c r="C641" s="14">
        <v>2</v>
      </c>
      <c r="D641" s="13">
        <v>54</v>
      </c>
      <c r="E641" s="13">
        <v>79.540000000000006</v>
      </c>
      <c r="F641" s="54">
        <f t="shared" si="15"/>
        <v>25.540000000000006</v>
      </c>
      <c r="G641" s="14" t="s">
        <v>461</v>
      </c>
      <c r="H641" s="23" t="s">
        <v>70</v>
      </c>
      <c r="I641" s="23"/>
    </row>
    <row r="642" spans="1:9" x14ac:dyDescent="0.2">
      <c r="A642" s="10">
        <v>9</v>
      </c>
      <c r="B642" s="15" t="s">
        <v>256</v>
      </c>
      <c r="C642" s="14">
        <v>4</v>
      </c>
      <c r="D642" s="13">
        <v>12</v>
      </c>
      <c r="E642" s="13">
        <v>31.96</v>
      </c>
      <c r="F642" s="54">
        <f t="shared" si="15"/>
        <v>19.96</v>
      </c>
      <c r="G642" s="14" t="s">
        <v>461</v>
      </c>
      <c r="H642" s="23" t="s">
        <v>70</v>
      </c>
      <c r="I642" s="23"/>
    </row>
    <row r="643" spans="1:9" x14ac:dyDescent="0.2">
      <c r="A643" s="10">
        <v>9</v>
      </c>
      <c r="B643" s="15" t="s">
        <v>182</v>
      </c>
      <c r="C643" s="14">
        <v>4</v>
      </c>
      <c r="D643" s="13">
        <v>12</v>
      </c>
      <c r="E643" s="13">
        <v>20</v>
      </c>
      <c r="F643" s="54">
        <f t="shared" si="15"/>
        <v>8</v>
      </c>
      <c r="G643" s="14" t="s">
        <v>461</v>
      </c>
      <c r="H643" s="23" t="s">
        <v>70</v>
      </c>
      <c r="I643" s="23"/>
    </row>
    <row r="644" spans="1:9" x14ac:dyDescent="0.2">
      <c r="A644" s="10">
        <v>9</v>
      </c>
      <c r="B644" s="15" t="s">
        <v>138</v>
      </c>
      <c r="C644" s="14">
        <v>2</v>
      </c>
      <c r="D644" s="13">
        <v>5</v>
      </c>
      <c r="E644" s="13">
        <v>10</v>
      </c>
      <c r="F644" s="54">
        <f t="shared" si="15"/>
        <v>5</v>
      </c>
      <c r="G644" s="14" t="s">
        <v>461</v>
      </c>
      <c r="H644" s="23" t="s">
        <v>70</v>
      </c>
      <c r="I644" s="23"/>
    </row>
    <row r="645" spans="1:9" x14ac:dyDescent="0.2">
      <c r="A645" s="10">
        <v>9</v>
      </c>
      <c r="B645" s="15" t="s">
        <v>61</v>
      </c>
      <c r="C645" s="14">
        <v>1</v>
      </c>
      <c r="D645" s="13">
        <v>10</v>
      </c>
      <c r="E645" s="13">
        <v>19.170000000000002</v>
      </c>
      <c r="F645" s="54">
        <f t="shared" si="15"/>
        <v>9.1700000000000017</v>
      </c>
      <c r="G645" s="14" t="s">
        <v>461</v>
      </c>
      <c r="H645" s="23" t="s">
        <v>70</v>
      </c>
      <c r="I645" s="23"/>
    </row>
    <row r="646" spans="1:9" x14ac:dyDescent="0.2">
      <c r="A646" s="10">
        <v>9</v>
      </c>
      <c r="B646" s="15" t="s">
        <v>217</v>
      </c>
      <c r="C646" s="14">
        <v>4</v>
      </c>
      <c r="D646" s="13">
        <v>22</v>
      </c>
      <c r="E646" s="13">
        <v>71.56</v>
      </c>
      <c r="F646" s="54">
        <f t="shared" si="15"/>
        <v>49.56</v>
      </c>
      <c r="G646" s="14" t="s">
        <v>461</v>
      </c>
      <c r="H646" s="23" t="s">
        <v>70</v>
      </c>
      <c r="I646" s="23"/>
    </row>
    <row r="647" spans="1:9" x14ac:dyDescent="0.2">
      <c r="A647" s="10">
        <v>9</v>
      </c>
      <c r="B647" s="15" t="s">
        <v>87</v>
      </c>
      <c r="C647" s="14">
        <v>1</v>
      </c>
      <c r="D647" s="13">
        <v>10</v>
      </c>
      <c r="E647" s="13">
        <v>30.11</v>
      </c>
      <c r="F647" s="54">
        <f t="shared" si="15"/>
        <v>20.11</v>
      </c>
      <c r="G647" s="14" t="s">
        <v>461</v>
      </c>
      <c r="H647" s="23" t="s">
        <v>70</v>
      </c>
      <c r="I647" s="23"/>
    </row>
    <row r="648" spans="1:9" x14ac:dyDescent="0.2">
      <c r="A648" s="10">
        <v>9</v>
      </c>
      <c r="B648" s="15" t="s">
        <v>367</v>
      </c>
      <c r="C648" s="14">
        <v>1</v>
      </c>
      <c r="D648" s="13">
        <v>8.5</v>
      </c>
      <c r="E648" s="13">
        <v>23.63</v>
      </c>
      <c r="F648" s="54">
        <f t="shared" si="15"/>
        <v>15.129999999999999</v>
      </c>
      <c r="G648" s="14" t="s">
        <v>461</v>
      </c>
      <c r="H648" s="23" t="s">
        <v>70</v>
      </c>
      <c r="I648" s="23"/>
    </row>
    <row r="649" spans="1:9" x14ac:dyDescent="0.2">
      <c r="A649" s="10">
        <v>9</v>
      </c>
      <c r="B649" s="15" t="s">
        <v>368</v>
      </c>
      <c r="C649" s="14">
        <v>1</v>
      </c>
      <c r="D649" s="13">
        <v>3</v>
      </c>
      <c r="E649" s="13">
        <v>10</v>
      </c>
      <c r="F649" s="54">
        <f t="shared" si="15"/>
        <v>7</v>
      </c>
      <c r="G649" s="14" t="s">
        <v>461</v>
      </c>
      <c r="H649" s="23" t="s">
        <v>70</v>
      </c>
      <c r="I649" s="23"/>
    </row>
    <row r="650" spans="1:9" x14ac:dyDescent="0.2">
      <c r="A650" s="10">
        <v>9</v>
      </c>
      <c r="B650" s="15" t="s">
        <v>220</v>
      </c>
      <c r="C650" s="14">
        <v>2</v>
      </c>
      <c r="D650" s="13">
        <v>5</v>
      </c>
      <c r="E650" s="13">
        <v>10</v>
      </c>
      <c r="F650" s="54">
        <f t="shared" si="15"/>
        <v>5</v>
      </c>
      <c r="G650" s="14" t="s">
        <v>461</v>
      </c>
      <c r="H650" s="23" t="s">
        <v>70</v>
      </c>
      <c r="I650" s="23"/>
    </row>
    <row r="651" spans="1:9" x14ac:dyDescent="0.2">
      <c r="A651" s="10">
        <v>9</v>
      </c>
      <c r="B651" s="15" t="s">
        <v>369</v>
      </c>
      <c r="C651" s="14">
        <v>1</v>
      </c>
      <c r="D651" s="13">
        <v>30</v>
      </c>
      <c r="E651" s="13">
        <v>60.25</v>
      </c>
      <c r="F651" s="54">
        <f t="shared" si="15"/>
        <v>30.25</v>
      </c>
      <c r="G651" s="14" t="s">
        <v>461</v>
      </c>
      <c r="H651" s="23" t="s">
        <v>70</v>
      </c>
      <c r="I651" s="23"/>
    </row>
    <row r="652" spans="1:9" x14ac:dyDescent="0.2">
      <c r="A652" s="10">
        <v>9</v>
      </c>
      <c r="B652" s="15" t="s">
        <v>370</v>
      </c>
      <c r="C652" s="14">
        <v>7</v>
      </c>
      <c r="D652" s="13">
        <v>161</v>
      </c>
      <c r="E652" s="13">
        <v>281.74</v>
      </c>
      <c r="F652" s="54">
        <f t="shared" si="15"/>
        <v>120.74000000000001</v>
      </c>
      <c r="G652" s="14" t="s">
        <v>461</v>
      </c>
      <c r="H652" s="23" t="s">
        <v>70</v>
      </c>
      <c r="I652" s="23"/>
    </row>
    <row r="653" spans="1:9" x14ac:dyDescent="0.2">
      <c r="A653" s="10">
        <v>9</v>
      </c>
      <c r="B653" s="15" t="s">
        <v>69</v>
      </c>
      <c r="C653" s="14">
        <v>2</v>
      </c>
      <c r="D653" s="13">
        <v>2</v>
      </c>
      <c r="E653" s="13">
        <v>29.16</v>
      </c>
      <c r="F653" s="54">
        <f t="shared" ref="F653:F654" si="16">E653-D653</f>
        <v>27.16</v>
      </c>
      <c r="G653" s="14" t="s">
        <v>461</v>
      </c>
      <c r="H653" s="23" t="s">
        <v>70</v>
      </c>
      <c r="I653" s="23"/>
    </row>
    <row r="654" spans="1:9" x14ac:dyDescent="0.2">
      <c r="A654" s="10">
        <v>9</v>
      </c>
      <c r="B654" s="15" t="s">
        <v>371</v>
      </c>
      <c r="C654" s="14">
        <v>1</v>
      </c>
      <c r="D654" s="13">
        <v>12</v>
      </c>
      <c r="E654" s="13">
        <v>30.6</v>
      </c>
      <c r="F654" s="54">
        <f t="shared" si="16"/>
        <v>18.600000000000001</v>
      </c>
      <c r="G654" s="14" t="s">
        <v>461</v>
      </c>
      <c r="H654" s="23" t="s">
        <v>70</v>
      </c>
      <c r="I654" s="23"/>
    </row>
    <row r="655" spans="1:9" x14ac:dyDescent="0.2">
      <c r="A655" s="10">
        <v>10</v>
      </c>
      <c r="B655" s="15" t="s">
        <v>373</v>
      </c>
      <c r="C655" s="2">
        <v>1</v>
      </c>
      <c r="D655" s="13">
        <v>1</v>
      </c>
      <c r="E655" s="13">
        <v>5</v>
      </c>
      <c r="F655" s="13">
        <f>E655-D655</f>
        <v>4</v>
      </c>
      <c r="G655" s="14" t="s">
        <v>461</v>
      </c>
      <c r="H655" s="23" t="s">
        <v>460</v>
      </c>
      <c r="I655" s="23"/>
    </row>
    <row r="656" spans="1:9" x14ac:dyDescent="0.2">
      <c r="A656" s="10">
        <v>10</v>
      </c>
      <c r="B656" s="15" t="s">
        <v>394</v>
      </c>
      <c r="C656" s="2">
        <v>1</v>
      </c>
      <c r="D656" s="13">
        <v>202.65</v>
      </c>
      <c r="E656" s="13">
        <v>463.51</v>
      </c>
      <c r="F656" s="13">
        <v>260.86</v>
      </c>
      <c r="G656" s="14" t="s">
        <v>461</v>
      </c>
      <c r="H656" s="23" t="s">
        <v>460</v>
      </c>
      <c r="I656" s="23"/>
    </row>
    <row r="657" spans="1:9" x14ac:dyDescent="0.2">
      <c r="A657" s="10">
        <v>10</v>
      </c>
      <c r="B657" s="15" t="s">
        <v>357</v>
      </c>
      <c r="C657" s="2">
        <v>1</v>
      </c>
      <c r="D657" s="13">
        <v>3.5</v>
      </c>
      <c r="E657" s="13">
        <v>10</v>
      </c>
      <c r="F657" s="13">
        <f t="shared" ref="F657:F658" si="17">E657-D657</f>
        <v>6.5</v>
      </c>
      <c r="G657" s="14" t="s">
        <v>461</v>
      </c>
      <c r="H657" s="23" t="s">
        <v>460</v>
      </c>
      <c r="I657" s="23"/>
    </row>
    <row r="658" spans="1:9" x14ac:dyDescent="0.2">
      <c r="A658" s="10">
        <v>10</v>
      </c>
      <c r="B658" s="15" t="s">
        <v>374</v>
      </c>
      <c r="C658" s="2">
        <v>1</v>
      </c>
      <c r="D658" s="13">
        <v>3</v>
      </c>
      <c r="E658" s="13">
        <v>10</v>
      </c>
      <c r="F658" s="13">
        <f t="shared" si="17"/>
        <v>7</v>
      </c>
      <c r="G658" s="14" t="s">
        <v>461</v>
      </c>
      <c r="H658" s="23" t="s">
        <v>460</v>
      </c>
      <c r="I658" s="23"/>
    </row>
    <row r="659" spans="1:9" x14ac:dyDescent="0.2">
      <c r="A659" s="10">
        <v>10</v>
      </c>
      <c r="B659" s="15" t="s">
        <v>375</v>
      </c>
      <c r="C659" s="2">
        <v>1</v>
      </c>
      <c r="D659" s="13">
        <v>40</v>
      </c>
      <c r="E659" s="13">
        <v>60</v>
      </c>
      <c r="F659" s="13">
        <f t="shared" ref="F659:F670" si="18">E659-D659</f>
        <v>20</v>
      </c>
      <c r="G659" s="14" t="s">
        <v>461</v>
      </c>
      <c r="H659" s="23" t="s">
        <v>460</v>
      </c>
      <c r="I659" s="23"/>
    </row>
    <row r="660" spans="1:9" x14ac:dyDescent="0.2">
      <c r="A660" s="10">
        <v>10</v>
      </c>
      <c r="B660" s="15" t="s">
        <v>376</v>
      </c>
      <c r="C660" s="2">
        <v>1</v>
      </c>
      <c r="D660" s="13">
        <v>6.5</v>
      </c>
      <c r="E660" s="13">
        <v>15</v>
      </c>
      <c r="F660" s="13">
        <f t="shared" si="18"/>
        <v>8.5</v>
      </c>
      <c r="G660" s="14" t="s">
        <v>461</v>
      </c>
      <c r="H660" s="23" t="s">
        <v>460</v>
      </c>
      <c r="I660" s="23"/>
    </row>
    <row r="661" spans="1:9" x14ac:dyDescent="0.2">
      <c r="A661" s="10">
        <v>10</v>
      </c>
      <c r="B661" s="15" t="s">
        <v>376</v>
      </c>
      <c r="C661" s="2">
        <v>1</v>
      </c>
      <c r="D661" s="13">
        <v>7.5</v>
      </c>
      <c r="E661" s="13">
        <v>15</v>
      </c>
      <c r="F661" s="13">
        <f t="shared" si="18"/>
        <v>7.5</v>
      </c>
      <c r="G661" s="14" t="s">
        <v>461</v>
      </c>
      <c r="H661" s="23" t="s">
        <v>460</v>
      </c>
      <c r="I661" s="23"/>
    </row>
    <row r="662" spans="1:9" x14ac:dyDescent="0.2">
      <c r="A662" s="10">
        <v>10</v>
      </c>
      <c r="B662" s="15" t="s">
        <v>377</v>
      </c>
      <c r="C662" s="2">
        <v>1</v>
      </c>
      <c r="D662" s="13">
        <v>0</v>
      </c>
      <c r="E662" s="13">
        <v>50</v>
      </c>
      <c r="F662" s="13">
        <f t="shared" si="18"/>
        <v>50</v>
      </c>
      <c r="G662" s="14" t="s">
        <v>461</v>
      </c>
      <c r="H662" s="23" t="s">
        <v>460</v>
      </c>
      <c r="I662" s="23"/>
    </row>
    <row r="663" spans="1:9" x14ac:dyDescent="0.2">
      <c r="A663" s="10">
        <v>10</v>
      </c>
      <c r="B663" s="15" t="s">
        <v>378</v>
      </c>
      <c r="C663" s="2">
        <v>1</v>
      </c>
      <c r="D663" s="13">
        <v>16</v>
      </c>
      <c r="E663" s="13">
        <v>40</v>
      </c>
      <c r="F663" s="13">
        <f t="shared" si="18"/>
        <v>24</v>
      </c>
      <c r="G663" s="14" t="s">
        <v>461</v>
      </c>
      <c r="H663" s="23" t="s">
        <v>460</v>
      </c>
      <c r="I663" s="23"/>
    </row>
    <row r="664" spans="1:9" x14ac:dyDescent="0.2">
      <c r="A664" s="10">
        <v>10</v>
      </c>
      <c r="B664" s="15" t="s">
        <v>379</v>
      </c>
      <c r="C664" s="2">
        <v>1</v>
      </c>
      <c r="D664" s="13">
        <v>10</v>
      </c>
      <c r="E664" s="13">
        <v>20</v>
      </c>
      <c r="F664" s="13">
        <f t="shared" si="18"/>
        <v>10</v>
      </c>
      <c r="G664" s="14" t="s">
        <v>461</v>
      </c>
      <c r="H664" s="23" t="s">
        <v>460</v>
      </c>
      <c r="I664" s="23"/>
    </row>
    <row r="665" spans="1:9" x14ac:dyDescent="0.2">
      <c r="A665" s="10">
        <v>10</v>
      </c>
      <c r="B665" s="15" t="s">
        <v>380</v>
      </c>
      <c r="C665" s="2">
        <v>1</v>
      </c>
      <c r="D665" s="13">
        <v>145</v>
      </c>
      <c r="E665" s="13">
        <v>185</v>
      </c>
      <c r="F665" s="13">
        <f t="shared" si="18"/>
        <v>40</v>
      </c>
      <c r="G665" s="14" t="s">
        <v>461</v>
      </c>
      <c r="H665" s="23" t="s">
        <v>460</v>
      </c>
      <c r="I665" s="23"/>
    </row>
    <row r="666" spans="1:9" x14ac:dyDescent="0.2">
      <c r="A666" s="10">
        <v>10</v>
      </c>
      <c r="B666" s="15" t="s">
        <v>374</v>
      </c>
      <c r="C666" s="2">
        <v>1</v>
      </c>
      <c r="D666" s="13">
        <v>3</v>
      </c>
      <c r="E666" s="13">
        <v>10</v>
      </c>
      <c r="F666" s="13">
        <f t="shared" si="18"/>
        <v>7</v>
      </c>
      <c r="G666" s="14" t="s">
        <v>461</v>
      </c>
      <c r="H666" s="23" t="s">
        <v>460</v>
      </c>
      <c r="I666" s="23"/>
    </row>
    <row r="667" spans="1:9" x14ac:dyDescent="0.2">
      <c r="A667" s="10">
        <v>10</v>
      </c>
      <c r="B667" s="15" t="s">
        <v>374</v>
      </c>
      <c r="C667" s="2">
        <v>1</v>
      </c>
      <c r="D667" s="13">
        <v>3</v>
      </c>
      <c r="E667" s="13">
        <v>10</v>
      </c>
      <c r="F667" s="13">
        <f t="shared" si="18"/>
        <v>7</v>
      </c>
      <c r="G667" s="14" t="s">
        <v>461</v>
      </c>
      <c r="H667" s="23" t="s">
        <v>460</v>
      </c>
      <c r="I667" s="23"/>
    </row>
    <row r="668" spans="1:9" x14ac:dyDescent="0.2">
      <c r="A668" s="10">
        <v>10</v>
      </c>
      <c r="B668" s="15" t="s">
        <v>206</v>
      </c>
      <c r="C668" s="2">
        <v>1</v>
      </c>
      <c r="D668" s="13">
        <v>6.5</v>
      </c>
      <c r="E668" s="13">
        <v>15</v>
      </c>
      <c r="F668" s="13">
        <f t="shared" si="18"/>
        <v>8.5</v>
      </c>
      <c r="G668" s="14" t="s">
        <v>461</v>
      </c>
      <c r="H668" s="23" t="s">
        <v>460</v>
      </c>
      <c r="I668" s="23"/>
    </row>
    <row r="669" spans="1:9" x14ac:dyDescent="0.2">
      <c r="A669" s="10">
        <v>10</v>
      </c>
      <c r="B669" s="15" t="s">
        <v>381</v>
      </c>
      <c r="C669" s="2">
        <v>1</v>
      </c>
      <c r="D669" s="13">
        <v>25</v>
      </c>
      <c r="E669" s="13">
        <v>50</v>
      </c>
      <c r="F669" s="13">
        <f t="shared" si="18"/>
        <v>25</v>
      </c>
      <c r="G669" s="14" t="s">
        <v>461</v>
      </c>
      <c r="H669" s="23" t="s">
        <v>460</v>
      </c>
      <c r="I669" s="23"/>
    </row>
    <row r="670" spans="1:9" x14ac:dyDescent="0.2">
      <c r="A670" s="10">
        <v>10</v>
      </c>
      <c r="B670" s="15" t="s">
        <v>382</v>
      </c>
      <c r="C670" s="2">
        <v>1</v>
      </c>
      <c r="D670" s="13">
        <v>23</v>
      </c>
      <c r="E670" s="13">
        <v>50</v>
      </c>
      <c r="F670" s="13">
        <f t="shared" si="18"/>
        <v>27</v>
      </c>
      <c r="G670" s="14" t="s">
        <v>461</v>
      </c>
      <c r="H670" s="23" t="s">
        <v>460</v>
      </c>
      <c r="I670" s="23"/>
    </row>
    <row r="671" spans="1:9" x14ac:dyDescent="0.2">
      <c r="A671" s="10">
        <v>10</v>
      </c>
      <c r="B671" s="15" t="s">
        <v>382</v>
      </c>
      <c r="C671" s="2">
        <v>1</v>
      </c>
      <c r="D671" s="13">
        <v>23</v>
      </c>
      <c r="E671" s="13">
        <v>50</v>
      </c>
      <c r="F671" s="13">
        <f t="shared" ref="F671:F683" si="19">E671-D671</f>
        <v>27</v>
      </c>
      <c r="G671" s="14" t="s">
        <v>461</v>
      </c>
      <c r="H671" s="23" t="s">
        <v>460</v>
      </c>
      <c r="I671" s="23"/>
    </row>
    <row r="672" spans="1:9" x14ac:dyDescent="0.2">
      <c r="A672" s="10">
        <v>10</v>
      </c>
      <c r="B672" s="15" t="s">
        <v>383</v>
      </c>
      <c r="C672" s="2">
        <v>1</v>
      </c>
      <c r="D672" s="13">
        <v>80</v>
      </c>
      <c r="E672" s="13">
        <v>150</v>
      </c>
      <c r="F672" s="13">
        <f t="shared" si="19"/>
        <v>70</v>
      </c>
      <c r="G672" s="14" t="s">
        <v>461</v>
      </c>
      <c r="H672" s="23" t="s">
        <v>460</v>
      </c>
      <c r="I672" s="23"/>
    </row>
    <row r="673" spans="1:9" x14ac:dyDescent="0.2">
      <c r="A673" s="10">
        <v>10</v>
      </c>
      <c r="B673" s="15" t="s">
        <v>384</v>
      </c>
      <c r="C673" s="2">
        <v>1</v>
      </c>
      <c r="D673" s="13">
        <v>35</v>
      </c>
      <c r="E673" s="13">
        <v>80</v>
      </c>
      <c r="F673" s="13">
        <f t="shared" si="19"/>
        <v>45</v>
      </c>
      <c r="G673" s="14" t="s">
        <v>461</v>
      </c>
      <c r="H673" s="23" t="s">
        <v>460</v>
      </c>
      <c r="I673" s="23"/>
    </row>
    <row r="674" spans="1:9" x14ac:dyDescent="0.2">
      <c r="A674" s="10">
        <v>10</v>
      </c>
      <c r="B674" s="15" t="s">
        <v>385</v>
      </c>
      <c r="C674" s="2">
        <v>1</v>
      </c>
      <c r="D674" s="13">
        <v>0</v>
      </c>
      <c r="E674" s="13">
        <v>550</v>
      </c>
      <c r="F674" s="13">
        <f t="shared" si="19"/>
        <v>550</v>
      </c>
      <c r="G674" s="14" t="s">
        <v>461</v>
      </c>
      <c r="H674" s="23" t="s">
        <v>460</v>
      </c>
      <c r="I674" s="23"/>
    </row>
    <row r="675" spans="1:9" x14ac:dyDescent="0.2">
      <c r="A675" s="10">
        <v>10</v>
      </c>
      <c r="B675" s="15" t="s">
        <v>383</v>
      </c>
      <c r="C675" s="2">
        <v>1</v>
      </c>
      <c r="D675" s="13">
        <v>80</v>
      </c>
      <c r="E675" s="13">
        <v>130</v>
      </c>
      <c r="F675" s="13">
        <f t="shared" si="19"/>
        <v>50</v>
      </c>
      <c r="G675" s="14" t="s">
        <v>461</v>
      </c>
      <c r="H675" s="23" t="s">
        <v>460</v>
      </c>
      <c r="I675" s="23"/>
    </row>
    <row r="676" spans="1:9" x14ac:dyDescent="0.2">
      <c r="A676" s="10">
        <v>10</v>
      </c>
      <c r="B676" s="15" t="s">
        <v>386</v>
      </c>
      <c r="C676" s="2">
        <v>1</v>
      </c>
      <c r="D676" s="13">
        <v>0</v>
      </c>
      <c r="E676" s="13">
        <v>350</v>
      </c>
      <c r="F676" s="13">
        <f t="shared" si="19"/>
        <v>350</v>
      </c>
      <c r="G676" s="14" t="s">
        <v>461</v>
      </c>
      <c r="H676" s="23" t="s">
        <v>460</v>
      </c>
      <c r="I676" s="23"/>
    </row>
    <row r="677" spans="1:9" x14ac:dyDescent="0.2">
      <c r="A677" s="10">
        <v>10</v>
      </c>
      <c r="B677" s="15" t="s">
        <v>308</v>
      </c>
      <c r="C677" s="2">
        <v>1</v>
      </c>
      <c r="D677" s="13">
        <v>11</v>
      </c>
      <c r="E677" s="13">
        <v>25</v>
      </c>
      <c r="F677" s="13">
        <f t="shared" si="19"/>
        <v>14</v>
      </c>
      <c r="G677" s="14" t="s">
        <v>461</v>
      </c>
      <c r="H677" s="23" t="s">
        <v>460</v>
      </c>
      <c r="I677" s="23"/>
    </row>
    <row r="678" spans="1:9" x14ac:dyDescent="0.2">
      <c r="A678" s="10">
        <v>10</v>
      </c>
      <c r="B678" s="15" t="s">
        <v>387</v>
      </c>
      <c r="C678" s="2">
        <v>1</v>
      </c>
      <c r="D678" s="13">
        <v>3</v>
      </c>
      <c r="E678" s="13">
        <v>6</v>
      </c>
      <c r="F678" s="13">
        <f t="shared" si="19"/>
        <v>3</v>
      </c>
      <c r="G678" s="14" t="s">
        <v>461</v>
      </c>
      <c r="H678" s="23" t="s">
        <v>460</v>
      </c>
      <c r="I678" s="23"/>
    </row>
    <row r="679" spans="1:9" x14ac:dyDescent="0.2">
      <c r="A679" s="10">
        <v>10</v>
      </c>
      <c r="B679" s="15" t="s">
        <v>388</v>
      </c>
      <c r="C679" s="2">
        <v>1</v>
      </c>
      <c r="D679" s="13">
        <v>45</v>
      </c>
      <c r="E679" s="13">
        <v>80</v>
      </c>
      <c r="F679" s="13">
        <f t="shared" si="19"/>
        <v>35</v>
      </c>
      <c r="G679" s="14" t="s">
        <v>461</v>
      </c>
      <c r="H679" s="23" t="s">
        <v>460</v>
      </c>
      <c r="I679" s="23"/>
    </row>
    <row r="680" spans="1:9" x14ac:dyDescent="0.2">
      <c r="A680" s="10">
        <v>10</v>
      </c>
      <c r="B680" s="15" t="s">
        <v>389</v>
      </c>
      <c r="C680" s="2">
        <v>1</v>
      </c>
      <c r="D680" s="13">
        <v>7.5</v>
      </c>
      <c r="E680" s="13">
        <v>15</v>
      </c>
      <c r="F680" s="13">
        <f t="shared" si="19"/>
        <v>7.5</v>
      </c>
      <c r="G680" s="14" t="s">
        <v>461</v>
      </c>
      <c r="H680" s="23" t="s">
        <v>460</v>
      </c>
      <c r="I680" s="23"/>
    </row>
    <row r="681" spans="1:9" x14ac:dyDescent="0.2">
      <c r="A681" s="10">
        <v>10</v>
      </c>
      <c r="B681" s="15" t="s">
        <v>163</v>
      </c>
      <c r="C681" s="2">
        <v>1</v>
      </c>
      <c r="D681" s="13">
        <v>3.5</v>
      </c>
      <c r="E681" s="13">
        <v>10</v>
      </c>
      <c r="F681" s="13">
        <f t="shared" si="19"/>
        <v>6.5</v>
      </c>
      <c r="G681" s="14" t="s">
        <v>461</v>
      </c>
      <c r="H681" s="23" t="s">
        <v>460</v>
      </c>
      <c r="I681" s="23"/>
    </row>
    <row r="682" spans="1:9" x14ac:dyDescent="0.2">
      <c r="A682" s="10">
        <v>10</v>
      </c>
      <c r="B682" s="15" t="s">
        <v>390</v>
      </c>
      <c r="C682" s="2">
        <v>1</v>
      </c>
      <c r="D682" s="13">
        <v>35</v>
      </c>
      <c r="E682" s="13">
        <v>65</v>
      </c>
      <c r="F682" s="13">
        <f t="shared" si="19"/>
        <v>30</v>
      </c>
      <c r="G682" s="14" t="s">
        <v>461</v>
      </c>
      <c r="H682" s="23" t="s">
        <v>460</v>
      </c>
      <c r="I682" s="23"/>
    </row>
    <row r="683" spans="1:9" x14ac:dyDescent="0.2">
      <c r="A683" s="10">
        <v>10</v>
      </c>
      <c r="B683" s="15" t="s">
        <v>391</v>
      </c>
      <c r="C683" s="2">
        <v>1</v>
      </c>
      <c r="D683" s="13">
        <v>20</v>
      </c>
      <c r="E683" s="13">
        <v>45</v>
      </c>
      <c r="F683" s="13">
        <f t="shared" si="19"/>
        <v>25</v>
      </c>
      <c r="G683" s="14" t="s">
        <v>461</v>
      </c>
      <c r="H683" s="23" t="s">
        <v>460</v>
      </c>
      <c r="I683" s="23"/>
    </row>
    <row r="684" spans="1:9" x14ac:dyDescent="0.2">
      <c r="A684" s="10">
        <v>10</v>
      </c>
      <c r="B684" s="15" t="s">
        <v>8</v>
      </c>
      <c r="C684" s="2">
        <v>1</v>
      </c>
      <c r="D684" s="13">
        <v>40</v>
      </c>
      <c r="E684" s="13">
        <v>70</v>
      </c>
      <c r="F684" s="13">
        <f t="shared" ref="F684:F686" si="20">E684-D684</f>
        <v>30</v>
      </c>
      <c r="G684" s="14" t="s">
        <v>461</v>
      </c>
      <c r="H684" s="23" t="s">
        <v>460</v>
      </c>
      <c r="I684" s="23"/>
    </row>
    <row r="685" spans="1:9" x14ac:dyDescent="0.2">
      <c r="A685" s="10">
        <v>10</v>
      </c>
      <c r="B685" s="15" t="s">
        <v>374</v>
      </c>
      <c r="C685" s="2">
        <v>1</v>
      </c>
      <c r="D685" s="13">
        <v>3.5</v>
      </c>
      <c r="E685" s="13">
        <v>10</v>
      </c>
      <c r="F685" s="13">
        <f t="shared" si="20"/>
        <v>6.5</v>
      </c>
      <c r="G685" s="14" t="s">
        <v>461</v>
      </c>
      <c r="H685" s="23" t="s">
        <v>460</v>
      </c>
      <c r="I685" s="23"/>
    </row>
    <row r="686" spans="1:9" x14ac:dyDescent="0.2">
      <c r="A686" s="10">
        <v>10</v>
      </c>
      <c r="B686" s="15" t="s">
        <v>392</v>
      </c>
      <c r="C686" s="2">
        <v>1</v>
      </c>
      <c r="D686" s="13">
        <v>16</v>
      </c>
      <c r="E686" s="13">
        <v>40</v>
      </c>
      <c r="F686" s="13">
        <f t="shared" si="20"/>
        <v>24</v>
      </c>
      <c r="G686" s="14" t="s">
        <v>461</v>
      </c>
      <c r="H686" s="23" t="s">
        <v>460</v>
      </c>
      <c r="I686" s="23"/>
    </row>
    <row r="687" spans="1:9" x14ac:dyDescent="0.2">
      <c r="A687" s="10">
        <v>10</v>
      </c>
      <c r="B687" s="15" t="s">
        <v>393</v>
      </c>
      <c r="C687" s="2">
        <v>1</v>
      </c>
      <c r="D687" s="13">
        <v>16</v>
      </c>
      <c r="E687" s="13">
        <v>40</v>
      </c>
      <c r="F687" s="13">
        <f t="shared" ref="F687:F688" si="21">E687-D687</f>
        <v>24</v>
      </c>
      <c r="G687" s="14" t="s">
        <v>461</v>
      </c>
      <c r="H687" s="23" t="s">
        <v>460</v>
      </c>
      <c r="I687" s="23"/>
    </row>
    <row r="688" spans="1:9" x14ac:dyDescent="0.2">
      <c r="A688" s="10">
        <v>10</v>
      </c>
      <c r="B688" s="15" t="s">
        <v>395</v>
      </c>
      <c r="C688" s="2">
        <v>1</v>
      </c>
      <c r="D688" s="13">
        <v>30</v>
      </c>
      <c r="E688" s="13">
        <v>50</v>
      </c>
      <c r="F688" s="13">
        <f t="shared" si="21"/>
        <v>20</v>
      </c>
      <c r="G688" s="14" t="s">
        <v>461</v>
      </c>
      <c r="H688" s="23" t="s">
        <v>460</v>
      </c>
      <c r="I688" s="23"/>
    </row>
    <row r="689" spans="1:11" x14ac:dyDescent="0.2">
      <c r="A689" s="10">
        <v>10</v>
      </c>
      <c r="B689" s="15" t="s">
        <v>395</v>
      </c>
      <c r="C689" s="2">
        <v>1</v>
      </c>
      <c r="D689" s="13">
        <v>30</v>
      </c>
      <c r="E689" s="13">
        <v>50</v>
      </c>
      <c r="F689" s="13">
        <f t="shared" ref="F689:F690" si="22">E689-D689</f>
        <v>20</v>
      </c>
      <c r="G689" s="14" t="s">
        <v>461</v>
      </c>
      <c r="H689" s="23" t="s">
        <v>460</v>
      </c>
      <c r="I689" s="23"/>
    </row>
    <row r="690" spans="1:11" x14ac:dyDescent="0.2">
      <c r="A690" s="10">
        <v>10</v>
      </c>
      <c r="B690" s="15" t="s">
        <v>396</v>
      </c>
      <c r="C690" s="2">
        <v>1</v>
      </c>
      <c r="D690" s="13">
        <v>50</v>
      </c>
      <c r="E690" s="13">
        <v>100</v>
      </c>
      <c r="F690" s="13">
        <f t="shared" si="22"/>
        <v>50</v>
      </c>
      <c r="G690" s="14" t="s">
        <v>461</v>
      </c>
      <c r="H690" s="23" t="s">
        <v>460</v>
      </c>
      <c r="I690" s="23"/>
    </row>
    <row r="691" spans="1:11" x14ac:dyDescent="0.2">
      <c r="A691" s="10">
        <v>10</v>
      </c>
      <c r="B691" s="15" t="s">
        <v>396</v>
      </c>
      <c r="C691" s="2">
        <v>1</v>
      </c>
      <c r="D691" s="13">
        <v>50</v>
      </c>
      <c r="E691" s="13">
        <v>82</v>
      </c>
      <c r="F691" s="13">
        <f t="shared" ref="F691" si="23">E691-D691</f>
        <v>32</v>
      </c>
      <c r="G691" s="14" t="s">
        <v>461</v>
      </c>
      <c r="H691" s="23" t="s">
        <v>460</v>
      </c>
      <c r="I691" s="23"/>
    </row>
    <row r="692" spans="1:11" x14ac:dyDescent="0.2">
      <c r="A692" s="10">
        <v>10</v>
      </c>
      <c r="B692" s="15" t="s">
        <v>397</v>
      </c>
      <c r="C692" s="14">
        <v>5</v>
      </c>
      <c r="D692" s="13">
        <v>85</v>
      </c>
      <c r="E692" s="13">
        <v>224</v>
      </c>
      <c r="F692" s="13">
        <v>111.2</v>
      </c>
      <c r="G692" s="14" t="s">
        <v>461</v>
      </c>
      <c r="H692" s="23" t="s">
        <v>6</v>
      </c>
      <c r="I692" s="23"/>
      <c r="K692" s="56"/>
    </row>
    <row r="693" spans="1:11" x14ac:dyDescent="0.2">
      <c r="A693" s="10">
        <v>10</v>
      </c>
      <c r="B693" s="15" t="s">
        <v>212</v>
      </c>
      <c r="C693" s="14">
        <v>1</v>
      </c>
      <c r="D693" s="13">
        <v>13</v>
      </c>
      <c r="E693" s="13">
        <v>36.82</v>
      </c>
      <c r="F693" s="13">
        <v>19.059999999999999</v>
      </c>
      <c r="G693" s="14" t="s">
        <v>461</v>
      </c>
      <c r="H693" s="23" t="s">
        <v>6</v>
      </c>
      <c r="I693" s="23"/>
      <c r="K693" s="56"/>
    </row>
    <row r="694" spans="1:11" x14ac:dyDescent="0.2">
      <c r="A694" s="10">
        <v>10</v>
      </c>
      <c r="B694" s="15" t="s">
        <v>144</v>
      </c>
      <c r="C694" s="14">
        <v>8</v>
      </c>
      <c r="D694" s="13">
        <v>320</v>
      </c>
      <c r="E694" s="13">
        <v>750</v>
      </c>
      <c r="F694" s="13">
        <v>344</v>
      </c>
      <c r="G694" s="14" t="s">
        <v>461</v>
      </c>
      <c r="H694" s="23" t="s">
        <v>6</v>
      </c>
      <c r="I694" s="23"/>
      <c r="K694" s="56"/>
    </row>
    <row r="695" spans="1:11" x14ac:dyDescent="0.2">
      <c r="A695" s="10">
        <v>10</v>
      </c>
      <c r="B695" s="15" t="s">
        <v>398</v>
      </c>
      <c r="C695" s="14">
        <v>1</v>
      </c>
      <c r="D695" s="13">
        <v>5</v>
      </c>
      <c r="E695" s="13">
        <v>34.71</v>
      </c>
      <c r="F695" s="13">
        <v>23.77</v>
      </c>
      <c r="G695" s="14" t="s">
        <v>461</v>
      </c>
      <c r="H695" s="23" t="s">
        <v>6</v>
      </c>
      <c r="I695" s="23"/>
      <c r="K695" s="56"/>
    </row>
    <row r="696" spans="1:11" x14ac:dyDescent="0.2">
      <c r="A696" s="10">
        <v>10</v>
      </c>
      <c r="B696" s="15" t="s">
        <v>326</v>
      </c>
      <c r="C696" s="14">
        <v>3</v>
      </c>
      <c r="D696" s="13">
        <v>3</v>
      </c>
      <c r="E696" s="13">
        <v>46.77</v>
      </c>
      <c r="F696" s="13">
        <v>35.020000000000003</v>
      </c>
      <c r="G696" s="14" t="s">
        <v>461</v>
      </c>
      <c r="H696" s="23" t="s">
        <v>6</v>
      </c>
      <c r="I696" s="23"/>
      <c r="K696" s="56"/>
    </row>
    <row r="697" spans="1:11" x14ac:dyDescent="0.2">
      <c r="A697" s="10">
        <v>10</v>
      </c>
      <c r="B697" s="15" t="s">
        <v>64</v>
      </c>
      <c r="C697" s="14">
        <v>3</v>
      </c>
      <c r="D697" s="13">
        <v>16.5</v>
      </c>
      <c r="E697" s="13">
        <v>47.76</v>
      </c>
      <c r="F697" s="13">
        <v>25.007999999999999</v>
      </c>
      <c r="G697" s="14" t="s">
        <v>461</v>
      </c>
      <c r="H697" s="23" t="s">
        <v>6</v>
      </c>
      <c r="I697" s="23"/>
    </row>
    <row r="698" spans="1:11" x14ac:dyDescent="0.2">
      <c r="A698" s="10">
        <v>10</v>
      </c>
      <c r="B698" s="15" t="s">
        <v>399</v>
      </c>
      <c r="C698" s="14">
        <v>4</v>
      </c>
      <c r="D698" s="13">
        <v>30</v>
      </c>
      <c r="E698" s="13">
        <v>72.45</v>
      </c>
      <c r="F698" s="13">
        <v>33.96</v>
      </c>
      <c r="G698" s="14" t="s">
        <v>461</v>
      </c>
      <c r="H698" s="23" t="s">
        <v>6</v>
      </c>
      <c r="I698" s="23"/>
    </row>
    <row r="699" spans="1:11" x14ac:dyDescent="0.2">
      <c r="A699" s="10">
        <v>10</v>
      </c>
      <c r="B699" s="15" t="s">
        <v>167</v>
      </c>
      <c r="C699" s="14">
        <v>6</v>
      </c>
      <c r="D699" s="13">
        <v>240</v>
      </c>
      <c r="E699" s="13">
        <v>446.97</v>
      </c>
      <c r="F699" s="13">
        <v>165.57600000000002</v>
      </c>
      <c r="G699" s="14" t="s">
        <v>461</v>
      </c>
      <c r="H699" s="23" t="s">
        <v>6</v>
      </c>
      <c r="I699" s="23"/>
    </row>
    <row r="700" spans="1:11" x14ac:dyDescent="0.2">
      <c r="A700" s="10">
        <v>10</v>
      </c>
      <c r="B700" s="15" t="s">
        <v>215</v>
      </c>
      <c r="C700" s="14">
        <v>2</v>
      </c>
      <c r="D700" s="13">
        <v>21</v>
      </c>
      <c r="E700" s="13">
        <v>41.47</v>
      </c>
      <c r="F700" s="13">
        <v>16.375999999999998</v>
      </c>
      <c r="G700" s="14" t="s">
        <v>461</v>
      </c>
      <c r="H700" s="23" t="s">
        <v>6</v>
      </c>
      <c r="I700" s="23"/>
    </row>
    <row r="701" spans="1:11" x14ac:dyDescent="0.2">
      <c r="A701" s="10">
        <v>10</v>
      </c>
      <c r="B701" s="15" t="s">
        <v>400</v>
      </c>
      <c r="C701" s="14">
        <v>1</v>
      </c>
      <c r="D701" s="13">
        <v>40</v>
      </c>
      <c r="E701" s="13">
        <v>147.74</v>
      </c>
      <c r="F701" s="13">
        <v>86.192000000000007</v>
      </c>
      <c r="G701" s="14" t="s">
        <v>461</v>
      </c>
      <c r="H701" s="23" t="s">
        <v>6</v>
      </c>
      <c r="I701" s="23"/>
    </row>
    <row r="702" spans="1:11" x14ac:dyDescent="0.2">
      <c r="A702" s="10">
        <v>10</v>
      </c>
      <c r="B702" s="15" t="s">
        <v>66</v>
      </c>
      <c r="C702" s="14">
        <v>1</v>
      </c>
      <c r="D702" s="13">
        <v>7.5</v>
      </c>
      <c r="E702" s="13">
        <v>27.73</v>
      </c>
      <c r="F702" s="13">
        <v>16.184000000000001</v>
      </c>
      <c r="G702" s="14" t="s">
        <v>461</v>
      </c>
      <c r="H702" s="23" t="s">
        <v>6</v>
      </c>
      <c r="I702" s="23"/>
    </row>
    <row r="703" spans="1:11" x14ac:dyDescent="0.2">
      <c r="A703" s="10">
        <v>10</v>
      </c>
      <c r="B703" s="15" t="s">
        <v>370</v>
      </c>
      <c r="C703" s="14">
        <v>6</v>
      </c>
      <c r="D703" s="13">
        <v>222</v>
      </c>
      <c r="E703" s="13">
        <v>368.36</v>
      </c>
      <c r="F703" s="13">
        <v>117.08800000000001</v>
      </c>
      <c r="G703" s="14" t="s">
        <v>461</v>
      </c>
      <c r="H703" s="23" t="s">
        <v>6</v>
      </c>
      <c r="I703" s="23"/>
    </row>
    <row r="704" spans="1:11" x14ac:dyDescent="0.2">
      <c r="A704" s="10">
        <v>10</v>
      </c>
      <c r="B704" s="15" t="s">
        <v>325</v>
      </c>
      <c r="C704" s="14">
        <v>2</v>
      </c>
      <c r="D704" s="13">
        <v>20</v>
      </c>
      <c r="E704" s="13">
        <v>57.49</v>
      </c>
      <c r="F704" s="13">
        <v>29.992000000000001</v>
      </c>
      <c r="G704" s="14" t="s">
        <v>461</v>
      </c>
      <c r="H704" s="23" t="s">
        <v>6</v>
      </c>
      <c r="I704" s="23"/>
    </row>
    <row r="705" spans="1:9" x14ac:dyDescent="0.2">
      <c r="A705" s="10">
        <v>10</v>
      </c>
      <c r="B705" s="15" t="s">
        <v>69</v>
      </c>
      <c r="C705" s="14">
        <v>1</v>
      </c>
      <c r="D705" s="13">
        <v>1</v>
      </c>
      <c r="E705" s="13">
        <v>12.7</v>
      </c>
      <c r="F705" s="13">
        <v>9.36</v>
      </c>
      <c r="G705" s="14" t="s">
        <v>461</v>
      </c>
      <c r="H705" s="23" t="s">
        <v>6</v>
      </c>
      <c r="I705" s="23"/>
    </row>
    <row r="706" spans="1:9" x14ac:dyDescent="0.2">
      <c r="A706" s="10">
        <v>11</v>
      </c>
      <c r="B706" s="15" t="s">
        <v>401</v>
      </c>
      <c r="C706" s="2">
        <v>1</v>
      </c>
      <c r="D706" s="13">
        <v>17</v>
      </c>
      <c r="E706" s="13">
        <v>30</v>
      </c>
      <c r="F706" s="13">
        <f t="shared" ref="F706:F711" si="24">E706-D706</f>
        <v>13</v>
      </c>
      <c r="G706" s="14" t="s">
        <v>461</v>
      </c>
      <c r="H706" s="23" t="s">
        <v>460</v>
      </c>
      <c r="I706" s="23"/>
    </row>
    <row r="707" spans="1:9" x14ac:dyDescent="0.2">
      <c r="A707" s="10">
        <v>11</v>
      </c>
      <c r="B707" s="15" t="s">
        <v>402</v>
      </c>
      <c r="C707" s="2">
        <v>1</v>
      </c>
      <c r="D707" s="13">
        <v>50</v>
      </c>
      <c r="E707" s="13">
        <v>60</v>
      </c>
      <c r="F707" s="13">
        <f t="shared" si="24"/>
        <v>10</v>
      </c>
      <c r="G707" s="14" t="s">
        <v>461</v>
      </c>
      <c r="H707" s="23" t="s">
        <v>460</v>
      </c>
      <c r="I707" s="23"/>
    </row>
    <row r="708" spans="1:9" x14ac:dyDescent="0.2">
      <c r="A708" s="10">
        <v>11</v>
      </c>
      <c r="B708" s="15" t="s">
        <v>403</v>
      </c>
      <c r="C708" s="2">
        <v>1</v>
      </c>
      <c r="D708" s="13">
        <v>20</v>
      </c>
      <c r="E708" s="13">
        <v>40</v>
      </c>
      <c r="F708" s="13">
        <f t="shared" si="24"/>
        <v>20</v>
      </c>
      <c r="G708" s="14" t="s">
        <v>461</v>
      </c>
      <c r="H708" s="23" t="s">
        <v>460</v>
      </c>
      <c r="I708" s="23"/>
    </row>
    <row r="709" spans="1:9" x14ac:dyDescent="0.2">
      <c r="A709" s="10">
        <v>11</v>
      </c>
      <c r="B709" s="15" t="s">
        <v>403</v>
      </c>
      <c r="C709" s="2">
        <v>1</v>
      </c>
      <c r="D709" s="13">
        <v>20</v>
      </c>
      <c r="E709" s="13">
        <v>36.700000000000003</v>
      </c>
      <c r="F709" s="13">
        <f t="shared" si="24"/>
        <v>16.700000000000003</v>
      </c>
      <c r="G709" s="14" t="s">
        <v>461</v>
      </c>
      <c r="H709" s="23" t="s">
        <v>460</v>
      </c>
      <c r="I709" s="23"/>
    </row>
    <row r="710" spans="1:9" x14ac:dyDescent="0.2">
      <c r="A710" s="10">
        <v>11</v>
      </c>
      <c r="B710" s="15" t="s">
        <v>403</v>
      </c>
      <c r="C710" s="2">
        <v>1</v>
      </c>
      <c r="D710" s="13">
        <v>20</v>
      </c>
      <c r="E710" s="13">
        <v>36.700000000000003</v>
      </c>
      <c r="F710" s="13">
        <f t="shared" si="24"/>
        <v>16.700000000000003</v>
      </c>
      <c r="G710" s="14" t="s">
        <v>461</v>
      </c>
      <c r="H710" s="23" t="s">
        <v>460</v>
      </c>
      <c r="I710" s="23"/>
    </row>
    <row r="711" spans="1:9" x14ac:dyDescent="0.2">
      <c r="A711" s="10">
        <v>11</v>
      </c>
      <c r="B711" s="15" t="s">
        <v>403</v>
      </c>
      <c r="C711" s="2">
        <v>1</v>
      </c>
      <c r="D711" s="13">
        <v>20</v>
      </c>
      <c r="E711" s="13">
        <v>36.700000000000003</v>
      </c>
      <c r="F711" s="13">
        <f t="shared" si="24"/>
        <v>16.700000000000003</v>
      </c>
      <c r="G711" s="14" t="s">
        <v>461</v>
      </c>
      <c r="H711" s="23" t="s">
        <v>460</v>
      </c>
      <c r="I711" s="23"/>
    </row>
    <row r="712" spans="1:9" x14ac:dyDescent="0.2">
      <c r="A712" s="10">
        <v>11</v>
      </c>
      <c r="B712" s="15" t="s">
        <v>404</v>
      </c>
      <c r="C712" s="2">
        <v>1</v>
      </c>
      <c r="D712" s="13">
        <v>18</v>
      </c>
      <c r="E712" s="13">
        <v>30</v>
      </c>
      <c r="F712" s="13">
        <f t="shared" ref="F712:F769" si="25">E712-D712</f>
        <v>12</v>
      </c>
      <c r="G712" s="14" t="s">
        <v>461</v>
      </c>
      <c r="H712" s="23" t="s">
        <v>460</v>
      </c>
      <c r="I712" s="23"/>
    </row>
    <row r="713" spans="1:9" x14ac:dyDescent="0.2">
      <c r="A713" s="10">
        <v>11</v>
      </c>
      <c r="B713" s="15" t="s">
        <v>405</v>
      </c>
      <c r="C713" s="2">
        <v>1</v>
      </c>
      <c r="D713" s="13">
        <v>40</v>
      </c>
      <c r="E713" s="13">
        <v>94</v>
      </c>
      <c r="F713" s="13">
        <f t="shared" si="25"/>
        <v>54</v>
      </c>
      <c r="G713" s="14" t="s">
        <v>461</v>
      </c>
      <c r="H713" s="23" t="s">
        <v>460</v>
      </c>
      <c r="I713" s="23"/>
    </row>
    <row r="714" spans="1:9" x14ac:dyDescent="0.2">
      <c r="A714" s="10">
        <v>11</v>
      </c>
      <c r="B714" s="15" t="s">
        <v>406</v>
      </c>
      <c r="C714" s="2">
        <v>1</v>
      </c>
      <c r="D714" s="13">
        <v>50</v>
      </c>
      <c r="E714" s="13">
        <v>120</v>
      </c>
      <c r="F714" s="13">
        <f t="shared" si="25"/>
        <v>70</v>
      </c>
      <c r="G714" s="14" t="s">
        <v>461</v>
      </c>
      <c r="H714" s="23" t="s">
        <v>460</v>
      </c>
      <c r="I714" s="23"/>
    </row>
    <row r="715" spans="1:9" x14ac:dyDescent="0.2">
      <c r="A715" s="10">
        <v>11</v>
      </c>
      <c r="B715" s="15" t="s">
        <v>98</v>
      </c>
      <c r="C715" s="2">
        <v>1</v>
      </c>
      <c r="D715" s="13">
        <v>21.23</v>
      </c>
      <c r="E715" s="13">
        <v>30</v>
      </c>
      <c r="F715" s="13">
        <f t="shared" si="25"/>
        <v>8.77</v>
      </c>
      <c r="G715" s="14" t="s">
        <v>461</v>
      </c>
      <c r="H715" s="23" t="s">
        <v>460</v>
      </c>
      <c r="I715" s="23"/>
    </row>
    <row r="716" spans="1:9" x14ac:dyDescent="0.2">
      <c r="A716" s="10">
        <v>11</v>
      </c>
      <c r="B716" s="15" t="s">
        <v>407</v>
      </c>
      <c r="C716" s="2">
        <v>1</v>
      </c>
      <c r="D716" s="13">
        <v>70</v>
      </c>
      <c r="E716" s="13">
        <v>100</v>
      </c>
      <c r="F716" s="13">
        <f t="shared" si="25"/>
        <v>30</v>
      </c>
      <c r="G716" s="14" t="s">
        <v>461</v>
      </c>
      <c r="H716" s="23" t="s">
        <v>460</v>
      </c>
      <c r="I716" s="23"/>
    </row>
    <row r="717" spans="1:9" x14ac:dyDescent="0.2">
      <c r="A717" s="10">
        <v>11</v>
      </c>
      <c r="B717" s="15" t="s">
        <v>408</v>
      </c>
      <c r="C717" s="2">
        <v>1</v>
      </c>
      <c r="D717" s="13">
        <v>25</v>
      </c>
      <c r="E717" s="13">
        <v>50</v>
      </c>
      <c r="F717" s="13">
        <f t="shared" si="25"/>
        <v>25</v>
      </c>
      <c r="G717" s="14" t="s">
        <v>461</v>
      </c>
      <c r="H717" s="23" t="s">
        <v>460</v>
      </c>
      <c r="I717" s="23"/>
    </row>
    <row r="718" spans="1:9" x14ac:dyDescent="0.2">
      <c r="A718" s="10">
        <v>11</v>
      </c>
      <c r="B718" s="15" t="s">
        <v>307</v>
      </c>
      <c r="C718" s="2">
        <v>1</v>
      </c>
      <c r="D718" s="13">
        <v>30</v>
      </c>
      <c r="E718" s="13">
        <v>50</v>
      </c>
      <c r="F718" s="13">
        <f t="shared" si="25"/>
        <v>20</v>
      </c>
      <c r="G718" s="14" t="s">
        <v>461</v>
      </c>
      <c r="H718" s="23" t="s">
        <v>460</v>
      </c>
      <c r="I718" s="23"/>
    </row>
    <row r="719" spans="1:9" x14ac:dyDescent="0.2">
      <c r="A719" s="10">
        <v>11</v>
      </c>
      <c r="B719" s="15" t="s">
        <v>349</v>
      </c>
      <c r="C719" s="2">
        <v>1</v>
      </c>
      <c r="D719" s="13">
        <v>7.5</v>
      </c>
      <c r="E719" s="13">
        <v>12</v>
      </c>
      <c r="F719" s="13">
        <f t="shared" si="25"/>
        <v>4.5</v>
      </c>
      <c r="G719" s="14" t="s">
        <v>461</v>
      </c>
      <c r="H719" s="23" t="s">
        <v>460</v>
      </c>
      <c r="I719" s="23"/>
    </row>
    <row r="720" spans="1:9" x14ac:dyDescent="0.2">
      <c r="A720" s="10">
        <v>11</v>
      </c>
      <c r="B720" s="15" t="s">
        <v>100</v>
      </c>
      <c r="C720" s="2">
        <v>1</v>
      </c>
      <c r="D720" s="13">
        <v>3</v>
      </c>
      <c r="E720" s="13">
        <v>7</v>
      </c>
      <c r="F720" s="13">
        <f t="shared" si="25"/>
        <v>4</v>
      </c>
      <c r="G720" s="14" t="s">
        <v>461</v>
      </c>
      <c r="H720" s="23" t="s">
        <v>460</v>
      </c>
      <c r="I720" s="23"/>
    </row>
    <row r="721" spans="1:9" x14ac:dyDescent="0.2">
      <c r="A721" s="10">
        <v>11</v>
      </c>
      <c r="B721" s="15" t="s">
        <v>409</v>
      </c>
      <c r="C721" s="2">
        <v>1</v>
      </c>
      <c r="D721" s="13">
        <v>65</v>
      </c>
      <c r="E721" s="13">
        <v>125</v>
      </c>
      <c r="F721" s="13">
        <f t="shared" si="25"/>
        <v>60</v>
      </c>
      <c r="G721" s="14" t="s">
        <v>461</v>
      </c>
      <c r="H721" s="23" t="s">
        <v>460</v>
      </c>
      <c r="I721" s="23"/>
    </row>
    <row r="722" spans="1:9" x14ac:dyDescent="0.2">
      <c r="A722" s="10">
        <v>11</v>
      </c>
      <c r="B722" s="15" t="s">
        <v>410</v>
      </c>
      <c r="C722" s="2">
        <v>1</v>
      </c>
      <c r="D722" s="13">
        <v>25</v>
      </c>
      <c r="E722" s="13">
        <v>40</v>
      </c>
      <c r="F722" s="13">
        <f t="shared" si="25"/>
        <v>15</v>
      </c>
      <c r="G722" s="14" t="s">
        <v>461</v>
      </c>
      <c r="H722" s="23" t="s">
        <v>460</v>
      </c>
      <c r="I722" s="23"/>
    </row>
    <row r="723" spans="1:9" x14ac:dyDescent="0.2">
      <c r="A723" s="10">
        <v>11</v>
      </c>
      <c r="B723" s="15" t="s">
        <v>307</v>
      </c>
      <c r="C723" s="2">
        <v>1</v>
      </c>
      <c r="D723" s="13">
        <v>28</v>
      </c>
      <c r="E723" s="13">
        <v>47</v>
      </c>
      <c r="F723" s="13">
        <f t="shared" ref="F723" si="26">E723-D723</f>
        <v>19</v>
      </c>
      <c r="G723" s="14" t="s">
        <v>461</v>
      </c>
      <c r="H723" s="23" t="s">
        <v>460</v>
      </c>
      <c r="I723" s="23"/>
    </row>
    <row r="724" spans="1:9" x14ac:dyDescent="0.2">
      <c r="A724" s="10">
        <v>11</v>
      </c>
      <c r="B724" s="15" t="s">
        <v>307</v>
      </c>
      <c r="C724" s="2">
        <v>1</v>
      </c>
      <c r="D724" s="13">
        <v>28</v>
      </c>
      <c r="E724" s="13">
        <v>47</v>
      </c>
      <c r="F724" s="13">
        <f t="shared" ref="F724:F733" si="27">E724-D724</f>
        <v>19</v>
      </c>
      <c r="G724" s="14" t="s">
        <v>461</v>
      </c>
      <c r="H724" s="23" t="s">
        <v>460</v>
      </c>
      <c r="I724" s="23"/>
    </row>
    <row r="725" spans="1:9" x14ac:dyDescent="0.2">
      <c r="A725" s="10">
        <v>11</v>
      </c>
      <c r="B725" s="15" t="s">
        <v>307</v>
      </c>
      <c r="C725" s="2">
        <v>1</v>
      </c>
      <c r="D725" s="13">
        <v>28</v>
      </c>
      <c r="E725" s="13">
        <v>47</v>
      </c>
      <c r="F725" s="13">
        <f t="shared" si="27"/>
        <v>19</v>
      </c>
      <c r="G725" s="14" t="s">
        <v>461</v>
      </c>
      <c r="H725" s="23" t="s">
        <v>460</v>
      </c>
      <c r="I725" s="23"/>
    </row>
    <row r="726" spans="1:9" x14ac:dyDescent="0.2">
      <c r="A726" s="10">
        <v>11</v>
      </c>
      <c r="B726" s="15" t="s">
        <v>307</v>
      </c>
      <c r="C726" s="2">
        <v>1</v>
      </c>
      <c r="D726" s="13">
        <v>28</v>
      </c>
      <c r="E726" s="13">
        <v>47</v>
      </c>
      <c r="F726" s="13">
        <f t="shared" si="27"/>
        <v>19</v>
      </c>
      <c r="G726" s="14" t="s">
        <v>461</v>
      </c>
      <c r="H726" s="23" t="s">
        <v>460</v>
      </c>
      <c r="I726" s="23"/>
    </row>
    <row r="727" spans="1:9" x14ac:dyDescent="0.2">
      <c r="A727" s="10">
        <v>11</v>
      </c>
      <c r="B727" s="15" t="s">
        <v>307</v>
      </c>
      <c r="C727" s="2">
        <v>1</v>
      </c>
      <c r="D727" s="13">
        <v>28</v>
      </c>
      <c r="E727" s="13">
        <v>47</v>
      </c>
      <c r="F727" s="13">
        <f t="shared" si="27"/>
        <v>19</v>
      </c>
      <c r="G727" s="14" t="s">
        <v>461</v>
      </c>
      <c r="H727" s="23" t="s">
        <v>460</v>
      </c>
      <c r="I727" s="23"/>
    </row>
    <row r="728" spans="1:9" x14ac:dyDescent="0.2">
      <c r="A728" s="10">
        <v>11</v>
      </c>
      <c r="B728" s="15" t="s">
        <v>307</v>
      </c>
      <c r="C728" s="2">
        <v>1</v>
      </c>
      <c r="D728" s="13">
        <v>28</v>
      </c>
      <c r="E728" s="13">
        <v>47</v>
      </c>
      <c r="F728" s="13">
        <f t="shared" si="27"/>
        <v>19</v>
      </c>
      <c r="G728" s="14" t="s">
        <v>461</v>
      </c>
      <c r="H728" s="23" t="s">
        <v>460</v>
      </c>
      <c r="I728" s="23"/>
    </row>
    <row r="729" spans="1:9" x14ac:dyDescent="0.2">
      <c r="A729" s="10">
        <v>11</v>
      </c>
      <c r="B729" s="15" t="s">
        <v>307</v>
      </c>
      <c r="C729" s="2">
        <v>1</v>
      </c>
      <c r="D729" s="13">
        <v>28</v>
      </c>
      <c r="E729" s="13">
        <v>47</v>
      </c>
      <c r="F729" s="13">
        <f t="shared" si="27"/>
        <v>19</v>
      </c>
      <c r="G729" s="14" t="s">
        <v>461</v>
      </c>
      <c r="H729" s="23" t="s">
        <v>460</v>
      </c>
      <c r="I729" s="23"/>
    </row>
    <row r="730" spans="1:9" x14ac:dyDescent="0.2">
      <c r="A730" s="10">
        <v>11</v>
      </c>
      <c r="B730" s="15" t="s">
        <v>307</v>
      </c>
      <c r="C730" s="2">
        <v>1</v>
      </c>
      <c r="D730" s="13">
        <v>28</v>
      </c>
      <c r="E730" s="13">
        <v>47</v>
      </c>
      <c r="F730" s="13">
        <f t="shared" si="27"/>
        <v>19</v>
      </c>
      <c r="G730" s="14" t="s">
        <v>461</v>
      </c>
      <c r="H730" s="23" t="s">
        <v>460</v>
      </c>
      <c r="I730" s="23"/>
    </row>
    <row r="731" spans="1:9" x14ac:dyDescent="0.2">
      <c r="A731" s="10">
        <v>11</v>
      </c>
      <c r="B731" s="15" t="s">
        <v>307</v>
      </c>
      <c r="C731" s="2">
        <v>1</v>
      </c>
      <c r="D731" s="13">
        <v>28</v>
      </c>
      <c r="E731" s="13">
        <v>47</v>
      </c>
      <c r="F731" s="13">
        <f t="shared" si="27"/>
        <v>19</v>
      </c>
      <c r="G731" s="14" t="s">
        <v>461</v>
      </c>
      <c r="H731" s="23" t="s">
        <v>460</v>
      </c>
      <c r="I731" s="23"/>
    </row>
    <row r="732" spans="1:9" x14ac:dyDescent="0.2">
      <c r="A732" s="10">
        <v>11</v>
      </c>
      <c r="B732" s="15" t="s">
        <v>307</v>
      </c>
      <c r="C732" s="2">
        <v>1</v>
      </c>
      <c r="D732" s="13">
        <v>28</v>
      </c>
      <c r="E732" s="13">
        <v>47</v>
      </c>
      <c r="F732" s="13">
        <f t="shared" si="27"/>
        <v>19</v>
      </c>
      <c r="G732" s="14" t="s">
        <v>461</v>
      </c>
      <c r="H732" s="23" t="s">
        <v>460</v>
      </c>
      <c r="I732" s="23"/>
    </row>
    <row r="733" spans="1:9" x14ac:dyDescent="0.2">
      <c r="A733" s="10">
        <v>11</v>
      </c>
      <c r="B733" s="15" t="s">
        <v>411</v>
      </c>
      <c r="C733" s="2">
        <v>1</v>
      </c>
      <c r="D733" s="13">
        <v>25</v>
      </c>
      <c r="E733" s="13">
        <v>40</v>
      </c>
      <c r="F733" s="13">
        <f t="shared" si="27"/>
        <v>15</v>
      </c>
      <c r="G733" s="14" t="s">
        <v>461</v>
      </c>
      <c r="H733" s="23" t="s">
        <v>460</v>
      </c>
      <c r="I733" s="23"/>
    </row>
    <row r="734" spans="1:9" x14ac:dyDescent="0.2">
      <c r="A734" s="10">
        <v>11</v>
      </c>
      <c r="B734" s="15" t="s">
        <v>412</v>
      </c>
      <c r="C734" s="2">
        <v>1</v>
      </c>
      <c r="D734" s="13">
        <v>40</v>
      </c>
      <c r="E734" s="13">
        <v>80</v>
      </c>
      <c r="F734" s="13">
        <f t="shared" si="25"/>
        <v>40</v>
      </c>
      <c r="G734" s="14" t="s">
        <v>461</v>
      </c>
      <c r="H734" s="23" t="s">
        <v>460</v>
      </c>
      <c r="I734" s="23"/>
    </row>
    <row r="735" spans="1:9" x14ac:dyDescent="0.2">
      <c r="A735" s="10">
        <v>11</v>
      </c>
      <c r="B735" s="15" t="s">
        <v>412</v>
      </c>
      <c r="C735" s="2">
        <v>1</v>
      </c>
      <c r="D735" s="13">
        <v>40</v>
      </c>
      <c r="E735" s="13">
        <v>80</v>
      </c>
      <c r="F735" s="13">
        <f t="shared" ref="F735" si="28">E735-D735</f>
        <v>40</v>
      </c>
      <c r="G735" s="14" t="s">
        <v>461</v>
      </c>
      <c r="H735" s="23" t="s">
        <v>460</v>
      </c>
      <c r="I735" s="23"/>
    </row>
    <row r="736" spans="1:9" x14ac:dyDescent="0.2">
      <c r="A736" s="10">
        <v>11</v>
      </c>
      <c r="B736" s="15" t="s">
        <v>413</v>
      </c>
      <c r="C736" s="2">
        <v>1</v>
      </c>
      <c r="D736" s="13">
        <v>25</v>
      </c>
      <c r="E736" s="13">
        <v>50</v>
      </c>
      <c r="F736" s="13">
        <f t="shared" si="25"/>
        <v>25</v>
      </c>
      <c r="G736" s="14" t="s">
        <v>461</v>
      </c>
      <c r="H736" s="23" t="s">
        <v>460</v>
      </c>
      <c r="I736" s="23"/>
    </row>
    <row r="737" spans="1:9" x14ac:dyDescent="0.2">
      <c r="A737" s="10">
        <v>11</v>
      </c>
      <c r="B737" s="15" t="s">
        <v>414</v>
      </c>
      <c r="C737" s="2">
        <v>1</v>
      </c>
      <c r="D737" s="13">
        <v>55</v>
      </c>
      <c r="E737" s="13">
        <v>85</v>
      </c>
      <c r="F737" s="13">
        <f t="shared" si="25"/>
        <v>30</v>
      </c>
      <c r="G737" s="14" t="s">
        <v>461</v>
      </c>
      <c r="H737" s="23" t="s">
        <v>460</v>
      </c>
      <c r="I737" s="23"/>
    </row>
    <row r="738" spans="1:9" x14ac:dyDescent="0.2">
      <c r="A738" s="10">
        <v>11</v>
      </c>
      <c r="B738" s="15" t="s">
        <v>415</v>
      </c>
      <c r="C738" s="2">
        <v>1</v>
      </c>
      <c r="D738" s="13">
        <v>50</v>
      </c>
      <c r="E738" s="13">
        <v>80</v>
      </c>
      <c r="F738" s="13">
        <f t="shared" si="25"/>
        <v>30</v>
      </c>
      <c r="G738" s="14" t="s">
        <v>461</v>
      </c>
      <c r="H738" s="23" t="s">
        <v>460</v>
      </c>
      <c r="I738" s="23"/>
    </row>
    <row r="739" spans="1:9" x14ac:dyDescent="0.2">
      <c r="A739" s="10">
        <v>11</v>
      </c>
      <c r="B739" s="15" t="s">
        <v>8</v>
      </c>
      <c r="C739" s="2">
        <v>1</v>
      </c>
      <c r="D739" s="13">
        <v>40</v>
      </c>
      <c r="E739" s="13">
        <v>65</v>
      </c>
      <c r="F739" s="13">
        <f t="shared" si="25"/>
        <v>25</v>
      </c>
      <c r="G739" s="14" t="s">
        <v>461</v>
      </c>
      <c r="H739" s="23" t="s">
        <v>460</v>
      </c>
      <c r="I739" s="23"/>
    </row>
    <row r="740" spans="1:9" x14ac:dyDescent="0.2">
      <c r="A740" s="10">
        <v>11</v>
      </c>
      <c r="B740" s="15" t="s">
        <v>416</v>
      </c>
      <c r="C740" s="2">
        <v>1</v>
      </c>
      <c r="D740" s="13">
        <v>20</v>
      </c>
      <c r="E740" s="13">
        <v>40</v>
      </c>
      <c r="F740" s="13">
        <f t="shared" si="25"/>
        <v>20</v>
      </c>
      <c r="G740" s="14" t="s">
        <v>461</v>
      </c>
      <c r="H740" s="23" t="s">
        <v>460</v>
      </c>
      <c r="I740" s="23"/>
    </row>
    <row r="741" spans="1:9" x14ac:dyDescent="0.2">
      <c r="A741" s="10">
        <v>11</v>
      </c>
      <c r="B741" s="15" t="s">
        <v>417</v>
      </c>
      <c r="C741" s="2">
        <v>1</v>
      </c>
      <c r="D741" s="13">
        <v>100</v>
      </c>
      <c r="E741" s="13">
        <v>145</v>
      </c>
      <c r="F741" s="13">
        <f t="shared" si="25"/>
        <v>45</v>
      </c>
      <c r="G741" s="14" t="s">
        <v>461</v>
      </c>
      <c r="H741" s="23" t="s">
        <v>460</v>
      </c>
      <c r="I741" s="23"/>
    </row>
    <row r="742" spans="1:9" x14ac:dyDescent="0.2">
      <c r="A742" s="10">
        <v>11</v>
      </c>
      <c r="B742" s="15" t="s">
        <v>417</v>
      </c>
      <c r="C742" s="2">
        <v>1</v>
      </c>
      <c r="D742" s="13">
        <v>100</v>
      </c>
      <c r="E742" s="13">
        <v>100</v>
      </c>
      <c r="F742" s="13">
        <f t="shared" ref="F742" si="29">E742-D742</f>
        <v>0</v>
      </c>
      <c r="G742" s="14" t="s">
        <v>461</v>
      </c>
      <c r="H742" s="23" t="s">
        <v>460</v>
      </c>
      <c r="I742" s="23"/>
    </row>
    <row r="743" spans="1:9" x14ac:dyDescent="0.2">
      <c r="A743" s="10">
        <v>11</v>
      </c>
      <c r="B743" s="15" t="s">
        <v>418</v>
      </c>
      <c r="C743" s="2">
        <v>1</v>
      </c>
      <c r="D743" s="13">
        <v>16</v>
      </c>
      <c r="E743" s="13">
        <v>30</v>
      </c>
      <c r="F743" s="13">
        <f t="shared" si="25"/>
        <v>14</v>
      </c>
      <c r="G743" s="14" t="s">
        <v>461</v>
      </c>
      <c r="H743" s="23" t="s">
        <v>460</v>
      </c>
      <c r="I743" s="23"/>
    </row>
    <row r="744" spans="1:9" x14ac:dyDescent="0.2">
      <c r="A744" s="10">
        <v>11</v>
      </c>
      <c r="B744" s="15" t="s">
        <v>418</v>
      </c>
      <c r="C744" s="2">
        <v>1</v>
      </c>
      <c r="D744" s="13">
        <v>16</v>
      </c>
      <c r="E744" s="13">
        <v>30</v>
      </c>
      <c r="F744" s="13">
        <f t="shared" ref="F744" si="30">E744-D744</f>
        <v>14</v>
      </c>
      <c r="G744" s="14" t="s">
        <v>461</v>
      </c>
      <c r="H744" s="23" t="s">
        <v>460</v>
      </c>
      <c r="I744" s="23"/>
    </row>
    <row r="745" spans="1:9" x14ac:dyDescent="0.2">
      <c r="A745" s="10">
        <v>11</v>
      </c>
      <c r="B745" s="15" t="s">
        <v>307</v>
      </c>
      <c r="C745" s="2">
        <v>1</v>
      </c>
      <c r="D745" s="13">
        <v>30</v>
      </c>
      <c r="E745" s="13">
        <v>50</v>
      </c>
      <c r="F745" s="13">
        <f t="shared" si="25"/>
        <v>20</v>
      </c>
      <c r="G745" s="14" t="s">
        <v>461</v>
      </c>
      <c r="H745" s="23" t="s">
        <v>460</v>
      </c>
      <c r="I745" s="23"/>
    </row>
    <row r="746" spans="1:9" x14ac:dyDescent="0.2">
      <c r="A746" s="10">
        <v>11</v>
      </c>
      <c r="B746" s="15" t="s">
        <v>419</v>
      </c>
      <c r="C746" s="2">
        <v>1</v>
      </c>
      <c r="D746" s="13">
        <v>80</v>
      </c>
      <c r="E746" s="13">
        <v>100</v>
      </c>
      <c r="F746" s="13">
        <f t="shared" si="25"/>
        <v>20</v>
      </c>
      <c r="G746" s="14" t="s">
        <v>461</v>
      </c>
      <c r="H746" s="23" t="s">
        <v>460</v>
      </c>
      <c r="I746" s="23"/>
    </row>
    <row r="747" spans="1:9" x14ac:dyDescent="0.2">
      <c r="A747" s="10">
        <v>11</v>
      </c>
      <c r="B747" s="15" t="s">
        <v>67</v>
      </c>
      <c r="C747" s="14">
        <v>1</v>
      </c>
      <c r="D747" s="13">
        <v>38</v>
      </c>
      <c r="E747" s="13">
        <v>86.44</v>
      </c>
      <c r="F747" s="13">
        <v>38.751999999999995</v>
      </c>
      <c r="G747" s="14" t="s">
        <v>461</v>
      </c>
      <c r="H747" s="23" t="s">
        <v>70</v>
      </c>
      <c r="I747" s="23"/>
    </row>
    <row r="748" spans="1:9" x14ac:dyDescent="0.2">
      <c r="A748" s="10">
        <v>11</v>
      </c>
      <c r="B748" s="15" t="s">
        <v>58</v>
      </c>
      <c r="C748" s="14">
        <v>1</v>
      </c>
      <c r="D748" s="13">
        <v>5</v>
      </c>
      <c r="E748" s="13">
        <v>25</v>
      </c>
      <c r="F748" s="13">
        <v>16</v>
      </c>
      <c r="G748" s="14" t="s">
        <v>461</v>
      </c>
      <c r="H748" s="23" t="s">
        <v>70</v>
      </c>
      <c r="I748" s="23"/>
    </row>
    <row r="749" spans="1:9" x14ac:dyDescent="0.2">
      <c r="A749" s="10">
        <v>11</v>
      </c>
      <c r="B749" s="15" t="s">
        <v>399</v>
      </c>
      <c r="C749" s="14">
        <v>2</v>
      </c>
      <c r="D749" s="13">
        <v>14</v>
      </c>
      <c r="E749" s="13">
        <v>32.869999999999997</v>
      </c>
      <c r="F749" s="13">
        <v>15.095999999999998</v>
      </c>
      <c r="G749" s="14" t="s">
        <v>461</v>
      </c>
      <c r="H749" s="23" t="s">
        <v>70</v>
      </c>
      <c r="I749" s="23"/>
    </row>
    <row r="750" spans="1:9" x14ac:dyDescent="0.2">
      <c r="A750" s="10">
        <v>11</v>
      </c>
      <c r="B750" s="15" t="s">
        <v>167</v>
      </c>
      <c r="C750" s="14">
        <v>11</v>
      </c>
      <c r="D750" s="13">
        <v>440</v>
      </c>
      <c r="E750" s="13">
        <v>863.08</v>
      </c>
      <c r="F750" s="13">
        <v>338.46400000000006</v>
      </c>
      <c r="G750" s="14" t="s">
        <v>461</v>
      </c>
      <c r="H750" s="23" t="s">
        <v>70</v>
      </c>
      <c r="I750" s="23"/>
    </row>
    <row r="751" spans="1:9" x14ac:dyDescent="0.2">
      <c r="A751" s="10">
        <v>11</v>
      </c>
      <c r="B751" s="15" t="s">
        <v>256</v>
      </c>
      <c r="C751" s="14">
        <v>2</v>
      </c>
      <c r="D751" s="13">
        <v>7</v>
      </c>
      <c r="E751" s="13">
        <v>43.14</v>
      </c>
      <c r="F751" s="13">
        <v>28.911999999999999</v>
      </c>
      <c r="G751" s="14" t="s">
        <v>461</v>
      </c>
      <c r="H751" s="23" t="s">
        <v>70</v>
      </c>
      <c r="I751" s="23"/>
    </row>
    <row r="752" spans="1:9" x14ac:dyDescent="0.2">
      <c r="A752" s="10">
        <v>11</v>
      </c>
      <c r="B752" s="15" t="s">
        <v>138</v>
      </c>
      <c r="C752" s="14">
        <v>1</v>
      </c>
      <c r="D752" s="13">
        <v>2.5</v>
      </c>
      <c r="E752" s="13">
        <v>23.02</v>
      </c>
      <c r="F752" s="13">
        <v>16.416</v>
      </c>
      <c r="G752" s="14" t="s">
        <v>461</v>
      </c>
      <c r="H752" s="23" t="s">
        <v>70</v>
      </c>
      <c r="I752" s="23"/>
    </row>
    <row r="753" spans="1:9" x14ac:dyDescent="0.2">
      <c r="A753" s="10">
        <v>11</v>
      </c>
      <c r="B753" s="15" t="s">
        <v>420</v>
      </c>
      <c r="C753" s="14">
        <v>2</v>
      </c>
      <c r="D753" s="13">
        <v>30</v>
      </c>
      <c r="E753" s="13">
        <v>74.540000000000006</v>
      </c>
      <c r="F753" s="13">
        <v>35.632000000000005</v>
      </c>
      <c r="G753" s="14" t="s">
        <v>461</v>
      </c>
      <c r="H753" s="23" t="s">
        <v>70</v>
      </c>
      <c r="I753" s="23"/>
    </row>
    <row r="754" spans="1:9" x14ac:dyDescent="0.2">
      <c r="A754" s="10">
        <v>11</v>
      </c>
      <c r="B754" s="15" t="s">
        <v>421</v>
      </c>
      <c r="C754" s="14">
        <v>1</v>
      </c>
      <c r="D754" s="13">
        <v>20</v>
      </c>
      <c r="E754" s="13">
        <v>39.99</v>
      </c>
      <c r="F754" s="13">
        <v>15.992000000000001</v>
      </c>
      <c r="G754" s="14" t="s">
        <v>461</v>
      </c>
      <c r="H754" s="23" t="s">
        <v>70</v>
      </c>
      <c r="I754" s="23"/>
    </row>
    <row r="755" spans="1:9" x14ac:dyDescent="0.2">
      <c r="A755" s="10">
        <v>11</v>
      </c>
      <c r="B755" s="15" t="s">
        <v>422</v>
      </c>
      <c r="C755" s="14">
        <v>1</v>
      </c>
      <c r="D755" s="13">
        <v>6</v>
      </c>
      <c r="E755" s="13">
        <v>23.48</v>
      </c>
      <c r="F755" s="13">
        <v>13.984</v>
      </c>
      <c r="G755" s="14" t="s">
        <v>461</v>
      </c>
      <c r="H755" s="23" t="s">
        <v>70</v>
      </c>
      <c r="I755" s="23"/>
    </row>
    <row r="756" spans="1:9" x14ac:dyDescent="0.2">
      <c r="A756" s="10">
        <v>11</v>
      </c>
      <c r="B756" s="15" t="s">
        <v>141</v>
      </c>
      <c r="C756" s="14">
        <v>1</v>
      </c>
      <c r="D756" s="13">
        <v>18</v>
      </c>
      <c r="E756" s="13">
        <v>37.1</v>
      </c>
      <c r="F756" s="13">
        <v>15.280000000000001</v>
      </c>
      <c r="G756" s="14" t="s">
        <v>461</v>
      </c>
      <c r="H756" s="23" t="s">
        <v>70</v>
      </c>
      <c r="I756" s="23"/>
    </row>
    <row r="757" spans="1:9" x14ac:dyDescent="0.2">
      <c r="A757" s="10">
        <v>11</v>
      </c>
      <c r="B757" s="15" t="s">
        <v>423</v>
      </c>
      <c r="C757" s="14">
        <v>8</v>
      </c>
      <c r="D757" s="13">
        <v>304</v>
      </c>
      <c r="E757" s="13">
        <v>667.44</v>
      </c>
      <c r="F757" s="13">
        <v>290.75200000000007</v>
      </c>
      <c r="G757" s="14" t="s">
        <v>461</v>
      </c>
      <c r="H757" s="23" t="s">
        <v>70</v>
      </c>
      <c r="I757" s="23"/>
    </row>
    <row r="758" spans="1:9" x14ac:dyDescent="0.2">
      <c r="A758" s="10">
        <v>11</v>
      </c>
      <c r="B758" s="15" t="s">
        <v>424</v>
      </c>
      <c r="C758" s="14">
        <v>3</v>
      </c>
      <c r="D758" s="13">
        <v>72</v>
      </c>
      <c r="E758" s="13">
        <v>139.28</v>
      </c>
      <c r="F758" s="13">
        <v>53.823999999999998</v>
      </c>
      <c r="G758" s="14" t="s">
        <v>461</v>
      </c>
      <c r="H758" s="23" t="s">
        <v>70</v>
      </c>
      <c r="I758" s="23"/>
    </row>
    <row r="759" spans="1:9" x14ac:dyDescent="0.2">
      <c r="A759" s="10">
        <v>11</v>
      </c>
      <c r="B759" s="15" t="s">
        <v>260</v>
      </c>
      <c r="C759" s="14">
        <v>1</v>
      </c>
      <c r="D759" s="13">
        <v>1</v>
      </c>
      <c r="E759" s="13">
        <v>17.899999999999999</v>
      </c>
      <c r="F759" s="13">
        <v>13.52</v>
      </c>
      <c r="G759" s="14" t="s">
        <v>461</v>
      </c>
      <c r="H759" s="23" t="s">
        <v>70</v>
      </c>
      <c r="I759" s="23"/>
    </row>
    <row r="760" spans="1:9" x14ac:dyDescent="0.2">
      <c r="A760" s="10">
        <v>11</v>
      </c>
      <c r="B760" s="15" t="s">
        <v>189</v>
      </c>
      <c r="C760" s="14">
        <v>1</v>
      </c>
      <c r="D760" s="13">
        <v>1</v>
      </c>
      <c r="E760" s="13">
        <v>7.71</v>
      </c>
      <c r="F760" s="13">
        <v>5.3680000000000003</v>
      </c>
      <c r="G760" s="14" t="s">
        <v>461</v>
      </c>
      <c r="H760" s="23" t="s">
        <v>70</v>
      </c>
      <c r="I760" s="23"/>
    </row>
    <row r="761" spans="1:9" x14ac:dyDescent="0.2">
      <c r="A761" s="10">
        <v>11</v>
      </c>
      <c r="B761" s="15" t="s">
        <v>425</v>
      </c>
      <c r="C761" s="14">
        <v>1</v>
      </c>
      <c r="D761" s="13">
        <v>10</v>
      </c>
      <c r="E761" s="13">
        <v>25</v>
      </c>
      <c r="F761" s="13">
        <v>12</v>
      </c>
      <c r="G761" s="14" t="s">
        <v>461</v>
      </c>
      <c r="H761" s="23" t="s">
        <v>70</v>
      </c>
      <c r="I761" s="23"/>
    </row>
    <row r="762" spans="1:9" x14ac:dyDescent="0.2">
      <c r="A762" s="10">
        <v>11</v>
      </c>
      <c r="B762" s="15" t="s">
        <v>426</v>
      </c>
      <c r="C762" s="14">
        <v>1</v>
      </c>
      <c r="D762" s="13">
        <v>0.7</v>
      </c>
      <c r="E762" s="13">
        <v>2.5</v>
      </c>
      <c r="F762" s="13">
        <v>1.44</v>
      </c>
      <c r="G762" s="14" t="s">
        <v>461</v>
      </c>
      <c r="H762" s="23" t="s">
        <v>70</v>
      </c>
      <c r="I762" s="23"/>
    </row>
    <row r="763" spans="1:9" x14ac:dyDescent="0.2">
      <c r="A763" s="10">
        <v>11</v>
      </c>
      <c r="B763" s="15" t="s">
        <v>215</v>
      </c>
      <c r="C763" s="14">
        <v>1</v>
      </c>
      <c r="D763" s="13">
        <v>11</v>
      </c>
      <c r="E763" s="13">
        <v>62.59</v>
      </c>
      <c r="F763" s="13">
        <v>41.272000000000006</v>
      </c>
      <c r="G763" s="14" t="s">
        <v>461</v>
      </c>
      <c r="H763" s="23" t="s">
        <v>70</v>
      </c>
      <c r="I763" s="23"/>
    </row>
    <row r="764" spans="1:9" x14ac:dyDescent="0.2">
      <c r="A764" s="10">
        <v>11</v>
      </c>
      <c r="B764" s="15" t="s">
        <v>216</v>
      </c>
      <c r="C764" s="14">
        <v>1</v>
      </c>
      <c r="D764" s="13">
        <v>7</v>
      </c>
      <c r="E764" s="13">
        <v>13</v>
      </c>
      <c r="F764" s="13">
        <v>4.8</v>
      </c>
      <c r="G764" s="14" t="s">
        <v>461</v>
      </c>
      <c r="H764" s="23" t="s">
        <v>70</v>
      </c>
      <c r="I764" s="23"/>
    </row>
    <row r="765" spans="1:9" x14ac:dyDescent="0.2">
      <c r="A765" s="10">
        <v>11</v>
      </c>
      <c r="B765" s="15" t="s">
        <v>370</v>
      </c>
      <c r="C765" s="14">
        <v>2</v>
      </c>
      <c r="D765" s="13">
        <v>48</v>
      </c>
      <c r="E765" s="13">
        <v>95.14</v>
      </c>
      <c r="F765" s="13">
        <v>37.712000000000003</v>
      </c>
      <c r="G765" s="14" t="s">
        <v>461</v>
      </c>
      <c r="H765" s="23" t="s">
        <v>70</v>
      </c>
      <c r="I765" s="23"/>
    </row>
    <row r="766" spans="1:9" x14ac:dyDescent="0.2">
      <c r="A766" s="10">
        <v>11</v>
      </c>
      <c r="B766" s="15" t="s">
        <v>427</v>
      </c>
      <c r="C766" s="14">
        <v>2</v>
      </c>
      <c r="D766" s="13">
        <v>20</v>
      </c>
      <c r="E766" s="13">
        <v>49.15</v>
      </c>
      <c r="F766" s="13">
        <v>23.32</v>
      </c>
      <c r="G766" s="14" t="s">
        <v>461</v>
      </c>
      <c r="H766" s="23" t="s">
        <v>70</v>
      </c>
      <c r="I766" s="23"/>
    </row>
    <row r="767" spans="1:9" x14ac:dyDescent="0.2">
      <c r="A767" s="10">
        <v>11</v>
      </c>
      <c r="B767" s="15" t="s">
        <v>428</v>
      </c>
      <c r="C767" s="14">
        <v>6</v>
      </c>
      <c r="D767" s="13">
        <v>21</v>
      </c>
      <c r="E767" s="13">
        <v>52.52</v>
      </c>
      <c r="F767" s="13">
        <v>25.216000000000001</v>
      </c>
      <c r="G767" s="14" t="s">
        <v>461</v>
      </c>
      <c r="H767" s="23" t="s">
        <v>70</v>
      </c>
      <c r="I767" s="23"/>
    </row>
    <row r="768" spans="1:9" x14ac:dyDescent="0.2">
      <c r="A768" s="10">
        <v>11</v>
      </c>
      <c r="B768" s="15" t="s">
        <v>144</v>
      </c>
      <c r="C768" s="14">
        <v>8</v>
      </c>
      <c r="D768" s="13">
        <v>400</v>
      </c>
      <c r="E768" s="13">
        <v>1059.42</v>
      </c>
      <c r="F768" s="13">
        <v>527.53600000000006</v>
      </c>
      <c r="G768" s="14" t="s">
        <v>461</v>
      </c>
      <c r="H768" s="23" t="s">
        <v>70</v>
      </c>
      <c r="I768" s="23"/>
    </row>
    <row r="769" spans="1:9" x14ac:dyDescent="0.2">
      <c r="A769" s="10">
        <v>11</v>
      </c>
      <c r="B769" s="15" t="s">
        <v>167</v>
      </c>
      <c r="C769" s="14">
        <v>2</v>
      </c>
      <c r="D769" s="13">
        <v>80</v>
      </c>
      <c r="E769" s="13">
        <v>198</v>
      </c>
      <c r="F769" s="13">
        <f t="shared" si="25"/>
        <v>118</v>
      </c>
      <c r="G769" s="14" t="s">
        <v>461</v>
      </c>
      <c r="H769" s="23" t="s">
        <v>262</v>
      </c>
      <c r="I769" s="23"/>
    </row>
    <row r="770" spans="1:9" x14ac:dyDescent="0.2">
      <c r="A770" s="10">
        <v>12</v>
      </c>
      <c r="B770" s="15" t="s">
        <v>429</v>
      </c>
      <c r="C770" s="2">
        <v>1</v>
      </c>
      <c r="D770" s="13">
        <v>18</v>
      </c>
      <c r="E770" s="13">
        <v>35</v>
      </c>
      <c r="F770" s="13">
        <f t="shared" ref="F770:F783" si="31">E770-D770</f>
        <v>17</v>
      </c>
      <c r="G770" s="14" t="s">
        <v>461</v>
      </c>
      <c r="H770" s="23" t="s">
        <v>460</v>
      </c>
      <c r="I770" s="23"/>
    </row>
    <row r="771" spans="1:9" x14ac:dyDescent="0.2">
      <c r="A771" s="10">
        <v>12</v>
      </c>
      <c r="B771" s="15" t="s">
        <v>415</v>
      </c>
      <c r="C771" s="2">
        <v>1</v>
      </c>
      <c r="D771" s="13">
        <v>50</v>
      </c>
      <c r="E771" s="13">
        <v>80</v>
      </c>
      <c r="F771" s="13">
        <f t="shared" si="31"/>
        <v>30</v>
      </c>
      <c r="G771" s="14" t="s">
        <v>461</v>
      </c>
      <c r="H771" s="23" t="s">
        <v>460</v>
      </c>
      <c r="I771" s="23"/>
    </row>
    <row r="772" spans="1:9" x14ac:dyDescent="0.2">
      <c r="A772" s="10">
        <v>12</v>
      </c>
      <c r="B772" s="15" t="s">
        <v>415</v>
      </c>
      <c r="C772" s="2">
        <v>1</v>
      </c>
      <c r="D772" s="13">
        <v>50</v>
      </c>
      <c r="E772" s="13">
        <v>75</v>
      </c>
      <c r="F772" s="13">
        <f t="shared" ref="F772:F773" si="32">E772-D772</f>
        <v>25</v>
      </c>
      <c r="G772" s="14" t="s">
        <v>461</v>
      </c>
      <c r="H772" s="23" t="s">
        <v>460</v>
      </c>
      <c r="I772" s="23"/>
    </row>
    <row r="773" spans="1:9" x14ac:dyDescent="0.2">
      <c r="A773" s="10">
        <v>12</v>
      </c>
      <c r="B773" s="15" t="s">
        <v>415</v>
      </c>
      <c r="C773" s="2">
        <v>1</v>
      </c>
      <c r="D773" s="13">
        <v>50</v>
      </c>
      <c r="E773" s="13">
        <v>60</v>
      </c>
      <c r="F773" s="13">
        <f t="shared" si="32"/>
        <v>10</v>
      </c>
      <c r="G773" s="14" t="s">
        <v>461</v>
      </c>
      <c r="H773" s="23" t="s">
        <v>460</v>
      </c>
      <c r="I773" s="23"/>
    </row>
    <row r="774" spans="1:9" x14ac:dyDescent="0.2">
      <c r="A774" s="10">
        <v>12</v>
      </c>
      <c r="B774" s="15" t="s">
        <v>430</v>
      </c>
      <c r="C774" s="2">
        <v>1</v>
      </c>
      <c r="D774" s="13">
        <v>0</v>
      </c>
      <c r="E774" s="13">
        <v>80</v>
      </c>
      <c r="F774" s="13">
        <f t="shared" si="31"/>
        <v>80</v>
      </c>
      <c r="G774" s="14" t="s">
        <v>461</v>
      </c>
      <c r="H774" s="23" t="s">
        <v>460</v>
      </c>
      <c r="I774" s="23"/>
    </row>
    <row r="775" spans="1:9" x14ac:dyDescent="0.2">
      <c r="A775" s="10">
        <v>12</v>
      </c>
      <c r="B775" s="15" t="s">
        <v>163</v>
      </c>
      <c r="C775" s="2">
        <v>1</v>
      </c>
      <c r="D775" s="13">
        <v>5</v>
      </c>
      <c r="E775" s="13">
        <v>10</v>
      </c>
      <c r="F775" s="13">
        <f t="shared" si="31"/>
        <v>5</v>
      </c>
      <c r="G775" s="14" t="s">
        <v>461</v>
      </c>
      <c r="H775" s="23" t="s">
        <v>460</v>
      </c>
      <c r="I775" s="23"/>
    </row>
    <row r="776" spans="1:9" x14ac:dyDescent="0.2">
      <c r="A776" s="10">
        <v>12</v>
      </c>
      <c r="B776" s="15" t="s">
        <v>163</v>
      </c>
      <c r="C776" s="2">
        <v>1</v>
      </c>
      <c r="D776" s="13">
        <v>5</v>
      </c>
      <c r="E776" s="13">
        <v>10</v>
      </c>
      <c r="F776" s="13">
        <f t="shared" ref="F776:F777" si="33">E776-D776</f>
        <v>5</v>
      </c>
      <c r="G776" s="14" t="s">
        <v>461</v>
      </c>
      <c r="H776" s="23" t="s">
        <v>460</v>
      </c>
      <c r="I776" s="23"/>
    </row>
    <row r="777" spans="1:9" x14ac:dyDescent="0.2">
      <c r="A777" s="10">
        <v>12</v>
      </c>
      <c r="B777" s="15" t="s">
        <v>415</v>
      </c>
      <c r="C777" s="2">
        <v>1</v>
      </c>
      <c r="D777" s="13">
        <v>50</v>
      </c>
      <c r="E777" s="13">
        <v>80</v>
      </c>
      <c r="F777" s="13">
        <f t="shared" si="33"/>
        <v>30</v>
      </c>
      <c r="G777" s="14" t="s">
        <v>461</v>
      </c>
      <c r="H777" s="23" t="s">
        <v>460</v>
      </c>
      <c r="I777" s="23"/>
    </row>
    <row r="778" spans="1:9" x14ac:dyDescent="0.2">
      <c r="A778" s="10">
        <v>12</v>
      </c>
      <c r="B778" s="15" t="s">
        <v>431</v>
      </c>
      <c r="C778" s="2">
        <v>1</v>
      </c>
      <c r="D778" s="13">
        <v>30</v>
      </c>
      <c r="E778" s="13">
        <v>45</v>
      </c>
      <c r="F778" s="13">
        <f t="shared" si="31"/>
        <v>15</v>
      </c>
      <c r="G778" s="14" t="s">
        <v>461</v>
      </c>
      <c r="H778" s="23" t="s">
        <v>460</v>
      </c>
      <c r="I778" s="23"/>
    </row>
    <row r="779" spans="1:9" x14ac:dyDescent="0.2">
      <c r="A779" s="10">
        <v>12</v>
      </c>
      <c r="B779" s="15" t="s">
        <v>432</v>
      </c>
      <c r="C779" s="2">
        <v>1</v>
      </c>
      <c r="D779" s="13">
        <v>10</v>
      </c>
      <c r="E779" s="13">
        <v>30</v>
      </c>
      <c r="F779" s="13">
        <f t="shared" si="31"/>
        <v>20</v>
      </c>
      <c r="G779" s="14" t="s">
        <v>461</v>
      </c>
      <c r="H779" s="23" t="s">
        <v>460</v>
      </c>
      <c r="I779" s="23"/>
    </row>
    <row r="780" spans="1:9" x14ac:dyDescent="0.2">
      <c r="A780" s="10">
        <v>12</v>
      </c>
      <c r="B780" s="15" t="s">
        <v>433</v>
      </c>
      <c r="C780" s="2">
        <v>1</v>
      </c>
      <c r="D780" s="13">
        <v>10</v>
      </c>
      <c r="E780" s="13">
        <v>15</v>
      </c>
      <c r="F780" s="13">
        <f t="shared" si="31"/>
        <v>5</v>
      </c>
      <c r="G780" s="14" t="s">
        <v>461</v>
      </c>
      <c r="H780" s="23" t="s">
        <v>460</v>
      </c>
      <c r="I780" s="23"/>
    </row>
    <row r="781" spans="1:9" x14ac:dyDescent="0.2">
      <c r="A781" s="10">
        <v>12</v>
      </c>
      <c r="B781" s="15" t="s">
        <v>434</v>
      </c>
      <c r="C781" s="2">
        <v>1</v>
      </c>
      <c r="D781" s="13">
        <v>20</v>
      </c>
      <c r="E781" s="13">
        <v>25</v>
      </c>
      <c r="F781" s="13">
        <f t="shared" si="31"/>
        <v>5</v>
      </c>
      <c r="G781" s="14" t="s">
        <v>461</v>
      </c>
      <c r="H781" s="23" t="s">
        <v>460</v>
      </c>
      <c r="I781" s="23"/>
    </row>
    <row r="782" spans="1:9" x14ac:dyDescent="0.2">
      <c r="A782" s="10">
        <v>12</v>
      </c>
      <c r="B782" s="15" t="s">
        <v>439</v>
      </c>
      <c r="C782" s="2">
        <v>1</v>
      </c>
      <c r="D782" s="13">
        <v>15</v>
      </c>
      <c r="E782" s="13">
        <v>45</v>
      </c>
      <c r="F782" s="13">
        <f t="shared" si="31"/>
        <v>30</v>
      </c>
      <c r="G782" s="14" t="s">
        <v>461</v>
      </c>
      <c r="H782" s="23" t="s">
        <v>460</v>
      </c>
      <c r="I782" s="23"/>
    </row>
    <row r="783" spans="1:9" x14ac:dyDescent="0.2">
      <c r="A783" s="10">
        <v>12</v>
      </c>
      <c r="B783" s="15" t="s">
        <v>436</v>
      </c>
      <c r="C783" s="2">
        <v>1</v>
      </c>
      <c r="D783" s="13">
        <v>18</v>
      </c>
      <c r="E783" s="13">
        <v>40</v>
      </c>
      <c r="F783" s="13">
        <f t="shared" si="31"/>
        <v>22</v>
      </c>
      <c r="G783" s="14" t="s">
        <v>461</v>
      </c>
      <c r="H783" s="23" t="s">
        <v>460</v>
      </c>
      <c r="I783" s="23"/>
    </row>
    <row r="784" spans="1:9" x14ac:dyDescent="0.2">
      <c r="A784" s="10">
        <v>12</v>
      </c>
      <c r="B784" s="58" t="s">
        <v>437</v>
      </c>
      <c r="C784" s="2">
        <v>1</v>
      </c>
      <c r="D784" s="13">
        <v>25</v>
      </c>
      <c r="E784" s="13">
        <v>32</v>
      </c>
      <c r="F784" s="13">
        <f t="shared" ref="F784:F799" si="34">E784-D784</f>
        <v>7</v>
      </c>
      <c r="G784" s="14" t="s">
        <v>461</v>
      </c>
      <c r="H784" s="23" t="s">
        <v>460</v>
      </c>
      <c r="I784" s="23"/>
    </row>
    <row r="785" spans="1:9" x14ac:dyDescent="0.2">
      <c r="A785" s="10">
        <v>12</v>
      </c>
      <c r="B785" s="58" t="s">
        <v>437</v>
      </c>
      <c r="C785" s="2">
        <v>1</v>
      </c>
      <c r="D785" s="13">
        <v>25</v>
      </c>
      <c r="E785" s="13">
        <v>32</v>
      </c>
      <c r="F785" s="13">
        <f t="shared" ref="F785:F786" si="35">E785-D785</f>
        <v>7</v>
      </c>
      <c r="G785" s="14" t="s">
        <v>461</v>
      </c>
      <c r="H785" s="23" t="s">
        <v>460</v>
      </c>
      <c r="I785" s="23"/>
    </row>
    <row r="786" spans="1:9" x14ac:dyDescent="0.2">
      <c r="A786" s="10">
        <v>12</v>
      </c>
      <c r="B786" s="58" t="s">
        <v>437</v>
      </c>
      <c r="C786" s="2">
        <v>1</v>
      </c>
      <c r="D786" s="13">
        <v>25</v>
      </c>
      <c r="E786" s="13">
        <v>32</v>
      </c>
      <c r="F786" s="13">
        <f t="shared" si="35"/>
        <v>7</v>
      </c>
      <c r="G786" s="14" t="s">
        <v>461</v>
      </c>
      <c r="H786" s="23" t="s">
        <v>460</v>
      </c>
      <c r="I786" s="23"/>
    </row>
    <row r="787" spans="1:9" x14ac:dyDescent="0.2">
      <c r="A787" s="10">
        <v>12</v>
      </c>
      <c r="B787" s="15" t="s">
        <v>438</v>
      </c>
      <c r="C787" s="2">
        <v>1</v>
      </c>
      <c r="D787" s="13">
        <v>37</v>
      </c>
      <c r="E787" s="13">
        <v>50</v>
      </c>
      <c r="F787" s="13">
        <f t="shared" si="34"/>
        <v>13</v>
      </c>
      <c r="G787" s="14" t="s">
        <v>461</v>
      </c>
      <c r="H787" s="23" t="s">
        <v>460</v>
      </c>
      <c r="I787" s="23"/>
    </row>
    <row r="788" spans="1:9" x14ac:dyDescent="0.2">
      <c r="A788" s="10">
        <v>12</v>
      </c>
      <c r="B788" s="58" t="s">
        <v>418</v>
      </c>
      <c r="C788" s="2">
        <v>1</v>
      </c>
      <c r="D788" s="13">
        <v>15</v>
      </c>
      <c r="E788" s="13">
        <v>30</v>
      </c>
      <c r="F788" s="13">
        <f t="shared" si="34"/>
        <v>15</v>
      </c>
      <c r="G788" s="14" t="s">
        <v>461</v>
      </c>
      <c r="H788" s="23" t="s">
        <v>460</v>
      </c>
      <c r="I788" s="23"/>
    </row>
    <row r="789" spans="1:9" x14ac:dyDescent="0.2">
      <c r="A789" s="10">
        <v>12</v>
      </c>
      <c r="B789" s="15" t="s">
        <v>435</v>
      </c>
      <c r="C789" s="2">
        <v>1</v>
      </c>
      <c r="D789" s="13">
        <v>17.5</v>
      </c>
      <c r="E789" s="13">
        <v>40</v>
      </c>
      <c r="F789" s="13">
        <f t="shared" si="34"/>
        <v>22.5</v>
      </c>
      <c r="G789" s="14" t="s">
        <v>461</v>
      </c>
      <c r="H789" s="23" t="s">
        <v>460</v>
      </c>
      <c r="I789" s="23"/>
    </row>
    <row r="790" spans="1:9" x14ac:dyDescent="0.2">
      <c r="A790" s="10">
        <v>12</v>
      </c>
      <c r="B790" s="15" t="s">
        <v>442</v>
      </c>
      <c r="C790" s="2">
        <v>1</v>
      </c>
      <c r="D790" s="13">
        <v>5.5</v>
      </c>
      <c r="E790" s="13">
        <v>15</v>
      </c>
      <c r="F790" s="13">
        <f t="shared" si="34"/>
        <v>9.5</v>
      </c>
      <c r="G790" s="14" t="s">
        <v>461</v>
      </c>
      <c r="H790" s="23" t="s">
        <v>460</v>
      </c>
      <c r="I790" s="23"/>
    </row>
    <row r="791" spans="1:9" x14ac:dyDescent="0.2">
      <c r="A791" s="10">
        <v>12</v>
      </c>
      <c r="B791" s="15" t="s">
        <v>441</v>
      </c>
      <c r="C791" s="2">
        <v>1</v>
      </c>
      <c r="D791" s="13">
        <v>14</v>
      </c>
      <c r="E791" s="13">
        <v>20</v>
      </c>
      <c r="F791" s="13">
        <f t="shared" si="34"/>
        <v>6</v>
      </c>
      <c r="G791" s="14" t="s">
        <v>461</v>
      </c>
      <c r="H791" s="23" t="s">
        <v>460</v>
      </c>
      <c r="I791" s="23"/>
    </row>
    <row r="792" spans="1:9" x14ac:dyDescent="0.2">
      <c r="A792" s="10">
        <v>12</v>
      </c>
      <c r="B792" s="1" t="s">
        <v>440</v>
      </c>
      <c r="C792" s="2">
        <v>1</v>
      </c>
      <c r="D792" s="13">
        <v>1.3</v>
      </c>
      <c r="E792" s="13">
        <v>80</v>
      </c>
      <c r="F792" s="13">
        <f t="shared" si="34"/>
        <v>78.7</v>
      </c>
      <c r="G792" s="14" t="s">
        <v>461</v>
      </c>
      <c r="H792" s="23" t="s">
        <v>460</v>
      </c>
      <c r="I792" s="23"/>
    </row>
    <row r="793" spans="1:9" x14ac:dyDescent="0.2">
      <c r="A793" s="10">
        <v>12</v>
      </c>
      <c r="B793" s="1" t="s">
        <v>384</v>
      </c>
      <c r="C793" s="2">
        <v>1</v>
      </c>
      <c r="D793" s="13">
        <v>35</v>
      </c>
      <c r="E793" s="13">
        <v>50</v>
      </c>
      <c r="F793" s="13">
        <f t="shared" si="34"/>
        <v>15</v>
      </c>
      <c r="G793" s="14" t="s">
        <v>461</v>
      </c>
      <c r="H793" s="23" t="s">
        <v>460</v>
      </c>
      <c r="I793" s="23"/>
    </row>
    <row r="794" spans="1:9" x14ac:dyDescent="0.2">
      <c r="A794" s="10">
        <v>12</v>
      </c>
      <c r="B794" s="1" t="s">
        <v>443</v>
      </c>
      <c r="C794" s="2">
        <v>1</v>
      </c>
      <c r="D794" s="13">
        <v>54</v>
      </c>
      <c r="E794" s="13">
        <v>80</v>
      </c>
      <c r="F794" s="13">
        <f t="shared" si="34"/>
        <v>26</v>
      </c>
      <c r="G794" s="14" t="s">
        <v>461</v>
      </c>
      <c r="H794" s="23" t="s">
        <v>460</v>
      </c>
      <c r="I794" s="23"/>
    </row>
    <row r="795" spans="1:9" x14ac:dyDescent="0.2">
      <c r="A795" s="10">
        <v>12</v>
      </c>
      <c r="B795" s="1" t="s">
        <v>439</v>
      </c>
      <c r="C795" s="2">
        <v>1</v>
      </c>
      <c r="D795" s="13">
        <v>25</v>
      </c>
      <c r="E795" s="13">
        <v>35</v>
      </c>
      <c r="F795" s="13">
        <f t="shared" si="34"/>
        <v>10</v>
      </c>
      <c r="G795" s="14" t="s">
        <v>461</v>
      </c>
      <c r="H795" s="23" t="s">
        <v>460</v>
      </c>
      <c r="I795" s="23"/>
    </row>
    <row r="796" spans="1:9" x14ac:dyDescent="0.2">
      <c r="A796" s="10">
        <v>12</v>
      </c>
      <c r="B796" s="1" t="s">
        <v>439</v>
      </c>
      <c r="C796" s="2">
        <v>1</v>
      </c>
      <c r="D796" s="13">
        <v>25</v>
      </c>
      <c r="E796" s="13">
        <v>35</v>
      </c>
      <c r="F796" s="13">
        <f t="shared" si="34"/>
        <v>10</v>
      </c>
      <c r="G796" s="14" t="s">
        <v>461</v>
      </c>
      <c r="H796" s="23" t="s">
        <v>460</v>
      </c>
      <c r="I796" s="23"/>
    </row>
    <row r="797" spans="1:9" x14ac:dyDescent="0.2">
      <c r="A797" s="10">
        <v>12</v>
      </c>
      <c r="B797" s="15" t="s">
        <v>444</v>
      </c>
      <c r="C797" s="2">
        <v>1</v>
      </c>
      <c r="D797" s="13">
        <v>22</v>
      </c>
      <c r="E797" s="13">
        <v>40</v>
      </c>
      <c r="F797" s="13">
        <f t="shared" si="34"/>
        <v>18</v>
      </c>
      <c r="G797" s="14" t="s">
        <v>461</v>
      </c>
      <c r="H797" s="23" t="s">
        <v>460</v>
      </c>
      <c r="I797" s="23"/>
    </row>
    <row r="798" spans="1:9" x14ac:dyDescent="0.2">
      <c r="A798" s="10">
        <v>12</v>
      </c>
      <c r="B798" s="58" t="s">
        <v>437</v>
      </c>
      <c r="C798" s="2">
        <v>1</v>
      </c>
      <c r="D798" s="13">
        <v>25</v>
      </c>
      <c r="E798" s="13">
        <v>50</v>
      </c>
      <c r="F798" s="13">
        <f t="shared" si="34"/>
        <v>25</v>
      </c>
      <c r="G798" s="14" t="s">
        <v>461</v>
      </c>
      <c r="H798" s="23" t="s">
        <v>460</v>
      </c>
      <c r="I798" s="23"/>
    </row>
    <row r="799" spans="1:9" x14ac:dyDescent="0.2">
      <c r="A799" s="10">
        <v>12</v>
      </c>
      <c r="B799" s="15" t="s">
        <v>445</v>
      </c>
      <c r="C799" s="2">
        <v>1</v>
      </c>
      <c r="D799" s="13">
        <v>30</v>
      </c>
      <c r="E799" s="13">
        <v>35</v>
      </c>
      <c r="F799" s="13">
        <f t="shared" si="34"/>
        <v>5</v>
      </c>
      <c r="G799" s="14" t="s">
        <v>461</v>
      </c>
      <c r="H799" s="23" t="s">
        <v>460</v>
      </c>
      <c r="I799" s="23"/>
    </row>
    <row r="800" spans="1:9" x14ac:dyDescent="0.2">
      <c r="A800" s="10">
        <v>12</v>
      </c>
      <c r="B800" s="15" t="s">
        <v>446</v>
      </c>
      <c r="C800" s="2">
        <v>1</v>
      </c>
      <c r="D800" s="13">
        <v>18</v>
      </c>
      <c r="E800" s="13">
        <v>40</v>
      </c>
      <c r="F800" s="13">
        <f t="shared" ref="F800:F833" si="36">E800-D800</f>
        <v>22</v>
      </c>
      <c r="G800" s="14" t="s">
        <v>461</v>
      </c>
      <c r="H800" s="23" t="s">
        <v>460</v>
      </c>
      <c r="I800" s="23"/>
    </row>
    <row r="801" spans="1:9" x14ac:dyDescent="0.2">
      <c r="A801" s="10">
        <v>12</v>
      </c>
      <c r="B801" s="15" t="s">
        <v>446</v>
      </c>
      <c r="C801" s="2">
        <v>1</v>
      </c>
      <c r="D801" s="13">
        <v>18</v>
      </c>
      <c r="E801" s="13">
        <v>40</v>
      </c>
      <c r="F801" s="13">
        <f t="shared" ref="F801" si="37">E801-D801</f>
        <v>22</v>
      </c>
      <c r="G801" s="14" t="s">
        <v>461</v>
      </c>
      <c r="H801" s="23" t="s">
        <v>460</v>
      </c>
      <c r="I801" s="23"/>
    </row>
    <row r="802" spans="1:9" x14ac:dyDescent="0.2">
      <c r="A802" s="10">
        <v>12</v>
      </c>
      <c r="B802" s="15" t="s">
        <v>447</v>
      </c>
      <c r="C802" s="2">
        <v>1</v>
      </c>
      <c r="D802" s="13">
        <v>9</v>
      </c>
      <c r="E802" s="13">
        <v>20</v>
      </c>
      <c r="F802" s="13">
        <f t="shared" si="36"/>
        <v>11</v>
      </c>
      <c r="G802" s="14" t="s">
        <v>461</v>
      </c>
      <c r="H802" s="23" t="s">
        <v>460</v>
      </c>
      <c r="I802" s="23"/>
    </row>
    <row r="803" spans="1:9" x14ac:dyDescent="0.2">
      <c r="A803" s="10">
        <v>12</v>
      </c>
      <c r="B803" s="15" t="s">
        <v>448</v>
      </c>
      <c r="C803" s="2">
        <v>1</v>
      </c>
      <c r="D803" s="13">
        <v>22</v>
      </c>
      <c r="E803" s="13">
        <v>50</v>
      </c>
      <c r="F803" s="13">
        <f t="shared" si="36"/>
        <v>28</v>
      </c>
      <c r="G803" s="14" t="s">
        <v>461</v>
      </c>
      <c r="H803" s="23" t="s">
        <v>460</v>
      </c>
      <c r="I803" s="23"/>
    </row>
    <row r="804" spans="1:9" x14ac:dyDescent="0.2">
      <c r="A804" s="10">
        <v>12</v>
      </c>
      <c r="B804" s="15" t="s">
        <v>449</v>
      </c>
      <c r="C804" s="2">
        <v>1</v>
      </c>
      <c r="D804" s="13">
        <v>30</v>
      </c>
      <c r="E804" s="13">
        <v>45</v>
      </c>
      <c r="F804" s="13">
        <f t="shared" si="36"/>
        <v>15</v>
      </c>
      <c r="G804" s="14" t="s">
        <v>461</v>
      </c>
      <c r="H804" s="23" t="s">
        <v>460</v>
      </c>
      <c r="I804" s="23"/>
    </row>
    <row r="805" spans="1:9" x14ac:dyDescent="0.2">
      <c r="A805" s="10">
        <v>12</v>
      </c>
      <c r="B805" s="15" t="s">
        <v>8</v>
      </c>
      <c r="C805" s="2">
        <v>1</v>
      </c>
      <c r="D805" s="13">
        <v>40</v>
      </c>
      <c r="E805" s="13">
        <v>90</v>
      </c>
      <c r="F805" s="13">
        <f t="shared" si="36"/>
        <v>50</v>
      </c>
      <c r="G805" s="14" t="s">
        <v>461</v>
      </c>
      <c r="H805" s="23" t="s">
        <v>460</v>
      </c>
      <c r="I805" s="23"/>
    </row>
    <row r="806" spans="1:9" x14ac:dyDescent="0.2">
      <c r="A806" s="10">
        <v>12</v>
      </c>
      <c r="B806" s="15" t="s">
        <v>436</v>
      </c>
      <c r="C806" s="2">
        <v>1</v>
      </c>
      <c r="D806" s="13">
        <v>18</v>
      </c>
      <c r="E806" s="13">
        <v>40</v>
      </c>
      <c r="F806" s="13">
        <f t="shared" si="36"/>
        <v>22</v>
      </c>
      <c r="G806" s="14" t="s">
        <v>461</v>
      </c>
      <c r="H806" s="23" t="s">
        <v>460</v>
      </c>
      <c r="I806" s="23"/>
    </row>
    <row r="807" spans="1:9" x14ac:dyDescent="0.2">
      <c r="A807" s="10">
        <v>12</v>
      </c>
      <c r="B807" s="15" t="s">
        <v>436</v>
      </c>
      <c r="C807" s="2">
        <v>1</v>
      </c>
      <c r="D807" s="13">
        <v>18</v>
      </c>
      <c r="E807" s="13">
        <v>40</v>
      </c>
      <c r="F807" s="13">
        <f t="shared" ref="F807" si="38">E807-D807</f>
        <v>22</v>
      </c>
      <c r="G807" s="14" t="s">
        <v>461</v>
      </c>
      <c r="H807" s="23" t="s">
        <v>460</v>
      </c>
      <c r="I807" s="23"/>
    </row>
    <row r="808" spans="1:9" x14ac:dyDescent="0.2">
      <c r="A808" s="10">
        <v>12</v>
      </c>
      <c r="B808" s="15" t="s">
        <v>206</v>
      </c>
      <c r="C808" s="2">
        <v>1</v>
      </c>
      <c r="D808" s="13">
        <v>5.5</v>
      </c>
      <c r="E808" s="13">
        <v>15</v>
      </c>
      <c r="F808" s="13">
        <f t="shared" si="36"/>
        <v>9.5</v>
      </c>
      <c r="G808" s="14" t="s">
        <v>461</v>
      </c>
      <c r="H808" s="23" t="s">
        <v>460</v>
      </c>
      <c r="I808" s="23"/>
    </row>
    <row r="809" spans="1:9" x14ac:dyDescent="0.2">
      <c r="A809" s="10">
        <v>12</v>
      </c>
      <c r="B809" s="15" t="s">
        <v>450</v>
      </c>
      <c r="C809" s="2">
        <v>1</v>
      </c>
      <c r="D809" s="13">
        <v>8.5</v>
      </c>
      <c r="E809" s="13">
        <v>15</v>
      </c>
      <c r="F809" s="13">
        <f t="shared" si="36"/>
        <v>6.5</v>
      </c>
      <c r="G809" s="14" t="s">
        <v>461</v>
      </c>
      <c r="H809" s="23" t="s">
        <v>460</v>
      </c>
      <c r="I809" s="23"/>
    </row>
    <row r="810" spans="1:9" x14ac:dyDescent="0.2">
      <c r="A810" s="10">
        <v>12</v>
      </c>
      <c r="B810" s="15" t="s">
        <v>98</v>
      </c>
      <c r="C810" s="2">
        <v>1</v>
      </c>
      <c r="D810" s="13">
        <v>8</v>
      </c>
      <c r="E810" s="13">
        <v>20</v>
      </c>
      <c r="F810" s="13">
        <f t="shared" si="36"/>
        <v>12</v>
      </c>
      <c r="G810" s="14" t="s">
        <v>461</v>
      </c>
      <c r="H810" s="23" t="s">
        <v>460</v>
      </c>
      <c r="I810" s="23"/>
    </row>
    <row r="811" spans="1:9" x14ac:dyDescent="0.2">
      <c r="A811" s="10">
        <v>12</v>
      </c>
      <c r="B811" s="15" t="s">
        <v>451</v>
      </c>
      <c r="C811" s="2">
        <v>1</v>
      </c>
      <c r="D811" s="13">
        <v>108</v>
      </c>
      <c r="E811" s="13">
        <v>200</v>
      </c>
      <c r="F811" s="13">
        <f>E811-D811</f>
        <v>92</v>
      </c>
      <c r="G811" s="14" t="s">
        <v>461</v>
      </c>
      <c r="H811" s="23" t="s">
        <v>460</v>
      </c>
      <c r="I811" s="23"/>
    </row>
    <row r="812" spans="1:9" x14ac:dyDescent="0.2">
      <c r="A812" s="10">
        <v>12</v>
      </c>
      <c r="B812" s="15" t="s">
        <v>452</v>
      </c>
      <c r="C812" s="2">
        <v>1</v>
      </c>
      <c r="D812" s="13">
        <v>80</v>
      </c>
      <c r="E812" s="13">
        <v>150</v>
      </c>
      <c r="F812" s="13">
        <f t="shared" si="36"/>
        <v>70</v>
      </c>
      <c r="G812" s="14" t="s">
        <v>461</v>
      </c>
      <c r="H812" s="23" t="s">
        <v>460</v>
      </c>
      <c r="I812" s="23"/>
    </row>
    <row r="813" spans="1:9" x14ac:dyDescent="0.2">
      <c r="A813" s="10">
        <v>12</v>
      </c>
      <c r="B813" s="15" t="s">
        <v>8</v>
      </c>
      <c r="C813" s="2">
        <v>1</v>
      </c>
      <c r="D813" s="13">
        <v>40</v>
      </c>
      <c r="E813" s="13">
        <v>80</v>
      </c>
      <c r="F813" s="13">
        <f t="shared" si="36"/>
        <v>40</v>
      </c>
      <c r="G813" s="14" t="s">
        <v>461</v>
      </c>
      <c r="H813" s="23" t="s">
        <v>460</v>
      </c>
      <c r="I813" s="23"/>
    </row>
    <row r="814" spans="1:9" x14ac:dyDescent="0.2">
      <c r="A814" s="10">
        <v>12</v>
      </c>
      <c r="B814" s="15" t="s">
        <v>441</v>
      </c>
      <c r="C814" s="2">
        <v>1</v>
      </c>
      <c r="D814" s="13">
        <v>11</v>
      </c>
      <c r="E814" s="13">
        <v>25</v>
      </c>
      <c r="F814" s="13">
        <f t="shared" si="36"/>
        <v>14</v>
      </c>
      <c r="G814" s="14" t="s">
        <v>461</v>
      </c>
      <c r="H814" s="23" t="s">
        <v>460</v>
      </c>
      <c r="I814" s="23"/>
    </row>
    <row r="815" spans="1:9" x14ac:dyDescent="0.2">
      <c r="A815" s="10">
        <v>12</v>
      </c>
      <c r="B815" s="15" t="s">
        <v>441</v>
      </c>
      <c r="C815" s="2">
        <v>1</v>
      </c>
      <c r="D815" s="13">
        <v>11</v>
      </c>
      <c r="E815" s="13">
        <v>25</v>
      </c>
      <c r="F815" s="13">
        <f t="shared" ref="F815" si="39">E815-D815</f>
        <v>14</v>
      </c>
      <c r="G815" s="14" t="s">
        <v>461</v>
      </c>
      <c r="H815" s="23" t="s">
        <v>460</v>
      </c>
      <c r="I815" s="23"/>
    </row>
    <row r="816" spans="1:9" x14ac:dyDescent="0.2">
      <c r="A816" s="10">
        <v>12</v>
      </c>
      <c r="B816" s="15" t="s">
        <v>224</v>
      </c>
      <c r="C816" s="2">
        <v>1</v>
      </c>
      <c r="D816" s="13">
        <v>38</v>
      </c>
      <c r="E816" s="13">
        <v>50</v>
      </c>
      <c r="F816" s="13">
        <f t="shared" si="36"/>
        <v>12</v>
      </c>
      <c r="G816" s="14" t="s">
        <v>461</v>
      </c>
      <c r="H816" s="23" t="s">
        <v>460</v>
      </c>
      <c r="I816" s="23"/>
    </row>
    <row r="817" spans="1:9" x14ac:dyDescent="0.2">
      <c r="A817" s="10">
        <v>12</v>
      </c>
      <c r="B817" s="15" t="s">
        <v>453</v>
      </c>
      <c r="C817" s="2">
        <v>1</v>
      </c>
      <c r="D817" s="13">
        <v>20</v>
      </c>
      <c r="E817" s="13">
        <v>40</v>
      </c>
      <c r="F817" s="13">
        <f t="shared" si="36"/>
        <v>20</v>
      </c>
      <c r="G817" s="14" t="s">
        <v>461</v>
      </c>
      <c r="H817" s="23" t="s">
        <v>460</v>
      </c>
      <c r="I817" s="23"/>
    </row>
    <row r="818" spans="1:9" x14ac:dyDescent="0.2">
      <c r="A818" s="10">
        <v>12</v>
      </c>
      <c r="B818" s="15" t="s">
        <v>279</v>
      </c>
      <c r="C818" s="2">
        <v>1</v>
      </c>
      <c r="D818" s="13">
        <v>7.5</v>
      </c>
      <c r="E818" s="13">
        <v>20</v>
      </c>
      <c r="F818" s="13">
        <f t="shared" si="36"/>
        <v>12.5</v>
      </c>
      <c r="G818" s="14" t="s">
        <v>461</v>
      </c>
      <c r="H818" s="23" t="s">
        <v>460</v>
      </c>
      <c r="I818" s="23"/>
    </row>
    <row r="819" spans="1:9" x14ac:dyDescent="0.2">
      <c r="A819" s="10">
        <v>12</v>
      </c>
      <c r="B819" s="15" t="s">
        <v>441</v>
      </c>
      <c r="C819" s="2">
        <v>1</v>
      </c>
      <c r="D819" s="13">
        <v>11</v>
      </c>
      <c r="E819" s="13">
        <v>30</v>
      </c>
      <c r="F819" s="13">
        <f t="shared" ref="F819:F820" si="40">E819-D819</f>
        <v>19</v>
      </c>
      <c r="G819" s="14" t="s">
        <v>461</v>
      </c>
      <c r="H819" s="23" t="s">
        <v>460</v>
      </c>
      <c r="I819" s="23"/>
    </row>
    <row r="820" spans="1:9" x14ac:dyDescent="0.2">
      <c r="A820" s="10">
        <v>12</v>
      </c>
      <c r="B820" s="15" t="s">
        <v>441</v>
      </c>
      <c r="C820" s="2">
        <v>1</v>
      </c>
      <c r="D820" s="13">
        <v>11</v>
      </c>
      <c r="E820" s="13">
        <v>30</v>
      </c>
      <c r="F820" s="13">
        <f t="shared" si="40"/>
        <v>19</v>
      </c>
      <c r="G820" s="14" t="s">
        <v>461</v>
      </c>
      <c r="H820" s="23" t="s">
        <v>460</v>
      </c>
      <c r="I820" s="23"/>
    </row>
    <row r="821" spans="1:9" x14ac:dyDescent="0.2">
      <c r="A821" s="10">
        <v>12</v>
      </c>
      <c r="B821" s="15" t="s">
        <v>441</v>
      </c>
      <c r="C821" s="2">
        <v>1</v>
      </c>
      <c r="D821" s="13">
        <v>11</v>
      </c>
      <c r="E821" s="13">
        <v>30</v>
      </c>
      <c r="F821" s="13">
        <f t="shared" ref="F821" si="41">E821-D821</f>
        <v>19</v>
      </c>
      <c r="G821" s="14" t="s">
        <v>461</v>
      </c>
      <c r="H821" s="23" t="s">
        <v>460</v>
      </c>
      <c r="I821" s="23"/>
    </row>
    <row r="822" spans="1:9" x14ac:dyDescent="0.2">
      <c r="A822" s="10">
        <v>12</v>
      </c>
      <c r="B822" s="1" t="s">
        <v>454</v>
      </c>
      <c r="C822" s="2">
        <v>1</v>
      </c>
      <c r="D822" s="13">
        <v>70</v>
      </c>
      <c r="E822" s="13">
        <v>167.7</v>
      </c>
      <c r="F822" s="13">
        <f t="shared" si="36"/>
        <v>97.699999999999989</v>
      </c>
      <c r="G822" s="14" t="s">
        <v>461</v>
      </c>
      <c r="H822" s="23" t="s">
        <v>70</v>
      </c>
      <c r="I822" s="23"/>
    </row>
    <row r="823" spans="1:9" x14ac:dyDescent="0.2">
      <c r="A823" s="10">
        <v>12</v>
      </c>
      <c r="B823" s="1" t="s">
        <v>44</v>
      </c>
      <c r="C823" s="2">
        <v>1</v>
      </c>
      <c r="D823" s="13">
        <v>7</v>
      </c>
      <c r="E823" s="13">
        <v>19.260000000000002</v>
      </c>
      <c r="F823" s="13">
        <f t="shared" si="36"/>
        <v>12.260000000000002</v>
      </c>
      <c r="G823" s="14" t="s">
        <v>461</v>
      </c>
      <c r="H823" s="23" t="s">
        <v>70</v>
      </c>
      <c r="I823" s="23"/>
    </row>
    <row r="824" spans="1:9" x14ac:dyDescent="0.2">
      <c r="A824" s="10">
        <v>12</v>
      </c>
      <c r="B824" s="1" t="s">
        <v>428</v>
      </c>
      <c r="C824" s="2">
        <v>2</v>
      </c>
      <c r="D824" s="13">
        <v>6</v>
      </c>
      <c r="E824" s="13">
        <v>80.8</v>
      </c>
      <c r="F824" s="13">
        <f t="shared" si="36"/>
        <v>74.8</v>
      </c>
      <c r="G824" s="14" t="s">
        <v>461</v>
      </c>
      <c r="H824" s="23" t="s">
        <v>70</v>
      </c>
      <c r="I824" s="23"/>
    </row>
    <row r="825" spans="1:9" x14ac:dyDescent="0.2">
      <c r="A825" s="10">
        <v>12</v>
      </c>
      <c r="B825" s="1" t="s">
        <v>455</v>
      </c>
      <c r="C825" s="2">
        <v>1</v>
      </c>
      <c r="D825" s="13">
        <v>39</v>
      </c>
      <c r="E825" s="13">
        <v>91.61</v>
      </c>
      <c r="F825" s="13">
        <f t="shared" si="36"/>
        <v>52.61</v>
      </c>
      <c r="G825" s="14" t="s">
        <v>461</v>
      </c>
      <c r="H825" s="23" t="s">
        <v>70</v>
      </c>
      <c r="I825" s="23"/>
    </row>
    <row r="826" spans="1:9" x14ac:dyDescent="0.2">
      <c r="A826" s="10">
        <v>12</v>
      </c>
      <c r="B826" s="1" t="s">
        <v>456</v>
      </c>
      <c r="C826" s="2">
        <v>1</v>
      </c>
      <c r="D826" s="13">
        <v>50</v>
      </c>
      <c r="E826" s="13">
        <v>80</v>
      </c>
      <c r="F826" s="13">
        <f t="shared" si="36"/>
        <v>30</v>
      </c>
      <c r="G826" s="14" t="s">
        <v>461</v>
      </c>
      <c r="H826" s="23" t="s">
        <v>70</v>
      </c>
      <c r="I826" s="23"/>
    </row>
    <row r="827" spans="1:9" x14ac:dyDescent="0.2">
      <c r="A827" s="10">
        <v>12</v>
      </c>
      <c r="B827" s="1" t="s">
        <v>457</v>
      </c>
      <c r="C827" s="2">
        <v>1</v>
      </c>
      <c r="D827" s="13">
        <v>7</v>
      </c>
      <c r="E827" s="13">
        <v>24.32</v>
      </c>
      <c r="F827" s="13">
        <f t="shared" si="36"/>
        <v>17.32</v>
      </c>
      <c r="G827" s="14" t="s">
        <v>461</v>
      </c>
      <c r="H827" s="23" t="s">
        <v>70</v>
      </c>
      <c r="I827" s="23"/>
    </row>
    <row r="828" spans="1:9" x14ac:dyDescent="0.2">
      <c r="A828" s="10">
        <v>12</v>
      </c>
      <c r="B828" s="1" t="s">
        <v>189</v>
      </c>
      <c r="C828" s="2">
        <v>1</v>
      </c>
      <c r="D828" s="13">
        <v>1</v>
      </c>
      <c r="E828" s="13">
        <v>9.73</v>
      </c>
      <c r="F828" s="13">
        <f t="shared" si="36"/>
        <v>8.73</v>
      </c>
      <c r="G828" s="14" t="s">
        <v>461</v>
      </c>
      <c r="H828" s="23" t="s">
        <v>70</v>
      </c>
      <c r="I828" s="23"/>
    </row>
    <row r="829" spans="1:9" x14ac:dyDescent="0.2">
      <c r="A829" s="10">
        <v>12</v>
      </c>
      <c r="B829" s="1" t="s">
        <v>253</v>
      </c>
      <c r="C829" s="2">
        <v>2</v>
      </c>
      <c r="D829" s="13">
        <v>28</v>
      </c>
      <c r="E829" s="13">
        <v>95.67</v>
      </c>
      <c r="F829" s="13">
        <f t="shared" si="36"/>
        <v>67.67</v>
      </c>
      <c r="G829" s="14" t="s">
        <v>461</v>
      </c>
      <c r="H829" s="23" t="s">
        <v>70</v>
      </c>
      <c r="I829" s="23"/>
    </row>
    <row r="830" spans="1:9" x14ac:dyDescent="0.2">
      <c r="A830" s="10">
        <v>12</v>
      </c>
      <c r="B830" s="1" t="s">
        <v>167</v>
      </c>
      <c r="C830" s="2">
        <v>2</v>
      </c>
      <c r="D830" s="13">
        <v>80</v>
      </c>
      <c r="E830" s="13">
        <v>189.6</v>
      </c>
      <c r="F830" s="13">
        <f t="shared" si="36"/>
        <v>109.6</v>
      </c>
      <c r="G830" s="14" t="s">
        <v>461</v>
      </c>
      <c r="H830" s="23" t="s">
        <v>70</v>
      </c>
      <c r="I830" s="23"/>
    </row>
    <row r="831" spans="1:9" x14ac:dyDescent="0.2">
      <c r="A831" s="10">
        <v>12</v>
      </c>
      <c r="B831" s="1" t="s">
        <v>420</v>
      </c>
      <c r="C831" s="2">
        <v>24</v>
      </c>
      <c r="D831" s="13">
        <v>360</v>
      </c>
      <c r="E831" s="13">
        <v>807.57</v>
      </c>
      <c r="F831" s="13">
        <f t="shared" si="36"/>
        <v>447.57000000000005</v>
      </c>
      <c r="G831" s="14" t="s">
        <v>461</v>
      </c>
      <c r="H831" s="23" t="s">
        <v>70</v>
      </c>
      <c r="I831" s="23"/>
    </row>
    <row r="832" spans="1:9" x14ac:dyDescent="0.2">
      <c r="A832" s="10">
        <v>12</v>
      </c>
      <c r="B832" s="1" t="s">
        <v>458</v>
      </c>
      <c r="C832" s="2">
        <v>1</v>
      </c>
      <c r="D832" s="13">
        <v>16</v>
      </c>
      <c r="E832" s="13">
        <v>38.229999999999997</v>
      </c>
      <c r="F832" s="13">
        <f t="shared" si="36"/>
        <v>22.229999999999997</v>
      </c>
      <c r="G832" s="14" t="s">
        <v>461</v>
      </c>
      <c r="H832" s="23" t="s">
        <v>70</v>
      </c>
      <c r="I832" s="23"/>
    </row>
    <row r="833" spans="1:9" x14ac:dyDescent="0.2">
      <c r="A833" s="10">
        <v>12</v>
      </c>
      <c r="B833" s="1" t="s">
        <v>370</v>
      </c>
      <c r="C833" s="2">
        <v>6</v>
      </c>
      <c r="D833" s="13">
        <v>234</v>
      </c>
      <c r="E833" s="13">
        <v>494.4</v>
      </c>
      <c r="F833" s="13">
        <f t="shared" si="36"/>
        <v>260.39999999999998</v>
      </c>
      <c r="G833" s="14" t="s">
        <v>461</v>
      </c>
      <c r="H833" s="23" t="s">
        <v>70</v>
      </c>
      <c r="I833" s="23"/>
    </row>
    <row r="1047963" spans="6:6" x14ac:dyDescent="0.2">
      <c r="F1047963" s="13">
        <f>E1047963-D1047963</f>
        <v>0</v>
      </c>
    </row>
  </sheetData>
  <autoFilter ref="A1:H833" xr:uid="{00000000-0001-0000-0200-000000000000}"/>
  <phoneticPr fontId="2" type="noConversion"/>
  <conditionalFormatting sqref="B1:B1048576">
    <cfRule type="expression" dxfId="4" priority="312">
      <formula>G1 = "Pendente"</formula>
    </cfRule>
    <cfRule type="expression" dxfId="3" priority="6993">
      <formula>G1 = "Vendido"</formula>
    </cfRule>
  </conditionalFormatting>
  <conditionalFormatting sqref="F532:F573">
    <cfRule type="cellIs" dxfId="2" priority="148" operator="lessThan">
      <formula>0</formula>
    </cfRule>
  </conditionalFormatting>
  <conditionalFormatting sqref="G1:G1048576">
    <cfRule type="expression" dxfId="1" priority="3">
      <formula>G1 = "Pendente"</formula>
    </cfRule>
    <cfRule type="expression" dxfId="0" priority="5">
      <formula>G1 = "Vendido"</formula>
    </cfRule>
  </conditionalFormatting>
  <pageMargins left="0.511811024" right="0.511811024" top="0.78740157499999996" bottom="0.78740157499999996" header="0.31496062000000002" footer="0.31496062000000002"/>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vendas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cunha</dc:creator>
  <cp:lastModifiedBy>leo</cp:lastModifiedBy>
  <dcterms:created xsi:type="dcterms:W3CDTF">2021-01-28T11:21:43Z</dcterms:created>
  <dcterms:modified xsi:type="dcterms:W3CDTF">2026-07-15T15:54:05Z</dcterms:modified>
</cp:coreProperties>
</file>