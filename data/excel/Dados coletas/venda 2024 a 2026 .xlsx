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data\excel\Dados coletas\"/>
    </mc:Choice>
  </mc:AlternateContent>
  <xr:revisionPtr revIDLastSave="0" documentId="13_ncr:1_{489B0F70-9A01-45EC-8FC8-AA82504D8A03}" xr6:coauthVersionLast="47" xr6:coauthVersionMax="47" xr10:uidLastSave="{00000000-0000-0000-0000-000000000000}"/>
  <bookViews>
    <workbookView xWindow="-120" yWindow="-120" windowWidth="20730" windowHeight="11160" tabRatio="821" activeTab="2" xr2:uid="{00000000-000D-0000-FFFF-FFFF00000000}"/>
  </bookViews>
  <sheets>
    <sheet name="Vendas 2024" sheetId="1" r:id="rId1"/>
    <sheet name="Vendas 2025" sheetId="2" r:id="rId2"/>
    <sheet name="Vendas 2026" sheetId="3" r:id="rId3"/>
    <sheet name="Devedores" sheetId="6" state="hidden" r:id="rId4"/>
    <sheet name="jogos" sheetId="7" state="hidden" r:id="rId5"/>
  </sheets>
  <externalReferences>
    <externalReference r:id="rId6"/>
  </externalReferences>
  <definedNames>
    <definedName name="_xlnm._FilterDatabase" localSheetId="3">Devedores!$I$2:$K$15</definedName>
    <definedName name="_xlnm._FilterDatabase" localSheetId="4">jogos!$F$1:$H$130</definedName>
    <definedName name="Produtos" localSheetId="1">#REF!</definedName>
    <definedName name="Produtos" localSheetId="2">#REF!</definedName>
    <definedName name="Produ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1" i="3"/>
  <c r="I122" i="3"/>
  <c r="I123" i="3"/>
  <c r="I124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H103" i="3"/>
  <c r="H117" i="3"/>
  <c r="H120" i="3"/>
  <c r="H125" i="3"/>
  <c r="H152" i="3"/>
  <c r="I152" i="3" s="1"/>
  <c r="H153" i="3"/>
  <c r="I153" i="3" s="1"/>
  <c r="H216" i="3"/>
  <c r="H257" i="3"/>
  <c r="H394" i="3"/>
  <c r="H412" i="3"/>
  <c r="I412" i="3" s="1"/>
  <c r="H413" i="3"/>
  <c r="I413" i="3" s="1"/>
  <c r="H429" i="3"/>
  <c r="G432" i="3"/>
  <c r="G433" i="3"/>
  <c r="G434" i="3"/>
  <c r="G436" i="3"/>
  <c r="G437" i="3"/>
  <c r="G438" i="3"/>
  <c r="G440" i="3"/>
  <c r="G441" i="3"/>
  <c r="G442" i="3"/>
  <c r="K442" i="3" s="1"/>
  <c r="G443" i="3"/>
  <c r="G444" i="3"/>
  <c r="G450" i="3"/>
  <c r="G451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433" i="3"/>
  <c r="K438" i="3"/>
  <c r="F452" i="3"/>
  <c r="G452" i="3" s="1"/>
  <c r="F449" i="3"/>
  <c r="G449" i="3" s="1"/>
  <c r="F448" i="3"/>
  <c r="G448" i="3" s="1"/>
  <c r="F447" i="3"/>
  <c r="G447" i="3" s="1"/>
  <c r="F446" i="3"/>
  <c r="G446" i="3" s="1"/>
  <c r="F445" i="3"/>
  <c r="G445" i="3" s="1"/>
  <c r="F439" i="3"/>
  <c r="G439" i="3" s="1"/>
  <c r="F435" i="3"/>
  <c r="G435" i="3" s="1"/>
  <c r="K435" i="3" s="1"/>
  <c r="K447" i="3" l="1"/>
  <c r="I429" i="3"/>
  <c r="I257" i="3"/>
  <c r="I125" i="3"/>
  <c r="K445" i="3"/>
  <c r="I216" i="3"/>
  <c r="I120" i="3"/>
  <c r="I103" i="3"/>
  <c r="K437" i="3"/>
  <c r="K432" i="3"/>
  <c r="I394" i="3"/>
  <c r="K450" i="3"/>
  <c r="K434" i="3"/>
  <c r="K439" i="3"/>
  <c r="K444" i="3"/>
  <c r="K440" i="3"/>
  <c r="K441" i="3"/>
  <c r="K436" i="3"/>
  <c r="K451" i="3"/>
  <c r="K443" i="3"/>
  <c r="K446" i="3"/>
  <c r="K449" i="3"/>
  <c r="K452" i="3"/>
  <c r="K448" i="3"/>
  <c r="F429" i="3"/>
  <c r="S5" i="3"/>
  <c r="R3" i="3"/>
  <c r="R4" i="3"/>
  <c r="U4" i="3" s="1"/>
  <c r="R5" i="3"/>
  <c r="U5" i="3" s="1"/>
  <c r="R6" i="3"/>
  <c r="U6" i="3" s="1"/>
  <c r="R7" i="3"/>
  <c r="U7" i="3" s="1"/>
  <c r="R8" i="3"/>
  <c r="U8" i="3" s="1"/>
  <c r="R9" i="3"/>
  <c r="U9" i="3" s="1"/>
  <c r="R10" i="3"/>
  <c r="U10" i="3" s="1"/>
  <c r="R11" i="3"/>
  <c r="U11" i="3" s="1"/>
  <c r="R12" i="3"/>
  <c r="U12" i="3" s="1"/>
  <c r="R13" i="3"/>
  <c r="U13" i="3" s="1"/>
  <c r="R14" i="3"/>
  <c r="U14" i="3" s="1"/>
  <c r="R2" i="3"/>
  <c r="U2" i="3" s="1"/>
  <c r="S3" i="3"/>
  <c r="S4" i="3"/>
  <c r="S6" i="3"/>
  <c r="S7" i="3"/>
  <c r="S8" i="3"/>
  <c r="S9" i="3"/>
  <c r="S10" i="3"/>
  <c r="S11" i="3"/>
  <c r="S12" i="3"/>
  <c r="S13" i="3"/>
  <c r="S14" i="3"/>
  <c r="S2" i="3"/>
  <c r="U3" i="3"/>
  <c r="F370" i="3"/>
  <c r="A303" i="3"/>
  <c r="F302" i="3"/>
  <c r="A72" i="3"/>
  <c r="F153" i="3"/>
  <c r="F122" i="3" l="1"/>
  <c r="G122" i="3" s="1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G32" i="6"/>
  <c r="F32" i="6"/>
  <c r="E32" i="6"/>
  <c r="D32" i="6"/>
  <c r="C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J17" i="6"/>
  <c r="AD16" i="6"/>
  <c r="AD15" i="6"/>
  <c r="G15" i="6"/>
  <c r="F15" i="6"/>
  <c r="D15" i="6"/>
  <c r="C16" i="6" s="1"/>
  <c r="E16" i="6" s="1"/>
  <c r="C15" i="6"/>
  <c r="AD14" i="6"/>
  <c r="AD13" i="6"/>
  <c r="X13" i="6"/>
  <c r="AD12" i="6"/>
  <c r="E12" i="6"/>
  <c r="AD11" i="6"/>
  <c r="E11" i="6"/>
  <c r="AD10" i="6"/>
  <c r="E10" i="6"/>
  <c r="AD9" i="6"/>
  <c r="E9" i="6"/>
  <c r="AD8" i="6"/>
  <c r="U8" i="6"/>
  <c r="U12" i="6" s="1"/>
  <c r="T8" i="6"/>
  <c r="T12" i="6" s="1"/>
  <c r="E8" i="6"/>
  <c r="AD7" i="6"/>
  <c r="E7" i="6"/>
  <c r="AD6" i="6"/>
  <c r="E6" i="6"/>
  <c r="AD5" i="6"/>
  <c r="AD4" i="6"/>
  <c r="AD3" i="6"/>
  <c r="O3" i="6"/>
  <c r="O5" i="6" s="1"/>
  <c r="AD2" i="6"/>
  <c r="X2" i="6"/>
  <c r="X3" i="6" s="1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G431" i="3"/>
  <c r="A431" i="3"/>
  <c r="F430" i="3"/>
  <c r="G430" i="3" s="1"/>
  <c r="A430" i="3"/>
  <c r="G429" i="3"/>
  <c r="A429" i="3"/>
  <c r="G428" i="3"/>
  <c r="A428" i="3"/>
  <c r="G427" i="3"/>
  <c r="A427" i="3"/>
  <c r="F426" i="3"/>
  <c r="G426" i="3" s="1"/>
  <c r="A426" i="3"/>
  <c r="F425" i="3"/>
  <c r="G425" i="3" s="1"/>
  <c r="A425" i="3"/>
  <c r="G424" i="3"/>
  <c r="A424" i="3"/>
  <c r="F423" i="3"/>
  <c r="G423" i="3" s="1"/>
  <c r="A423" i="3"/>
  <c r="F422" i="3"/>
  <c r="G422" i="3" s="1"/>
  <c r="A422" i="3"/>
  <c r="F421" i="3"/>
  <c r="G421" i="3" s="1"/>
  <c r="A421" i="3"/>
  <c r="F420" i="3"/>
  <c r="G420" i="3" s="1"/>
  <c r="A420" i="3"/>
  <c r="F419" i="3"/>
  <c r="G419" i="3" s="1"/>
  <c r="A419" i="3"/>
  <c r="F418" i="3"/>
  <c r="G418" i="3" s="1"/>
  <c r="A418" i="3"/>
  <c r="F417" i="3"/>
  <c r="G417" i="3" s="1"/>
  <c r="A417" i="3"/>
  <c r="F416" i="3"/>
  <c r="G416" i="3" s="1"/>
  <c r="A416" i="3"/>
  <c r="F415" i="3"/>
  <c r="G415" i="3" s="1"/>
  <c r="A415" i="3"/>
  <c r="G414" i="3"/>
  <c r="A414" i="3"/>
  <c r="G413" i="3"/>
  <c r="A413" i="3"/>
  <c r="G412" i="3"/>
  <c r="A412" i="3"/>
  <c r="F411" i="3"/>
  <c r="G411" i="3" s="1"/>
  <c r="A411" i="3"/>
  <c r="F410" i="3"/>
  <c r="G410" i="3" s="1"/>
  <c r="A410" i="3"/>
  <c r="F409" i="3"/>
  <c r="G409" i="3" s="1"/>
  <c r="A409" i="3"/>
  <c r="F408" i="3"/>
  <c r="G408" i="3" s="1"/>
  <c r="A408" i="3"/>
  <c r="F407" i="3"/>
  <c r="G407" i="3" s="1"/>
  <c r="A407" i="3"/>
  <c r="F406" i="3"/>
  <c r="G406" i="3" s="1"/>
  <c r="A406" i="3"/>
  <c r="F405" i="3"/>
  <c r="G405" i="3" s="1"/>
  <c r="A405" i="3"/>
  <c r="G404" i="3"/>
  <c r="A404" i="3"/>
  <c r="F403" i="3"/>
  <c r="G403" i="3" s="1"/>
  <c r="A403" i="3"/>
  <c r="F402" i="3"/>
  <c r="G402" i="3" s="1"/>
  <c r="A402" i="3"/>
  <c r="F401" i="3"/>
  <c r="G401" i="3" s="1"/>
  <c r="A401" i="3"/>
  <c r="F400" i="3"/>
  <c r="G400" i="3" s="1"/>
  <c r="A400" i="3"/>
  <c r="F399" i="3"/>
  <c r="G399" i="3" s="1"/>
  <c r="A399" i="3"/>
  <c r="F398" i="3"/>
  <c r="G398" i="3" s="1"/>
  <c r="A398" i="3"/>
  <c r="F397" i="3"/>
  <c r="G397" i="3" s="1"/>
  <c r="A397" i="3"/>
  <c r="F396" i="3"/>
  <c r="G396" i="3" s="1"/>
  <c r="A396" i="3"/>
  <c r="F395" i="3"/>
  <c r="G395" i="3" s="1"/>
  <c r="A395" i="3"/>
  <c r="F394" i="3"/>
  <c r="G394" i="3" s="1"/>
  <c r="A394" i="3"/>
  <c r="F393" i="3"/>
  <c r="G393" i="3" s="1"/>
  <c r="A393" i="3"/>
  <c r="F392" i="3"/>
  <c r="G392" i="3" s="1"/>
  <c r="A392" i="3"/>
  <c r="F391" i="3"/>
  <c r="G391" i="3" s="1"/>
  <c r="A391" i="3"/>
  <c r="F390" i="3"/>
  <c r="G390" i="3" s="1"/>
  <c r="A390" i="3"/>
  <c r="F389" i="3"/>
  <c r="G389" i="3" s="1"/>
  <c r="A389" i="3"/>
  <c r="G388" i="3"/>
  <c r="A388" i="3"/>
  <c r="F387" i="3"/>
  <c r="G387" i="3" s="1"/>
  <c r="A387" i="3"/>
  <c r="F386" i="3"/>
  <c r="G386" i="3" s="1"/>
  <c r="A386" i="3"/>
  <c r="F385" i="3"/>
  <c r="G385" i="3" s="1"/>
  <c r="A385" i="3"/>
  <c r="G384" i="3"/>
  <c r="A384" i="3"/>
  <c r="G383" i="3"/>
  <c r="A383" i="3"/>
  <c r="F382" i="3"/>
  <c r="G382" i="3" s="1"/>
  <c r="A382" i="3"/>
  <c r="F381" i="3"/>
  <c r="G381" i="3" s="1"/>
  <c r="A381" i="3"/>
  <c r="F380" i="3"/>
  <c r="G380" i="3" s="1"/>
  <c r="A380" i="3"/>
  <c r="F379" i="3"/>
  <c r="G379" i="3" s="1"/>
  <c r="A379" i="3"/>
  <c r="G378" i="3"/>
  <c r="A378" i="3"/>
  <c r="G377" i="3"/>
  <c r="A377" i="3"/>
  <c r="G376" i="3"/>
  <c r="A376" i="3"/>
  <c r="G375" i="3"/>
  <c r="A375" i="3"/>
  <c r="G374" i="3"/>
  <c r="A374" i="3"/>
  <c r="G373" i="3"/>
  <c r="A373" i="3"/>
  <c r="F372" i="3"/>
  <c r="G372" i="3" s="1"/>
  <c r="A372" i="3"/>
  <c r="G371" i="3"/>
  <c r="A371" i="3"/>
  <c r="G370" i="3"/>
  <c r="A370" i="3"/>
  <c r="F369" i="3"/>
  <c r="G369" i="3" s="1"/>
  <c r="A369" i="3"/>
  <c r="F368" i="3"/>
  <c r="G368" i="3" s="1"/>
  <c r="A368" i="3"/>
  <c r="F367" i="3"/>
  <c r="G367" i="3" s="1"/>
  <c r="A367" i="3"/>
  <c r="F366" i="3"/>
  <c r="G366" i="3" s="1"/>
  <c r="A366" i="3"/>
  <c r="F365" i="3"/>
  <c r="G365" i="3" s="1"/>
  <c r="A365" i="3"/>
  <c r="G364" i="3"/>
  <c r="A364" i="3"/>
  <c r="G363" i="3"/>
  <c r="A363" i="3"/>
  <c r="F362" i="3"/>
  <c r="G362" i="3" s="1"/>
  <c r="A362" i="3"/>
  <c r="F361" i="3"/>
  <c r="G361" i="3" s="1"/>
  <c r="A361" i="3"/>
  <c r="F360" i="3"/>
  <c r="G360" i="3" s="1"/>
  <c r="A360" i="3"/>
  <c r="F359" i="3"/>
  <c r="G359" i="3" s="1"/>
  <c r="A359" i="3"/>
  <c r="F358" i="3"/>
  <c r="G358" i="3" s="1"/>
  <c r="A358" i="3"/>
  <c r="F357" i="3"/>
  <c r="G357" i="3" s="1"/>
  <c r="A357" i="3"/>
  <c r="F356" i="3"/>
  <c r="G356" i="3" s="1"/>
  <c r="A356" i="3"/>
  <c r="G355" i="3"/>
  <c r="A355" i="3"/>
  <c r="G354" i="3"/>
  <c r="A354" i="3"/>
  <c r="F353" i="3"/>
  <c r="G353" i="3" s="1"/>
  <c r="A353" i="3"/>
  <c r="F352" i="3"/>
  <c r="G352" i="3" s="1"/>
  <c r="A352" i="3"/>
  <c r="F351" i="3"/>
  <c r="G351" i="3" s="1"/>
  <c r="A351" i="3"/>
  <c r="G350" i="3"/>
  <c r="A350" i="3"/>
  <c r="G349" i="3"/>
  <c r="A349" i="3"/>
  <c r="G348" i="3"/>
  <c r="A348" i="3"/>
  <c r="G347" i="3"/>
  <c r="A347" i="3"/>
  <c r="F346" i="3"/>
  <c r="G346" i="3" s="1"/>
  <c r="A346" i="3"/>
  <c r="G345" i="3"/>
  <c r="A345" i="3"/>
  <c r="F344" i="3"/>
  <c r="G344" i="3" s="1"/>
  <c r="A344" i="3"/>
  <c r="G343" i="3"/>
  <c r="A343" i="3"/>
  <c r="F342" i="3"/>
  <c r="G342" i="3" s="1"/>
  <c r="A342" i="3"/>
  <c r="G341" i="3"/>
  <c r="A341" i="3"/>
  <c r="G340" i="3"/>
  <c r="A340" i="3"/>
  <c r="G339" i="3"/>
  <c r="A339" i="3"/>
  <c r="F338" i="3"/>
  <c r="G338" i="3" s="1"/>
  <c r="A338" i="3"/>
  <c r="F337" i="3"/>
  <c r="G337" i="3" s="1"/>
  <c r="A337" i="3"/>
  <c r="G336" i="3"/>
  <c r="A336" i="3"/>
  <c r="G335" i="3"/>
  <c r="A335" i="3"/>
  <c r="F334" i="3"/>
  <c r="G334" i="3" s="1"/>
  <c r="A334" i="3"/>
  <c r="G333" i="3"/>
  <c r="A333" i="3"/>
  <c r="G332" i="3"/>
  <c r="A332" i="3"/>
  <c r="G331" i="3"/>
  <c r="A331" i="3"/>
  <c r="F330" i="3"/>
  <c r="G330" i="3" s="1"/>
  <c r="A330" i="3"/>
  <c r="G329" i="3"/>
  <c r="A329" i="3"/>
  <c r="F328" i="3"/>
  <c r="G328" i="3" s="1"/>
  <c r="A328" i="3"/>
  <c r="F327" i="3"/>
  <c r="G327" i="3" s="1"/>
  <c r="A327" i="3"/>
  <c r="F326" i="3"/>
  <c r="G326" i="3" s="1"/>
  <c r="A326" i="3"/>
  <c r="F325" i="3"/>
  <c r="G325" i="3" s="1"/>
  <c r="A325" i="3"/>
  <c r="F324" i="3"/>
  <c r="G324" i="3" s="1"/>
  <c r="A324" i="3"/>
  <c r="F323" i="3"/>
  <c r="G323" i="3" s="1"/>
  <c r="A323" i="3"/>
  <c r="F322" i="3"/>
  <c r="G322" i="3" s="1"/>
  <c r="A322" i="3"/>
  <c r="F321" i="3"/>
  <c r="G321" i="3" s="1"/>
  <c r="A321" i="3"/>
  <c r="G320" i="3"/>
  <c r="A320" i="3"/>
  <c r="F319" i="3"/>
  <c r="G319" i="3" s="1"/>
  <c r="A319" i="3"/>
  <c r="G318" i="3"/>
  <c r="A318" i="3"/>
  <c r="F317" i="3"/>
  <c r="G317" i="3" s="1"/>
  <c r="A317" i="3"/>
  <c r="F316" i="3"/>
  <c r="G316" i="3" s="1"/>
  <c r="A316" i="3"/>
  <c r="F315" i="3"/>
  <c r="G315" i="3" s="1"/>
  <c r="A315" i="3"/>
  <c r="F314" i="3"/>
  <c r="G314" i="3" s="1"/>
  <c r="A314" i="3"/>
  <c r="F313" i="3"/>
  <c r="G313" i="3" s="1"/>
  <c r="A313" i="3"/>
  <c r="F312" i="3"/>
  <c r="G312" i="3" s="1"/>
  <c r="A312" i="3"/>
  <c r="F311" i="3"/>
  <c r="G311" i="3" s="1"/>
  <c r="A311" i="3"/>
  <c r="F310" i="3"/>
  <c r="G310" i="3" s="1"/>
  <c r="A310" i="3"/>
  <c r="F309" i="3"/>
  <c r="G309" i="3" s="1"/>
  <c r="A309" i="3"/>
  <c r="G308" i="3"/>
  <c r="A308" i="3"/>
  <c r="G307" i="3"/>
  <c r="A307" i="3"/>
  <c r="F306" i="3"/>
  <c r="G306" i="3" s="1"/>
  <c r="A306" i="3"/>
  <c r="F305" i="3"/>
  <c r="G305" i="3" s="1"/>
  <c r="A305" i="3"/>
  <c r="F304" i="3"/>
  <c r="G304" i="3" s="1"/>
  <c r="A304" i="3"/>
  <c r="G303" i="3"/>
  <c r="G302" i="3"/>
  <c r="A302" i="3"/>
  <c r="G301" i="3"/>
  <c r="A301" i="3"/>
  <c r="G300" i="3"/>
  <c r="A300" i="3"/>
  <c r="G299" i="3"/>
  <c r="A299" i="3"/>
  <c r="G298" i="3"/>
  <c r="A298" i="3"/>
  <c r="G297" i="3"/>
  <c r="A297" i="3"/>
  <c r="G296" i="3"/>
  <c r="A296" i="3"/>
  <c r="F295" i="3"/>
  <c r="G295" i="3" s="1"/>
  <c r="A295" i="3"/>
  <c r="F294" i="3"/>
  <c r="G294" i="3" s="1"/>
  <c r="A294" i="3"/>
  <c r="F293" i="3"/>
  <c r="G293" i="3" s="1"/>
  <c r="A293" i="3"/>
  <c r="G292" i="3"/>
  <c r="A292" i="3"/>
  <c r="G291" i="3"/>
  <c r="A291" i="3"/>
  <c r="G290" i="3"/>
  <c r="A290" i="3"/>
  <c r="F289" i="3"/>
  <c r="G289" i="3" s="1"/>
  <c r="A289" i="3"/>
  <c r="G288" i="3"/>
  <c r="A288" i="3"/>
  <c r="F287" i="3"/>
  <c r="G287" i="3" s="1"/>
  <c r="A287" i="3"/>
  <c r="F286" i="3"/>
  <c r="G286" i="3" s="1"/>
  <c r="A286" i="3"/>
  <c r="F285" i="3"/>
  <c r="G285" i="3" s="1"/>
  <c r="A285" i="3"/>
  <c r="F284" i="3"/>
  <c r="G284" i="3" s="1"/>
  <c r="A284" i="3"/>
  <c r="F283" i="3"/>
  <c r="G283" i="3" s="1"/>
  <c r="A283" i="3"/>
  <c r="F282" i="3"/>
  <c r="G282" i="3" s="1"/>
  <c r="A282" i="3"/>
  <c r="F281" i="3"/>
  <c r="G281" i="3" s="1"/>
  <c r="A281" i="3"/>
  <c r="F280" i="3"/>
  <c r="G280" i="3" s="1"/>
  <c r="A280" i="3"/>
  <c r="F279" i="3"/>
  <c r="G279" i="3" s="1"/>
  <c r="A279" i="3"/>
  <c r="F278" i="3"/>
  <c r="G278" i="3" s="1"/>
  <c r="A278" i="3"/>
  <c r="F277" i="3"/>
  <c r="G277" i="3" s="1"/>
  <c r="A277" i="3"/>
  <c r="G276" i="3"/>
  <c r="A276" i="3"/>
  <c r="G275" i="3"/>
  <c r="A275" i="3"/>
  <c r="F274" i="3"/>
  <c r="G274" i="3" s="1"/>
  <c r="A274" i="3"/>
  <c r="F273" i="3"/>
  <c r="G273" i="3" s="1"/>
  <c r="A273" i="3"/>
  <c r="F272" i="3"/>
  <c r="G272" i="3" s="1"/>
  <c r="A272" i="3"/>
  <c r="F271" i="3"/>
  <c r="G271" i="3" s="1"/>
  <c r="A271" i="3"/>
  <c r="F270" i="3"/>
  <c r="G270" i="3" s="1"/>
  <c r="A270" i="3"/>
  <c r="F269" i="3"/>
  <c r="G269" i="3" s="1"/>
  <c r="A269" i="3"/>
  <c r="F268" i="3"/>
  <c r="G268" i="3" s="1"/>
  <c r="A268" i="3"/>
  <c r="F267" i="3"/>
  <c r="G267" i="3" s="1"/>
  <c r="A267" i="3"/>
  <c r="F266" i="3"/>
  <c r="G266" i="3" s="1"/>
  <c r="A266" i="3"/>
  <c r="G265" i="3"/>
  <c r="A265" i="3"/>
  <c r="F264" i="3"/>
  <c r="G264" i="3" s="1"/>
  <c r="A264" i="3"/>
  <c r="F263" i="3"/>
  <c r="G263" i="3" s="1"/>
  <c r="A263" i="3"/>
  <c r="F262" i="3"/>
  <c r="G262" i="3" s="1"/>
  <c r="A262" i="3"/>
  <c r="F261" i="3"/>
  <c r="G261" i="3" s="1"/>
  <c r="A261" i="3"/>
  <c r="F260" i="3"/>
  <c r="G260" i="3" s="1"/>
  <c r="A260" i="3"/>
  <c r="F259" i="3"/>
  <c r="G259" i="3" s="1"/>
  <c r="A259" i="3"/>
  <c r="G258" i="3"/>
  <c r="A258" i="3"/>
  <c r="F257" i="3"/>
  <c r="G257" i="3" s="1"/>
  <c r="A257" i="3"/>
  <c r="F256" i="3"/>
  <c r="G256" i="3" s="1"/>
  <c r="A256" i="3"/>
  <c r="F255" i="3"/>
  <c r="G255" i="3" s="1"/>
  <c r="A255" i="3"/>
  <c r="G254" i="3"/>
  <c r="A254" i="3"/>
  <c r="G253" i="3"/>
  <c r="A253" i="3"/>
  <c r="G252" i="3"/>
  <c r="A252" i="3"/>
  <c r="F251" i="3"/>
  <c r="G251" i="3" s="1"/>
  <c r="A251" i="3"/>
  <c r="F250" i="3"/>
  <c r="G250" i="3" s="1"/>
  <c r="A250" i="3"/>
  <c r="F249" i="3"/>
  <c r="G249" i="3" s="1"/>
  <c r="A249" i="3"/>
  <c r="F248" i="3"/>
  <c r="G248" i="3" s="1"/>
  <c r="A248" i="3"/>
  <c r="F247" i="3"/>
  <c r="G247" i="3" s="1"/>
  <c r="A247" i="3"/>
  <c r="F246" i="3"/>
  <c r="G246" i="3" s="1"/>
  <c r="A246" i="3"/>
  <c r="G245" i="3"/>
  <c r="A245" i="3"/>
  <c r="F244" i="3"/>
  <c r="G244" i="3" s="1"/>
  <c r="A244" i="3"/>
  <c r="F243" i="3"/>
  <c r="G243" i="3" s="1"/>
  <c r="A243" i="3"/>
  <c r="F242" i="3"/>
  <c r="G242" i="3" s="1"/>
  <c r="A242" i="3"/>
  <c r="F241" i="3"/>
  <c r="G241" i="3" s="1"/>
  <c r="A241" i="3"/>
  <c r="F240" i="3"/>
  <c r="G240" i="3" s="1"/>
  <c r="A240" i="3"/>
  <c r="F239" i="3"/>
  <c r="G239" i="3" s="1"/>
  <c r="A239" i="3"/>
  <c r="F238" i="3"/>
  <c r="G238" i="3" s="1"/>
  <c r="A238" i="3"/>
  <c r="F237" i="3"/>
  <c r="G237" i="3" s="1"/>
  <c r="A237" i="3"/>
  <c r="F236" i="3"/>
  <c r="G236" i="3" s="1"/>
  <c r="A236" i="3"/>
  <c r="F235" i="3"/>
  <c r="G235" i="3" s="1"/>
  <c r="A235" i="3"/>
  <c r="F234" i="3"/>
  <c r="G234" i="3" s="1"/>
  <c r="A234" i="3"/>
  <c r="F233" i="3"/>
  <c r="G233" i="3" s="1"/>
  <c r="A233" i="3"/>
  <c r="F232" i="3"/>
  <c r="G232" i="3" s="1"/>
  <c r="A232" i="3"/>
  <c r="F231" i="3"/>
  <c r="G231" i="3" s="1"/>
  <c r="A231" i="3"/>
  <c r="F230" i="3"/>
  <c r="G230" i="3" s="1"/>
  <c r="A230" i="3"/>
  <c r="F229" i="3"/>
  <c r="G229" i="3" s="1"/>
  <c r="A229" i="3"/>
  <c r="F228" i="3"/>
  <c r="G228" i="3" s="1"/>
  <c r="A228" i="3"/>
  <c r="F227" i="3"/>
  <c r="G227" i="3" s="1"/>
  <c r="A227" i="3"/>
  <c r="G226" i="3"/>
  <c r="A226" i="3"/>
  <c r="G225" i="3"/>
  <c r="A225" i="3"/>
  <c r="F224" i="3"/>
  <c r="G224" i="3" s="1"/>
  <c r="A224" i="3"/>
  <c r="F223" i="3"/>
  <c r="G223" i="3" s="1"/>
  <c r="A223" i="3"/>
  <c r="G222" i="3"/>
  <c r="A222" i="3"/>
  <c r="G221" i="3"/>
  <c r="A221" i="3"/>
  <c r="G220" i="3"/>
  <c r="A220" i="3"/>
  <c r="G219" i="3"/>
  <c r="A219" i="3"/>
  <c r="F218" i="3"/>
  <c r="G218" i="3" s="1"/>
  <c r="A218" i="3"/>
  <c r="F217" i="3"/>
  <c r="G217" i="3" s="1"/>
  <c r="A217" i="3"/>
  <c r="F216" i="3"/>
  <c r="G216" i="3" s="1"/>
  <c r="A216" i="3"/>
  <c r="F215" i="3"/>
  <c r="G215" i="3" s="1"/>
  <c r="A215" i="3"/>
  <c r="F214" i="3"/>
  <c r="G214" i="3" s="1"/>
  <c r="A214" i="3"/>
  <c r="F213" i="3"/>
  <c r="G213" i="3" s="1"/>
  <c r="A213" i="3"/>
  <c r="F212" i="3"/>
  <c r="G212" i="3" s="1"/>
  <c r="A212" i="3"/>
  <c r="F211" i="3"/>
  <c r="G211" i="3" s="1"/>
  <c r="A211" i="3"/>
  <c r="F210" i="3"/>
  <c r="G210" i="3" s="1"/>
  <c r="A210" i="3"/>
  <c r="F209" i="3"/>
  <c r="G209" i="3" s="1"/>
  <c r="A209" i="3"/>
  <c r="G208" i="3"/>
  <c r="A208" i="3"/>
  <c r="F207" i="3"/>
  <c r="G207" i="3" s="1"/>
  <c r="A207" i="3"/>
  <c r="F206" i="3"/>
  <c r="G206" i="3" s="1"/>
  <c r="A206" i="3"/>
  <c r="F205" i="3"/>
  <c r="G205" i="3" s="1"/>
  <c r="A205" i="3"/>
  <c r="F204" i="3"/>
  <c r="G204" i="3" s="1"/>
  <c r="A204" i="3"/>
  <c r="F203" i="3"/>
  <c r="G203" i="3" s="1"/>
  <c r="A203" i="3"/>
  <c r="F202" i="3"/>
  <c r="G202" i="3" s="1"/>
  <c r="A202" i="3"/>
  <c r="G201" i="3"/>
  <c r="A201" i="3"/>
  <c r="F200" i="3"/>
  <c r="G200" i="3" s="1"/>
  <c r="A200" i="3"/>
  <c r="F199" i="3"/>
  <c r="G199" i="3" s="1"/>
  <c r="A199" i="3"/>
  <c r="F198" i="3"/>
  <c r="G198" i="3" s="1"/>
  <c r="A198" i="3"/>
  <c r="F197" i="3"/>
  <c r="G197" i="3" s="1"/>
  <c r="A197" i="3"/>
  <c r="G196" i="3"/>
  <c r="A196" i="3"/>
  <c r="F195" i="3"/>
  <c r="G195" i="3" s="1"/>
  <c r="A195" i="3"/>
  <c r="F194" i="3"/>
  <c r="G194" i="3" s="1"/>
  <c r="A194" i="3"/>
  <c r="G193" i="3"/>
  <c r="A193" i="3"/>
  <c r="F192" i="3"/>
  <c r="G192" i="3" s="1"/>
  <c r="A192" i="3"/>
  <c r="F191" i="3"/>
  <c r="G191" i="3" s="1"/>
  <c r="A191" i="3"/>
  <c r="F190" i="3"/>
  <c r="G190" i="3" s="1"/>
  <c r="A190" i="3"/>
  <c r="F189" i="3"/>
  <c r="G189" i="3" s="1"/>
  <c r="A189" i="3"/>
  <c r="F188" i="3"/>
  <c r="G188" i="3" s="1"/>
  <c r="A188" i="3"/>
  <c r="F187" i="3"/>
  <c r="G187" i="3" s="1"/>
  <c r="A187" i="3"/>
  <c r="F186" i="3"/>
  <c r="G186" i="3" s="1"/>
  <c r="A186" i="3"/>
  <c r="F185" i="3"/>
  <c r="G185" i="3" s="1"/>
  <c r="A185" i="3"/>
  <c r="F184" i="3"/>
  <c r="G184" i="3" s="1"/>
  <c r="A184" i="3"/>
  <c r="F183" i="3"/>
  <c r="G183" i="3" s="1"/>
  <c r="A183" i="3"/>
  <c r="F182" i="3"/>
  <c r="G182" i="3" s="1"/>
  <c r="A182" i="3"/>
  <c r="G181" i="3"/>
  <c r="A181" i="3"/>
  <c r="F180" i="3"/>
  <c r="G180" i="3" s="1"/>
  <c r="A180" i="3"/>
  <c r="F179" i="3"/>
  <c r="G179" i="3" s="1"/>
  <c r="A179" i="3"/>
  <c r="F178" i="3"/>
  <c r="G178" i="3" s="1"/>
  <c r="A178" i="3"/>
  <c r="F177" i="3"/>
  <c r="G177" i="3" s="1"/>
  <c r="A177" i="3"/>
  <c r="F176" i="3"/>
  <c r="G176" i="3" s="1"/>
  <c r="A176" i="3"/>
  <c r="F175" i="3"/>
  <c r="G175" i="3" s="1"/>
  <c r="A175" i="3"/>
  <c r="F174" i="3"/>
  <c r="G174" i="3" s="1"/>
  <c r="A174" i="3"/>
  <c r="F173" i="3"/>
  <c r="G173" i="3" s="1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F166" i="3"/>
  <c r="G166" i="3" s="1"/>
  <c r="A166" i="3"/>
  <c r="G165" i="3"/>
  <c r="A165" i="3"/>
  <c r="G164" i="3"/>
  <c r="A164" i="3"/>
  <c r="G163" i="3"/>
  <c r="A163" i="3"/>
  <c r="F162" i="3"/>
  <c r="G162" i="3" s="1"/>
  <c r="A162" i="3"/>
  <c r="F161" i="3"/>
  <c r="G161" i="3" s="1"/>
  <c r="A161" i="3"/>
  <c r="F160" i="3"/>
  <c r="G160" i="3" s="1"/>
  <c r="A160" i="3"/>
  <c r="F159" i="3"/>
  <c r="G159" i="3" s="1"/>
  <c r="A159" i="3"/>
  <c r="F158" i="3"/>
  <c r="G158" i="3" s="1"/>
  <c r="A158" i="3"/>
  <c r="F157" i="3"/>
  <c r="G157" i="3" s="1"/>
  <c r="A157" i="3"/>
  <c r="F156" i="3"/>
  <c r="G156" i="3" s="1"/>
  <c r="A156" i="3"/>
  <c r="G155" i="3"/>
  <c r="A155" i="3"/>
  <c r="F154" i="3"/>
  <c r="G154" i="3" s="1"/>
  <c r="A154" i="3"/>
  <c r="G153" i="3"/>
  <c r="A153" i="3"/>
  <c r="F152" i="3"/>
  <c r="G152" i="3" s="1"/>
  <c r="A152" i="3"/>
  <c r="G151" i="3"/>
  <c r="A151" i="3"/>
  <c r="F150" i="3"/>
  <c r="G150" i="3" s="1"/>
  <c r="A150" i="3"/>
  <c r="F149" i="3"/>
  <c r="G149" i="3" s="1"/>
  <c r="A149" i="3"/>
  <c r="F148" i="3"/>
  <c r="G148" i="3" s="1"/>
  <c r="A148" i="3"/>
  <c r="F147" i="3"/>
  <c r="G147" i="3" s="1"/>
  <c r="A147" i="3"/>
  <c r="F146" i="3"/>
  <c r="G146" i="3" s="1"/>
  <c r="A146" i="3"/>
  <c r="F145" i="3"/>
  <c r="G145" i="3" s="1"/>
  <c r="A145" i="3"/>
  <c r="F144" i="3"/>
  <c r="G144" i="3" s="1"/>
  <c r="A144" i="3"/>
  <c r="G143" i="3"/>
  <c r="A143" i="3"/>
  <c r="G142" i="3"/>
  <c r="A142" i="3"/>
  <c r="F141" i="3"/>
  <c r="G141" i="3" s="1"/>
  <c r="A141" i="3"/>
  <c r="F140" i="3"/>
  <c r="G140" i="3" s="1"/>
  <c r="A140" i="3"/>
  <c r="G139" i="3"/>
  <c r="A139" i="3"/>
  <c r="F138" i="3"/>
  <c r="G138" i="3" s="1"/>
  <c r="A138" i="3"/>
  <c r="F137" i="3"/>
  <c r="G137" i="3" s="1"/>
  <c r="A137" i="3"/>
  <c r="F136" i="3"/>
  <c r="G136" i="3" s="1"/>
  <c r="A136" i="3"/>
  <c r="F135" i="3"/>
  <c r="G135" i="3" s="1"/>
  <c r="A135" i="3"/>
  <c r="F134" i="3"/>
  <c r="G134" i="3" s="1"/>
  <c r="A134" i="3"/>
  <c r="G133" i="3"/>
  <c r="A133" i="3"/>
  <c r="F132" i="3"/>
  <c r="G132" i="3" s="1"/>
  <c r="A132" i="3"/>
  <c r="F131" i="3"/>
  <c r="G131" i="3" s="1"/>
  <c r="A131" i="3"/>
  <c r="F130" i="3"/>
  <c r="G130" i="3" s="1"/>
  <c r="A130" i="3"/>
  <c r="F129" i="3"/>
  <c r="G129" i="3" s="1"/>
  <c r="A129" i="3"/>
  <c r="F128" i="3"/>
  <c r="G128" i="3" s="1"/>
  <c r="A128" i="3"/>
  <c r="G127" i="3"/>
  <c r="A127" i="3"/>
  <c r="F126" i="3"/>
  <c r="G126" i="3" s="1"/>
  <c r="A126" i="3"/>
  <c r="F125" i="3"/>
  <c r="G125" i="3" s="1"/>
  <c r="A125" i="3"/>
  <c r="G124" i="3"/>
  <c r="A124" i="3"/>
  <c r="F123" i="3"/>
  <c r="G123" i="3" s="1"/>
  <c r="A123" i="3"/>
  <c r="A122" i="3"/>
  <c r="F121" i="3"/>
  <c r="G121" i="3" s="1"/>
  <c r="A121" i="3"/>
  <c r="F120" i="3"/>
  <c r="G120" i="3" s="1"/>
  <c r="A120" i="3"/>
  <c r="G119" i="3"/>
  <c r="A119" i="3"/>
  <c r="G118" i="3"/>
  <c r="A118" i="3"/>
  <c r="F117" i="3"/>
  <c r="G117" i="3" s="1"/>
  <c r="A117" i="3"/>
  <c r="F116" i="3"/>
  <c r="G116" i="3" s="1"/>
  <c r="A116" i="3"/>
  <c r="F115" i="3"/>
  <c r="G115" i="3" s="1"/>
  <c r="A115" i="3"/>
  <c r="F114" i="3"/>
  <c r="G114" i="3" s="1"/>
  <c r="A114" i="3"/>
  <c r="F113" i="3"/>
  <c r="G113" i="3" s="1"/>
  <c r="A113" i="3"/>
  <c r="G112" i="3"/>
  <c r="A112" i="3"/>
  <c r="G111" i="3"/>
  <c r="A111" i="3"/>
  <c r="F110" i="3"/>
  <c r="G110" i="3" s="1"/>
  <c r="A110" i="3"/>
  <c r="F109" i="3"/>
  <c r="G109" i="3" s="1"/>
  <c r="A109" i="3"/>
  <c r="F108" i="3"/>
  <c r="G108" i="3" s="1"/>
  <c r="A108" i="3"/>
  <c r="F107" i="3"/>
  <c r="G107" i="3" s="1"/>
  <c r="A107" i="3"/>
  <c r="F106" i="3"/>
  <c r="G106" i="3" s="1"/>
  <c r="A106" i="3"/>
  <c r="F105" i="3"/>
  <c r="G105" i="3" s="1"/>
  <c r="A105" i="3"/>
  <c r="F104" i="3"/>
  <c r="G104" i="3" s="1"/>
  <c r="A104" i="3"/>
  <c r="F103" i="3"/>
  <c r="G103" i="3" s="1"/>
  <c r="A103" i="3"/>
  <c r="F102" i="3"/>
  <c r="G102" i="3" s="1"/>
  <c r="A102" i="3"/>
  <c r="G101" i="3"/>
  <c r="A101" i="3"/>
  <c r="G100" i="3"/>
  <c r="A100" i="3"/>
  <c r="F99" i="3"/>
  <c r="G99" i="3" s="1"/>
  <c r="A99" i="3"/>
  <c r="G98" i="3"/>
  <c r="A98" i="3"/>
  <c r="F97" i="3"/>
  <c r="G97" i="3" s="1"/>
  <c r="A97" i="3"/>
  <c r="F96" i="3"/>
  <c r="G96" i="3" s="1"/>
  <c r="A96" i="3"/>
  <c r="F95" i="3"/>
  <c r="G95" i="3" s="1"/>
  <c r="A95" i="3"/>
  <c r="F94" i="3"/>
  <c r="G94" i="3" s="1"/>
  <c r="A94" i="3"/>
  <c r="G93" i="3"/>
  <c r="A93" i="3"/>
  <c r="G92" i="3"/>
  <c r="A92" i="3"/>
  <c r="G91" i="3"/>
  <c r="A91" i="3"/>
  <c r="F90" i="3"/>
  <c r="G90" i="3" s="1"/>
  <c r="A90" i="3"/>
  <c r="G89" i="3"/>
  <c r="A89" i="3"/>
  <c r="F88" i="3"/>
  <c r="G88" i="3" s="1"/>
  <c r="A88" i="3"/>
  <c r="F87" i="3"/>
  <c r="G87" i="3" s="1"/>
  <c r="A87" i="3"/>
  <c r="F86" i="3"/>
  <c r="G86" i="3" s="1"/>
  <c r="A86" i="3"/>
  <c r="F85" i="3"/>
  <c r="G85" i="3" s="1"/>
  <c r="A85" i="3"/>
  <c r="F84" i="3"/>
  <c r="G84" i="3" s="1"/>
  <c r="A84" i="3"/>
  <c r="G83" i="3"/>
  <c r="A83" i="3"/>
  <c r="F82" i="3"/>
  <c r="G82" i="3" s="1"/>
  <c r="A82" i="3"/>
  <c r="G81" i="3"/>
  <c r="A81" i="3"/>
  <c r="F80" i="3"/>
  <c r="G80" i="3" s="1"/>
  <c r="A80" i="3"/>
  <c r="F79" i="3"/>
  <c r="G79" i="3" s="1"/>
  <c r="A79" i="3"/>
  <c r="F78" i="3"/>
  <c r="G78" i="3" s="1"/>
  <c r="A78" i="3"/>
  <c r="F77" i="3"/>
  <c r="G77" i="3" s="1"/>
  <c r="A77" i="3"/>
  <c r="F76" i="3"/>
  <c r="G76" i="3" s="1"/>
  <c r="A76" i="3"/>
  <c r="F75" i="3"/>
  <c r="G75" i="3" s="1"/>
  <c r="A75" i="3"/>
  <c r="G74" i="3"/>
  <c r="A74" i="3"/>
  <c r="G73" i="3"/>
  <c r="A73" i="3"/>
  <c r="F72" i="3"/>
  <c r="G72" i="3" s="1"/>
  <c r="F71" i="3"/>
  <c r="G71" i="3" s="1"/>
  <c r="A71" i="3"/>
  <c r="F70" i="3"/>
  <c r="G70" i="3" s="1"/>
  <c r="A70" i="3"/>
  <c r="F69" i="3"/>
  <c r="G69" i="3" s="1"/>
  <c r="A69" i="3"/>
  <c r="G68" i="3"/>
  <c r="A68" i="3"/>
  <c r="G67" i="3"/>
  <c r="A67" i="3"/>
  <c r="F66" i="3"/>
  <c r="G66" i="3" s="1"/>
  <c r="A66" i="3"/>
  <c r="F65" i="3"/>
  <c r="G65" i="3" s="1"/>
  <c r="A65" i="3"/>
  <c r="F64" i="3"/>
  <c r="G64" i="3" s="1"/>
  <c r="A64" i="3"/>
  <c r="F63" i="3"/>
  <c r="G63" i="3" s="1"/>
  <c r="A63" i="3"/>
  <c r="G62" i="3"/>
  <c r="A62" i="3"/>
  <c r="G61" i="3"/>
  <c r="A61" i="3"/>
  <c r="G60" i="3"/>
  <c r="A60" i="3"/>
  <c r="G59" i="3"/>
  <c r="A59" i="3"/>
  <c r="F58" i="3"/>
  <c r="G58" i="3" s="1"/>
  <c r="A58" i="3"/>
  <c r="G57" i="3"/>
  <c r="A57" i="3"/>
  <c r="F56" i="3"/>
  <c r="G56" i="3" s="1"/>
  <c r="A56" i="3"/>
  <c r="G55" i="3"/>
  <c r="A55" i="3"/>
  <c r="F54" i="3"/>
  <c r="G54" i="3" s="1"/>
  <c r="A54" i="3"/>
  <c r="F53" i="3"/>
  <c r="G53" i="3" s="1"/>
  <c r="A53" i="3"/>
  <c r="F52" i="3"/>
  <c r="G52" i="3" s="1"/>
  <c r="A52" i="3"/>
  <c r="F51" i="3"/>
  <c r="G51" i="3" s="1"/>
  <c r="A51" i="3"/>
  <c r="F50" i="3"/>
  <c r="G50" i="3" s="1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F40" i="3"/>
  <c r="G40" i="3" s="1"/>
  <c r="A40" i="3"/>
  <c r="G39" i="3"/>
  <c r="A39" i="3"/>
  <c r="F38" i="3"/>
  <c r="G38" i="3" s="1"/>
  <c r="A38" i="3"/>
  <c r="G37" i="3"/>
  <c r="A37" i="3"/>
  <c r="G36" i="3"/>
  <c r="A36" i="3"/>
  <c r="G35" i="3"/>
  <c r="A35" i="3"/>
  <c r="G34" i="3"/>
  <c r="A34" i="3"/>
  <c r="F33" i="3"/>
  <c r="G33" i="3" s="1"/>
  <c r="A33" i="3"/>
  <c r="F32" i="3"/>
  <c r="G32" i="3" s="1"/>
  <c r="A32" i="3"/>
  <c r="G31" i="3"/>
  <c r="A31" i="3"/>
  <c r="G30" i="3"/>
  <c r="A30" i="3"/>
  <c r="F29" i="3"/>
  <c r="G29" i="3" s="1"/>
  <c r="A29" i="3"/>
  <c r="G28" i="3"/>
  <c r="A28" i="3"/>
  <c r="G27" i="3"/>
  <c r="A27" i="3"/>
  <c r="F26" i="3"/>
  <c r="G26" i="3" s="1"/>
  <c r="A26" i="3"/>
  <c r="F25" i="3"/>
  <c r="G25" i="3" s="1"/>
  <c r="A25" i="3"/>
  <c r="F24" i="3"/>
  <c r="G24" i="3" s="1"/>
  <c r="A24" i="3"/>
  <c r="G23" i="3"/>
  <c r="A23" i="3"/>
  <c r="G22" i="3"/>
  <c r="A22" i="3"/>
  <c r="F21" i="3"/>
  <c r="G21" i="3" s="1"/>
  <c r="A21" i="3"/>
  <c r="F20" i="3"/>
  <c r="G20" i="3" s="1"/>
  <c r="A20" i="3"/>
  <c r="F19" i="3"/>
  <c r="G19" i="3" s="1"/>
  <c r="A19" i="3"/>
  <c r="G18" i="3"/>
  <c r="A18" i="3"/>
  <c r="F17" i="3"/>
  <c r="G17" i="3" s="1"/>
  <c r="A17" i="3"/>
  <c r="G16" i="3"/>
  <c r="A16" i="3"/>
  <c r="F15" i="3"/>
  <c r="G15" i="3" s="1"/>
  <c r="A15" i="3"/>
  <c r="F14" i="3"/>
  <c r="G14" i="3" s="1"/>
  <c r="A14" i="3"/>
  <c r="G13" i="3"/>
  <c r="A13" i="3"/>
  <c r="F12" i="3"/>
  <c r="G12" i="3" s="1"/>
  <c r="A12" i="3"/>
  <c r="F11" i="3"/>
  <c r="G11" i="3" s="1"/>
  <c r="A11" i="3"/>
  <c r="F10" i="3"/>
  <c r="G10" i="3" s="1"/>
  <c r="A10" i="3"/>
  <c r="G9" i="3"/>
  <c r="A9" i="3"/>
  <c r="G8" i="3"/>
  <c r="A8" i="3"/>
  <c r="G7" i="3"/>
  <c r="A7" i="3"/>
  <c r="G6" i="3"/>
  <c r="A6" i="3"/>
  <c r="G5" i="3"/>
  <c r="A5" i="3"/>
  <c r="G4" i="3"/>
  <c r="A4" i="3"/>
  <c r="F3" i="3"/>
  <c r="G3" i="3" s="1"/>
  <c r="A3" i="3"/>
  <c r="G2" i="3"/>
  <c r="K2" i="3" s="1"/>
  <c r="A2" i="3"/>
  <c r="K120" i="3" l="1"/>
  <c r="K122" i="3"/>
  <c r="K260" i="3"/>
  <c r="K264" i="3"/>
  <c r="C33" i="6"/>
  <c r="E33" i="6" s="1"/>
  <c r="K267" i="3"/>
  <c r="K271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1" i="3"/>
  <c r="K345" i="3"/>
  <c r="K349" i="3"/>
  <c r="K353" i="3"/>
  <c r="K357" i="3"/>
  <c r="K361" i="3"/>
  <c r="K365" i="3"/>
  <c r="K369" i="3"/>
  <c r="K373" i="3"/>
  <c r="K377" i="3"/>
  <c r="K381" i="3"/>
  <c r="K385" i="3"/>
  <c r="K392" i="3"/>
  <c r="K396" i="3"/>
  <c r="K400" i="3"/>
  <c r="K404" i="3"/>
  <c r="K408" i="3"/>
  <c r="K412" i="3"/>
  <c r="K416" i="3"/>
  <c r="K420" i="3"/>
  <c r="K424" i="3"/>
  <c r="K428" i="3"/>
  <c r="K296" i="3"/>
  <c r="K300" i="3"/>
  <c r="K304" i="3"/>
  <c r="K308" i="3"/>
  <c r="K312" i="3"/>
  <c r="K316" i="3"/>
  <c r="K320" i="3"/>
  <c r="K324" i="3"/>
  <c r="K328" i="3"/>
  <c r="K332" i="3"/>
  <c r="K336" i="3"/>
  <c r="K339" i="3"/>
  <c r="K343" i="3"/>
  <c r="K347" i="3"/>
  <c r="K351" i="3"/>
  <c r="K355" i="3"/>
  <c r="K359" i="3"/>
  <c r="K363" i="3"/>
  <c r="K367" i="3"/>
  <c r="K371" i="3"/>
  <c r="K375" i="3"/>
  <c r="K379" i="3"/>
  <c r="K383" i="3"/>
  <c r="K387" i="3"/>
  <c r="K390" i="3"/>
  <c r="K394" i="3"/>
  <c r="K398" i="3"/>
  <c r="K402" i="3"/>
  <c r="K406" i="3"/>
  <c r="K410" i="3"/>
  <c r="K414" i="3"/>
  <c r="K418" i="3"/>
  <c r="K422" i="3"/>
  <c r="K426" i="3"/>
  <c r="K430" i="3"/>
  <c r="K259" i="3"/>
  <c r="K263" i="3"/>
  <c r="K266" i="3"/>
  <c r="K270" i="3"/>
  <c r="K274" i="3"/>
  <c r="K285" i="3"/>
  <c r="K289" i="3"/>
  <c r="K293" i="3"/>
  <c r="K297" i="3"/>
  <c r="K301" i="3"/>
  <c r="K305" i="3"/>
  <c r="K309" i="3"/>
  <c r="K313" i="3"/>
  <c r="K317" i="3"/>
  <c r="K321" i="3"/>
  <c r="K325" i="3"/>
  <c r="K329" i="3"/>
  <c r="K333" i="3"/>
  <c r="K337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1" i="3"/>
  <c r="K395" i="3"/>
  <c r="K399" i="3"/>
  <c r="K403" i="3"/>
  <c r="K407" i="3"/>
  <c r="K411" i="3"/>
  <c r="K415" i="3"/>
  <c r="K419" i="3"/>
  <c r="K423" i="3"/>
  <c r="K427" i="3"/>
  <c r="K431" i="3"/>
  <c r="K35" i="3"/>
  <c r="K261" i="3"/>
  <c r="K268" i="3"/>
  <c r="K272" i="3"/>
  <c r="K275" i="3"/>
  <c r="K279" i="3"/>
  <c r="K283" i="3"/>
  <c r="K287" i="3"/>
  <c r="K291" i="3"/>
  <c r="K277" i="3"/>
  <c r="K281" i="3"/>
  <c r="K262" i="3"/>
  <c r="K265" i="3"/>
  <c r="K269" i="3"/>
  <c r="K273" i="3"/>
  <c r="K276" i="3"/>
  <c r="K280" i="3"/>
  <c r="K284" i="3"/>
  <c r="K288" i="3"/>
  <c r="K292" i="3"/>
  <c r="K295" i="3"/>
  <c r="K299" i="3"/>
  <c r="K303" i="3"/>
  <c r="K307" i="3"/>
  <c r="K311" i="3"/>
  <c r="K315" i="3"/>
  <c r="K319" i="3"/>
  <c r="K323" i="3"/>
  <c r="K327" i="3"/>
  <c r="K331" i="3"/>
  <c r="K335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89" i="3"/>
  <c r="K393" i="3"/>
  <c r="K397" i="3"/>
  <c r="K401" i="3"/>
  <c r="K405" i="3"/>
  <c r="K409" i="3"/>
  <c r="K413" i="3"/>
  <c r="K417" i="3"/>
  <c r="K421" i="3"/>
  <c r="K425" i="3"/>
  <c r="K429" i="3"/>
  <c r="K258" i="3"/>
  <c r="K16" i="3"/>
  <c r="K7" i="3"/>
  <c r="K36" i="3"/>
  <c r="K44" i="3"/>
  <c r="K119" i="3"/>
  <c r="K111" i="3"/>
  <c r="K33" i="3"/>
  <c r="K37" i="3"/>
  <c r="K112" i="3"/>
  <c r="K67" i="3"/>
  <c r="K5" i="3"/>
  <c r="K18" i="3"/>
  <c r="K22" i="3"/>
  <c r="K30" i="3"/>
  <c r="K101" i="3"/>
  <c r="K49" i="3"/>
  <c r="K57" i="3"/>
  <c r="K40" i="3"/>
  <c r="K46" i="3"/>
  <c r="K74" i="3"/>
  <c r="K81" i="3"/>
  <c r="K179" i="3"/>
  <c r="K23" i="3"/>
  <c r="K27" i="3"/>
  <c r="K39" i="3"/>
  <c r="K42" i="3"/>
  <c r="K48" i="3"/>
  <c r="K10" i="3"/>
  <c r="K19" i="3"/>
  <c r="K84" i="3"/>
  <c r="K88" i="3"/>
  <c r="K96" i="3"/>
  <c r="K104" i="3"/>
  <c r="K13" i="3"/>
  <c r="K55" i="3"/>
  <c r="K59" i="3"/>
  <c r="K25" i="3"/>
  <c r="K78" i="3"/>
  <c r="K94" i="3"/>
  <c r="K115" i="3"/>
  <c r="K185" i="3"/>
  <c r="K197" i="3"/>
  <c r="K205" i="3"/>
  <c r="K213" i="3"/>
  <c r="K221" i="3"/>
  <c r="K229" i="3"/>
  <c r="K236" i="3"/>
  <c r="K243" i="3"/>
  <c r="K251" i="3"/>
  <c r="K61" i="3"/>
  <c r="K108" i="3"/>
  <c r="K116" i="3"/>
  <c r="K93" i="3"/>
  <c r="K133" i="3"/>
  <c r="K141" i="3"/>
  <c r="K149" i="3"/>
  <c r="K157" i="3"/>
  <c r="K165" i="3"/>
  <c r="K173" i="3"/>
  <c r="K41" i="3"/>
  <c r="K126" i="3"/>
  <c r="K110" i="3"/>
  <c r="K135" i="3"/>
  <c r="K143" i="3"/>
  <c r="K151" i="3"/>
  <c r="K159" i="3"/>
  <c r="K167" i="3"/>
  <c r="K175" i="3"/>
  <c r="K72" i="3"/>
  <c r="K181" i="3"/>
  <c r="K189" i="3"/>
  <c r="K195" i="3"/>
  <c r="K201" i="3"/>
  <c r="K209" i="3"/>
  <c r="K217" i="3"/>
  <c r="K225" i="3"/>
  <c r="K233" i="3"/>
  <c r="K247" i="3"/>
  <c r="K255" i="3"/>
  <c r="K65" i="3"/>
  <c r="K128" i="3"/>
  <c r="K89" i="3"/>
  <c r="K137" i="3"/>
  <c r="K145" i="3"/>
  <c r="K153" i="3"/>
  <c r="K161" i="3"/>
  <c r="K169" i="3"/>
  <c r="K177" i="3"/>
  <c r="K51" i="3"/>
  <c r="K92" i="3"/>
  <c r="K98" i="3"/>
  <c r="K130" i="3"/>
  <c r="K106" i="3"/>
  <c r="K9" i="3"/>
  <c r="K83" i="3"/>
  <c r="K99" i="3"/>
  <c r="K139" i="3"/>
  <c r="K147" i="3"/>
  <c r="K155" i="3"/>
  <c r="K163" i="3"/>
  <c r="K171" i="3"/>
  <c r="K132" i="3"/>
  <c r="K220" i="3"/>
  <c r="K154" i="3"/>
  <c r="K32" i="3"/>
  <c r="K196" i="3"/>
  <c r="K166" i="3"/>
  <c r="K24" i="3"/>
  <c r="K124" i="3"/>
  <c r="K142" i="3"/>
  <c r="K134" i="3"/>
  <c r="K127" i="3"/>
  <c r="K242" i="3"/>
  <c r="K250" i="3"/>
  <c r="K204" i="3"/>
  <c r="K70" i="3"/>
  <c r="K170" i="3"/>
  <c r="K178" i="3"/>
  <c r="K117" i="3"/>
  <c r="K184" i="3"/>
  <c r="K192" i="3"/>
  <c r="K224" i="3"/>
  <c r="K158" i="3"/>
  <c r="K174" i="3"/>
  <c r="K232" i="3"/>
  <c r="K109" i="3"/>
  <c r="K180" i="3"/>
  <c r="K239" i="3"/>
  <c r="K212" i="3"/>
  <c r="K95" i="3"/>
  <c r="K188" i="3"/>
  <c r="K246" i="3"/>
  <c r="K162" i="3"/>
  <c r="K194" i="3"/>
  <c r="K254" i="3"/>
  <c r="K228" i="3"/>
  <c r="K200" i="3"/>
  <c r="K3" i="3"/>
  <c r="K105" i="3"/>
  <c r="K208" i="3"/>
  <c r="K150" i="3"/>
  <c r="K216" i="3"/>
  <c r="K53" i="3"/>
  <c r="K103" i="3"/>
  <c r="K86" i="3"/>
  <c r="K15" i="3"/>
  <c r="K50" i="3"/>
  <c r="K64" i="3"/>
  <c r="K77" i="3"/>
  <c r="K80" i="3"/>
  <c r="K97" i="3"/>
  <c r="K131" i="3"/>
  <c r="K146" i="3"/>
  <c r="K183" i="3"/>
  <c r="K191" i="3"/>
  <c r="K203" i="3"/>
  <c r="K211" i="3"/>
  <c r="K219" i="3"/>
  <c r="K227" i="3"/>
  <c r="K235" i="3"/>
  <c r="K241" i="3"/>
  <c r="K249" i="3"/>
  <c r="K257" i="3"/>
  <c r="K63" i="3"/>
  <c r="K76" i="3"/>
  <c r="K12" i="3"/>
  <c r="K54" i="3"/>
  <c r="K87" i="3"/>
  <c r="K123" i="3"/>
  <c r="K138" i="3"/>
  <c r="K187" i="3"/>
  <c r="K199" i="3"/>
  <c r="K207" i="3"/>
  <c r="K215" i="3"/>
  <c r="K223" i="3"/>
  <c r="K231" i="3"/>
  <c r="K238" i="3"/>
  <c r="K245" i="3"/>
  <c r="K253" i="3"/>
  <c r="K20" i="3"/>
  <c r="K29" i="3"/>
  <c r="K69" i="3"/>
  <c r="K71" i="3"/>
  <c r="K118" i="3"/>
  <c r="K121" i="3"/>
  <c r="K125" i="3"/>
  <c r="K58" i="3"/>
  <c r="K136" i="3"/>
  <c r="K140" i="3"/>
  <c r="K11" i="3"/>
  <c r="K14" i="3"/>
  <c r="K17" i="3"/>
  <c r="K26" i="3"/>
  <c r="K38" i="3"/>
  <c r="K45" i="3"/>
  <c r="K56" i="3"/>
  <c r="K82" i="3"/>
  <c r="K113" i="3"/>
  <c r="K4" i="3"/>
  <c r="K43" i="3"/>
  <c r="K60" i="3"/>
  <c r="K73" i="3"/>
  <c r="K129" i="3"/>
  <c r="K144" i="3"/>
  <c r="K6" i="3"/>
  <c r="K31" i="3"/>
  <c r="K52" i="3"/>
  <c r="K62" i="3"/>
  <c r="K66" i="3"/>
  <c r="K8" i="3"/>
  <c r="K21" i="3"/>
  <c r="K28" i="3"/>
  <c r="K34" i="3"/>
  <c r="K47" i="3"/>
  <c r="K68" i="3"/>
  <c r="K90" i="3"/>
  <c r="K100" i="3"/>
  <c r="K107" i="3"/>
  <c r="K114" i="3"/>
  <c r="K152" i="3"/>
  <c r="K156" i="3"/>
  <c r="K164" i="3"/>
  <c r="K168" i="3"/>
  <c r="K176" i="3"/>
  <c r="K148" i="3"/>
  <c r="K160" i="3"/>
  <c r="K172" i="3"/>
  <c r="K75" i="3"/>
  <c r="K79" i="3"/>
  <c r="K85" i="3"/>
  <c r="K102" i="3"/>
  <c r="K182" i="3"/>
  <c r="K186" i="3"/>
  <c r="K190" i="3"/>
  <c r="K193" i="3"/>
  <c r="K198" i="3"/>
  <c r="K202" i="3"/>
  <c r="K206" i="3"/>
  <c r="K210" i="3"/>
  <c r="K214" i="3"/>
  <c r="K218" i="3"/>
  <c r="K222" i="3"/>
  <c r="K226" i="3"/>
  <c r="K230" i="3"/>
  <c r="K234" i="3"/>
  <c r="K237" i="3"/>
  <c r="K240" i="3"/>
  <c r="K244" i="3"/>
  <c r="K248" i="3"/>
  <c r="K252" i="3"/>
  <c r="K256" i="3"/>
  <c r="K9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51" authorId="0" shapeId="0" xr:uid="{00000000-0006-0000-0000-000001000000}">
      <text>
        <r>
          <rPr>
            <sz val="11"/>
            <color theme="1"/>
            <rFont val="Calibri"/>
            <family val="2"/>
          </rPr>
          <t>======
ID#AAABOqEMqe4
leo cunha    (2024-05-25 21:16:28)
Pagou 40
Falta 30</t>
        </r>
      </text>
    </comment>
    <comment ref="C480" authorId="0" shapeId="0" xr:uid="{00000000-0006-0000-0000-000002000000}">
      <text>
        <r>
          <rPr>
            <sz val="11"/>
            <color theme="1"/>
            <rFont val="Calibri"/>
            <family val="2"/>
          </rPr>
          <t>======
ID#AAABTZ38VqI
ZM STORE    (2024-08-09 14:55:18)
passar musica</t>
        </r>
      </text>
    </comment>
    <comment ref="C481" authorId="0" shapeId="0" xr:uid="{00000000-0006-0000-0000-000003000000}">
      <text>
        <r>
          <rPr>
            <sz val="11"/>
            <color theme="1"/>
            <rFont val="Calibri"/>
            <family val="2"/>
          </rPr>
          <t>======
ID#AAABTZ38VqM
ZM STORE    (2024-08-09 14:55:18)
troca bateria motorola</t>
        </r>
      </text>
    </comment>
    <comment ref="C482" authorId="0" shapeId="0" xr:uid="{00000000-0006-0000-0000-000004000000}">
      <text>
        <r>
          <rPr>
            <sz val="11"/>
            <color theme="1"/>
            <rFont val="Calibri"/>
            <family val="2"/>
          </rPr>
          <t>======
ID#AAABTZ38VqQ
ZM STORE    (2024-08-09 14:55:18)
venda a8+</t>
        </r>
      </text>
    </comment>
    <comment ref="C504" authorId="0" shapeId="0" xr:uid="{00000000-0006-0000-0000-000005000000}">
      <text>
        <r>
          <rPr>
            <sz val="11"/>
            <color theme="1"/>
            <rFont val="Calibri"/>
            <family val="2"/>
          </rPr>
          <t>======
ID#AAABUSj4SDQ
ZM STORE    (2024-08-20 14:53:38)
Vivo</t>
        </r>
      </text>
    </comment>
    <comment ref="C510" authorId="0" shapeId="0" xr:uid="{00000000-0006-0000-0000-000006000000}">
      <text>
        <r>
          <rPr>
            <sz val="11"/>
            <color theme="1"/>
            <rFont val="Calibri"/>
            <family val="2"/>
          </rPr>
          <t>======
ID#AAABNafLHtc
ZM STORE    (2024-08-22 19:53:31)
MUSICA</t>
        </r>
      </text>
    </comment>
    <comment ref="C511" authorId="0" shapeId="0" xr:uid="{00000000-0006-0000-0000-000007000000}">
      <text>
        <r>
          <rPr>
            <sz val="11"/>
            <color theme="1"/>
            <rFont val="Calibri"/>
            <family val="2"/>
          </rPr>
          <t>======
ID#AAABNafLHtg
ZM STORE    (2024-08-22 19:53:31)
MONITOR</t>
        </r>
      </text>
    </comment>
    <comment ref="C526" authorId="0" shapeId="0" xr:uid="{00000000-0006-0000-0000-000008000000}">
      <text>
        <r>
          <rPr>
            <sz val="11"/>
            <color theme="1"/>
            <rFont val="Calibri"/>
            <family val="2"/>
          </rPr>
          <t>======
ID#AAABQBLE14k
ZM STORE    (2024-08-31 16:13:31)
CODABH</t>
        </r>
      </text>
    </comment>
    <comment ref="C527" authorId="0" shapeId="0" xr:uid="{00000000-0006-0000-0000-000009000000}">
      <text>
        <r>
          <rPr>
            <sz val="11"/>
            <color theme="1"/>
            <rFont val="Calibri"/>
            <family val="2"/>
          </rPr>
          <t>======
ID#AAABQBLE14g
ZM STORE    (2024-08-31 16:13:31)
VIDEO GRAVADO</t>
        </r>
      </text>
    </comment>
    <comment ref="C534" authorId="0" shapeId="0" xr:uid="{00000000-0006-0000-0000-00000A000000}">
      <text>
        <r>
          <rPr>
            <sz val="11"/>
            <color theme="1"/>
            <rFont val="Calibri"/>
            <family val="2"/>
          </rPr>
          <t>======
ID#AAABVQe0Pds
ZM    (2024-09-13 19:46:46)
'fonte'
placa de video</t>
        </r>
      </text>
    </comment>
    <comment ref="C545" authorId="0" shapeId="0" xr:uid="{00000000-0006-0000-0000-00000B000000}">
      <text>
        <r>
          <rPr>
            <sz val="11"/>
            <color theme="1"/>
            <rFont val="Calibri"/>
            <family val="2"/>
          </rPr>
          <t>======
ID#AAABVQe0Pdk
ZM    (2024-09-13 19:46:46)
monitor</t>
        </r>
      </text>
    </comment>
    <comment ref="C580" authorId="0" shapeId="0" xr:uid="{00000000-0006-0000-0000-00000C000000}">
      <text>
        <r>
          <rPr>
            <sz val="11"/>
            <color theme="1"/>
            <rFont val="Calibri"/>
            <family val="2"/>
          </rPr>
          <t>======
ID#AAABYQ1ajvM
ZM    (2024-11-07 19:04:43)
vivo</t>
        </r>
      </text>
    </comment>
    <comment ref="C581" authorId="0" shapeId="0" xr:uid="{00000000-0006-0000-0000-00000D000000}">
      <text>
        <r>
          <rPr>
            <sz val="11"/>
            <color theme="1"/>
            <rFont val="Calibri"/>
            <family val="2"/>
          </rPr>
          <t>======
ID#AAABVQe0Pdg
ZM    (2024-09-13 19:46:46)
venda celular</t>
        </r>
      </text>
    </comment>
    <comment ref="C582" authorId="0" shapeId="0" xr:uid="{00000000-0006-0000-0000-00000E000000}">
      <text>
        <r>
          <rPr>
            <sz val="11"/>
            <color theme="1"/>
            <rFont val="Calibri"/>
            <family val="2"/>
          </rPr>
          <t>======
ID#AAABVQe0Pdo
ZM    (2024-09-13 19:46:46)
vivo</t>
        </r>
      </text>
    </comment>
    <comment ref="C610" authorId="0" shapeId="0" xr:uid="{00000000-0006-0000-0000-00000F000000}">
      <text>
        <r>
          <rPr>
            <sz val="11"/>
            <color theme="1"/>
            <rFont val="Calibri"/>
            <family val="2"/>
          </rPr>
          <t>======
ID#AAABVQkmvQw
ZM    (2024-09-13 19:46:46)
vivo</t>
        </r>
      </text>
    </comment>
    <comment ref="C623" authorId="0" shapeId="0" xr:uid="{00000000-0006-0000-0000-000010000000}">
      <text>
        <r>
          <rPr>
            <sz val="11"/>
            <color theme="1"/>
            <rFont val="Calibri"/>
            <family val="2"/>
          </rPr>
          <t>======
ID#AAABYQ1ajvQ
ZM    (2024-11-07 19:04:43)
bateria pc</t>
        </r>
      </text>
    </comment>
    <comment ref="C628" authorId="0" shapeId="0" xr:uid="{00000000-0006-0000-0000-000011000000}">
      <text>
        <r>
          <rPr>
            <sz val="11"/>
            <color theme="1"/>
            <rFont val="Calibri"/>
            <family val="2"/>
          </rPr>
          <t>======
ID#AAABYQ1aju4
ZM    (2024-11-07 19:04:43)
serasa</t>
        </r>
      </text>
    </comment>
    <comment ref="C635" authorId="0" shapeId="0" xr:uid="{00000000-0006-0000-0000-000012000000}">
      <text>
        <r>
          <rPr>
            <sz val="11"/>
            <color theme="1"/>
            <rFont val="Calibri"/>
            <family val="2"/>
          </rPr>
          <t>======
ID#AAABYQ1ajvU
ZM    (2024-11-07 19:04:43)
Transferir fotos</t>
        </r>
      </text>
    </comment>
    <comment ref="C643" authorId="0" shapeId="0" xr:uid="{00000000-0006-0000-0000-000013000000}">
      <text>
        <r>
          <rPr>
            <sz val="11"/>
            <color theme="1"/>
            <rFont val="Calibri"/>
            <family val="2"/>
          </rPr>
          <t>======
ID#AAABYQ1ajvA
ZM    (2024-11-07 19:04:43)
POCO M6 PRO NFC 12ram 512gb</t>
        </r>
      </text>
    </comment>
    <comment ref="C644" authorId="0" shapeId="0" xr:uid="{00000000-0006-0000-0000-000014000000}">
      <text>
        <r>
          <rPr>
            <sz val="11"/>
            <color theme="1"/>
            <rFont val="Calibri"/>
            <family val="2"/>
          </rPr>
          <t>======
ID#AAABYQ1ajvY
ZM    (2024-11-07 19:04:43)
Iphone 11 hugor tela</t>
        </r>
      </text>
    </comment>
    <comment ref="C657" authorId="0" shapeId="0" xr:uid="{00000000-0006-0000-0000-000015000000}">
      <text>
        <r>
          <rPr>
            <sz val="11"/>
            <color theme="1"/>
            <rFont val="Calibri"/>
            <family val="2"/>
          </rPr>
          <t>======
ID#AAABYQ1ajvc
ZM    (2024-11-07 19:04:43)
vivo</t>
        </r>
      </text>
    </comment>
    <comment ref="C673" authorId="0" shapeId="0" xr:uid="{00000000-0006-0000-0000-000016000000}">
      <text>
        <r>
          <rPr>
            <sz val="11"/>
            <color theme="1"/>
            <rFont val="Calibri"/>
            <family val="2"/>
          </rPr>
          <t>======
ID#AAABYQ1ajvE
ZM    (2024-11-07 19:04:43)
formataçao notebok</t>
        </r>
      </text>
    </comment>
    <comment ref="C678" authorId="0" shapeId="0" xr:uid="{00000000-0006-0000-0000-000017000000}">
      <text>
        <r>
          <rPr>
            <sz val="11"/>
            <color theme="1"/>
            <rFont val="Calibri"/>
            <family val="2"/>
          </rPr>
          <t>======
ID#AAABYQ1aju8
ZM    (2024-11-07 19:04:43)
Manutençao notebook</t>
        </r>
      </text>
    </comment>
    <comment ref="C689" authorId="0" shapeId="0" xr:uid="{00000000-0006-0000-0000-000018000000}">
      <text>
        <r>
          <rPr>
            <sz val="11"/>
            <color theme="1"/>
            <rFont val="Calibri"/>
            <family val="2"/>
          </rPr>
          <t>======
ID#AAABYQ1ajvI
ZM    (2024-11-07 19:04:43)
tela iphone x</t>
        </r>
      </text>
    </comment>
    <comment ref="C703" authorId="0" shapeId="0" xr:uid="{00000000-0006-0000-0000-000019000000}">
      <text>
        <r>
          <rPr>
            <sz val="9"/>
            <color rgb="FF000000"/>
            <rFont val="Arial"/>
            <family val="2"/>
          </rPr>
          <t xml:space="preserve">ZM:
Arrumar notebook
</t>
        </r>
      </text>
    </comment>
    <comment ref="C710" authorId="0" shapeId="0" xr:uid="{00000000-0006-0000-0000-00001A000000}">
      <text>
        <r>
          <rPr>
            <sz val="9"/>
            <color rgb="FF000000"/>
            <rFont val="Arial"/>
            <family val="2"/>
          </rPr>
          <t xml:space="preserve">ZM:
Processador
</t>
        </r>
      </text>
    </comment>
    <comment ref="C730" authorId="0" shapeId="0" xr:uid="{00000000-0006-0000-0000-00001B000000}">
      <text>
        <r>
          <rPr>
            <sz val="9"/>
            <color rgb="FF000000"/>
            <rFont val="Arial"/>
            <family val="2"/>
          </rPr>
          <t xml:space="preserve">ZM:
nada consta
</t>
        </r>
      </text>
    </comment>
    <comment ref="C736" authorId="0" shapeId="0" xr:uid="{00000000-0006-0000-0000-00001C000000}">
      <text>
        <r>
          <rPr>
            <sz val="9"/>
            <color rgb="FF000000"/>
            <rFont val="Arial"/>
            <family val="2"/>
          </rPr>
          <t xml:space="preserve">ZM:
passar foto 
</t>
        </r>
      </text>
    </comment>
    <comment ref="C737" authorId="0" shapeId="0" xr:uid="{00000000-0006-0000-0000-00001D000000}">
      <text>
        <r>
          <rPr>
            <sz val="9"/>
            <color rgb="FF000000"/>
            <rFont val="Arial"/>
            <family val="2"/>
          </rPr>
          <t xml:space="preserve">ZM:
limpeza pc
</t>
        </r>
      </text>
    </comment>
    <comment ref="C738" authorId="0" shapeId="0" xr:uid="{00000000-0006-0000-0000-00001E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58" authorId="0" shapeId="0" xr:uid="{00000000-0006-0000-0000-00001F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74" authorId="0" shapeId="0" xr:uid="{00000000-0006-0000-0000-000020000000}">
      <text>
        <r>
          <rPr>
            <sz val="9"/>
            <color rgb="FF000000"/>
            <rFont val="Arial"/>
            <family val="2"/>
          </rPr>
          <t xml:space="preserve">ZM:
motorola bateria
</t>
        </r>
      </text>
    </comment>
    <comment ref="C809" authorId="0" shapeId="0" xr:uid="{00000000-0006-0000-0000-000021000000}">
      <text>
        <r>
          <rPr>
            <sz val="9"/>
            <color rgb="FF000000"/>
            <rFont val="Arial"/>
            <family val="2"/>
          </rPr>
          <t xml:space="preserve">ZM:
caixa de som hugo
</t>
        </r>
      </text>
    </comment>
    <comment ref="C810" authorId="0" shapeId="0" xr:uid="{00000000-0006-0000-0000-000022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15" authorId="0" shapeId="0" xr:uid="{00000000-0006-0000-0000-000023000000}">
      <text>
        <r>
          <rPr>
            <sz val="9"/>
            <color rgb="FF000000"/>
            <rFont val="Arial"/>
            <family val="2"/>
          </rPr>
          <t xml:space="preserve">ZM:
venda pc 
</t>
        </r>
      </text>
    </comment>
    <comment ref="C816" authorId="0" shapeId="0" xr:uid="{00000000-0006-0000-0000-000024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38" authorId="0" shapeId="0" xr:uid="{00000000-0006-0000-0000-000025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0" authorId="0" shapeId="0" xr:uid="{00000000-0006-0000-0000-000026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2" authorId="0" shapeId="0" xr:uid="{00000000-0006-0000-0000-000027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3" authorId="0" shapeId="0" xr:uid="{00000000-0006-0000-0000-000028000000}">
      <text>
        <r>
          <rPr>
            <sz val="9"/>
            <color rgb="FF000000"/>
            <rFont val="Arial"/>
            <family val="2"/>
          </rPr>
          <t>ZM:
venda aparelho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ZM</author>
  </authors>
  <commentList>
    <comment ref="C57" authorId="0" shapeId="0" xr:uid="{00000000-0006-0000-0100-000001000000}">
      <text>
        <r>
          <rPr>
            <sz val="9"/>
            <color rgb="FF000000"/>
            <rFont val="Arial"/>
            <family val="2"/>
          </rPr>
          <t xml:space="preserve">ZM:
tela g31
</t>
        </r>
      </text>
    </comment>
    <comment ref="C58" authorId="0" shapeId="0" xr:uid="{00000000-0006-0000-0100-000002000000}">
      <text>
        <r>
          <rPr>
            <sz val="9"/>
            <color rgb="FF000000"/>
            <rFont val="Arial"/>
            <family val="2"/>
          </rPr>
          <t xml:space="preserve">ZM:
bateria j2 prime
</t>
        </r>
      </text>
    </comment>
    <comment ref="C155" authorId="0" shapeId="0" xr:uid="{00000000-0006-0000-0100-000003000000}">
      <text>
        <r>
          <rPr>
            <sz val="9"/>
            <color rgb="FF000000"/>
            <rFont val="Arial"/>
            <family val="2"/>
          </rPr>
          <t xml:space="preserve">ZM:
segunda via
</t>
        </r>
      </text>
    </comment>
  </commentList>
</comments>
</file>

<file path=xl/sharedStrings.xml><?xml version="1.0" encoding="utf-8"?>
<sst xmlns="http://schemas.openxmlformats.org/spreadsheetml/2006/main" count="10061" uniqueCount="2085">
  <si>
    <t>Mês</t>
  </si>
  <si>
    <t>Data</t>
  </si>
  <si>
    <t>Produto</t>
  </si>
  <si>
    <t>QT</t>
  </si>
  <si>
    <t>Cliente</t>
  </si>
  <si>
    <t>Custo 
Un</t>
  </si>
  <si>
    <t>Valor gasto</t>
  </si>
  <si>
    <t>Valor uni venda</t>
  </si>
  <si>
    <t>Valor da 
venda</t>
  </si>
  <si>
    <t>Tipo de venda</t>
  </si>
  <si>
    <t>Lucro</t>
  </si>
  <si>
    <t>Recebido 
loja</t>
  </si>
  <si>
    <t>Cabo Kingo Iphone 1M</t>
  </si>
  <si>
    <t>Lázaro</t>
  </si>
  <si>
    <t xml:space="preserve">CPF </t>
  </si>
  <si>
    <t>Transferido</t>
  </si>
  <si>
    <t>Mini jogo de luz c/c</t>
  </si>
  <si>
    <t>Shopee</t>
  </si>
  <si>
    <t>Mayra blayner</t>
  </si>
  <si>
    <t>Case Iphone Caixa</t>
  </si>
  <si>
    <t>Aleatorio</t>
  </si>
  <si>
    <t>Powebank hmaster 20k</t>
  </si>
  <si>
    <t>Raquete mata mosquito</t>
  </si>
  <si>
    <t>Projeçao</t>
  </si>
  <si>
    <t>CNPJ</t>
  </si>
  <si>
    <t xml:space="preserve">Luminária astronauta </t>
  </si>
  <si>
    <t>Cheirinho Hungria</t>
  </si>
  <si>
    <t>Lousa magica 8pol</t>
  </si>
  <si>
    <t>Lousa magica 16pol</t>
  </si>
  <si>
    <t>Garrafa 3 in 1 colorida</t>
  </si>
  <si>
    <t>adelicia</t>
  </si>
  <si>
    <t xml:space="preserve">Mochila escolar unissex impermeável com entrada usb  preto  </t>
  </si>
  <si>
    <t>kit ferramentas 41 pçs maleta</t>
  </si>
  <si>
    <t>Marcellin</t>
  </si>
  <si>
    <t>Canivete automático knife</t>
  </si>
  <si>
    <t>Gian</t>
  </si>
  <si>
    <t>Sah</t>
  </si>
  <si>
    <t>Garrafa 3 in 1 colorida leo</t>
  </si>
  <si>
    <t>Copo stanley 500ml</t>
  </si>
  <si>
    <t>douglas</t>
  </si>
  <si>
    <t>Carregador veicular l01-3</t>
  </si>
  <si>
    <t>jogo de chaves peq.</t>
  </si>
  <si>
    <t xml:space="preserve">Robot transforme </t>
  </si>
  <si>
    <t>Natan</t>
  </si>
  <si>
    <t xml:space="preserve">Esfregão mop de limpeza triangular giratório de 360°  </t>
  </si>
  <si>
    <t>Wn loja</t>
  </si>
  <si>
    <t>Bolsa multifuncional masculina de peito</t>
  </si>
  <si>
    <t>Fone fon30024 inova</t>
  </si>
  <si>
    <t>Capinha</t>
  </si>
  <si>
    <t>maria</t>
  </si>
  <si>
    <t>Processador de alimentos 1352</t>
  </si>
  <si>
    <t>sonia</t>
  </si>
  <si>
    <t xml:space="preserve">Mini massageador </t>
  </si>
  <si>
    <t>KIt caneca café stanley</t>
  </si>
  <si>
    <t>Amigo higor</t>
  </si>
  <si>
    <t>Facçao</t>
  </si>
  <si>
    <t>Relógio inteligente KL201 Black</t>
  </si>
  <si>
    <t>Smartwatch i7 pro Max</t>
  </si>
  <si>
    <t xml:space="preserve"> </t>
  </si>
  <si>
    <t>Cabo Spartan v8</t>
  </si>
  <si>
    <t>Trabalho</t>
  </si>
  <si>
    <t>tela mosquito  leo</t>
  </si>
  <si>
    <t>Deborah</t>
  </si>
  <si>
    <t>Cabo kingo tc 1m</t>
  </si>
  <si>
    <t>CPF</t>
  </si>
  <si>
    <t>Powebank kv12047 10k</t>
  </si>
  <si>
    <t>pilha AAA cartela</t>
  </si>
  <si>
    <t>Shopee CPF</t>
  </si>
  <si>
    <t>Garrafa Stanley 600lm</t>
  </si>
  <si>
    <t>Mini máquina de costura</t>
  </si>
  <si>
    <t>Carregador iphone 20w</t>
  </si>
  <si>
    <t>Beatriz almeida sales</t>
  </si>
  <si>
    <t>0</t>
  </si>
  <si>
    <t>Fone pmcell FO-15</t>
  </si>
  <si>
    <t>Marcio</t>
  </si>
  <si>
    <t>pilha AA cartela</t>
  </si>
  <si>
    <t>Pendrive AL 16gb</t>
  </si>
  <si>
    <t>Suporte celular veicular ventosa bmg02</t>
  </si>
  <si>
    <t>Matheus</t>
  </si>
  <si>
    <t>Carregador veicular inova tc</t>
  </si>
  <si>
    <t>Suporte magnético veicular barra</t>
  </si>
  <si>
    <t>Adaptador wifi 2.5g</t>
  </si>
  <si>
    <t>Adaptador wifi 2.5g antena</t>
  </si>
  <si>
    <t xml:space="preserve">Mouse wireless recarregável led rgb 2.4 ghz sem fio  </t>
  </si>
  <si>
    <t>Joelheira EC3360 leo</t>
  </si>
  <si>
    <t>vizinha higor</t>
  </si>
  <si>
    <t>Conversor digital full hd</t>
  </si>
  <si>
    <t>maria constureira</t>
  </si>
  <si>
    <t xml:space="preserve">Cartão de memoria 32gb </t>
  </si>
  <si>
    <t>Camila vizinha</t>
  </si>
  <si>
    <t>Pelicula 3D</t>
  </si>
  <si>
    <t>Marcelo</t>
  </si>
  <si>
    <t>Capa celular simples</t>
  </si>
  <si>
    <t>Leandro</t>
  </si>
  <si>
    <t>Cabo colorido 2 metros tipo c</t>
  </si>
  <si>
    <t>Game pop it</t>
  </si>
  <si>
    <t>Controle ps4</t>
  </si>
  <si>
    <t>Pulseira Mi band</t>
  </si>
  <si>
    <t>Rodrigo</t>
  </si>
  <si>
    <t>Cabo kingo iphone 2m leo</t>
  </si>
  <si>
    <t>Talita</t>
  </si>
  <si>
    <t xml:space="preserve">Mochila escolar universitária unissex </t>
  </si>
  <si>
    <t>Powerbank 10k inova</t>
  </si>
  <si>
    <t>Mae debora</t>
  </si>
  <si>
    <t>Kit colheres colorida</t>
  </si>
  <si>
    <t>Carregador Cabeça  Spartan  - Cw-178</t>
  </si>
  <si>
    <t>aparecida do carmo</t>
  </si>
  <si>
    <t>Bolsa Necessaire Organizadora Para Cosméticos</t>
  </si>
  <si>
    <t xml:space="preserve">Aparecida </t>
  </si>
  <si>
    <t>Kit tesoura cabelo</t>
  </si>
  <si>
    <t>pai marcellin</t>
  </si>
  <si>
    <t>Balança de precisão xm-50522</t>
  </si>
  <si>
    <t>Jogo de chaves peq.</t>
  </si>
  <si>
    <t>Xtreme 3</t>
  </si>
  <si>
    <t>Suporte veicular ventosa it-blue</t>
  </si>
  <si>
    <t>Copo Stanley com som</t>
  </si>
  <si>
    <t>Fone iphone hmaster ej-56</t>
  </si>
  <si>
    <t>jazin</t>
  </si>
  <si>
    <t>Renatinha</t>
  </si>
  <si>
    <t>Case Iphone transparente</t>
  </si>
  <si>
    <t>Cabo colorido iphone 1m</t>
  </si>
  <si>
    <t>Capa a prova d'água</t>
  </si>
  <si>
    <t>Sarah</t>
  </si>
  <si>
    <t>Xerox Preta</t>
  </si>
  <si>
    <t>Serviço aleatorio</t>
  </si>
  <si>
    <t>Mochila escolar universitária unissex com estojo</t>
  </si>
  <si>
    <t>Cabo kingo iphone 1m</t>
  </si>
  <si>
    <t>Regua tomada</t>
  </si>
  <si>
    <t>Ainda não</t>
  </si>
  <si>
    <t>Cadeado alarme</t>
  </si>
  <si>
    <t>mkd</t>
  </si>
  <si>
    <t>Samara</t>
  </si>
  <si>
    <t>andre</t>
  </si>
  <si>
    <t>Controle Pc</t>
  </si>
  <si>
    <t>Pelicularelogio 49mm</t>
  </si>
  <si>
    <t>faca</t>
  </si>
  <si>
    <t xml:space="preserve">Relógio Inteligente Bluetooth 4.0 Smartwatch D20 1.3" 150mah  </t>
  </si>
  <si>
    <t>policia</t>
  </si>
  <si>
    <t>giovanni</t>
  </si>
  <si>
    <t>Impressao Preta</t>
  </si>
  <si>
    <t>magdar</t>
  </si>
  <si>
    <t>primo</t>
  </si>
  <si>
    <t>Fone Bluetooth Sem Fios P9</t>
  </si>
  <si>
    <t>Mini liquidificado</t>
  </si>
  <si>
    <t xml:space="preserve">Blindagem </t>
  </si>
  <si>
    <t>jorlan</t>
  </si>
  <si>
    <t>Game Pop It</t>
  </si>
  <si>
    <t>Cabo Colorido Tipo C 1M</t>
  </si>
  <si>
    <t>Powebank Kv12047 10K</t>
  </si>
  <si>
    <t>Lanterna T9</t>
  </si>
  <si>
    <t>Chave de rodas</t>
  </si>
  <si>
    <t>Controle ps2</t>
  </si>
  <si>
    <t>Garrafa 3 In 1 Colorida</t>
  </si>
  <si>
    <t>jacqueline</t>
  </si>
  <si>
    <t>LOJA</t>
  </si>
  <si>
    <t>Bolsa Multifuncional Masculina De Peito</t>
  </si>
  <si>
    <t>Game Boy + Controle</t>
  </si>
  <si>
    <t>Alissin</t>
  </si>
  <si>
    <t>Pilha Aaa Cartela</t>
  </si>
  <si>
    <t>Joelheira Ec3360 Leo</t>
  </si>
  <si>
    <t xml:space="preserve">Depilador Removedor Pelos Corporal Yes Finishing Touch Light  </t>
  </si>
  <si>
    <t>Kamila</t>
  </si>
  <si>
    <t xml:space="preserve">Esfregão Mop De Limpeza Triangular Giratório De 360°  </t>
  </si>
  <si>
    <t>Zirone</t>
  </si>
  <si>
    <t xml:space="preserve">Vassoura Rodo Mágico Mop Multiuso Silicone Retrátil </t>
  </si>
  <si>
    <t>X12 Bluetooth V5.3 Fone Leo</t>
  </si>
  <si>
    <t>loja lado</t>
  </si>
  <si>
    <t>Mini Fatiador</t>
  </si>
  <si>
    <t xml:space="preserve"> Kit 6 Formas Silicone Para Air Fryer Reutilizável Com Alça </t>
  </si>
  <si>
    <t>Pendrive Al 16Gb</t>
  </si>
  <si>
    <t>Fone Fon30024 Inova</t>
  </si>
  <si>
    <t xml:space="preserve"> Esfregão Rodo Magico Mop Flat Retrátil 360° Com Refil 134 Cm </t>
  </si>
  <si>
    <t>Mouse pad com gel</t>
  </si>
  <si>
    <t>danni</t>
  </si>
  <si>
    <t>Mouse Sem Fio Mou-200</t>
  </si>
  <si>
    <t>Cabo Hdmi 2M</t>
  </si>
  <si>
    <t>Controle Tv Box  Le-7490-1</t>
  </si>
  <si>
    <t>Raquete Mata Mosquito</t>
  </si>
  <si>
    <t>Kit Caneca Café Stanley</t>
  </si>
  <si>
    <t>Suporte Celular Veicular Ventosa Bmg02</t>
  </si>
  <si>
    <t>Garrafa Stanley 600Lm</t>
  </si>
  <si>
    <t>Cabo Y p2/p3</t>
  </si>
  <si>
    <t>Diego</t>
  </si>
  <si>
    <t>Placa de som USB</t>
  </si>
  <si>
    <t>Mini Lanterna Kal1114</t>
  </si>
  <si>
    <t>vigilante</t>
  </si>
  <si>
    <t>Processador De Alimentos 1352</t>
  </si>
  <si>
    <t>Colegio</t>
  </si>
  <si>
    <t>Mochila Escolar Universitária Unissex Com Estojo</t>
  </si>
  <si>
    <t>Caixa Se Som Bluetooth 3*</t>
  </si>
  <si>
    <t>Game Pop It matos</t>
  </si>
  <si>
    <t>Powerbank 5k gold</t>
  </si>
  <si>
    <t>Ssd 240Gb</t>
  </si>
  <si>
    <t>formatação</t>
  </si>
  <si>
    <t>Cabo Kingo Iphone 2M</t>
  </si>
  <si>
    <t>Lanterna Chaveiro Recarregável</t>
  </si>
  <si>
    <t>Mini Massageador</t>
  </si>
  <si>
    <t>Suporte Magnético Veicular Barra</t>
  </si>
  <si>
    <t>Lousa Magica 10Pol</t>
  </si>
  <si>
    <t>Faca</t>
  </si>
  <si>
    <t>Cabo Tipo C Leo</t>
  </si>
  <si>
    <t>Taboa De corta Carne</t>
  </si>
  <si>
    <t>Carregador Iphone 20W</t>
  </si>
  <si>
    <t>Caixa de som id-7224u</t>
  </si>
  <si>
    <t>Controle Gatilho</t>
  </si>
  <si>
    <t xml:space="preserve">Mouse pad simples </t>
  </si>
  <si>
    <t xml:space="preserve">Kit 6 Formas Silicone Para Air Fryer Reutilizável Com Alça </t>
  </si>
  <si>
    <t>Cabo Kingo Tc 1M</t>
  </si>
  <si>
    <t>Lidiane</t>
  </si>
  <si>
    <t>Cabo Tipo C  Leo</t>
  </si>
  <si>
    <t>Game Pop It 15 reais</t>
  </si>
  <si>
    <t>Cabo Colorido 2 Metros Tipo C</t>
  </si>
  <si>
    <t>lucas alves (986016150)</t>
  </si>
  <si>
    <t>Tv box 10k ultra</t>
  </si>
  <si>
    <t>Wesley</t>
  </si>
  <si>
    <t>Baralho C 2 Jogos Bar-69087</t>
  </si>
  <si>
    <t>Formatação</t>
  </si>
  <si>
    <t>Camera Ip Dupla</t>
  </si>
  <si>
    <t>Caixa De Som Inova Kv-88631</t>
  </si>
  <si>
    <t>Cliente maria</t>
  </si>
  <si>
    <t>Climatizador Utra Air Cooler</t>
  </si>
  <si>
    <t>Amolador de faca</t>
  </si>
  <si>
    <t>Sacola 49x42x12cm Colorida</t>
  </si>
  <si>
    <t>Suporte Veicular Retrovisor B-Max</t>
  </si>
  <si>
    <t>Fone De Ouvido P3 Fon8619</t>
  </si>
  <si>
    <t>F9 Fones De Ouvido</t>
  </si>
  <si>
    <t>Rosa lampada</t>
  </si>
  <si>
    <t>jair</t>
  </si>
  <si>
    <t>Ralador de legumes diagonal</t>
  </si>
  <si>
    <t>Copo Stanley 500Ml</t>
  </si>
  <si>
    <t>lojoas</t>
  </si>
  <si>
    <t>Fonte tv box 5v</t>
  </si>
  <si>
    <t>remedio</t>
  </si>
  <si>
    <t>Carregador Veicular L01-3</t>
  </si>
  <si>
    <t>Domino Lata Leo</t>
  </si>
  <si>
    <t xml:space="preserve">Pistola Lança Bolhas 8 Furos Mini Gun Brinquedo </t>
  </si>
  <si>
    <t xml:space="preserve">Luvinha de dedo </t>
  </si>
  <si>
    <t>Balança 10kg</t>
  </si>
  <si>
    <t>matheus</t>
  </si>
  <si>
    <t>Cabo Spartan V8</t>
  </si>
  <si>
    <t>SUL PRATAS</t>
  </si>
  <si>
    <t xml:space="preserve">Receptor bluetooth </t>
  </si>
  <si>
    <t xml:space="preserve">Esfregão Rodo Magico Mop Flat Retrátil 360° Com Refil 134 Cm </t>
  </si>
  <si>
    <t xml:space="preserve">Cartão De Memoria 32Gb </t>
  </si>
  <si>
    <t>Nudes</t>
  </si>
  <si>
    <t>Charge 3+ Leo</t>
  </si>
  <si>
    <t>Fone Pmcell Fo-11</t>
  </si>
  <si>
    <t>Caixa de som md-12268 leds</t>
  </si>
  <si>
    <t>janete</t>
  </si>
  <si>
    <t>tauan</t>
  </si>
  <si>
    <t>Cooler table - suporte notbook</t>
  </si>
  <si>
    <t xml:space="preserve">Carregador Completo Spartan Tc - Cw-301 </t>
  </si>
  <si>
    <t>Pelicula Privacidade</t>
  </si>
  <si>
    <t>Suporte de tv pequeno</t>
  </si>
  <si>
    <t>kit teclado e mouse sem fio mb54264</t>
  </si>
  <si>
    <t>Carro de metal - Fusca</t>
  </si>
  <si>
    <t>lojas</t>
  </si>
  <si>
    <t>loja</t>
  </si>
  <si>
    <t>Projetor p30</t>
  </si>
  <si>
    <t>Nestor</t>
  </si>
  <si>
    <t>Porta Crachá Esticado Leo</t>
  </si>
  <si>
    <t>lucas</t>
  </si>
  <si>
    <t xml:space="preserve">Mouse Wireless Recarregável Led Rgb 2.4 Ghz Sem Fio  </t>
  </si>
  <si>
    <t xml:space="preserve">Lâmpada Led 9W </t>
  </si>
  <si>
    <t>Lampada 50w</t>
  </si>
  <si>
    <t>Microscopio 1000x</t>
  </si>
  <si>
    <t>diego</t>
  </si>
  <si>
    <t>Serviço Aleatorio</t>
  </si>
  <si>
    <t>Patricia</t>
  </si>
  <si>
    <t>Tornozoleira</t>
  </si>
  <si>
    <t>Leandro negao</t>
  </si>
  <si>
    <t>Cabo iphone caixa branca</t>
  </si>
  <si>
    <t>Serviços Celular</t>
  </si>
  <si>
    <t>Amigo rafael</t>
  </si>
  <si>
    <t>Ralador 4 Faces</t>
  </si>
  <si>
    <t>Máquina De Cabelo Dragão</t>
  </si>
  <si>
    <t>engenharia</t>
  </si>
  <si>
    <t>Micro SD kodak 64gb</t>
  </si>
  <si>
    <t>Capa CNH</t>
  </si>
  <si>
    <t>Chave Mandril Leo</t>
  </si>
  <si>
    <t>Bateria 9v</t>
  </si>
  <si>
    <t>Fone jbl 950</t>
  </si>
  <si>
    <t>Lanterna Usb B-Max</t>
  </si>
  <si>
    <t>ester</t>
  </si>
  <si>
    <t xml:space="preserve">Misturador De Bebidas Ovos Portátil Mixer Elétrico 2 Peças Whisk </t>
  </si>
  <si>
    <t>Gatilhos Simples Leo</t>
  </si>
  <si>
    <t>Esther</t>
  </si>
  <si>
    <t>Pula corda academia</t>
  </si>
  <si>
    <t>Mini Máquina De Costura</t>
  </si>
  <si>
    <t xml:space="preserve">Kit talheres </t>
  </si>
  <si>
    <t>Sara</t>
  </si>
  <si>
    <t>kit facas</t>
  </si>
  <si>
    <t>Controle TV</t>
  </si>
  <si>
    <t>marcellin</t>
  </si>
  <si>
    <t>Cabo tipo C - digital</t>
  </si>
  <si>
    <t>Xerox Colorida</t>
  </si>
  <si>
    <t>Garrafa Stanley 1L</t>
  </si>
  <si>
    <t>Caixa Pilha Aa</t>
  </si>
  <si>
    <t>Taser Verde</t>
  </si>
  <si>
    <t>shopee</t>
  </si>
  <si>
    <t>chefe rafael</t>
  </si>
  <si>
    <t xml:space="preserve">Mini Massageador </t>
  </si>
  <si>
    <t>Cliente Caique</t>
  </si>
  <si>
    <t>transferido</t>
  </si>
  <si>
    <t>primo rafael</t>
  </si>
  <si>
    <t>Globo de luz  com controle</t>
  </si>
  <si>
    <t xml:space="preserve">Mochila Escolar Unissex Impermeável Com Entrada Usb  Preto  </t>
  </si>
  <si>
    <t>Bomba D'Agua manual</t>
  </si>
  <si>
    <t>Welio Brandao</t>
  </si>
  <si>
    <t>Cnpj</t>
  </si>
  <si>
    <t>Pilha AA inova</t>
  </si>
  <si>
    <t xml:space="preserve">Cabo HDMI 4 em 1 </t>
  </si>
  <si>
    <t>impressao Colorida</t>
  </si>
  <si>
    <t>pelicula 3d</t>
  </si>
  <si>
    <t>luiz</t>
  </si>
  <si>
    <t>impressao preta</t>
  </si>
  <si>
    <t>Teclado Semigamer</t>
  </si>
  <si>
    <t>cliente Markinhos</t>
  </si>
  <si>
    <t>Garrafa colorida motivacional</t>
  </si>
  <si>
    <t>Controle Gamer Celular Ly84358</t>
  </si>
  <si>
    <t>Cliente bike</t>
  </si>
  <si>
    <t>Adaptador VGA para HDMI</t>
  </si>
  <si>
    <t>mae rafael</t>
  </si>
  <si>
    <t>estilingue led</t>
  </si>
  <si>
    <t>Lâmpada Giratória Ac85</t>
  </si>
  <si>
    <t>Suporte Veicular Le-010</t>
  </si>
  <si>
    <t>xerox preta</t>
  </si>
  <si>
    <t>samsung A04E</t>
  </si>
  <si>
    <t>Caneca starnley</t>
  </si>
  <si>
    <t>ruiva</t>
  </si>
  <si>
    <t>Balança de mala</t>
  </si>
  <si>
    <t>francisco chaveiro</t>
  </si>
  <si>
    <t xml:space="preserve">professor </t>
  </si>
  <si>
    <t>Carregador Spartan V8  Leo</t>
  </si>
  <si>
    <t>Serrat</t>
  </si>
  <si>
    <t>Pelicula 3d</t>
  </si>
  <si>
    <t>cliente</t>
  </si>
  <si>
    <t>impressao colorida</t>
  </si>
  <si>
    <t>cpf</t>
  </si>
  <si>
    <t>ring light</t>
  </si>
  <si>
    <t>Helena loja</t>
  </si>
  <si>
    <t>tapete veicular</t>
  </si>
  <si>
    <t xml:space="preserve">MRV </t>
  </si>
  <si>
    <t>Impressao colorida</t>
  </si>
  <si>
    <t>Cabo Auxiliar P2 Kingo</t>
  </si>
  <si>
    <t>Sue Gomes</t>
  </si>
  <si>
    <t>Adaptador tipo c para usb</t>
  </si>
  <si>
    <t>sara</t>
  </si>
  <si>
    <t>Caixa de som JBL GO3</t>
  </si>
  <si>
    <t>Cliente Jefin</t>
  </si>
  <si>
    <t>Carregador Completo Spartan 3 V8 Cw-Xg20-V8</t>
  </si>
  <si>
    <t>Carregador Veicular Inova Tc</t>
  </si>
  <si>
    <t>Samsung A51</t>
  </si>
  <si>
    <t>Danni</t>
  </si>
  <si>
    <t xml:space="preserve">Cartão De Memoria 16Gb </t>
  </si>
  <si>
    <t>Feira</t>
  </si>
  <si>
    <t>Cabo iphone 20w</t>
  </si>
  <si>
    <t>Sonia</t>
  </si>
  <si>
    <t>Carteira Pequena</t>
  </si>
  <si>
    <t>Digitalização</t>
  </si>
  <si>
    <t>lapela tipoc</t>
  </si>
  <si>
    <t>izabella</t>
  </si>
  <si>
    <t>Mini liquidificado max</t>
  </si>
  <si>
    <t>Cabo Hmaster Tpc 4.8A</t>
  </si>
  <si>
    <t>Smartwatch Colmi-P71</t>
  </si>
  <si>
    <t>Fone Bluetooth lehmox LEF-Y90</t>
  </si>
  <si>
    <t>Kaven Instagram</t>
  </si>
  <si>
    <t>Caixa De Som Ws-887</t>
  </si>
  <si>
    <t>Controle gamepad com-7436</t>
  </si>
  <si>
    <t>Fone m10</t>
  </si>
  <si>
    <t>Carregador cabeça 20w</t>
  </si>
  <si>
    <t>Mateus Franco Leão</t>
  </si>
  <si>
    <t>Delícias Da Vanusa</t>
  </si>
  <si>
    <t>Suporte Veicular b-max BMG-07</t>
  </si>
  <si>
    <t xml:space="preserve">lia </t>
  </si>
  <si>
    <t xml:space="preserve">Faca cutelo </t>
  </si>
  <si>
    <t>Ghilherme</t>
  </si>
  <si>
    <t>cnpj</t>
  </si>
  <si>
    <t>chip recarregado</t>
  </si>
  <si>
    <t>Jogos PS2</t>
  </si>
  <si>
    <t>Adaptador p2 tipo c</t>
  </si>
  <si>
    <t>Computadores</t>
  </si>
  <si>
    <t>loira bazar</t>
  </si>
  <si>
    <t>mae karol</t>
  </si>
  <si>
    <t>Cliente Gian</t>
  </si>
  <si>
    <t>Zilda</t>
  </si>
  <si>
    <t>senhor loja</t>
  </si>
  <si>
    <t>Venda PC</t>
  </si>
  <si>
    <t>Lousa Magica 12Pol NOVO</t>
  </si>
  <si>
    <t>Envelope A4</t>
  </si>
  <si>
    <t>A10</t>
  </si>
  <si>
    <t>cacheados</t>
  </si>
  <si>
    <t>Chip normal</t>
  </si>
  <si>
    <t>alexandre</t>
  </si>
  <si>
    <t>Caixa de som D-G113</t>
  </si>
  <si>
    <t>Ygor Barbosa</t>
  </si>
  <si>
    <t>Acendedo de plasma</t>
  </si>
  <si>
    <t>wn celulares</t>
  </si>
  <si>
    <t>Climatizador Utra Air Cooler ali</t>
  </si>
  <si>
    <t>Carregador completo tipoc LE-285CC</t>
  </si>
  <si>
    <t>max MVB</t>
  </si>
  <si>
    <t>Cabo Hdmi 4M</t>
  </si>
  <si>
    <t>Hub 7 portas 2.0</t>
  </si>
  <si>
    <t>Abraçadeira 5x250mm 50un</t>
  </si>
  <si>
    <t>suporte gancho adesivo</t>
  </si>
  <si>
    <t>ale</t>
  </si>
  <si>
    <t>chip normal</t>
  </si>
  <si>
    <t>Adaptador MICRO SD</t>
  </si>
  <si>
    <t>Chapeu cowboy</t>
  </si>
  <si>
    <t>Thauanny Vanessa</t>
  </si>
  <si>
    <t>Bala trufada</t>
  </si>
  <si>
    <t>celular</t>
  </si>
  <si>
    <t>Ghilherme ferreira</t>
  </si>
  <si>
    <t>Cabo verde</t>
  </si>
  <si>
    <t>Climatizador Utra Air Cooler novo</t>
  </si>
  <si>
    <t>Cabeça carregador 3.1a ka-5601</t>
  </si>
  <si>
    <t>gordinha sex</t>
  </si>
  <si>
    <t>Kit completo carregador 20w</t>
  </si>
  <si>
    <t>Arma de hidrogel AR15</t>
  </si>
  <si>
    <t>Guilherme dutra</t>
  </si>
  <si>
    <t>mae sindico</t>
  </si>
  <si>
    <t>Fone redmi branco</t>
  </si>
  <si>
    <t>Mauro</t>
  </si>
  <si>
    <t>Tela Mosquito  Leo</t>
  </si>
  <si>
    <t xml:space="preserve">cliente pc </t>
  </si>
  <si>
    <t>Mini antena digital</t>
  </si>
  <si>
    <t>Dinheiro emprestao</t>
  </si>
  <si>
    <t>Aspirador de carro sem fios</t>
  </si>
  <si>
    <t>joao celular</t>
  </si>
  <si>
    <t>Relogio prata</t>
  </si>
  <si>
    <t>Filho Serrat</t>
  </si>
  <si>
    <t>Gravação de musica</t>
  </si>
  <si>
    <t>Cabo USB x USB</t>
  </si>
  <si>
    <t>Caixa de som AL-3639</t>
  </si>
  <si>
    <t>Antoniael</t>
  </si>
  <si>
    <t>Priscila</t>
  </si>
  <si>
    <t>NILO</t>
  </si>
  <si>
    <t>Licha de unhas</t>
  </si>
  <si>
    <t xml:space="preserve">Kit Porta Detergente Dispense Com Bucha Louça  </t>
  </si>
  <si>
    <t>Bateria 2032</t>
  </si>
  <si>
    <t>Case HD externo</t>
  </si>
  <si>
    <t>SSD 128gb ali</t>
  </si>
  <si>
    <t>Bruno</t>
  </si>
  <si>
    <t>Pirulito bigbig</t>
  </si>
  <si>
    <t>Adaptador Wifi 2.5G Antena MS</t>
  </si>
  <si>
    <t>hugo Som</t>
  </si>
  <si>
    <t>venda Celular</t>
  </si>
  <si>
    <t>higor</t>
  </si>
  <si>
    <t>Super. Cola 3G Leo</t>
  </si>
  <si>
    <t>nildo</t>
  </si>
  <si>
    <t>francisco</t>
  </si>
  <si>
    <t>matheus impressao</t>
  </si>
  <si>
    <t>Fone redmi vermelho</t>
  </si>
  <si>
    <t>Fone Pmcell Fo-15</t>
  </si>
  <si>
    <t>Cliente roberto carlos</t>
  </si>
  <si>
    <t>cliente nilo</t>
  </si>
  <si>
    <t>Bolinhas hidrogel</t>
  </si>
  <si>
    <t>mae hugo</t>
  </si>
  <si>
    <t>Pistola de bolhas de sabao</t>
  </si>
  <si>
    <t xml:space="preserve">Cabo displayport </t>
  </si>
  <si>
    <t>Extensao 12 portas</t>
  </si>
  <si>
    <t>Alexandre</t>
  </si>
  <si>
    <t>Fone de ouvido m10</t>
  </si>
  <si>
    <t>mae carol</t>
  </si>
  <si>
    <t>Rafael amigo</t>
  </si>
  <si>
    <t>pilha R6 AAA</t>
  </si>
  <si>
    <t>Fone De Ouvido Lelong Le-02</t>
  </si>
  <si>
    <t>Gustavo projeçao</t>
  </si>
  <si>
    <t>Powerbank 20k gold</t>
  </si>
  <si>
    <t>elvis</t>
  </si>
  <si>
    <t>Globo de luz  sem controle</t>
  </si>
  <si>
    <t>cliente caio</t>
  </si>
  <si>
    <t>amigo rafael</t>
  </si>
  <si>
    <t>Cliente mateus</t>
  </si>
  <si>
    <t>escova de cabelos</t>
  </si>
  <si>
    <t>Capa de chuva</t>
  </si>
  <si>
    <t>Cabo v8 4.8 max H72-1</t>
  </si>
  <si>
    <t>Gheisa</t>
  </si>
  <si>
    <t>Cabo Inova Tc Cbo-12223</t>
  </si>
  <si>
    <t>capinha</t>
  </si>
  <si>
    <t>Bala Café</t>
  </si>
  <si>
    <t>Cliente Washington Lima</t>
  </si>
  <si>
    <t>estençao 5m</t>
  </si>
  <si>
    <t>serrat</t>
  </si>
  <si>
    <t>Pisca pisca vermelho 100 leds</t>
  </si>
  <si>
    <t>Mae hugo</t>
  </si>
  <si>
    <t>Enfeite de natal verde</t>
  </si>
  <si>
    <t>Vestido longo</t>
  </si>
  <si>
    <t>Caixa de som reddragon pc</t>
  </si>
  <si>
    <t>Fabiana lopes</t>
  </si>
  <si>
    <t>hdmi multilaser</t>
  </si>
  <si>
    <t>Isqueiro auto</t>
  </si>
  <si>
    <t>sul joias</t>
  </si>
  <si>
    <t>marmita</t>
  </si>
  <si>
    <t>pisca pisca planta</t>
  </si>
  <si>
    <t>luvinhas dedo N</t>
  </si>
  <si>
    <t>Memoria DDR3l 8gb</t>
  </si>
  <si>
    <t>andarilhos</t>
  </si>
  <si>
    <t>irmao</t>
  </si>
  <si>
    <t>Fonte Usb Spartan</t>
  </si>
  <si>
    <t>Pisca pisca arroz 100 leds</t>
  </si>
  <si>
    <t>Curtina pisca pisca</t>
  </si>
  <si>
    <t>Lâmpada Festa Dupla Crs2250</t>
  </si>
  <si>
    <t>Cliente Tayssa</t>
  </si>
  <si>
    <t>Cabo Colorido v8 1M</t>
  </si>
  <si>
    <t xml:space="preserve">HD 500 </t>
  </si>
  <si>
    <t>Projetor hd mn-29990</t>
  </si>
  <si>
    <t>Cliente Projeto Rubens</t>
  </si>
  <si>
    <t>bruna pontes</t>
  </si>
  <si>
    <t>Cliente mateus impressao</t>
  </si>
  <si>
    <t xml:space="preserve">Rodo Esfregão Spray Mop Magico Limpeza Com Reservatório 300ml </t>
  </si>
  <si>
    <t>SSD 220gb</t>
  </si>
  <si>
    <t>Senhor relogio</t>
  </si>
  <si>
    <t>Cliente Fernando Fonseca</t>
  </si>
  <si>
    <t>Cliente andreia pc</t>
  </si>
  <si>
    <t>fonte universal</t>
  </si>
  <si>
    <t>SSD 120gb DF</t>
  </si>
  <si>
    <t>carregador tipo C 50w</t>
  </si>
  <si>
    <t>cliente maria</t>
  </si>
  <si>
    <t>Cliente Pendrive Fatima</t>
  </si>
  <si>
    <t>Pendrive 16gb AL-U-16</t>
  </si>
  <si>
    <t>Pendrive 64gb AL-U-16</t>
  </si>
  <si>
    <t>T 3 Pontas</t>
  </si>
  <si>
    <t>Cabo usb EXTENSOR</t>
  </si>
  <si>
    <t>sah</t>
  </si>
  <si>
    <t>Pilha Alcalina flex AAA</t>
  </si>
  <si>
    <t xml:space="preserve">cabo de força </t>
  </si>
  <si>
    <t xml:space="preserve">Caixinha de som d3142 </t>
  </si>
  <si>
    <t>kit mouse e teclado sem fio k4</t>
  </si>
  <si>
    <t>Ray p7</t>
  </si>
  <si>
    <t>caixinha de som AL-1115</t>
  </si>
  <si>
    <t>ANDRE</t>
  </si>
  <si>
    <t xml:space="preserve">Carregador tipo c 67 w </t>
  </si>
  <si>
    <t>teinha</t>
  </si>
  <si>
    <t>Internet</t>
  </si>
  <si>
    <t>Magdar</t>
  </si>
  <si>
    <t>Adaptador bluetooth</t>
  </si>
  <si>
    <t>Mouse com fio IN-20055</t>
  </si>
  <si>
    <t>cliente samuel antigo</t>
  </si>
  <si>
    <t>Teclado usb vx pro Simples</t>
  </si>
  <si>
    <t>Miniteclado Tv Box</t>
  </si>
  <si>
    <t>Arminha de gel mp7</t>
  </si>
  <si>
    <t>Smartwhat zw36</t>
  </si>
  <si>
    <t>Mouse gamer 01</t>
  </si>
  <si>
    <t>Fonte 12v</t>
  </si>
  <si>
    <t>Fisica</t>
  </si>
  <si>
    <t>adaptador bluetooth</t>
  </si>
  <si>
    <t>cliente israel</t>
  </si>
  <si>
    <t xml:space="preserve">Controle wireless gamepad alto-4w </t>
  </si>
  <si>
    <t>luvinha de dedo</t>
  </si>
  <si>
    <t>Cliente Impressão João Pedro</t>
  </si>
  <si>
    <t>Cliente Pc Ronei</t>
  </si>
  <si>
    <t>chip com recarga</t>
  </si>
  <si>
    <t>manutençao</t>
  </si>
  <si>
    <t>PILHA FLEX AAA</t>
  </si>
  <si>
    <t>Cabo auxiliar p2 LE-804</t>
  </si>
  <si>
    <t>RELOGIO</t>
  </si>
  <si>
    <t>senhor</t>
  </si>
  <si>
    <t>Carregador tipo c 4.1 LE-497</t>
  </si>
  <si>
    <t>fernando</t>
  </si>
  <si>
    <t>Fonte notebook grasep</t>
  </si>
  <si>
    <t>Diretora higor</t>
  </si>
  <si>
    <t>Escova magica</t>
  </si>
  <si>
    <t>leandro</t>
  </si>
  <si>
    <t>Suporte Moto Le-030D</t>
  </si>
  <si>
    <t>Mouse com fio exbom MD-9</t>
  </si>
  <si>
    <t>naiane</t>
  </si>
  <si>
    <t>Jogo C 2 Canecas Vidro Chopp 480Ml</t>
  </si>
  <si>
    <t>caixa de som kts-1576</t>
  </si>
  <si>
    <t>max</t>
  </si>
  <si>
    <t>PILHA SULYC AAA</t>
  </si>
  <si>
    <t>Cabo Kingo Iphone 2M Leo</t>
  </si>
  <si>
    <t xml:space="preserve">lamapada 40w </t>
  </si>
  <si>
    <t>Karol G</t>
  </si>
  <si>
    <t>Manutençao</t>
  </si>
  <si>
    <t>Adaptador Wifi 2.5G</t>
  </si>
  <si>
    <t>Fone de ouvido gamr q0008</t>
  </si>
  <si>
    <t>Tauan</t>
  </si>
  <si>
    <t>Aguardando</t>
  </si>
  <si>
    <t>Memoria</t>
  </si>
  <si>
    <t>senhora feira</t>
  </si>
  <si>
    <t>Cliente tabela</t>
  </si>
  <si>
    <t>fita dupla face</t>
  </si>
  <si>
    <t>loja senhor</t>
  </si>
  <si>
    <t>marcelo pai</t>
  </si>
  <si>
    <t>Fone Simples</t>
  </si>
  <si>
    <t>cliente viviane</t>
  </si>
  <si>
    <t>Fonte pc 200w</t>
  </si>
  <si>
    <t>filtro de linha 7</t>
  </si>
  <si>
    <t>Fone Iphone Hmaster Ej-56</t>
  </si>
  <si>
    <t>Cabo v3</t>
  </si>
  <si>
    <t>Tio Fernando</t>
  </si>
  <si>
    <t>Caddy</t>
  </si>
  <si>
    <t>cabeleiro treta</t>
  </si>
  <si>
    <t>gata ruiva</t>
  </si>
  <si>
    <t>brunno</t>
  </si>
  <si>
    <t>Pendrive 8gb</t>
  </si>
  <si>
    <t>Carregador tipo C LE-484</t>
  </si>
  <si>
    <t>Cabo automotivo</t>
  </si>
  <si>
    <t>Vici Sindico</t>
  </si>
  <si>
    <t>Controle tv universal</t>
  </si>
  <si>
    <t>Cliente pc luiz</t>
  </si>
  <si>
    <t>Camera ip BM-IP170</t>
  </si>
  <si>
    <t>Cliente Jheff</t>
  </si>
  <si>
    <t>cordao simples cracha</t>
  </si>
  <si>
    <t>jogo ps2</t>
  </si>
  <si>
    <t>Tv box 5g</t>
  </si>
  <si>
    <t>Triturador de alimentos manual grande</t>
  </si>
  <si>
    <t>Teaser Azul</t>
  </si>
  <si>
    <t>cabo de dados v8 kapbom kap 1mV8</t>
  </si>
  <si>
    <t>Luna otica</t>
  </si>
  <si>
    <t>cadeado medio</t>
  </si>
  <si>
    <t>Caixa de som Grasep D-S4145</t>
  </si>
  <si>
    <t>PJ</t>
  </si>
  <si>
    <t>Fire TV Stick</t>
  </si>
  <si>
    <t>Cliente LUKMAN🏅</t>
  </si>
  <si>
    <t>Cabo RCA</t>
  </si>
  <si>
    <t>cunhada</t>
  </si>
  <si>
    <t xml:space="preserve">Canivete multifuncional </t>
  </si>
  <si>
    <t>Chave Tork 8Pçs Lst08</t>
  </si>
  <si>
    <t>gian</t>
  </si>
  <si>
    <t>Carregador por indução 15w</t>
  </si>
  <si>
    <t xml:space="preserve">Suporte veicular </t>
  </si>
  <si>
    <t>smartwatch s2</t>
  </si>
  <si>
    <t>Cliente Cesar Augusto</t>
  </si>
  <si>
    <t>relogio</t>
  </si>
  <si>
    <t>Aspirador 95000pa</t>
  </si>
  <si>
    <t>Lanchonete</t>
  </si>
  <si>
    <t>Pendrive lenovo 16gb</t>
  </si>
  <si>
    <t>boneco Lego</t>
  </si>
  <si>
    <t>Lanchonete 13</t>
  </si>
  <si>
    <t>Cabo hdmi</t>
  </si>
  <si>
    <t>cliente codhab</t>
  </si>
  <si>
    <t>Controle Rossi quadrado</t>
  </si>
  <si>
    <t xml:space="preserve">loja </t>
  </si>
  <si>
    <t>kadu</t>
  </si>
  <si>
    <t>cabo iphonehb10-2 Iphone</t>
  </si>
  <si>
    <t>Cliente Luva Olliver</t>
  </si>
  <si>
    <t xml:space="preserve">bluetooth USB 5.0 </t>
  </si>
  <si>
    <t>Cliente Placa Mãe Felipe</t>
  </si>
  <si>
    <t>lanchonete</t>
  </si>
  <si>
    <t>Mini Caixa De Som Cs2C</t>
  </si>
  <si>
    <t>Porta cracha completo</t>
  </si>
  <si>
    <t>lego pequeno</t>
  </si>
  <si>
    <t>Cabo Colorido 2 Metros V8</t>
  </si>
  <si>
    <t>Climatizador Bommxax Pro</t>
  </si>
  <si>
    <t>val manicure</t>
  </si>
  <si>
    <t>cabo iphonehb10-3 tipo c</t>
  </si>
  <si>
    <t>maura</t>
  </si>
  <si>
    <t>Fone de ouvido inova FON-30063</t>
  </si>
  <si>
    <t>switch 24 portas</t>
  </si>
  <si>
    <t>raquel 604</t>
  </si>
  <si>
    <t>meninos</t>
  </si>
  <si>
    <t>Pc dell completo ssd 240 monitor 20ppl</t>
  </si>
  <si>
    <t xml:space="preserve">cliente Michael Moura </t>
  </si>
  <si>
    <t>Carregador lehmox 5.1 LE-82</t>
  </si>
  <si>
    <t>lego pequeno Grande</t>
  </si>
  <si>
    <t>Climatizador onistek</t>
  </si>
  <si>
    <t>Pc Lenovo i7 completo monitor 19ppl</t>
  </si>
  <si>
    <t>MARCOS PORTELA</t>
  </si>
  <si>
    <t>biscoito mae Grande</t>
  </si>
  <si>
    <t>biscoito mae Pequeno</t>
  </si>
  <si>
    <t>mouse b-max</t>
  </si>
  <si>
    <t>kit chaves 6024A</t>
  </si>
  <si>
    <t>Cliente Dayane Evangelista</t>
  </si>
  <si>
    <t>Cliente Jeisson Máquina De Cabelo</t>
  </si>
  <si>
    <t>Amendoin doce</t>
  </si>
  <si>
    <t>Colegio 604</t>
  </si>
  <si>
    <t>unitv v10</t>
  </si>
  <si>
    <t>francisca lanchonete</t>
  </si>
  <si>
    <t>Cliente Manoel G Sousa</t>
  </si>
  <si>
    <t>taser azul</t>
  </si>
  <si>
    <t>cabo tipo c</t>
  </si>
  <si>
    <t>Cooler Fan G-VR332</t>
  </si>
  <si>
    <t>brunno irmao</t>
  </si>
  <si>
    <t>amassador de alhos</t>
  </si>
  <si>
    <t>bolinhos da mamae</t>
  </si>
  <si>
    <t>cesto de inox penenira</t>
  </si>
  <si>
    <t>Carregador veicular simples</t>
  </si>
  <si>
    <t>cabo de rede 1m</t>
  </si>
  <si>
    <t>carregador veicular 2usb cw-c2</t>
  </si>
  <si>
    <t>instant headache gel</t>
  </si>
  <si>
    <t>pente de cabelo redondo</t>
  </si>
  <si>
    <t xml:space="preserve">Porta Retrato Duplo Te Amo De Plástico 10x15 Cm Colors </t>
  </si>
  <si>
    <t>porta cartao</t>
  </si>
  <si>
    <t>camera bocal</t>
  </si>
  <si>
    <t>chaleira plastica 1.8l</t>
  </si>
  <si>
    <t>pelicula de privacidade</t>
  </si>
  <si>
    <t>hub usb 2.0 4 portas</t>
  </si>
  <si>
    <t>Powerbank 10000 BTE-084</t>
  </si>
  <si>
    <t>durex</t>
  </si>
  <si>
    <t xml:space="preserve">otg tipoc para ubs </t>
  </si>
  <si>
    <t>carregador 20w completo</t>
  </si>
  <si>
    <t>fone de ouvido tipo-c kapbom</t>
  </si>
  <si>
    <t>teclado hayon tc3201</t>
  </si>
  <si>
    <t>pendrive 8gb</t>
  </si>
  <si>
    <t>cartao de memoria tfmicrosd 64gb</t>
  </si>
  <si>
    <t>cartao de memoria tfmicrosd 32gb</t>
  </si>
  <si>
    <t>Ralador Panela Leo</t>
  </si>
  <si>
    <t>Ralador 6 In 1 Mandolina Multilaminas Leo</t>
  </si>
  <si>
    <t>Relogio parede redondo</t>
  </si>
  <si>
    <t>bateria 2032 sony</t>
  </si>
  <si>
    <t xml:space="preserve">realmi c61 </t>
  </si>
  <si>
    <t>lanterna taser</t>
  </si>
  <si>
    <t>lampada mata mosquito</t>
  </si>
  <si>
    <t>calculadora simples</t>
  </si>
  <si>
    <t>carregador 20w</t>
  </si>
  <si>
    <t xml:space="preserve">bateria 27a </t>
  </si>
  <si>
    <t>Carregador induçao relogio</t>
  </si>
  <si>
    <t xml:space="preserve">Fonte dell original </t>
  </si>
  <si>
    <t>Cliente Mikaela Monteiro</t>
  </si>
  <si>
    <t>PAI DIEGO</t>
  </si>
  <si>
    <t>GIAN</t>
  </si>
  <si>
    <t>Suporte de Tv Simples</t>
  </si>
  <si>
    <t>Cartinha</t>
  </si>
  <si>
    <t>jogo de xbox</t>
  </si>
  <si>
    <t>lego</t>
  </si>
  <si>
    <t>bateria 2025</t>
  </si>
  <si>
    <t>val</t>
  </si>
  <si>
    <t xml:space="preserve">memory card </t>
  </si>
  <si>
    <t>combi</t>
  </si>
  <si>
    <t>bola inflavel</t>
  </si>
  <si>
    <t>Corrente 100X2,2 Try5860</t>
  </si>
  <si>
    <t>LAXASFIT 2024 Relógio inteligente</t>
  </si>
  <si>
    <t>Manu colegio</t>
  </si>
  <si>
    <t>boneco agua</t>
  </si>
  <si>
    <t>lanterna de cabeça</t>
  </si>
  <si>
    <t>lanterna tomada</t>
  </si>
  <si>
    <t>card</t>
  </si>
  <si>
    <t>bobbie goods card</t>
  </si>
  <si>
    <t>domino</t>
  </si>
  <si>
    <t>bobbie goods caderno</t>
  </si>
  <si>
    <t>card caixa 50</t>
  </si>
  <si>
    <t>chaveiro carinha</t>
  </si>
  <si>
    <t>m.2 240 gb</t>
  </si>
  <si>
    <t>edimais</t>
  </si>
  <si>
    <t xml:space="preserve">camera ip dupla </t>
  </si>
  <si>
    <t>elza</t>
  </si>
  <si>
    <t>mak</t>
  </si>
  <si>
    <t>karol g</t>
  </si>
  <si>
    <t>futura esposa</t>
  </si>
  <si>
    <t xml:space="preserve">adaptador usb - para p2 </t>
  </si>
  <si>
    <t>capa space</t>
  </si>
  <si>
    <t>kit cortador de unhas pequeno</t>
  </si>
  <si>
    <t>Adaptador Wifi 5G</t>
  </si>
  <si>
    <t>Calculadora 12 Dígitos Crs8585</t>
  </si>
  <si>
    <t>feicenter</t>
  </si>
  <si>
    <t>pilha AAA</t>
  </si>
  <si>
    <t>Boneco Lego</t>
  </si>
  <si>
    <t xml:space="preserve">adaptador iphone para p2 </t>
  </si>
  <si>
    <t>capinha simples</t>
  </si>
  <si>
    <t>manutençao Celular</t>
  </si>
  <si>
    <t>Capa A Prova D'Água</t>
  </si>
  <si>
    <t>cordao cracha</t>
  </si>
  <si>
    <t>Chaveiros lili</t>
  </si>
  <si>
    <t>Cliente Silvânia</t>
  </si>
  <si>
    <t>jogos ps2</t>
  </si>
  <si>
    <t>cliente ronaldo arauo</t>
  </si>
  <si>
    <t>alicate bico fino</t>
  </si>
  <si>
    <t>kaleb</t>
  </si>
  <si>
    <t>santa</t>
  </si>
  <si>
    <t>cabo extensor usb</t>
  </si>
  <si>
    <t>Daniel</t>
  </si>
  <si>
    <t>samuel</t>
  </si>
  <si>
    <t>Danilo</t>
  </si>
  <si>
    <t>BRINQUEDO emoj</t>
  </si>
  <si>
    <t>danilo</t>
  </si>
  <si>
    <t>ssd 240gb</t>
  </si>
  <si>
    <t>Marcello</t>
  </si>
  <si>
    <t>Pc lenovo</t>
  </si>
  <si>
    <t>brinquedo alvo</t>
  </si>
  <si>
    <t>Card</t>
  </si>
  <si>
    <t>Bateria 27a</t>
  </si>
  <si>
    <t>luiz som</t>
  </si>
  <si>
    <t>cabo iphone 20w</t>
  </si>
  <si>
    <t>brinquedo mola</t>
  </si>
  <si>
    <t>Adaptador dvi para hdmi</t>
  </si>
  <si>
    <t>cartinha</t>
  </si>
  <si>
    <t>carregador universal</t>
  </si>
  <si>
    <t>SSD 120gb</t>
  </si>
  <si>
    <t>canddy</t>
  </si>
  <si>
    <t>gatilho para celular</t>
  </si>
  <si>
    <t>Suporte celular veicular</t>
  </si>
  <si>
    <t>Cabo tipo C</t>
  </si>
  <si>
    <t>adaptador v8 para tipo c</t>
  </si>
  <si>
    <t>carregador v8</t>
  </si>
  <si>
    <t>rafael</t>
  </si>
  <si>
    <t>lego ali</t>
  </si>
  <si>
    <t>aisha</t>
  </si>
  <si>
    <t>Dionisio</t>
  </si>
  <si>
    <t>cartao de memoria 32gb</t>
  </si>
  <si>
    <t>manu</t>
  </si>
  <si>
    <t>a</t>
  </si>
  <si>
    <t>deborah</t>
  </si>
  <si>
    <t>Ivonilde</t>
  </si>
  <si>
    <t>bateria x550c</t>
  </si>
  <si>
    <t>teclado x550c</t>
  </si>
  <si>
    <t>carregador x550c</t>
  </si>
  <si>
    <t>fone blu</t>
  </si>
  <si>
    <t>fone simples</t>
  </si>
  <si>
    <t>manutençao Computador</t>
  </si>
  <si>
    <t>cabo iphone2metros</t>
  </si>
  <si>
    <t>Gata</t>
  </si>
  <si>
    <t>multimetro amarelo</t>
  </si>
  <si>
    <t>jhonatan shopee</t>
  </si>
  <si>
    <t>daniel</t>
  </si>
  <si>
    <t>fita durex</t>
  </si>
  <si>
    <t>fonte 5v</t>
  </si>
  <si>
    <t>fone de ouvido</t>
  </si>
  <si>
    <t>fonte 12v</t>
  </si>
  <si>
    <t>cabo iphone</t>
  </si>
  <si>
    <t>day</t>
  </si>
  <si>
    <t>francisca</t>
  </si>
  <si>
    <t>Pendrive 32gb</t>
  </si>
  <si>
    <t>Máquina De Cabelo Dragão kenel</t>
  </si>
  <si>
    <t>esqueiro</t>
  </si>
  <si>
    <t>Climatizador duplo</t>
  </si>
  <si>
    <t>kit 10 jogos ps2</t>
  </si>
  <si>
    <t>Cheirinho para Carro Harts by Hungria</t>
  </si>
  <si>
    <t>Capa RG</t>
  </si>
  <si>
    <t>Tv box unittv</t>
  </si>
  <si>
    <t>barbeador animal</t>
  </si>
  <si>
    <t>tiktok</t>
  </si>
  <si>
    <t>Lâmpada de sinalização de</t>
  </si>
  <si>
    <t>Kemei maquina de barbear 4 in 1</t>
  </si>
  <si>
    <t xml:space="preserve">Estilingue Luz de Led </t>
  </si>
  <si>
    <t xml:space="preserve">Hand Grip Flexor </t>
  </si>
  <si>
    <t>Kit 10 Jogos PS2</t>
  </si>
  <si>
    <t>Máquina De Tosa</t>
  </si>
  <si>
    <t>carregadro tipo c</t>
  </si>
  <si>
    <t>lantern pequena</t>
  </si>
  <si>
    <t>Cabo de iphone</t>
  </si>
  <si>
    <t>val p</t>
  </si>
  <si>
    <t>kit 3 jogo de xbox</t>
  </si>
  <si>
    <t>Gravação de Jogos PS2</t>
  </si>
  <si>
    <t>251024UFEQ5C37</t>
  </si>
  <si>
    <t>251023SA4CE2K2</t>
  </si>
  <si>
    <t>251023S43AH3PT</t>
  </si>
  <si>
    <t>2510250T39QW0M</t>
  </si>
  <si>
    <t>251022QW8WRWC1</t>
  </si>
  <si>
    <t>2510263XS7F3J5</t>
  </si>
  <si>
    <t>2510265F9DN9NR</t>
  </si>
  <si>
    <t>2510265HBSHQD7</t>
  </si>
  <si>
    <t>1 Par Alto 1 Par Alto Falante Evok 6x9 280rms</t>
  </si>
  <si>
    <t>2510276H79S327</t>
  </si>
  <si>
    <t>251028AN3589SG</t>
  </si>
  <si>
    <t>25102890QMSA50</t>
  </si>
  <si>
    <t>suporte de celular articulado</t>
  </si>
  <si>
    <t>251029D5F5A0CC</t>
  </si>
  <si>
    <t>Par De Super Tweeter Evok Ste 400</t>
  </si>
  <si>
    <t>251030D9DEWAE9</t>
  </si>
  <si>
    <t>kit 20 jogos ps2</t>
  </si>
  <si>
    <t>251030F8S9STWN</t>
  </si>
  <si>
    <t>cabo display porte para displeyport</t>
  </si>
  <si>
    <t>isqueiro</t>
  </si>
  <si>
    <t>Jogos ps2 leo</t>
  </si>
  <si>
    <t>251102NJ6SPH85</t>
  </si>
  <si>
    <t>1 Par Alto Falante Evok 6x9 280rms</t>
  </si>
  <si>
    <t>251102Q652RSH7</t>
  </si>
  <si>
    <t>Pen Drive Jogos Para PS2</t>
  </si>
  <si>
    <t>251102MYQY566D</t>
  </si>
  <si>
    <t>251103SHJAKJES</t>
  </si>
  <si>
    <t>memory Card 16mb</t>
  </si>
  <si>
    <t>evandrodo206</t>
  </si>
  <si>
    <t>fj5laf_w9t</t>
  </si>
  <si>
    <t>cabo iphonetipoc</t>
  </si>
  <si>
    <t>MID BASS 6X9MB250</t>
  </si>
  <si>
    <t>zelton.novais</t>
  </si>
  <si>
    <t>memory Card 32mb</t>
  </si>
  <si>
    <t>conversor avg - hdmi ps2</t>
  </si>
  <si>
    <t>micro sd 64gb</t>
  </si>
  <si>
    <t>micro sd 128gb</t>
  </si>
  <si>
    <t>cordao simples</t>
  </si>
  <si>
    <t>251114QWQKY6H0</t>
  </si>
  <si>
    <t>251113MACT2XDG</t>
  </si>
  <si>
    <t>251110C53YC34V</t>
  </si>
  <si>
    <t>bolinha de arminha</t>
  </si>
  <si>
    <t>geraldo</t>
  </si>
  <si>
    <t>placa de rede</t>
  </si>
  <si>
    <t>moden tplink</t>
  </si>
  <si>
    <t>cabo iphonelaranja</t>
  </si>
  <si>
    <t xml:space="preserve">cabo de força ps2 </t>
  </si>
  <si>
    <t>hd 320</t>
  </si>
  <si>
    <t>paulinho</t>
  </si>
  <si>
    <t>cartinha de dinheiro</t>
  </si>
  <si>
    <t>brinquedo mordida</t>
  </si>
  <si>
    <t>arvore de natal</t>
  </si>
  <si>
    <t>paulinha</t>
  </si>
  <si>
    <t>bateria 2025 sony</t>
  </si>
  <si>
    <t>cabo hdmi 10m</t>
  </si>
  <si>
    <t>Xiaomi bluetooth fones</t>
  </si>
  <si>
    <t>cabo iphonekingo</t>
  </si>
  <si>
    <t>guirlanda verde/branca</t>
  </si>
  <si>
    <t>Pisca pisca colorido</t>
  </si>
  <si>
    <t>arminha de gel</t>
  </si>
  <si>
    <t>251125N6D00GHN</t>
  </si>
  <si>
    <t>251126QTAS3SAR</t>
  </si>
  <si>
    <t>2511195SVS58WQ</t>
  </si>
  <si>
    <t xml:space="preserve">cabo kingo tipo c </t>
  </si>
  <si>
    <t>251127T0EUU1WM</t>
  </si>
  <si>
    <t>7550209518518535943</t>
  </si>
  <si>
    <t xml:space="preserve">cabo completo iphone </t>
  </si>
  <si>
    <t>cabo v8</t>
  </si>
  <si>
    <t xml:space="preserve">fone grande </t>
  </si>
  <si>
    <t>arvore de natal M</t>
  </si>
  <si>
    <t>uno</t>
  </si>
  <si>
    <t>eliane</t>
  </si>
  <si>
    <t>Controle Com Fio Compatível Com Playstation Ps2 Cor Preto</t>
  </si>
  <si>
    <t>2512016D13CT6U</t>
  </si>
  <si>
    <t>251204E2WQ3CR3</t>
  </si>
  <si>
    <t>25112819EYDS0J</t>
  </si>
  <si>
    <t>251208S746WPVS</t>
  </si>
  <si>
    <t>251208TBTU0JQX</t>
  </si>
  <si>
    <t>251208RNR5ABPX</t>
  </si>
  <si>
    <t>251206KWK4SX80</t>
  </si>
  <si>
    <t>251205JU4D091G</t>
  </si>
  <si>
    <t>Copo Térmico Cerveja</t>
  </si>
  <si>
    <t>25112811QMV818</t>
  </si>
  <si>
    <t>Memory Card Opl</t>
  </si>
  <si>
    <t>251204E6UDR503</t>
  </si>
  <si>
    <t>251204EPGA4ETC</t>
  </si>
  <si>
    <t>251205GCHYG20G</t>
  </si>
  <si>
    <t>Par Alto Falante Snake Pro ESV320 6 Polegada 320W RMS 4 Ohms</t>
  </si>
  <si>
    <t>251205HE7YTHM6</t>
  </si>
  <si>
    <t>Mini Máquina De Costura Manual Portátil De Mão Tecido</t>
  </si>
  <si>
    <t>251208SMPRG11A</t>
  </si>
  <si>
    <t>251208R3JYP1TD</t>
  </si>
  <si>
    <t>Protetor De Rg</t>
  </si>
  <si>
    <t>251207QQBN0Q1H</t>
  </si>
  <si>
    <t>micro SD 32gb</t>
  </si>
  <si>
    <t>Adaptador display  porte</t>
  </si>
  <si>
    <t xml:space="preserve">Guarda chuva </t>
  </si>
  <si>
    <t>pilha AA recarregavel</t>
  </si>
  <si>
    <t>Carregador pilhas recarregavel</t>
  </si>
  <si>
    <t>Cascata led - Fios de fada</t>
  </si>
  <si>
    <t xml:space="preserve">Francisco </t>
  </si>
  <si>
    <t>wisley</t>
  </si>
  <si>
    <t>memoria 4gb ddr2</t>
  </si>
  <si>
    <t>Pendrive gravada</t>
  </si>
  <si>
    <t>fone de ouvido pmcell</t>
  </si>
  <si>
    <t xml:space="preserve">baby good </t>
  </si>
  <si>
    <t>caneta 24 cores</t>
  </si>
  <si>
    <t>3 par evok 300w</t>
  </si>
  <si>
    <t>Cabo iphone</t>
  </si>
  <si>
    <t>cabo de força</t>
  </si>
  <si>
    <t>Vall</t>
  </si>
  <si>
    <t>bomba de pneu eletrico</t>
  </si>
  <si>
    <t>cabo de iphone</t>
  </si>
  <si>
    <t xml:space="preserve">cabo tipo c </t>
  </si>
  <si>
    <t xml:space="preserve">Boneco Lego </t>
  </si>
  <si>
    <t>raquete eletrica</t>
  </si>
  <si>
    <t xml:space="preserve">pc dell </t>
  </si>
  <si>
    <t>monitor dell</t>
  </si>
  <si>
    <t>carregadro veicular</t>
  </si>
  <si>
    <t>251217JA47THQU</t>
  </si>
  <si>
    <t>Usina Smart 200</t>
  </si>
  <si>
    <t>1733237725498345439</t>
  </si>
  <si>
    <t>MemoryCard 64mb</t>
  </si>
  <si>
    <t>Controle ps2 simples</t>
  </si>
  <si>
    <t>UniTV V10</t>
  </si>
  <si>
    <t>581764922242532626</t>
  </si>
  <si>
    <t>Bobby god card</t>
  </si>
  <si>
    <t>card 50</t>
  </si>
  <si>
    <t>Bobby god</t>
  </si>
  <si>
    <t>fone bluetooth</t>
  </si>
  <si>
    <t>bingo</t>
  </si>
  <si>
    <t>Adaptor hdmi ps2</t>
  </si>
  <si>
    <t>jogo de ps2</t>
  </si>
  <si>
    <t>Val pequena</t>
  </si>
  <si>
    <t>quebra cabeça</t>
  </si>
  <si>
    <t>Projetor hy320</t>
  </si>
  <si>
    <t>251226BB55U3C7</t>
  </si>
  <si>
    <t>251228GM6DF9FD</t>
  </si>
  <si>
    <t>Controle Com Fio Compatível Com Playstation Ps2</t>
  </si>
  <si>
    <t>251228GQAC35RE</t>
  </si>
  <si>
    <t xml:space="preserve">uno </t>
  </si>
  <si>
    <t>Slime</t>
  </si>
  <si>
    <t>brinquedo mole</t>
  </si>
  <si>
    <t>Par Tweeter Tweter Tuita Tuite Evok 400</t>
  </si>
  <si>
    <t>581881466757613048</t>
  </si>
  <si>
    <t>Carregador Completo Iphone 20W</t>
  </si>
  <si>
    <t>aguardando</t>
  </si>
  <si>
    <t>vall</t>
  </si>
  <si>
    <t>Cheirinho</t>
  </si>
  <si>
    <t>26010470HA378U</t>
  </si>
  <si>
    <t xml:space="preserve">Nterruptor De Controle Remoto </t>
  </si>
  <si>
    <t>2601057PDHKMGS</t>
  </si>
  <si>
    <t xml:space="preserve">Desentupidor </t>
  </si>
  <si>
    <t>26010322KX6CM7</t>
  </si>
  <si>
    <t>26010321EYMMGF</t>
  </si>
  <si>
    <t xml:space="preserve">Case 2.5 Hd </t>
  </si>
  <si>
    <t>26010330Y0QYCC</t>
  </si>
  <si>
    <t>boneca</t>
  </si>
  <si>
    <t>Restauraçao Dados</t>
  </si>
  <si>
    <t>Eliane</t>
  </si>
  <si>
    <t>Gravação De Musica</t>
  </si>
  <si>
    <t>aleatorio</t>
  </si>
  <si>
    <t>Boneco Lego Kit</t>
  </si>
  <si>
    <t>Durex</t>
  </si>
  <si>
    <t>Moeba</t>
  </si>
  <si>
    <t>Cheirinho Para Carro</t>
  </si>
  <si>
    <t>260113UN53PDB3</t>
  </si>
  <si>
    <t>Pen Drive Com 10 Jogos Para Ps2</t>
  </si>
  <si>
    <t>1732942733137053663</t>
  </si>
  <si>
    <t>Tiktok</t>
  </si>
  <si>
    <t>Protetor Documento</t>
  </si>
  <si>
    <t>26011533GTJVCC</t>
  </si>
  <si>
    <t>Kit Maçarico</t>
  </si>
  <si>
    <t>260115363HXRNS</t>
  </si>
  <si>
    <t>Lixa De Unha</t>
  </si>
  <si>
    <t>Chip Sem Recarga</t>
  </si>
  <si>
    <t>Brinquedo Arminha</t>
  </si>
  <si>
    <t>Caixa De Som Pc</t>
  </si>
  <si>
    <t>Bolinha De Gel</t>
  </si>
  <si>
    <t>Bleybleyd</t>
  </si>
  <si>
    <t>Fone P9</t>
  </si>
  <si>
    <t>brinquedo</t>
  </si>
  <si>
    <t>Cabo Colorido</t>
  </si>
  <si>
    <t>Cabo Iphone 20W</t>
  </si>
  <si>
    <t>Capinha Iphone</t>
  </si>
  <si>
    <t>Cabo De Força - 3 Pinos</t>
  </si>
  <si>
    <t>Arminha De Agua</t>
  </si>
  <si>
    <t>Opl 16 Mb</t>
  </si>
  <si>
    <t>Pendrive 32</t>
  </si>
  <si>
    <t>thuane</t>
  </si>
  <si>
    <t>Conversor Vga Para Hdmi</t>
  </si>
  <si>
    <t>Mouse Sem Fio</t>
  </si>
  <si>
    <t>260120HKJW21F6</t>
  </si>
  <si>
    <t>Tweeter Evok 400</t>
  </si>
  <si>
    <t>260120HW0K4N7G</t>
  </si>
  <si>
    <t>Kit 10 Jogos Ps2</t>
  </si>
  <si>
    <t>BONECA</t>
  </si>
  <si>
    <t>Chaveiro</t>
  </si>
  <si>
    <t>aysha</t>
  </si>
  <si>
    <t>Uno</t>
  </si>
  <si>
    <t>Jogo Ps2 Shopee</t>
  </si>
  <si>
    <t>26012501R0305B</t>
  </si>
  <si>
    <t>Coleção_4_Jogos_Ben_10_Ps2</t>
  </si>
  <si>
    <t>260125W10MYBA6</t>
  </si>
  <si>
    <t xml:space="preserve">Kit Com 10 Mini Fusível </t>
  </si>
  <si>
    <t>260123QKXEPFNT</t>
  </si>
  <si>
    <t>2601262EWM7HSQ</t>
  </si>
  <si>
    <t>26012643AWWXYN</t>
  </si>
  <si>
    <t>Unitv V10</t>
  </si>
  <si>
    <t>26012877ASXSW2</t>
  </si>
  <si>
    <t>26012879CE069S</t>
  </si>
  <si>
    <t>2601287HCSF395</t>
  </si>
  <si>
    <t>2601288URC8VEF</t>
  </si>
  <si>
    <t>Capinha Simples</t>
  </si>
  <si>
    <t>remdio</t>
  </si>
  <si>
    <t>Cartao Micro Sd 16Gb</t>
  </si>
  <si>
    <t>260131E6UQ7MER</t>
  </si>
  <si>
    <t>582355031501800714</t>
  </si>
  <si>
    <t>Suporte Veicular</t>
  </si>
  <si>
    <t xml:space="preserve">Lanterna </t>
  </si>
  <si>
    <t>260202KGB8PW0S</t>
  </si>
  <si>
    <t>260202KDJAYA04</t>
  </si>
  <si>
    <t>260202KB9XFY1F</t>
  </si>
  <si>
    <t>260201HUCC9A14</t>
  </si>
  <si>
    <t>260130BPA5UXQ0</t>
  </si>
  <si>
    <t>Jogos De Ps2</t>
  </si>
  <si>
    <t>Desentupidor</t>
  </si>
  <si>
    <t>260203QVC1NHGG</t>
  </si>
  <si>
    <t>260203PK6Y0A25</t>
  </si>
  <si>
    <t>260203PRHGUC97</t>
  </si>
  <si>
    <t>260203Q3C34DNC</t>
  </si>
  <si>
    <t>260203QJNTUWSC</t>
  </si>
  <si>
    <t>Cabo De Rede</t>
  </si>
  <si>
    <t>260205TXSABCRN</t>
  </si>
  <si>
    <t>260205TXVP1P5N</t>
  </si>
  <si>
    <t>Clauberto</t>
  </si>
  <si>
    <t>Cabo Vga</t>
  </si>
  <si>
    <t>260205UK2H546J</t>
  </si>
  <si>
    <t>2602060TRY2SPR</t>
  </si>
  <si>
    <t>26020619R29YC5</t>
  </si>
  <si>
    <t>2602061AFHRWQS</t>
  </si>
  <si>
    <t>Carregador lehmox tipo c</t>
  </si>
  <si>
    <t>adaptador hdmi ps2</t>
  </si>
  <si>
    <t>controle ps2</t>
  </si>
  <si>
    <t>2602087DYXN63P</t>
  </si>
  <si>
    <t>Cheirinho para Carro</t>
  </si>
  <si>
    <t>26020987RHU086</t>
  </si>
  <si>
    <t>francisco relogio</t>
  </si>
  <si>
    <t>aleatorio uber</t>
  </si>
  <si>
    <t>fone i12</t>
  </si>
  <si>
    <t>sarah</t>
  </si>
  <si>
    <t>2602098NVFCAP8</t>
  </si>
  <si>
    <t>carregador simples</t>
  </si>
  <si>
    <t>260211EY108RQH</t>
  </si>
  <si>
    <t>260211EVXGJHUB</t>
  </si>
  <si>
    <t>260212G46PXBNW</t>
  </si>
  <si>
    <t>260212G72M35W6</t>
  </si>
  <si>
    <t>260212G4R2W2EE</t>
  </si>
  <si>
    <t>cooles</t>
  </si>
  <si>
    <t>260213JQR733AV</t>
  </si>
  <si>
    <t>260213JDRSN8HV</t>
  </si>
  <si>
    <t>Total</t>
  </si>
  <si>
    <t>Produtos</t>
  </si>
  <si>
    <t>Compras</t>
  </si>
  <si>
    <t>Estoque</t>
  </si>
  <si>
    <t>G14</t>
  </si>
  <si>
    <t>Adaptador P3X2 - P2</t>
  </si>
  <si>
    <t>Adaptador T</t>
  </si>
  <si>
    <t>Adaptador Wifi 2.5G Antena</t>
  </si>
  <si>
    <t>Alicate Universal 8 Id-4762A</t>
  </si>
  <si>
    <t>Balança De Precisão Xm-50522</t>
  </si>
  <si>
    <t>XR / 11</t>
  </si>
  <si>
    <t>Cabo De Força - Pc</t>
  </si>
  <si>
    <t>Cabo P2/P10</t>
  </si>
  <si>
    <t>Cabo Spartan V8 Leo</t>
  </si>
  <si>
    <t>Calculadora Pequena</t>
  </si>
  <si>
    <t xml:space="preserve">Caneta Depiladora </t>
  </si>
  <si>
    <t>Canivete Automático Knife</t>
  </si>
  <si>
    <t>Capa Celular Simples</t>
  </si>
  <si>
    <t>Jogo Ps2 tiktok</t>
  </si>
  <si>
    <t>Chave Allen - Canivete Ls-A08</t>
  </si>
  <si>
    <t>Chave Para Bicicleta</t>
  </si>
  <si>
    <t>Conjunto De Chaves Allen 9Pçs Ls-4113</t>
  </si>
  <si>
    <t>Cordão Vasco</t>
  </si>
  <si>
    <t xml:space="preserve">Detector De Metal </t>
  </si>
  <si>
    <t>Fone Pmcell Leo</t>
  </si>
  <si>
    <t>Fone Simples Ka-833 Leo</t>
  </si>
  <si>
    <t>Fone Simples Lef-1055 Leo</t>
  </si>
  <si>
    <t>Fone Simples Ms-5V 1 Leo</t>
  </si>
  <si>
    <t xml:space="preserve">Fonte Usb Sparta 5.8W </t>
  </si>
  <si>
    <t>Fonte Veicular Usb-C Spartan</t>
  </si>
  <si>
    <t>Garrafa 3 In 1 Colorida Leo</t>
  </si>
  <si>
    <t xml:space="preserve">Guarda Chuva Automático Transparente Cabo Curvo 8 Varetas </t>
  </si>
  <si>
    <t>Impressao Colorida</t>
  </si>
  <si>
    <t>Jogo De Chaves Peq.</t>
  </si>
  <si>
    <t>Kit Chave Com 6Pçs Lsc-Ppcs</t>
  </si>
  <si>
    <t>Kit Colheres Colorida</t>
  </si>
  <si>
    <t>Kit Costura Crs 1184</t>
  </si>
  <si>
    <t>Kit De Ferramentas 41Pçs Id-2226K</t>
  </si>
  <si>
    <t>Kit Ferramentas 41 Pçs Maleta</t>
  </si>
  <si>
    <t>Kit Fusível Grande Leo</t>
  </si>
  <si>
    <t xml:space="preserve">Kit Jogo De Facas </t>
  </si>
  <si>
    <t>Kit Taboa Idea</t>
  </si>
  <si>
    <t>Kit Tesoura Cabelo</t>
  </si>
  <si>
    <t>Lousa Magica 12Pol</t>
  </si>
  <si>
    <t>Lousa Magica 16Pol</t>
  </si>
  <si>
    <t>Lousa Magica 8Pol</t>
  </si>
  <si>
    <t xml:space="preserve">Luminária Astronauta </t>
  </si>
  <si>
    <t>Luminaria Solar Led Refletor</t>
  </si>
  <si>
    <t>Massageador Pistola</t>
  </si>
  <si>
    <t>Mata Mosquito Eletric Mw-555</t>
  </si>
  <si>
    <t>Mini Jogo De Luz C/C</t>
  </si>
  <si>
    <t>Mini Pau De Self  Leo</t>
  </si>
  <si>
    <t xml:space="preserve">Mochila Dobrável À Prova D'Água Design Exclusivo Escolar Unissex  Preto  </t>
  </si>
  <si>
    <t xml:space="preserve">Mochila Escolar Universitária Unissex </t>
  </si>
  <si>
    <t>Pd Usb Adaptador De Carregamento Leo</t>
  </si>
  <si>
    <t>Pelicularelogio 49Mm</t>
  </si>
  <si>
    <t>Processador De Alimentos Pequeno Leo</t>
  </si>
  <si>
    <t xml:space="preserve">Relógio Pulseira M7 Inteligente Smatband Monitora Pressão </t>
  </si>
  <si>
    <t>Suporte Celular Braço Leo</t>
  </si>
  <si>
    <t>Suporte De Celular Ima Leo</t>
  </si>
  <si>
    <t>Suporte De Mesa Ecooda Ec9085</t>
  </si>
  <si>
    <t>Suporte Fone Leo</t>
  </si>
  <si>
    <t>Suporte Triplo Jb-K5556</t>
  </si>
  <si>
    <t>Suporte Veicular Ventosa It-Blue</t>
  </si>
  <si>
    <t>Vendas  CNPJ 2024</t>
  </si>
  <si>
    <t>Contas a pagar 03</t>
  </si>
  <si>
    <t>Divida</t>
  </si>
  <si>
    <t>Total dividas</t>
  </si>
  <si>
    <t>Divida higor</t>
  </si>
  <si>
    <t>Meses</t>
  </si>
  <si>
    <t>Vendas Shopee</t>
  </si>
  <si>
    <t>Presencial</t>
  </si>
  <si>
    <t>Infinite</t>
  </si>
  <si>
    <t>Picpay</t>
  </si>
  <si>
    <t>Magalu</t>
  </si>
  <si>
    <t>Nome</t>
  </si>
  <si>
    <t>dt</t>
  </si>
  <si>
    <t>Remédio</t>
  </si>
  <si>
    <t>10x</t>
  </si>
  <si>
    <t>Banco</t>
  </si>
  <si>
    <t>Valor sem desconto</t>
  </si>
  <si>
    <t>Valor com desconto</t>
  </si>
  <si>
    <t>Total divida</t>
  </si>
  <si>
    <t>Adaptador IOS p2</t>
  </si>
  <si>
    <t>Janeiro</t>
  </si>
  <si>
    <t>Aluguel</t>
  </si>
  <si>
    <t>Pago</t>
  </si>
  <si>
    <t>Itaú</t>
  </si>
  <si>
    <t>Falta pagar</t>
  </si>
  <si>
    <t>Fevereiro</t>
  </si>
  <si>
    <t>NET1</t>
  </si>
  <si>
    <t>Empresa MP</t>
  </si>
  <si>
    <t>-------------------</t>
  </si>
  <si>
    <t>------------</t>
  </si>
  <si>
    <t>Adaptador p2 - p10</t>
  </si>
  <si>
    <t>Março</t>
  </si>
  <si>
    <t>Mae</t>
  </si>
  <si>
    <t xml:space="preserve">Total </t>
  </si>
  <si>
    <t>Cartão MP</t>
  </si>
  <si>
    <t>Produtos pego</t>
  </si>
  <si>
    <t>Abril</t>
  </si>
  <si>
    <t>CARTAO</t>
  </si>
  <si>
    <t>Cadeado com Alarme</t>
  </si>
  <si>
    <t>Maio</t>
  </si>
  <si>
    <t>RENATA</t>
  </si>
  <si>
    <t>Cartão NU</t>
  </si>
  <si>
    <t>Dinheiro emprestado</t>
  </si>
  <si>
    <t>Adaptador rede - usb</t>
  </si>
  <si>
    <t>Junho</t>
  </si>
  <si>
    <t>CHIP</t>
  </si>
  <si>
    <t>Empresa NU</t>
  </si>
  <si>
    <t>Trava de freio a disco</t>
  </si>
  <si>
    <t>Julho</t>
  </si>
  <si>
    <t>Shopee 1</t>
  </si>
  <si>
    <t>Neon</t>
  </si>
  <si>
    <t>Hub divisor</t>
  </si>
  <si>
    <t xml:space="preserve">Adaptador Tomada 2 Entradas + 3 Usb Celular Universal Led  Variada  </t>
  </si>
  <si>
    <t>Agosto</t>
  </si>
  <si>
    <t>Shopee 2</t>
  </si>
  <si>
    <t>Nu PJ</t>
  </si>
  <si>
    <t>Adaptador v8 - Iphone</t>
  </si>
  <si>
    <t>Setembro</t>
  </si>
  <si>
    <t>DARF</t>
  </si>
  <si>
    <t>Outubro</t>
  </si>
  <si>
    <t>Aliexpress</t>
  </si>
  <si>
    <t>Novembro</t>
  </si>
  <si>
    <t>NET CPF</t>
  </si>
  <si>
    <t>Total pego</t>
  </si>
  <si>
    <t>Dezembro</t>
  </si>
  <si>
    <t>NET PJ</t>
  </si>
  <si>
    <t>Soma</t>
  </si>
  <si>
    <t>AGUA</t>
  </si>
  <si>
    <t>Falta</t>
  </si>
  <si>
    <t>TOTAL</t>
  </si>
  <si>
    <t>Antena Digital</t>
  </si>
  <si>
    <t>Infiniti</t>
  </si>
  <si>
    <t>Bomba D'Agua Automatica</t>
  </si>
  <si>
    <t>Cabo Colorido 2 Metros Iphone</t>
  </si>
  <si>
    <t>Cabo Colorido Iphone 1M</t>
  </si>
  <si>
    <t>Cabo Iphone Tipo C - Leo</t>
  </si>
  <si>
    <t>Cabos Variados Saco Branco Leo</t>
  </si>
  <si>
    <t>caixa de som id-2438u</t>
  </si>
  <si>
    <t>Caixa de som LS-666B Microfone</t>
  </si>
  <si>
    <t>Canivete Multiuso Id-8406C Leo</t>
  </si>
  <si>
    <t>Carregador veicular kingo</t>
  </si>
  <si>
    <t>Carregador veicular spartan</t>
  </si>
  <si>
    <t>Carro de metal - kombi</t>
  </si>
  <si>
    <t>Case Iphone C&amp;H</t>
  </si>
  <si>
    <t>Case Iphone Transparente</t>
  </si>
  <si>
    <t>Controle Ps4</t>
  </si>
  <si>
    <t>Conversor Digital Full Hd</t>
  </si>
  <si>
    <t>Copo Stanley Com Som</t>
  </si>
  <si>
    <t>Cortador De Legumes Verde grande</t>
  </si>
  <si>
    <t>Detector de dinheiro</t>
  </si>
  <si>
    <t>E7S Tws Fones Leo</t>
  </si>
  <si>
    <t xml:space="preserve">Esfregão Mop De Limpeza Triangular Giratório De 360° </t>
  </si>
  <si>
    <t>Estilingue led</t>
  </si>
  <si>
    <t>Fone Airpods Max</t>
  </si>
  <si>
    <t>Fone de ouvido gamer inova</t>
  </si>
  <si>
    <t>Lampião Solar Leo</t>
  </si>
  <si>
    <t>Lanterna de cabeça LEY-1723</t>
  </si>
  <si>
    <t>Manicure E Pedicure Cortadores 12Pc Pequeno</t>
  </si>
  <si>
    <t>Manicure E Pedicure Cortadores 19Pc Grande</t>
  </si>
  <si>
    <t>Manicure E Pedicure Cortadores 9Pc Pequeno</t>
  </si>
  <si>
    <t>Mini router wifi</t>
  </si>
  <si>
    <t>moldem tplink</t>
  </si>
  <si>
    <t>Multímetro Digital Md-160</t>
  </si>
  <si>
    <t>Pendrive Al 32Gb</t>
  </si>
  <si>
    <t>Pendrive Gravada</t>
  </si>
  <si>
    <t>Pilha Aa Cartela</t>
  </si>
  <si>
    <t>Pistola De Ar Limpeza Leo</t>
  </si>
  <si>
    <t>Powebank  10K KA-951</t>
  </si>
  <si>
    <t>powerbank 10k gol</t>
  </si>
  <si>
    <t>Powerbank 10K Inova</t>
  </si>
  <si>
    <t>Protetor Solar Para Brisa</t>
  </si>
  <si>
    <t>Pulseira Mi Band</t>
  </si>
  <si>
    <t>Regua Tomada</t>
  </si>
  <si>
    <t>Relógio Despertador Leo</t>
  </si>
  <si>
    <t xml:space="preserve">Relógio Inteligente Bluetooth 4.0 Smartwatch D20 1.3" 150Mah  </t>
  </si>
  <si>
    <t>Relógio Inteligente Kl201 Black</t>
  </si>
  <si>
    <t>Relógio Prata Leo</t>
  </si>
  <si>
    <t xml:space="preserve">Robot Transforme </t>
  </si>
  <si>
    <t>Rodo Para Pia</t>
  </si>
  <si>
    <t xml:space="preserve">Rodo XMop Esfregão Giratório 360° Magico Twist Com Extrusão </t>
  </si>
  <si>
    <t>Sacola 44x39x20cm Xadrez</t>
  </si>
  <si>
    <t>Samsung A04E</t>
  </si>
  <si>
    <t>Sensor De Presença</t>
  </si>
  <si>
    <t>Smartwatch I7 Pro Max</t>
  </si>
  <si>
    <t>Ssd 512Gb</t>
  </si>
  <si>
    <t>Suporte articulado</t>
  </si>
  <si>
    <t>Suporte magnetico 360 KAC305</t>
  </si>
  <si>
    <t>Tapete massageador</t>
  </si>
  <si>
    <t>Trena Leiser Leo</t>
  </si>
  <si>
    <t>Tripe pequeno</t>
  </si>
  <si>
    <t>X15 Tws Sem Fio Bluetooth</t>
  </si>
  <si>
    <t>Kit pote banheiro</t>
  </si>
  <si>
    <t>Dispenser banheiro</t>
  </si>
  <si>
    <t>Cabo hdmi 1,8/2m</t>
  </si>
  <si>
    <t>conversor displayport / vga</t>
  </si>
  <si>
    <t>Controle Pubg COM-7436</t>
  </si>
  <si>
    <t>Case hd HD003</t>
  </si>
  <si>
    <t>Extensor p2</t>
  </si>
  <si>
    <t>Teclado bring usb preto</t>
  </si>
  <si>
    <t>Maquina de cabelo dragao ML</t>
  </si>
  <si>
    <t>Maquinha de bolhas automático</t>
  </si>
  <si>
    <t>Aspirador de carro sem fios ali</t>
  </si>
  <si>
    <t>Smartwhat T10 ULTRA 2</t>
  </si>
  <si>
    <t>carregador completo LEHMOX LE-497 tipo C</t>
  </si>
  <si>
    <t>Cabo hdmi 3m multilaser</t>
  </si>
  <si>
    <t>Venda Celular</t>
  </si>
  <si>
    <t>Cabo RCA para RCA</t>
  </si>
  <si>
    <t>Case HD simples</t>
  </si>
  <si>
    <t>Arvore de natal pisca pisca 20cm</t>
  </si>
  <si>
    <t>Estençao 5m</t>
  </si>
  <si>
    <t>cabo de dados Tc kapbom kap 1mTC</t>
  </si>
  <si>
    <t>Leitor de cartao de memoria DKQ02</t>
  </si>
  <si>
    <t>Leitor de cartao de memoria UF0013</t>
  </si>
  <si>
    <t>Caixinha de som AL-1115</t>
  </si>
  <si>
    <t>Cabo auxiliar p2 H'MASTON</t>
  </si>
  <si>
    <t>Hub usb 2</t>
  </si>
  <si>
    <t>adaptador wifi 6</t>
  </si>
  <si>
    <t>SSD  2.5 SSD 128GB PC</t>
  </si>
  <si>
    <t>pendrive 16gb pequena</t>
  </si>
  <si>
    <t>Carregador veicular tipo c LE-535</t>
  </si>
  <si>
    <t>Cabo iphone hb10-2 Iphone</t>
  </si>
  <si>
    <t>Cabo iphone hb10-3 tipo c</t>
  </si>
  <si>
    <t>Cabo h'maston hb01-1</t>
  </si>
  <si>
    <t>Teclado bright 0014</t>
  </si>
  <si>
    <t xml:space="preserve">Taser azul </t>
  </si>
  <si>
    <t>Arminha de gel ak47 SY-0135</t>
  </si>
  <si>
    <t>Unitv</t>
  </si>
  <si>
    <t>Atual</t>
  </si>
  <si>
    <t>qt</t>
  </si>
  <si>
    <t>Vendio</t>
  </si>
  <si>
    <t>Jogos Xbox</t>
  </si>
  <si>
    <t xml:space="preserve">Peliculas Vendidas </t>
  </si>
  <si>
    <t xml:space="preserve">Peliculas Disponiveis </t>
  </si>
  <si>
    <t>007 From Russi</t>
  </si>
  <si>
    <t>007 Legends</t>
  </si>
  <si>
    <t>marca</t>
  </si>
  <si>
    <t>Modelo</t>
  </si>
  <si>
    <t>Compativel</t>
  </si>
  <si>
    <t>Ace Bombat The Belkan War</t>
  </si>
  <si>
    <t>Ace combat assault horizon</t>
  </si>
  <si>
    <t>Iphone</t>
  </si>
  <si>
    <t>XS MAX/ 11 PRO MAX</t>
  </si>
  <si>
    <t>6G</t>
  </si>
  <si>
    <t>Astro Boy</t>
  </si>
  <si>
    <t>Anarchy Reigns</t>
  </si>
  <si>
    <t>7 / 8 g</t>
  </si>
  <si>
    <t>Bad Boys miami takedown</t>
  </si>
  <si>
    <t xml:space="preserve">Arcade </t>
  </si>
  <si>
    <t>Iphone PRIVACIDADE</t>
  </si>
  <si>
    <t>Barn Yard</t>
  </si>
  <si>
    <t>Army Of Tiio</t>
  </si>
  <si>
    <t>7G / 8G</t>
  </si>
  <si>
    <t xml:space="preserve">7 PLUS / 8 PLUS </t>
  </si>
  <si>
    <t>Batmam begins</t>
  </si>
  <si>
    <t>Batman 3 lego</t>
  </si>
  <si>
    <t>Battlefield 2 Modern Combat</t>
  </si>
  <si>
    <t>Batman Arkham City</t>
  </si>
  <si>
    <t>X / XS / 11 PRO</t>
  </si>
  <si>
    <t>XS - 11 PRO - A01 CORE</t>
  </si>
  <si>
    <t>Beach Volleyball</t>
  </si>
  <si>
    <t xml:space="preserve">Bayoneta </t>
  </si>
  <si>
    <t>Samsung</t>
  </si>
  <si>
    <t>A13</t>
  </si>
  <si>
    <t>XS / 11</t>
  </si>
  <si>
    <t>Bem 10 Utimate Alien</t>
  </si>
  <si>
    <t>Bioshock</t>
  </si>
  <si>
    <t>13 4G</t>
  </si>
  <si>
    <t>Bem 10 vilgah attacks</t>
  </si>
  <si>
    <t>Bioshock 2</t>
  </si>
  <si>
    <t>A15</t>
  </si>
  <si>
    <t>XS MAX</t>
  </si>
  <si>
    <t>POCO F1 / IPHONE XS MAX / IPHONE 11 PRO MAX</t>
  </si>
  <si>
    <t>Biohazard Outbreak File 2</t>
  </si>
  <si>
    <t>Bioshock Infinite</t>
  </si>
  <si>
    <t>A20S</t>
  </si>
  <si>
    <t>12 PRO / IPHONE 11</t>
  </si>
  <si>
    <t>Black</t>
  </si>
  <si>
    <t>Borderlands 2</t>
  </si>
  <si>
    <t>A30S</t>
  </si>
  <si>
    <t>12 PRO</t>
  </si>
  <si>
    <t>Blade 2</t>
  </si>
  <si>
    <t>Bound By Flame</t>
  </si>
  <si>
    <t>A32 4G</t>
  </si>
  <si>
    <t>12 PRO MAX</t>
  </si>
  <si>
    <t>Bomba Patch</t>
  </si>
  <si>
    <t>BRAZUKAS 2023</t>
  </si>
  <si>
    <t>A24</t>
  </si>
  <si>
    <t>13 / 13 PRO</t>
  </si>
  <si>
    <t>IPHONE 13 / IPHONE 14 / E 14 PRO</t>
  </si>
  <si>
    <t>Bomba Patch 2024</t>
  </si>
  <si>
    <t>BRAZUKAS 2025</t>
  </si>
  <si>
    <t>A51</t>
  </si>
  <si>
    <t>13 PRO MAX</t>
  </si>
  <si>
    <t xml:space="preserve">Bomba Patch Leonardo </t>
  </si>
  <si>
    <t>Bulletstorm</t>
  </si>
  <si>
    <t>A53</t>
  </si>
  <si>
    <t>13 PRO MAX / 14 PLUS</t>
  </si>
  <si>
    <t>Bomba Patch Mix Itaqui 2024</t>
  </si>
  <si>
    <t>Cabelas Dangerous Hunter 20</t>
  </si>
  <si>
    <t>A50</t>
  </si>
  <si>
    <t xml:space="preserve">14 / 14 PRO </t>
  </si>
  <si>
    <t>IPHONE 13 PRO / IPHONE 14 / IPHONE 13</t>
  </si>
  <si>
    <t>Bomberman Kart 3</t>
  </si>
  <si>
    <t>Cabelas Survival</t>
  </si>
  <si>
    <t>A70</t>
  </si>
  <si>
    <t>Bomberman Land 3</t>
  </si>
  <si>
    <t>Calela African</t>
  </si>
  <si>
    <t>S24 FE</t>
  </si>
  <si>
    <t>14 PRO MAX</t>
  </si>
  <si>
    <t>IPHONE 14 PRO MAX - IPHONE 13 PRO MAX - IPHONE 15 PRO MAX</t>
  </si>
  <si>
    <t>Bully</t>
  </si>
  <si>
    <t>call of duty black ops</t>
  </si>
  <si>
    <t>Motorola</t>
  </si>
  <si>
    <t>G30</t>
  </si>
  <si>
    <t>Burnout 3</t>
  </si>
  <si>
    <t>Capcom Digital Collection</t>
  </si>
  <si>
    <t>G73</t>
  </si>
  <si>
    <t>IPHONE 15 - IPHONE 15 PRO</t>
  </si>
  <si>
    <t>Call Of Duty Word At War</t>
  </si>
  <si>
    <t>Captain America Super Soldier</t>
  </si>
  <si>
    <t>G54</t>
  </si>
  <si>
    <t>15 PLUS</t>
  </si>
  <si>
    <t>Cars</t>
  </si>
  <si>
    <t>Clash Of The Titans</t>
  </si>
  <si>
    <t>M32</t>
  </si>
  <si>
    <t>Sansung</t>
  </si>
  <si>
    <t>j5 prime</t>
  </si>
  <si>
    <t>Castevania Curse Of Dark</t>
  </si>
  <si>
    <t>Crysis 2</t>
  </si>
  <si>
    <t>Xaiome</t>
  </si>
  <si>
    <t>XM 9 SE</t>
  </si>
  <si>
    <t>A01</t>
  </si>
  <si>
    <t>XIAOMI MI9 SE / MI PLAY</t>
  </si>
  <si>
    <t>Chicken Little</t>
  </si>
  <si>
    <t>Dance Dance Revolution</t>
  </si>
  <si>
    <t>MI 9T</t>
  </si>
  <si>
    <t>A24 - M34 - A25</t>
  </si>
  <si>
    <t>Conflict Global Terror</t>
  </si>
  <si>
    <t xml:space="preserve">Darkvoid </t>
  </si>
  <si>
    <t>PC X5 PRO</t>
  </si>
  <si>
    <t>A21 / A 21S</t>
  </si>
  <si>
    <t>A21S - MOTO G52 - POCO M3 PRO - MOTO G41</t>
  </si>
  <si>
    <t>crash action pack</t>
  </si>
  <si>
    <t>Dead Islaand Riptide</t>
  </si>
  <si>
    <t>RD 8</t>
  </si>
  <si>
    <t>A22 5G</t>
  </si>
  <si>
    <t>MOTO G50 / MOTO G30 / SAMSUN A12 / SAMSUNG M12 / SAMSUNG A02S</t>
  </si>
  <si>
    <t>Dark Watch</t>
  </si>
  <si>
    <t>Deadpol</t>
  </si>
  <si>
    <t>SAMSUNG / M34 4G / M21S / M31</t>
  </si>
  <si>
    <t>Def Jam Fight for ny</t>
  </si>
  <si>
    <t>Devil May Cry 4</t>
  </si>
  <si>
    <t>A25 5G</t>
  </si>
  <si>
    <t>Digimon Rumble Arena 2</t>
  </si>
  <si>
    <t>Dirt 3</t>
  </si>
  <si>
    <t>A31 / A32</t>
  </si>
  <si>
    <t>A20 / A30 /A50 / M31 / G8 PLUS / NOTE 8</t>
  </si>
  <si>
    <t>Donkey Kong Country The Trilogy</t>
  </si>
  <si>
    <t>Disney universe</t>
  </si>
  <si>
    <t>A34</t>
  </si>
  <si>
    <t>S22+ / A54 / A24</t>
  </si>
  <si>
    <t>Down Hill Domination</t>
  </si>
  <si>
    <t>Duck Tales</t>
  </si>
  <si>
    <t>A35 / A35 5G</t>
  </si>
  <si>
    <t>A55 - M35 - S23 PLUS - S22 PLUS</t>
  </si>
  <si>
    <t>Drive</t>
  </si>
  <si>
    <t>Dynasty Warriors 8</t>
  </si>
  <si>
    <t>A 71</t>
  </si>
  <si>
    <t>A80 - A21 - POCO X3 PRO - MOTO G41 - MOTO G52 - XIAOMI MI 11 LITE - MOTO G62 - REALME 7 PRO - REDMI NOTE 10 S - XIAOMI NOTE 10 - A71</t>
  </si>
  <si>
    <t>E Football 2024</t>
  </si>
  <si>
    <t>Dynasty Warriors Empire</t>
  </si>
  <si>
    <t>A72</t>
  </si>
  <si>
    <t>MI POCO F3 / M51 / MOTO G52 / XIAOMI REDMI NOTE 10 PRO / XIAOMI MI 11i</t>
  </si>
  <si>
    <t>E Football 2024 Wjd</t>
  </si>
  <si>
    <t>Enemy Front</t>
  </si>
  <si>
    <t>S10 E</t>
  </si>
  <si>
    <t>Evil Dead Regeneration</t>
  </si>
  <si>
    <t>F3Ar</t>
  </si>
  <si>
    <t>S22</t>
  </si>
  <si>
    <t>S21 FE</t>
  </si>
  <si>
    <t>F1 06</t>
  </si>
  <si>
    <t>Fallout 3</t>
  </si>
  <si>
    <t>S23FE</t>
  </si>
  <si>
    <t>S22 PLUS - A54 - S23 PLUS</t>
  </si>
  <si>
    <t>Family Guy Video Game</t>
  </si>
  <si>
    <t>Guita hero AEROSMIT</t>
  </si>
  <si>
    <t>S23</t>
  </si>
  <si>
    <t>S22+</t>
  </si>
  <si>
    <t>Fantastic 4</t>
  </si>
  <si>
    <t>Guitar hero 3 legends of rock</t>
  </si>
  <si>
    <t>G5</t>
  </si>
  <si>
    <t>Fifa 2019</t>
  </si>
  <si>
    <t>Indiana Jones 2 lego</t>
  </si>
  <si>
    <t>G6 PLUS</t>
  </si>
  <si>
    <t>Final Fantasy X</t>
  </si>
  <si>
    <t>Indiana Jones lego</t>
  </si>
  <si>
    <t>G6</t>
  </si>
  <si>
    <t>Final Fantasy X-2</t>
  </si>
  <si>
    <t>Injustice Gods Amongus</t>
  </si>
  <si>
    <t>G7 PLAY</t>
  </si>
  <si>
    <t>G7 / G7 PLAY / G8 PLUS / G8 PLAY / A01</t>
  </si>
  <si>
    <t>Ghost Recon 2</t>
  </si>
  <si>
    <t>Just Cause 2</t>
  </si>
  <si>
    <t>G5 PLUS</t>
  </si>
  <si>
    <t>REDMI NOTE 3</t>
  </si>
  <si>
    <t>God Of War 1</t>
  </si>
  <si>
    <t>Just dance 2015</t>
  </si>
  <si>
    <t>G7 PLUS</t>
  </si>
  <si>
    <t>NOTE 7 / A20 / A30 / G7 / G7 PLUS /G8 PLUS / G8 PLAY</t>
  </si>
  <si>
    <t>God Of War 2</t>
  </si>
  <si>
    <t>just dance 2019</t>
  </si>
  <si>
    <t>E5 / G6 PLAY</t>
  </si>
  <si>
    <t>MOTO G6 PLAY</t>
  </si>
  <si>
    <t>GTA 5</t>
  </si>
  <si>
    <t>Khights Contract</t>
  </si>
  <si>
    <t xml:space="preserve">G8 </t>
  </si>
  <si>
    <t>MOTO G8 / POCO M3 / XIAMI 11 LITE / REDMI NOTE 11 / REDMI NOTE 10 / POCO X4 / RELME 7 PRO / SAMSUNG A52</t>
  </si>
  <si>
    <t>GTA San andres</t>
  </si>
  <si>
    <t>Left 4 Dead</t>
  </si>
  <si>
    <t>G8 POWER LITE</t>
  </si>
  <si>
    <t>MOTO G9 / G9 PLAY / E7 POWER / E7 PLUS / A70 / K50S / K41S / REDMI 9 / REDMI 9A / REDMI 9C</t>
  </si>
  <si>
    <t>Gta Vice City</t>
  </si>
  <si>
    <t>Left 4 Dead 2</t>
  </si>
  <si>
    <t>G8 PLUS</t>
  </si>
  <si>
    <t>A10S / A20 / A30S / G8 PLUS / G8 PLAY / NOTE 7 / NOTE 8</t>
  </si>
  <si>
    <t>Harry Potter</t>
  </si>
  <si>
    <t>Lost Planet 3</t>
  </si>
  <si>
    <t>G8 PLAY</t>
  </si>
  <si>
    <t>A10 G8 Play G8 Plus G7 Plus</t>
  </si>
  <si>
    <t>Indiana jones lego the original</t>
  </si>
  <si>
    <t>Madagascar 3</t>
  </si>
  <si>
    <t>G8 POWER</t>
  </si>
  <si>
    <t>MOTO G8 / ONE HYPER / A11 / NOTE 9</t>
  </si>
  <si>
    <t>I-Ninja</t>
  </si>
  <si>
    <t>Marvel Super Hero Squard</t>
  </si>
  <si>
    <t>G9 PLUS</t>
  </si>
  <si>
    <t>A12</t>
  </si>
  <si>
    <t>Jurassic The Hunted</t>
  </si>
  <si>
    <t>Mass2 Effect</t>
  </si>
  <si>
    <t>G9 PLAY</t>
  </si>
  <si>
    <t>A03 / M23 / A12 / A13 / G30 / G50 / E20 / A20S / E 7 POWER / ONE FUNSION</t>
  </si>
  <si>
    <t>Justice League Heroes</t>
  </si>
  <si>
    <t>Metalgearrising</t>
  </si>
  <si>
    <t>G9 POWER</t>
  </si>
  <si>
    <t>MOTO G200</t>
  </si>
  <si>
    <t>Kilzone</t>
  </si>
  <si>
    <t>Metro Last Light</t>
  </si>
  <si>
    <t xml:space="preserve">G10 / G20 / G30 </t>
  </si>
  <si>
    <t>MOTO E20 / ONE FUSIO / G20 / G30 / G9 PLAY / E7 PLUS / E7 PLAY / A02S</t>
  </si>
  <si>
    <t>King Kong</t>
  </si>
  <si>
    <t>Midnight Club los angeles</t>
  </si>
  <si>
    <t>G71 / G62 / G53 / G32 / G13 / G22 / G54</t>
  </si>
  <si>
    <t>Los Increibles La Amenaza Del Socavador</t>
  </si>
  <si>
    <t>Minecraft</t>
  </si>
  <si>
    <t>MOTO G10 - REALME C25 - REALME C11 - A23 - G20 - MOTO E20 - MOTO ONE FUSION - MOTO E13</t>
  </si>
  <si>
    <t xml:space="preserve">Los Sims </t>
  </si>
  <si>
    <t>Minecraft Story Mode</t>
  </si>
  <si>
    <t>SAMSUNG A22 / M22</t>
  </si>
  <si>
    <t>Madagascar</t>
  </si>
  <si>
    <t>Mini Ninjas</t>
  </si>
  <si>
    <t>M34</t>
  </si>
  <si>
    <t>A34 4G / S22+</t>
  </si>
  <si>
    <t>Mafia</t>
  </si>
  <si>
    <t>Mirror'S Edge</t>
  </si>
  <si>
    <t>G42</t>
  </si>
  <si>
    <t>G41 / G52 / G71 / A53 / REDMI NOTE 10 / A11</t>
  </si>
  <si>
    <t>Marvel X Capcom</t>
  </si>
  <si>
    <t>Morph X</t>
  </si>
  <si>
    <t>G51</t>
  </si>
  <si>
    <t>K62 / MOTO G51 / A11 / MOTO ONE FUSION / POCO F3 / XIAOMI MI 11 LIGTH / MOTO G71 / XIAOMI MI 11 / REALME C6 PRO / A11</t>
  </si>
  <si>
    <t>Medal Of Honor Vanguard</t>
  </si>
  <si>
    <t>Mortal Kombat Dc Universe</t>
  </si>
  <si>
    <t>G53</t>
  </si>
  <si>
    <t>G62 / G71 / REDIMI NOTE 11 4G / S20 FE / RM NOTE 10 4G / RM NOTE 10 S</t>
  </si>
  <si>
    <t>Megaman X8</t>
  </si>
  <si>
    <t>N3 2</t>
  </si>
  <si>
    <t>G34 - G54 - G71 - G62 - G53 - G32 - G13 - G22 - G14</t>
  </si>
  <si>
    <t>Metal slug anthology</t>
  </si>
  <si>
    <t>Naruto Rise Of A Ninja</t>
  </si>
  <si>
    <t>G71 5G</t>
  </si>
  <si>
    <t>Mickey Mouse Collection</t>
  </si>
  <si>
    <t>Naruto The Broken Bond</t>
  </si>
  <si>
    <t>MOTO G04 - MOTO G34 - MOTO G32 - MOTO G73 - NOTE 12 - NOTE 13</t>
  </si>
  <si>
    <t>mortal Kombat Armageddon</t>
  </si>
  <si>
    <t>Need For Speed Mostwanted</t>
  </si>
  <si>
    <t>G100</t>
  </si>
  <si>
    <t>moto g40 fusion / moto g60</t>
  </si>
  <si>
    <t>Moto Gp08</t>
  </si>
  <si>
    <t>Ninja 2</t>
  </si>
  <si>
    <t>G200</t>
  </si>
  <si>
    <t>MOTO G60 - MOTO G9 PLUS - MOTO G200</t>
  </si>
  <si>
    <t>Motocross Mania 3</t>
  </si>
  <si>
    <t>Novo pes 2023</t>
  </si>
  <si>
    <t>EDGE 20 / EDGE 20 PRO</t>
  </si>
  <si>
    <t>Motor Storm Arctic Edge</t>
  </si>
  <si>
    <t xml:space="preserve">Pac-Man </t>
  </si>
  <si>
    <t>EDGE 30 NEO</t>
  </si>
  <si>
    <t>Naruto Utimate Ninja</t>
  </si>
  <si>
    <t>PES 13</t>
  </si>
  <si>
    <t>ONE</t>
  </si>
  <si>
    <t>K9 / K8 PLUS / POCO F1 / MI 8 LITE / ZENFONE 5 / P30 / NOTE 6 PRO / E6 PLAY</t>
  </si>
  <si>
    <t>Naruto Utimate Ninja 3</t>
  </si>
  <si>
    <t>Pirates Of The Caribbean</t>
  </si>
  <si>
    <t xml:space="preserve">Xaiome </t>
  </si>
  <si>
    <t>MI 8</t>
  </si>
  <si>
    <t>MI 8 PRO</t>
  </si>
  <si>
    <t>Nba 2012</t>
  </si>
  <si>
    <t>Prey</t>
  </si>
  <si>
    <t>MI 8 LITE</t>
  </si>
  <si>
    <t>Need For Speed Carbon</t>
  </si>
  <si>
    <t>Prince Of Persia Prodigy</t>
  </si>
  <si>
    <t>RD NOTE 8 PRO</t>
  </si>
  <si>
    <t>M10S</t>
  </si>
  <si>
    <t>Need For Speed Hot Mostwanted</t>
  </si>
  <si>
    <t>Prototype 2</t>
  </si>
  <si>
    <t>RM NOTE 9S</t>
  </si>
  <si>
    <t>A71 - A80</t>
  </si>
  <si>
    <t>Need For Speed Hot Pursuit</t>
  </si>
  <si>
    <t xml:space="preserve">Rango </t>
  </si>
  <si>
    <t xml:space="preserve">RM 9 </t>
  </si>
  <si>
    <t>SAMSUNG M21S / SAMSUNG M31</t>
  </si>
  <si>
    <t>Need For Speed Underground</t>
  </si>
  <si>
    <t>Rapala For Kinect</t>
  </si>
  <si>
    <t>RM 9C</t>
  </si>
  <si>
    <t>A23 / A12 / A32 / MOTO E 7 PLUS / A23 / A03S / REDMI 9 POWER / REDMI 9T / REALME C11 / REALME C25 / POCO M3 / REDMI 9A / REDMI 9I</t>
  </si>
  <si>
    <t>Neeed For Speed Underground 2</t>
  </si>
  <si>
    <t>Ratatouille</t>
  </si>
  <si>
    <t>9T</t>
  </si>
  <si>
    <t>REDMI NOTE 8T / REDMI NOTE 9 4G / POCO M3</t>
  </si>
  <si>
    <t>Nicktoons Attack Of Th Toybots</t>
  </si>
  <si>
    <t>Rio</t>
  </si>
  <si>
    <t>XM NOTE 10 PRO</t>
  </si>
  <si>
    <t>A73 / M51 / A52 / A71 / A72 / A21S / A21 / MOTO G STYLUS / REDMI NOTE 10 / REDMI NOTE 10S / REDMI NOTE 10 PRO / MI 11 i / XIAOMI MI 11 LITE</t>
  </si>
  <si>
    <t>One Piegce Grand Adventure</t>
  </si>
  <si>
    <t>Rise Of The Argonauts</t>
  </si>
  <si>
    <t>XM 10 LITE</t>
  </si>
  <si>
    <t>Over The Hedge</t>
  </si>
  <si>
    <t>Risen</t>
  </si>
  <si>
    <t>RM 10C</t>
  </si>
  <si>
    <t>P4 Persona 4</t>
  </si>
  <si>
    <t>Risen 2</t>
  </si>
  <si>
    <t>NOTE 10 PRO</t>
  </si>
  <si>
    <t>G53 / G32 / G82 / G71 REDIMI NOTE 10 PRO / XIAOMI MI11 / SAMSUNG A72 / LG K51S / SAMSUNG A73 / MI 11 LITE</t>
  </si>
  <si>
    <t>Pac Man Word 3</t>
  </si>
  <si>
    <t>Risen 3</t>
  </si>
  <si>
    <t>NOTE 10 4G</t>
  </si>
  <si>
    <t>Panzer elite action</t>
  </si>
  <si>
    <t>Rock Band 3</t>
  </si>
  <si>
    <t>RM NOTE 11 / 11S / 12S</t>
  </si>
  <si>
    <t>NOTE 10 / A51 / A11 / S20 FE</t>
  </si>
  <si>
    <t>Pes 2013</t>
  </si>
  <si>
    <t>Rock Of The Dead</t>
  </si>
  <si>
    <t>RM NOTE 11 4G</t>
  </si>
  <si>
    <t>Pes 2019</t>
  </si>
  <si>
    <t>Saints Row The Third</t>
  </si>
  <si>
    <t xml:space="preserve">RM NOTE 12 PRO </t>
  </si>
  <si>
    <t>Pes 2024</t>
  </si>
  <si>
    <t>Section 8</t>
  </si>
  <si>
    <t>RM 12</t>
  </si>
  <si>
    <t>Pes Treme Terra V10</t>
  </si>
  <si>
    <t>Sherek Forever After</t>
  </si>
  <si>
    <t>RM NOTE 12</t>
  </si>
  <si>
    <t>Peter Jacksons King Kong</t>
  </si>
  <si>
    <t>Singularity</t>
  </si>
  <si>
    <t>NOTE 12 C</t>
  </si>
  <si>
    <t>Rainbow Six 3</t>
  </si>
  <si>
    <t xml:space="preserve">Sombras De Mordor </t>
  </si>
  <si>
    <t>NOTE 12 S</t>
  </si>
  <si>
    <t>Soul Calibur V</t>
  </si>
  <si>
    <t>RM NOTE 13 PRO</t>
  </si>
  <si>
    <t>Red Dead Revolver</t>
  </si>
  <si>
    <t>Spide-Man Shattered Dimensions</t>
  </si>
  <si>
    <t>RM 13 C</t>
  </si>
  <si>
    <t>Samsung Galaxy A06 - A05 / A05S / Redmi 13C / Realme Note 50 / Realme C53 / Realme C51 / Realme C61 / Poco C65</t>
  </si>
  <si>
    <t>Resident Evil Code Veronica Dublado</t>
  </si>
  <si>
    <t>Spiden-Man Edge Of Time</t>
  </si>
  <si>
    <t>PC F5 /F5 PRO</t>
  </si>
  <si>
    <t>Rumble Roses</t>
  </si>
  <si>
    <t xml:space="preserve">Spider man the amazing </t>
  </si>
  <si>
    <t>PC M5 4G</t>
  </si>
  <si>
    <t>Saint Sena</t>
  </si>
  <si>
    <t>Spider-Man The Amazing 2</t>
  </si>
  <si>
    <t>X6 / X6 PRO</t>
  </si>
  <si>
    <t>Scooby-Doo</t>
  </si>
  <si>
    <t>Splinter Cell Clacklist</t>
  </si>
  <si>
    <t>XM A3</t>
  </si>
  <si>
    <t>Sega Essentials 7X1</t>
  </si>
  <si>
    <t>Spyro</t>
  </si>
  <si>
    <t>POCO M3</t>
  </si>
  <si>
    <t>Sherek 2</t>
  </si>
  <si>
    <t>Star Trek Legacy</t>
  </si>
  <si>
    <t>NOTE 20 5G</t>
  </si>
  <si>
    <t>Sherek The Third</t>
  </si>
  <si>
    <t>Star Wars The Force</t>
  </si>
  <si>
    <t>PC X3</t>
  </si>
  <si>
    <t>Socom Combined Assault</t>
  </si>
  <si>
    <t>Street Fighter 4</t>
  </si>
  <si>
    <t>Sonic Utimate Genesis</t>
  </si>
  <si>
    <t xml:space="preserve">Tdu 2 </t>
  </si>
  <si>
    <t>Spider-Man 3</t>
  </si>
  <si>
    <t>Tekken Tag Tournaments 2</t>
  </si>
  <si>
    <t>Spider-Man Frien Or Foe</t>
  </si>
  <si>
    <t>Terraria</t>
  </si>
  <si>
    <t>Spider-Man Web Of Shadowns</t>
  </si>
  <si>
    <t xml:space="preserve">Test Drive Ferrari </t>
  </si>
  <si>
    <t>The Cursed Crusade</t>
  </si>
  <si>
    <t>Super Bomba Patch 2024</t>
  </si>
  <si>
    <t>The Golden Compass</t>
  </si>
  <si>
    <t>Super Bomba Patch 2025</t>
  </si>
  <si>
    <t>The king of fighters XIII</t>
  </si>
  <si>
    <t>Super Coleçao 7784 Jogos</t>
  </si>
  <si>
    <t>The Smurfs 2</t>
  </si>
  <si>
    <t>Super Hero Squad</t>
  </si>
  <si>
    <t>the witcher 2</t>
  </si>
  <si>
    <t>Superman Retur</t>
  </si>
  <si>
    <t>Thor</t>
  </si>
  <si>
    <t>Tarzan</t>
  </si>
  <si>
    <t>Tom Clancys vegas 2</t>
  </si>
  <si>
    <t>Teen Titans</t>
  </si>
  <si>
    <t>Vanquish</t>
  </si>
  <si>
    <t>Test drive ferrari</t>
  </si>
  <si>
    <t>W2K17</t>
  </si>
  <si>
    <t>The Godfather</t>
  </si>
  <si>
    <t>Warriors Oroch 2</t>
  </si>
  <si>
    <t>The Punisher</t>
  </si>
  <si>
    <t xml:space="preserve">Watchmen </t>
  </si>
  <si>
    <t>The Simpsons Hit &amp; Run</t>
  </si>
  <si>
    <t>Where The Wild Things Are</t>
  </si>
  <si>
    <t>The Simpsons Road Rage</t>
  </si>
  <si>
    <t>Wolfenstein</t>
  </si>
  <si>
    <t>The Sims 2</t>
  </si>
  <si>
    <t>Wsc Real 11</t>
  </si>
  <si>
    <t>The Spiderwick</t>
  </si>
  <si>
    <t>Xcom Enemy Within</t>
  </si>
  <si>
    <t>The Warriors</t>
  </si>
  <si>
    <t>Time Crises 3</t>
  </si>
  <si>
    <t>tomb raider underworld</t>
  </si>
  <si>
    <t>Toy Store 3</t>
  </si>
  <si>
    <t>Truecrime New York City</t>
  </si>
  <si>
    <t>Urban Reigh</t>
  </si>
  <si>
    <t>Woody Woodpecker</t>
  </si>
  <si>
    <t>Xman Origins Wolverine</t>
  </si>
  <si>
    <t>Avatar - The Legend of Aang</t>
  </si>
  <si>
    <t>Digital</t>
  </si>
  <si>
    <t>Battle Stadium D O N Latino Final</t>
  </si>
  <si>
    <t>Black Dublado</t>
  </si>
  <si>
    <t>Bully Dublado v1.0 PT-BR</t>
  </si>
  <si>
    <t>Darkwatch Hack Edition</t>
  </si>
  <si>
    <t>Devil May Cry 3 Dublado em PT-BR</t>
  </si>
  <si>
    <t>Dragon Ball Budokai Tenkaichi 4 Dublado V4</t>
  </si>
  <si>
    <t>FIFA Street</t>
  </si>
  <si>
    <t>God Of PES 2023</t>
  </si>
  <si>
    <t>God Of War 1 Dublado</t>
  </si>
  <si>
    <t>God of War 2 Dublado</t>
  </si>
  <si>
    <t>Gran Turismo 4 Hack Edition</t>
  </si>
  <si>
    <t>GTA III Mod Menu Hack Edition</t>
  </si>
  <si>
    <t>GTA San Andreas Dublado</t>
  </si>
  <si>
    <t>Guitar Hero 1 (PT-BR)</t>
  </si>
  <si>
    <t>Guitar Hero III - Legends of Rock PT-BR)</t>
  </si>
  <si>
    <t>ICE AGE 2 THE MELTDOWN</t>
  </si>
  <si>
    <t>Jurassic Park</t>
  </si>
  <si>
    <t>Kung Fu Panda PT-BR</t>
  </si>
  <si>
    <t>Marvel vs Capcom 2 Hack Edition Down Remix</t>
  </si>
  <si>
    <t>Medal of Honor - European Assault</t>
  </si>
  <si>
    <t>Medal of Honor Rising Sun</t>
  </si>
  <si>
    <t>METAL GEAR SOLID 2</t>
  </si>
  <si>
    <t>MIDNIGHT CLUB 3 REMIX</t>
  </si>
  <si>
    <t>Mortal Kombat - Shaolin Monks (PT-BR)</t>
  </si>
  <si>
    <t>Mortal Kombat Arcade  Collection</t>
  </si>
  <si>
    <t>Mortal Kombat Armageddon</t>
  </si>
  <si>
    <t>Motoqueiro Fantasma PT-BR</t>
  </si>
  <si>
    <t>Naruto Shippuden - Kizuna Drive</t>
  </si>
  <si>
    <t xml:space="preserve">Need for Speed Carbon </t>
  </si>
  <si>
    <t xml:space="preserve">Need For Speed Most Wanted Black Edition </t>
  </si>
  <si>
    <t xml:space="preserve">Need for Speed Undercover </t>
  </si>
  <si>
    <t>Need for Speed Underground 1</t>
  </si>
  <si>
    <t>Need for Speed Underground 2 Dublado</t>
  </si>
  <si>
    <t>PES 2019 ADVANCED V2.0</t>
  </si>
  <si>
    <t>PES 2026 Axel CM Final Edition</t>
  </si>
  <si>
    <t>Pokémon GBA Collection</t>
  </si>
  <si>
    <t>Prince of Persia - The Sands of Time PT-BR</t>
  </si>
  <si>
    <t>resident evil 4 PTBR</t>
  </si>
  <si>
    <t>The King of Fighters 98 Ultimate - Match</t>
  </si>
  <si>
    <t>The King of Fighters 2002 Unlimited Match</t>
  </si>
  <si>
    <t>Tony Hawk's Pro Skater 4</t>
  </si>
  <si>
    <t>Ultimate Spider-Man - Limited Edition (BR)</t>
  </si>
  <si>
    <t>Yu-Gi-Oh! Capsule Monsters</t>
  </si>
  <si>
    <t>formataçao</t>
  </si>
  <si>
    <t>opl</t>
  </si>
  <si>
    <t>memorycard</t>
  </si>
  <si>
    <t>260214MX09MKJK</t>
  </si>
  <si>
    <t>Power Vox 12 Polegadas 800w</t>
  </si>
  <si>
    <t>gatilho simples</t>
  </si>
  <si>
    <t>260214PRACWP1G</t>
  </si>
  <si>
    <t>260214NC6AV4AW</t>
  </si>
  <si>
    <t>260213HSDSJMQX</t>
  </si>
  <si>
    <t>260216UC5PEXQS</t>
  </si>
  <si>
    <t>260216T9YQWBCN</t>
  </si>
  <si>
    <t>260216UB0PYHCE</t>
  </si>
  <si>
    <t>260215S10WG2NV</t>
  </si>
  <si>
    <t>260215QY2AJYYW</t>
  </si>
  <si>
    <t>260215S0NNWVA1</t>
  </si>
  <si>
    <t>2602181G0BWP7K</t>
  </si>
  <si>
    <t>2602170V61Y572</t>
  </si>
  <si>
    <t>jogo de faqueiro</t>
  </si>
  <si>
    <t xml:space="preserve">ana </t>
  </si>
  <si>
    <t>luvinhas dedo</t>
  </si>
  <si>
    <t>2602194QD3PDMR</t>
  </si>
  <si>
    <t>Adaptador Tomada</t>
  </si>
  <si>
    <t>260219506EESHD</t>
  </si>
  <si>
    <t>26022088CEW7MH</t>
  </si>
  <si>
    <t>kit opl + 32gb</t>
  </si>
  <si>
    <t>582693256409416785</t>
  </si>
  <si>
    <t>582671832439162687</t>
  </si>
  <si>
    <t>pente</t>
  </si>
  <si>
    <t>alea</t>
  </si>
  <si>
    <t>cliente instagram</t>
  </si>
  <si>
    <t>SSd 240gb</t>
  </si>
  <si>
    <t>cartinha 50</t>
  </si>
  <si>
    <t>260223E5E800MU</t>
  </si>
  <si>
    <t>Par Alto Falante Snake Pro ESV320</t>
  </si>
  <si>
    <t>260223DWGFD4CB</t>
  </si>
  <si>
    <t>cliente ps2 Victor Brandão</t>
  </si>
  <si>
    <t>mara</t>
  </si>
  <si>
    <t>582767102684267825</t>
  </si>
  <si>
    <t>260224HATE1P51</t>
  </si>
  <si>
    <t>582832973697222108</t>
  </si>
  <si>
    <t>582802201370330561</t>
  </si>
  <si>
    <t>cabo hdmi</t>
  </si>
  <si>
    <t>ps2</t>
  </si>
  <si>
    <t>adptador hdmi ps2</t>
  </si>
  <si>
    <t>cliente ps2</t>
  </si>
  <si>
    <t>mouse pad</t>
  </si>
  <si>
    <t>computador</t>
  </si>
  <si>
    <t>computador 1 in all lenovo</t>
  </si>
  <si>
    <t>estensao 10m</t>
  </si>
  <si>
    <t>cabo de força 2 pinos</t>
  </si>
  <si>
    <t>camera dupla</t>
  </si>
  <si>
    <t>patricia</t>
  </si>
  <si>
    <t>camera simples</t>
  </si>
  <si>
    <t>Cartao de memoria 64gb</t>
  </si>
  <si>
    <t>brinquedo aviao</t>
  </si>
  <si>
    <t>hd 750gb</t>
  </si>
  <si>
    <t xml:space="preserve">titwwer </t>
  </si>
  <si>
    <t>olx</t>
  </si>
  <si>
    <t>582949664542655793</t>
  </si>
  <si>
    <t>582969363430213371</t>
  </si>
  <si>
    <t>aleatoria</t>
  </si>
  <si>
    <t>cabo iphone 2m</t>
  </si>
  <si>
    <t>2603143RH3G5SJ</t>
  </si>
  <si>
    <t>260311SUCVJT5B</t>
  </si>
  <si>
    <t>260312UJJBBAVE</t>
  </si>
  <si>
    <t>260311SA40Y1F8</t>
  </si>
  <si>
    <t>260311SNXJHKSB</t>
  </si>
  <si>
    <t>260313103HV5F6</t>
  </si>
  <si>
    <t>26031325T58KDX</t>
  </si>
  <si>
    <t>2603131G6CJM2Y</t>
  </si>
  <si>
    <t>2603143K853WWM</t>
  </si>
  <si>
    <t>2603145F5U847D</t>
  </si>
  <si>
    <t>583028210992842730</t>
  </si>
  <si>
    <t>583003560395768948</t>
  </si>
  <si>
    <t>583076402794039259</t>
  </si>
  <si>
    <t>Case hd 2.5</t>
  </si>
  <si>
    <t>2603156GA6X2KW</t>
  </si>
  <si>
    <t>evok 280 rms</t>
  </si>
  <si>
    <t>2603168MB44W5B</t>
  </si>
  <si>
    <t>2603157YRJQ60Y</t>
  </si>
  <si>
    <t>2603168N84XUJ5</t>
  </si>
  <si>
    <t>2603169878A177</t>
  </si>
  <si>
    <t>fonte de celular simples</t>
  </si>
  <si>
    <t>260320MRH5UP5A</t>
  </si>
  <si>
    <t>260323UA87XECC</t>
  </si>
  <si>
    <t>fone pmcell</t>
  </si>
  <si>
    <t>hd 1t</t>
  </si>
  <si>
    <t>583086581104871031</t>
  </si>
  <si>
    <t>583098538648110579</t>
  </si>
  <si>
    <t>583114960457861054</t>
  </si>
  <si>
    <t>583128761118000431</t>
  </si>
  <si>
    <t>583128912663119443</t>
  </si>
  <si>
    <t>583155029219772144</t>
  </si>
  <si>
    <t>583191996668544497</t>
  </si>
  <si>
    <t>notebook terceiro</t>
  </si>
  <si>
    <t>frigideira ovo</t>
  </si>
  <si>
    <t>bolsa termica</t>
  </si>
  <si>
    <t>gravaçao</t>
  </si>
  <si>
    <t>balança grande</t>
  </si>
  <si>
    <t>mochila termica</t>
  </si>
  <si>
    <t>2604052N4YAKVP</t>
  </si>
  <si>
    <t>260403U0Q395NK</t>
  </si>
  <si>
    <t>260403TU7QV6XT</t>
  </si>
  <si>
    <t>260401NR0BA272</t>
  </si>
  <si>
    <t>260328BWM81AGS</t>
  </si>
  <si>
    <t>260409CD2W2XJB</t>
  </si>
  <si>
    <t>260409BFX8SS7A</t>
  </si>
  <si>
    <t>260409BSHH7E0Q</t>
  </si>
  <si>
    <t>2604089DYV9NFE</t>
  </si>
  <si>
    <t>2604088H2RCBCG</t>
  </si>
  <si>
    <t>2604088EAMB58S</t>
  </si>
  <si>
    <t>26040888X1M69H</t>
  </si>
  <si>
    <t>2604088WQH4MP3</t>
  </si>
  <si>
    <t>2604077VFTMCCS</t>
  </si>
  <si>
    <t>583421944481809850</t>
  </si>
  <si>
    <t>583435469169263884</t>
  </si>
  <si>
    <t>583436730013615732</t>
  </si>
  <si>
    <t xml:space="preserve">cabo iphone </t>
  </si>
  <si>
    <t>vall pequena</t>
  </si>
  <si>
    <t>260410DK38AXXA</t>
  </si>
  <si>
    <t>260410DP6H17MK</t>
  </si>
  <si>
    <t>260410F789WW11</t>
  </si>
  <si>
    <t>pc dell</t>
  </si>
  <si>
    <t>carregador completo tipo c</t>
  </si>
  <si>
    <t>260413PV0SU306</t>
  </si>
  <si>
    <t>260411HKY18FYT</t>
  </si>
  <si>
    <t xml:space="preserve"> 260401NR0BA272</t>
  </si>
  <si>
    <t>260413NCR54MQE</t>
  </si>
  <si>
    <t>260414R65317J0</t>
  </si>
  <si>
    <t>260411G5FBQ3XV</t>
  </si>
  <si>
    <t>260411GFJ31RRA</t>
  </si>
  <si>
    <t>260412JPXBAC7T</t>
  </si>
  <si>
    <t>260412K9E3GT7K</t>
  </si>
  <si>
    <t>260412KUNPAFPG</t>
  </si>
  <si>
    <t>260413MR5QNNP9</t>
  </si>
  <si>
    <t>260413NHDG2M9S</t>
  </si>
  <si>
    <t>260413NQ1NXHYE</t>
  </si>
  <si>
    <t xml:space="preserve">Lanterna Multiuso 8 Em 1 </t>
  </si>
  <si>
    <t>260413PVYRRD3C</t>
  </si>
  <si>
    <t>260415SNH97YP2</t>
  </si>
  <si>
    <t>260414Q9STB3DN</t>
  </si>
  <si>
    <t>260414QVW70J9K</t>
  </si>
  <si>
    <t>2604172JHMVSDW</t>
  </si>
  <si>
    <t>26041847PHYC32</t>
  </si>
  <si>
    <t>26041619KGDYFH</t>
  </si>
  <si>
    <t>2604184UTQHWTB</t>
  </si>
  <si>
    <t>fone de ouvido para iphone</t>
  </si>
  <si>
    <t>mae bebe</t>
  </si>
  <si>
    <t>583479030878472056</t>
  </si>
  <si>
    <t>583479882090972614</t>
  </si>
  <si>
    <t>583496655317993267</t>
  </si>
  <si>
    <t>583507949532579537</t>
  </si>
  <si>
    <t>583508537126847701</t>
  </si>
  <si>
    <t>583535071876711979</t>
  </si>
  <si>
    <t>583549454049118089</t>
  </si>
  <si>
    <t>583551026406720705</t>
  </si>
  <si>
    <t>583553405403694455</t>
  </si>
  <si>
    <t>adaptador wifi</t>
  </si>
  <si>
    <t>260421C6SSPHA5</t>
  </si>
  <si>
    <t>260421C89S5NE6</t>
  </si>
  <si>
    <t>260421CMEX7DWT</t>
  </si>
  <si>
    <t>260421CNENTYWD</t>
  </si>
  <si>
    <t>260420BBSM223J</t>
  </si>
  <si>
    <t>2604209HXS1DJ5</t>
  </si>
  <si>
    <t>mouse simples</t>
  </si>
  <si>
    <t>teclado simples</t>
  </si>
  <si>
    <t>cabeça usp</t>
  </si>
  <si>
    <t>super cola</t>
  </si>
  <si>
    <t>relogio m2</t>
  </si>
  <si>
    <t>smartwhat xaiome</t>
  </si>
  <si>
    <t>balança digital</t>
  </si>
  <si>
    <t>jogos de xbox</t>
  </si>
  <si>
    <t>2604280T01SJ8T</t>
  </si>
  <si>
    <t>260423K0DD8TQ5</t>
  </si>
  <si>
    <t>260425NRMJTJ1W</t>
  </si>
  <si>
    <t>260426RJS23MB2</t>
  </si>
  <si>
    <t>260426S0SH02BJ</t>
  </si>
  <si>
    <t xml:space="preserve"> 2605019WWE8B9Y</t>
  </si>
  <si>
    <t>60502AD1TAKX0</t>
  </si>
  <si>
    <t>260502B264YRW1</t>
  </si>
  <si>
    <t>26042701X1MQWY</t>
  </si>
  <si>
    <t>260505JFA3YXQE</t>
  </si>
  <si>
    <t>260506MDXPYT4P</t>
  </si>
  <si>
    <t xml:space="preserve"> 260506MUHE6AAR</t>
  </si>
  <si>
    <t xml:space="preserve">carregador completo </t>
  </si>
  <si>
    <t>583876539229374042</t>
  </si>
  <si>
    <t>583899379960350386</t>
  </si>
  <si>
    <t>583915753558738499</t>
  </si>
  <si>
    <t>583619328241861914</t>
  </si>
  <si>
    <t>583637996265834144</t>
  </si>
  <si>
    <t>583657289674360718</t>
  </si>
  <si>
    <t>583699368798159949</t>
  </si>
  <si>
    <t>583729687816472455</t>
  </si>
  <si>
    <t>583847449511429402</t>
  </si>
  <si>
    <t>260507QWTJATPX</t>
  </si>
  <si>
    <t>260507RR9X6HP4</t>
  </si>
  <si>
    <t>karol</t>
  </si>
  <si>
    <t>cabo carregador tipoc</t>
  </si>
  <si>
    <t>carregador completo</t>
  </si>
  <si>
    <t>gravaçao musica</t>
  </si>
  <si>
    <t>260513951BNUXD</t>
  </si>
  <si>
    <t>2605126P91C4RV</t>
  </si>
  <si>
    <t>26051154M47D2S</t>
  </si>
  <si>
    <t>26051023Y32UH6</t>
  </si>
  <si>
    <t>carregador tipo c</t>
  </si>
  <si>
    <t>carregador veicular</t>
  </si>
  <si>
    <t>cabo e força</t>
  </si>
  <si>
    <t>bateria 2032</t>
  </si>
  <si>
    <t>Figurinhas copa ifood</t>
  </si>
  <si>
    <t>DAY</t>
  </si>
  <si>
    <t>SARAH</t>
  </si>
  <si>
    <t>figurinha separada ifood</t>
  </si>
  <si>
    <t>kalebe</t>
  </si>
  <si>
    <t>figurinhas copa brasil</t>
  </si>
  <si>
    <t xml:space="preserve">ferro de passar roupa </t>
  </si>
  <si>
    <t>relogio pequeno</t>
  </si>
  <si>
    <t>ssd 12gb</t>
  </si>
  <si>
    <t>figurinhas</t>
  </si>
  <si>
    <t xml:space="preserve">fone xaiome </t>
  </si>
  <si>
    <t>bandeirinha 3m</t>
  </si>
  <si>
    <t>porta rg</t>
  </si>
  <si>
    <t>cartinha neymar</t>
  </si>
  <si>
    <t>mikaely</t>
  </si>
  <si>
    <t>grvaçao de musica</t>
  </si>
  <si>
    <t xml:space="preserve">jogo ps2 </t>
  </si>
  <si>
    <t>260520TGBK12TA</t>
  </si>
  <si>
    <t>Power Vox 12 Polegadas 1000w</t>
  </si>
  <si>
    <t>260520TGBK12TB</t>
  </si>
  <si>
    <t>260515EU5QUHSW</t>
  </si>
  <si>
    <t>260526DTGJEGPQ</t>
  </si>
  <si>
    <t>260528HKCF4DH2</t>
  </si>
  <si>
    <t>Arquivo pdf Shopee</t>
  </si>
  <si>
    <t>260531S85XH2CM</t>
  </si>
  <si>
    <t>260531U9XWGJNQ</t>
  </si>
  <si>
    <t>260525C758V5PB</t>
  </si>
  <si>
    <t>260527FM7VYVW5</t>
  </si>
  <si>
    <t>260531UBQR4QEB</t>
  </si>
  <si>
    <t>260529MV79AB08</t>
  </si>
  <si>
    <t>260526D8R6YTW1</t>
  </si>
  <si>
    <t>2605248BHY5FNX</t>
  </si>
  <si>
    <t>260529PCMCB6M5</t>
  </si>
  <si>
    <t>260528J1MSR1WM</t>
  </si>
  <si>
    <t>260529MJP3NUNV</t>
  </si>
  <si>
    <t>260529P78M9G45</t>
  </si>
  <si>
    <t xml:space="preserve"> 260529NXFECXMX</t>
  </si>
  <si>
    <t>260601UG0U18WR</t>
  </si>
  <si>
    <t>260601UGBQ39NJ</t>
  </si>
  <si>
    <t>260601UKQAUR2H</t>
  </si>
  <si>
    <t>260601UXGQ01BJ</t>
  </si>
  <si>
    <t>2606010MJDNVMR</t>
  </si>
  <si>
    <t>Evok 6'' 6mb300 300w Rms Mid Bass</t>
  </si>
  <si>
    <t>260529MB8B6BM6</t>
  </si>
  <si>
    <t>260530PMRMR99A</t>
  </si>
  <si>
    <t>260602355XYHPS</t>
  </si>
  <si>
    <t>2606021D7H2QCC</t>
  </si>
  <si>
    <t>2606020YFPP4MQ</t>
  </si>
  <si>
    <t>2606035MGQMDYY</t>
  </si>
  <si>
    <t>2606034202M90X</t>
  </si>
  <si>
    <t xml:space="preserve">Evok 6x9 280rms 560w 4ohms </t>
  </si>
  <si>
    <t>2606045XY8MGF4</t>
  </si>
  <si>
    <t>Power Vox 12 Polegadas 1000w Rms 4 Ohms Preto</t>
  </si>
  <si>
    <t>2606045Y090WHW</t>
  </si>
  <si>
    <t xml:space="preserve"> 2606033UE8PV0V</t>
  </si>
  <si>
    <t>2606035KKVFRNU</t>
  </si>
  <si>
    <t>2606046MGAH404</t>
  </si>
  <si>
    <t>260606B1XKPJYT</t>
  </si>
  <si>
    <t>260606B6MYY3DX</t>
  </si>
  <si>
    <t>2606046P31KQAH</t>
  </si>
  <si>
    <t>2606058PUG6HXN</t>
  </si>
  <si>
    <t>260606B1FWFNXG</t>
  </si>
  <si>
    <t>26060590G5B9P4</t>
  </si>
  <si>
    <t>260606AY2SD1DW</t>
  </si>
  <si>
    <t>26060481Y18VMK</t>
  </si>
  <si>
    <t>260606BPCWMEVU</t>
  </si>
  <si>
    <t xml:space="preserve">Evok 6'' 6mb300 300w Rms Mid Bass </t>
  </si>
  <si>
    <t xml:space="preserve">memorycard opl </t>
  </si>
  <si>
    <t>figurinha personalizada</t>
  </si>
  <si>
    <t>valor recebido</t>
  </si>
  <si>
    <t>valor a pagar</t>
  </si>
  <si>
    <t>lucro</t>
  </si>
  <si>
    <t>valor anuncio</t>
  </si>
  <si>
    <t>valor 
desocnto</t>
  </si>
  <si>
    <t>Valor da taxa</t>
  </si>
  <si>
    <t>mini boby god</t>
  </si>
  <si>
    <t>usina</t>
  </si>
  <si>
    <t>album de figurinhas</t>
  </si>
  <si>
    <t>figurinhas da copa</t>
  </si>
  <si>
    <t>vuvulzela</t>
  </si>
  <si>
    <t>Opl</t>
  </si>
  <si>
    <t>chaveiro copa</t>
  </si>
  <si>
    <t>bandeira carro</t>
  </si>
  <si>
    <t>cartinha pokemon</t>
  </si>
  <si>
    <t>bola de futebol</t>
  </si>
  <si>
    <t>mikaelle</t>
  </si>
  <si>
    <t>pdf da copa</t>
  </si>
  <si>
    <t>gravação ps2</t>
  </si>
  <si>
    <t>impressao figurinhas</t>
  </si>
  <si>
    <t>tv box unitv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</si>
</sst>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6" formatCode="_-* #,##0_-;\-* #,##0_-;_-* &quot;-&quot;??_-;_-@_-"/>
  </numFmts>
  <fonts count="41" x14ac:knownFonts="1">
    <font>
      <sz val="11"/>
      <color theme="1"/>
      <name val="Calibri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sz val="10"/>
      <color theme="1"/>
      <name val="Open Sans"/>
      <family val="2"/>
    </font>
    <font>
      <b/>
      <sz val="12"/>
      <color theme="1"/>
      <name val="Open Sans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0"/>
      <name val="Open Sans"/>
      <family val="2"/>
    </font>
    <font>
      <b/>
      <sz val="11"/>
      <color rgb="FFFFFFFF"/>
      <name val="Open Sans"/>
      <family val="2"/>
    </font>
    <font>
      <b/>
      <sz val="11"/>
      <color theme="0"/>
      <name val="Calibri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rgb="FF212121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Open Sans"/>
      <family val="2"/>
    </font>
    <font>
      <sz val="11"/>
      <color rgb="FF000000"/>
      <name val="Calibri"/>
      <family val="2"/>
      <scheme val="minor"/>
    </font>
    <font>
      <b/>
      <i/>
      <sz val="10"/>
      <color rgb="FF000000"/>
      <name val="Open Sans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Segoe UI"/>
      <family val="2"/>
    </font>
    <font>
      <u/>
      <sz val="10"/>
      <color rgb="FF000000"/>
      <name val="Open Sans"/>
      <family val="2"/>
    </font>
    <font>
      <u val="singleAccounting"/>
      <sz val="10"/>
      <color rgb="FF000000"/>
      <name val="Open Sans"/>
      <family val="2"/>
    </font>
    <font>
      <u val="singleAccounting"/>
      <sz val="11"/>
      <color rgb="FF00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Open Sans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1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DEEAF6"/>
      </patternFill>
    </fill>
    <fill>
      <patternFill patternType="solid">
        <fgColor rgb="FFD9E2F3"/>
      </patternFill>
    </fill>
    <fill>
      <patternFill patternType="solid">
        <fgColor rgb="FF61FD9C"/>
      </patternFill>
    </fill>
    <fill>
      <patternFill patternType="solid">
        <fgColor rgb="FFFF0000"/>
      </patternFill>
    </fill>
    <fill>
      <patternFill patternType="solid">
        <fgColor rgb="FFB4C6E7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1"/>
    <xf numFmtId="44" fontId="33" fillId="0" borderId="1" applyFont="0" applyFill="0" applyBorder="0" applyAlignment="0" applyProtection="0"/>
    <xf numFmtId="9" fontId="33" fillId="0" borderId="1" applyFont="0" applyFill="0" applyBorder="0" applyAlignment="0" applyProtection="0"/>
    <xf numFmtId="43" fontId="33" fillId="0" borderId="1" applyFont="0" applyFill="0" applyBorder="0" applyAlignment="0" applyProtection="0"/>
  </cellStyleXfs>
  <cellXfs count="180">
    <xf numFmtId="0" fontId="0" fillId="0" borderId="1" xfId="0"/>
    <xf numFmtId="0" fontId="7" fillId="2" borderId="6" xfId="0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164" fontId="7" fillId="2" borderId="7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/>
    </xf>
    <xf numFmtId="49" fontId="10" fillId="6" borderId="5" xfId="0" applyNumberFormat="1" applyFont="1" applyFill="1" applyBorder="1" applyAlignment="1">
      <alignment horizontal="center"/>
    </xf>
    <xf numFmtId="49" fontId="11" fillId="6" borderId="5" xfId="0" applyNumberFormat="1" applyFont="1" applyFill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 vertical="center"/>
    </xf>
    <xf numFmtId="14" fontId="5" fillId="0" borderId="1" xfId="0" applyNumberFormat="1" applyFont="1"/>
    <xf numFmtId="49" fontId="3" fillId="0" borderId="1" xfId="0" applyNumberFormat="1" applyFont="1" applyAlignment="1">
      <alignment horizontal="left" vertical="center"/>
    </xf>
    <xf numFmtId="1" fontId="5" fillId="0" borderId="1" xfId="0" applyNumberFormat="1" applyFont="1"/>
    <xf numFmtId="49" fontId="5" fillId="0" borderId="1" xfId="0" applyNumberFormat="1" applyFont="1"/>
    <xf numFmtId="164" fontId="5" fillId="0" borderId="1" xfId="0" applyNumberFormat="1" applyFont="1"/>
    <xf numFmtId="0" fontId="28" fillId="5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/>
    </xf>
    <xf numFmtId="0" fontId="29" fillId="7" borderId="5" xfId="0" applyFont="1" applyFill="1" applyBorder="1" applyAlignment="1">
      <alignment horizontal="center"/>
    </xf>
    <xf numFmtId="14" fontId="28" fillId="5" borderId="5" xfId="0" applyNumberFormat="1" applyFont="1" applyFill="1" applyBorder="1" applyAlignment="1">
      <alignment horizontal="center" vertical="center"/>
    </xf>
    <xf numFmtId="14" fontId="29" fillId="6" borderId="5" xfId="0" applyNumberFormat="1" applyFont="1" applyFill="1" applyBorder="1" applyAlignment="1">
      <alignment horizontal="center" vertical="center"/>
    </xf>
    <xf numFmtId="14" fontId="29" fillId="6" borderId="5" xfId="0" applyNumberFormat="1" applyFont="1" applyFill="1" applyBorder="1" applyAlignment="1">
      <alignment horizontal="center"/>
    </xf>
    <xf numFmtId="14" fontId="29" fillId="7" borderId="5" xfId="0" applyNumberFormat="1" applyFont="1" applyFill="1" applyBorder="1" applyAlignment="1">
      <alignment horizontal="center"/>
    </xf>
    <xf numFmtId="16" fontId="29" fillId="7" borderId="5" xfId="0" applyNumberFormat="1" applyFont="1" applyFill="1" applyBorder="1" applyAlignment="1">
      <alignment horizontal="center" wrapText="1"/>
    </xf>
    <xf numFmtId="49" fontId="30" fillId="5" borderId="5" xfId="0" applyNumberFormat="1" applyFont="1" applyFill="1" applyBorder="1" applyAlignment="1">
      <alignment horizontal="left" vertical="center"/>
    </xf>
    <xf numFmtId="49" fontId="29" fillId="6" borderId="5" xfId="0" applyNumberFormat="1" applyFont="1" applyFill="1" applyBorder="1" applyAlignment="1">
      <alignment horizontal="left" vertical="center"/>
    </xf>
    <xf numFmtId="49" fontId="29" fillId="7" borderId="5" xfId="0" applyNumberFormat="1" applyFont="1" applyFill="1" applyBorder="1" applyAlignment="1">
      <alignment horizontal="left" vertical="center"/>
    </xf>
    <xf numFmtId="0" fontId="31" fillId="8" borderId="5" xfId="0" applyFont="1" applyFill="1" applyBorder="1" applyAlignment="1">
      <alignment vertical="center"/>
    </xf>
    <xf numFmtId="0" fontId="31" fillId="9" borderId="5" xfId="0" applyFont="1" applyFill="1" applyBorder="1" applyAlignment="1">
      <alignment vertical="center"/>
    </xf>
    <xf numFmtId="0" fontId="30" fillId="7" borderId="5" xfId="0" applyFont="1" applyFill="1" applyBorder="1" applyAlignment="1">
      <alignment vertical="center"/>
    </xf>
    <xf numFmtId="1" fontId="28" fillId="5" borderId="5" xfId="0" applyNumberFormat="1" applyFont="1" applyFill="1" applyBorder="1" applyAlignment="1">
      <alignment horizontal="center" vertical="center"/>
    </xf>
    <xf numFmtId="1" fontId="29" fillId="6" borderId="5" xfId="0" applyNumberFormat="1" applyFont="1" applyFill="1" applyBorder="1" applyAlignment="1">
      <alignment horizontal="center" vertical="center"/>
    </xf>
    <xf numFmtId="1" fontId="29" fillId="6" borderId="5" xfId="0" applyNumberFormat="1" applyFont="1" applyFill="1" applyBorder="1" applyAlignment="1">
      <alignment horizontal="center"/>
    </xf>
    <xf numFmtId="1" fontId="29" fillId="7" borderId="5" xfId="0" applyNumberFormat="1" applyFont="1" applyFill="1" applyBorder="1" applyAlignment="1">
      <alignment horizontal="center"/>
    </xf>
    <xf numFmtId="0" fontId="29" fillId="7" borderId="5" xfId="0" applyFont="1" applyFill="1" applyBorder="1" applyAlignment="1">
      <alignment horizontal="center" wrapText="1"/>
    </xf>
    <xf numFmtId="49" fontId="28" fillId="5" borderId="5" xfId="0" applyNumberFormat="1" applyFont="1" applyFill="1" applyBorder="1" applyAlignment="1">
      <alignment horizontal="center" vertical="center"/>
    </xf>
    <xf numFmtId="49" fontId="29" fillId="6" borderId="5" xfId="0" applyNumberFormat="1" applyFont="1" applyFill="1" applyBorder="1" applyAlignment="1">
      <alignment horizontal="center" vertical="center"/>
    </xf>
    <xf numFmtId="49" fontId="29" fillId="6" borderId="5" xfId="0" applyNumberFormat="1" applyFont="1" applyFill="1" applyBorder="1" applyAlignment="1">
      <alignment horizontal="center"/>
    </xf>
    <xf numFmtId="49" fontId="29" fillId="7" borderId="5" xfId="0" applyNumberFormat="1" applyFont="1" applyFill="1" applyBorder="1" applyAlignment="1">
      <alignment horizontal="center"/>
    </xf>
    <xf numFmtId="164" fontId="30" fillId="5" borderId="5" xfId="0" applyNumberFormat="1" applyFont="1" applyFill="1" applyBorder="1" applyAlignment="1">
      <alignment horizontal="center" vertical="center"/>
    </xf>
    <xf numFmtId="164" fontId="28" fillId="5" borderId="5" xfId="0" applyNumberFormat="1" applyFont="1" applyFill="1" applyBorder="1" applyAlignment="1">
      <alignment horizontal="center" vertical="center"/>
    </xf>
    <xf numFmtId="164" fontId="29" fillId="6" borderId="5" xfId="0" applyNumberFormat="1" applyFont="1" applyFill="1" applyBorder="1" applyAlignment="1">
      <alignment horizontal="center" vertical="center"/>
    </xf>
    <xf numFmtId="164" fontId="29" fillId="7" borderId="5" xfId="0" applyNumberFormat="1" applyFont="1" applyFill="1" applyBorder="1" applyAlignment="1">
      <alignment horizontal="center" vertical="center"/>
    </xf>
    <xf numFmtId="164" fontId="30" fillId="7" borderId="5" xfId="0" applyNumberFormat="1" applyFont="1" applyFill="1" applyBorder="1" applyAlignment="1">
      <alignment horizontal="center" vertical="center"/>
    </xf>
    <xf numFmtId="164" fontId="30" fillId="7" borderId="5" xfId="0" applyNumberFormat="1" applyFont="1" applyFill="1" applyBorder="1" applyAlignment="1">
      <alignment horizontal="center" vertical="center" wrapText="1"/>
    </xf>
    <xf numFmtId="49" fontId="29" fillId="7" borderId="5" xfId="0" applyNumberFormat="1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Alignment="1">
      <alignment horizontal="left" vertical="center"/>
    </xf>
    <xf numFmtId="164" fontId="0" fillId="0" borderId="1" xfId="0" applyNumberFormat="1"/>
    <xf numFmtId="164" fontId="9" fillId="2" borderId="11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0" fontId="0" fillId="9" borderId="1" xfId="0" applyFill="1"/>
    <xf numFmtId="0" fontId="0" fillId="0" borderId="5" xfId="0" applyBorder="1" applyAlignment="1">
      <alignment horizontal="center" vertical="center"/>
    </xf>
    <xf numFmtId="0" fontId="29" fillId="7" borderId="11" xfId="0" applyFont="1" applyFill="1" applyBorder="1" applyAlignment="1">
      <alignment horizontal="center"/>
    </xf>
    <xf numFmtId="0" fontId="29" fillId="7" borderId="9" xfId="0" applyFont="1" applyFill="1" applyBorder="1" applyAlignment="1">
      <alignment horizontal="center"/>
    </xf>
    <xf numFmtId="0" fontId="29" fillId="9" borderId="5" xfId="0" applyFont="1" applyFill="1" applyBorder="1" applyAlignment="1">
      <alignment horizontal="center"/>
    </xf>
    <xf numFmtId="14" fontId="29" fillId="7" borderId="11" xfId="0" applyNumberFormat="1" applyFont="1" applyFill="1" applyBorder="1" applyAlignment="1">
      <alignment horizontal="center"/>
    </xf>
    <xf numFmtId="14" fontId="29" fillId="7" borderId="9" xfId="0" applyNumberFormat="1" applyFont="1" applyFill="1" applyBorder="1" applyAlignment="1">
      <alignment horizontal="center"/>
    </xf>
    <xf numFmtId="14" fontId="29" fillId="9" borderId="5" xfId="0" applyNumberFormat="1" applyFont="1" applyFill="1" applyBorder="1" applyAlignment="1">
      <alignment horizontal="center"/>
    </xf>
    <xf numFmtId="49" fontId="29" fillId="7" borderId="11" xfId="0" applyNumberFormat="1" applyFont="1" applyFill="1" applyBorder="1" applyAlignment="1">
      <alignment horizontal="left" vertical="center"/>
    </xf>
    <xf numFmtId="49" fontId="29" fillId="7" borderId="9" xfId="0" applyNumberFormat="1" applyFont="1" applyFill="1" applyBorder="1" applyAlignment="1">
      <alignment horizontal="left" vertical="center"/>
    </xf>
    <xf numFmtId="49" fontId="29" fillId="9" borderId="5" xfId="0" applyNumberFormat="1" applyFont="1" applyFill="1" applyBorder="1" applyAlignment="1">
      <alignment horizontal="left" vertical="center"/>
    </xf>
    <xf numFmtId="49" fontId="29" fillId="7" borderId="5" xfId="0" quotePrefix="1" applyNumberFormat="1" applyFont="1" applyFill="1" applyBorder="1" applyAlignment="1">
      <alignment horizontal="left" vertical="center"/>
    </xf>
    <xf numFmtId="49" fontId="29" fillId="7" borderId="5" xfId="0" applyNumberFormat="1" applyFont="1" applyFill="1" applyBorder="1" applyAlignment="1">
      <alignment horizontal="left" vertical="center" wrapText="1"/>
    </xf>
    <xf numFmtId="1" fontId="29" fillId="7" borderId="11" xfId="0" applyNumberFormat="1" applyFont="1" applyFill="1" applyBorder="1" applyAlignment="1">
      <alignment horizontal="center"/>
    </xf>
    <xf numFmtId="1" fontId="29" fillId="7" borderId="9" xfId="0" applyNumberFormat="1" applyFont="1" applyFill="1" applyBorder="1" applyAlignment="1">
      <alignment horizontal="center"/>
    </xf>
    <xf numFmtId="1" fontId="29" fillId="9" borderId="5" xfId="0" applyNumberFormat="1" applyFont="1" applyFill="1" applyBorder="1" applyAlignment="1">
      <alignment horizontal="center"/>
    </xf>
    <xf numFmtId="49" fontId="29" fillId="7" borderId="11" xfId="0" applyNumberFormat="1" applyFont="1" applyFill="1" applyBorder="1" applyAlignment="1">
      <alignment horizontal="center"/>
    </xf>
    <xf numFmtId="49" fontId="29" fillId="7" borderId="9" xfId="0" applyNumberFormat="1" applyFont="1" applyFill="1" applyBorder="1" applyAlignment="1">
      <alignment horizontal="center"/>
    </xf>
    <xf numFmtId="49" fontId="29" fillId="9" borderId="5" xfId="0" applyNumberFormat="1" applyFont="1" applyFill="1" applyBorder="1" applyAlignment="1">
      <alignment horizontal="center"/>
    </xf>
    <xf numFmtId="164" fontId="30" fillId="5" borderId="11" xfId="0" applyNumberFormat="1" applyFont="1" applyFill="1" applyBorder="1" applyAlignment="1">
      <alignment horizontal="center" vertical="center"/>
    </xf>
    <xf numFmtId="164" fontId="30" fillId="5" borderId="9" xfId="0" applyNumberFormat="1" applyFont="1" applyFill="1" applyBorder="1" applyAlignment="1">
      <alignment horizontal="center" vertical="center"/>
    </xf>
    <xf numFmtId="164" fontId="29" fillId="7" borderId="11" xfId="0" applyNumberFormat="1" applyFont="1" applyFill="1" applyBorder="1" applyAlignment="1">
      <alignment horizontal="center" vertical="center"/>
    </xf>
    <xf numFmtId="164" fontId="29" fillId="7" borderId="9" xfId="0" applyNumberFormat="1" applyFont="1" applyFill="1" applyBorder="1" applyAlignment="1">
      <alignment horizontal="center" vertical="center"/>
    </xf>
    <xf numFmtId="164" fontId="29" fillId="9" borderId="5" xfId="0" applyNumberFormat="1" applyFont="1" applyFill="1" applyBorder="1" applyAlignment="1">
      <alignment horizontal="center" vertical="center"/>
    </xf>
    <xf numFmtId="164" fontId="29" fillId="5" borderId="5" xfId="0" applyNumberFormat="1" applyFont="1" applyFill="1" applyBorder="1" applyAlignment="1">
      <alignment horizontal="center" vertical="center"/>
    </xf>
    <xf numFmtId="49" fontId="29" fillId="7" borderId="13" xfId="0" applyNumberFormat="1" applyFont="1" applyFill="1" applyBorder="1" applyAlignment="1">
      <alignment horizontal="center" vertical="center"/>
    </xf>
    <xf numFmtId="49" fontId="29" fillId="9" borderId="13" xfId="0" applyNumberFormat="1" applyFont="1" applyFill="1" applyBorder="1" applyAlignment="1">
      <alignment horizontal="center" vertical="center"/>
    </xf>
    <xf numFmtId="49" fontId="29" fillId="7" borderId="8" xfId="0" applyNumberFormat="1" applyFont="1" applyFill="1" applyBorder="1" applyAlignment="1">
      <alignment horizontal="center" vertical="center"/>
    </xf>
    <xf numFmtId="0" fontId="32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left" vertical="center"/>
    </xf>
    <xf numFmtId="166" fontId="30" fillId="7" borderId="1" xfId="0" applyNumberFormat="1" applyFont="1" applyFill="1" applyAlignment="1">
      <alignment horizontal="center" vertical="center"/>
    </xf>
    <xf numFmtId="0" fontId="30" fillId="7" borderId="5" xfId="0" applyFont="1" applyFill="1" applyBorder="1" applyAlignment="1">
      <alignment horizontal="center" vertical="center"/>
    </xf>
    <xf numFmtId="0" fontId="15" fillId="0" borderId="1" xfId="0" applyFont="1"/>
    <xf numFmtId="0" fontId="15" fillId="0" borderId="1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1" xfId="0" applyFont="1" applyAlignment="1">
      <alignment horizontal="center" vertical="center"/>
    </xf>
    <xf numFmtId="0" fontId="0" fillId="0" borderId="1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0" fontId="0" fillId="0" borderId="1" xfId="0" applyAlignment="1">
      <alignment horizontal="center"/>
    </xf>
    <xf numFmtId="44" fontId="0" fillId="0" borderId="1" xfId="1" applyFont="1"/>
    <xf numFmtId="0" fontId="14" fillId="2" borderId="1" xfId="0" applyFont="1" applyFill="1" applyAlignment="1">
      <alignment vertical="center"/>
    </xf>
    <xf numFmtId="44" fontId="14" fillId="2" borderId="1" xfId="1" applyFont="1" applyFill="1" applyAlignment="1">
      <alignment horizontal="center" vertical="center"/>
    </xf>
    <xf numFmtId="44" fontId="14" fillId="2" borderId="1" xfId="1" applyFont="1" applyFill="1" applyAlignment="1">
      <alignment vertical="center"/>
    </xf>
    <xf numFmtId="0" fontId="0" fillId="0" borderId="1" xfId="0" applyAlignment="1">
      <alignment horizontal="center" vertical="center"/>
    </xf>
    <xf numFmtId="44" fontId="15" fillId="0" borderId="1" xfId="1" applyFont="1"/>
    <xf numFmtId="0" fontId="19" fillId="10" borderId="5" xfId="0" applyFont="1" applyFill="1" applyBorder="1" applyAlignment="1">
      <alignment horizontal="left" vertical="center"/>
    </xf>
    <xf numFmtId="1" fontId="3" fillId="10" borderId="5" xfId="0" applyNumberFormat="1" applyFont="1" applyFill="1" applyBorder="1" applyAlignment="1">
      <alignment horizontal="center" vertical="center"/>
    </xf>
    <xf numFmtId="1" fontId="4" fillId="1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vertical="center"/>
    </xf>
    <xf numFmtId="44" fontId="0" fillId="0" borderId="1" xfId="1" applyFont="1" applyAlignment="1">
      <alignment horizontal="center"/>
    </xf>
    <xf numFmtId="0" fontId="0" fillId="0" borderId="1" xfId="0" applyAlignment="1">
      <alignment horizontal="left"/>
    </xf>
    <xf numFmtId="0" fontId="0" fillId="0" borderId="1" xfId="0" quotePrefix="1" applyAlignment="1">
      <alignment horizontal="center" vertical="center"/>
    </xf>
    <xf numFmtId="44" fontId="0" fillId="0" borderId="1" xfId="0" quotePrefix="1" applyNumberFormat="1" applyAlignment="1">
      <alignment horizontal="center" vertical="center"/>
    </xf>
    <xf numFmtId="0" fontId="19" fillId="7" borderId="5" xfId="0" applyFont="1" applyFill="1" applyBorder="1" applyAlignment="1">
      <alignment horizontal="left" vertical="center"/>
    </xf>
    <xf numFmtId="1" fontId="3" fillId="7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0" fontId="0" fillId="0" borderId="1" xfId="0" applyAlignment="1">
      <alignment wrapText="1"/>
    </xf>
    <xf numFmtId="0" fontId="20" fillId="7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44" fontId="0" fillId="0" borderId="1" xfId="0" applyNumberFormat="1"/>
    <xf numFmtId="0" fontId="3" fillId="10" borderId="5" xfId="0" applyFont="1" applyFill="1" applyBorder="1" applyAlignment="1">
      <alignment horizontal="center" vertical="center"/>
    </xf>
    <xf numFmtId="16" fontId="0" fillId="0" borderId="1" xfId="0" applyNumberFormat="1"/>
    <xf numFmtId="0" fontId="6" fillId="7" borderId="5" xfId="0" applyFont="1" applyFill="1" applyBorder="1" applyAlignment="1">
      <alignment horizontal="left" vertical="center"/>
    </xf>
    <xf numFmtId="0" fontId="20" fillId="10" borderId="5" xfId="0" applyFont="1" applyFill="1" applyBorder="1" applyAlignment="1">
      <alignment vertical="center"/>
    </xf>
    <xf numFmtId="0" fontId="6" fillId="10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19" fillId="10" borderId="1" xfId="0" applyFont="1" applyFill="1" applyAlignment="1">
      <alignment horizontal="left" vertical="center"/>
    </xf>
    <xf numFmtId="0" fontId="21" fillId="7" borderId="5" xfId="0" applyFont="1" applyFill="1" applyBorder="1" applyAlignment="1">
      <alignment horizontal="left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22" fillId="3" borderId="1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15" fillId="0" borderId="5" xfId="0" applyFont="1" applyBorder="1"/>
    <xf numFmtId="0" fontId="15" fillId="0" borderId="10" xfId="0" applyFont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15" fillId="0" borderId="3" xfId="0" applyFont="1" applyBorder="1"/>
    <xf numFmtId="0" fontId="1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11" xfId="0" applyFont="1" applyBorder="1"/>
    <xf numFmtId="0" fontId="1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0" borderId="9" xfId="0" applyFont="1" applyBorder="1"/>
    <xf numFmtId="0" fontId="1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12" borderId="5" xfId="0" applyFont="1" applyFill="1" applyBorder="1"/>
    <xf numFmtId="0" fontId="23" fillId="0" borderId="5" xfId="0" applyFont="1" applyBorder="1"/>
    <xf numFmtId="0" fontId="29" fillId="13" borderId="14" xfId="0" applyFont="1" applyFill="1" applyBorder="1" applyAlignment="1">
      <alignment horizontal="center"/>
    </xf>
    <xf numFmtId="0" fontId="29" fillId="13" borderId="14" xfId="0" applyFont="1" applyFill="1" applyBorder="1" applyAlignment="1">
      <alignment horizontal="left" vertical="center"/>
    </xf>
    <xf numFmtId="0" fontId="30" fillId="14" borderId="14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29" fillId="13" borderId="14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49" fontId="36" fillId="7" borderId="5" xfId="0" applyNumberFormat="1" applyFont="1" applyFill="1" applyBorder="1" applyAlignment="1">
      <alignment horizontal="left" vertical="center"/>
    </xf>
    <xf numFmtId="164" fontId="37" fillId="7" borderId="5" xfId="0" applyNumberFormat="1" applyFont="1" applyFill="1" applyBorder="1" applyAlignment="1">
      <alignment horizontal="center" vertical="center"/>
    </xf>
    <xf numFmtId="164" fontId="38" fillId="5" borderId="5" xfId="0" applyNumberFormat="1" applyFont="1" applyFill="1" applyBorder="1" applyAlignment="1">
      <alignment horizontal="center" vertical="center"/>
    </xf>
    <xf numFmtId="44" fontId="0" fillId="0" borderId="1" xfId="1" applyFont="1" applyAlignment="1">
      <alignment horizontal="center" vertical="center"/>
    </xf>
    <xf numFmtId="0" fontId="0" fillId="0" borderId="1" xfId="0" applyAlignment="1">
      <alignment horizontal="center" vertical="center" wrapText="1"/>
    </xf>
    <xf numFmtId="9" fontId="0" fillId="0" borderId="1" xfId="0" applyNumberFormat="1" applyAlignment="1">
      <alignment horizontal="center" vertical="center"/>
    </xf>
    <xf numFmtId="44" fontId="39" fillId="0" borderId="1" xfId="1" applyFont="1" applyAlignment="1">
      <alignment horizontal="center" vertical="center"/>
    </xf>
    <xf numFmtId="49" fontId="40" fillId="0" borderId="14" xfId="0" applyNumberFormat="1" applyFont="1" applyBorder="1" applyAlignment="1">
      <alignment horizontal="left" vertical="center"/>
    </xf>
    <xf numFmtId="1" fontId="40" fillId="0" borderId="14" xfId="0" applyNumberFormat="1" applyFont="1" applyBorder="1" applyAlignment="1">
      <alignment horizontal="center"/>
    </xf>
    <xf numFmtId="49" fontId="40" fillId="0" borderId="14" xfId="0" applyNumberFormat="1" applyFont="1" applyBorder="1" applyAlignment="1">
      <alignment horizontal="center"/>
    </xf>
    <xf numFmtId="164" fontId="5" fillId="16" borderId="15" xfId="0" applyNumberFormat="1" applyFont="1" applyFill="1" applyBorder="1" applyAlignment="1">
      <alignment horizontal="center" vertical="center"/>
    </xf>
    <xf numFmtId="164" fontId="40" fillId="0" borderId="14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left" vertical="center"/>
    </xf>
    <xf numFmtId="0" fontId="25" fillId="0" borderId="10" xfId="0" applyFont="1" applyBorder="1"/>
    <xf numFmtId="0" fontId="26" fillId="0" borderId="1" xfId="0" applyFont="1" applyAlignment="1">
      <alignment horizontal="center" vertical="center"/>
    </xf>
    <xf numFmtId="0" fontId="14" fillId="2" borderId="1" xfId="0" applyFont="1" applyFill="1" applyAlignment="1">
      <alignment horizontal="center" vertical="center"/>
    </xf>
    <xf numFmtId="0" fontId="24" fillId="0" borderId="1" xfId="0" applyFont="1" applyAlignment="1">
      <alignment horizontal="center" vertical="center"/>
    </xf>
    <xf numFmtId="0" fontId="27" fillId="0" borderId="1" xfId="0" applyFont="1" applyAlignment="1">
      <alignment horizontal="center"/>
    </xf>
    <xf numFmtId="0" fontId="16" fillId="0" borderId="1" xfId="0" applyFont="1" applyAlignment="1">
      <alignment horizontal="center" vertical="center"/>
    </xf>
    <xf numFmtId="164" fontId="13" fillId="2" borderId="12" xfId="0" applyNumberFormat="1" applyFont="1" applyFill="1" applyBorder="1" applyAlignment="1">
      <alignment horizontal="center" vertical="center"/>
    </xf>
    <xf numFmtId="0" fontId="25" fillId="0" borderId="13" xfId="0" applyFont="1" applyBorder="1"/>
    <xf numFmtId="0" fontId="22" fillId="3" borderId="4" xfId="0" applyFont="1" applyFill="1" applyBorder="1" applyAlignment="1">
      <alignment horizontal="center" vertical="center"/>
    </xf>
    <xf numFmtId="0" fontId="22" fillId="3" borderId="1" xfId="0" applyFont="1" applyFill="1" applyAlignment="1">
      <alignment horizontal="center" vertical="center"/>
    </xf>
  </cellXfs>
  <cellStyles count="4">
    <cellStyle name="Moeda" xfId="1" xr:uid="{00000000-0005-0000-0000-000001000000}"/>
    <cellStyle name="Normal" xfId="0" builtinId="0"/>
    <cellStyle name="Porcentagem" xfId="2" xr:uid="{00000000-0005-0000-0000-000002000000}"/>
    <cellStyle name="Vírgula" xfId="3" xr:uid="{00000000-0005-0000-0000-000003000000}"/>
  </cellStyles>
  <dxfs count="11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numFmt numFmtId="30" formatCode="@"/>
      <fill>
        <patternFill patternType="solid">
          <fgColor indexed="64"/>
          <bgColor rgb="FFD9E2F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2" defaultPivotStyle="PivotStyleLight16">
    <tableStyle name="PROD-style" pivot="0" count="3" xr9:uid="{00000000-0011-0000-FFFF-FFFF00000000}">
      <tableStyleElement type="headerRow" dxfId="118"/>
      <tableStyleElement type="firstRowStripe" dxfId="117"/>
      <tableStyleElement type="secondRowStripe" dxfId="116"/>
    </tableStyle>
    <tableStyle name="Vendas-style" pivot="0" count="4" xr9:uid="{00000000-0011-0000-FFFF-FFFF01000000}">
      <tableStyleElement type="headerRow" dxfId="115"/>
      <tableStyleElement type="totalRow" dxfId="114"/>
      <tableStyleElement type="firstRowStripe" dxfId="113"/>
      <tableStyleElement type="secondRowStripe" dxfId="112"/>
    </tableStyle>
    <tableStyle name="Sorteio-style" pivot="0" count="3" xr9:uid="{00000000-0011-0000-FFFF-FFFF02000000}">
      <tableStyleElement type="headerRow" dxfId="111"/>
      <tableStyleElement type="firstRowStripe" dxfId="110"/>
      <tableStyleElement type="secondRowStripe" dxfId="10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u%20Drive\LOJAS\ZM%20STORE%20FISICA\Controle%20de%20estoque.xlsx" TargetMode="External"/><Relationship Id="rId1" Type="http://schemas.openxmlformats.org/officeDocument/2006/relationships/externalLinkPath" Target="file:///G:\Meu%20Drive\LOJAS\ZM%20STORE%20FISICA\Controle%20de%20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  <sheetName val="Vendas 2025"/>
      <sheetName val="Vendas 2026"/>
      <sheetName val="PROD"/>
      <sheetName val="Nota Fiscal"/>
      <sheetName val="Devedores"/>
      <sheetName val="jogos"/>
      <sheetName val="Relatorio"/>
      <sheetName val="Controle de estoque"/>
    </sheetNames>
    <sheetDataSet>
      <sheetData sheetId="0"/>
      <sheetData sheetId="1"/>
      <sheetData sheetId="2"/>
      <sheetData sheetId="3">
        <row r="2">
          <cell r="A2" t="str">
            <v>Adaptador Bluetooth</v>
          </cell>
          <cell r="B2">
            <v>1</v>
          </cell>
          <cell r="C2">
            <v>1</v>
          </cell>
          <cell r="D2">
            <v>0</v>
          </cell>
          <cell r="E2">
            <v>5</v>
          </cell>
          <cell r="F2" t="str">
            <v>Loja</v>
          </cell>
        </row>
        <row r="3">
          <cell r="A3" t="str">
            <v>Adaptador Ios P2</v>
          </cell>
          <cell r="B3">
            <v>1</v>
          </cell>
          <cell r="C3">
            <v>1</v>
          </cell>
          <cell r="D3">
            <v>0</v>
          </cell>
          <cell r="E3">
            <v>5.9</v>
          </cell>
          <cell r="F3" t="str">
            <v>Loja</v>
          </cell>
        </row>
        <row r="4">
          <cell r="A4" t="str">
            <v>Adaptador Micro Sd</v>
          </cell>
          <cell r="B4">
            <v>1</v>
          </cell>
          <cell r="C4">
            <v>1</v>
          </cell>
          <cell r="D4">
            <v>0</v>
          </cell>
          <cell r="E4">
            <v>3.5</v>
          </cell>
          <cell r="F4" t="str">
            <v>Loja</v>
          </cell>
        </row>
        <row r="5">
          <cell r="A5" t="str">
            <v>Adaptador P2 - P10</v>
          </cell>
          <cell r="B5">
            <v>1</v>
          </cell>
          <cell r="C5">
            <v>1</v>
          </cell>
          <cell r="D5">
            <v>0</v>
          </cell>
          <cell r="E5">
            <v>5</v>
          </cell>
          <cell r="F5" t="str">
            <v>Loja</v>
          </cell>
        </row>
        <row r="6">
          <cell r="A6" t="str">
            <v>Adaptador P2 Tipo C</v>
          </cell>
          <cell r="B6">
            <v>1</v>
          </cell>
          <cell r="C6">
            <v>1</v>
          </cell>
          <cell r="D6">
            <v>0</v>
          </cell>
          <cell r="E6">
            <v>8</v>
          </cell>
          <cell r="F6" t="str">
            <v>Loja</v>
          </cell>
        </row>
        <row r="7">
          <cell r="A7" t="str">
            <v>Adaptador P3X2 - P2</v>
          </cell>
          <cell r="B7">
            <v>1</v>
          </cell>
          <cell r="C7">
            <v>1</v>
          </cell>
          <cell r="D7">
            <v>0</v>
          </cell>
          <cell r="E7">
            <v>5</v>
          </cell>
          <cell r="F7" t="str">
            <v>Loja</v>
          </cell>
        </row>
        <row r="8">
          <cell r="A8" t="str">
            <v>Adaptador Rede - Usb</v>
          </cell>
          <cell r="B8">
            <v>2</v>
          </cell>
          <cell r="C8">
            <v>2</v>
          </cell>
          <cell r="D8">
            <v>0</v>
          </cell>
          <cell r="E8"/>
          <cell r="F8" t="str">
            <v>Loja</v>
          </cell>
        </row>
        <row r="9">
          <cell r="A9" t="str">
            <v>Adaptador T</v>
          </cell>
          <cell r="B9">
            <v>1</v>
          </cell>
          <cell r="C9">
            <v>1</v>
          </cell>
          <cell r="D9">
            <v>0</v>
          </cell>
          <cell r="E9">
            <v>1.5</v>
          </cell>
          <cell r="F9" t="str">
            <v>Loja</v>
          </cell>
        </row>
        <row r="10">
          <cell r="A10" t="str">
            <v>Adaptador Tipo C Para Usb</v>
          </cell>
          <cell r="B10">
            <v>1</v>
          </cell>
          <cell r="C10">
            <v>1</v>
          </cell>
          <cell r="D10">
            <v>0</v>
          </cell>
          <cell r="E10">
            <v>3.5</v>
          </cell>
          <cell r="F10" t="str">
            <v>Loja</v>
          </cell>
        </row>
        <row r="11">
          <cell r="A11" t="str">
            <v>Adaptador Tomada 2 Entrada</v>
          </cell>
          <cell r="B11">
            <v>1</v>
          </cell>
          <cell r="C11">
            <v>1</v>
          </cell>
          <cell r="D11">
            <v>0</v>
          </cell>
          <cell r="E11">
            <v>9.9</v>
          </cell>
          <cell r="F11" t="str">
            <v>Loja</v>
          </cell>
        </row>
        <row r="12">
          <cell r="A12" t="str">
            <v>Adaptador V8 - Iphone</v>
          </cell>
          <cell r="B12">
            <v>1</v>
          </cell>
          <cell r="C12">
            <v>1</v>
          </cell>
          <cell r="D12">
            <v>0</v>
          </cell>
          <cell r="E12">
            <v>3.5</v>
          </cell>
          <cell r="F12" t="str">
            <v>Loja</v>
          </cell>
        </row>
        <row r="13">
          <cell r="A13" t="str">
            <v>Adaptador Vga Para Hdmi</v>
          </cell>
          <cell r="B13">
            <v>1</v>
          </cell>
          <cell r="C13">
            <v>1</v>
          </cell>
          <cell r="D13">
            <v>0</v>
          </cell>
          <cell r="E13">
            <v>15</v>
          </cell>
          <cell r="F13" t="str">
            <v>Loja</v>
          </cell>
        </row>
        <row r="14">
          <cell r="A14" t="str">
            <v>Adaptador Wifi 2.5G</v>
          </cell>
          <cell r="B14">
            <v>1</v>
          </cell>
          <cell r="C14">
            <v>1</v>
          </cell>
          <cell r="D14">
            <v>0</v>
          </cell>
          <cell r="E14">
            <v>11</v>
          </cell>
          <cell r="F14" t="str">
            <v>Loja</v>
          </cell>
        </row>
        <row r="15">
          <cell r="A15" t="str">
            <v>Adaptador Wifi 2.5G Antena</v>
          </cell>
          <cell r="B15">
            <v>1</v>
          </cell>
          <cell r="C15">
            <v>1</v>
          </cell>
          <cell r="D15">
            <v>0</v>
          </cell>
          <cell r="E15">
            <v>12</v>
          </cell>
          <cell r="F15" t="str">
            <v>Loja</v>
          </cell>
        </row>
        <row r="16">
          <cell r="A16" t="str">
            <v>Adaptador Wifi 2.5G Antena Ms</v>
          </cell>
          <cell r="B16">
            <v>1</v>
          </cell>
          <cell r="C16">
            <v>1</v>
          </cell>
          <cell r="D16">
            <v>0</v>
          </cell>
          <cell r="E16">
            <v>9</v>
          </cell>
          <cell r="F16" t="str">
            <v>Loja</v>
          </cell>
        </row>
        <row r="17">
          <cell r="A17" t="str">
            <v>Adaptador Wifi 6</v>
          </cell>
          <cell r="B17">
            <v>1</v>
          </cell>
          <cell r="C17">
            <v>1</v>
          </cell>
          <cell r="D17">
            <v>0</v>
          </cell>
          <cell r="E17">
            <v>17.18</v>
          </cell>
          <cell r="F17" t="str">
            <v>Loja</v>
          </cell>
        </row>
        <row r="18">
          <cell r="A18" t="str">
            <v>Alicate Universal 8 Id-4762A</v>
          </cell>
          <cell r="B18">
            <v>1</v>
          </cell>
          <cell r="C18">
            <v>1</v>
          </cell>
          <cell r="D18">
            <v>0</v>
          </cell>
          <cell r="E18">
            <v>11</v>
          </cell>
          <cell r="F18" t="str">
            <v>Loja</v>
          </cell>
        </row>
        <row r="19">
          <cell r="A19" t="str">
            <v>Arma De Hidrogel Ar15</v>
          </cell>
          <cell r="B19">
            <v>1</v>
          </cell>
          <cell r="C19">
            <v>1</v>
          </cell>
          <cell r="D19">
            <v>0</v>
          </cell>
          <cell r="E19">
            <v>35</v>
          </cell>
          <cell r="F19" t="str">
            <v>Loja</v>
          </cell>
        </row>
        <row r="20">
          <cell r="A20" t="str">
            <v>Arminha De Agua</v>
          </cell>
          <cell r="B20">
            <v>99</v>
          </cell>
          <cell r="C20">
            <v>98</v>
          </cell>
          <cell r="D20">
            <v>1</v>
          </cell>
          <cell r="E20"/>
          <cell r="F20" t="str">
            <v>Loja</v>
          </cell>
        </row>
        <row r="21">
          <cell r="A21" t="str">
            <v>Balança 10Kg</v>
          </cell>
          <cell r="B21">
            <v>1</v>
          </cell>
          <cell r="C21">
            <v>1</v>
          </cell>
          <cell r="D21">
            <v>0</v>
          </cell>
          <cell r="E21">
            <v>14</v>
          </cell>
          <cell r="F21" t="str">
            <v>Loja</v>
          </cell>
        </row>
        <row r="22">
          <cell r="A22" t="str">
            <v>Balança De Precisão Xm-50522</v>
          </cell>
          <cell r="B22">
            <v>1</v>
          </cell>
          <cell r="C22">
            <v>1</v>
          </cell>
          <cell r="D22">
            <v>0</v>
          </cell>
          <cell r="E22">
            <v>16</v>
          </cell>
          <cell r="F22" t="str">
            <v>Loja</v>
          </cell>
        </row>
        <row r="23">
          <cell r="A23" t="str">
            <v>Baralho C 2 Jogos Bar-69087</v>
          </cell>
          <cell r="B23">
            <v>1</v>
          </cell>
          <cell r="C23">
            <v>1</v>
          </cell>
          <cell r="D23">
            <v>0</v>
          </cell>
          <cell r="E23">
            <v>1</v>
          </cell>
          <cell r="F23" t="str">
            <v>Loja</v>
          </cell>
        </row>
        <row r="24">
          <cell r="A24" t="str">
            <v xml:space="preserve">Bateria 23A </v>
          </cell>
          <cell r="B24">
            <v>1</v>
          </cell>
          <cell r="C24">
            <v>1</v>
          </cell>
          <cell r="D24">
            <v>0</v>
          </cell>
          <cell r="E24">
            <v>1.5</v>
          </cell>
          <cell r="F24" t="str">
            <v>Loja</v>
          </cell>
        </row>
        <row r="25">
          <cell r="A25" t="str">
            <v>Bateria 9V</v>
          </cell>
          <cell r="B25">
            <v>1</v>
          </cell>
          <cell r="C25">
            <v>1</v>
          </cell>
          <cell r="D25">
            <v>0</v>
          </cell>
          <cell r="E25">
            <v>4</v>
          </cell>
          <cell r="F25" t="str">
            <v>Loja</v>
          </cell>
        </row>
        <row r="26">
          <cell r="A26" t="str">
            <v>Bleybleyd</v>
          </cell>
          <cell r="B26">
            <v>99</v>
          </cell>
          <cell r="C26">
            <v>98</v>
          </cell>
          <cell r="D26">
            <v>1</v>
          </cell>
          <cell r="E26"/>
          <cell r="F26" t="str">
            <v>Loja</v>
          </cell>
        </row>
        <row r="27">
          <cell r="A27" t="str">
            <v>Bobbie Goods Caderno</v>
          </cell>
          <cell r="B27">
            <v>1</v>
          </cell>
          <cell r="C27">
            <v>1</v>
          </cell>
          <cell r="D27">
            <v>0</v>
          </cell>
          <cell r="E27">
            <v>13</v>
          </cell>
          <cell r="F27" t="str">
            <v>Loja</v>
          </cell>
        </row>
        <row r="28">
          <cell r="A28" t="str">
            <v>Bobbie Goods Card</v>
          </cell>
          <cell r="B28">
            <v>1</v>
          </cell>
          <cell r="C28">
            <v>1</v>
          </cell>
          <cell r="D28">
            <v>0</v>
          </cell>
          <cell r="E28">
            <v>2.5</v>
          </cell>
          <cell r="F28" t="str">
            <v>Loja</v>
          </cell>
        </row>
        <row r="29">
          <cell r="A29" t="str">
            <v>Bolinha De Gel</v>
          </cell>
          <cell r="B29">
            <v>99</v>
          </cell>
          <cell r="C29">
            <v>98</v>
          </cell>
          <cell r="D29">
            <v>1</v>
          </cell>
          <cell r="E29"/>
          <cell r="F29" t="str">
            <v>Loja</v>
          </cell>
        </row>
        <row r="30">
          <cell r="A30" t="str">
            <v xml:space="preserve">Boneco Lego </v>
          </cell>
          <cell r="B30">
            <v>1</v>
          </cell>
          <cell r="C30">
            <v>1</v>
          </cell>
          <cell r="D30">
            <v>0</v>
          </cell>
          <cell r="E30">
            <v>15</v>
          </cell>
          <cell r="F30" t="str">
            <v>Loja</v>
          </cell>
        </row>
        <row r="31">
          <cell r="A31" t="str">
            <v>Boneco Lego Kit</v>
          </cell>
          <cell r="B31">
            <v>99</v>
          </cell>
          <cell r="C31">
            <v>98</v>
          </cell>
          <cell r="D31">
            <v>1</v>
          </cell>
          <cell r="E31"/>
          <cell r="F31" t="str">
            <v>Loja</v>
          </cell>
        </row>
        <row r="32">
          <cell r="A32" t="str">
            <v>Brinquedo Arminha</v>
          </cell>
          <cell r="B32">
            <v>99</v>
          </cell>
          <cell r="C32">
            <v>98</v>
          </cell>
          <cell r="D32">
            <v>1</v>
          </cell>
          <cell r="E32"/>
          <cell r="F32" t="str">
            <v>Loja</v>
          </cell>
        </row>
        <row r="33">
          <cell r="A33" t="str">
            <v>Cabeça Carregador 3.1A Ka-5601</v>
          </cell>
          <cell r="B33">
            <v>1</v>
          </cell>
          <cell r="C33">
            <v>1</v>
          </cell>
          <cell r="D33">
            <v>0</v>
          </cell>
          <cell r="E33">
            <v>6</v>
          </cell>
          <cell r="F33" t="str">
            <v>Loja</v>
          </cell>
        </row>
        <row r="34">
          <cell r="A34" t="str">
            <v>Cabo Auxiliar P2 H'Maston</v>
          </cell>
          <cell r="B34">
            <v>1</v>
          </cell>
          <cell r="C34">
            <v>1</v>
          </cell>
          <cell r="D34">
            <v>0</v>
          </cell>
          <cell r="E34">
            <v>3.5</v>
          </cell>
          <cell r="F34" t="str">
            <v>Loja</v>
          </cell>
        </row>
        <row r="35">
          <cell r="A35" t="str">
            <v>Cabo Auxiliar P2 Kingo</v>
          </cell>
          <cell r="B35">
            <v>1</v>
          </cell>
          <cell r="C35">
            <v>1</v>
          </cell>
          <cell r="D35">
            <v>0</v>
          </cell>
          <cell r="E35">
            <v>7</v>
          </cell>
          <cell r="F35" t="str">
            <v>Loja</v>
          </cell>
        </row>
        <row r="36">
          <cell r="A36" t="str">
            <v>Cabo Auxiliar P2 Le-804</v>
          </cell>
          <cell r="B36">
            <v>1</v>
          </cell>
          <cell r="C36">
            <v>1</v>
          </cell>
          <cell r="D36">
            <v>0</v>
          </cell>
          <cell r="E36">
            <v>2.5</v>
          </cell>
          <cell r="F36" t="str">
            <v>Loja</v>
          </cell>
        </row>
        <row r="37">
          <cell r="A37" t="str">
            <v>Cabo Colorido</v>
          </cell>
          <cell r="B37">
            <v>99</v>
          </cell>
          <cell r="C37">
            <v>98</v>
          </cell>
          <cell r="D37">
            <v>1</v>
          </cell>
          <cell r="E37"/>
          <cell r="F37" t="str">
            <v>Loja</v>
          </cell>
        </row>
        <row r="38">
          <cell r="A38" t="str">
            <v>Cabo De Dados Tc Kapbom Kap 1Mtc</v>
          </cell>
          <cell r="B38">
            <v>1</v>
          </cell>
          <cell r="C38">
            <v>1</v>
          </cell>
          <cell r="D38">
            <v>0</v>
          </cell>
          <cell r="E38">
            <v>3.5</v>
          </cell>
          <cell r="F38" t="str">
            <v>Loja</v>
          </cell>
        </row>
        <row r="39">
          <cell r="A39" t="str">
            <v>Cabo De Dados V8 Kapbom Kap 1Mv8</v>
          </cell>
          <cell r="B39">
            <v>1</v>
          </cell>
          <cell r="C39">
            <v>1</v>
          </cell>
          <cell r="D39">
            <v>0</v>
          </cell>
          <cell r="E39">
            <v>3.5</v>
          </cell>
          <cell r="F39" t="str">
            <v>Loja</v>
          </cell>
        </row>
        <row r="40">
          <cell r="A40" t="str">
            <v>Cabo De Força - 2 Pinos</v>
          </cell>
          <cell r="B40">
            <v>1</v>
          </cell>
          <cell r="C40">
            <v>1</v>
          </cell>
          <cell r="D40">
            <v>0</v>
          </cell>
          <cell r="E40"/>
          <cell r="F40" t="str">
            <v>Loja</v>
          </cell>
        </row>
        <row r="41">
          <cell r="A41" t="str">
            <v>Cabo De Força - 3 Pinos</v>
          </cell>
          <cell r="B41">
            <v>3</v>
          </cell>
          <cell r="C41">
            <v>0</v>
          </cell>
          <cell r="D41">
            <v>3</v>
          </cell>
          <cell r="E41">
            <v>6</v>
          </cell>
          <cell r="F41" t="str">
            <v>Loja</v>
          </cell>
        </row>
        <row r="42">
          <cell r="A42" t="str">
            <v>Cabo De Força - Pc</v>
          </cell>
          <cell r="B42">
            <v>1</v>
          </cell>
          <cell r="C42">
            <v>1</v>
          </cell>
          <cell r="D42">
            <v>0</v>
          </cell>
          <cell r="E42">
            <v>6</v>
          </cell>
          <cell r="F42" t="str">
            <v>Loja</v>
          </cell>
        </row>
        <row r="43">
          <cell r="A43" t="str">
            <v>Cabo De Rede</v>
          </cell>
          <cell r="B43">
            <v>99</v>
          </cell>
          <cell r="C43">
            <v>98</v>
          </cell>
          <cell r="D43">
            <v>1</v>
          </cell>
          <cell r="E43"/>
          <cell r="F43" t="str">
            <v>Loja</v>
          </cell>
        </row>
        <row r="44">
          <cell r="A44" t="str">
            <v xml:space="preserve">Cabo Displayport </v>
          </cell>
          <cell r="B44">
            <v>1</v>
          </cell>
          <cell r="C44">
            <v>1</v>
          </cell>
          <cell r="D44">
            <v>0</v>
          </cell>
          <cell r="E44">
            <v>10</v>
          </cell>
          <cell r="F44" t="str">
            <v>Loja</v>
          </cell>
        </row>
        <row r="45">
          <cell r="A45" t="str">
            <v>Cabo Hdmi 1,8/2M</v>
          </cell>
          <cell r="B45">
            <v>1</v>
          </cell>
          <cell r="C45">
            <v>1</v>
          </cell>
          <cell r="D45">
            <v>0</v>
          </cell>
          <cell r="E45">
            <v>6</v>
          </cell>
          <cell r="F45" t="str">
            <v>Loja</v>
          </cell>
        </row>
        <row r="46">
          <cell r="A46" t="str">
            <v>Cabo Hdmi 2M</v>
          </cell>
          <cell r="B46">
            <v>1</v>
          </cell>
          <cell r="C46">
            <v>1</v>
          </cell>
          <cell r="D46">
            <v>0</v>
          </cell>
          <cell r="E46">
            <v>6</v>
          </cell>
          <cell r="F46" t="str">
            <v>Loja</v>
          </cell>
        </row>
        <row r="47">
          <cell r="A47" t="str">
            <v>Cabo Hdmi 3M Multilaser</v>
          </cell>
          <cell r="B47">
            <v>1</v>
          </cell>
          <cell r="C47">
            <v>1</v>
          </cell>
          <cell r="D47">
            <v>0</v>
          </cell>
          <cell r="E47">
            <v>0</v>
          </cell>
          <cell r="F47" t="str">
            <v>Loja</v>
          </cell>
        </row>
        <row r="48">
          <cell r="A48" t="str">
            <v>Cabo Hdmi 4M</v>
          </cell>
          <cell r="B48">
            <v>1</v>
          </cell>
          <cell r="C48">
            <v>1</v>
          </cell>
          <cell r="D48">
            <v>0</v>
          </cell>
          <cell r="E48">
            <v>15</v>
          </cell>
          <cell r="F48" t="str">
            <v>Loja</v>
          </cell>
        </row>
        <row r="49">
          <cell r="A49" t="str">
            <v>Cabo Hmaster Tpc 4.8A</v>
          </cell>
          <cell r="B49">
            <v>1</v>
          </cell>
          <cell r="C49">
            <v>1</v>
          </cell>
          <cell r="D49">
            <v>0</v>
          </cell>
          <cell r="E49">
            <v>4</v>
          </cell>
          <cell r="F49" t="str">
            <v>Loja</v>
          </cell>
        </row>
        <row r="50">
          <cell r="A50" t="str">
            <v>Cabo H'Maston Hb01-1</v>
          </cell>
          <cell r="B50">
            <v>1</v>
          </cell>
          <cell r="C50">
            <v>1</v>
          </cell>
          <cell r="D50">
            <v>0</v>
          </cell>
          <cell r="E50">
            <v>4.5</v>
          </cell>
          <cell r="F50" t="str">
            <v>Loja</v>
          </cell>
        </row>
        <row r="51">
          <cell r="A51" t="str">
            <v>Cabo Inova Tc Cbo-12223</v>
          </cell>
          <cell r="B51">
            <v>1</v>
          </cell>
          <cell r="C51">
            <v>1</v>
          </cell>
          <cell r="D51">
            <v>0</v>
          </cell>
          <cell r="E51">
            <v>6</v>
          </cell>
          <cell r="F51" t="str">
            <v>Loja</v>
          </cell>
        </row>
        <row r="52">
          <cell r="A52" t="str">
            <v>Cabo Iphone 20W</v>
          </cell>
          <cell r="B52">
            <v>3</v>
          </cell>
          <cell r="C52">
            <v>1</v>
          </cell>
          <cell r="D52">
            <v>2</v>
          </cell>
          <cell r="E52">
            <v>6</v>
          </cell>
          <cell r="F52" t="str">
            <v>Loja</v>
          </cell>
        </row>
        <row r="53">
          <cell r="A53" t="str">
            <v>Cabo Iphone Caixa Branca</v>
          </cell>
          <cell r="B53">
            <v>1</v>
          </cell>
          <cell r="C53">
            <v>1</v>
          </cell>
          <cell r="D53">
            <v>0</v>
          </cell>
          <cell r="E53">
            <v>15</v>
          </cell>
          <cell r="F53" t="str">
            <v>Loja</v>
          </cell>
        </row>
        <row r="54">
          <cell r="A54" t="str">
            <v>Cabo Iphone Hb10-2 Iphone</v>
          </cell>
          <cell r="B54">
            <v>1</v>
          </cell>
          <cell r="C54">
            <v>1</v>
          </cell>
          <cell r="D54">
            <v>0</v>
          </cell>
          <cell r="E54">
            <v>5</v>
          </cell>
          <cell r="F54" t="str">
            <v>Loja</v>
          </cell>
        </row>
        <row r="55">
          <cell r="A55" t="str">
            <v>Cabo Iphone Hb10-3 Tipo C</v>
          </cell>
          <cell r="B55">
            <v>1</v>
          </cell>
          <cell r="C55">
            <v>1</v>
          </cell>
          <cell r="D55">
            <v>0</v>
          </cell>
          <cell r="E55">
            <v>5</v>
          </cell>
          <cell r="F55" t="str">
            <v>Loja</v>
          </cell>
        </row>
        <row r="56">
          <cell r="A56" t="str">
            <v>Cabo Iphone Kap</v>
          </cell>
          <cell r="B56">
            <v>1</v>
          </cell>
          <cell r="C56">
            <v>1</v>
          </cell>
          <cell r="D56">
            <v>0</v>
          </cell>
          <cell r="E56">
            <v>4</v>
          </cell>
          <cell r="F56" t="str">
            <v>Loja</v>
          </cell>
        </row>
        <row r="57">
          <cell r="A57" t="str">
            <v>Cabo Kingo Iphone 1M</v>
          </cell>
          <cell r="B57">
            <v>1</v>
          </cell>
          <cell r="C57">
            <v>1</v>
          </cell>
          <cell r="D57">
            <v>0</v>
          </cell>
          <cell r="E57">
            <v>7</v>
          </cell>
          <cell r="F57" t="str">
            <v>Loja</v>
          </cell>
        </row>
        <row r="58">
          <cell r="A58" t="str">
            <v>Cabo Kingo Iphone 2M Leo</v>
          </cell>
          <cell r="B58">
            <v>1</v>
          </cell>
          <cell r="C58">
            <v>1</v>
          </cell>
          <cell r="D58">
            <v>0</v>
          </cell>
          <cell r="E58">
            <v>10</v>
          </cell>
          <cell r="F58" t="str">
            <v>Loja</v>
          </cell>
        </row>
        <row r="59">
          <cell r="A59" t="str">
            <v>Cabo Kingo Tc 1M</v>
          </cell>
          <cell r="B59">
            <v>1</v>
          </cell>
          <cell r="C59">
            <v>1</v>
          </cell>
          <cell r="D59">
            <v>0</v>
          </cell>
          <cell r="E59">
            <v>7</v>
          </cell>
          <cell r="F59" t="str">
            <v>Loja</v>
          </cell>
        </row>
        <row r="60">
          <cell r="A60" t="str">
            <v>Cabo P2/P10</v>
          </cell>
          <cell r="B60">
            <v>1</v>
          </cell>
          <cell r="C60">
            <v>1</v>
          </cell>
          <cell r="D60">
            <v>0</v>
          </cell>
          <cell r="E60">
            <v>4</v>
          </cell>
          <cell r="F60" t="str">
            <v>Loja</v>
          </cell>
        </row>
        <row r="61">
          <cell r="A61" t="str">
            <v>Cabo Pmcell Tc Laranja</v>
          </cell>
          <cell r="B61">
            <v>1</v>
          </cell>
          <cell r="C61">
            <v>1</v>
          </cell>
          <cell r="D61">
            <v>0</v>
          </cell>
          <cell r="E61">
            <v>5</v>
          </cell>
          <cell r="F61" t="str">
            <v>Loja</v>
          </cell>
        </row>
        <row r="62">
          <cell r="A62" t="str">
            <v>Cabo Rca Para Rca</v>
          </cell>
          <cell r="B62">
            <v>1</v>
          </cell>
          <cell r="C62">
            <v>1</v>
          </cell>
          <cell r="D62">
            <v>0</v>
          </cell>
          <cell r="E62">
            <v>3.5</v>
          </cell>
          <cell r="F62" t="str">
            <v>Loja</v>
          </cell>
        </row>
        <row r="63">
          <cell r="A63" t="str">
            <v>Cabo Spartan V8</v>
          </cell>
          <cell r="B63">
            <v>1</v>
          </cell>
          <cell r="C63">
            <v>1</v>
          </cell>
          <cell r="D63">
            <v>0</v>
          </cell>
          <cell r="E63">
            <v>4.5</v>
          </cell>
          <cell r="F63" t="str">
            <v>Loja</v>
          </cell>
        </row>
        <row r="64">
          <cell r="A64" t="str">
            <v>Cabo Spartan V8 Leo</v>
          </cell>
          <cell r="B64">
            <v>1</v>
          </cell>
          <cell r="C64">
            <v>1</v>
          </cell>
          <cell r="D64">
            <v>0</v>
          </cell>
          <cell r="E64">
            <v>4</v>
          </cell>
          <cell r="F64" t="str">
            <v>Loja</v>
          </cell>
        </row>
        <row r="65">
          <cell r="A65" t="str">
            <v>Cabo Tipo C - Digital</v>
          </cell>
          <cell r="B65">
            <v>1</v>
          </cell>
          <cell r="C65">
            <v>1</v>
          </cell>
          <cell r="D65">
            <v>0</v>
          </cell>
          <cell r="E65">
            <v>15</v>
          </cell>
          <cell r="F65" t="str">
            <v>Loja</v>
          </cell>
        </row>
        <row r="66">
          <cell r="A66" t="str">
            <v>Cabo Usb Extensor</v>
          </cell>
          <cell r="B66">
            <v>1</v>
          </cell>
          <cell r="C66">
            <v>1</v>
          </cell>
          <cell r="D66">
            <v>0</v>
          </cell>
          <cell r="E66">
            <v>3.5</v>
          </cell>
          <cell r="F66" t="str">
            <v>Loja</v>
          </cell>
        </row>
        <row r="67">
          <cell r="A67" t="str">
            <v>Cabo Usb X Usb</v>
          </cell>
          <cell r="B67">
            <v>1</v>
          </cell>
          <cell r="C67">
            <v>1</v>
          </cell>
          <cell r="D67">
            <v>0</v>
          </cell>
          <cell r="E67">
            <v>4</v>
          </cell>
          <cell r="F67" t="str">
            <v>Loja</v>
          </cell>
        </row>
        <row r="68">
          <cell r="A68" t="str">
            <v>Cabo V8 4.8 Max H72-1</v>
          </cell>
          <cell r="B68">
            <v>1</v>
          </cell>
          <cell r="C68">
            <v>1</v>
          </cell>
          <cell r="D68">
            <v>0</v>
          </cell>
          <cell r="E68">
            <v>4.5</v>
          </cell>
          <cell r="F68" t="str">
            <v>Loja</v>
          </cell>
        </row>
        <row r="69">
          <cell r="A69" t="str">
            <v>Cabo Verde</v>
          </cell>
          <cell r="B69">
            <v>1</v>
          </cell>
          <cell r="C69">
            <v>1</v>
          </cell>
          <cell r="D69">
            <v>0</v>
          </cell>
          <cell r="E69">
            <v>15</v>
          </cell>
          <cell r="F69" t="str">
            <v>Loja</v>
          </cell>
        </row>
        <row r="70">
          <cell r="A70" t="str">
            <v>Cabo Vga</v>
          </cell>
          <cell r="B70">
            <v>1</v>
          </cell>
          <cell r="C70">
            <v>0</v>
          </cell>
          <cell r="D70">
            <v>1</v>
          </cell>
          <cell r="E70">
            <v>9</v>
          </cell>
          <cell r="F70" t="str">
            <v>Loja</v>
          </cell>
        </row>
        <row r="71">
          <cell r="A71" t="str">
            <v>Cabo Y P2/P3</v>
          </cell>
          <cell r="B71">
            <v>1</v>
          </cell>
          <cell r="C71">
            <v>1</v>
          </cell>
          <cell r="D71">
            <v>0</v>
          </cell>
          <cell r="E71">
            <v>5</v>
          </cell>
          <cell r="F71" t="str">
            <v>Loja</v>
          </cell>
        </row>
        <row r="72">
          <cell r="A72" t="str">
            <v>Cabos Variados Saco Branco</v>
          </cell>
          <cell r="B72">
            <v>1</v>
          </cell>
          <cell r="C72">
            <v>1</v>
          </cell>
          <cell r="D72">
            <v>0</v>
          </cell>
          <cell r="E72">
            <v>5</v>
          </cell>
          <cell r="F72" t="str">
            <v>Loja</v>
          </cell>
        </row>
        <row r="73">
          <cell r="A73" t="str">
            <v>Caixa De Som Pc</v>
          </cell>
          <cell r="B73">
            <v>99</v>
          </cell>
          <cell r="C73">
            <v>98</v>
          </cell>
          <cell r="D73">
            <v>1</v>
          </cell>
          <cell r="E73"/>
          <cell r="F73" t="str">
            <v>Loja</v>
          </cell>
        </row>
        <row r="74">
          <cell r="A74" t="str">
            <v>Calculadora 12 Dígitos Crs8585</v>
          </cell>
          <cell r="B74">
            <v>1</v>
          </cell>
          <cell r="C74">
            <v>1</v>
          </cell>
          <cell r="D74">
            <v>0</v>
          </cell>
          <cell r="E74">
            <v>23</v>
          </cell>
          <cell r="F74" t="str">
            <v>Loja</v>
          </cell>
        </row>
        <row r="75">
          <cell r="A75" t="str">
            <v>Calculadora Pequena</v>
          </cell>
          <cell r="B75">
            <v>1</v>
          </cell>
          <cell r="C75">
            <v>1</v>
          </cell>
          <cell r="D75">
            <v>0</v>
          </cell>
          <cell r="E75">
            <v>2.7</v>
          </cell>
          <cell r="F75" t="str">
            <v>Loja</v>
          </cell>
        </row>
        <row r="76">
          <cell r="A76" t="str">
            <v>Camera Ip Dupla</v>
          </cell>
          <cell r="B76">
            <v>1</v>
          </cell>
          <cell r="C76">
            <v>1</v>
          </cell>
          <cell r="D76">
            <v>0</v>
          </cell>
          <cell r="E76">
            <v>105.175</v>
          </cell>
          <cell r="F76" t="str">
            <v>Loja</v>
          </cell>
        </row>
        <row r="77">
          <cell r="A77" t="str">
            <v xml:space="preserve">Caneta Depiladora </v>
          </cell>
          <cell r="B77">
            <v>1</v>
          </cell>
          <cell r="C77">
            <v>1</v>
          </cell>
          <cell r="D77">
            <v>0</v>
          </cell>
          <cell r="E77">
            <v>12.5</v>
          </cell>
          <cell r="F77" t="str">
            <v>Loja</v>
          </cell>
        </row>
        <row r="78">
          <cell r="A78" t="str">
            <v>Canivete Automático Knife</v>
          </cell>
          <cell r="B78">
            <v>1</v>
          </cell>
          <cell r="C78">
            <v>1</v>
          </cell>
          <cell r="D78">
            <v>0</v>
          </cell>
          <cell r="E78">
            <v>9</v>
          </cell>
          <cell r="F78" t="str">
            <v>Loja</v>
          </cell>
        </row>
        <row r="79">
          <cell r="A79" t="str">
            <v>Capa A Prova D'Água</v>
          </cell>
          <cell r="B79">
            <v>1</v>
          </cell>
          <cell r="C79">
            <v>1</v>
          </cell>
          <cell r="D79">
            <v>0</v>
          </cell>
          <cell r="E79">
            <v>3.5</v>
          </cell>
          <cell r="F79" t="str">
            <v>Loja</v>
          </cell>
        </row>
        <row r="80">
          <cell r="A80" t="str">
            <v>Capa Celular Simples</v>
          </cell>
          <cell r="B80">
            <v>1</v>
          </cell>
          <cell r="C80">
            <v>1</v>
          </cell>
          <cell r="D80">
            <v>0</v>
          </cell>
          <cell r="E80">
            <v>2</v>
          </cell>
          <cell r="F80" t="str">
            <v>Loja</v>
          </cell>
        </row>
        <row r="81">
          <cell r="A81" t="str">
            <v>Capa De Chuva</v>
          </cell>
          <cell r="B81">
            <v>1</v>
          </cell>
          <cell r="C81">
            <v>1</v>
          </cell>
          <cell r="D81">
            <v>0</v>
          </cell>
          <cell r="E81">
            <v>7</v>
          </cell>
          <cell r="F81" t="str">
            <v>Loja</v>
          </cell>
        </row>
        <row r="82">
          <cell r="A82" t="str">
            <v>Capinha</v>
          </cell>
          <cell r="B82">
            <v>1</v>
          </cell>
          <cell r="C82">
            <v>1</v>
          </cell>
          <cell r="D82">
            <v>0</v>
          </cell>
          <cell r="E82">
            <v>3</v>
          </cell>
          <cell r="F82" t="str">
            <v>Loja</v>
          </cell>
        </row>
        <row r="83">
          <cell r="A83" t="str">
            <v>Capinha Iphone</v>
          </cell>
          <cell r="B83">
            <v>99</v>
          </cell>
          <cell r="C83">
            <v>98</v>
          </cell>
          <cell r="D83">
            <v>1</v>
          </cell>
          <cell r="E83"/>
          <cell r="F83" t="str">
            <v>Loja</v>
          </cell>
        </row>
        <row r="84">
          <cell r="A84" t="str">
            <v>Capinha Simples</v>
          </cell>
          <cell r="B84">
            <v>99</v>
          </cell>
          <cell r="C84">
            <v>98</v>
          </cell>
          <cell r="D84">
            <v>1</v>
          </cell>
          <cell r="E84"/>
          <cell r="F84" t="str">
            <v>Loja</v>
          </cell>
        </row>
        <row r="85">
          <cell r="A85" t="str">
            <v>Card</v>
          </cell>
          <cell r="B85">
            <v>1</v>
          </cell>
          <cell r="C85">
            <v>1</v>
          </cell>
          <cell r="D85">
            <v>0</v>
          </cell>
          <cell r="E85">
            <v>0.4</v>
          </cell>
          <cell r="F85" t="str">
            <v>Loja</v>
          </cell>
        </row>
        <row r="86">
          <cell r="A86" t="str">
            <v>Card Caixa 50</v>
          </cell>
          <cell r="B86">
            <v>1</v>
          </cell>
          <cell r="C86">
            <v>1</v>
          </cell>
          <cell r="D86">
            <v>0</v>
          </cell>
          <cell r="E86">
            <v>5</v>
          </cell>
          <cell r="F86" t="str">
            <v>Loja</v>
          </cell>
        </row>
        <row r="87">
          <cell r="A87" t="str">
            <v>Carregador Cabeça  Spartan  - Cw-178</v>
          </cell>
          <cell r="B87">
            <v>1</v>
          </cell>
          <cell r="C87">
            <v>1</v>
          </cell>
          <cell r="D87">
            <v>0</v>
          </cell>
          <cell r="E87">
            <v>12</v>
          </cell>
          <cell r="F87" t="str">
            <v>Loja</v>
          </cell>
        </row>
        <row r="88">
          <cell r="A88" t="str">
            <v>Carregador Cabeça 20W</v>
          </cell>
          <cell r="B88">
            <v>1</v>
          </cell>
          <cell r="C88">
            <v>1</v>
          </cell>
          <cell r="D88">
            <v>0</v>
          </cell>
          <cell r="E88">
            <v>11</v>
          </cell>
          <cell r="F88" t="str">
            <v>Loja</v>
          </cell>
        </row>
        <row r="89">
          <cell r="A89" t="str">
            <v>Carregador Completo Iphone 20W</v>
          </cell>
          <cell r="B89">
            <v>99</v>
          </cell>
          <cell r="C89">
            <v>98</v>
          </cell>
          <cell r="D89">
            <v>1</v>
          </cell>
          <cell r="E89">
            <v>15</v>
          </cell>
          <cell r="F89" t="str">
            <v>Loja</v>
          </cell>
        </row>
        <row r="90">
          <cell r="A90" t="str">
            <v>Carregador Completo Lehmox Tipo C</v>
          </cell>
          <cell r="B90">
            <v>1</v>
          </cell>
          <cell r="C90">
            <v>1</v>
          </cell>
          <cell r="D90">
            <v>0</v>
          </cell>
          <cell r="E90">
            <v>11</v>
          </cell>
          <cell r="F90" t="str">
            <v>Loja</v>
          </cell>
        </row>
        <row r="91">
          <cell r="A91" t="str">
            <v>Carregador Completo Lehmox v8</v>
          </cell>
          <cell r="B91">
            <v>1</v>
          </cell>
          <cell r="C91">
            <v>1</v>
          </cell>
          <cell r="D91">
            <v>0</v>
          </cell>
          <cell r="E91">
            <v>11</v>
          </cell>
          <cell r="F91" t="str">
            <v>Loja</v>
          </cell>
        </row>
        <row r="92">
          <cell r="A92" t="str">
            <v xml:space="preserve">Carregador Completo Lehmox iphone </v>
          </cell>
          <cell r="B92">
            <v>1</v>
          </cell>
          <cell r="C92">
            <v>1</v>
          </cell>
          <cell r="D92">
            <v>0</v>
          </cell>
          <cell r="E92">
            <v>11</v>
          </cell>
          <cell r="F92" t="str">
            <v>Loja</v>
          </cell>
        </row>
        <row r="93">
          <cell r="A93" t="str">
            <v>Jogos De Ps2</v>
          </cell>
          <cell r="B93">
            <v>999</v>
          </cell>
          <cell r="C93">
            <v>995</v>
          </cell>
          <cell r="D93">
            <v>4</v>
          </cell>
          <cell r="E93">
            <v>0.7</v>
          </cell>
          <cell r="F93" t="str">
            <v>Loja</v>
          </cell>
        </row>
        <row r="94">
          <cell r="A94" t="str">
            <v>Jogo Ps2 tiktok</v>
          </cell>
          <cell r="B94">
            <v>999</v>
          </cell>
          <cell r="C94">
            <v>999</v>
          </cell>
          <cell r="D94">
            <v>0</v>
          </cell>
          <cell r="E94">
            <v>0.7</v>
          </cell>
          <cell r="F94" t="str">
            <v>Loja</v>
          </cell>
        </row>
        <row r="95">
          <cell r="A95" t="str">
            <v>Carregador Lehmox 5.1 Le-82</v>
          </cell>
          <cell r="B95">
            <v>1</v>
          </cell>
          <cell r="C95">
            <v>1</v>
          </cell>
          <cell r="D95">
            <v>0</v>
          </cell>
          <cell r="E95">
            <v>10</v>
          </cell>
          <cell r="F95" t="str">
            <v>Loja</v>
          </cell>
        </row>
        <row r="96">
          <cell r="A96" t="str">
            <v>Carregador Spartan V8  Leo</v>
          </cell>
          <cell r="B96">
            <v>1</v>
          </cell>
          <cell r="C96">
            <v>1</v>
          </cell>
          <cell r="D96">
            <v>0</v>
          </cell>
          <cell r="E96">
            <v>10</v>
          </cell>
          <cell r="F96" t="str">
            <v>Loja</v>
          </cell>
        </row>
        <row r="97">
          <cell r="A97" t="str">
            <v>Carregador Tipo C 4.1 Le-497</v>
          </cell>
          <cell r="B97">
            <v>1</v>
          </cell>
          <cell r="C97">
            <v>1</v>
          </cell>
          <cell r="D97">
            <v>0</v>
          </cell>
          <cell r="E97">
            <v>10</v>
          </cell>
          <cell r="F97" t="str">
            <v>Loja</v>
          </cell>
        </row>
        <row r="98">
          <cell r="A98" t="str">
            <v>Carregador Tipo C 50W</v>
          </cell>
          <cell r="B98">
            <v>1</v>
          </cell>
          <cell r="C98">
            <v>1</v>
          </cell>
          <cell r="D98">
            <v>0</v>
          </cell>
          <cell r="E98">
            <v>19</v>
          </cell>
          <cell r="F98" t="str">
            <v>Loja</v>
          </cell>
        </row>
        <row r="99">
          <cell r="A99" t="str">
            <v xml:space="preserve">Carregador Tipo C 67 W </v>
          </cell>
          <cell r="B99">
            <v>1</v>
          </cell>
          <cell r="C99">
            <v>1</v>
          </cell>
          <cell r="D99">
            <v>0</v>
          </cell>
          <cell r="E99">
            <v>20</v>
          </cell>
          <cell r="F99" t="str">
            <v>Loja</v>
          </cell>
        </row>
        <row r="100">
          <cell r="A100" t="str">
            <v>Carregador Tipo C Le-484</v>
          </cell>
          <cell r="B100">
            <v>1</v>
          </cell>
          <cell r="C100">
            <v>1</v>
          </cell>
          <cell r="D100">
            <v>0</v>
          </cell>
          <cell r="E100">
            <v>10</v>
          </cell>
          <cell r="F100" t="str">
            <v>Loja</v>
          </cell>
        </row>
        <row r="101">
          <cell r="A101" t="str">
            <v>Carregador Veicular Inova Tc</v>
          </cell>
          <cell r="B101">
            <v>1</v>
          </cell>
          <cell r="C101">
            <v>1</v>
          </cell>
          <cell r="D101">
            <v>0</v>
          </cell>
          <cell r="E101">
            <v>11</v>
          </cell>
          <cell r="F101" t="str">
            <v>Loja</v>
          </cell>
        </row>
        <row r="102">
          <cell r="A102" t="str">
            <v>Carregador Veicular Kingo</v>
          </cell>
          <cell r="B102">
            <v>1</v>
          </cell>
          <cell r="C102">
            <v>1</v>
          </cell>
          <cell r="D102">
            <v>0</v>
          </cell>
          <cell r="E102">
            <v>14</v>
          </cell>
          <cell r="F102" t="str">
            <v>Loja</v>
          </cell>
        </row>
        <row r="103">
          <cell r="A103" t="str">
            <v>Carregador Veicular L01-3</v>
          </cell>
          <cell r="B103">
            <v>1</v>
          </cell>
          <cell r="C103">
            <v>1</v>
          </cell>
          <cell r="D103">
            <v>0</v>
          </cell>
          <cell r="E103">
            <v>15</v>
          </cell>
          <cell r="F103" t="str">
            <v>Loja</v>
          </cell>
        </row>
        <row r="104">
          <cell r="A104" t="str">
            <v>Carregador Veicular Simples</v>
          </cell>
          <cell r="B104">
            <v>1</v>
          </cell>
          <cell r="C104">
            <v>1</v>
          </cell>
          <cell r="D104">
            <v>0</v>
          </cell>
          <cell r="E104">
            <v>5</v>
          </cell>
          <cell r="F104" t="str">
            <v>Loja</v>
          </cell>
        </row>
        <row r="105">
          <cell r="A105" t="str">
            <v>Carregador Veicular Spartan</v>
          </cell>
          <cell r="B105">
            <v>1</v>
          </cell>
          <cell r="C105">
            <v>1</v>
          </cell>
          <cell r="D105">
            <v>0</v>
          </cell>
          <cell r="E105">
            <v>7</v>
          </cell>
          <cell r="F105" t="str">
            <v>Loja</v>
          </cell>
        </row>
        <row r="106">
          <cell r="A106" t="str">
            <v>Carregador Veicular Tipo C Le-535</v>
          </cell>
          <cell r="B106">
            <v>1</v>
          </cell>
          <cell r="C106">
            <v>1</v>
          </cell>
          <cell r="D106">
            <v>0</v>
          </cell>
          <cell r="E106">
            <v>15</v>
          </cell>
          <cell r="F106" t="str">
            <v>Loja</v>
          </cell>
        </row>
        <row r="107">
          <cell r="A107" t="str">
            <v xml:space="preserve">Cartão De Memoria 16Gb </v>
          </cell>
          <cell r="B107">
            <v>1</v>
          </cell>
          <cell r="C107">
            <v>1</v>
          </cell>
          <cell r="D107">
            <v>0</v>
          </cell>
          <cell r="E107">
            <v>18.8</v>
          </cell>
          <cell r="F107" t="str">
            <v>Loja</v>
          </cell>
        </row>
        <row r="108">
          <cell r="A108" t="str">
            <v xml:space="preserve">Cartão De Memoria 32Gb </v>
          </cell>
          <cell r="B108">
            <v>1</v>
          </cell>
          <cell r="C108">
            <v>1</v>
          </cell>
          <cell r="D108">
            <v>0</v>
          </cell>
          <cell r="E108">
            <v>23.5</v>
          </cell>
          <cell r="F108" t="str">
            <v>Loja</v>
          </cell>
        </row>
        <row r="109">
          <cell r="A109" t="str">
            <v>Cartao Micro Sd 16Gb</v>
          </cell>
          <cell r="B109">
            <v>99</v>
          </cell>
          <cell r="C109">
            <v>97</v>
          </cell>
          <cell r="D109">
            <v>2</v>
          </cell>
          <cell r="E109"/>
          <cell r="F109" t="str">
            <v>Loja</v>
          </cell>
        </row>
        <row r="110">
          <cell r="A110" t="str">
            <v>Carteira Pequena</v>
          </cell>
          <cell r="B110">
            <v>1</v>
          </cell>
          <cell r="C110">
            <v>1</v>
          </cell>
          <cell r="D110">
            <v>0</v>
          </cell>
          <cell r="E110">
            <v>2.5</v>
          </cell>
          <cell r="F110" t="str">
            <v>Loja</v>
          </cell>
        </row>
        <row r="111">
          <cell r="A111" t="str">
            <v>Cartinha</v>
          </cell>
          <cell r="B111">
            <v>1</v>
          </cell>
          <cell r="C111">
            <v>1</v>
          </cell>
          <cell r="D111">
            <v>0</v>
          </cell>
          <cell r="E111">
            <v>1</v>
          </cell>
          <cell r="F111" t="str">
            <v>Loja</v>
          </cell>
        </row>
        <row r="112">
          <cell r="A112" t="str">
            <v>Cascata Led - Fios De Fada</v>
          </cell>
          <cell r="B112">
            <v>1</v>
          </cell>
          <cell r="C112">
            <v>1</v>
          </cell>
          <cell r="D112">
            <v>0</v>
          </cell>
          <cell r="E112">
            <v>12.88</v>
          </cell>
          <cell r="F112" t="str">
            <v>Loja</v>
          </cell>
        </row>
        <row r="113">
          <cell r="A113" t="str">
            <v xml:space="preserve">Case 2.5 Hd </v>
          </cell>
          <cell r="B113">
            <v>99</v>
          </cell>
          <cell r="C113">
            <v>98</v>
          </cell>
          <cell r="D113">
            <v>1</v>
          </cell>
          <cell r="E113"/>
          <cell r="F113" t="str">
            <v>Loja</v>
          </cell>
        </row>
        <row r="114">
          <cell r="A114" t="str">
            <v>Chave Allen - Canivete Ls-A08</v>
          </cell>
          <cell r="B114">
            <v>1</v>
          </cell>
          <cell r="C114">
            <v>1</v>
          </cell>
          <cell r="D114">
            <v>0</v>
          </cell>
          <cell r="E114">
            <v>13</v>
          </cell>
          <cell r="F114" t="str">
            <v>Loja</v>
          </cell>
        </row>
        <row r="115">
          <cell r="A115" t="str">
            <v>Chave Para Bicicleta</v>
          </cell>
          <cell r="B115">
            <v>1</v>
          </cell>
          <cell r="C115">
            <v>1</v>
          </cell>
          <cell r="D115">
            <v>0</v>
          </cell>
          <cell r="E115">
            <v>3.5</v>
          </cell>
          <cell r="F115" t="str">
            <v>Loja</v>
          </cell>
        </row>
        <row r="116">
          <cell r="A116" t="str">
            <v>Chave Tork 8Pçs Lst08</v>
          </cell>
          <cell r="B116">
            <v>1</v>
          </cell>
          <cell r="C116">
            <v>1</v>
          </cell>
          <cell r="D116">
            <v>0</v>
          </cell>
          <cell r="E116">
            <v>11.5</v>
          </cell>
          <cell r="F116" t="str">
            <v>Loja</v>
          </cell>
        </row>
        <row r="117">
          <cell r="A117" t="str">
            <v>Chaveiro</v>
          </cell>
          <cell r="B117">
            <v>99</v>
          </cell>
          <cell r="C117">
            <v>98</v>
          </cell>
          <cell r="D117">
            <v>1</v>
          </cell>
          <cell r="E117"/>
          <cell r="F117" t="str">
            <v>Loja</v>
          </cell>
        </row>
        <row r="118">
          <cell r="A118" t="str">
            <v>Cheirinho</v>
          </cell>
          <cell r="B118">
            <v>99</v>
          </cell>
          <cell r="C118">
            <v>98</v>
          </cell>
          <cell r="D118">
            <v>1</v>
          </cell>
          <cell r="E118"/>
          <cell r="F118" t="str">
            <v>Loja</v>
          </cell>
        </row>
        <row r="119">
          <cell r="A119" t="str">
            <v>Cheirinho Para Carro</v>
          </cell>
          <cell r="B119">
            <v>7</v>
          </cell>
          <cell r="C119">
            <v>-2</v>
          </cell>
          <cell r="D119">
            <v>9</v>
          </cell>
          <cell r="E119">
            <v>7.5</v>
          </cell>
          <cell r="F119" t="str">
            <v>Loja</v>
          </cell>
        </row>
        <row r="120">
          <cell r="A120" t="str">
            <v>Chip Normal</v>
          </cell>
          <cell r="B120">
            <v>1</v>
          </cell>
          <cell r="C120">
            <v>1</v>
          </cell>
          <cell r="D120">
            <v>0</v>
          </cell>
          <cell r="E120">
            <v>10</v>
          </cell>
          <cell r="F120" t="str">
            <v>Loja</v>
          </cell>
        </row>
        <row r="121">
          <cell r="A121" t="str">
            <v>Chip Recarregado</v>
          </cell>
          <cell r="B121">
            <v>1</v>
          </cell>
          <cell r="C121">
            <v>1</v>
          </cell>
          <cell r="D121">
            <v>0</v>
          </cell>
          <cell r="E121">
            <v>17</v>
          </cell>
          <cell r="F121" t="str">
            <v>Loja</v>
          </cell>
        </row>
        <row r="122">
          <cell r="A122" t="str">
            <v>Chip Sem Recarga</v>
          </cell>
          <cell r="B122">
            <v>99</v>
          </cell>
          <cell r="C122">
            <v>98</v>
          </cell>
          <cell r="D122">
            <v>1</v>
          </cell>
          <cell r="E122"/>
          <cell r="F122" t="str">
            <v>Loja</v>
          </cell>
        </row>
        <row r="123">
          <cell r="A123" t="str">
            <v>Coleção_4_Jogos_Ben_10_Ps2</v>
          </cell>
          <cell r="B123">
            <v>99</v>
          </cell>
          <cell r="C123">
            <v>98</v>
          </cell>
          <cell r="D123">
            <v>1</v>
          </cell>
          <cell r="E123"/>
          <cell r="F123" t="str">
            <v>Loja</v>
          </cell>
        </row>
        <row r="124">
          <cell r="A124" t="str">
            <v>Computadores</v>
          </cell>
          <cell r="B124">
            <v>1</v>
          </cell>
          <cell r="C124">
            <v>1</v>
          </cell>
          <cell r="D124">
            <v>0</v>
          </cell>
          <cell r="E124"/>
          <cell r="F124" t="str">
            <v>Loja</v>
          </cell>
        </row>
        <row r="125">
          <cell r="A125" t="str">
            <v>Conjunto De Chaves Allen 9Pçs Ls-4113</v>
          </cell>
          <cell r="B125">
            <v>1</v>
          </cell>
          <cell r="C125">
            <v>1</v>
          </cell>
          <cell r="D125">
            <v>0</v>
          </cell>
          <cell r="E125">
            <v>15</v>
          </cell>
          <cell r="F125" t="str">
            <v>Loja</v>
          </cell>
        </row>
        <row r="126">
          <cell r="A126" t="str">
            <v>Controle Gamepad Com-7436</v>
          </cell>
          <cell r="B126">
            <v>1</v>
          </cell>
          <cell r="C126">
            <v>1</v>
          </cell>
          <cell r="D126">
            <v>0</v>
          </cell>
          <cell r="E126">
            <v>17</v>
          </cell>
          <cell r="F126" t="str">
            <v>Loja</v>
          </cell>
        </row>
        <row r="127">
          <cell r="A127" t="str">
            <v>Controle Gamer Celular Ly84358</v>
          </cell>
          <cell r="B127">
            <v>1</v>
          </cell>
          <cell r="C127">
            <v>1</v>
          </cell>
          <cell r="D127">
            <v>0</v>
          </cell>
          <cell r="E127">
            <v>15</v>
          </cell>
          <cell r="F127" t="str">
            <v>Loja</v>
          </cell>
        </row>
        <row r="128">
          <cell r="A128" t="str">
            <v>Controle Gatilho</v>
          </cell>
          <cell r="B128">
            <v>1</v>
          </cell>
          <cell r="C128">
            <v>1</v>
          </cell>
          <cell r="D128">
            <v>0</v>
          </cell>
          <cell r="E128">
            <v>17</v>
          </cell>
          <cell r="F128" t="str">
            <v>Loja</v>
          </cell>
        </row>
        <row r="129">
          <cell r="A129" t="str">
            <v>Controle Pc</v>
          </cell>
          <cell r="B129">
            <v>1</v>
          </cell>
          <cell r="C129">
            <v>1</v>
          </cell>
          <cell r="D129">
            <v>0</v>
          </cell>
          <cell r="E129">
            <v>20</v>
          </cell>
          <cell r="F129" t="str">
            <v>Loja</v>
          </cell>
        </row>
        <row r="130">
          <cell r="A130" t="str">
            <v>Controle Ps2</v>
          </cell>
          <cell r="B130">
            <v>1</v>
          </cell>
          <cell r="C130">
            <v>0</v>
          </cell>
          <cell r="D130">
            <v>1</v>
          </cell>
          <cell r="E130">
            <v>20</v>
          </cell>
          <cell r="F130" t="str">
            <v>Loja</v>
          </cell>
        </row>
        <row r="131">
          <cell r="A131" t="str">
            <v>Controle Tv Box  Le-7490-1</v>
          </cell>
          <cell r="B131">
            <v>1</v>
          </cell>
          <cell r="C131">
            <v>1</v>
          </cell>
          <cell r="D131">
            <v>0</v>
          </cell>
          <cell r="E131">
            <v>5</v>
          </cell>
          <cell r="F131" t="str">
            <v>Loja</v>
          </cell>
        </row>
        <row r="132">
          <cell r="A132" t="str">
            <v>Controle Tv Universal</v>
          </cell>
          <cell r="B132">
            <v>1</v>
          </cell>
          <cell r="C132">
            <v>1</v>
          </cell>
          <cell r="D132">
            <v>0</v>
          </cell>
          <cell r="E132">
            <v>8.5</v>
          </cell>
          <cell r="F132" t="str">
            <v>Loja</v>
          </cell>
        </row>
        <row r="133">
          <cell r="A133" t="str">
            <v>Conversor Vga Para Hdmi</v>
          </cell>
          <cell r="B133">
            <v>99</v>
          </cell>
          <cell r="C133">
            <v>97</v>
          </cell>
          <cell r="D133">
            <v>2</v>
          </cell>
          <cell r="E133"/>
          <cell r="F133" t="str">
            <v>Loja</v>
          </cell>
        </row>
        <row r="134">
          <cell r="A134" t="str">
            <v>Cooler Fan G-Vr332</v>
          </cell>
          <cell r="B134">
            <v>1</v>
          </cell>
          <cell r="C134">
            <v>1</v>
          </cell>
          <cell r="D134">
            <v>0</v>
          </cell>
          <cell r="E134">
            <v>20</v>
          </cell>
          <cell r="F134" t="str">
            <v>Loja</v>
          </cell>
        </row>
        <row r="135">
          <cell r="A135" t="str">
            <v>Cooler Table - Suporte Notbook</v>
          </cell>
          <cell r="B135">
            <v>1</v>
          </cell>
          <cell r="C135">
            <v>1</v>
          </cell>
          <cell r="D135">
            <v>0</v>
          </cell>
          <cell r="E135">
            <v>25</v>
          </cell>
          <cell r="F135" t="str">
            <v>Loja</v>
          </cell>
        </row>
        <row r="136">
          <cell r="A136" t="str">
            <v>Cordao Simples Cracha</v>
          </cell>
          <cell r="B136">
            <v>1</v>
          </cell>
          <cell r="C136">
            <v>1</v>
          </cell>
          <cell r="D136">
            <v>0</v>
          </cell>
          <cell r="E136">
            <v>2</v>
          </cell>
          <cell r="F136" t="str">
            <v>Loja</v>
          </cell>
        </row>
        <row r="137">
          <cell r="A137" t="str">
            <v>Cordão Vasco</v>
          </cell>
          <cell r="B137">
            <v>1</v>
          </cell>
          <cell r="C137">
            <v>1</v>
          </cell>
          <cell r="D137">
            <v>0</v>
          </cell>
          <cell r="E137">
            <v>2.5</v>
          </cell>
          <cell r="F137" t="str">
            <v>Loja</v>
          </cell>
        </row>
        <row r="138">
          <cell r="A138" t="str">
            <v>Cortador De Legumes Verde Grande</v>
          </cell>
          <cell r="B138">
            <v>1</v>
          </cell>
          <cell r="C138">
            <v>1</v>
          </cell>
          <cell r="D138">
            <v>0</v>
          </cell>
          <cell r="E138">
            <v>44</v>
          </cell>
          <cell r="F138" t="str">
            <v>Loja</v>
          </cell>
        </row>
        <row r="139">
          <cell r="A139" t="str">
            <v xml:space="preserve">Depilador Removedor Pelos Corporal Yes Finishing Touch Light  </v>
          </cell>
          <cell r="B139">
            <v>1</v>
          </cell>
          <cell r="C139">
            <v>1</v>
          </cell>
          <cell r="D139">
            <v>0</v>
          </cell>
          <cell r="E139">
            <v>21.99</v>
          </cell>
          <cell r="F139" t="str">
            <v>Loja</v>
          </cell>
        </row>
        <row r="140">
          <cell r="A140" t="str">
            <v>Desentupidor</v>
          </cell>
          <cell r="B140">
            <v>99</v>
          </cell>
          <cell r="C140">
            <v>96</v>
          </cell>
          <cell r="D140">
            <v>3</v>
          </cell>
          <cell r="E140"/>
          <cell r="F140" t="str">
            <v>Loja</v>
          </cell>
        </row>
        <row r="141">
          <cell r="A141" t="str">
            <v>Detector De Dinheiro</v>
          </cell>
          <cell r="B141">
            <v>1</v>
          </cell>
          <cell r="C141">
            <v>1</v>
          </cell>
          <cell r="D141">
            <v>0</v>
          </cell>
          <cell r="E141"/>
          <cell r="F141" t="str">
            <v>Loja</v>
          </cell>
        </row>
        <row r="142">
          <cell r="A142" t="str">
            <v xml:space="preserve">Detector De Metal </v>
          </cell>
          <cell r="B142">
            <v>1</v>
          </cell>
          <cell r="C142">
            <v>1</v>
          </cell>
          <cell r="D142">
            <v>0</v>
          </cell>
          <cell r="E142">
            <v>48</v>
          </cell>
          <cell r="F142" t="str">
            <v>Loja</v>
          </cell>
        </row>
        <row r="143">
          <cell r="A143" t="str">
            <v>Dispenser Banheiro</v>
          </cell>
          <cell r="B143">
            <v>1</v>
          </cell>
          <cell r="C143">
            <v>1</v>
          </cell>
          <cell r="D143">
            <v>0</v>
          </cell>
          <cell r="E143"/>
          <cell r="F143" t="str">
            <v>Loja</v>
          </cell>
        </row>
        <row r="144">
          <cell r="A144" t="str">
            <v>Durex</v>
          </cell>
          <cell r="B144">
            <v>3</v>
          </cell>
          <cell r="C144">
            <v>2</v>
          </cell>
          <cell r="D144">
            <v>1</v>
          </cell>
          <cell r="E144">
            <v>2.5</v>
          </cell>
          <cell r="F144" t="str">
            <v>Loja</v>
          </cell>
        </row>
        <row r="145">
          <cell r="A145" t="str">
            <v>Envelope A4</v>
          </cell>
          <cell r="B145">
            <v>1</v>
          </cell>
          <cell r="C145">
            <v>1</v>
          </cell>
          <cell r="D145">
            <v>0</v>
          </cell>
          <cell r="E145">
            <v>0.39549999999999996</v>
          </cell>
          <cell r="F145" t="str">
            <v>Loja</v>
          </cell>
        </row>
        <row r="146">
          <cell r="A146" t="str">
            <v>Escova De Dente Eletrica</v>
          </cell>
          <cell r="B146">
            <v>1</v>
          </cell>
          <cell r="C146">
            <v>1</v>
          </cell>
          <cell r="D146">
            <v>0</v>
          </cell>
          <cell r="E146">
            <v>15.11</v>
          </cell>
          <cell r="F146" t="str">
            <v>Loja</v>
          </cell>
        </row>
        <row r="147">
          <cell r="A147" t="str">
            <v>Extensor P2</v>
          </cell>
          <cell r="B147">
            <v>1</v>
          </cell>
          <cell r="C147">
            <v>1</v>
          </cell>
          <cell r="D147">
            <v>0</v>
          </cell>
          <cell r="E147">
            <v>2.5</v>
          </cell>
          <cell r="F147" t="str">
            <v>Loja</v>
          </cell>
        </row>
        <row r="148">
          <cell r="A148" t="str">
            <v>Fone De Ouvido Gamer Inova</v>
          </cell>
          <cell r="B148">
            <v>1</v>
          </cell>
          <cell r="C148">
            <v>1</v>
          </cell>
          <cell r="D148">
            <v>0</v>
          </cell>
          <cell r="E148"/>
          <cell r="F148" t="str">
            <v>Loja</v>
          </cell>
        </row>
        <row r="149">
          <cell r="A149" t="str">
            <v>Fone De Ouvido Gamr Q0008</v>
          </cell>
          <cell r="B149">
            <v>1</v>
          </cell>
          <cell r="C149">
            <v>1</v>
          </cell>
          <cell r="D149">
            <v>0</v>
          </cell>
          <cell r="E149">
            <v>20</v>
          </cell>
          <cell r="F149" t="str">
            <v>Loja</v>
          </cell>
        </row>
        <row r="150">
          <cell r="A150" t="str">
            <v>Fone De Ouvido Inova Fon-30063</v>
          </cell>
          <cell r="B150">
            <v>1</v>
          </cell>
          <cell r="C150">
            <v>1</v>
          </cell>
          <cell r="D150">
            <v>0</v>
          </cell>
          <cell r="E150">
            <v>8</v>
          </cell>
          <cell r="F150" t="str">
            <v>Loja</v>
          </cell>
        </row>
        <row r="151">
          <cell r="A151" t="str">
            <v>Fone De Ouvido Lelong Le-02</v>
          </cell>
          <cell r="B151">
            <v>1</v>
          </cell>
          <cell r="C151">
            <v>1</v>
          </cell>
          <cell r="D151">
            <v>0</v>
          </cell>
          <cell r="E151">
            <v>9</v>
          </cell>
          <cell r="F151" t="str">
            <v>Loja</v>
          </cell>
        </row>
        <row r="152">
          <cell r="A152" t="str">
            <v>Fone De Ouvido M10</v>
          </cell>
          <cell r="B152">
            <v>1</v>
          </cell>
          <cell r="C152">
            <v>1</v>
          </cell>
          <cell r="D152">
            <v>0</v>
          </cell>
          <cell r="E152">
            <v>17</v>
          </cell>
          <cell r="F152" t="str">
            <v>Loja</v>
          </cell>
        </row>
        <row r="153">
          <cell r="A153" t="str">
            <v>Fone De Ouvido P3 Fon8619</v>
          </cell>
          <cell r="B153">
            <v>1</v>
          </cell>
          <cell r="C153">
            <v>1</v>
          </cell>
          <cell r="D153">
            <v>0</v>
          </cell>
          <cell r="E153">
            <v>18</v>
          </cell>
          <cell r="F153" t="str">
            <v>Loja</v>
          </cell>
        </row>
        <row r="154">
          <cell r="A154" t="str">
            <v>Fone Fon30024 Inova</v>
          </cell>
          <cell r="B154">
            <v>1</v>
          </cell>
          <cell r="C154">
            <v>1</v>
          </cell>
          <cell r="D154">
            <v>0</v>
          </cell>
          <cell r="E154">
            <v>8</v>
          </cell>
          <cell r="F154" t="str">
            <v>Loja</v>
          </cell>
        </row>
        <row r="155">
          <cell r="A155" t="str">
            <v>Fone I7</v>
          </cell>
          <cell r="B155">
            <v>1</v>
          </cell>
          <cell r="C155">
            <v>1</v>
          </cell>
          <cell r="D155">
            <v>0</v>
          </cell>
          <cell r="E155">
            <v>18</v>
          </cell>
          <cell r="F155" t="str">
            <v>Loja</v>
          </cell>
        </row>
        <row r="156">
          <cell r="A156" t="str">
            <v>Fone Iphone Hmaster Ej-56</v>
          </cell>
          <cell r="B156">
            <v>1</v>
          </cell>
          <cell r="C156">
            <v>1</v>
          </cell>
          <cell r="D156">
            <v>0</v>
          </cell>
          <cell r="E156">
            <v>12</v>
          </cell>
          <cell r="F156" t="str">
            <v>Loja</v>
          </cell>
        </row>
        <row r="157">
          <cell r="A157" t="str">
            <v>Fone Jbl 950</v>
          </cell>
          <cell r="B157">
            <v>1</v>
          </cell>
          <cell r="C157">
            <v>1</v>
          </cell>
          <cell r="D157">
            <v>0</v>
          </cell>
          <cell r="E157">
            <v>35</v>
          </cell>
          <cell r="F157" t="str">
            <v>Loja</v>
          </cell>
        </row>
        <row r="158">
          <cell r="A158" t="str">
            <v>Fone M10</v>
          </cell>
          <cell r="B158">
            <v>1</v>
          </cell>
          <cell r="C158">
            <v>1</v>
          </cell>
          <cell r="D158">
            <v>0</v>
          </cell>
          <cell r="E158">
            <v>18</v>
          </cell>
          <cell r="F158" t="str">
            <v>Loja</v>
          </cell>
        </row>
        <row r="159">
          <cell r="A159" t="str">
            <v>Fone M20</v>
          </cell>
          <cell r="B159">
            <v>1</v>
          </cell>
          <cell r="C159">
            <v>1</v>
          </cell>
          <cell r="D159">
            <v>0</v>
          </cell>
          <cell r="E159">
            <v>25</v>
          </cell>
          <cell r="F159" t="str">
            <v>Loja</v>
          </cell>
        </row>
        <row r="160">
          <cell r="A160" t="str">
            <v>Fone P9</v>
          </cell>
          <cell r="B160">
            <v>99</v>
          </cell>
          <cell r="C160">
            <v>98</v>
          </cell>
          <cell r="D160">
            <v>1</v>
          </cell>
          <cell r="E160"/>
          <cell r="F160" t="str">
            <v>Loja</v>
          </cell>
        </row>
        <row r="161">
          <cell r="A161" t="str">
            <v>Fone Pmcell Fo-11</v>
          </cell>
          <cell r="B161">
            <v>1</v>
          </cell>
          <cell r="C161">
            <v>1</v>
          </cell>
          <cell r="D161">
            <v>0</v>
          </cell>
          <cell r="E161">
            <v>3.5</v>
          </cell>
          <cell r="F161" t="str">
            <v>Loja</v>
          </cell>
        </row>
        <row r="162">
          <cell r="A162" t="str">
            <v>Fone Pmcell Fo-15</v>
          </cell>
          <cell r="B162">
            <v>1</v>
          </cell>
          <cell r="C162">
            <v>1</v>
          </cell>
          <cell r="D162">
            <v>0</v>
          </cell>
          <cell r="E162">
            <v>9</v>
          </cell>
          <cell r="F162" t="str">
            <v>Loja</v>
          </cell>
        </row>
        <row r="163">
          <cell r="A163" t="str">
            <v>Fone Pmcell Leo</v>
          </cell>
          <cell r="B163">
            <v>1</v>
          </cell>
          <cell r="C163">
            <v>1</v>
          </cell>
          <cell r="D163">
            <v>0</v>
          </cell>
          <cell r="E163">
            <v>4</v>
          </cell>
          <cell r="F163" t="str">
            <v>Loja</v>
          </cell>
        </row>
        <row r="164">
          <cell r="A164" t="str">
            <v>Fone Pmcell Tc</v>
          </cell>
          <cell r="B164">
            <v>1</v>
          </cell>
          <cell r="C164">
            <v>1</v>
          </cell>
          <cell r="D164">
            <v>0</v>
          </cell>
          <cell r="E164">
            <v>9</v>
          </cell>
          <cell r="F164" t="str">
            <v>Loja</v>
          </cell>
        </row>
        <row r="165">
          <cell r="A165" t="str">
            <v>Fone Redmi Branco</v>
          </cell>
          <cell r="B165">
            <v>1</v>
          </cell>
          <cell r="C165">
            <v>1</v>
          </cell>
          <cell r="D165">
            <v>0</v>
          </cell>
          <cell r="E165">
            <v>35</v>
          </cell>
          <cell r="F165" t="str">
            <v>Loja</v>
          </cell>
        </row>
        <row r="166">
          <cell r="A166" t="str">
            <v>Fone Redmi Vermelho</v>
          </cell>
          <cell r="B166">
            <v>1</v>
          </cell>
          <cell r="C166">
            <v>1</v>
          </cell>
          <cell r="D166">
            <v>0</v>
          </cell>
          <cell r="E166">
            <v>15</v>
          </cell>
          <cell r="F166" t="str">
            <v>Loja</v>
          </cell>
        </row>
        <row r="167">
          <cell r="A167" t="str">
            <v>Fone Simples Ka-833 Leo</v>
          </cell>
          <cell r="B167">
            <v>1</v>
          </cell>
          <cell r="C167">
            <v>1</v>
          </cell>
          <cell r="D167">
            <v>0</v>
          </cell>
          <cell r="E167">
            <v>4</v>
          </cell>
          <cell r="F167" t="str">
            <v>Loja</v>
          </cell>
        </row>
        <row r="168">
          <cell r="A168" t="str">
            <v>Fone Simples Lef-1055 Leo</v>
          </cell>
          <cell r="B168">
            <v>1</v>
          </cell>
          <cell r="C168">
            <v>1</v>
          </cell>
          <cell r="D168">
            <v>0</v>
          </cell>
          <cell r="E168">
            <v>4</v>
          </cell>
          <cell r="F168" t="str">
            <v>Loja</v>
          </cell>
        </row>
        <row r="169">
          <cell r="A169" t="str">
            <v>Fone Simples Ms-5V 1 Leo</v>
          </cell>
          <cell r="B169">
            <v>1</v>
          </cell>
          <cell r="C169">
            <v>1</v>
          </cell>
          <cell r="D169">
            <v>0</v>
          </cell>
          <cell r="E169">
            <v>4</v>
          </cell>
          <cell r="F169" t="str">
            <v>Loja</v>
          </cell>
        </row>
        <row r="170">
          <cell r="A170" t="str">
            <v>Fone Tipo C Apple</v>
          </cell>
          <cell r="B170">
            <v>1</v>
          </cell>
          <cell r="C170">
            <v>1</v>
          </cell>
          <cell r="D170">
            <v>0</v>
          </cell>
          <cell r="E170">
            <v>15</v>
          </cell>
          <cell r="F170" t="str">
            <v>Loja</v>
          </cell>
        </row>
        <row r="171">
          <cell r="A171" t="str">
            <v>Fonte 12V</v>
          </cell>
          <cell r="B171">
            <v>1</v>
          </cell>
          <cell r="C171">
            <v>1</v>
          </cell>
          <cell r="D171">
            <v>0</v>
          </cell>
          <cell r="E171">
            <v>10</v>
          </cell>
          <cell r="F171" t="str">
            <v>Loja</v>
          </cell>
        </row>
        <row r="172">
          <cell r="A172" t="str">
            <v>Fonte Notebook Grasep</v>
          </cell>
          <cell r="B172">
            <v>1</v>
          </cell>
          <cell r="C172">
            <v>1</v>
          </cell>
          <cell r="D172">
            <v>0</v>
          </cell>
          <cell r="E172">
            <v>32</v>
          </cell>
          <cell r="F172" t="str">
            <v>Loja</v>
          </cell>
        </row>
        <row r="173">
          <cell r="A173" t="str">
            <v>Fonte Pc 200W</v>
          </cell>
          <cell r="B173">
            <v>1</v>
          </cell>
          <cell r="C173">
            <v>1</v>
          </cell>
          <cell r="D173">
            <v>0</v>
          </cell>
          <cell r="E173">
            <v>60</v>
          </cell>
          <cell r="F173" t="str">
            <v>Loja</v>
          </cell>
        </row>
        <row r="174">
          <cell r="A174" t="str">
            <v>Fonte Tv Box 5V</v>
          </cell>
          <cell r="B174">
            <v>1</v>
          </cell>
          <cell r="C174">
            <v>1</v>
          </cell>
          <cell r="D174">
            <v>0</v>
          </cell>
          <cell r="E174">
            <v>7</v>
          </cell>
          <cell r="F174" t="str">
            <v>Loja</v>
          </cell>
        </row>
        <row r="175">
          <cell r="A175" t="str">
            <v xml:space="preserve">Fonte Usb Sparta 5.8W </v>
          </cell>
          <cell r="B175">
            <v>1</v>
          </cell>
          <cell r="C175">
            <v>1</v>
          </cell>
          <cell r="D175">
            <v>0</v>
          </cell>
          <cell r="E175">
            <v>8.8000000000000007</v>
          </cell>
          <cell r="F175" t="str">
            <v>Loja</v>
          </cell>
        </row>
        <row r="176">
          <cell r="A176" t="str">
            <v>Fonte Usb Spartan</v>
          </cell>
          <cell r="B176">
            <v>1</v>
          </cell>
          <cell r="C176">
            <v>1</v>
          </cell>
          <cell r="D176">
            <v>0</v>
          </cell>
          <cell r="E176">
            <v>5.5</v>
          </cell>
          <cell r="F176" t="str">
            <v>Loja</v>
          </cell>
        </row>
        <row r="177">
          <cell r="A177" t="str">
            <v>Fonte Veicular Usb-C Spartan</v>
          </cell>
          <cell r="B177">
            <v>1</v>
          </cell>
          <cell r="C177">
            <v>1</v>
          </cell>
          <cell r="D177">
            <v>0</v>
          </cell>
          <cell r="E177">
            <v>18</v>
          </cell>
          <cell r="F177" t="str">
            <v>Loja</v>
          </cell>
        </row>
        <row r="178">
          <cell r="A178" t="str">
            <v>Formatação</v>
          </cell>
          <cell r="B178">
            <v>99</v>
          </cell>
          <cell r="C178">
            <v>97</v>
          </cell>
          <cell r="D178">
            <v>2</v>
          </cell>
          <cell r="E178"/>
          <cell r="F178" t="str">
            <v>Loja</v>
          </cell>
        </row>
        <row r="179">
          <cell r="A179" t="str">
            <v>Game Boy + Controle</v>
          </cell>
          <cell r="B179">
            <v>1</v>
          </cell>
          <cell r="C179">
            <v>1</v>
          </cell>
          <cell r="D179">
            <v>0</v>
          </cell>
          <cell r="E179">
            <v>50</v>
          </cell>
          <cell r="F179" t="str">
            <v>Loja</v>
          </cell>
        </row>
        <row r="180">
          <cell r="A180" t="str">
            <v>Game Pop It</v>
          </cell>
          <cell r="B180">
            <v>1</v>
          </cell>
          <cell r="C180">
            <v>1</v>
          </cell>
          <cell r="D180">
            <v>0</v>
          </cell>
          <cell r="E180">
            <v>27</v>
          </cell>
          <cell r="F180" t="str">
            <v>Loja</v>
          </cell>
        </row>
        <row r="181">
          <cell r="A181" t="str">
            <v>Game Pop It 15 Reais</v>
          </cell>
          <cell r="B181">
            <v>1</v>
          </cell>
          <cell r="C181">
            <v>1</v>
          </cell>
          <cell r="D181">
            <v>0</v>
          </cell>
          <cell r="E181">
            <v>15</v>
          </cell>
          <cell r="F181" t="str">
            <v>Loja</v>
          </cell>
        </row>
        <row r="182">
          <cell r="A182" t="str">
            <v>Garrafa 3 In 1 Colorida</v>
          </cell>
          <cell r="B182">
            <v>1</v>
          </cell>
          <cell r="C182">
            <v>1</v>
          </cell>
          <cell r="D182">
            <v>0</v>
          </cell>
          <cell r="E182">
            <v>22</v>
          </cell>
          <cell r="F182" t="str">
            <v>Loja</v>
          </cell>
        </row>
        <row r="183">
          <cell r="A183" t="str">
            <v>Garrafa 3 In 1 Colorida Leo</v>
          </cell>
          <cell r="B183">
            <v>1</v>
          </cell>
          <cell r="C183">
            <v>1</v>
          </cell>
          <cell r="D183">
            <v>0</v>
          </cell>
          <cell r="E183">
            <v>22</v>
          </cell>
          <cell r="F183" t="str">
            <v>Loja</v>
          </cell>
        </row>
        <row r="184">
          <cell r="A184" t="str">
            <v>Garrafa Colorida Motivacional</v>
          </cell>
          <cell r="B184">
            <v>1</v>
          </cell>
          <cell r="C184">
            <v>1</v>
          </cell>
          <cell r="D184">
            <v>0</v>
          </cell>
          <cell r="E184">
            <v>13.5</v>
          </cell>
          <cell r="F184" t="str">
            <v>Loja</v>
          </cell>
        </row>
        <row r="185">
          <cell r="A185" t="str">
            <v>Garrafa Stanley 1L</v>
          </cell>
          <cell r="B185">
            <v>1</v>
          </cell>
          <cell r="C185">
            <v>1</v>
          </cell>
          <cell r="D185">
            <v>0</v>
          </cell>
          <cell r="E185">
            <v>50</v>
          </cell>
          <cell r="F185" t="str">
            <v>Loja</v>
          </cell>
        </row>
        <row r="186">
          <cell r="A186" t="str">
            <v>Garrafa Stanley 600Lm</v>
          </cell>
          <cell r="B186">
            <v>1</v>
          </cell>
          <cell r="C186">
            <v>1</v>
          </cell>
          <cell r="D186">
            <v>0</v>
          </cell>
          <cell r="E186">
            <v>35</v>
          </cell>
          <cell r="F186" t="str">
            <v>Loja</v>
          </cell>
        </row>
        <row r="187">
          <cell r="A187" t="str">
            <v>Gatilhos Simples</v>
          </cell>
          <cell r="B187">
            <v>1</v>
          </cell>
          <cell r="C187">
            <v>1</v>
          </cell>
          <cell r="D187">
            <v>0</v>
          </cell>
          <cell r="E187">
            <v>4</v>
          </cell>
          <cell r="F187" t="str">
            <v>Loja</v>
          </cell>
        </row>
        <row r="188">
          <cell r="A188" t="str">
            <v>Gatilhos Simples Leo</v>
          </cell>
          <cell r="B188">
            <v>1</v>
          </cell>
          <cell r="C188">
            <v>1</v>
          </cell>
          <cell r="D188">
            <v>0</v>
          </cell>
          <cell r="E188">
            <v>4</v>
          </cell>
          <cell r="F188" t="str">
            <v>Loja</v>
          </cell>
        </row>
        <row r="189">
          <cell r="A189" t="str">
            <v>Globo De Luz  Com Controle</v>
          </cell>
          <cell r="B189">
            <v>1</v>
          </cell>
          <cell r="C189">
            <v>1</v>
          </cell>
          <cell r="D189">
            <v>0</v>
          </cell>
          <cell r="E189">
            <v>35</v>
          </cell>
          <cell r="F189" t="str">
            <v>Loja</v>
          </cell>
        </row>
        <row r="190">
          <cell r="A190" t="str">
            <v>Globo De Luz  Sem Controle</v>
          </cell>
          <cell r="B190">
            <v>1</v>
          </cell>
          <cell r="C190">
            <v>1</v>
          </cell>
          <cell r="D190">
            <v>0</v>
          </cell>
          <cell r="E190">
            <v>30</v>
          </cell>
          <cell r="F190" t="str">
            <v>Loja</v>
          </cell>
        </row>
        <row r="191">
          <cell r="A191" t="str">
            <v>Gravação De Musica</v>
          </cell>
          <cell r="B191">
            <v>99</v>
          </cell>
          <cell r="C191">
            <v>98</v>
          </cell>
          <cell r="D191">
            <v>1</v>
          </cell>
          <cell r="E191"/>
          <cell r="F191" t="str">
            <v>Loja</v>
          </cell>
        </row>
        <row r="192">
          <cell r="A192" t="str">
            <v xml:space="preserve">Guarda Chuva Automático Transparente Cabo Curvo 8 Varetas </v>
          </cell>
          <cell r="B192">
            <v>1</v>
          </cell>
          <cell r="C192">
            <v>1</v>
          </cell>
          <cell r="D192">
            <v>0</v>
          </cell>
          <cell r="E192">
            <v>16.75</v>
          </cell>
          <cell r="F192" t="str">
            <v>Loja</v>
          </cell>
        </row>
        <row r="193">
          <cell r="A193" t="str">
            <v>Guirlanda Verde/Branca</v>
          </cell>
          <cell r="B193">
            <v>1</v>
          </cell>
          <cell r="C193">
            <v>1</v>
          </cell>
          <cell r="D193">
            <v>0</v>
          </cell>
          <cell r="E193">
            <v>3</v>
          </cell>
          <cell r="F193" t="str">
            <v>Loja</v>
          </cell>
        </row>
        <row r="194">
          <cell r="A194" t="str">
            <v xml:space="preserve">Hd 500 </v>
          </cell>
          <cell r="B194">
            <v>1</v>
          </cell>
          <cell r="C194">
            <v>1</v>
          </cell>
          <cell r="D194">
            <v>0</v>
          </cell>
          <cell r="E194"/>
          <cell r="F194" t="str">
            <v>Loja</v>
          </cell>
        </row>
        <row r="195">
          <cell r="A195" t="str">
            <v>Hub 7 Portas 2.0</v>
          </cell>
          <cell r="B195">
            <v>1</v>
          </cell>
          <cell r="C195">
            <v>1</v>
          </cell>
          <cell r="D195">
            <v>0</v>
          </cell>
          <cell r="E195">
            <v>10.99</v>
          </cell>
          <cell r="F195" t="str">
            <v>Loja</v>
          </cell>
        </row>
        <row r="196">
          <cell r="A196" t="str">
            <v>Hub Usb 2</v>
          </cell>
          <cell r="B196">
            <v>1</v>
          </cell>
          <cell r="C196">
            <v>1</v>
          </cell>
          <cell r="D196">
            <v>0</v>
          </cell>
          <cell r="E196">
            <v>8</v>
          </cell>
          <cell r="F196" t="str">
            <v>Loja</v>
          </cell>
        </row>
        <row r="197">
          <cell r="A197" t="str">
            <v>Impressao Colorida</v>
          </cell>
          <cell r="B197">
            <v>1</v>
          </cell>
          <cell r="C197">
            <v>1</v>
          </cell>
          <cell r="D197">
            <v>0</v>
          </cell>
          <cell r="E197">
            <v>0.05</v>
          </cell>
          <cell r="F197" t="str">
            <v>Loja</v>
          </cell>
        </row>
        <row r="198">
          <cell r="A198" t="str">
            <v>Impressao Preta</v>
          </cell>
          <cell r="B198">
            <v>1</v>
          </cell>
          <cell r="C198">
            <v>-11</v>
          </cell>
          <cell r="D198">
            <v>12</v>
          </cell>
          <cell r="E198">
            <v>7.0000000000000007E-2</v>
          </cell>
          <cell r="F198" t="str">
            <v>Loja</v>
          </cell>
        </row>
        <row r="199">
          <cell r="A199" t="str">
            <v>Isqueiro Auto</v>
          </cell>
          <cell r="B199">
            <v>1</v>
          </cell>
          <cell r="C199">
            <v>1</v>
          </cell>
          <cell r="D199">
            <v>0</v>
          </cell>
          <cell r="E199">
            <v>0.8</v>
          </cell>
          <cell r="F199" t="str">
            <v>Loja</v>
          </cell>
        </row>
        <row r="200">
          <cell r="A200" t="str">
            <v>Joelheira Ec3360 Leo</v>
          </cell>
          <cell r="B200">
            <v>1</v>
          </cell>
          <cell r="C200">
            <v>1</v>
          </cell>
          <cell r="D200">
            <v>0</v>
          </cell>
          <cell r="E200">
            <v>19</v>
          </cell>
          <cell r="F200" t="str">
            <v>Loja</v>
          </cell>
        </row>
        <row r="201">
          <cell r="A201" t="str">
            <v>Jogo C 2 Canecas Vidro Chopp 480Ml</v>
          </cell>
          <cell r="B201">
            <v>1</v>
          </cell>
          <cell r="C201">
            <v>1</v>
          </cell>
          <cell r="D201">
            <v>0</v>
          </cell>
          <cell r="E201">
            <v>19</v>
          </cell>
          <cell r="F201" t="str">
            <v>Loja</v>
          </cell>
        </row>
        <row r="202">
          <cell r="A202" t="str">
            <v>Jogo De Chaves Peq.</v>
          </cell>
          <cell r="B202">
            <v>1</v>
          </cell>
          <cell r="C202">
            <v>1</v>
          </cell>
          <cell r="D202">
            <v>0</v>
          </cell>
          <cell r="E202">
            <v>3.5</v>
          </cell>
          <cell r="F202" t="str">
            <v>Loja</v>
          </cell>
        </row>
        <row r="203">
          <cell r="A203" t="str">
            <v>Jogo De Xbox</v>
          </cell>
          <cell r="B203">
            <v>1</v>
          </cell>
          <cell r="C203">
            <v>1</v>
          </cell>
          <cell r="D203">
            <v>0</v>
          </cell>
          <cell r="E203">
            <v>5</v>
          </cell>
          <cell r="F203" t="str">
            <v>Loja</v>
          </cell>
        </row>
        <row r="204">
          <cell r="A204" t="str">
            <v>Jogo Ps2 Shopee</v>
          </cell>
          <cell r="B204">
            <v>1</v>
          </cell>
          <cell r="C204">
            <v>-21</v>
          </cell>
          <cell r="D204">
            <v>22</v>
          </cell>
          <cell r="E204">
            <v>0.7</v>
          </cell>
          <cell r="F204" t="str">
            <v>Loja</v>
          </cell>
        </row>
        <row r="205">
          <cell r="A205" t="str">
            <v>Jogos De Ps2</v>
          </cell>
          <cell r="B205">
            <v>99</v>
          </cell>
          <cell r="C205">
            <v>95</v>
          </cell>
          <cell r="D205">
            <v>4</v>
          </cell>
          <cell r="E205"/>
          <cell r="F205" t="str">
            <v>Loja</v>
          </cell>
        </row>
        <row r="206">
          <cell r="A206" t="str">
            <v>Jogos De Xbox</v>
          </cell>
          <cell r="B206">
            <v>1</v>
          </cell>
          <cell r="C206">
            <v>1</v>
          </cell>
          <cell r="D206">
            <v>0</v>
          </cell>
          <cell r="E206">
            <v>7.5</v>
          </cell>
          <cell r="F206" t="str">
            <v>Loja</v>
          </cell>
        </row>
        <row r="207">
          <cell r="A207" t="str">
            <v>Kemei Maquina De Barbear 4 In 1</v>
          </cell>
          <cell r="B207">
            <v>1</v>
          </cell>
          <cell r="C207">
            <v>1</v>
          </cell>
          <cell r="D207">
            <v>0</v>
          </cell>
          <cell r="E207">
            <v>32.950000000000003</v>
          </cell>
          <cell r="F207" t="str">
            <v>Loja</v>
          </cell>
        </row>
        <row r="208">
          <cell r="A208" t="str">
            <v>Kit 10 Jogos Ps2</v>
          </cell>
          <cell r="B208">
            <v>99</v>
          </cell>
          <cell r="C208">
            <v>95</v>
          </cell>
          <cell r="D208">
            <v>4</v>
          </cell>
          <cell r="E208"/>
          <cell r="F208" t="str">
            <v>Loja</v>
          </cell>
        </row>
        <row r="209">
          <cell r="A209" t="str">
            <v xml:space="preserve">Kit 6 Formas Silicone Para Air Fryer Reutilizável Com Alça </v>
          </cell>
          <cell r="B209">
            <v>1</v>
          </cell>
          <cell r="C209">
            <v>1</v>
          </cell>
          <cell r="D209">
            <v>0</v>
          </cell>
          <cell r="E209">
            <v>10</v>
          </cell>
          <cell r="F209" t="str">
            <v>Loja</v>
          </cell>
        </row>
        <row r="210">
          <cell r="A210" t="str">
            <v>Kit Caneca Café Stanley</v>
          </cell>
          <cell r="B210">
            <v>1</v>
          </cell>
          <cell r="C210">
            <v>1</v>
          </cell>
          <cell r="D210">
            <v>0</v>
          </cell>
          <cell r="E210">
            <v>26</v>
          </cell>
          <cell r="F210" t="str">
            <v>Loja</v>
          </cell>
        </row>
        <row r="211">
          <cell r="A211" t="str">
            <v>Kit Chave Com 6Pçs Lsc-Ppcs</v>
          </cell>
          <cell r="B211">
            <v>1</v>
          </cell>
          <cell r="C211">
            <v>1</v>
          </cell>
          <cell r="D211">
            <v>0</v>
          </cell>
          <cell r="E211">
            <v>3.8</v>
          </cell>
          <cell r="F211" t="str">
            <v>Loja</v>
          </cell>
        </row>
        <row r="212">
          <cell r="A212" t="str">
            <v>Kit Chaves 6024A</v>
          </cell>
          <cell r="B212">
            <v>1</v>
          </cell>
          <cell r="C212">
            <v>1</v>
          </cell>
          <cell r="D212">
            <v>0</v>
          </cell>
          <cell r="E212">
            <v>10</v>
          </cell>
          <cell r="F212" t="str">
            <v>Loja</v>
          </cell>
        </row>
        <row r="213">
          <cell r="A213" t="str">
            <v>Kit Colheres Colorida</v>
          </cell>
          <cell r="B213">
            <v>1</v>
          </cell>
          <cell r="C213">
            <v>1</v>
          </cell>
          <cell r="D213">
            <v>0</v>
          </cell>
          <cell r="E213">
            <v>50</v>
          </cell>
          <cell r="F213" t="str">
            <v>Loja</v>
          </cell>
        </row>
        <row r="214">
          <cell r="A214" t="str">
            <v xml:space="preserve">Kit Com 10 Mini Fusível </v>
          </cell>
          <cell r="B214">
            <v>99</v>
          </cell>
          <cell r="C214">
            <v>98</v>
          </cell>
          <cell r="D214">
            <v>1</v>
          </cell>
          <cell r="E214"/>
          <cell r="F214" t="str">
            <v>Loja</v>
          </cell>
        </row>
        <row r="215">
          <cell r="A215" t="str">
            <v>Kit Completo Carregador 20W</v>
          </cell>
          <cell r="B215">
            <v>1</v>
          </cell>
          <cell r="C215">
            <v>1</v>
          </cell>
          <cell r="D215">
            <v>0</v>
          </cell>
          <cell r="E215">
            <v>17</v>
          </cell>
          <cell r="F215" t="str">
            <v>Loja</v>
          </cell>
        </row>
        <row r="216">
          <cell r="A216" t="str">
            <v>Kit Costura Crs 1184</v>
          </cell>
          <cell r="B216">
            <v>1</v>
          </cell>
          <cell r="C216">
            <v>1</v>
          </cell>
          <cell r="D216">
            <v>0</v>
          </cell>
          <cell r="E216">
            <v>5</v>
          </cell>
          <cell r="F216" t="str">
            <v>Loja</v>
          </cell>
        </row>
        <row r="217">
          <cell r="A217" t="str">
            <v>Kit De Ferramentas 41Pçs Id-2226K</v>
          </cell>
          <cell r="B217">
            <v>1</v>
          </cell>
          <cell r="C217">
            <v>1</v>
          </cell>
          <cell r="D217">
            <v>0</v>
          </cell>
          <cell r="E217">
            <v>36.9</v>
          </cell>
          <cell r="F217" t="str">
            <v>Loja</v>
          </cell>
        </row>
        <row r="218">
          <cell r="A218" t="str">
            <v>Kit Facas</v>
          </cell>
          <cell r="B218">
            <v>1</v>
          </cell>
          <cell r="C218">
            <v>1</v>
          </cell>
          <cell r="D218">
            <v>0</v>
          </cell>
          <cell r="E218">
            <v>23</v>
          </cell>
          <cell r="F218" t="str">
            <v>Loja</v>
          </cell>
        </row>
        <row r="219">
          <cell r="A219" t="str">
            <v>Kit Ferramentas 41 Pçs Maleta</v>
          </cell>
          <cell r="B219">
            <v>1</v>
          </cell>
          <cell r="C219">
            <v>1</v>
          </cell>
          <cell r="D219">
            <v>0</v>
          </cell>
          <cell r="E219">
            <v>30</v>
          </cell>
          <cell r="F219" t="str">
            <v>Loja</v>
          </cell>
        </row>
        <row r="220">
          <cell r="A220" t="str">
            <v>Kit Fusível Grande Leo</v>
          </cell>
          <cell r="B220">
            <v>1</v>
          </cell>
          <cell r="C220">
            <v>1</v>
          </cell>
          <cell r="D220">
            <v>0</v>
          </cell>
          <cell r="E220">
            <v>5</v>
          </cell>
          <cell r="F220" t="str">
            <v>Loja</v>
          </cell>
        </row>
        <row r="221">
          <cell r="A221" t="str">
            <v xml:space="preserve">Kit Jogo De Facas </v>
          </cell>
          <cell r="B221">
            <v>1</v>
          </cell>
          <cell r="C221">
            <v>1</v>
          </cell>
          <cell r="D221">
            <v>0</v>
          </cell>
          <cell r="E221">
            <v>20</v>
          </cell>
          <cell r="F221" t="str">
            <v>Loja</v>
          </cell>
        </row>
        <row r="222">
          <cell r="A222" t="str">
            <v>Kit Maçarico</v>
          </cell>
          <cell r="B222">
            <v>99</v>
          </cell>
          <cell r="C222">
            <v>98</v>
          </cell>
          <cell r="D222">
            <v>1</v>
          </cell>
          <cell r="E222"/>
          <cell r="F222" t="str">
            <v>Loja</v>
          </cell>
        </row>
        <row r="223">
          <cell r="A223" t="str">
            <v>Kit Mouse E Teclado Sem Fio K4</v>
          </cell>
          <cell r="B223">
            <v>1</v>
          </cell>
          <cell r="C223">
            <v>1</v>
          </cell>
          <cell r="D223">
            <v>0</v>
          </cell>
          <cell r="E223">
            <v>60</v>
          </cell>
          <cell r="F223" t="str">
            <v>Loja</v>
          </cell>
        </row>
        <row r="224">
          <cell r="A224" t="str">
            <v xml:space="preserve">Kit Porta Detergente Dispense Com Bucha Louça  </v>
          </cell>
          <cell r="B224">
            <v>1</v>
          </cell>
          <cell r="C224">
            <v>1</v>
          </cell>
          <cell r="D224">
            <v>0</v>
          </cell>
          <cell r="E224">
            <v>8.99</v>
          </cell>
          <cell r="F224" t="str">
            <v>Loja</v>
          </cell>
        </row>
        <row r="225">
          <cell r="A225" t="str">
            <v>Kit Pote Banheiro</v>
          </cell>
          <cell r="B225">
            <v>1</v>
          </cell>
          <cell r="C225">
            <v>1</v>
          </cell>
          <cell r="D225">
            <v>0</v>
          </cell>
          <cell r="E225"/>
          <cell r="F225" t="str">
            <v>Loja</v>
          </cell>
        </row>
        <row r="226">
          <cell r="A226" t="str">
            <v>Kit Taboa Idea</v>
          </cell>
          <cell r="B226">
            <v>1</v>
          </cell>
          <cell r="C226">
            <v>1</v>
          </cell>
          <cell r="D226">
            <v>0</v>
          </cell>
          <cell r="E226">
            <v>7</v>
          </cell>
          <cell r="F226" t="str">
            <v>Loja</v>
          </cell>
        </row>
        <row r="227">
          <cell r="A227" t="str">
            <v xml:space="preserve">Kit Talheres </v>
          </cell>
          <cell r="B227">
            <v>1</v>
          </cell>
          <cell r="C227">
            <v>1</v>
          </cell>
          <cell r="D227">
            <v>0</v>
          </cell>
          <cell r="E227">
            <v>38</v>
          </cell>
          <cell r="F227" t="str">
            <v>Loja</v>
          </cell>
        </row>
        <row r="228">
          <cell r="A228" t="str">
            <v>Kit Teclado E Mouse Sem Fio Mb54264</v>
          </cell>
          <cell r="B228">
            <v>1</v>
          </cell>
          <cell r="C228">
            <v>1</v>
          </cell>
          <cell r="D228">
            <v>0</v>
          </cell>
          <cell r="E228">
            <v>55</v>
          </cell>
          <cell r="F228" t="str">
            <v>Loja</v>
          </cell>
        </row>
        <row r="229">
          <cell r="A229" t="str">
            <v>Kit Tesoura Cabelo</v>
          </cell>
          <cell r="B229">
            <v>1</v>
          </cell>
          <cell r="C229">
            <v>1</v>
          </cell>
          <cell r="D229">
            <v>0</v>
          </cell>
          <cell r="E229">
            <v>4</v>
          </cell>
          <cell r="F229" t="str">
            <v>Loja</v>
          </cell>
        </row>
        <row r="230">
          <cell r="A230" t="str">
            <v xml:space="preserve">Lanterna </v>
          </cell>
          <cell r="B230">
            <v>99</v>
          </cell>
          <cell r="C230">
            <v>97</v>
          </cell>
          <cell r="D230">
            <v>2</v>
          </cell>
          <cell r="E230"/>
          <cell r="F230" t="str">
            <v>Loja</v>
          </cell>
        </row>
        <row r="231">
          <cell r="A231" t="str">
            <v>Lapela Tipoc</v>
          </cell>
          <cell r="B231">
            <v>1</v>
          </cell>
          <cell r="C231">
            <v>1</v>
          </cell>
          <cell r="D231">
            <v>0</v>
          </cell>
          <cell r="E231">
            <v>25</v>
          </cell>
          <cell r="F231" t="str">
            <v>Loja</v>
          </cell>
        </row>
        <row r="232">
          <cell r="A232" t="str">
            <v xml:space="preserve">Laxasfit 2024 Relógio Inteligente </v>
          </cell>
          <cell r="B232">
            <v>1</v>
          </cell>
          <cell r="C232">
            <v>1</v>
          </cell>
          <cell r="D232">
            <v>0</v>
          </cell>
          <cell r="E232">
            <v>34.19</v>
          </cell>
          <cell r="F232" t="str">
            <v>Loja</v>
          </cell>
        </row>
        <row r="233">
          <cell r="A233" t="str">
            <v>Lego Ali</v>
          </cell>
          <cell r="B233">
            <v>1</v>
          </cell>
          <cell r="C233">
            <v>1</v>
          </cell>
          <cell r="D233">
            <v>0</v>
          </cell>
          <cell r="E233">
            <v>2.5</v>
          </cell>
          <cell r="F233" t="str">
            <v>Loja</v>
          </cell>
        </row>
        <row r="234">
          <cell r="A234" t="str">
            <v>Lego Grande</v>
          </cell>
          <cell r="B234">
            <v>1</v>
          </cell>
          <cell r="C234">
            <v>1</v>
          </cell>
          <cell r="D234">
            <v>0</v>
          </cell>
          <cell r="E234">
            <v>5</v>
          </cell>
          <cell r="F234" t="str">
            <v>Loja</v>
          </cell>
        </row>
        <row r="235">
          <cell r="A235" t="str">
            <v>Lego Pequeno</v>
          </cell>
          <cell r="B235">
            <v>1</v>
          </cell>
          <cell r="C235">
            <v>1</v>
          </cell>
          <cell r="D235">
            <v>0</v>
          </cell>
          <cell r="E235">
            <v>2</v>
          </cell>
          <cell r="F235" t="str">
            <v>Loja</v>
          </cell>
        </row>
        <row r="236">
          <cell r="A236" t="str">
            <v>Leitor De Cartao De Memoria Dkq02</v>
          </cell>
          <cell r="B236">
            <v>1</v>
          </cell>
          <cell r="C236">
            <v>1</v>
          </cell>
          <cell r="D236">
            <v>0</v>
          </cell>
          <cell r="E236">
            <v>2</v>
          </cell>
          <cell r="F236" t="str">
            <v>Loja</v>
          </cell>
        </row>
        <row r="237">
          <cell r="A237" t="str">
            <v>Leitor De Cartao De Memoria Uf0013</v>
          </cell>
          <cell r="B237">
            <v>1</v>
          </cell>
          <cell r="C237">
            <v>1</v>
          </cell>
          <cell r="D237">
            <v>0</v>
          </cell>
          <cell r="E237">
            <v>2</v>
          </cell>
          <cell r="F237" t="str">
            <v>Loja</v>
          </cell>
        </row>
        <row r="238">
          <cell r="A238" t="str">
            <v>Lixa De Unha</v>
          </cell>
          <cell r="B238">
            <v>99</v>
          </cell>
          <cell r="C238">
            <v>98</v>
          </cell>
          <cell r="D238">
            <v>1</v>
          </cell>
          <cell r="E238"/>
          <cell r="F238" t="str">
            <v>Loja</v>
          </cell>
        </row>
        <row r="239">
          <cell r="A239" t="str">
            <v>Lousa Magica 10Pol</v>
          </cell>
          <cell r="B239">
            <v>1</v>
          </cell>
          <cell r="C239">
            <v>1</v>
          </cell>
          <cell r="D239">
            <v>0</v>
          </cell>
          <cell r="E239">
            <v>15</v>
          </cell>
          <cell r="F239" t="str">
            <v>Loja</v>
          </cell>
        </row>
        <row r="240">
          <cell r="A240" t="str">
            <v>Lousa Magica 12Pol</v>
          </cell>
          <cell r="B240">
            <v>1</v>
          </cell>
          <cell r="C240">
            <v>1</v>
          </cell>
          <cell r="D240">
            <v>0</v>
          </cell>
          <cell r="E240">
            <v>20</v>
          </cell>
          <cell r="F240" t="str">
            <v>Loja</v>
          </cell>
        </row>
        <row r="241">
          <cell r="A241" t="str">
            <v>Lousa Magica 12Pol Novo</v>
          </cell>
          <cell r="B241">
            <v>1</v>
          </cell>
          <cell r="C241">
            <v>1</v>
          </cell>
          <cell r="D241">
            <v>0</v>
          </cell>
          <cell r="E241">
            <v>13</v>
          </cell>
          <cell r="F241" t="str">
            <v>Loja</v>
          </cell>
        </row>
        <row r="242">
          <cell r="A242" t="str">
            <v>Lousa Magica 16Pol</v>
          </cell>
          <cell r="B242">
            <v>1</v>
          </cell>
          <cell r="C242">
            <v>1</v>
          </cell>
          <cell r="D242">
            <v>0</v>
          </cell>
          <cell r="E242">
            <v>28</v>
          </cell>
          <cell r="F242" t="str">
            <v>Loja</v>
          </cell>
        </row>
        <row r="243">
          <cell r="A243" t="str">
            <v>Lousa Magica 8Pol</v>
          </cell>
          <cell r="B243">
            <v>1</v>
          </cell>
          <cell r="C243">
            <v>1</v>
          </cell>
          <cell r="D243">
            <v>0</v>
          </cell>
          <cell r="E243">
            <v>10</v>
          </cell>
          <cell r="F243" t="str">
            <v>Loja</v>
          </cell>
        </row>
        <row r="244">
          <cell r="A244" t="str">
            <v xml:space="preserve">Luminária Astronauta </v>
          </cell>
          <cell r="B244">
            <v>1</v>
          </cell>
          <cell r="C244">
            <v>1</v>
          </cell>
          <cell r="D244">
            <v>0</v>
          </cell>
          <cell r="E244">
            <v>75</v>
          </cell>
          <cell r="F244" t="str">
            <v>Loja</v>
          </cell>
        </row>
        <row r="245">
          <cell r="A245" t="str">
            <v>Luminaria Solar Led Refletor</v>
          </cell>
          <cell r="B245">
            <v>1</v>
          </cell>
          <cell r="C245">
            <v>1</v>
          </cell>
          <cell r="D245">
            <v>0</v>
          </cell>
          <cell r="E245">
            <v>30</v>
          </cell>
          <cell r="F245" t="str">
            <v>Loja</v>
          </cell>
        </row>
        <row r="246">
          <cell r="A246" t="str">
            <v xml:space="preserve">Luvinha De Dedo </v>
          </cell>
          <cell r="B246">
            <v>1</v>
          </cell>
          <cell r="C246">
            <v>1</v>
          </cell>
          <cell r="D246">
            <v>0</v>
          </cell>
          <cell r="E246">
            <v>1</v>
          </cell>
          <cell r="F246" t="str">
            <v>Loja</v>
          </cell>
        </row>
        <row r="247">
          <cell r="A247" t="str">
            <v>Luvinhas Dedo N</v>
          </cell>
          <cell r="B247">
            <v>1</v>
          </cell>
          <cell r="C247">
            <v>1</v>
          </cell>
          <cell r="D247">
            <v>0</v>
          </cell>
          <cell r="E247">
            <v>0.29425000000000001</v>
          </cell>
          <cell r="F247" t="str">
            <v>Loja</v>
          </cell>
        </row>
        <row r="248">
          <cell r="A248" t="str">
            <v>Maquina De Cabelo Dragao Ml</v>
          </cell>
          <cell r="B248">
            <v>1</v>
          </cell>
          <cell r="C248">
            <v>1</v>
          </cell>
          <cell r="D248">
            <v>0</v>
          </cell>
          <cell r="E248">
            <v>16</v>
          </cell>
          <cell r="F248" t="str">
            <v>Loja</v>
          </cell>
        </row>
        <row r="249">
          <cell r="A249" t="str">
            <v>Maquina Dourada Dragao</v>
          </cell>
          <cell r="B249">
            <v>1</v>
          </cell>
          <cell r="C249">
            <v>1</v>
          </cell>
          <cell r="D249">
            <v>0</v>
          </cell>
          <cell r="E249">
            <v>15</v>
          </cell>
          <cell r="F249" t="str">
            <v>Loja</v>
          </cell>
        </row>
        <row r="250">
          <cell r="A250" t="str">
            <v>Maquinha De Bolhas Automático</v>
          </cell>
          <cell r="B250">
            <v>1</v>
          </cell>
          <cell r="C250">
            <v>1</v>
          </cell>
          <cell r="D250">
            <v>0</v>
          </cell>
          <cell r="E250">
            <v>32.33</v>
          </cell>
          <cell r="F250" t="str">
            <v>Loja</v>
          </cell>
        </row>
        <row r="251">
          <cell r="A251" t="str">
            <v>Massageador Pistola</v>
          </cell>
          <cell r="B251">
            <v>1</v>
          </cell>
          <cell r="C251">
            <v>1</v>
          </cell>
          <cell r="D251">
            <v>0</v>
          </cell>
          <cell r="E251">
            <v>55</v>
          </cell>
          <cell r="F251" t="str">
            <v>Loja</v>
          </cell>
        </row>
        <row r="252">
          <cell r="A252" t="str">
            <v>Mata Mosquito Eletric Mw-555</v>
          </cell>
          <cell r="B252">
            <v>1</v>
          </cell>
          <cell r="C252">
            <v>1</v>
          </cell>
          <cell r="D252">
            <v>0</v>
          </cell>
          <cell r="E252">
            <v>28</v>
          </cell>
          <cell r="F252" t="str">
            <v>Loja</v>
          </cell>
        </row>
        <row r="253">
          <cell r="A253" t="str">
            <v>Memoria</v>
          </cell>
          <cell r="B253">
            <v>1</v>
          </cell>
          <cell r="C253">
            <v>1</v>
          </cell>
          <cell r="D253">
            <v>0</v>
          </cell>
          <cell r="E253"/>
          <cell r="F253" t="str">
            <v>Loja</v>
          </cell>
        </row>
        <row r="254">
          <cell r="A254" t="str">
            <v>Memory Card 15Mb</v>
          </cell>
          <cell r="B254">
            <v>1</v>
          </cell>
          <cell r="C254">
            <v>1</v>
          </cell>
          <cell r="D254">
            <v>0</v>
          </cell>
          <cell r="E254">
            <v>15</v>
          </cell>
          <cell r="F254" t="str">
            <v>Loja</v>
          </cell>
        </row>
        <row r="255">
          <cell r="A255" t="str">
            <v>Memory Card 16Mb</v>
          </cell>
          <cell r="B255">
            <v>1</v>
          </cell>
          <cell r="C255">
            <v>1</v>
          </cell>
          <cell r="D255">
            <v>0</v>
          </cell>
          <cell r="E255">
            <v>18</v>
          </cell>
          <cell r="F255" t="str">
            <v>Loja</v>
          </cell>
        </row>
        <row r="256">
          <cell r="A256" t="str">
            <v>Micro Sd Kodak 64Gb</v>
          </cell>
          <cell r="B256">
            <v>1</v>
          </cell>
          <cell r="C256">
            <v>1</v>
          </cell>
          <cell r="D256">
            <v>0</v>
          </cell>
          <cell r="E256">
            <v>15</v>
          </cell>
          <cell r="F256" t="str">
            <v>Loja</v>
          </cell>
        </row>
        <row r="257">
          <cell r="A257" t="str">
            <v>Microscopio 1000X</v>
          </cell>
          <cell r="B257">
            <v>1</v>
          </cell>
          <cell r="C257">
            <v>1</v>
          </cell>
          <cell r="D257">
            <v>0</v>
          </cell>
          <cell r="E257">
            <v>75</v>
          </cell>
          <cell r="F257" t="str">
            <v>Loja</v>
          </cell>
        </row>
        <row r="258">
          <cell r="A258" t="str">
            <v>Mini Antena Digital</v>
          </cell>
          <cell r="B258">
            <v>1</v>
          </cell>
          <cell r="C258">
            <v>1</v>
          </cell>
          <cell r="D258">
            <v>0</v>
          </cell>
          <cell r="E258">
            <v>13</v>
          </cell>
          <cell r="F258" t="str">
            <v>Loja</v>
          </cell>
        </row>
        <row r="259">
          <cell r="A259" t="str">
            <v>Mini Caixa De Som Cs2C</v>
          </cell>
          <cell r="B259">
            <v>1</v>
          </cell>
          <cell r="C259">
            <v>1</v>
          </cell>
          <cell r="D259">
            <v>0</v>
          </cell>
          <cell r="E259">
            <v>23</v>
          </cell>
          <cell r="F259" t="str">
            <v>Loja</v>
          </cell>
        </row>
        <row r="260">
          <cell r="A260" t="str">
            <v>Mini Fatiador</v>
          </cell>
          <cell r="B260">
            <v>1</v>
          </cell>
          <cell r="C260">
            <v>1</v>
          </cell>
          <cell r="D260">
            <v>0</v>
          </cell>
          <cell r="E260">
            <v>1.7</v>
          </cell>
          <cell r="F260" t="str">
            <v>Loja</v>
          </cell>
        </row>
        <row r="261">
          <cell r="A261" t="str">
            <v>Mini Jogo De Luz C/C</v>
          </cell>
          <cell r="B261">
            <v>1</v>
          </cell>
          <cell r="C261">
            <v>1</v>
          </cell>
          <cell r="D261">
            <v>0</v>
          </cell>
          <cell r="E261">
            <v>37</v>
          </cell>
          <cell r="F261" t="str">
            <v>Loja</v>
          </cell>
        </row>
        <row r="262">
          <cell r="A262" t="str">
            <v>Mini Lanterna Kal1114</v>
          </cell>
          <cell r="B262">
            <v>1</v>
          </cell>
          <cell r="C262">
            <v>1</v>
          </cell>
          <cell r="D262">
            <v>0</v>
          </cell>
          <cell r="E262">
            <v>20</v>
          </cell>
          <cell r="F262" t="str">
            <v>Loja</v>
          </cell>
        </row>
        <row r="263">
          <cell r="A263" t="str">
            <v>Mini Liquidificado</v>
          </cell>
          <cell r="B263">
            <v>1</v>
          </cell>
          <cell r="C263">
            <v>1</v>
          </cell>
          <cell r="D263">
            <v>0</v>
          </cell>
          <cell r="E263">
            <v>25</v>
          </cell>
          <cell r="F263" t="str">
            <v>Loja</v>
          </cell>
        </row>
        <row r="264">
          <cell r="A264" t="str">
            <v>Mini Liquidificado Max</v>
          </cell>
          <cell r="B264">
            <v>1</v>
          </cell>
          <cell r="C264">
            <v>1</v>
          </cell>
          <cell r="D264">
            <v>0</v>
          </cell>
          <cell r="E264">
            <v>77</v>
          </cell>
          <cell r="F264" t="str">
            <v>Loja</v>
          </cell>
        </row>
        <row r="265">
          <cell r="A265" t="str">
            <v>Mini Máquina De Costura</v>
          </cell>
          <cell r="B265">
            <v>1</v>
          </cell>
          <cell r="C265">
            <v>1</v>
          </cell>
          <cell r="D265">
            <v>0</v>
          </cell>
          <cell r="E265">
            <v>7.5</v>
          </cell>
          <cell r="F265" t="str">
            <v>Loja</v>
          </cell>
        </row>
        <row r="266">
          <cell r="A266" t="str">
            <v xml:space="preserve">Mini Massageador </v>
          </cell>
          <cell r="B266">
            <v>1</v>
          </cell>
          <cell r="C266">
            <v>1</v>
          </cell>
          <cell r="D266">
            <v>0</v>
          </cell>
          <cell r="E266">
            <v>8</v>
          </cell>
          <cell r="F266" t="str">
            <v>Loja</v>
          </cell>
        </row>
        <row r="267">
          <cell r="A267" t="str">
            <v>Mini Pau De Self  Leo</v>
          </cell>
          <cell r="B267">
            <v>1</v>
          </cell>
          <cell r="C267">
            <v>1</v>
          </cell>
          <cell r="D267">
            <v>0</v>
          </cell>
          <cell r="E267">
            <v>5.5</v>
          </cell>
          <cell r="F267" t="str">
            <v>Loja</v>
          </cell>
        </row>
        <row r="268">
          <cell r="A268" t="str">
            <v>Mini Router Wifi</v>
          </cell>
          <cell r="B268">
            <v>1</v>
          </cell>
          <cell r="C268">
            <v>1</v>
          </cell>
          <cell r="D268">
            <v>0</v>
          </cell>
          <cell r="E268">
            <v>99</v>
          </cell>
          <cell r="F268" t="str">
            <v>Loja</v>
          </cell>
        </row>
        <row r="269">
          <cell r="A269" t="str">
            <v>Miniteclado Tv Box</v>
          </cell>
          <cell r="B269">
            <v>1</v>
          </cell>
          <cell r="C269">
            <v>1</v>
          </cell>
          <cell r="D269">
            <v>0</v>
          </cell>
          <cell r="E269">
            <v>19</v>
          </cell>
          <cell r="F269" t="str">
            <v>Loja</v>
          </cell>
        </row>
        <row r="270">
          <cell r="A270" t="str">
            <v xml:space="preserve">Misturador De Bebidas Ovos Portátil Mixer Elétrico 2 Peças Whisk </v>
          </cell>
          <cell r="B270">
            <v>1</v>
          </cell>
          <cell r="C270">
            <v>1</v>
          </cell>
          <cell r="D270">
            <v>0</v>
          </cell>
          <cell r="E270">
            <v>30</v>
          </cell>
          <cell r="F270" t="str">
            <v>Loja</v>
          </cell>
        </row>
        <row r="271">
          <cell r="A271" t="str">
            <v xml:space="preserve">Mochila Dobrável À Prova D'Água Design Exclusivo Escolar Unissex  Preto  </v>
          </cell>
          <cell r="B271">
            <v>1</v>
          </cell>
          <cell r="C271">
            <v>1</v>
          </cell>
          <cell r="D271">
            <v>0</v>
          </cell>
          <cell r="E271">
            <v>16.899999999999999</v>
          </cell>
          <cell r="F271" t="str">
            <v>Loja</v>
          </cell>
        </row>
        <row r="272">
          <cell r="A272" t="str">
            <v xml:space="preserve">Mochila Escolar Unissex Impermeável Com Entrada Usb  Preto  </v>
          </cell>
          <cell r="B272">
            <v>1</v>
          </cell>
          <cell r="C272">
            <v>1</v>
          </cell>
          <cell r="D272">
            <v>0</v>
          </cell>
          <cell r="E272">
            <v>31.99</v>
          </cell>
          <cell r="F272" t="str">
            <v>Loja</v>
          </cell>
        </row>
        <row r="273">
          <cell r="A273" t="str">
            <v xml:space="preserve">Mochila Escolar Universitária Unissex </v>
          </cell>
          <cell r="B273">
            <v>1</v>
          </cell>
          <cell r="C273">
            <v>1</v>
          </cell>
          <cell r="D273">
            <v>0</v>
          </cell>
          <cell r="E273">
            <v>45</v>
          </cell>
          <cell r="F273" t="str">
            <v>Loja</v>
          </cell>
        </row>
        <row r="274">
          <cell r="A274" t="str">
            <v>Mochila Escolar Universitária Unissex Com Estojo</v>
          </cell>
          <cell r="B274">
            <v>1</v>
          </cell>
          <cell r="C274">
            <v>1</v>
          </cell>
          <cell r="D274">
            <v>0</v>
          </cell>
          <cell r="E274">
            <v>31.99</v>
          </cell>
          <cell r="F274" t="str">
            <v>Loja</v>
          </cell>
        </row>
        <row r="275">
          <cell r="A275" t="str">
            <v>Moeba</v>
          </cell>
          <cell r="B275">
            <v>99</v>
          </cell>
          <cell r="C275">
            <v>97</v>
          </cell>
          <cell r="D275">
            <v>2</v>
          </cell>
          <cell r="E275"/>
          <cell r="F275" t="str">
            <v>Loja</v>
          </cell>
        </row>
        <row r="276">
          <cell r="A276" t="str">
            <v>Moldem Tplink</v>
          </cell>
          <cell r="B276">
            <v>1</v>
          </cell>
          <cell r="C276">
            <v>1</v>
          </cell>
          <cell r="D276">
            <v>0</v>
          </cell>
          <cell r="E276"/>
          <cell r="F276" t="str">
            <v>Loja</v>
          </cell>
        </row>
        <row r="277">
          <cell r="A277" t="str">
            <v>Mouse B-Max</v>
          </cell>
          <cell r="B277">
            <v>1</v>
          </cell>
          <cell r="C277">
            <v>1</v>
          </cell>
          <cell r="D277">
            <v>0</v>
          </cell>
          <cell r="E277">
            <v>5.5</v>
          </cell>
          <cell r="F277" t="str">
            <v>Loja</v>
          </cell>
        </row>
        <row r="278">
          <cell r="A278" t="str">
            <v>Mouse Com Fio Exbom Md-9</v>
          </cell>
          <cell r="B278">
            <v>1</v>
          </cell>
          <cell r="C278">
            <v>1</v>
          </cell>
          <cell r="D278">
            <v>0</v>
          </cell>
          <cell r="E278">
            <v>5.5</v>
          </cell>
          <cell r="F278" t="str">
            <v>Loja</v>
          </cell>
        </row>
        <row r="279">
          <cell r="A279" t="str">
            <v>Mouse Com Fio In-20055</v>
          </cell>
          <cell r="B279">
            <v>1</v>
          </cell>
          <cell r="C279">
            <v>1</v>
          </cell>
          <cell r="D279">
            <v>0</v>
          </cell>
          <cell r="E279">
            <v>7</v>
          </cell>
          <cell r="F279" t="str">
            <v>Loja</v>
          </cell>
        </row>
        <row r="280">
          <cell r="A280" t="str">
            <v>Mouse Gamer 01</v>
          </cell>
          <cell r="B280">
            <v>1</v>
          </cell>
          <cell r="C280">
            <v>1</v>
          </cell>
          <cell r="D280">
            <v>0</v>
          </cell>
          <cell r="E280">
            <v>15</v>
          </cell>
          <cell r="F280" t="str">
            <v>Loja</v>
          </cell>
        </row>
        <row r="281">
          <cell r="A281" t="str">
            <v>Mouse Pad Com Gel</v>
          </cell>
          <cell r="B281">
            <v>1</v>
          </cell>
          <cell r="C281">
            <v>1</v>
          </cell>
          <cell r="D281">
            <v>0</v>
          </cell>
          <cell r="E281">
            <v>5</v>
          </cell>
          <cell r="F281" t="str">
            <v>Loja</v>
          </cell>
        </row>
        <row r="282">
          <cell r="A282" t="str">
            <v xml:space="preserve">Mouse Pad Simples </v>
          </cell>
          <cell r="B282">
            <v>1</v>
          </cell>
          <cell r="C282">
            <v>1</v>
          </cell>
          <cell r="D282">
            <v>0</v>
          </cell>
          <cell r="E282">
            <v>5</v>
          </cell>
          <cell r="F282" t="str">
            <v>Loja</v>
          </cell>
        </row>
        <row r="283">
          <cell r="A283" t="str">
            <v>Mouse Sem Fio</v>
          </cell>
          <cell r="B283">
            <v>99</v>
          </cell>
          <cell r="C283">
            <v>97</v>
          </cell>
          <cell r="D283">
            <v>2</v>
          </cell>
          <cell r="E283"/>
          <cell r="F283" t="str">
            <v>Loja</v>
          </cell>
        </row>
        <row r="284">
          <cell r="A284" t="str">
            <v>Opl 16 Mb</v>
          </cell>
          <cell r="B284">
            <v>99</v>
          </cell>
          <cell r="C284">
            <v>98</v>
          </cell>
          <cell r="D284">
            <v>1</v>
          </cell>
          <cell r="E284"/>
          <cell r="F284" t="str">
            <v>Loja</v>
          </cell>
        </row>
        <row r="285">
          <cell r="A285" t="str">
            <v>Par Alto Falante Evok 6X9 280Rms</v>
          </cell>
          <cell r="B285">
            <v>1</v>
          </cell>
          <cell r="C285">
            <v>1</v>
          </cell>
          <cell r="D285">
            <v>0</v>
          </cell>
          <cell r="E285">
            <v>350</v>
          </cell>
          <cell r="F285" t="str">
            <v>Loja</v>
          </cell>
        </row>
        <row r="286">
          <cell r="A286" t="str">
            <v>Pd Usb Adaptador De Carregamento Leo</v>
          </cell>
          <cell r="B286">
            <v>1</v>
          </cell>
          <cell r="C286">
            <v>1</v>
          </cell>
          <cell r="D286">
            <v>0</v>
          </cell>
          <cell r="E286">
            <v>20.5</v>
          </cell>
          <cell r="F286" t="str">
            <v>Loja</v>
          </cell>
        </row>
        <row r="287">
          <cell r="A287" t="str">
            <v>Pelicula 3D</v>
          </cell>
          <cell r="B287">
            <v>1</v>
          </cell>
          <cell r="C287">
            <v>-7</v>
          </cell>
          <cell r="D287">
            <v>8</v>
          </cell>
          <cell r="E287">
            <v>3</v>
          </cell>
          <cell r="F287" t="str">
            <v>Loja</v>
          </cell>
        </row>
        <row r="288">
          <cell r="A288" t="str">
            <v>Pelicula Privacidade</v>
          </cell>
          <cell r="B288">
            <v>1</v>
          </cell>
          <cell r="C288">
            <v>1</v>
          </cell>
          <cell r="D288">
            <v>0</v>
          </cell>
          <cell r="E288">
            <v>6</v>
          </cell>
          <cell r="F288" t="str">
            <v>Loja</v>
          </cell>
        </row>
        <row r="289">
          <cell r="A289" t="str">
            <v>Pelicularelogio 49Mm</v>
          </cell>
          <cell r="B289">
            <v>1</v>
          </cell>
          <cell r="C289">
            <v>1</v>
          </cell>
          <cell r="D289">
            <v>0</v>
          </cell>
          <cell r="E289">
            <v>6</v>
          </cell>
          <cell r="F289" t="str">
            <v>Loja</v>
          </cell>
        </row>
        <row r="290">
          <cell r="A290" t="str">
            <v>Pen Drive Com 10 Jogos Para Ps2</v>
          </cell>
          <cell r="B290">
            <v>99</v>
          </cell>
          <cell r="C290">
            <v>98</v>
          </cell>
          <cell r="D290">
            <v>1</v>
          </cell>
          <cell r="E290"/>
          <cell r="F290" t="str">
            <v>Loja</v>
          </cell>
        </row>
        <row r="291">
          <cell r="A291" t="str">
            <v>Pente De Cabelo Redondo</v>
          </cell>
          <cell r="B291">
            <v>1</v>
          </cell>
          <cell r="C291">
            <v>1</v>
          </cell>
          <cell r="D291">
            <v>0</v>
          </cell>
          <cell r="E291">
            <v>2.5</v>
          </cell>
          <cell r="F291" t="str">
            <v>Loja</v>
          </cell>
        </row>
        <row r="292">
          <cell r="A292" t="str">
            <v>Placa De Som Usb</v>
          </cell>
          <cell r="B292">
            <v>1</v>
          </cell>
          <cell r="C292">
            <v>1</v>
          </cell>
          <cell r="D292">
            <v>0</v>
          </cell>
          <cell r="E292">
            <v>9</v>
          </cell>
          <cell r="F292" t="str">
            <v>Loja</v>
          </cell>
        </row>
        <row r="293">
          <cell r="A293" t="str">
            <v>Porta Cracha Completo</v>
          </cell>
          <cell r="B293">
            <v>1</v>
          </cell>
          <cell r="C293">
            <v>1</v>
          </cell>
          <cell r="D293">
            <v>0</v>
          </cell>
          <cell r="E293">
            <v>4</v>
          </cell>
          <cell r="F293" t="str">
            <v>Loja</v>
          </cell>
        </row>
        <row r="294">
          <cell r="A294" t="str">
            <v>Porta Crachá Esticado Leo</v>
          </cell>
          <cell r="B294">
            <v>1</v>
          </cell>
          <cell r="C294">
            <v>1</v>
          </cell>
          <cell r="D294">
            <v>0</v>
          </cell>
          <cell r="E294">
            <v>1</v>
          </cell>
          <cell r="F294" t="str">
            <v>Loja</v>
          </cell>
        </row>
        <row r="295">
          <cell r="A295" t="str">
            <v xml:space="preserve">Porta Retrato Duplo Te Amo De Plástico 10X15 Cm Colors </v>
          </cell>
          <cell r="B295">
            <v>1</v>
          </cell>
          <cell r="C295">
            <v>1</v>
          </cell>
          <cell r="D295">
            <v>0</v>
          </cell>
          <cell r="E295">
            <v>12</v>
          </cell>
          <cell r="F295" t="str">
            <v>Loja</v>
          </cell>
        </row>
        <row r="296">
          <cell r="A296" t="str">
            <v>Processador De Alimentos 1352</v>
          </cell>
          <cell r="B296">
            <v>1</v>
          </cell>
          <cell r="C296">
            <v>1</v>
          </cell>
          <cell r="D296">
            <v>0</v>
          </cell>
          <cell r="E296">
            <v>11</v>
          </cell>
          <cell r="F296" t="str">
            <v>Loja</v>
          </cell>
        </row>
        <row r="297">
          <cell r="A297" t="str">
            <v>Processador De Alimentos Pequeno Leo</v>
          </cell>
          <cell r="B297">
            <v>1</v>
          </cell>
          <cell r="C297">
            <v>1</v>
          </cell>
          <cell r="D297">
            <v>0</v>
          </cell>
          <cell r="E297">
            <v>12</v>
          </cell>
          <cell r="F297" t="str">
            <v>Loja</v>
          </cell>
        </row>
        <row r="298">
          <cell r="A298" t="str">
            <v>Protetor Documento</v>
          </cell>
          <cell r="B298">
            <v>99</v>
          </cell>
          <cell r="C298">
            <v>98</v>
          </cell>
          <cell r="D298">
            <v>1</v>
          </cell>
          <cell r="E298"/>
          <cell r="F298" t="str">
            <v>Loja</v>
          </cell>
        </row>
        <row r="299">
          <cell r="A299" t="str">
            <v>Ralador 4 Faces</v>
          </cell>
          <cell r="B299">
            <v>1</v>
          </cell>
          <cell r="C299">
            <v>1</v>
          </cell>
          <cell r="D299">
            <v>0</v>
          </cell>
          <cell r="E299">
            <v>9</v>
          </cell>
          <cell r="F299" t="str">
            <v>Loja</v>
          </cell>
        </row>
        <row r="300">
          <cell r="A300" t="str">
            <v>Ralador 6 In 1 Mandolina Multilaminas Leo</v>
          </cell>
          <cell r="B300">
            <v>1</v>
          </cell>
          <cell r="C300">
            <v>1</v>
          </cell>
          <cell r="D300">
            <v>0</v>
          </cell>
          <cell r="E300">
            <v>37</v>
          </cell>
          <cell r="F300" t="str">
            <v>Loja</v>
          </cell>
        </row>
        <row r="301">
          <cell r="A301" t="str">
            <v>Ralador De Legumes Diagonal</v>
          </cell>
          <cell r="B301">
            <v>1</v>
          </cell>
          <cell r="C301">
            <v>1</v>
          </cell>
          <cell r="D301">
            <v>0</v>
          </cell>
          <cell r="E301">
            <v>43</v>
          </cell>
          <cell r="F301" t="str">
            <v>Loja</v>
          </cell>
        </row>
        <row r="302">
          <cell r="A302" t="str">
            <v>Ralador Panela Leo</v>
          </cell>
          <cell r="B302">
            <v>1</v>
          </cell>
          <cell r="C302">
            <v>1</v>
          </cell>
          <cell r="D302">
            <v>0</v>
          </cell>
          <cell r="E302">
            <v>25</v>
          </cell>
          <cell r="F302" t="str">
            <v>Loja</v>
          </cell>
        </row>
        <row r="303">
          <cell r="A303" t="str">
            <v xml:space="preserve">Relógio Pulseira M7 Inteligente Smatband Monitora Pressão </v>
          </cell>
          <cell r="B303">
            <v>1</v>
          </cell>
          <cell r="C303">
            <v>1</v>
          </cell>
          <cell r="D303">
            <v>0</v>
          </cell>
          <cell r="E303">
            <v>25.99</v>
          </cell>
          <cell r="F303" t="str">
            <v>Loja</v>
          </cell>
        </row>
        <row r="304">
          <cell r="A304" t="str">
            <v>Restauraçao Dados</v>
          </cell>
          <cell r="B304">
            <v>99</v>
          </cell>
          <cell r="C304">
            <v>98</v>
          </cell>
          <cell r="D304">
            <v>1</v>
          </cell>
          <cell r="E304"/>
          <cell r="F304" t="str">
            <v>Loja</v>
          </cell>
        </row>
        <row r="305">
          <cell r="A305" t="str">
            <v>Serviço Aleatorio</v>
          </cell>
          <cell r="B305">
            <v>99</v>
          </cell>
          <cell r="C305">
            <v>97</v>
          </cell>
          <cell r="D305">
            <v>2</v>
          </cell>
          <cell r="E305"/>
          <cell r="F305" t="str">
            <v>Loja</v>
          </cell>
        </row>
        <row r="306">
          <cell r="A306" t="str">
            <v>Super. Cola 3G Leo</v>
          </cell>
          <cell r="B306">
            <v>1</v>
          </cell>
          <cell r="C306">
            <v>1</v>
          </cell>
          <cell r="D306">
            <v>0</v>
          </cell>
          <cell r="E306">
            <v>0.5</v>
          </cell>
          <cell r="F306" t="str">
            <v>Loja</v>
          </cell>
        </row>
        <row r="307">
          <cell r="A307" t="str">
            <v>Suporte Articulado</v>
          </cell>
          <cell r="B307">
            <v>1</v>
          </cell>
          <cell r="C307">
            <v>1</v>
          </cell>
          <cell r="D307">
            <v>0</v>
          </cell>
          <cell r="E307">
            <v>8</v>
          </cell>
          <cell r="F307" t="str">
            <v>Loja</v>
          </cell>
        </row>
        <row r="308">
          <cell r="A308" t="str">
            <v>Suporte Celular Braço Leo</v>
          </cell>
          <cell r="B308">
            <v>1</v>
          </cell>
          <cell r="C308">
            <v>1</v>
          </cell>
          <cell r="D308">
            <v>0</v>
          </cell>
          <cell r="E308">
            <v>5</v>
          </cell>
          <cell r="F308" t="str">
            <v>Loja</v>
          </cell>
        </row>
        <row r="309">
          <cell r="A309" t="str">
            <v>Suporte Celular Veicular Ventosa Bmg02</v>
          </cell>
          <cell r="B309">
            <v>1</v>
          </cell>
          <cell r="C309">
            <v>1</v>
          </cell>
          <cell r="D309">
            <v>0</v>
          </cell>
          <cell r="E309">
            <v>10</v>
          </cell>
          <cell r="F309" t="str">
            <v>Loja</v>
          </cell>
        </row>
        <row r="310">
          <cell r="A310" t="str">
            <v>Suporte De Celular Ima Leo</v>
          </cell>
          <cell r="B310">
            <v>1</v>
          </cell>
          <cell r="C310">
            <v>1</v>
          </cell>
          <cell r="D310">
            <v>0</v>
          </cell>
          <cell r="E310">
            <v>12</v>
          </cell>
          <cell r="F310" t="str">
            <v>Loja</v>
          </cell>
        </row>
        <row r="311">
          <cell r="A311" t="str">
            <v>Suporte De Mesa Ecooda Ec9085</v>
          </cell>
          <cell r="B311">
            <v>1</v>
          </cell>
          <cell r="C311">
            <v>1</v>
          </cell>
          <cell r="D311">
            <v>0</v>
          </cell>
          <cell r="E311">
            <v>6</v>
          </cell>
          <cell r="F311" t="str">
            <v>Loja</v>
          </cell>
        </row>
        <row r="312">
          <cell r="A312" t="str">
            <v>Suporte De Tv Pequeno</v>
          </cell>
          <cell r="B312">
            <v>1</v>
          </cell>
          <cell r="C312">
            <v>1</v>
          </cell>
          <cell r="D312">
            <v>0</v>
          </cell>
          <cell r="E312">
            <v>11</v>
          </cell>
          <cell r="F312" t="str">
            <v>Loja</v>
          </cell>
        </row>
        <row r="313">
          <cell r="A313" t="str">
            <v>Suporte De Tv Simples</v>
          </cell>
          <cell r="B313">
            <v>1</v>
          </cell>
          <cell r="C313">
            <v>1</v>
          </cell>
          <cell r="D313">
            <v>0</v>
          </cell>
          <cell r="E313">
            <v>12</v>
          </cell>
          <cell r="F313" t="str">
            <v>Loja</v>
          </cell>
        </row>
        <row r="314">
          <cell r="A314" t="str">
            <v>Suporte Fone Leo</v>
          </cell>
          <cell r="B314">
            <v>1</v>
          </cell>
          <cell r="C314">
            <v>1</v>
          </cell>
          <cell r="D314">
            <v>0</v>
          </cell>
          <cell r="E314">
            <v>1</v>
          </cell>
          <cell r="F314" t="str">
            <v>Loja</v>
          </cell>
        </row>
        <row r="315">
          <cell r="A315" t="str">
            <v>Suporte Gancho Adesivo</v>
          </cell>
          <cell r="B315">
            <v>1</v>
          </cell>
          <cell r="C315">
            <v>1</v>
          </cell>
          <cell r="D315">
            <v>0</v>
          </cell>
          <cell r="E315">
            <v>4.5999999999999996</v>
          </cell>
          <cell r="F315" t="str">
            <v>Loja</v>
          </cell>
        </row>
        <row r="316">
          <cell r="A316" t="str">
            <v>Suporte Magnetico 360 Kac305</v>
          </cell>
          <cell r="B316">
            <v>1</v>
          </cell>
          <cell r="C316">
            <v>1</v>
          </cell>
          <cell r="D316">
            <v>0</v>
          </cell>
          <cell r="E316">
            <v>15</v>
          </cell>
          <cell r="F316" t="str">
            <v>Loja</v>
          </cell>
        </row>
        <row r="317">
          <cell r="A317" t="str">
            <v>Suporte Magnético Veicular Barra</v>
          </cell>
          <cell r="B317">
            <v>1</v>
          </cell>
          <cell r="C317">
            <v>1</v>
          </cell>
          <cell r="D317">
            <v>0</v>
          </cell>
          <cell r="E317">
            <v>6</v>
          </cell>
          <cell r="F317" t="str">
            <v>Loja</v>
          </cell>
        </row>
        <row r="318">
          <cell r="A318" t="str">
            <v>Suporte Moto Le-030D</v>
          </cell>
          <cell r="B318">
            <v>1</v>
          </cell>
          <cell r="C318">
            <v>1</v>
          </cell>
          <cell r="D318">
            <v>0</v>
          </cell>
          <cell r="E318">
            <v>16</v>
          </cell>
          <cell r="F318" t="str">
            <v>Loja</v>
          </cell>
        </row>
        <row r="319">
          <cell r="A319" t="str">
            <v>Suporte Triplo Jb-K5556</v>
          </cell>
          <cell r="B319">
            <v>1</v>
          </cell>
          <cell r="C319">
            <v>1</v>
          </cell>
          <cell r="D319">
            <v>0</v>
          </cell>
          <cell r="E319">
            <v>13</v>
          </cell>
          <cell r="F319" t="str">
            <v>Loja</v>
          </cell>
        </row>
        <row r="320">
          <cell r="A320" t="str">
            <v>Suporte Veicular</v>
          </cell>
          <cell r="B320">
            <v>99</v>
          </cell>
          <cell r="C320">
            <v>97</v>
          </cell>
          <cell r="D320">
            <v>2</v>
          </cell>
          <cell r="E320"/>
          <cell r="F320" t="str">
            <v>Loja</v>
          </cell>
        </row>
        <row r="321">
          <cell r="A321" t="str">
            <v xml:space="preserve">Suporte Veicular </v>
          </cell>
          <cell r="B321">
            <v>1</v>
          </cell>
          <cell r="C321">
            <v>1</v>
          </cell>
          <cell r="D321">
            <v>0</v>
          </cell>
          <cell r="E321">
            <v>12</v>
          </cell>
          <cell r="F321" t="str">
            <v>Loja</v>
          </cell>
        </row>
        <row r="322">
          <cell r="A322" t="str">
            <v>Suporte Veicular B-Max Bmg-07</v>
          </cell>
          <cell r="B322">
            <v>1</v>
          </cell>
          <cell r="C322">
            <v>1</v>
          </cell>
          <cell r="D322">
            <v>0</v>
          </cell>
          <cell r="E322">
            <v>10</v>
          </cell>
          <cell r="F322" t="str">
            <v>Loja</v>
          </cell>
        </row>
        <row r="323">
          <cell r="A323" t="str">
            <v>Suporte Veicular Le-010</v>
          </cell>
          <cell r="B323">
            <v>1</v>
          </cell>
          <cell r="C323">
            <v>1</v>
          </cell>
          <cell r="D323">
            <v>0</v>
          </cell>
          <cell r="E323">
            <v>6</v>
          </cell>
          <cell r="F323" t="str">
            <v>Loja</v>
          </cell>
        </row>
        <row r="324">
          <cell r="A324" t="str">
            <v>Suporte Veicular Retrovisor B-Max</v>
          </cell>
          <cell r="B324">
            <v>1</v>
          </cell>
          <cell r="C324">
            <v>1</v>
          </cell>
          <cell r="D324">
            <v>0</v>
          </cell>
          <cell r="E324">
            <v>11</v>
          </cell>
          <cell r="F324" t="str">
            <v>Loja</v>
          </cell>
        </row>
        <row r="325">
          <cell r="A325" t="str">
            <v>Suporte Veicular Ventosa It-Blue</v>
          </cell>
          <cell r="B325">
            <v>1</v>
          </cell>
          <cell r="C325">
            <v>1</v>
          </cell>
          <cell r="D325">
            <v>0</v>
          </cell>
          <cell r="E325">
            <v>11</v>
          </cell>
          <cell r="F325" t="str">
            <v>Loja</v>
          </cell>
        </row>
        <row r="326">
          <cell r="A326" t="str">
            <v>T 3 Pontas</v>
          </cell>
          <cell r="B326">
            <v>1</v>
          </cell>
          <cell r="C326">
            <v>1</v>
          </cell>
          <cell r="D326">
            <v>0</v>
          </cell>
          <cell r="E326">
            <v>1.5</v>
          </cell>
          <cell r="F326" t="str">
            <v>Loja</v>
          </cell>
        </row>
        <row r="327">
          <cell r="A327" t="str">
            <v>Tapete Massageador</v>
          </cell>
          <cell r="B327">
            <v>1</v>
          </cell>
          <cell r="C327">
            <v>1</v>
          </cell>
          <cell r="D327">
            <v>0</v>
          </cell>
          <cell r="E327">
            <v>17</v>
          </cell>
          <cell r="F327" t="str">
            <v>Loja</v>
          </cell>
        </row>
        <row r="328">
          <cell r="A328" t="str">
            <v>Teclado Bright 0014</v>
          </cell>
          <cell r="B328">
            <v>1</v>
          </cell>
          <cell r="C328">
            <v>1</v>
          </cell>
          <cell r="D328">
            <v>0</v>
          </cell>
          <cell r="E328">
            <v>14</v>
          </cell>
          <cell r="F328" t="str">
            <v>Loja</v>
          </cell>
        </row>
        <row r="329">
          <cell r="A329" t="str">
            <v>Teclado Bring Usb Preto</v>
          </cell>
          <cell r="B329">
            <v>1</v>
          </cell>
          <cell r="C329">
            <v>1</v>
          </cell>
          <cell r="D329">
            <v>0</v>
          </cell>
          <cell r="E329">
            <v>15.5</v>
          </cell>
          <cell r="F329" t="str">
            <v>Loja</v>
          </cell>
        </row>
        <row r="330">
          <cell r="A330" t="str">
            <v>Teclado Semigamer</v>
          </cell>
          <cell r="B330">
            <v>1</v>
          </cell>
          <cell r="C330">
            <v>1</v>
          </cell>
          <cell r="D330">
            <v>0</v>
          </cell>
          <cell r="E330">
            <v>25</v>
          </cell>
          <cell r="F330" t="str">
            <v>Loja</v>
          </cell>
        </row>
        <row r="331">
          <cell r="A331" t="str">
            <v>Tripe Pequeno</v>
          </cell>
          <cell r="B331">
            <v>1</v>
          </cell>
          <cell r="C331">
            <v>1</v>
          </cell>
          <cell r="D331">
            <v>0</v>
          </cell>
          <cell r="E331">
            <v>4.99</v>
          </cell>
          <cell r="F331" t="str">
            <v>Loja</v>
          </cell>
        </row>
        <row r="332">
          <cell r="A332" t="str">
            <v>Triturador De Alimentos Manual Grande</v>
          </cell>
          <cell r="B332">
            <v>1</v>
          </cell>
          <cell r="C332">
            <v>1</v>
          </cell>
          <cell r="D332">
            <v>0</v>
          </cell>
          <cell r="E332">
            <v>11</v>
          </cell>
          <cell r="F332" t="str">
            <v>Loja</v>
          </cell>
        </row>
        <row r="333">
          <cell r="A333" t="str">
            <v>Tweeter Evok 400</v>
          </cell>
          <cell r="B333">
            <v>99</v>
          </cell>
          <cell r="C333">
            <v>98</v>
          </cell>
          <cell r="D333">
            <v>1</v>
          </cell>
          <cell r="E333"/>
          <cell r="F333" t="str">
            <v>Loja</v>
          </cell>
        </row>
        <row r="334">
          <cell r="A334" t="str">
            <v>Unitv V10</v>
          </cell>
          <cell r="B334">
            <v>1</v>
          </cell>
          <cell r="C334">
            <v>0</v>
          </cell>
          <cell r="D334">
            <v>1</v>
          </cell>
          <cell r="E334">
            <v>305</v>
          </cell>
          <cell r="F334" t="str">
            <v>Loja</v>
          </cell>
        </row>
        <row r="335">
          <cell r="A335" t="str">
            <v>Uno</v>
          </cell>
          <cell r="B335">
            <v>1</v>
          </cell>
          <cell r="C335">
            <v>0</v>
          </cell>
          <cell r="D335">
            <v>1</v>
          </cell>
          <cell r="E335">
            <v>6</v>
          </cell>
          <cell r="F335" t="str">
            <v>Loja</v>
          </cell>
        </row>
        <row r="336">
          <cell r="A336" t="str">
            <v>Xerox Preta</v>
          </cell>
          <cell r="B336">
            <v>1</v>
          </cell>
          <cell r="C336">
            <v>1</v>
          </cell>
          <cell r="D336">
            <v>0</v>
          </cell>
          <cell r="E336"/>
          <cell r="F336" t="str">
            <v>Loja</v>
          </cell>
        </row>
        <row r="337">
          <cell r="A337"/>
          <cell r="B337">
            <v>1</v>
          </cell>
          <cell r="C337">
            <v>1</v>
          </cell>
          <cell r="D337">
            <v>0</v>
          </cell>
          <cell r="E337"/>
          <cell r="F337" t="str">
            <v>Loja</v>
          </cell>
        </row>
        <row r="338">
          <cell r="A338" t="str">
            <v>Desentupidor</v>
          </cell>
          <cell r="B338">
            <v>99</v>
          </cell>
          <cell r="C338">
            <v>96</v>
          </cell>
          <cell r="D338">
            <v>3</v>
          </cell>
          <cell r="E338">
            <v>12.5</v>
          </cell>
          <cell r="F338" t="str">
            <v>Loja</v>
          </cell>
        </row>
        <row r="339">
          <cell r="A339"/>
          <cell r="B339">
            <v>1</v>
          </cell>
          <cell r="C339">
            <v>1</v>
          </cell>
          <cell r="D339">
            <v>0</v>
          </cell>
          <cell r="E339"/>
          <cell r="F339" t="str">
            <v>Loja</v>
          </cell>
        </row>
        <row r="340">
          <cell r="A340"/>
          <cell r="B340">
            <v>1</v>
          </cell>
          <cell r="C340">
            <v>1</v>
          </cell>
          <cell r="D340">
            <v>0</v>
          </cell>
          <cell r="E340"/>
          <cell r="F340" t="str">
            <v>Loja</v>
          </cell>
        </row>
        <row r="341">
          <cell r="A341"/>
          <cell r="B341">
            <v>1</v>
          </cell>
          <cell r="C341">
            <v>1</v>
          </cell>
          <cell r="D341">
            <v>0</v>
          </cell>
          <cell r="E341"/>
          <cell r="F341" t="str">
            <v>Loja</v>
          </cell>
        </row>
        <row r="342">
          <cell r="A342"/>
          <cell r="B342">
            <v>1</v>
          </cell>
          <cell r="C342">
            <v>1</v>
          </cell>
          <cell r="D342">
            <v>0</v>
          </cell>
          <cell r="E342"/>
          <cell r="F342" t="str">
            <v>Loja</v>
          </cell>
        </row>
        <row r="343">
          <cell r="A343"/>
          <cell r="B343">
            <v>1</v>
          </cell>
          <cell r="C343">
            <v>1</v>
          </cell>
          <cell r="D343">
            <v>0</v>
          </cell>
          <cell r="E343"/>
          <cell r="F343" t="str">
            <v>Loja</v>
          </cell>
        </row>
        <row r="344">
          <cell r="A344"/>
          <cell r="B344">
            <v>1</v>
          </cell>
          <cell r="C344">
            <v>1</v>
          </cell>
          <cell r="D344">
            <v>0</v>
          </cell>
          <cell r="E344"/>
          <cell r="F344" t="str">
            <v>Loja</v>
          </cell>
        </row>
        <row r="345">
          <cell r="A345"/>
          <cell r="B345">
            <v>1</v>
          </cell>
          <cell r="C345">
            <v>1</v>
          </cell>
          <cell r="D345">
            <v>0</v>
          </cell>
          <cell r="E345"/>
          <cell r="F345" t="str">
            <v>Loja</v>
          </cell>
        </row>
        <row r="346">
          <cell r="A346"/>
          <cell r="B346">
            <v>1</v>
          </cell>
          <cell r="C346">
            <v>1</v>
          </cell>
          <cell r="D346">
            <v>0</v>
          </cell>
          <cell r="E346"/>
          <cell r="F346" t="str">
            <v>Loja</v>
          </cell>
        </row>
        <row r="347">
          <cell r="A347"/>
          <cell r="B347">
            <v>1</v>
          </cell>
          <cell r="C347">
            <v>1</v>
          </cell>
          <cell r="D347">
            <v>0</v>
          </cell>
          <cell r="E347"/>
          <cell r="F347" t="str">
            <v>Loja</v>
          </cell>
        </row>
        <row r="348">
          <cell r="A348"/>
          <cell r="B348">
            <v>1</v>
          </cell>
          <cell r="C348">
            <v>1</v>
          </cell>
          <cell r="D348">
            <v>0</v>
          </cell>
          <cell r="E348"/>
          <cell r="F348" t="str">
            <v>Loja</v>
          </cell>
        </row>
        <row r="349">
          <cell r="A349"/>
          <cell r="B349">
            <v>1</v>
          </cell>
          <cell r="C349">
            <v>1</v>
          </cell>
          <cell r="D349">
            <v>0</v>
          </cell>
          <cell r="E349"/>
          <cell r="F349" t="str">
            <v>Loja</v>
          </cell>
        </row>
        <row r="350">
          <cell r="A350"/>
          <cell r="B350">
            <v>1</v>
          </cell>
          <cell r="C350">
            <v>1</v>
          </cell>
          <cell r="D350">
            <v>0</v>
          </cell>
          <cell r="E350"/>
          <cell r="F350" t="str">
            <v>Loja</v>
          </cell>
        </row>
        <row r="351">
          <cell r="A351"/>
          <cell r="B351">
            <v>1</v>
          </cell>
          <cell r="C351">
            <v>1</v>
          </cell>
          <cell r="D351">
            <v>0</v>
          </cell>
          <cell r="E351"/>
          <cell r="F351" t="str">
            <v>Loja</v>
          </cell>
        </row>
        <row r="352">
          <cell r="A352"/>
          <cell r="B352">
            <v>1</v>
          </cell>
          <cell r="C352">
            <v>1</v>
          </cell>
          <cell r="D352">
            <v>0</v>
          </cell>
          <cell r="E352"/>
          <cell r="F352" t="str">
            <v>Loja</v>
          </cell>
        </row>
        <row r="353">
          <cell r="A353"/>
          <cell r="B353">
            <v>1</v>
          </cell>
          <cell r="C353">
            <v>1</v>
          </cell>
          <cell r="D353">
            <v>0</v>
          </cell>
          <cell r="E353"/>
          <cell r="F353" t="str">
            <v>Loja</v>
          </cell>
        </row>
        <row r="354">
          <cell r="A354"/>
          <cell r="B354">
            <v>1</v>
          </cell>
          <cell r="C354">
            <v>1</v>
          </cell>
          <cell r="D354">
            <v>0</v>
          </cell>
          <cell r="E354"/>
          <cell r="F354" t="str">
            <v>Loja</v>
          </cell>
        </row>
        <row r="355">
          <cell r="A355"/>
          <cell r="B355">
            <v>1</v>
          </cell>
          <cell r="C355">
            <v>1</v>
          </cell>
          <cell r="D355">
            <v>0</v>
          </cell>
          <cell r="E355"/>
          <cell r="F355" t="str">
            <v>Loja</v>
          </cell>
        </row>
        <row r="356">
          <cell r="A356"/>
          <cell r="B356">
            <v>1</v>
          </cell>
          <cell r="C356">
            <v>1</v>
          </cell>
          <cell r="D356">
            <v>0</v>
          </cell>
          <cell r="E356"/>
          <cell r="F356" t="str">
            <v>Loja</v>
          </cell>
        </row>
        <row r="357">
          <cell r="A357"/>
          <cell r="B357">
            <v>1</v>
          </cell>
          <cell r="C357">
            <v>1</v>
          </cell>
          <cell r="D357">
            <v>0</v>
          </cell>
          <cell r="E357"/>
          <cell r="F357" t="str">
            <v>Loja</v>
          </cell>
        </row>
        <row r="358">
          <cell r="A358"/>
          <cell r="B358">
            <v>1</v>
          </cell>
          <cell r="C358">
            <v>1</v>
          </cell>
          <cell r="D358">
            <v>0</v>
          </cell>
          <cell r="E358"/>
          <cell r="F358" t="str">
            <v>Loja</v>
          </cell>
        </row>
        <row r="359">
          <cell r="A359"/>
          <cell r="B359">
            <v>1</v>
          </cell>
          <cell r="C359">
            <v>1</v>
          </cell>
          <cell r="D359">
            <v>0</v>
          </cell>
          <cell r="E359"/>
          <cell r="F359" t="str">
            <v>Loja</v>
          </cell>
        </row>
        <row r="360">
          <cell r="A360"/>
          <cell r="B360">
            <v>1</v>
          </cell>
          <cell r="C360">
            <v>1</v>
          </cell>
          <cell r="D360">
            <v>0</v>
          </cell>
          <cell r="E360"/>
          <cell r="F360" t="str">
            <v>Loja</v>
          </cell>
        </row>
        <row r="361">
          <cell r="A361"/>
          <cell r="B361">
            <v>1</v>
          </cell>
          <cell r="C361">
            <v>1</v>
          </cell>
          <cell r="D361">
            <v>0</v>
          </cell>
          <cell r="E361"/>
          <cell r="F361" t="str">
            <v>Loja</v>
          </cell>
        </row>
        <row r="362">
          <cell r="A362"/>
          <cell r="B362">
            <v>1</v>
          </cell>
          <cell r="C362">
            <v>1</v>
          </cell>
          <cell r="D362">
            <v>0</v>
          </cell>
          <cell r="E362"/>
          <cell r="F362" t="str">
            <v>Loja</v>
          </cell>
        </row>
        <row r="363">
          <cell r="A363"/>
          <cell r="B363">
            <v>1</v>
          </cell>
          <cell r="C363">
            <v>1</v>
          </cell>
          <cell r="D363">
            <v>0</v>
          </cell>
          <cell r="E363"/>
          <cell r="F363" t="str">
            <v>Loja</v>
          </cell>
        </row>
        <row r="364">
          <cell r="A364"/>
          <cell r="B364">
            <v>1</v>
          </cell>
          <cell r="C364">
            <v>1</v>
          </cell>
          <cell r="D364">
            <v>0</v>
          </cell>
          <cell r="E364"/>
          <cell r="F364" t="str">
            <v>Loja</v>
          </cell>
        </row>
        <row r="365">
          <cell r="A365"/>
          <cell r="B365">
            <v>1</v>
          </cell>
          <cell r="C365">
            <v>1</v>
          </cell>
          <cell r="D365">
            <v>0</v>
          </cell>
          <cell r="E365"/>
          <cell r="F365" t="str">
            <v>Loja</v>
          </cell>
        </row>
        <row r="366">
          <cell r="A366"/>
          <cell r="B366">
            <v>1</v>
          </cell>
          <cell r="C366">
            <v>1</v>
          </cell>
          <cell r="D366">
            <v>0</v>
          </cell>
          <cell r="E366"/>
          <cell r="F366" t="str">
            <v>Loja</v>
          </cell>
        </row>
        <row r="367">
          <cell r="A367"/>
          <cell r="B367">
            <v>1</v>
          </cell>
          <cell r="C367">
            <v>1</v>
          </cell>
          <cell r="D367">
            <v>0</v>
          </cell>
          <cell r="E367"/>
          <cell r="F367" t="str">
            <v>Loja</v>
          </cell>
        </row>
        <row r="368">
          <cell r="A368"/>
          <cell r="B368">
            <v>1</v>
          </cell>
          <cell r="C368">
            <v>1</v>
          </cell>
          <cell r="D368">
            <v>0</v>
          </cell>
          <cell r="E368"/>
          <cell r="F368" t="str">
            <v>Loja</v>
          </cell>
        </row>
        <row r="369">
          <cell r="A369"/>
          <cell r="B369">
            <v>1</v>
          </cell>
          <cell r="C369">
            <v>1</v>
          </cell>
          <cell r="D369">
            <v>0</v>
          </cell>
          <cell r="E369"/>
          <cell r="F369" t="str">
            <v>Loja</v>
          </cell>
        </row>
        <row r="370">
          <cell r="A370"/>
          <cell r="B370">
            <v>1</v>
          </cell>
          <cell r="C370">
            <v>1</v>
          </cell>
          <cell r="D370">
            <v>0</v>
          </cell>
          <cell r="E370"/>
          <cell r="F370" t="str">
            <v>Loja</v>
          </cell>
        </row>
        <row r="371">
          <cell r="A371"/>
          <cell r="B371">
            <v>1</v>
          </cell>
          <cell r="C371">
            <v>1</v>
          </cell>
          <cell r="D371">
            <v>0</v>
          </cell>
          <cell r="E371"/>
          <cell r="F371" t="str">
            <v>Loja</v>
          </cell>
        </row>
        <row r="372">
          <cell r="A372"/>
          <cell r="B372">
            <v>1</v>
          </cell>
          <cell r="C372">
            <v>1</v>
          </cell>
          <cell r="D372">
            <v>0</v>
          </cell>
          <cell r="E372"/>
          <cell r="F372" t="str">
            <v>Loja</v>
          </cell>
        </row>
        <row r="373">
          <cell r="A373"/>
          <cell r="B373">
            <v>1</v>
          </cell>
          <cell r="C373">
            <v>1</v>
          </cell>
          <cell r="D373">
            <v>0</v>
          </cell>
          <cell r="E373"/>
          <cell r="F373" t="str">
            <v>Loja</v>
          </cell>
        </row>
        <row r="374">
          <cell r="A374"/>
          <cell r="B374">
            <v>1</v>
          </cell>
          <cell r="C374">
            <v>1</v>
          </cell>
          <cell r="D374">
            <v>0</v>
          </cell>
          <cell r="E374"/>
          <cell r="F374" t="str">
            <v>Loja</v>
          </cell>
        </row>
        <row r="375">
          <cell r="A375"/>
          <cell r="B375">
            <v>1</v>
          </cell>
          <cell r="C375">
            <v>1</v>
          </cell>
          <cell r="D375">
            <v>0</v>
          </cell>
          <cell r="E375"/>
          <cell r="F375" t="str">
            <v>Loja</v>
          </cell>
        </row>
        <row r="376">
          <cell r="A376"/>
          <cell r="B376">
            <v>1</v>
          </cell>
          <cell r="C376">
            <v>1</v>
          </cell>
          <cell r="D376">
            <v>0</v>
          </cell>
          <cell r="E376"/>
          <cell r="F376" t="str">
            <v>Loja</v>
          </cell>
        </row>
        <row r="377">
          <cell r="A377"/>
          <cell r="B377">
            <v>1</v>
          </cell>
          <cell r="C377">
            <v>1</v>
          </cell>
          <cell r="D377">
            <v>0</v>
          </cell>
          <cell r="E377"/>
          <cell r="F377" t="str">
            <v>Loja</v>
          </cell>
        </row>
        <row r="378">
          <cell r="A378"/>
          <cell r="B378">
            <v>1</v>
          </cell>
          <cell r="C378">
            <v>1</v>
          </cell>
          <cell r="D378">
            <v>0</v>
          </cell>
          <cell r="E378"/>
          <cell r="F378" t="str">
            <v>Loja</v>
          </cell>
        </row>
        <row r="379">
          <cell r="A379"/>
          <cell r="B379">
            <v>1</v>
          </cell>
          <cell r="C379">
            <v>1</v>
          </cell>
          <cell r="D379">
            <v>0</v>
          </cell>
          <cell r="E379"/>
          <cell r="F379" t="str">
            <v>Loja</v>
          </cell>
        </row>
        <row r="380">
          <cell r="A380"/>
          <cell r="B380">
            <v>1</v>
          </cell>
          <cell r="C380">
            <v>1</v>
          </cell>
          <cell r="D380">
            <v>0</v>
          </cell>
          <cell r="E380"/>
          <cell r="F380" t="str">
            <v>Loja</v>
          </cell>
        </row>
        <row r="381">
          <cell r="A381"/>
          <cell r="B381">
            <v>1</v>
          </cell>
          <cell r="C381">
            <v>1</v>
          </cell>
          <cell r="D381">
            <v>0</v>
          </cell>
          <cell r="E381"/>
          <cell r="F381" t="str">
            <v>Loja</v>
          </cell>
        </row>
        <row r="382">
          <cell r="A382"/>
          <cell r="B382">
            <v>1</v>
          </cell>
          <cell r="C382">
            <v>1</v>
          </cell>
          <cell r="D382">
            <v>0</v>
          </cell>
          <cell r="E382"/>
          <cell r="F382" t="str">
            <v>Loja</v>
          </cell>
        </row>
        <row r="383">
          <cell r="A383"/>
          <cell r="B383">
            <v>1</v>
          </cell>
          <cell r="C383">
            <v>1</v>
          </cell>
          <cell r="D383">
            <v>0</v>
          </cell>
          <cell r="E383"/>
          <cell r="F383" t="str">
            <v>Loja</v>
          </cell>
        </row>
        <row r="384">
          <cell r="A384"/>
          <cell r="B384">
            <v>1</v>
          </cell>
          <cell r="C384">
            <v>1</v>
          </cell>
          <cell r="D384">
            <v>0</v>
          </cell>
          <cell r="E384"/>
          <cell r="F384" t="str">
            <v>Loja</v>
          </cell>
        </row>
        <row r="385">
          <cell r="A385"/>
          <cell r="B385">
            <v>1</v>
          </cell>
          <cell r="C385">
            <v>1</v>
          </cell>
          <cell r="D385">
            <v>0</v>
          </cell>
          <cell r="E385"/>
          <cell r="F385" t="str">
            <v>Loja</v>
          </cell>
        </row>
        <row r="386">
          <cell r="A386"/>
          <cell r="B386">
            <v>1</v>
          </cell>
          <cell r="C386">
            <v>1</v>
          </cell>
          <cell r="D386">
            <v>0</v>
          </cell>
          <cell r="E386"/>
          <cell r="F386" t="str">
            <v>Loja</v>
          </cell>
        </row>
        <row r="387">
          <cell r="A387"/>
          <cell r="B387">
            <v>1</v>
          </cell>
          <cell r="C387">
            <v>1</v>
          </cell>
          <cell r="D387">
            <v>0</v>
          </cell>
          <cell r="E387"/>
          <cell r="F387" t="str">
            <v>Loja</v>
          </cell>
        </row>
        <row r="388">
          <cell r="A388"/>
          <cell r="B388">
            <v>1</v>
          </cell>
          <cell r="C388">
            <v>1</v>
          </cell>
          <cell r="D388">
            <v>0</v>
          </cell>
          <cell r="E388"/>
          <cell r="F388" t="str">
            <v>Loja</v>
          </cell>
        </row>
        <row r="389">
          <cell r="A389"/>
          <cell r="B389">
            <v>1</v>
          </cell>
          <cell r="C389">
            <v>1</v>
          </cell>
          <cell r="D389">
            <v>0</v>
          </cell>
          <cell r="E389"/>
          <cell r="F389" t="str">
            <v>Loja</v>
          </cell>
        </row>
        <row r="390">
          <cell r="A390"/>
          <cell r="B390">
            <v>1</v>
          </cell>
          <cell r="C390">
            <v>1</v>
          </cell>
          <cell r="D390">
            <v>0</v>
          </cell>
          <cell r="E390"/>
          <cell r="F390" t="str">
            <v>Loja</v>
          </cell>
        </row>
        <row r="391">
          <cell r="A391"/>
          <cell r="B391">
            <v>1</v>
          </cell>
          <cell r="C391">
            <v>1</v>
          </cell>
          <cell r="D391">
            <v>0</v>
          </cell>
          <cell r="E391"/>
          <cell r="F391" t="str">
            <v>Loja</v>
          </cell>
        </row>
        <row r="392">
          <cell r="A392"/>
          <cell r="B392">
            <v>1</v>
          </cell>
          <cell r="C392">
            <v>1</v>
          </cell>
          <cell r="D392">
            <v>0</v>
          </cell>
          <cell r="E392"/>
          <cell r="F392" t="str">
            <v>Loja</v>
          </cell>
        </row>
        <row r="393">
          <cell r="A393"/>
          <cell r="B393">
            <v>1</v>
          </cell>
          <cell r="C393">
            <v>1</v>
          </cell>
          <cell r="D393">
            <v>0</v>
          </cell>
          <cell r="E393"/>
          <cell r="F393" t="str">
            <v>Loja</v>
          </cell>
        </row>
        <row r="394">
          <cell r="A394"/>
          <cell r="B394">
            <v>1</v>
          </cell>
          <cell r="C394">
            <v>1</v>
          </cell>
          <cell r="D394">
            <v>0</v>
          </cell>
          <cell r="E394"/>
          <cell r="F394" t="str">
            <v>Loja</v>
          </cell>
        </row>
        <row r="395">
          <cell r="A395"/>
          <cell r="B395">
            <v>1</v>
          </cell>
          <cell r="C395">
            <v>1</v>
          </cell>
          <cell r="D395">
            <v>0</v>
          </cell>
          <cell r="E395"/>
          <cell r="F395" t="str">
            <v>Loja</v>
          </cell>
        </row>
        <row r="396">
          <cell r="A396"/>
          <cell r="B396">
            <v>1</v>
          </cell>
          <cell r="C396">
            <v>1</v>
          </cell>
          <cell r="D396">
            <v>0</v>
          </cell>
          <cell r="E396"/>
          <cell r="F396" t="str">
            <v>Loja</v>
          </cell>
        </row>
        <row r="397">
          <cell r="A397"/>
          <cell r="B397">
            <v>1</v>
          </cell>
          <cell r="C397">
            <v>1</v>
          </cell>
          <cell r="D397">
            <v>0</v>
          </cell>
          <cell r="E397"/>
          <cell r="F397" t="str">
            <v>Loja</v>
          </cell>
        </row>
        <row r="398">
          <cell r="A398"/>
          <cell r="B398">
            <v>1</v>
          </cell>
          <cell r="C398">
            <v>1</v>
          </cell>
          <cell r="D398">
            <v>0</v>
          </cell>
          <cell r="E398"/>
          <cell r="F398" t="str">
            <v>Loja</v>
          </cell>
        </row>
        <row r="399">
          <cell r="A399"/>
          <cell r="B399">
            <v>1</v>
          </cell>
          <cell r="C399">
            <v>1</v>
          </cell>
          <cell r="D399">
            <v>0</v>
          </cell>
          <cell r="E399"/>
          <cell r="F399" t="str">
            <v>Loja</v>
          </cell>
        </row>
        <row r="400">
          <cell r="A400"/>
          <cell r="B400">
            <v>1</v>
          </cell>
          <cell r="C400">
            <v>1</v>
          </cell>
          <cell r="D400">
            <v>0</v>
          </cell>
          <cell r="E400"/>
          <cell r="F400" t="str">
            <v>Loja</v>
          </cell>
        </row>
        <row r="401">
          <cell r="A401"/>
          <cell r="B401">
            <v>1</v>
          </cell>
          <cell r="C401">
            <v>1</v>
          </cell>
          <cell r="D401">
            <v>0</v>
          </cell>
          <cell r="E401"/>
          <cell r="F401" t="str">
            <v>Loja</v>
          </cell>
        </row>
        <row r="402">
          <cell r="A402"/>
          <cell r="B402">
            <v>1</v>
          </cell>
          <cell r="C402">
            <v>1</v>
          </cell>
          <cell r="D402">
            <v>0</v>
          </cell>
          <cell r="E402"/>
          <cell r="F402" t="str">
            <v>Loja</v>
          </cell>
        </row>
        <row r="403">
          <cell r="A403"/>
          <cell r="B403">
            <v>1</v>
          </cell>
          <cell r="C403">
            <v>1</v>
          </cell>
          <cell r="D403">
            <v>0</v>
          </cell>
          <cell r="E403"/>
          <cell r="F403" t="str">
            <v>Loja</v>
          </cell>
        </row>
        <row r="404">
          <cell r="A404"/>
          <cell r="B404">
            <v>1</v>
          </cell>
          <cell r="C404">
            <v>1</v>
          </cell>
          <cell r="D404">
            <v>0</v>
          </cell>
          <cell r="E404"/>
          <cell r="F404" t="str">
            <v>Loja</v>
          </cell>
        </row>
        <row r="405">
          <cell r="A405"/>
          <cell r="B405">
            <v>1</v>
          </cell>
          <cell r="C405">
            <v>1</v>
          </cell>
          <cell r="D405">
            <v>0</v>
          </cell>
          <cell r="E405"/>
          <cell r="F405" t="str">
            <v>Loja</v>
          </cell>
        </row>
        <row r="406">
          <cell r="A406"/>
          <cell r="B406">
            <v>1</v>
          </cell>
          <cell r="C406">
            <v>1</v>
          </cell>
          <cell r="D406">
            <v>0</v>
          </cell>
          <cell r="E406"/>
          <cell r="F406" t="str">
            <v>Loja</v>
          </cell>
        </row>
        <row r="407">
          <cell r="A407"/>
          <cell r="B407">
            <v>1</v>
          </cell>
          <cell r="C407">
            <v>1</v>
          </cell>
          <cell r="D407">
            <v>0</v>
          </cell>
          <cell r="E407"/>
          <cell r="F407" t="str">
            <v>Loja</v>
          </cell>
        </row>
        <row r="408">
          <cell r="A408"/>
          <cell r="B408">
            <v>1</v>
          </cell>
          <cell r="C408">
            <v>1</v>
          </cell>
          <cell r="D408">
            <v>0</v>
          </cell>
          <cell r="E408"/>
          <cell r="F408" t="str">
            <v>Loja</v>
          </cell>
        </row>
        <row r="409">
          <cell r="A409"/>
          <cell r="B409">
            <v>1</v>
          </cell>
          <cell r="C409">
            <v>1</v>
          </cell>
          <cell r="D409">
            <v>0</v>
          </cell>
          <cell r="E409"/>
          <cell r="F409" t="str">
            <v>Loja</v>
          </cell>
        </row>
        <row r="410">
          <cell r="A410"/>
          <cell r="B410">
            <v>1</v>
          </cell>
          <cell r="C410">
            <v>1</v>
          </cell>
          <cell r="D410">
            <v>0</v>
          </cell>
          <cell r="E410"/>
          <cell r="F410" t="str">
            <v>Loja</v>
          </cell>
        </row>
        <row r="411">
          <cell r="A411"/>
          <cell r="B411">
            <v>1</v>
          </cell>
          <cell r="C411">
            <v>1</v>
          </cell>
          <cell r="D411">
            <v>0</v>
          </cell>
          <cell r="E411"/>
          <cell r="F411" t="str">
            <v>Loja</v>
          </cell>
        </row>
        <row r="412">
          <cell r="A412"/>
          <cell r="B412">
            <v>1</v>
          </cell>
          <cell r="C412">
            <v>1</v>
          </cell>
          <cell r="D412">
            <v>0</v>
          </cell>
          <cell r="E412"/>
          <cell r="F412" t="str">
            <v>Loja</v>
          </cell>
        </row>
        <row r="413">
          <cell r="A413"/>
          <cell r="B413">
            <v>1</v>
          </cell>
          <cell r="C413">
            <v>1</v>
          </cell>
          <cell r="D413">
            <v>0</v>
          </cell>
          <cell r="E413"/>
          <cell r="F413" t="str">
            <v>Loja</v>
          </cell>
        </row>
        <row r="414">
          <cell r="A414"/>
          <cell r="B414">
            <v>1</v>
          </cell>
          <cell r="C414">
            <v>1</v>
          </cell>
          <cell r="D414">
            <v>0</v>
          </cell>
          <cell r="E414"/>
          <cell r="F414" t="str">
            <v>Loja</v>
          </cell>
        </row>
        <row r="415">
          <cell r="A415"/>
          <cell r="B415">
            <v>1</v>
          </cell>
          <cell r="C415">
            <v>1</v>
          </cell>
          <cell r="D415">
            <v>0</v>
          </cell>
          <cell r="E415"/>
          <cell r="F415" t="str">
            <v>Loja</v>
          </cell>
        </row>
        <row r="416">
          <cell r="A416"/>
          <cell r="B416">
            <v>1</v>
          </cell>
          <cell r="C416">
            <v>1</v>
          </cell>
          <cell r="D416">
            <v>0</v>
          </cell>
          <cell r="E416"/>
          <cell r="F416" t="str">
            <v>Loja</v>
          </cell>
        </row>
        <row r="417">
          <cell r="A417"/>
          <cell r="B417">
            <v>1</v>
          </cell>
          <cell r="C417">
            <v>1</v>
          </cell>
          <cell r="D417">
            <v>0</v>
          </cell>
          <cell r="E417"/>
          <cell r="F417" t="str">
            <v>Loja</v>
          </cell>
        </row>
        <row r="418">
          <cell r="A418"/>
          <cell r="B418">
            <v>1</v>
          </cell>
          <cell r="C418">
            <v>1</v>
          </cell>
          <cell r="D418">
            <v>0</v>
          </cell>
          <cell r="E418"/>
          <cell r="F418" t="str">
            <v>Loja</v>
          </cell>
        </row>
        <row r="419">
          <cell r="A419"/>
          <cell r="B419">
            <v>1</v>
          </cell>
          <cell r="C419">
            <v>1</v>
          </cell>
          <cell r="D419">
            <v>0</v>
          </cell>
          <cell r="E419"/>
          <cell r="F419" t="str">
            <v>Loja</v>
          </cell>
        </row>
        <row r="420">
          <cell r="A420"/>
          <cell r="B420">
            <v>1</v>
          </cell>
          <cell r="C420">
            <v>1</v>
          </cell>
          <cell r="D420">
            <v>0</v>
          </cell>
          <cell r="E420"/>
          <cell r="F420" t="str">
            <v>Loja</v>
          </cell>
        </row>
        <row r="421">
          <cell r="A421"/>
          <cell r="B421">
            <v>1</v>
          </cell>
          <cell r="C421">
            <v>1</v>
          </cell>
          <cell r="D421">
            <v>0</v>
          </cell>
          <cell r="E421"/>
          <cell r="F421" t="str">
            <v>Loja</v>
          </cell>
        </row>
        <row r="422">
          <cell r="A422"/>
          <cell r="B422">
            <v>1</v>
          </cell>
          <cell r="C422">
            <v>1</v>
          </cell>
          <cell r="D422">
            <v>0</v>
          </cell>
          <cell r="E422"/>
          <cell r="F422" t="str">
            <v>Loja</v>
          </cell>
        </row>
        <row r="423">
          <cell r="A423"/>
          <cell r="B423">
            <v>1</v>
          </cell>
          <cell r="C423">
            <v>1</v>
          </cell>
          <cell r="D423">
            <v>0</v>
          </cell>
          <cell r="E423"/>
          <cell r="F423" t="str">
            <v>Loja</v>
          </cell>
        </row>
        <row r="424">
          <cell r="A424"/>
          <cell r="B424">
            <v>1</v>
          </cell>
          <cell r="C424">
            <v>1</v>
          </cell>
          <cell r="D424">
            <v>0</v>
          </cell>
          <cell r="E424"/>
          <cell r="F424" t="str">
            <v>Loja</v>
          </cell>
        </row>
        <row r="425">
          <cell r="A425"/>
          <cell r="B425">
            <v>1</v>
          </cell>
          <cell r="C425">
            <v>1</v>
          </cell>
          <cell r="D425">
            <v>0</v>
          </cell>
          <cell r="E425"/>
          <cell r="F425" t="str">
            <v>Loja</v>
          </cell>
        </row>
        <row r="426">
          <cell r="A426"/>
          <cell r="B426">
            <v>1</v>
          </cell>
          <cell r="C426">
            <v>1</v>
          </cell>
          <cell r="D426">
            <v>0</v>
          </cell>
          <cell r="E426"/>
          <cell r="F426" t="str">
            <v>Loja</v>
          </cell>
        </row>
        <row r="427">
          <cell r="A427"/>
          <cell r="B427">
            <v>1</v>
          </cell>
          <cell r="C427">
            <v>1</v>
          </cell>
          <cell r="D427">
            <v>0</v>
          </cell>
          <cell r="E427"/>
          <cell r="F427" t="str">
            <v>Loja</v>
          </cell>
        </row>
        <row r="428">
          <cell r="A428"/>
          <cell r="B428">
            <v>1</v>
          </cell>
          <cell r="C428">
            <v>1</v>
          </cell>
          <cell r="D428">
            <v>0</v>
          </cell>
          <cell r="E428"/>
          <cell r="F428" t="str">
            <v>Loja</v>
          </cell>
        </row>
        <row r="429">
          <cell r="A429"/>
          <cell r="B429">
            <v>1</v>
          </cell>
          <cell r="C429">
            <v>1</v>
          </cell>
          <cell r="D429">
            <v>0</v>
          </cell>
          <cell r="E429"/>
          <cell r="F429" t="str">
            <v>Loja</v>
          </cell>
        </row>
        <row r="430">
          <cell r="A430"/>
          <cell r="B430">
            <v>1</v>
          </cell>
          <cell r="C430">
            <v>1</v>
          </cell>
          <cell r="D430">
            <v>0</v>
          </cell>
          <cell r="E430"/>
          <cell r="F430" t="str">
            <v>Loja</v>
          </cell>
        </row>
        <row r="431">
          <cell r="A431"/>
          <cell r="B431">
            <v>1</v>
          </cell>
          <cell r="C431">
            <v>1</v>
          </cell>
          <cell r="D431">
            <v>0</v>
          </cell>
          <cell r="E431"/>
          <cell r="F431" t="str">
            <v>Loja</v>
          </cell>
        </row>
        <row r="432">
          <cell r="A432"/>
          <cell r="B432">
            <v>1</v>
          </cell>
          <cell r="C432">
            <v>1</v>
          </cell>
          <cell r="D432">
            <v>0</v>
          </cell>
          <cell r="E432"/>
          <cell r="F432" t="str">
            <v>Loja</v>
          </cell>
        </row>
        <row r="433">
          <cell r="A433"/>
          <cell r="B433">
            <v>1</v>
          </cell>
          <cell r="C433">
            <v>1</v>
          </cell>
          <cell r="D433">
            <v>0</v>
          </cell>
          <cell r="E433"/>
          <cell r="F433" t="str">
            <v>Loja</v>
          </cell>
        </row>
        <row r="434">
          <cell r="A434"/>
          <cell r="B434">
            <v>1</v>
          </cell>
          <cell r="C434">
            <v>1</v>
          </cell>
          <cell r="D434">
            <v>0</v>
          </cell>
          <cell r="E434"/>
          <cell r="F434" t="str">
            <v>Loja</v>
          </cell>
        </row>
        <row r="435">
          <cell r="A435"/>
          <cell r="B435">
            <v>1</v>
          </cell>
          <cell r="C435">
            <v>1</v>
          </cell>
          <cell r="D435">
            <v>0</v>
          </cell>
          <cell r="E435"/>
          <cell r="F435" t="str">
            <v>Loja</v>
          </cell>
        </row>
        <row r="436">
          <cell r="A436"/>
          <cell r="B436">
            <v>1</v>
          </cell>
          <cell r="C436">
            <v>1</v>
          </cell>
          <cell r="D436">
            <v>0</v>
          </cell>
          <cell r="E436"/>
          <cell r="F436" t="str">
            <v>Loja</v>
          </cell>
        </row>
        <row r="437">
          <cell r="A437"/>
          <cell r="B437">
            <v>1</v>
          </cell>
          <cell r="C437">
            <v>1</v>
          </cell>
          <cell r="D437">
            <v>0</v>
          </cell>
          <cell r="E437"/>
          <cell r="F437" t="str">
            <v>Loja</v>
          </cell>
        </row>
        <row r="438">
          <cell r="A438"/>
          <cell r="B438">
            <v>1</v>
          </cell>
          <cell r="C438">
            <v>1</v>
          </cell>
          <cell r="D438">
            <v>0</v>
          </cell>
          <cell r="E438"/>
          <cell r="F438" t="str">
            <v>Loja</v>
          </cell>
        </row>
        <row r="439">
          <cell r="A439"/>
          <cell r="B439">
            <v>1</v>
          </cell>
          <cell r="C439">
            <v>1</v>
          </cell>
          <cell r="D439">
            <v>0</v>
          </cell>
          <cell r="E439"/>
          <cell r="F439" t="str">
            <v>Loja</v>
          </cell>
        </row>
        <row r="440">
          <cell r="A440"/>
          <cell r="B440">
            <v>1</v>
          </cell>
          <cell r="C440">
            <v>1</v>
          </cell>
          <cell r="D440">
            <v>0</v>
          </cell>
          <cell r="E440"/>
          <cell r="F440" t="str">
            <v>Loja</v>
          </cell>
        </row>
        <row r="441">
          <cell r="A441"/>
          <cell r="B441">
            <v>1</v>
          </cell>
          <cell r="C441">
            <v>1</v>
          </cell>
          <cell r="D441">
            <v>0</v>
          </cell>
          <cell r="E441"/>
          <cell r="F441" t="str">
            <v>Loja</v>
          </cell>
        </row>
        <row r="442">
          <cell r="A442"/>
          <cell r="B442">
            <v>1</v>
          </cell>
          <cell r="C442">
            <v>1</v>
          </cell>
          <cell r="D442">
            <v>0</v>
          </cell>
          <cell r="E442"/>
          <cell r="F442" t="str">
            <v>Loja</v>
          </cell>
        </row>
        <row r="443">
          <cell r="A443"/>
          <cell r="B443">
            <v>1</v>
          </cell>
          <cell r="C443">
            <v>1</v>
          </cell>
          <cell r="D443">
            <v>0</v>
          </cell>
          <cell r="E443"/>
          <cell r="F443" t="str">
            <v>Loja</v>
          </cell>
        </row>
        <row r="444">
          <cell r="A444"/>
          <cell r="B444">
            <v>1</v>
          </cell>
          <cell r="C444">
            <v>1</v>
          </cell>
          <cell r="D444">
            <v>0</v>
          </cell>
          <cell r="E444"/>
          <cell r="F444" t="str">
            <v>Loja</v>
          </cell>
        </row>
        <row r="445">
          <cell r="A445"/>
          <cell r="B445">
            <v>1</v>
          </cell>
          <cell r="C445">
            <v>1</v>
          </cell>
          <cell r="D445">
            <v>0</v>
          </cell>
          <cell r="E445"/>
          <cell r="F445" t="str">
            <v>Loja</v>
          </cell>
        </row>
        <row r="446">
          <cell r="A446"/>
          <cell r="B446">
            <v>1</v>
          </cell>
          <cell r="C446">
            <v>1</v>
          </cell>
          <cell r="D446">
            <v>0</v>
          </cell>
          <cell r="E446"/>
          <cell r="F446" t="str">
            <v>Loja</v>
          </cell>
        </row>
        <row r="447">
          <cell r="A447"/>
          <cell r="B447">
            <v>1</v>
          </cell>
          <cell r="C447">
            <v>1</v>
          </cell>
          <cell r="D447">
            <v>0</v>
          </cell>
          <cell r="E447"/>
          <cell r="F447" t="str">
            <v>Loja</v>
          </cell>
        </row>
        <row r="448">
          <cell r="A448"/>
          <cell r="B448">
            <v>1</v>
          </cell>
          <cell r="C448">
            <v>1</v>
          </cell>
          <cell r="D448">
            <v>0</v>
          </cell>
          <cell r="E448"/>
          <cell r="F448" t="str">
            <v>Loja</v>
          </cell>
        </row>
        <row r="449">
          <cell r="A449"/>
          <cell r="B449">
            <v>1</v>
          </cell>
          <cell r="C449">
            <v>1</v>
          </cell>
          <cell r="D449">
            <v>0</v>
          </cell>
          <cell r="E449"/>
          <cell r="F449" t="str">
            <v>Loja</v>
          </cell>
        </row>
        <row r="450">
          <cell r="A450"/>
          <cell r="B450">
            <v>1</v>
          </cell>
          <cell r="C450">
            <v>1</v>
          </cell>
          <cell r="D450">
            <v>0</v>
          </cell>
          <cell r="E450"/>
          <cell r="F450" t="str">
            <v>Loja</v>
          </cell>
        </row>
        <row r="451">
          <cell r="A451"/>
          <cell r="B451">
            <v>1</v>
          </cell>
          <cell r="C451">
            <v>1</v>
          </cell>
          <cell r="D451">
            <v>0</v>
          </cell>
          <cell r="E451"/>
          <cell r="F451" t="str">
            <v>Loja</v>
          </cell>
        </row>
        <row r="452">
          <cell r="A452"/>
          <cell r="B452">
            <v>1</v>
          </cell>
          <cell r="C452">
            <v>1</v>
          </cell>
          <cell r="D452">
            <v>0</v>
          </cell>
          <cell r="E452"/>
          <cell r="F452" t="str">
            <v>Loja</v>
          </cell>
        </row>
        <row r="453">
          <cell r="A453"/>
          <cell r="B453">
            <v>1</v>
          </cell>
          <cell r="C453">
            <v>1</v>
          </cell>
          <cell r="D453">
            <v>0</v>
          </cell>
          <cell r="E453"/>
          <cell r="F453" t="str">
            <v>Loja</v>
          </cell>
        </row>
        <row r="454">
          <cell r="A454"/>
          <cell r="B454">
            <v>1</v>
          </cell>
          <cell r="C454">
            <v>1</v>
          </cell>
          <cell r="D454">
            <v>0</v>
          </cell>
          <cell r="E454"/>
          <cell r="F454" t="str">
            <v>Loja</v>
          </cell>
        </row>
        <row r="455">
          <cell r="A455"/>
          <cell r="B455">
            <v>1</v>
          </cell>
          <cell r="C455">
            <v>1</v>
          </cell>
          <cell r="D455">
            <v>0</v>
          </cell>
          <cell r="E455"/>
          <cell r="F455" t="str">
            <v>Loja</v>
          </cell>
        </row>
        <row r="456">
          <cell r="A456"/>
          <cell r="B456">
            <v>1</v>
          </cell>
          <cell r="C456">
            <v>1</v>
          </cell>
          <cell r="D456">
            <v>0</v>
          </cell>
          <cell r="E456"/>
          <cell r="F456" t="str">
            <v>Loja</v>
          </cell>
        </row>
        <row r="457">
          <cell r="A457"/>
          <cell r="B457">
            <v>1</v>
          </cell>
          <cell r="C457">
            <v>1</v>
          </cell>
          <cell r="D457">
            <v>0</v>
          </cell>
          <cell r="E457"/>
          <cell r="F457" t="str">
            <v>Loja</v>
          </cell>
        </row>
        <row r="458">
          <cell r="A458"/>
          <cell r="B458">
            <v>1</v>
          </cell>
          <cell r="C458">
            <v>1</v>
          </cell>
          <cell r="D458">
            <v>0</v>
          </cell>
          <cell r="E458"/>
          <cell r="F458" t="str">
            <v>Loja</v>
          </cell>
        </row>
        <row r="459">
          <cell r="A459"/>
          <cell r="B459">
            <v>1</v>
          </cell>
          <cell r="C459">
            <v>1</v>
          </cell>
          <cell r="D459">
            <v>0</v>
          </cell>
          <cell r="E459"/>
          <cell r="F459" t="str">
            <v>Loja</v>
          </cell>
        </row>
        <row r="460">
          <cell r="A460"/>
          <cell r="B460">
            <v>1</v>
          </cell>
          <cell r="C460">
            <v>1</v>
          </cell>
          <cell r="D460">
            <v>0</v>
          </cell>
          <cell r="E460"/>
          <cell r="F460" t="str">
            <v>Loja</v>
          </cell>
        </row>
        <row r="461">
          <cell r="A461"/>
          <cell r="B461">
            <v>1</v>
          </cell>
          <cell r="C461">
            <v>1</v>
          </cell>
          <cell r="D461">
            <v>0</v>
          </cell>
          <cell r="E461"/>
          <cell r="F461" t="str">
            <v>Loja</v>
          </cell>
        </row>
        <row r="462">
          <cell r="A462"/>
          <cell r="B462">
            <v>1</v>
          </cell>
          <cell r="C462">
            <v>1</v>
          </cell>
          <cell r="D462">
            <v>0</v>
          </cell>
          <cell r="E462"/>
          <cell r="F462" t="str">
            <v>Loja</v>
          </cell>
        </row>
        <row r="463">
          <cell r="A463"/>
          <cell r="B463">
            <v>1</v>
          </cell>
          <cell r="C463">
            <v>1</v>
          </cell>
          <cell r="D463">
            <v>0</v>
          </cell>
          <cell r="E463"/>
          <cell r="F463" t="str">
            <v>Loja</v>
          </cell>
        </row>
        <row r="464">
          <cell r="A464"/>
          <cell r="B464">
            <v>1</v>
          </cell>
          <cell r="C464">
            <v>1</v>
          </cell>
          <cell r="D464">
            <v>0</v>
          </cell>
          <cell r="E464"/>
          <cell r="F464" t="str">
            <v>Loja</v>
          </cell>
        </row>
        <row r="465">
          <cell r="A465"/>
          <cell r="B465">
            <v>1</v>
          </cell>
          <cell r="C465">
            <v>1</v>
          </cell>
          <cell r="D465">
            <v>0</v>
          </cell>
          <cell r="E465"/>
          <cell r="F465" t="str">
            <v>Loja</v>
          </cell>
        </row>
        <row r="466">
          <cell r="A466"/>
          <cell r="B466">
            <v>1</v>
          </cell>
          <cell r="C466">
            <v>1</v>
          </cell>
          <cell r="D466">
            <v>0</v>
          </cell>
          <cell r="E466"/>
          <cell r="F466" t="str">
            <v>Loja</v>
          </cell>
        </row>
        <row r="467">
          <cell r="A467"/>
          <cell r="B467">
            <v>1</v>
          </cell>
          <cell r="C467">
            <v>1</v>
          </cell>
          <cell r="D467">
            <v>0</v>
          </cell>
          <cell r="E467"/>
          <cell r="F467" t="str">
            <v>Loja</v>
          </cell>
        </row>
        <row r="468">
          <cell r="A468"/>
          <cell r="B468">
            <v>1</v>
          </cell>
          <cell r="C468">
            <v>1</v>
          </cell>
          <cell r="D468">
            <v>0</v>
          </cell>
          <cell r="E468"/>
          <cell r="F468" t="str">
            <v>Loja</v>
          </cell>
        </row>
        <row r="469">
          <cell r="A469"/>
          <cell r="B469">
            <v>1</v>
          </cell>
          <cell r="C469">
            <v>1</v>
          </cell>
          <cell r="D469">
            <v>0</v>
          </cell>
          <cell r="E469"/>
          <cell r="F469" t="str">
            <v>Loja</v>
          </cell>
        </row>
        <row r="470">
          <cell r="A470"/>
          <cell r="B470">
            <v>1</v>
          </cell>
          <cell r="C470">
            <v>1</v>
          </cell>
          <cell r="D470">
            <v>0</v>
          </cell>
          <cell r="E470"/>
          <cell r="F470" t="str">
            <v>Loja</v>
          </cell>
        </row>
        <row r="471">
          <cell r="A471"/>
          <cell r="B471">
            <v>1</v>
          </cell>
          <cell r="C471">
            <v>1</v>
          </cell>
          <cell r="D471">
            <v>0</v>
          </cell>
          <cell r="E471"/>
          <cell r="F471" t="str">
            <v>Loja</v>
          </cell>
        </row>
        <row r="472">
          <cell r="A472"/>
          <cell r="B472">
            <v>1</v>
          </cell>
          <cell r="C472">
            <v>1</v>
          </cell>
          <cell r="D472">
            <v>0</v>
          </cell>
          <cell r="E472"/>
          <cell r="F472" t="str">
            <v>Loja</v>
          </cell>
        </row>
        <row r="473">
          <cell r="A473"/>
          <cell r="B473">
            <v>1</v>
          </cell>
          <cell r="C473">
            <v>1</v>
          </cell>
          <cell r="D473">
            <v>0</v>
          </cell>
          <cell r="E473"/>
          <cell r="F473" t="str">
            <v>Loja</v>
          </cell>
        </row>
        <row r="474">
          <cell r="A474"/>
          <cell r="B474">
            <v>1</v>
          </cell>
          <cell r="C474">
            <v>1</v>
          </cell>
          <cell r="D474">
            <v>0</v>
          </cell>
          <cell r="E474"/>
          <cell r="F474" t="str">
            <v>Loja</v>
          </cell>
        </row>
        <row r="475">
          <cell r="A475"/>
          <cell r="B475">
            <v>1</v>
          </cell>
          <cell r="C475">
            <v>1</v>
          </cell>
          <cell r="D475">
            <v>0</v>
          </cell>
          <cell r="E475"/>
          <cell r="F475" t="str">
            <v>Loja</v>
          </cell>
        </row>
        <row r="476">
          <cell r="A476"/>
          <cell r="B476">
            <v>1</v>
          </cell>
          <cell r="C476">
            <v>1</v>
          </cell>
          <cell r="D476">
            <v>0</v>
          </cell>
          <cell r="E476"/>
          <cell r="F476" t="str">
            <v>Loja</v>
          </cell>
        </row>
        <row r="477">
          <cell r="A477"/>
          <cell r="B477">
            <v>1</v>
          </cell>
          <cell r="C477">
            <v>1</v>
          </cell>
          <cell r="D477">
            <v>0</v>
          </cell>
          <cell r="E477"/>
          <cell r="F477" t="str">
            <v>Loja</v>
          </cell>
        </row>
        <row r="478">
          <cell r="A478"/>
          <cell r="B478">
            <v>1</v>
          </cell>
          <cell r="C478">
            <v>1</v>
          </cell>
          <cell r="D478">
            <v>0</v>
          </cell>
          <cell r="E478"/>
          <cell r="F478" t="str">
            <v>Loja</v>
          </cell>
        </row>
        <row r="479">
          <cell r="A479"/>
          <cell r="B479">
            <v>1</v>
          </cell>
          <cell r="C479">
            <v>1</v>
          </cell>
          <cell r="D479">
            <v>0</v>
          </cell>
          <cell r="E479"/>
          <cell r="F479" t="str">
            <v>Loja</v>
          </cell>
        </row>
        <row r="480">
          <cell r="A480"/>
          <cell r="B480">
            <v>1</v>
          </cell>
          <cell r="C480">
            <v>1</v>
          </cell>
          <cell r="D480">
            <v>0</v>
          </cell>
          <cell r="E480"/>
          <cell r="F480" t="str">
            <v>Loja</v>
          </cell>
        </row>
        <row r="481">
          <cell r="A481"/>
          <cell r="B481">
            <v>1</v>
          </cell>
          <cell r="C481">
            <v>1</v>
          </cell>
          <cell r="D481">
            <v>0</v>
          </cell>
          <cell r="E481"/>
          <cell r="F481" t="str">
            <v>Loja</v>
          </cell>
        </row>
        <row r="482">
          <cell r="A482"/>
          <cell r="B482">
            <v>1</v>
          </cell>
          <cell r="C482">
            <v>1</v>
          </cell>
          <cell r="D482">
            <v>0</v>
          </cell>
          <cell r="E482"/>
          <cell r="F482" t="str">
            <v>Loja</v>
          </cell>
        </row>
        <row r="483">
          <cell r="A483"/>
          <cell r="B483">
            <v>1</v>
          </cell>
          <cell r="C483">
            <v>1</v>
          </cell>
          <cell r="D483">
            <v>0</v>
          </cell>
          <cell r="E483"/>
          <cell r="F483" t="str">
            <v>Loja</v>
          </cell>
        </row>
        <row r="484">
          <cell r="A484"/>
          <cell r="B484">
            <v>1</v>
          </cell>
          <cell r="C484">
            <v>1</v>
          </cell>
          <cell r="D484">
            <v>0</v>
          </cell>
          <cell r="E484"/>
          <cell r="F484" t="str">
            <v>Loja</v>
          </cell>
        </row>
        <row r="485">
          <cell r="A485"/>
          <cell r="B485">
            <v>1</v>
          </cell>
          <cell r="C485">
            <v>1</v>
          </cell>
          <cell r="D485">
            <v>0</v>
          </cell>
          <cell r="E485"/>
          <cell r="F485" t="str">
            <v>Loja</v>
          </cell>
        </row>
        <row r="486">
          <cell r="A486"/>
          <cell r="B486">
            <v>1</v>
          </cell>
          <cell r="C486">
            <v>1</v>
          </cell>
          <cell r="D486">
            <v>0</v>
          </cell>
          <cell r="E486"/>
          <cell r="F486" t="str">
            <v>Loja</v>
          </cell>
        </row>
        <row r="487">
          <cell r="A487"/>
          <cell r="B487">
            <v>1</v>
          </cell>
          <cell r="C487">
            <v>1</v>
          </cell>
          <cell r="D487">
            <v>0</v>
          </cell>
          <cell r="E487"/>
          <cell r="F487" t="str">
            <v>Loja</v>
          </cell>
        </row>
        <row r="488">
          <cell r="A488"/>
          <cell r="B488">
            <v>1</v>
          </cell>
          <cell r="C488">
            <v>1</v>
          </cell>
          <cell r="D488">
            <v>0</v>
          </cell>
          <cell r="E488"/>
          <cell r="F488" t="str">
            <v>Loja</v>
          </cell>
        </row>
        <row r="489">
          <cell r="A489"/>
          <cell r="B489">
            <v>1</v>
          </cell>
          <cell r="C489">
            <v>1</v>
          </cell>
          <cell r="D489">
            <v>0</v>
          </cell>
          <cell r="E489"/>
          <cell r="F489" t="str">
            <v>Loja</v>
          </cell>
        </row>
        <row r="490">
          <cell r="A490"/>
          <cell r="B490">
            <v>1</v>
          </cell>
          <cell r="C490">
            <v>1</v>
          </cell>
          <cell r="D490">
            <v>0</v>
          </cell>
          <cell r="E490"/>
          <cell r="F490" t="str">
            <v>Loja</v>
          </cell>
        </row>
        <row r="491">
          <cell r="A491"/>
          <cell r="B491">
            <v>1</v>
          </cell>
          <cell r="C491">
            <v>1</v>
          </cell>
          <cell r="D491">
            <v>0</v>
          </cell>
          <cell r="E491"/>
          <cell r="F491" t="str">
            <v>Loja</v>
          </cell>
        </row>
        <row r="492">
          <cell r="A492"/>
          <cell r="B492">
            <v>1</v>
          </cell>
          <cell r="C492">
            <v>1</v>
          </cell>
          <cell r="D492">
            <v>0</v>
          </cell>
          <cell r="E492"/>
          <cell r="F492" t="str">
            <v>Loja</v>
          </cell>
        </row>
        <row r="493">
          <cell r="A493"/>
          <cell r="B493">
            <v>1</v>
          </cell>
          <cell r="C493">
            <v>1</v>
          </cell>
          <cell r="D493">
            <v>0</v>
          </cell>
          <cell r="E493"/>
          <cell r="F493" t="str">
            <v>Loja</v>
          </cell>
        </row>
        <row r="494">
          <cell r="A494"/>
          <cell r="B494">
            <v>1</v>
          </cell>
          <cell r="C494">
            <v>1</v>
          </cell>
          <cell r="D494">
            <v>0</v>
          </cell>
          <cell r="E494"/>
          <cell r="F494" t="str">
            <v>Loja</v>
          </cell>
        </row>
        <row r="495">
          <cell r="A495"/>
          <cell r="B495">
            <v>1</v>
          </cell>
          <cell r="C495">
            <v>1</v>
          </cell>
          <cell r="D495">
            <v>0</v>
          </cell>
          <cell r="E495"/>
          <cell r="F495" t="str">
            <v>Loja</v>
          </cell>
        </row>
        <row r="496">
          <cell r="A496"/>
          <cell r="B496">
            <v>1</v>
          </cell>
          <cell r="C496">
            <v>1</v>
          </cell>
          <cell r="D496">
            <v>0</v>
          </cell>
          <cell r="E496"/>
          <cell r="F496" t="str">
            <v>Loja</v>
          </cell>
        </row>
        <row r="497">
          <cell r="A497"/>
          <cell r="B497">
            <v>1</v>
          </cell>
          <cell r="C497">
            <v>1</v>
          </cell>
          <cell r="D497">
            <v>0</v>
          </cell>
          <cell r="E497"/>
          <cell r="F497" t="str">
            <v>Loja</v>
          </cell>
        </row>
        <row r="498">
          <cell r="A498"/>
          <cell r="B498">
            <v>1</v>
          </cell>
          <cell r="C498">
            <v>1</v>
          </cell>
          <cell r="D498">
            <v>0</v>
          </cell>
          <cell r="E498"/>
          <cell r="F498" t="str">
            <v>Loja</v>
          </cell>
        </row>
        <row r="499">
          <cell r="A499"/>
          <cell r="B499">
            <v>1</v>
          </cell>
          <cell r="C499">
            <v>1</v>
          </cell>
          <cell r="D499">
            <v>0</v>
          </cell>
          <cell r="E499"/>
          <cell r="F499" t="str">
            <v>Loja</v>
          </cell>
        </row>
        <row r="500">
          <cell r="A500"/>
          <cell r="B500">
            <v>1</v>
          </cell>
          <cell r="C500">
            <v>1</v>
          </cell>
          <cell r="D500">
            <v>0</v>
          </cell>
          <cell r="E500"/>
          <cell r="F500" t="str">
            <v>Loja</v>
          </cell>
        </row>
        <row r="501">
          <cell r="A501"/>
          <cell r="B501">
            <v>1</v>
          </cell>
          <cell r="C501">
            <v>1</v>
          </cell>
          <cell r="D501">
            <v>0</v>
          </cell>
          <cell r="E501"/>
          <cell r="F501" t="str">
            <v>Loja</v>
          </cell>
        </row>
        <row r="502">
          <cell r="A502"/>
          <cell r="B502">
            <v>1</v>
          </cell>
          <cell r="C502">
            <v>1</v>
          </cell>
          <cell r="D502">
            <v>0</v>
          </cell>
          <cell r="E502"/>
          <cell r="F502" t="str">
            <v>Loja</v>
          </cell>
        </row>
        <row r="503">
          <cell r="A503"/>
          <cell r="B503">
            <v>1</v>
          </cell>
          <cell r="C503">
            <v>1</v>
          </cell>
          <cell r="D503">
            <v>0</v>
          </cell>
          <cell r="E503"/>
          <cell r="F503" t="str">
            <v>Loja</v>
          </cell>
        </row>
        <row r="504">
          <cell r="A504"/>
          <cell r="B504">
            <v>1</v>
          </cell>
          <cell r="C504">
            <v>1</v>
          </cell>
          <cell r="D504">
            <v>0</v>
          </cell>
          <cell r="E504"/>
          <cell r="F504" t="str">
            <v>Loja</v>
          </cell>
        </row>
        <row r="505">
          <cell r="A505"/>
          <cell r="B505">
            <v>1</v>
          </cell>
          <cell r="C505">
            <v>1</v>
          </cell>
          <cell r="D505">
            <v>0</v>
          </cell>
          <cell r="E505"/>
          <cell r="F505" t="str">
            <v>Loja</v>
          </cell>
        </row>
        <row r="506">
          <cell r="A506"/>
          <cell r="B506">
            <v>1</v>
          </cell>
          <cell r="C506">
            <v>1</v>
          </cell>
          <cell r="D506">
            <v>0</v>
          </cell>
          <cell r="E506"/>
          <cell r="F506" t="str">
            <v>Loja</v>
          </cell>
        </row>
        <row r="507">
          <cell r="A507"/>
          <cell r="B507">
            <v>1</v>
          </cell>
          <cell r="C507">
            <v>1</v>
          </cell>
          <cell r="D507">
            <v>0</v>
          </cell>
          <cell r="E507"/>
          <cell r="F507" t="str">
            <v>Loja</v>
          </cell>
        </row>
        <row r="508">
          <cell r="A508"/>
          <cell r="B508">
            <v>1</v>
          </cell>
          <cell r="C508">
            <v>1</v>
          </cell>
          <cell r="D508">
            <v>0</v>
          </cell>
          <cell r="E508"/>
          <cell r="F508" t="str">
            <v>Loja</v>
          </cell>
        </row>
        <row r="509">
          <cell r="A509"/>
          <cell r="B509">
            <v>1</v>
          </cell>
          <cell r="C509">
            <v>1</v>
          </cell>
          <cell r="D509">
            <v>0</v>
          </cell>
          <cell r="E509"/>
          <cell r="F509" t="str">
            <v>Loja</v>
          </cell>
        </row>
        <row r="510">
          <cell r="A510"/>
          <cell r="B510">
            <v>1</v>
          </cell>
          <cell r="C510">
            <v>1</v>
          </cell>
          <cell r="D510">
            <v>0</v>
          </cell>
          <cell r="E510"/>
          <cell r="F510" t="str">
            <v>Loja</v>
          </cell>
        </row>
        <row r="511">
          <cell r="A511"/>
          <cell r="B511">
            <v>1</v>
          </cell>
          <cell r="C511">
            <v>1</v>
          </cell>
          <cell r="D511">
            <v>0</v>
          </cell>
          <cell r="E511"/>
          <cell r="F511" t="str">
            <v>Loja</v>
          </cell>
        </row>
        <row r="512">
          <cell r="A512"/>
          <cell r="B512">
            <v>1</v>
          </cell>
          <cell r="C512">
            <v>1</v>
          </cell>
          <cell r="D512">
            <v>0</v>
          </cell>
          <cell r="E512"/>
          <cell r="F512" t="str">
            <v>Loja</v>
          </cell>
        </row>
        <row r="513">
          <cell r="A513"/>
          <cell r="B513">
            <v>1</v>
          </cell>
          <cell r="C513">
            <v>1</v>
          </cell>
          <cell r="D513">
            <v>0</v>
          </cell>
          <cell r="E513"/>
          <cell r="F513" t="str">
            <v>Loja</v>
          </cell>
        </row>
        <row r="514">
          <cell r="A514"/>
          <cell r="B514">
            <v>1</v>
          </cell>
          <cell r="C514">
            <v>1</v>
          </cell>
          <cell r="D514">
            <v>0</v>
          </cell>
          <cell r="E514"/>
          <cell r="F514" t="str">
            <v>Loja</v>
          </cell>
        </row>
        <row r="515">
          <cell r="A515"/>
          <cell r="B515">
            <v>1</v>
          </cell>
          <cell r="C515">
            <v>1</v>
          </cell>
          <cell r="D515">
            <v>0</v>
          </cell>
          <cell r="E515"/>
          <cell r="F515" t="str">
            <v>Loja</v>
          </cell>
        </row>
        <row r="516">
          <cell r="A516"/>
          <cell r="B516">
            <v>1</v>
          </cell>
          <cell r="C516">
            <v>1</v>
          </cell>
          <cell r="D516">
            <v>0</v>
          </cell>
          <cell r="E516"/>
          <cell r="F516" t="str">
            <v>Loja</v>
          </cell>
        </row>
        <row r="517">
          <cell r="A517"/>
          <cell r="B517">
            <v>1</v>
          </cell>
          <cell r="C517">
            <v>1</v>
          </cell>
          <cell r="D517">
            <v>0</v>
          </cell>
          <cell r="E517"/>
          <cell r="F517" t="str">
            <v>Loja</v>
          </cell>
        </row>
        <row r="518">
          <cell r="A518"/>
          <cell r="B518">
            <v>1</v>
          </cell>
          <cell r="C518">
            <v>1</v>
          </cell>
          <cell r="D518">
            <v>0</v>
          </cell>
          <cell r="E518"/>
          <cell r="F518" t="str">
            <v>Loja</v>
          </cell>
        </row>
        <row r="519">
          <cell r="A519"/>
          <cell r="B519">
            <v>1</v>
          </cell>
          <cell r="C519">
            <v>1</v>
          </cell>
          <cell r="D519">
            <v>0</v>
          </cell>
          <cell r="E519"/>
          <cell r="F519" t="str">
            <v>Loja</v>
          </cell>
        </row>
        <row r="520">
          <cell r="A520"/>
          <cell r="B520">
            <v>1</v>
          </cell>
          <cell r="C520">
            <v>1</v>
          </cell>
          <cell r="D520">
            <v>0</v>
          </cell>
          <cell r="E520"/>
          <cell r="F520" t="str">
            <v>Loja</v>
          </cell>
        </row>
        <row r="521">
          <cell r="A521"/>
          <cell r="B521">
            <v>1</v>
          </cell>
          <cell r="C521">
            <v>1</v>
          </cell>
          <cell r="D521">
            <v>0</v>
          </cell>
          <cell r="E521"/>
          <cell r="F521" t="str">
            <v>Loja</v>
          </cell>
        </row>
        <row r="522">
          <cell r="A522"/>
          <cell r="B522">
            <v>1</v>
          </cell>
          <cell r="C522">
            <v>1</v>
          </cell>
          <cell r="D522">
            <v>0</v>
          </cell>
          <cell r="E522"/>
          <cell r="F522" t="str">
            <v>Loja</v>
          </cell>
        </row>
        <row r="523">
          <cell r="A523"/>
          <cell r="B523">
            <v>1</v>
          </cell>
          <cell r="C523">
            <v>1</v>
          </cell>
          <cell r="D523">
            <v>0</v>
          </cell>
          <cell r="E523"/>
          <cell r="F523" t="str">
            <v>Loja</v>
          </cell>
        </row>
        <row r="524">
          <cell r="A524"/>
          <cell r="B524">
            <v>1</v>
          </cell>
          <cell r="C524">
            <v>1</v>
          </cell>
          <cell r="D524">
            <v>0</v>
          </cell>
          <cell r="E524"/>
          <cell r="F524" t="str">
            <v>Loja</v>
          </cell>
        </row>
        <row r="525">
          <cell r="A525"/>
          <cell r="B525">
            <v>1</v>
          </cell>
          <cell r="C525">
            <v>1</v>
          </cell>
          <cell r="D525">
            <v>0</v>
          </cell>
          <cell r="E525"/>
          <cell r="F525" t="str">
            <v>Loja</v>
          </cell>
        </row>
        <row r="526">
          <cell r="A526"/>
          <cell r="B526">
            <v>1</v>
          </cell>
          <cell r="C526">
            <v>1</v>
          </cell>
          <cell r="D526">
            <v>0</v>
          </cell>
          <cell r="E526"/>
          <cell r="F526" t="str">
            <v>Loja</v>
          </cell>
        </row>
        <row r="527">
          <cell r="A527"/>
          <cell r="B527">
            <v>1</v>
          </cell>
          <cell r="C527">
            <v>1</v>
          </cell>
          <cell r="D527">
            <v>0</v>
          </cell>
          <cell r="E527"/>
          <cell r="F527" t="str">
            <v>Loja</v>
          </cell>
        </row>
        <row r="528">
          <cell r="A528"/>
          <cell r="B528">
            <v>1</v>
          </cell>
          <cell r="C528">
            <v>1</v>
          </cell>
          <cell r="D528">
            <v>0</v>
          </cell>
          <cell r="E528"/>
          <cell r="F528" t="str">
            <v>Loja</v>
          </cell>
        </row>
        <row r="529">
          <cell r="A529"/>
          <cell r="B529">
            <v>1</v>
          </cell>
          <cell r="C529">
            <v>1</v>
          </cell>
          <cell r="D529">
            <v>0</v>
          </cell>
          <cell r="E529"/>
          <cell r="F529" t="str">
            <v>Loja</v>
          </cell>
        </row>
        <row r="530">
          <cell r="A530"/>
          <cell r="B530">
            <v>1</v>
          </cell>
          <cell r="C530">
            <v>1</v>
          </cell>
          <cell r="D530">
            <v>0</v>
          </cell>
          <cell r="E530"/>
          <cell r="F530" t="str">
            <v>Loja</v>
          </cell>
        </row>
        <row r="531">
          <cell r="A531"/>
          <cell r="B531">
            <v>1</v>
          </cell>
          <cell r="C531">
            <v>1</v>
          </cell>
          <cell r="D531">
            <v>0</v>
          </cell>
          <cell r="E531"/>
          <cell r="F531" t="str">
            <v>Loja</v>
          </cell>
        </row>
        <row r="532">
          <cell r="A532"/>
          <cell r="B532">
            <v>1</v>
          </cell>
          <cell r="C532">
            <v>1</v>
          </cell>
          <cell r="D532">
            <v>0</v>
          </cell>
          <cell r="E532"/>
          <cell r="F532" t="str">
            <v>Loja</v>
          </cell>
        </row>
        <row r="533">
          <cell r="A533"/>
          <cell r="B533">
            <v>1</v>
          </cell>
          <cell r="C533">
            <v>1</v>
          </cell>
          <cell r="D533">
            <v>0</v>
          </cell>
          <cell r="E533"/>
          <cell r="F533" t="str">
            <v>Loja</v>
          </cell>
        </row>
        <row r="534">
          <cell r="A534"/>
          <cell r="B534">
            <v>1</v>
          </cell>
          <cell r="C534">
            <v>1</v>
          </cell>
          <cell r="D534">
            <v>0</v>
          </cell>
          <cell r="E534"/>
          <cell r="F534" t="str">
            <v>Loja</v>
          </cell>
        </row>
        <row r="535">
          <cell r="A535"/>
          <cell r="B535">
            <v>1</v>
          </cell>
          <cell r="C535">
            <v>1</v>
          </cell>
          <cell r="D535">
            <v>0</v>
          </cell>
          <cell r="E535"/>
          <cell r="F535" t="str">
            <v>Loja</v>
          </cell>
        </row>
        <row r="536">
          <cell r="A536"/>
          <cell r="B536">
            <v>1</v>
          </cell>
          <cell r="C536">
            <v>1</v>
          </cell>
          <cell r="D536">
            <v>0</v>
          </cell>
          <cell r="E536"/>
          <cell r="F536" t="str">
            <v>Loja</v>
          </cell>
        </row>
        <row r="537">
          <cell r="A537"/>
          <cell r="B537">
            <v>1</v>
          </cell>
          <cell r="C537">
            <v>1</v>
          </cell>
          <cell r="D537">
            <v>0</v>
          </cell>
          <cell r="E537"/>
          <cell r="F537" t="str">
            <v>Loja</v>
          </cell>
        </row>
        <row r="538">
          <cell r="A538"/>
          <cell r="B538">
            <v>1</v>
          </cell>
          <cell r="C538">
            <v>1</v>
          </cell>
          <cell r="D538">
            <v>0</v>
          </cell>
          <cell r="E538"/>
          <cell r="F538" t="str">
            <v>Loja</v>
          </cell>
        </row>
        <row r="539">
          <cell r="A539"/>
          <cell r="B539">
            <v>1</v>
          </cell>
          <cell r="C539">
            <v>1</v>
          </cell>
          <cell r="D539">
            <v>0</v>
          </cell>
          <cell r="E539"/>
          <cell r="F539" t="str">
            <v>Loja</v>
          </cell>
        </row>
        <row r="540">
          <cell r="A540"/>
          <cell r="B540">
            <v>1</v>
          </cell>
          <cell r="C540">
            <v>1</v>
          </cell>
          <cell r="D540">
            <v>0</v>
          </cell>
          <cell r="E540"/>
          <cell r="F540" t="str">
            <v>Loja</v>
          </cell>
        </row>
        <row r="541">
          <cell r="A541"/>
          <cell r="B541">
            <v>1</v>
          </cell>
          <cell r="C541">
            <v>1</v>
          </cell>
          <cell r="D541">
            <v>0</v>
          </cell>
          <cell r="E541"/>
          <cell r="F541" t="str">
            <v>Loja</v>
          </cell>
        </row>
        <row r="542">
          <cell r="A542"/>
          <cell r="B542">
            <v>1</v>
          </cell>
          <cell r="C542">
            <v>1</v>
          </cell>
          <cell r="D542">
            <v>0</v>
          </cell>
          <cell r="E542"/>
          <cell r="F542" t="str">
            <v>Loja</v>
          </cell>
        </row>
        <row r="543">
          <cell r="A543"/>
          <cell r="B543">
            <v>1</v>
          </cell>
          <cell r="C543">
            <v>1</v>
          </cell>
          <cell r="D543">
            <v>0</v>
          </cell>
          <cell r="E543"/>
          <cell r="F543" t="str">
            <v>Loja</v>
          </cell>
        </row>
        <row r="544">
          <cell r="A544"/>
          <cell r="B544"/>
          <cell r="C544"/>
          <cell r="D544"/>
          <cell r="E544"/>
          <cell r="F544"/>
        </row>
        <row r="545">
          <cell r="A545"/>
          <cell r="B545"/>
          <cell r="C545"/>
          <cell r="D545"/>
          <cell r="E545"/>
          <cell r="F545"/>
        </row>
        <row r="546">
          <cell r="A546"/>
          <cell r="B546"/>
          <cell r="C546"/>
          <cell r="D546"/>
          <cell r="E546"/>
          <cell r="F546"/>
        </row>
        <row r="547">
          <cell r="A547"/>
          <cell r="B547"/>
          <cell r="C547"/>
          <cell r="D547"/>
          <cell r="E547"/>
          <cell r="F547"/>
        </row>
        <row r="548">
          <cell r="A548"/>
          <cell r="B548"/>
          <cell r="C548"/>
          <cell r="D548"/>
          <cell r="E548"/>
          <cell r="F548"/>
        </row>
        <row r="549">
          <cell r="A549"/>
          <cell r="B549"/>
          <cell r="C549"/>
          <cell r="D549"/>
          <cell r="E549"/>
          <cell r="F549"/>
        </row>
        <row r="550">
          <cell r="A550"/>
          <cell r="B550"/>
          <cell r="C550"/>
          <cell r="D550"/>
          <cell r="E550"/>
          <cell r="F550"/>
        </row>
        <row r="551">
          <cell r="A551"/>
          <cell r="B551"/>
          <cell r="C551"/>
          <cell r="D551"/>
          <cell r="E551"/>
          <cell r="F551"/>
        </row>
        <row r="552">
          <cell r="A552"/>
          <cell r="B552"/>
          <cell r="C552"/>
          <cell r="D552"/>
          <cell r="E552"/>
          <cell r="F552"/>
        </row>
        <row r="553">
          <cell r="A553"/>
          <cell r="B553"/>
          <cell r="C553"/>
          <cell r="D553"/>
          <cell r="E553"/>
          <cell r="F553"/>
        </row>
        <row r="554">
          <cell r="A554"/>
          <cell r="B554"/>
          <cell r="C554"/>
          <cell r="D554"/>
          <cell r="E554"/>
          <cell r="F554"/>
        </row>
        <row r="555">
          <cell r="A555"/>
          <cell r="B555"/>
          <cell r="C555"/>
          <cell r="D555"/>
          <cell r="E555"/>
          <cell r="F555"/>
        </row>
        <row r="556">
          <cell r="A556"/>
          <cell r="B556"/>
          <cell r="C556"/>
          <cell r="D556"/>
          <cell r="E556"/>
          <cell r="F556"/>
        </row>
        <row r="557">
          <cell r="A557"/>
          <cell r="B557"/>
          <cell r="C557"/>
          <cell r="D557"/>
          <cell r="E557"/>
          <cell r="F557"/>
        </row>
        <row r="558">
          <cell r="A558"/>
          <cell r="B558"/>
          <cell r="C558"/>
          <cell r="D558"/>
          <cell r="E558"/>
          <cell r="F558"/>
        </row>
        <row r="559">
          <cell r="A559"/>
          <cell r="B559"/>
          <cell r="C559"/>
          <cell r="D559"/>
          <cell r="E559"/>
          <cell r="F559"/>
        </row>
        <row r="560">
          <cell r="A560"/>
          <cell r="B560"/>
          <cell r="C560"/>
          <cell r="D560"/>
          <cell r="E560"/>
          <cell r="F560"/>
        </row>
        <row r="561">
          <cell r="A561"/>
          <cell r="B561"/>
          <cell r="C561"/>
          <cell r="D561"/>
          <cell r="E561"/>
          <cell r="F561"/>
        </row>
        <row r="562">
          <cell r="A562"/>
          <cell r="B562"/>
          <cell r="C562"/>
          <cell r="D562"/>
          <cell r="E562"/>
          <cell r="F562"/>
        </row>
        <row r="563">
          <cell r="A563"/>
          <cell r="B563"/>
          <cell r="C563"/>
          <cell r="D563"/>
          <cell r="E563"/>
          <cell r="F563"/>
        </row>
        <row r="564">
          <cell r="A564"/>
          <cell r="B564"/>
          <cell r="C564"/>
          <cell r="D564"/>
          <cell r="E564"/>
          <cell r="F564"/>
        </row>
        <row r="565">
          <cell r="A565"/>
          <cell r="B565"/>
          <cell r="C565"/>
          <cell r="D565"/>
          <cell r="E565"/>
          <cell r="F565"/>
        </row>
        <row r="566">
          <cell r="A566"/>
          <cell r="B566"/>
          <cell r="C566"/>
          <cell r="D566"/>
          <cell r="E566"/>
          <cell r="F566"/>
        </row>
        <row r="567">
          <cell r="A567"/>
          <cell r="B567"/>
          <cell r="C567"/>
          <cell r="D567"/>
          <cell r="E567"/>
          <cell r="F567"/>
        </row>
        <row r="568">
          <cell r="A568"/>
          <cell r="B568"/>
          <cell r="C568"/>
          <cell r="D568"/>
          <cell r="E568"/>
          <cell r="F568"/>
        </row>
        <row r="569">
          <cell r="A569"/>
          <cell r="B569"/>
          <cell r="C569"/>
          <cell r="D569"/>
          <cell r="E569"/>
          <cell r="F569"/>
        </row>
        <row r="570">
          <cell r="A570"/>
          <cell r="B570"/>
          <cell r="C570"/>
          <cell r="D570"/>
          <cell r="E570"/>
          <cell r="F570"/>
        </row>
        <row r="571">
          <cell r="A571"/>
          <cell r="B571"/>
          <cell r="C571"/>
          <cell r="D571"/>
          <cell r="E571"/>
          <cell r="F571"/>
        </row>
        <row r="572">
          <cell r="A572"/>
          <cell r="B572"/>
          <cell r="C572"/>
          <cell r="D572"/>
          <cell r="E572"/>
          <cell r="F572"/>
        </row>
        <row r="573">
          <cell r="A573"/>
          <cell r="B573"/>
          <cell r="C573"/>
          <cell r="D573"/>
          <cell r="E573"/>
          <cell r="F573"/>
        </row>
        <row r="574">
          <cell r="A574"/>
          <cell r="B574"/>
          <cell r="C574"/>
          <cell r="D574"/>
          <cell r="E574"/>
          <cell r="F574"/>
        </row>
        <row r="575">
          <cell r="A575"/>
          <cell r="B575"/>
          <cell r="C575"/>
          <cell r="D575"/>
          <cell r="E575"/>
          <cell r="F575"/>
        </row>
        <row r="576">
          <cell r="A576"/>
          <cell r="B576"/>
          <cell r="C576"/>
          <cell r="D576"/>
          <cell r="E576"/>
          <cell r="F576"/>
        </row>
        <row r="577">
          <cell r="A577"/>
          <cell r="B577"/>
          <cell r="C577"/>
          <cell r="D577"/>
          <cell r="E577"/>
          <cell r="F577"/>
        </row>
        <row r="578">
          <cell r="A578"/>
          <cell r="B578"/>
          <cell r="C578"/>
          <cell r="D578"/>
          <cell r="E578"/>
          <cell r="F578"/>
        </row>
        <row r="579">
          <cell r="A579"/>
          <cell r="B579"/>
          <cell r="C579"/>
          <cell r="D579"/>
          <cell r="E579"/>
          <cell r="F579"/>
        </row>
        <row r="580">
          <cell r="A580"/>
          <cell r="B580"/>
          <cell r="C580"/>
          <cell r="D580"/>
          <cell r="E580"/>
          <cell r="F580"/>
        </row>
        <row r="581">
          <cell r="A581"/>
          <cell r="B581"/>
          <cell r="C581"/>
          <cell r="D581"/>
          <cell r="E581"/>
          <cell r="F581"/>
        </row>
        <row r="582">
          <cell r="A582"/>
          <cell r="B582"/>
          <cell r="C582"/>
          <cell r="D582"/>
          <cell r="E582"/>
          <cell r="F582"/>
        </row>
        <row r="583">
          <cell r="A583"/>
          <cell r="B583"/>
          <cell r="C583"/>
          <cell r="D583"/>
          <cell r="E583"/>
          <cell r="F583"/>
        </row>
        <row r="584">
          <cell r="A584"/>
          <cell r="B584"/>
          <cell r="C584"/>
          <cell r="D584"/>
          <cell r="E584"/>
          <cell r="F584"/>
        </row>
        <row r="585">
          <cell r="A585"/>
          <cell r="B585"/>
          <cell r="C585"/>
          <cell r="D585"/>
          <cell r="E585"/>
          <cell r="F585"/>
        </row>
        <row r="586">
          <cell r="A586"/>
          <cell r="B586"/>
          <cell r="C586"/>
          <cell r="D586"/>
          <cell r="E586"/>
          <cell r="F586"/>
        </row>
        <row r="587">
          <cell r="A587"/>
          <cell r="B587"/>
          <cell r="C587"/>
          <cell r="D587"/>
          <cell r="E587"/>
          <cell r="F587"/>
        </row>
        <row r="588">
          <cell r="A588"/>
          <cell r="B588"/>
          <cell r="C588"/>
          <cell r="D588"/>
          <cell r="E588"/>
          <cell r="F588"/>
        </row>
        <row r="589">
          <cell r="A589"/>
          <cell r="B589"/>
          <cell r="C589"/>
          <cell r="D589"/>
          <cell r="E589"/>
          <cell r="F589"/>
        </row>
        <row r="590">
          <cell r="A590"/>
          <cell r="B590"/>
          <cell r="C590"/>
          <cell r="D590"/>
          <cell r="E590"/>
          <cell r="F590"/>
        </row>
        <row r="591">
          <cell r="A591"/>
          <cell r="B591"/>
          <cell r="C591"/>
          <cell r="D591"/>
          <cell r="E591"/>
          <cell r="F591"/>
        </row>
        <row r="592">
          <cell r="A592"/>
          <cell r="B592"/>
          <cell r="C592"/>
          <cell r="D592"/>
          <cell r="E592"/>
          <cell r="F592"/>
        </row>
        <row r="593">
          <cell r="A593"/>
          <cell r="B593"/>
          <cell r="C593"/>
          <cell r="D593"/>
          <cell r="E593"/>
          <cell r="F593"/>
        </row>
        <row r="594">
          <cell r="A594"/>
          <cell r="B594"/>
          <cell r="C594"/>
          <cell r="D594"/>
          <cell r="E594"/>
          <cell r="F594"/>
        </row>
        <row r="595">
          <cell r="A595"/>
          <cell r="B595"/>
          <cell r="C595"/>
          <cell r="D595"/>
          <cell r="E595"/>
          <cell r="F595"/>
        </row>
        <row r="596">
          <cell r="A596"/>
          <cell r="B596"/>
          <cell r="C596"/>
          <cell r="D596"/>
          <cell r="E596"/>
          <cell r="F596"/>
        </row>
        <row r="597">
          <cell r="A597"/>
          <cell r="B597"/>
          <cell r="C597"/>
          <cell r="D597"/>
          <cell r="E597"/>
          <cell r="F597"/>
        </row>
        <row r="598">
          <cell r="A598"/>
          <cell r="B598"/>
          <cell r="C598"/>
          <cell r="D598"/>
          <cell r="E598"/>
          <cell r="F598"/>
        </row>
        <row r="599">
          <cell r="A599"/>
          <cell r="B599"/>
          <cell r="C599"/>
          <cell r="D599"/>
          <cell r="E599"/>
          <cell r="F599"/>
        </row>
        <row r="600">
          <cell r="A600"/>
          <cell r="B600"/>
          <cell r="C600"/>
          <cell r="D600"/>
          <cell r="E600"/>
          <cell r="F600"/>
        </row>
        <row r="601">
          <cell r="A601"/>
          <cell r="B601"/>
          <cell r="C601"/>
          <cell r="D601"/>
          <cell r="E601"/>
          <cell r="F601"/>
        </row>
        <row r="602">
          <cell r="A602"/>
          <cell r="B602"/>
          <cell r="C602"/>
          <cell r="D602"/>
          <cell r="E602"/>
          <cell r="F602"/>
        </row>
        <row r="603">
          <cell r="A603"/>
          <cell r="B603"/>
          <cell r="C603"/>
          <cell r="D603"/>
          <cell r="E603"/>
          <cell r="F603"/>
        </row>
        <row r="604">
          <cell r="A604"/>
          <cell r="B604"/>
          <cell r="C604"/>
          <cell r="D604"/>
          <cell r="E604"/>
          <cell r="F604"/>
        </row>
        <row r="605">
          <cell r="A605"/>
          <cell r="B605"/>
          <cell r="C605"/>
          <cell r="D605"/>
          <cell r="E605"/>
          <cell r="F605"/>
        </row>
        <row r="606">
          <cell r="A606"/>
          <cell r="B606"/>
          <cell r="C606"/>
          <cell r="D606"/>
          <cell r="E606"/>
          <cell r="F606"/>
        </row>
        <row r="607">
          <cell r="A607"/>
          <cell r="B607"/>
          <cell r="C607"/>
          <cell r="D607"/>
          <cell r="E607"/>
          <cell r="F607"/>
        </row>
        <row r="608">
          <cell r="A608"/>
          <cell r="B608"/>
          <cell r="C608"/>
          <cell r="D608"/>
          <cell r="E608"/>
          <cell r="F608"/>
        </row>
        <row r="609">
          <cell r="A609"/>
          <cell r="B609"/>
          <cell r="C609"/>
          <cell r="D609"/>
          <cell r="E609"/>
          <cell r="F609"/>
        </row>
        <row r="610">
          <cell r="A610"/>
          <cell r="B610"/>
          <cell r="C610"/>
          <cell r="D610"/>
          <cell r="E610"/>
          <cell r="F610"/>
        </row>
        <row r="611">
          <cell r="A611"/>
          <cell r="B611"/>
          <cell r="C611"/>
          <cell r="D611"/>
          <cell r="E611"/>
          <cell r="F611"/>
        </row>
        <row r="612">
          <cell r="A612"/>
          <cell r="B612"/>
          <cell r="C612"/>
          <cell r="D612"/>
          <cell r="E612"/>
          <cell r="F612"/>
        </row>
        <row r="613">
          <cell r="A613"/>
          <cell r="B613"/>
          <cell r="C613"/>
          <cell r="D613"/>
          <cell r="E613"/>
          <cell r="F613"/>
        </row>
        <row r="614">
          <cell r="A614"/>
          <cell r="B614"/>
          <cell r="C614"/>
          <cell r="D614"/>
          <cell r="E614"/>
          <cell r="F614"/>
        </row>
        <row r="615">
          <cell r="A615"/>
          <cell r="B615"/>
          <cell r="C615"/>
          <cell r="D615"/>
          <cell r="E615"/>
          <cell r="F615"/>
        </row>
        <row r="616">
          <cell r="A616"/>
          <cell r="B616"/>
          <cell r="C616"/>
          <cell r="D616"/>
          <cell r="E616"/>
          <cell r="F616"/>
        </row>
        <row r="617">
          <cell r="A617"/>
          <cell r="B617"/>
          <cell r="C617"/>
          <cell r="D617"/>
          <cell r="E617"/>
          <cell r="F617"/>
        </row>
        <row r="618">
          <cell r="A618"/>
          <cell r="B618"/>
          <cell r="C618"/>
          <cell r="D618"/>
          <cell r="E618"/>
          <cell r="F618"/>
        </row>
        <row r="619">
          <cell r="A619"/>
          <cell r="B619"/>
          <cell r="C619"/>
          <cell r="D619"/>
          <cell r="E619"/>
          <cell r="F619"/>
        </row>
        <row r="620">
          <cell r="A620"/>
          <cell r="B620"/>
          <cell r="C620"/>
          <cell r="D620"/>
          <cell r="E620"/>
          <cell r="F620"/>
        </row>
        <row r="621">
          <cell r="A621"/>
          <cell r="B621"/>
          <cell r="C621"/>
          <cell r="D621"/>
          <cell r="E621"/>
          <cell r="F621"/>
        </row>
        <row r="622">
          <cell r="A622"/>
          <cell r="B622"/>
          <cell r="C622"/>
          <cell r="D622"/>
          <cell r="E622"/>
          <cell r="F622"/>
        </row>
        <row r="623">
          <cell r="A623"/>
          <cell r="B623"/>
          <cell r="C623"/>
          <cell r="D623"/>
          <cell r="E623"/>
          <cell r="F623"/>
        </row>
        <row r="624">
          <cell r="A624"/>
          <cell r="B624"/>
          <cell r="C624"/>
          <cell r="D624"/>
          <cell r="E624"/>
          <cell r="F624"/>
        </row>
        <row r="625">
          <cell r="A625"/>
          <cell r="B625"/>
          <cell r="C625"/>
          <cell r="D625"/>
          <cell r="E625"/>
          <cell r="F625"/>
        </row>
        <row r="626">
          <cell r="A626"/>
          <cell r="B626"/>
          <cell r="C626"/>
          <cell r="D626"/>
          <cell r="E626"/>
          <cell r="F626"/>
        </row>
        <row r="627">
          <cell r="A627"/>
          <cell r="B627"/>
          <cell r="C627"/>
          <cell r="D627"/>
          <cell r="E627"/>
          <cell r="F627"/>
        </row>
        <row r="628">
          <cell r="A628"/>
          <cell r="B628"/>
          <cell r="C628"/>
          <cell r="D628"/>
          <cell r="E628"/>
          <cell r="F628"/>
        </row>
        <row r="629">
          <cell r="A629"/>
          <cell r="B629"/>
          <cell r="C629"/>
          <cell r="D629"/>
          <cell r="E629"/>
          <cell r="F629"/>
        </row>
        <row r="630">
          <cell r="A630"/>
          <cell r="B630"/>
          <cell r="C630"/>
          <cell r="D630"/>
          <cell r="E630"/>
          <cell r="F630"/>
        </row>
        <row r="631">
          <cell r="A631"/>
          <cell r="B631"/>
          <cell r="C631"/>
          <cell r="D631"/>
          <cell r="E631"/>
          <cell r="F631"/>
        </row>
        <row r="632">
          <cell r="A632"/>
          <cell r="B632"/>
          <cell r="C632"/>
          <cell r="D632"/>
          <cell r="E632"/>
          <cell r="F632"/>
        </row>
        <row r="633">
          <cell r="A633"/>
          <cell r="B633"/>
          <cell r="C633"/>
          <cell r="D633"/>
          <cell r="E633"/>
          <cell r="F633"/>
        </row>
        <row r="634">
          <cell r="A634"/>
          <cell r="B634"/>
          <cell r="C634"/>
          <cell r="D634"/>
          <cell r="E634"/>
          <cell r="F634"/>
        </row>
        <row r="635">
          <cell r="A635"/>
          <cell r="B635"/>
          <cell r="C635"/>
          <cell r="D635"/>
          <cell r="E635"/>
          <cell r="F635"/>
        </row>
        <row r="636">
          <cell r="A636"/>
          <cell r="B636"/>
          <cell r="C636"/>
          <cell r="D636"/>
          <cell r="E636"/>
          <cell r="F636"/>
        </row>
        <row r="637">
          <cell r="A637"/>
          <cell r="B637"/>
          <cell r="C637"/>
          <cell r="D637"/>
          <cell r="E637"/>
          <cell r="F637"/>
        </row>
        <row r="638">
          <cell r="A638"/>
          <cell r="B638"/>
          <cell r="C638"/>
          <cell r="D638"/>
          <cell r="E638"/>
          <cell r="F638"/>
        </row>
        <row r="639">
          <cell r="A639"/>
          <cell r="B639"/>
          <cell r="C639"/>
          <cell r="D639"/>
          <cell r="E639"/>
          <cell r="F639"/>
        </row>
        <row r="640">
          <cell r="A640"/>
          <cell r="B640"/>
          <cell r="C640"/>
          <cell r="D640"/>
          <cell r="E640"/>
          <cell r="F640"/>
        </row>
        <row r="641">
          <cell r="A641"/>
          <cell r="B641"/>
          <cell r="C641"/>
          <cell r="D641"/>
          <cell r="E641"/>
          <cell r="F641"/>
        </row>
        <row r="642">
          <cell r="A642"/>
          <cell r="B642"/>
          <cell r="C642"/>
          <cell r="D642"/>
          <cell r="E642"/>
          <cell r="F642"/>
        </row>
        <row r="643">
          <cell r="A643"/>
          <cell r="B643"/>
          <cell r="C643"/>
          <cell r="D643"/>
          <cell r="E643"/>
          <cell r="F643"/>
        </row>
        <row r="644">
          <cell r="A644"/>
          <cell r="B644"/>
          <cell r="C644"/>
          <cell r="D644"/>
          <cell r="E644"/>
          <cell r="F644"/>
        </row>
        <row r="645">
          <cell r="A645"/>
          <cell r="B645"/>
          <cell r="C645"/>
          <cell r="D645"/>
          <cell r="E645"/>
          <cell r="F645"/>
        </row>
        <row r="646">
          <cell r="A646"/>
          <cell r="B646"/>
          <cell r="C646"/>
          <cell r="D646"/>
          <cell r="E646"/>
          <cell r="F646"/>
        </row>
        <row r="647">
          <cell r="A647"/>
          <cell r="B647"/>
          <cell r="C647"/>
          <cell r="D647"/>
          <cell r="E647"/>
          <cell r="F647"/>
        </row>
        <row r="648">
          <cell r="A648"/>
          <cell r="B648"/>
          <cell r="C648"/>
          <cell r="D648"/>
          <cell r="E648"/>
          <cell r="F648"/>
        </row>
        <row r="649">
          <cell r="A649"/>
          <cell r="B649"/>
          <cell r="C649"/>
          <cell r="D649"/>
          <cell r="E649"/>
          <cell r="F649"/>
        </row>
        <row r="650">
          <cell r="A650"/>
          <cell r="B650"/>
          <cell r="C650"/>
          <cell r="D650"/>
          <cell r="E650"/>
          <cell r="F650"/>
        </row>
        <row r="651">
          <cell r="A651"/>
          <cell r="B651"/>
          <cell r="C651"/>
          <cell r="D651"/>
          <cell r="E651"/>
          <cell r="F651"/>
        </row>
        <row r="652">
          <cell r="A652"/>
          <cell r="B652"/>
          <cell r="C652"/>
          <cell r="D652"/>
          <cell r="E652"/>
          <cell r="F652"/>
        </row>
        <row r="653">
          <cell r="A653"/>
          <cell r="B653"/>
          <cell r="C653"/>
          <cell r="D653"/>
          <cell r="E653"/>
          <cell r="F653"/>
        </row>
        <row r="654">
          <cell r="A654"/>
          <cell r="B654"/>
          <cell r="C654"/>
          <cell r="D654"/>
          <cell r="E654"/>
          <cell r="F654"/>
        </row>
        <row r="655">
          <cell r="A655"/>
          <cell r="B655"/>
          <cell r="C655"/>
          <cell r="D655"/>
          <cell r="E655"/>
          <cell r="F655"/>
        </row>
        <row r="656">
          <cell r="A656"/>
          <cell r="B656"/>
          <cell r="C656"/>
          <cell r="D656"/>
          <cell r="E656"/>
          <cell r="F656"/>
        </row>
        <row r="657">
          <cell r="A657"/>
          <cell r="B657"/>
          <cell r="C657"/>
          <cell r="D657"/>
          <cell r="E657"/>
          <cell r="F657"/>
        </row>
        <row r="658">
          <cell r="A658"/>
          <cell r="B658"/>
          <cell r="C658"/>
          <cell r="D658"/>
          <cell r="E658"/>
          <cell r="F658"/>
        </row>
        <row r="659">
          <cell r="A659"/>
          <cell r="B659"/>
          <cell r="C659"/>
          <cell r="D659"/>
          <cell r="E659"/>
          <cell r="F659"/>
        </row>
        <row r="660">
          <cell r="A660"/>
          <cell r="B660"/>
          <cell r="C660"/>
          <cell r="D660"/>
          <cell r="E660"/>
          <cell r="F660"/>
        </row>
        <row r="661">
          <cell r="A661"/>
          <cell r="B661"/>
          <cell r="C661"/>
          <cell r="D661"/>
          <cell r="E661"/>
          <cell r="F661"/>
        </row>
        <row r="662">
          <cell r="A662"/>
          <cell r="B662"/>
          <cell r="C662"/>
          <cell r="D662"/>
          <cell r="E662"/>
          <cell r="F662"/>
        </row>
        <row r="663">
          <cell r="A663"/>
          <cell r="B663"/>
          <cell r="C663"/>
          <cell r="D663"/>
          <cell r="E663"/>
          <cell r="F663"/>
        </row>
        <row r="664">
          <cell r="A664"/>
          <cell r="B664"/>
          <cell r="C664"/>
          <cell r="D664"/>
          <cell r="E664"/>
          <cell r="F664"/>
        </row>
        <row r="665">
          <cell r="A665"/>
          <cell r="B665"/>
          <cell r="C665"/>
          <cell r="D665"/>
          <cell r="E665"/>
          <cell r="F665"/>
        </row>
        <row r="666">
          <cell r="A666"/>
          <cell r="B666"/>
          <cell r="C666"/>
          <cell r="D666"/>
          <cell r="E666"/>
          <cell r="F666"/>
        </row>
        <row r="667">
          <cell r="A667"/>
          <cell r="B667"/>
          <cell r="C667"/>
          <cell r="D667"/>
          <cell r="E667"/>
          <cell r="F667"/>
        </row>
        <row r="668">
          <cell r="A668"/>
          <cell r="B668"/>
          <cell r="C668"/>
          <cell r="D668"/>
          <cell r="E668"/>
          <cell r="F668"/>
        </row>
        <row r="669">
          <cell r="A669"/>
          <cell r="B669"/>
          <cell r="C669"/>
          <cell r="D669"/>
          <cell r="E669"/>
          <cell r="F669"/>
        </row>
        <row r="670">
          <cell r="A670"/>
          <cell r="B670"/>
          <cell r="C670"/>
          <cell r="D670"/>
          <cell r="E670"/>
          <cell r="F670"/>
        </row>
        <row r="671">
          <cell r="A671"/>
          <cell r="B671"/>
          <cell r="C671"/>
          <cell r="D671"/>
          <cell r="E671"/>
          <cell r="F671"/>
        </row>
        <row r="672">
          <cell r="A672"/>
          <cell r="B672"/>
          <cell r="C672"/>
          <cell r="D672"/>
          <cell r="E672"/>
          <cell r="F672"/>
        </row>
        <row r="673">
          <cell r="A673"/>
          <cell r="B673"/>
          <cell r="C673"/>
          <cell r="D673"/>
          <cell r="E673"/>
          <cell r="F673"/>
        </row>
        <row r="674">
          <cell r="A674"/>
          <cell r="B674"/>
          <cell r="C674"/>
          <cell r="D674"/>
          <cell r="E674"/>
          <cell r="F674"/>
        </row>
        <row r="675">
          <cell r="A675"/>
          <cell r="B675"/>
          <cell r="C675"/>
          <cell r="D675"/>
          <cell r="E675"/>
          <cell r="F675"/>
        </row>
        <row r="676">
          <cell r="A676"/>
          <cell r="B676"/>
          <cell r="C676"/>
          <cell r="D676"/>
          <cell r="E676"/>
          <cell r="F676"/>
        </row>
        <row r="677">
          <cell r="A677"/>
          <cell r="B677"/>
          <cell r="C677"/>
          <cell r="D677"/>
          <cell r="E677"/>
          <cell r="F677"/>
        </row>
        <row r="678">
          <cell r="A678"/>
          <cell r="B678"/>
          <cell r="C678"/>
          <cell r="D678"/>
          <cell r="E678"/>
          <cell r="F678"/>
        </row>
        <row r="679">
          <cell r="A679"/>
          <cell r="B679"/>
          <cell r="C679"/>
          <cell r="D679"/>
          <cell r="E679"/>
          <cell r="F679"/>
        </row>
        <row r="680">
          <cell r="A680"/>
          <cell r="B680"/>
          <cell r="C680"/>
          <cell r="D680"/>
          <cell r="E680"/>
          <cell r="F680"/>
        </row>
        <row r="681">
          <cell r="A681"/>
          <cell r="B681"/>
          <cell r="C681"/>
          <cell r="D681"/>
          <cell r="E681"/>
          <cell r="F681"/>
        </row>
        <row r="682">
          <cell r="A682"/>
          <cell r="B682"/>
          <cell r="C682"/>
          <cell r="D682"/>
          <cell r="E682"/>
          <cell r="F682"/>
        </row>
        <row r="683">
          <cell r="A683"/>
          <cell r="B683"/>
          <cell r="C683"/>
          <cell r="D683"/>
          <cell r="E683"/>
          <cell r="F683"/>
        </row>
        <row r="684">
          <cell r="A684"/>
          <cell r="B684"/>
          <cell r="C684"/>
          <cell r="D684"/>
          <cell r="E684"/>
          <cell r="F684"/>
        </row>
        <row r="685">
          <cell r="A685"/>
          <cell r="B685"/>
          <cell r="C685"/>
          <cell r="D685"/>
          <cell r="E685"/>
          <cell r="F685"/>
        </row>
        <row r="686">
          <cell r="A686"/>
          <cell r="B686"/>
          <cell r="C686"/>
          <cell r="D686"/>
          <cell r="E686"/>
          <cell r="F686"/>
        </row>
        <row r="687">
          <cell r="A687"/>
          <cell r="B687"/>
          <cell r="C687"/>
          <cell r="D687"/>
          <cell r="E687"/>
          <cell r="F687"/>
        </row>
        <row r="688">
          <cell r="A688"/>
          <cell r="B688"/>
          <cell r="C688"/>
          <cell r="D688"/>
          <cell r="E688"/>
          <cell r="F688"/>
        </row>
        <row r="689">
          <cell r="A689"/>
          <cell r="B689"/>
          <cell r="C689"/>
          <cell r="D689"/>
          <cell r="E689"/>
          <cell r="F689"/>
        </row>
        <row r="690">
          <cell r="A690"/>
          <cell r="B690"/>
          <cell r="C690"/>
          <cell r="D690"/>
          <cell r="E690"/>
          <cell r="F690"/>
        </row>
        <row r="691">
          <cell r="A691"/>
          <cell r="B691"/>
          <cell r="C691"/>
          <cell r="D691"/>
          <cell r="E691"/>
          <cell r="F691"/>
        </row>
        <row r="692">
          <cell r="A692"/>
          <cell r="B692"/>
          <cell r="C692"/>
          <cell r="D692"/>
          <cell r="E692"/>
          <cell r="F692"/>
        </row>
        <row r="693">
          <cell r="A693"/>
          <cell r="B693"/>
          <cell r="C693"/>
          <cell r="D693"/>
          <cell r="E693"/>
          <cell r="F693"/>
        </row>
        <row r="694">
          <cell r="A694"/>
          <cell r="B694"/>
          <cell r="C694"/>
          <cell r="D694"/>
          <cell r="E694"/>
          <cell r="F694"/>
        </row>
        <row r="695">
          <cell r="A695"/>
          <cell r="B695"/>
          <cell r="C695"/>
          <cell r="D695"/>
          <cell r="E695"/>
          <cell r="F695"/>
        </row>
        <row r="696">
          <cell r="A696"/>
          <cell r="B696"/>
          <cell r="C696"/>
          <cell r="D696"/>
          <cell r="E696"/>
          <cell r="F696"/>
        </row>
        <row r="697">
          <cell r="A697"/>
          <cell r="B697"/>
          <cell r="C697"/>
          <cell r="D697"/>
          <cell r="E697"/>
          <cell r="F697"/>
        </row>
        <row r="698">
          <cell r="A698"/>
          <cell r="B698"/>
          <cell r="C698"/>
          <cell r="D698"/>
          <cell r="E698"/>
          <cell r="F698"/>
        </row>
        <row r="699">
          <cell r="A699"/>
          <cell r="B699"/>
          <cell r="C699"/>
          <cell r="D699"/>
          <cell r="E699"/>
          <cell r="F699"/>
        </row>
        <row r="700">
          <cell r="A700"/>
          <cell r="B700"/>
          <cell r="C700"/>
          <cell r="D700"/>
          <cell r="E700"/>
          <cell r="F700"/>
        </row>
        <row r="701">
          <cell r="A701"/>
          <cell r="B701"/>
          <cell r="C701"/>
          <cell r="D701"/>
          <cell r="E701"/>
          <cell r="F701"/>
        </row>
        <row r="702">
          <cell r="A702"/>
          <cell r="B702"/>
          <cell r="C702"/>
          <cell r="D702"/>
          <cell r="E702"/>
          <cell r="F702"/>
        </row>
        <row r="703">
          <cell r="A703"/>
          <cell r="B703"/>
          <cell r="C703"/>
          <cell r="D703"/>
          <cell r="E703"/>
          <cell r="F703"/>
        </row>
        <row r="704">
          <cell r="A704"/>
          <cell r="B704"/>
          <cell r="C704"/>
          <cell r="D704"/>
          <cell r="E704"/>
          <cell r="F704"/>
        </row>
        <row r="705">
          <cell r="A705"/>
          <cell r="B705"/>
          <cell r="C705"/>
          <cell r="D705"/>
          <cell r="E705"/>
          <cell r="F705"/>
        </row>
        <row r="706">
          <cell r="A706"/>
          <cell r="B706"/>
          <cell r="C706"/>
          <cell r="D706"/>
          <cell r="E706"/>
          <cell r="F706"/>
        </row>
        <row r="707">
          <cell r="A707"/>
          <cell r="B707"/>
          <cell r="C707"/>
          <cell r="D707"/>
          <cell r="E707"/>
          <cell r="F707"/>
        </row>
        <row r="708">
          <cell r="A708"/>
          <cell r="B708"/>
          <cell r="C708"/>
          <cell r="D708"/>
          <cell r="E708"/>
          <cell r="F708"/>
        </row>
        <row r="709">
          <cell r="A709"/>
          <cell r="B709"/>
          <cell r="C709"/>
          <cell r="D709"/>
          <cell r="E709"/>
          <cell r="F709"/>
        </row>
        <row r="710">
          <cell r="A710"/>
          <cell r="B710"/>
          <cell r="C710"/>
          <cell r="D710"/>
          <cell r="E710"/>
          <cell r="F710"/>
        </row>
        <row r="711">
          <cell r="A711"/>
          <cell r="B711"/>
          <cell r="C711"/>
          <cell r="D711"/>
          <cell r="E711"/>
          <cell r="F711"/>
        </row>
        <row r="712">
          <cell r="A712"/>
          <cell r="B712"/>
          <cell r="C712"/>
          <cell r="D712"/>
          <cell r="E712"/>
          <cell r="F712"/>
        </row>
        <row r="713">
          <cell r="A713"/>
          <cell r="B713"/>
          <cell r="C713"/>
          <cell r="D713"/>
          <cell r="E713"/>
          <cell r="F713"/>
        </row>
        <row r="714">
          <cell r="A714"/>
          <cell r="B714"/>
          <cell r="C714"/>
          <cell r="D714"/>
          <cell r="E714"/>
          <cell r="F714"/>
        </row>
        <row r="715">
          <cell r="A715"/>
          <cell r="B715"/>
          <cell r="C715"/>
          <cell r="D715"/>
          <cell r="E715"/>
          <cell r="F715"/>
        </row>
        <row r="716">
          <cell r="A716"/>
          <cell r="B716"/>
          <cell r="C716"/>
          <cell r="D716"/>
          <cell r="E716"/>
          <cell r="F716"/>
        </row>
        <row r="717">
          <cell r="A717"/>
          <cell r="B717"/>
          <cell r="C717"/>
          <cell r="D717"/>
          <cell r="E717"/>
          <cell r="F717"/>
        </row>
        <row r="718">
          <cell r="A718"/>
          <cell r="B718"/>
          <cell r="C718"/>
          <cell r="D718"/>
          <cell r="E718"/>
          <cell r="F718"/>
        </row>
        <row r="719">
          <cell r="A719"/>
          <cell r="B719"/>
          <cell r="C719"/>
          <cell r="D719"/>
          <cell r="E719"/>
          <cell r="F719"/>
        </row>
        <row r="720">
          <cell r="A720"/>
          <cell r="B720"/>
          <cell r="C720"/>
          <cell r="D720"/>
          <cell r="E720"/>
          <cell r="F720"/>
        </row>
        <row r="721">
          <cell r="A721"/>
          <cell r="B721"/>
          <cell r="C721"/>
          <cell r="D721"/>
          <cell r="E721"/>
          <cell r="F721"/>
        </row>
        <row r="722">
          <cell r="A722"/>
          <cell r="B722"/>
          <cell r="C722"/>
          <cell r="D722"/>
          <cell r="E722"/>
          <cell r="F722"/>
        </row>
        <row r="723">
          <cell r="A723"/>
          <cell r="B723"/>
          <cell r="C723"/>
          <cell r="D723"/>
          <cell r="E723"/>
          <cell r="F723"/>
        </row>
        <row r="724">
          <cell r="A724"/>
          <cell r="B724"/>
          <cell r="C724"/>
          <cell r="D724"/>
          <cell r="E724"/>
          <cell r="F724"/>
        </row>
        <row r="725">
          <cell r="A725"/>
          <cell r="B725"/>
          <cell r="C725"/>
          <cell r="D725"/>
          <cell r="E725"/>
          <cell r="F725"/>
        </row>
        <row r="726">
          <cell r="A726"/>
          <cell r="B726"/>
          <cell r="C726"/>
          <cell r="D726"/>
          <cell r="E726"/>
          <cell r="F726"/>
        </row>
        <row r="727">
          <cell r="A727"/>
          <cell r="B727"/>
          <cell r="C727"/>
          <cell r="D727"/>
          <cell r="E727"/>
          <cell r="F727"/>
        </row>
        <row r="728">
          <cell r="A728"/>
          <cell r="B728"/>
          <cell r="C728"/>
          <cell r="D728"/>
          <cell r="E728"/>
          <cell r="F728"/>
        </row>
        <row r="729">
          <cell r="A729"/>
          <cell r="B729"/>
          <cell r="C729"/>
          <cell r="D729"/>
          <cell r="E729"/>
          <cell r="F729"/>
        </row>
        <row r="730">
          <cell r="A730"/>
          <cell r="B730"/>
          <cell r="C730"/>
          <cell r="D730"/>
          <cell r="E730"/>
          <cell r="F730"/>
        </row>
        <row r="731">
          <cell r="A731"/>
          <cell r="B731"/>
          <cell r="C731"/>
          <cell r="D731"/>
          <cell r="E731"/>
          <cell r="F731"/>
        </row>
        <row r="732">
          <cell r="A732"/>
          <cell r="B732"/>
          <cell r="C732"/>
          <cell r="D732"/>
          <cell r="E732"/>
          <cell r="F732"/>
        </row>
        <row r="733">
          <cell r="A733"/>
          <cell r="B733"/>
          <cell r="C733"/>
          <cell r="D733"/>
          <cell r="E733"/>
          <cell r="F733"/>
        </row>
        <row r="734">
          <cell r="A734"/>
          <cell r="B734"/>
          <cell r="C734"/>
          <cell r="D734"/>
          <cell r="E734"/>
          <cell r="F734"/>
        </row>
        <row r="735">
          <cell r="A735"/>
          <cell r="B735"/>
          <cell r="C735"/>
          <cell r="D735"/>
          <cell r="E735"/>
          <cell r="F735"/>
        </row>
        <row r="736">
          <cell r="A736"/>
          <cell r="B736"/>
          <cell r="C736"/>
          <cell r="D736"/>
          <cell r="E736"/>
          <cell r="F736"/>
        </row>
        <row r="737">
          <cell r="A737"/>
          <cell r="B737"/>
          <cell r="C737"/>
          <cell r="D737"/>
          <cell r="E737"/>
          <cell r="F737"/>
        </row>
        <row r="738">
          <cell r="A738"/>
          <cell r="B738"/>
          <cell r="C738"/>
          <cell r="D738"/>
          <cell r="E738"/>
          <cell r="F738"/>
        </row>
        <row r="739">
          <cell r="A739"/>
          <cell r="B739"/>
          <cell r="C739"/>
          <cell r="D739"/>
          <cell r="E739"/>
          <cell r="F739"/>
        </row>
        <row r="740">
          <cell r="A740"/>
          <cell r="B740"/>
          <cell r="C740"/>
          <cell r="D740"/>
          <cell r="E740"/>
          <cell r="F740"/>
        </row>
        <row r="741">
          <cell r="A741"/>
          <cell r="B741"/>
          <cell r="C741"/>
          <cell r="D741"/>
          <cell r="E741"/>
          <cell r="F741"/>
        </row>
        <row r="742">
          <cell r="A742"/>
          <cell r="B742"/>
          <cell r="C742"/>
          <cell r="D742"/>
          <cell r="E742"/>
          <cell r="F742"/>
        </row>
        <row r="743">
          <cell r="A743"/>
          <cell r="B743"/>
          <cell r="C743"/>
          <cell r="D743"/>
          <cell r="E743"/>
          <cell r="F743"/>
        </row>
        <row r="744">
          <cell r="A744"/>
          <cell r="B744"/>
          <cell r="C744"/>
          <cell r="D744"/>
          <cell r="E744"/>
          <cell r="F744"/>
        </row>
        <row r="745">
          <cell r="A745"/>
          <cell r="B745"/>
          <cell r="C745"/>
          <cell r="D745"/>
          <cell r="E745"/>
          <cell r="F745"/>
        </row>
        <row r="746">
          <cell r="A746"/>
          <cell r="B746"/>
          <cell r="C746"/>
          <cell r="D746"/>
          <cell r="E746"/>
          <cell r="F746"/>
        </row>
        <row r="747">
          <cell r="A747"/>
          <cell r="B747"/>
          <cell r="C747"/>
          <cell r="D747"/>
          <cell r="E747"/>
          <cell r="F747"/>
        </row>
        <row r="748">
          <cell r="A748"/>
          <cell r="B748"/>
          <cell r="C748"/>
          <cell r="D748"/>
          <cell r="E748"/>
          <cell r="F748"/>
        </row>
        <row r="749">
          <cell r="A749"/>
          <cell r="B749"/>
          <cell r="C749"/>
          <cell r="D749"/>
          <cell r="E749"/>
          <cell r="F749"/>
        </row>
        <row r="750">
          <cell r="A750"/>
          <cell r="B750"/>
          <cell r="C750"/>
          <cell r="D750"/>
          <cell r="E750"/>
          <cell r="F750"/>
        </row>
        <row r="751">
          <cell r="A751"/>
          <cell r="B751"/>
          <cell r="C751"/>
          <cell r="D751"/>
          <cell r="E751"/>
          <cell r="F751"/>
        </row>
        <row r="752">
          <cell r="A752"/>
          <cell r="B752"/>
          <cell r="C752"/>
          <cell r="D752"/>
          <cell r="E752"/>
          <cell r="F752"/>
        </row>
        <row r="753">
          <cell r="A753"/>
          <cell r="B753"/>
          <cell r="C753"/>
          <cell r="D753"/>
          <cell r="E753"/>
          <cell r="F753"/>
        </row>
        <row r="754">
          <cell r="A754"/>
          <cell r="B754"/>
          <cell r="C754"/>
          <cell r="D754"/>
          <cell r="E754"/>
          <cell r="F754"/>
        </row>
        <row r="755">
          <cell r="A755"/>
          <cell r="B755"/>
          <cell r="C755"/>
          <cell r="D755"/>
          <cell r="E755"/>
          <cell r="F755"/>
        </row>
        <row r="756">
          <cell r="A756"/>
          <cell r="B756"/>
          <cell r="C756"/>
          <cell r="D756"/>
          <cell r="E756"/>
          <cell r="F756"/>
        </row>
        <row r="757">
          <cell r="A757"/>
          <cell r="B757"/>
          <cell r="C757"/>
          <cell r="D757"/>
          <cell r="E757"/>
          <cell r="F757"/>
        </row>
        <row r="758">
          <cell r="A758"/>
          <cell r="B758"/>
          <cell r="C758"/>
          <cell r="D758"/>
          <cell r="E758"/>
          <cell r="F758"/>
        </row>
        <row r="759">
          <cell r="A759"/>
          <cell r="B759"/>
          <cell r="C759"/>
          <cell r="D759"/>
          <cell r="E759"/>
          <cell r="F759"/>
        </row>
        <row r="760">
          <cell r="A760"/>
          <cell r="B760"/>
          <cell r="C760"/>
          <cell r="D760"/>
          <cell r="E760"/>
          <cell r="F760"/>
        </row>
        <row r="761">
          <cell r="A761"/>
          <cell r="B761"/>
          <cell r="C761"/>
          <cell r="D761"/>
          <cell r="E761"/>
          <cell r="F761"/>
        </row>
        <row r="762">
          <cell r="A762"/>
          <cell r="B762"/>
          <cell r="C762"/>
          <cell r="D762"/>
          <cell r="E762"/>
          <cell r="F762"/>
        </row>
        <row r="763">
          <cell r="A763"/>
          <cell r="B763"/>
          <cell r="C763"/>
          <cell r="D763"/>
          <cell r="E763"/>
          <cell r="F763"/>
        </row>
        <row r="764">
          <cell r="A764"/>
          <cell r="B764"/>
          <cell r="C764"/>
          <cell r="D764"/>
          <cell r="E764"/>
          <cell r="F764"/>
        </row>
        <row r="765">
          <cell r="A765"/>
          <cell r="B765"/>
          <cell r="C765"/>
          <cell r="D765"/>
          <cell r="E765"/>
          <cell r="F765"/>
        </row>
        <row r="766">
          <cell r="A766"/>
          <cell r="B766"/>
          <cell r="C766"/>
          <cell r="D766"/>
          <cell r="E766"/>
          <cell r="F766"/>
        </row>
        <row r="767">
          <cell r="A767"/>
          <cell r="B767"/>
          <cell r="C767"/>
          <cell r="D767"/>
          <cell r="E767"/>
          <cell r="F767"/>
        </row>
        <row r="768">
          <cell r="A768"/>
          <cell r="B768"/>
          <cell r="C768"/>
          <cell r="D768"/>
          <cell r="E768"/>
          <cell r="F768"/>
        </row>
        <row r="769">
          <cell r="A769"/>
          <cell r="B769"/>
          <cell r="C769"/>
          <cell r="D769"/>
          <cell r="E769"/>
          <cell r="F769"/>
        </row>
        <row r="770">
          <cell r="A770"/>
          <cell r="B770"/>
          <cell r="C770"/>
          <cell r="D770"/>
          <cell r="E770"/>
          <cell r="F770"/>
        </row>
        <row r="771">
          <cell r="A771"/>
          <cell r="B771"/>
          <cell r="C771"/>
          <cell r="D771"/>
          <cell r="E771"/>
          <cell r="F771"/>
        </row>
        <row r="772">
          <cell r="A772"/>
          <cell r="B772"/>
          <cell r="C772"/>
          <cell r="D772"/>
          <cell r="E772"/>
          <cell r="F772"/>
        </row>
        <row r="773">
          <cell r="A773"/>
          <cell r="B773"/>
          <cell r="C773"/>
          <cell r="D773"/>
          <cell r="E773"/>
          <cell r="F773"/>
        </row>
        <row r="774">
          <cell r="A774"/>
          <cell r="B774"/>
          <cell r="C774"/>
          <cell r="D774"/>
          <cell r="E774"/>
          <cell r="F774"/>
        </row>
        <row r="775">
          <cell r="A775"/>
          <cell r="B775"/>
          <cell r="C775"/>
          <cell r="D775"/>
          <cell r="E775"/>
          <cell r="F775"/>
        </row>
        <row r="776">
          <cell r="A776"/>
          <cell r="B776"/>
          <cell r="C776"/>
          <cell r="D776"/>
          <cell r="E776"/>
          <cell r="F776"/>
        </row>
        <row r="777">
          <cell r="A777"/>
          <cell r="B777"/>
          <cell r="C777"/>
          <cell r="D777"/>
          <cell r="E777"/>
          <cell r="F777"/>
        </row>
        <row r="778">
          <cell r="A778"/>
          <cell r="B778"/>
          <cell r="C778"/>
          <cell r="D778"/>
          <cell r="E778"/>
          <cell r="F778"/>
        </row>
        <row r="779">
          <cell r="A779"/>
          <cell r="B779"/>
          <cell r="C779"/>
          <cell r="D779"/>
          <cell r="E779"/>
          <cell r="F779"/>
        </row>
        <row r="780">
          <cell r="A780"/>
          <cell r="B780"/>
          <cell r="C780"/>
          <cell r="D780"/>
          <cell r="E780"/>
          <cell r="F780"/>
        </row>
        <row r="781">
          <cell r="A781"/>
          <cell r="B781"/>
          <cell r="C781"/>
          <cell r="D781"/>
          <cell r="E781"/>
          <cell r="F781"/>
        </row>
        <row r="782">
          <cell r="A782"/>
          <cell r="B782"/>
          <cell r="C782"/>
          <cell r="D782"/>
          <cell r="E782"/>
          <cell r="F782"/>
        </row>
        <row r="783">
          <cell r="A783"/>
          <cell r="B783"/>
          <cell r="C783"/>
          <cell r="D783"/>
          <cell r="E783"/>
          <cell r="F783"/>
        </row>
        <row r="784">
          <cell r="A784"/>
          <cell r="B784"/>
          <cell r="C784"/>
          <cell r="D784"/>
          <cell r="E784"/>
          <cell r="F784"/>
        </row>
        <row r="785">
          <cell r="A785"/>
          <cell r="B785"/>
          <cell r="C785"/>
          <cell r="D785"/>
          <cell r="E785"/>
          <cell r="F785"/>
        </row>
        <row r="786">
          <cell r="A786"/>
          <cell r="B786"/>
          <cell r="C786"/>
          <cell r="D786"/>
          <cell r="E786"/>
          <cell r="F786"/>
        </row>
        <row r="787">
          <cell r="A787"/>
          <cell r="B787"/>
          <cell r="C787"/>
          <cell r="D787"/>
          <cell r="E787"/>
          <cell r="F787"/>
        </row>
        <row r="788">
          <cell r="A788"/>
          <cell r="B788"/>
          <cell r="C788"/>
          <cell r="D788"/>
          <cell r="E788"/>
          <cell r="F788"/>
        </row>
        <row r="789">
          <cell r="A789"/>
          <cell r="B789"/>
          <cell r="C789"/>
          <cell r="D789"/>
          <cell r="E789"/>
          <cell r="F789"/>
        </row>
        <row r="790">
          <cell r="A790"/>
          <cell r="B790"/>
          <cell r="C790"/>
          <cell r="D790"/>
          <cell r="E790"/>
          <cell r="F790"/>
        </row>
        <row r="791">
          <cell r="A791"/>
          <cell r="B791"/>
          <cell r="C791"/>
          <cell r="D791"/>
          <cell r="E791"/>
          <cell r="F791"/>
        </row>
        <row r="792">
          <cell r="A792"/>
          <cell r="B792"/>
          <cell r="C792"/>
          <cell r="D792"/>
          <cell r="E792"/>
          <cell r="F792"/>
        </row>
        <row r="793">
          <cell r="A793"/>
          <cell r="B793"/>
          <cell r="C793"/>
          <cell r="D793"/>
          <cell r="E793"/>
          <cell r="F793"/>
        </row>
        <row r="794">
          <cell r="A794"/>
          <cell r="B794"/>
          <cell r="C794"/>
          <cell r="D794"/>
          <cell r="E794"/>
          <cell r="F794"/>
        </row>
        <row r="795">
          <cell r="A795"/>
          <cell r="B795"/>
          <cell r="C795"/>
          <cell r="D795"/>
          <cell r="E795"/>
          <cell r="F795"/>
        </row>
        <row r="796">
          <cell r="A796"/>
          <cell r="B796"/>
          <cell r="C796"/>
          <cell r="D796"/>
          <cell r="E796"/>
          <cell r="F796"/>
        </row>
        <row r="797">
          <cell r="A797"/>
          <cell r="B797"/>
          <cell r="C797"/>
          <cell r="D797"/>
          <cell r="E797"/>
          <cell r="F797"/>
        </row>
        <row r="798">
          <cell r="A798"/>
          <cell r="B798"/>
          <cell r="C798"/>
          <cell r="D798"/>
          <cell r="E798"/>
          <cell r="F798"/>
        </row>
        <row r="799">
          <cell r="A799"/>
          <cell r="B799"/>
          <cell r="C799"/>
          <cell r="D799"/>
          <cell r="E799"/>
          <cell r="F799"/>
        </row>
        <row r="800">
          <cell r="A800"/>
          <cell r="B800"/>
          <cell r="C800"/>
          <cell r="D800"/>
          <cell r="E800"/>
          <cell r="F800"/>
        </row>
        <row r="801">
          <cell r="A801"/>
          <cell r="B801"/>
          <cell r="C801"/>
          <cell r="D801"/>
          <cell r="E801"/>
          <cell r="F801"/>
        </row>
        <row r="802">
          <cell r="A802"/>
          <cell r="B802"/>
          <cell r="C802"/>
          <cell r="D802"/>
          <cell r="E802"/>
          <cell r="F802"/>
        </row>
        <row r="803">
          <cell r="A803"/>
          <cell r="B803"/>
          <cell r="C803"/>
          <cell r="D803"/>
          <cell r="E803"/>
          <cell r="F803"/>
        </row>
        <row r="804">
          <cell r="A804"/>
          <cell r="B804"/>
          <cell r="C804"/>
          <cell r="D804"/>
          <cell r="E804"/>
          <cell r="F804"/>
        </row>
        <row r="805">
          <cell r="A805"/>
          <cell r="B805"/>
          <cell r="C805"/>
          <cell r="D805"/>
          <cell r="E805"/>
          <cell r="F805"/>
        </row>
        <row r="806">
          <cell r="A806"/>
          <cell r="B806"/>
          <cell r="C806"/>
          <cell r="D806"/>
          <cell r="E806"/>
          <cell r="F806"/>
        </row>
        <row r="807">
          <cell r="A807"/>
          <cell r="B807"/>
          <cell r="C807"/>
          <cell r="D807"/>
          <cell r="E807"/>
          <cell r="F807"/>
        </row>
        <row r="808">
          <cell r="A808"/>
          <cell r="B808"/>
          <cell r="C808"/>
          <cell r="D808"/>
          <cell r="E808"/>
          <cell r="F808"/>
        </row>
        <row r="809">
          <cell r="A809"/>
          <cell r="B809"/>
          <cell r="C809"/>
          <cell r="D809"/>
          <cell r="E809"/>
          <cell r="F809"/>
        </row>
        <row r="810">
          <cell r="A810"/>
          <cell r="B810"/>
          <cell r="C810"/>
          <cell r="D810"/>
          <cell r="E810"/>
          <cell r="F810"/>
        </row>
        <row r="811">
          <cell r="A811"/>
          <cell r="B811"/>
          <cell r="C811"/>
          <cell r="D811"/>
          <cell r="E811"/>
          <cell r="F811"/>
        </row>
        <row r="812">
          <cell r="A812"/>
          <cell r="B812"/>
          <cell r="C812"/>
          <cell r="D812"/>
          <cell r="E812"/>
          <cell r="F812"/>
        </row>
        <row r="813">
          <cell r="A813"/>
          <cell r="B813"/>
          <cell r="C813"/>
          <cell r="D813"/>
          <cell r="E813"/>
          <cell r="F813"/>
        </row>
        <row r="814">
          <cell r="A814"/>
          <cell r="B814"/>
          <cell r="C814"/>
          <cell r="D814"/>
          <cell r="E814"/>
          <cell r="F814"/>
        </row>
        <row r="815">
          <cell r="A815"/>
          <cell r="B815"/>
          <cell r="C815"/>
          <cell r="D815"/>
          <cell r="E815"/>
          <cell r="F815"/>
        </row>
        <row r="816">
          <cell r="A816"/>
          <cell r="B816"/>
          <cell r="C816"/>
          <cell r="D816"/>
          <cell r="E816"/>
          <cell r="F816"/>
        </row>
        <row r="817">
          <cell r="A817"/>
          <cell r="B817"/>
          <cell r="C817"/>
          <cell r="D817"/>
          <cell r="E817"/>
          <cell r="F817"/>
        </row>
        <row r="818">
          <cell r="A818"/>
          <cell r="B818"/>
          <cell r="C818"/>
          <cell r="D818"/>
          <cell r="E818"/>
          <cell r="F818"/>
        </row>
        <row r="819">
          <cell r="A819"/>
          <cell r="B819"/>
          <cell r="C819"/>
          <cell r="D819"/>
          <cell r="E819"/>
          <cell r="F819"/>
        </row>
        <row r="820">
          <cell r="A820"/>
          <cell r="B820"/>
          <cell r="C820"/>
          <cell r="D820"/>
          <cell r="E820"/>
          <cell r="F820"/>
        </row>
        <row r="821">
          <cell r="A821"/>
          <cell r="B821"/>
          <cell r="C821"/>
          <cell r="D821"/>
          <cell r="E821"/>
          <cell r="F821"/>
        </row>
        <row r="822">
          <cell r="A822"/>
          <cell r="B822"/>
          <cell r="C822"/>
          <cell r="D822"/>
          <cell r="E822"/>
          <cell r="F822"/>
        </row>
        <row r="823">
          <cell r="A823"/>
          <cell r="B823"/>
          <cell r="C823"/>
          <cell r="D823"/>
          <cell r="E823"/>
          <cell r="F823"/>
        </row>
        <row r="824">
          <cell r="A824"/>
          <cell r="B824"/>
          <cell r="C824"/>
          <cell r="D824"/>
          <cell r="E824"/>
          <cell r="F824"/>
        </row>
        <row r="825">
          <cell r="A825"/>
          <cell r="B825"/>
          <cell r="C825"/>
          <cell r="D825"/>
          <cell r="E825"/>
          <cell r="F825"/>
        </row>
        <row r="826">
          <cell r="A826"/>
          <cell r="B826"/>
          <cell r="C826"/>
          <cell r="D826"/>
          <cell r="E826"/>
          <cell r="F826"/>
        </row>
        <row r="827">
          <cell r="A827"/>
          <cell r="B827"/>
          <cell r="C827"/>
          <cell r="D827"/>
          <cell r="E827"/>
          <cell r="F827"/>
        </row>
        <row r="828">
          <cell r="A828"/>
          <cell r="B828"/>
          <cell r="C828"/>
          <cell r="D828"/>
          <cell r="E828"/>
          <cell r="F828"/>
        </row>
        <row r="829">
          <cell r="A829"/>
          <cell r="B829"/>
          <cell r="C829"/>
          <cell r="D829"/>
          <cell r="E829"/>
          <cell r="F829"/>
        </row>
        <row r="830">
          <cell r="A830"/>
          <cell r="B830"/>
          <cell r="C830"/>
          <cell r="D830"/>
          <cell r="E830"/>
          <cell r="F830"/>
        </row>
        <row r="831">
          <cell r="A831"/>
          <cell r="B831"/>
          <cell r="C831"/>
          <cell r="D831"/>
          <cell r="E831"/>
          <cell r="F831"/>
        </row>
        <row r="832">
          <cell r="A832"/>
          <cell r="B832"/>
          <cell r="C832"/>
          <cell r="D832"/>
          <cell r="E832"/>
          <cell r="F832"/>
        </row>
        <row r="833">
          <cell r="A833"/>
          <cell r="B833"/>
          <cell r="C833"/>
          <cell r="D833"/>
          <cell r="E833"/>
          <cell r="F833"/>
        </row>
        <row r="834">
          <cell r="A834"/>
          <cell r="B834"/>
          <cell r="C834"/>
          <cell r="D834"/>
          <cell r="E834"/>
          <cell r="F834"/>
        </row>
        <row r="835">
          <cell r="A835"/>
          <cell r="B835"/>
          <cell r="C835"/>
          <cell r="D835"/>
          <cell r="E835"/>
          <cell r="F835"/>
        </row>
        <row r="836">
          <cell r="A836"/>
          <cell r="B836"/>
          <cell r="C836"/>
          <cell r="D836"/>
          <cell r="E836"/>
          <cell r="F836"/>
        </row>
        <row r="837">
          <cell r="A837"/>
          <cell r="B837"/>
          <cell r="C837"/>
          <cell r="D837"/>
          <cell r="E837"/>
          <cell r="F837"/>
        </row>
        <row r="838">
          <cell r="A838"/>
          <cell r="B838"/>
          <cell r="C838"/>
          <cell r="D838"/>
          <cell r="E838"/>
          <cell r="F838"/>
        </row>
        <row r="839">
          <cell r="A839"/>
          <cell r="B839"/>
          <cell r="C839"/>
          <cell r="D839"/>
          <cell r="E839"/>
          <cell r="F839"/>
        </row>
        <row r="840">
          <cell r="A840"/>
          <cell r="B840"/>
          <cell r="C840"/>
          <cell r="D840"/>
          <cell r="E840"/>
          <cell r="F840"/>
        </row>
        <row r="841">
          <cell r="A841"/>
          <cell r="B841"/>
          <cell r="C841"/>
          <cell r="D841"/>
          <cell r="E841"/>
          <cell r="F841"/>
        </row>
        <row r="842">
          <cell r="A842"/>
          <cell r="B842"/>
          <cell r="C842"/>
          <cell r="D842"/>
          <cell r="E842"/>
          <cell r="F842"/>
        </row>
        <row r="843">
          <cell r="A843"/>
          <cell r="B843"/>
          <cell r="C843"/>
          <cell r="D843"/>
          <cell r="E843"/>
          <cell r="F843"/>
        </row>
        <row r="844">
          <cell r="A844"/>
          <cell r="B844"/>
          <cell r="C844"/>
          <cell r="D844"/>
          <cell r="E844"/>
          <cell r="F844"/>
        </row>
        <row r="845">
          <cell r="A845"/>
          <cell r="B845"/>
          <cell r="C845"/>
          <cell r="D845"/>
          <cell r="E845"/>
          <cell r="F845"/>
        </row>
        <row r="846">
          <cell r="A846"/>
          <cell r="B846"/>
          <cell r="C846"/>
          <cell r="D846"/>
          <cell r="E846"/>
          <cell r="F846"/>
        </row>
        <row r="847">
          <cell r="A847"/>
          <cell r="B847"/>
          <cell r="C847"/>
          <cell r="D847"/>
          <cell r="E847"/>
          <cell r="F847"/>
        </row>
        <row r="848">
          <cell r="A848"/>
          <cell r="B848"/>
          <cell r="C848"/>
          <cell r="D848"/>
          <cell r="E848"/>
          <cell r="F848"/>
        </row>
        <row r="849">
          <cell r="A849"/>
          <cell r="B849"/>
          <cell r="C849"/>
          <cell r="D849"/>
          <cell r="E849"/>
          <cell r="F849"/>
        </row>
        <row r="850">
          <cell r="A850"/>
          <cell r="B850"/>
          <cell r="C850"/>
          <cell r="D850"/>
          <cell r="E850"/>
          <cell r="F850"/>
        </row>
        <row r="851">
          <cell r="A851"/>
          <cell r="B851"/>
          <cell r="C851"/>
          <cell r="D851"/>
          <cell r="E851"/>
          <cell r="F851"/>
        </row>
        <row r="852">
          <cell r="A852"/>
          <cell r="B852"/>
          <cell r="C852"/>
          <cell r="D852"/>
          <cell r="E852"/>
          <cell r="F852"/>
        </row>
        <row r="853">
          <cell r="A853"/>
          <cell r="B853"/>
          <cell r="C853"/>
          <cell r="D853"/>
          <cell r="E853"/>
          <cell r="F853"/>
        </row>
        <row r="854">
          <cell r="A854"/>
          <cell r="B854"/>
          <cell r="C854"/>
          <cell r="D854"/>
          <cell r="E854"/>
          <cell r="F854"/>
        </row>
        <row r="855">
          <cell r="A855"/>
          <cell r="B855"/>
          <cell r="C855"/>
          <cell r="D855"/>
          <cell r="E855"/>
          <cell r="F855"/>
        </row>
        <row r="856">
          <cell r="A856"/>
          <cell r="B856"/>
          <cell r="C856"/>
          <cell r="D856"/>
          <cell r="E856"/>
          <cell r="F856"/>
        </row>
        <row r="857">
          <cell r="A857"/>
          <cell r="B857"/>
          <cell r="C857"/>
          <cell r="D857"/>
          <cell r="E857"/>
          <cell r="F857"/>
        </row>
        <row r="858">
          <cell r="A858"/>
          <cell r="B858"/>
          <cell r="C858"/>
          <cell r="D858"/>
          <cell r="E858"/>
          <cell r="F858"/>
        </row>
        <row r="859">
          <cell r="A859"/>
          <cell r="B859"/>
          <cell r="C859"/>
          <cell r="D859"/>
          <cell r="E859"/>
          <cell r="F859"/>
        </row>
        <row r="860">
          <cell r="A860"/>
          <cell r="B860"/>
          <cell r="C860"/>
          <cell r="D860"/>
          <cell r="E860"/>
          <cell r="F860"/>
        </row>
        <row r="861">
          <cell r="A861"/>
          <cell r="B861"/>
          <cell r="C861"/>
          <cell r="D861"/>
          <cell r="E861"/>
          <cell r="F861"/>
        </row>
        <row r="862">
          <cell r="A862"/>
          <cell r="B862"/>
          <cell r="C862"/>
          <cell r="D862"/>
          <cell r="E862"/>
          <cell r="F862"/>
        </row>
        <row r="863">
          <cell r="A863"/>
          <cell r="B863"/>
          <cell r="C863"/>
          <cell r="D863"/>
          <cell r="E863"/>
          <cell r="F863"/>
        </row>
        <row r="864">
          <cell r="A864"/>
          <cell r="B864"/>
          <cell r="C864"/>
          <cell r="D864"/>
          <cell r="E864"/>
          <cell r="F864"/>
        </row>
        <row r="865">
          <cell r="A865"/>
          <cell r="B865"/>
          <cell r="C865"/>
          <cell r="D865"/>
          <cell r="E865"/>
          <cell r="F865"/>
        </row>
        <row r="866">
          <cell r="A866"/>
          <cell r="B866"/>
          <cell r="C866"/>
          <cell r="D866"/>
          <cell r="E866"/>
          <cell r="F866"/>
        </row>
        <row r="867">
          <cell r="A867"/>
          <cell r="B867"/>
          <cell r="C867"/>
          <cell r="D867"/>
          <cell r="E867"/>
          <cell r="F867"/>
        </row>
        <row r="868">
          <cell r="A868"/>
          <cell r="B868"/>
          <cell r="C868"/>
          <cell r="D868"/>
          <cell r="E868"/>
          <cell r="F868"/>
        </row>
        <row r="869">
          <cell r="A869"/>
          <cell r="B869"/>
          <cell r="C869"/>
          <cell r="D869"/>
          <cell r="E869"/>
          <cell r="F869"/>
        </row>
        <row r="870">
          <cell r="A870"/>
          <cell r="B870"/>
          <cell r="C870"/>
          <cell r="D870"/>
          <cell r="E870"/>
          <cell r="F870"/>
        </row>
        <row r="871">
          <cell r="A871"/>
          <cell r="B871"/>
          <cell r="C871"/>
          <cell r="D871"/>
          <cell r="E871"/>
          <cell r="F871"/>
        </row>
        <row r="872">
          <cell r="A872"/>
          <cell r="B872"/>
          <cell r="C872"/>
          <cell r="D872"/>
          <cell r="E872"/>
          <cell r="F872"/>
        </row>
        <row r="873">
          <cell r="A873"/>
          <cell r="B873"/>
          <cell r="C873"/>
          <cell r="D873"/>
          <cell r="E873"/>
          <cell r="F873"/>
        </row>
        <row r="874">
          <cell r="A874"/>
          <cell r="B874"/>
          <cell r="C874"/>
          <cell r="D874"/>
          <cell r="E874"/>
          <cell r="F874"/>
        </row>
        <row r="875">
          <cell r="A875"/>
          <cell r="B875"/>
          <cell r="C875"/>
          <cell r="D875"/>
          <cell r="E875"/>
          <cell r="F875"/>
        </row>
        <row r="876">
          <cell r="A876"/>
          <cell r="B876"/>
          <cell r="C876"/>
          <cell r="D876"/>
          <cell r="E876"/>
          <cell r="F876"/>
        </row>
        <row r="877">
          <cell r="A877"/>
          <cell r="B877"/>
          <cell r="C877"/>
          <cell r="D877"/>
          <cell r="E877"/>
          <cell r="F877"/>
        </row>
        <row r="878">
          <cell r="A878"/>
          <cell r="B878"/>
          <cell r="C878"/>
          <cell r="D878"/>
          <cell r="E878"/>
          <cell r="F878"/>
        </row>
        <row r="879">
          <cell r="A879"/>
          <cell r="B879"/>
          <cell r="C879"/>
          <cell r="D879"/>
          <cell r="E879"/>
          <cell r="F879"/>
        </row>
        <row r="880">
          <cell r="A880"/>
          <cell r="B880"/>
          <cell r="C880"/>
          <cell r="D880"/>
          <cell r="E880"/>
          <cell r="F880"/>
        </row>
        <row r="881">
          <cell r="A881"/>
          <cell r="B881"/>
          <cell r="C881"/>
          <cell r="D881"/>
          <cell r="E881"/>
          <cell r="F881"/>
        </row>
        <row r="882">
          <cell r="A882"/>
          <cell r="B882"/>
          <cell r="C882"/>
          <cell r="D882"/>
          <cell r="E882"/>
          <cell r="F882"/>
        </row>
        <row r="883">
          <cell r="A883"/>
          <cell r="B883"/>
          <cell r="C883"/>
          <cell r="D883"/>
          <cell r="E883"/>
          <cell r="F883"/>
        </row>
        <row r="884">
          <cell r="A884"/>
          <cell r="B884"/>
          <cell r="C884"/>
          <cell r="D884"/>
          <cell r="E884"/>
          <cell r="F884"/>
        </row>
        <row r="885">
          <cell r="A885"/>
          <cell r="B885"/>
          <cell r="C885"/>
          <cell r="D885"/>
          <cell r="E885"/>
          <cell r="F885"/>
        </row>
        <row r="886">
          <cell r="A886"/>
          <cell r="B886"/>
          <cell r="C886"/>
          <cell r="D886"/>
          <cell r="E886"/>
          <cell r="F886"/>
        </row>
        <row r="887">
          <cell r="A887"/>
          <cell r="B887"/>
          <cell r="C887"/>
          <cell r="D887"/>
          <cell r="E887"/>
          <cell r="F887"/>
        </row>
        <row r="888">
          <cell r="A888"/>
          <cell r="B888"/>
          <cell r="C888"/>
          <cell r="D888"/>
          <cell r="E888"/>
          <cell r="F888"/>
        </row>
        <row r="889">
          <cell r="A889"/>
          <cell r="B889"/>
          <cell r="C889"/>
          <cell r="D889"/>
          <cell r="E889"/>
          <cell r="F889"/>
        </row>
        <row r="890">
          <cell r="A890"/>
          <cell r="B890"/>
          <cell r="C890"/>
          <cell r="D890"/>
          <cell r="E890"/>
          <cell r="F890"/>
        </row>
        <row r="891">
          <cell r="A891"/>
          <cell r="B891"/>
          <cell r="C891"/>
          <cell r="D891"/>
          <cell r="E891"/>
          <cell r="F891"/>
        </row>
        <row r="892">
          <cell r="A892"/>
          <cell r="B892"/>
          <cell r="C892"/>
          <cell r="D892"/>
          <cell r="E892"/>
          <cell r="F892"/>
        </row>
        <row r="893">
          <cell r="A893"/>
          <cell r="B893"/>
          <cell r="C893"/>
          <cell r="D893"/>
          <cell r="E893"/>
          <cell r="F893"/>
        </row>
        <row r="894">
          <cell r="A894"/>
          <cell r="B894"/>
          <cell r="C894"/>
          <cell r="D894"/>
          <cell r="E894"/>
          <cell r="F894"/>
        </row>
        <row r="895">
          <cell r="A895"/>
          <cell r="B895"/>
          <cell r="C895"/>
          <cell r="D895"/>
          <cell r="E895"/>
          <cell r="F895"/>
        </row>
        <row r="896">
          <cell r="A896"/>
          <cell r="B896"/>
          <cell r="C896"/>
          <cell r="D896"/>
          <cell r="E896"/>
          <cell r="F896"/>
        </row>
        <row r="897">
          <cell r="A897"/>
          <cell r="B897"/>
          <cell r="C897"/>
          <cell r="D897"/>
          <cell r="E897"/>
          <cell r="F897"/>
        </row>
        <row r="898">
          <cell r="A898"/>
          <cell r="B898"/>
          <cell r="C898"/>
          <cell r="D898"/>
          <cell r="E898"/>
          <cell r="F898"/>
        </row>
        <row r="899">
          <cell r="A899"/>
          <cell r="B899"/>
          <cell r="C899"/>
          <cell r="D899"/>
          <cell r="E899"/>
          <cell r="F899"/>
        </row>
        <row r="900">
          <cell r="A900"/>
          <cell r="B900"/>
          <cell r="C900"/>
          <cell r="D900"/>
          <cell r="E900"/>
          <cell r="F900"/>
        </row>
        <row r="901">
          <cell r="A901"/>
          <cell r="B901"/>
          <cell r="C901"/>
          <cell r="D901"/>
          <cell r="E901"/>
          <cell r="F901"/>
        </row>
        <row r="902">
          <cell r="A902"/>
          <cell r="B902"/>
          <cell r="C902"/>
          <cell r="D902"/>
          <cell r="E902"/>
          <cell r="F902"/>
        </row>
        <row r="903">
          <cell r="A903"/>
          <cell r="B903"/>
          <cell r="C903"/>
          <cell r="D903"/>
          <cell r="E903"/>
          <cell r="F903"/>
        </row>
        <row r="904">
          <cell r="A904"/>
          <cell r="B904"/>
          <cell r="C904"/>
          <cell r="D904"/>
          <cell r="E904"/>
          <cell r="F904"/>
        </row>
        <row r="905">
          <cell r="A905"/>
          <cell r="B905"/>
          <cell r="C905"/>
          <cell r="D905"/>
          <cell r="E905"/>
          <cell r="F905"/>
        </row>
        <row r="906">
          <cell r="A906"/>
          <cell r="B906"/>
          <cell r="C906"/>
          <cell r="D906"/>
          <cell r="E906"/>
          <cell r="F906"/>
        </row>
        <row r="907">
          <cell r="A907"/>
          <cell r="B907"/>
          <cell r="C907"/>
          <cell r="D907"/>
          <cell r="E907"/>
          <cell r="F907"/>
        </row>
        <row r="908">
          <cell r="A908"/>
          <cell r="B908"/>
          <cell r="C908"/>
          <cell r="D908"/>
          <cell r="E908"/>
          <cell r="F908"/>
        </row>
        <row r="909">
          <cell r="A909"/>
          <cell r="B909"/>
          <cell r="C909"/>
          <cell r="D909"/>
          <cell r="E909"/>
          <cell r="F909"/>
        </row>
        <row r="910">
          <cell r="A910"/>
          <cell r="B910"/>
          <cell r="C910"/>
          <cell r="D910"/>
          <cell r="E910"/>
          <cell r="F910"/>
        </row>
        <row r="911">
          <cell r="A911"/>
          <cell r="B911"/>
          <cell r="C911"/>
          <cell r="D911"/>
          <cell r="E911"/>
          <cell r="F911"/>
        </row>
        <row r="912">
          <cell r="A912"/>
          <cell r="B912"/>
          <cell r="C912"/>
          <cell r="D912"/>
          <cell r="E912"/>
          <cell r="F912"/>
        </row>
        <row r="913">
          <cell r="A913"/>
          <cell r="B913"/>
          <cell r="C913"/>
          <cell r="D913"/>
          <cell r="E913"/>
          <cell r="F913"/>
        </row>
        <row r="914">
          <cell r="A914"/>
          <cell r="B914"/>
          <cell r="C914"/>
          <cell r="D914"/>
          <cell r="E914"/>
          <cell r="F914"/>
        </row>
        <row r="915">
          <cell r="A915"/>
          <cell r="B915"/>
          <cell r="C915"/>
          <cell r="D915"/>
          <cell r="E915"/>
          <cell r="F915"/>
        </row>
        <row r="916">
          <cell r="A916"/>
          <cell r="B916"/>
          <cell r="C916"/>
          <cell r="D916"/>
          <cell r="E916"/>
          <cell r="F916"/>
        </row>
        <row r="917">
          <cell r="A917"/>
          <cell r="B917"/>
          <cell r="C917"/>
          <cell r="D917"/>
          <cell r="E917"/>
          <cell r="F917"/>
        </row>
        <row r="918">
          <cell r="A918"/>
          <cell r="B918"/>
          <cell r="C918"/>
          <cell r="D918"/>
          <cell r="E918"/>
          <cell r="F918"/>
        </row>
        <row r="919">
          <cell r="A919"/>
          <cell r="B919"/>
          <cell r="C919"/>
          <cell r="D919"/>
          <cell r="E919"/>
          <cell r="F919"/>
        </row>
        <row r="920">
          <cell r="A920"/>
          <cell r="B920"/>
          <cell r="C920"/>
          <cell r="D920"/>
          <cell r="E920"/>
          <cell r="F920"/>
        </row>
        <row r="921">
          <cell r="A921"/>
          <cell r="B921"/>
          <cell r="C921"/>
          <cell r="D921"/>
          <cell r="E921"/>
          <cell r="F921"/>
        </row>
        <row r="922">
          <cell r="A922"/>
          <cell r="B922"/>
          <cell r="C922"/>
          <cell r="D922"/>
          <cell r="E922"/>
          <cell r="F922"/>
        </row>
        <row r="923">
          <cell r="A923"/>
          <cell r="B923"/>
          <cell r="C923"/>
          <cell r="D923"/>
          <cell r="E923"/>
          <cell r="F923"/>
        </row>
        <row r="924">
          <cell r="A924"/>
          <cell r="B924"/>
          <cell r="C924"/>
          <cell r="D924"/>
          <cell r="E924"/>
          <cell r="F924"/>
        </row>
        <row r="925">
          <cell r="A925"/>
          <cell r="B925"/>
          <cell r="C925"/>
          <cell r="D925"/>
          <cell r="E925"/>
          <cell r="F925"/>
        </row>
        <row r="926">
          <cell r="A926"/>
          <cell r="B926"/>
          <cell r="C926"/>
          <cell r="D926"/>
          <cell r="E926"/>
          <cell r="F926"/>
        </row>
        <row r="927">
          <cell r="A927"/>
          <cell r="B927"/>
          <cell r="C927"/>
          <cell r="D927"/>
          <cell r="E927"/>
          <cell r="F927"/>
        </row>
        <row r="928">
          <cell r="A928"/>
          <cell r="B928"/>
          <cell r="C928"/>
          <cell r="D928"/>
          <cell r="E928"/>
          <cell r="F928"/>
        </row>
        <row r="929">
          <cell r="A929"/>
          <cell r="B929"/>
          <cell r="C929"/>
          <cell r="D929"/>
          <cell r="E929"/>
          <cell r="F929"/>
        </row>
        <row r="930">
          <cell r="A930"/>
          <cell r="B930"/>
          <cell r="C930"/>
          <cell r="D930"/>
          <cell r="E930"/>
          <cell r="F930"/>
        </row>
        <row r="931">
          <cell r="A931"/>
          <cell r="B931"/>
          <cell r="C931"/>
          <cell r="D931"/>
          <cell r="E931"/>
          <cell r="F931"/>
        </row>
        <row r="932">
          <cell r="A932"/>
          <cell r="B932"/>
          <cell r="C932"/>
          <cell r="D932"/>
          <cell r="E932"/>
          <cell r="F932"/>
        </row>
        <row r="933">
          <cell r="A933"/>
          <cell r="B933"/>
          <cell r="C933"/>
          <cell r="D933"/>
          <cell r="E933"/>
          <cell r="F933"/>
        </row>
        <row r="934">
          <cell r="A934"/>
          <cell r="B934"/>
          <cell r="C934"/>
          <cell r="D934"/>
          <cell r="E934"/>
          <cell r="F934"/>
        </row>
        <row r="935">
          <cell r="A935"/>
          <cell r="B935"/>
          <cell r="C935"/>
          <cell r="D935"/>
          <cell r="E935"/>
          <cell r="F935"/>
        </row>
        <row r="936">
          <cell r="A936"/>
          <cell r="B936"/>
          <cell r="C936"/>
          <cell r="D936"/>
          <cell r="E936"/>
          <cell r="F936"/>
        </row>
        <row r="937">
          <cell r="A937"/>
          <cell r="B937"/>
          <cell r="C937"/>
          <cell r="D937"/>
          <cell r="E937"/>
          <cell r="F937"/>
        </row>
        <row r="938">
          <cell r="A938"/>
          <cell r="B938"/>
          <cell r="C938"/>
          <cell r="D938"/>
          <cell r="E938"/>
          <cell r="F938"/>
        </row>
        <row r="939">
          <cell r="A939"/>
          <cell r="B939"/>
          <cell r="C939"/>
          <cell r="D939"/>
          <cell r="E939"/>
          <cell r="F939"/>
        </row>
        <row r="940">
          <cell r="A940"/>
          <cell r="B940"/>
          <cell r="C940"/>
          <cell r="D940"/>
          <cell r="E940"/>
          <cell r="F940"/>
        </row>
        <row r="941">
          <cell r="A941"/>
          <cell r="B941"/>
          <cell r="C941"/>
          <cell r="D941"/>
          <cell r="E941"/>
          <cell r="F941"/>
        </row>
        <row r="942">
          <cell r="A942"/>
          <cell r="B942"/>
          <cell r="C942"/>
          <cell r="D942"/>
          <cell r="E942"/>
          <cell r="F942"/>
        </row>
        <row r="943">
          <cell r="A943"/>
          <cell r="B943"/>
          <cell r="C943"/>
          <cell r="D943"/>
          <cell r="E943"/>
          <cell r="F943"/>
        </row>
        <row r="944">
          <cell r="A944"/>
          <cell r="B944"/>
          <cell r="C944"/>
          <cell r="D944"/>
          <cell r="E944"/>
          <cell r="F944"/>
        </row>
        <row r="945">
          <cell r="A945"/>
          <cell r="B945"/>
          <cell r="C945"/>
          <cell r="D945"/>
          <cell r="E945"/>
          <cell r="F945"/>
        </row>
        <row r="946">
          <cell r="A946"/>
          <cell r="B946"/>
          <cell r="C946"/>
          <cell r="D946"/>
          <cell r="E946"/>
          <cell r="F946"/>
        </row>
        <row r="947">
          <cell r="A947"/>
          <cell r="B947"/>
          <cell r="C947"/>
          <cell r="D947"/>
          <cell r="E947"/>
          <cell r="F947"/>
        </row>
        <row r="948">
          <cell r="A948"/>
          <cell r="B948"/>
          <cell r="C948"/>
          <cell r="D948"/>
          <cell r="E948"/>
          <cell r="F948"/>
        </row>
        <row r="949">
          <cell r="A949"/>
          <cell r="B949"/>
          <cell r="C949"/>
          <cell r="D949"/>
          <cell r="E949"/>
          <cell r="F949"/>
        </row>
        <row r="950">
          <cell r="A950"/>
          <cell r="B950"/>
          <cell r="C950"/>
          <cell r="D950"/>
          <cell r="E950"/>
          <cell r="F950"/>
        </row>
        <row r="951">
          <cell r="A951"/>
          <cell r="B951"/>
          <cell r="C951"/>
          <cell r="D951"/>
          <cell r="E951"/>
          <cell r="F951"/>
        </row>
        <row r="952">
          <cell r="A952"/>
          <cell r="B952"/>
          <cell r="C952"/>
          <cell r="D952"/>
          <cell r="E952"/>
          <cell r="F952"/>
        </row>
        <row r="953">
          <cell r="A953"/>
          <cell r="B953"/>
          <cell r="C953"/>
          <cell r="D953"/>
          <cell r="E953"/>
          <cell r="F953"/>
        </row>
        <row r="954">
          <cell r="A954"/>
          <cell r="B954"/>
          <cell r="C954"/>
          <cell r="D954"/>
          <cell r="E954"/>
          <cell r="F954"/>
        </row>
        <row r="955">
          <cell r="A955"/>
          <cell r="B955"/>
          <cell r="C955"/>
          <cell r="D955"/>
          <cell r="E955"/>
          <cell r="F955"/>
        </row>
        <row r="956">
          <cell r="A956"/>
          <cell r="B956"/>
          <cell r="C956"/>
          <cell r="D956"/>
          <cell r="E956"/>
          <cell r="F956"/>
        </row>
        <row r="957">
          <cell r="A957"/>
          <cell r="B957"/>
          <cell r="C957"/>
          <cell r="D957"/>
          <cell r="E957"/>
          <cell r="F957"/>
        </row>
        <row r="958">
          <cell r="A958"/>
          <cell r="B958"/>
          <cell r="C958"/>
          <cell r="D958"/>
          <cell r="E958"/>
          <cell r="F958"/>
        </row>
        <row r="959">
          <cell r="A959"/>
          <cell r="B959"/>
          <cell r="C959"/>
          <cell r="D959"/>
          <cell r="E959"/>
          <cell r="F959"/>
        </row>
        <row r="960">
          <cell r="A960"/>
          <cell r="B960"/>
          <cell r="C960"/>
          <cell r="D960"/>
          <cell r="E960"/>
          <cell r="F960"/>
        </row>
        <row r="961">
          <cell r="A961"/>
          <cell r="B961"/>
          <cell r="C961"/>
          <cell r="D961"/>
          <cell r="E961"/>
          <cell r="F961"/>
        </row>
        <row r="962">
          <cell r="A962"/>
          <cell r="B962"/>
          <cell r="C962"/>
          <cell r="D962"/>
          <cell r="E962"/>
          <cell r="F962"/>
        </row>
        <row r="963">
          <cell r="A963"/>
          <cell r="B963"/>
          <cell r="C963"/>
          <cell r="D963"/>
          <cell r="E963"/>
          <cell r="F963"/>
        </row>
        <row r="964">
          <cell r="A964"/>
          <cell r="B964"/>
          <cell r="C964"/>
          <cell r="D964"/>
          <cell r="E964"/>
          <cell r="F964"/>
        </row>
        <row r="965">
          <cell r="A965"/>
          <cell r="B965"/>
          <cell r="C965"/>
          <cell r="D965"/>
          <cell r="E965"/>
          <cell r="F965"/>
        </row>
        <row r="966">
          <cell r="A966"/>
          <cell r="B966"/>
          <cell r="C966"/>
          <cell r="D966"/>
          <cell r="E966"/>
          <cell r="F966"/>
        </row>
        <row r="967">
          <cell r="A967"/>
          <cell r="B967"/>
          <cell r="C967"/>
          <cell r="D967"/>
          <cell r="E967"/>
          <cell r="F967"/>
        </row>
        <row r="968">
          <cell r="A968"/>
          <cell r="B968"/>
          <cell r="C968"/>
          <cell r="D968"/>
          <cell r="E968"/>
          <cell r="F968"/>
        </row>
        <row r="969">
          <cell r="A969"/>
          <cell r="B969"/>
          <cell r="C969"/>
          <cell r="D969"/>
          <cell r="E969"/>
          <cell r="F969"/>
        </row>
        <row r="970">
          <cell r="A970"/>
          <cell r="B970"/>
          <cell r="C970"/>
          <cell r="D970"/>
          <cell r="E970"/>
          <cell r="F970"/>
        </row>
        <row r="971">
          <cell r="A971"/>
          <cell r="B971"/>
          <cell r="C971"/>
          <cell r="D971"/>
          <cell r="E971"/>
          <cell r="F971"/>
        </row>
        <row r="972">
          <cell r="A972"/>
          <cell r="B972"/>
          <cell r="C972"/>
          <cell r="D972"/>
          <cell r="E972"/>
          <cell r="F972"/>
        </row>
        <row r="973">
          <cell r="A973"/>
          <cell r="B973"/>
          <cell r="C973"/>
          <cell r="D973"/>
          <cell r="E973"/>
          <cell r="F973"/>
        </row>
        <row r="974">
          <cell r="A974"/>
          <cell r="B974"/>
          <cell r="C974"/>
          <cell r="D974"/>
          <cell r="E974"/>
          <cell r="F974"/>
        </row>
        <row r="975">
          <cell r="A975"/>
          <cell r="B975"/>
          <cell r="C975"/>
          <cell r="D975"/>
          <cell r="E975"/>
          <cell r="F975"/>
        </row>
        <row r="976">
          <cell r="A976"/>
          <cell r="B976"/>
          <cell r="C976"/>
          <cell r="D976"/>
          <cell r="E976"/>
          <cell r="F976"/>
        </row>
        <row r="977">
          <cell r="A977"/>
          <cell r="B977"/>
          <cell r="C977"/>
          <cell r="D977"/>
          <cell r="E977"/>
          <cell r="F977"/>
        </row>
        <row r="978">
          <cell r="A978"/>
          <cell r="B978"/>
          <cell r="C978"/>
          <cell r="D978"/>
          <cell r="E978"/>
          <cell r="F978"/>
        </row>
        <row r="979">
          <cell r="A979"/>
          <cell r="B979"/>
          <cell r="C979"/>
          <cell r="D979"/>
          <cell r="E979"/>
          <cell r="F979"/>
        </row>
        <row r="980">
          <cell r="A980"/>
          <cell r="B980"/>
          <cell r="C980"/>
          <cell r="D980"/>
          <cell r="E980"/>
          <cell r="F980"/>
        </row>
        <row r="981">
          <cell r="A981"/>
          <cell r="B981"/>
          <cell r="C981"/>
          <cell r="D981"/>
          <cell r="E981"/>
          <cell r="F981"/>
        </row>
        <row r="982">
          <cell r="A982"/>
          <cell r="B982"/>
          <cell r="C982"/>
          <cell r="D982"/>
          <cell r="E982"/>
          <cell r="F982"/>
        </row>
        <row r="983">
          <cell r="A983"/>
          <cell r="B983"/>
          <cell r="C983"/>
          <cell r="D983"/>
          <cell r="E983"/>
          <cell r="F983"/>
        </row>
        <row r="984">
          <cell r="A984"/>
          <cell r="B984"/>
          <cell r="C984"/>
          <cell r="D984"/>
          <cell r="E984"/>
          <cell r="F984"/>
        </row>
        <row r="985">
          <cell r="A985"/>
          <cell r="B985"/>
          <cell r="C985"/>
          <cell r="D985"/>
          <cell r="E985"/>
          <cell r="F985"/>
        </row>
        <row r="986">
          <cell r="A986"/>
          <cell r="B986"/>
          <cell r="C986"/>
          <cell r="D986"/>
          <cell r="E986"/>
          <cell r="F986"/>
        </row>
        <row r="987">
          <cell r="A987"/>
          <cell r="B987"/>
          <cell r="C987"/>
          <cell r="D987"/>
          <cell r="E987"/>
          <cell r="F987"/>
        </row>
        <row r="988">
          <cell r="A988"/>
          <cell r="B988"/>
          <cell r="C988"/>
          <cell r="D988"/>
          <cell r="E988"/>
          <cell r="F988"/>
        </row>
        <row r="989">
          <cell r="A989"/>
          <cell r="B989"/>
          <cell r="C989"/>
          <cell r="D989"/>
          <cell r="E989"/>
          <cell r="F989"/>
        </row>
        <row r="990">
          <cell r="A990"/>
          <cell r="B990"/>
          <cell r="C990"/>
          <cell r="D990"/>
          <cell r="E990"/>
          <cell r="F990"/>
        </row>
        <row r="991">
          <cell r="A991"/>
          <cell r="B991"/>
          <cell r="C991"/>
          <cell r="D991"/>
          <cell r="E991"/>
          <cell r="F991"/>
        </row>
        <row r="992">
          <cell r="A992"/>
          <cell r="B992"/>
          <cell r="C992"/>
          <cell r="D992"/>
          <cell r="E992"/>
          <cell r="F992"/>
        </row>
        <row r="993">
          <cell r="A993"/>
          <cell r="B993"/>
          <cell r="C993"/>
          <cell r="D993"/>
          <cell r="E993"/>
          <cell r="F993"/>
        </row>
        <row r="994">
          <cell r="A994"/>
          <cell r="B994"/>
          <cell r="C994"/>
          <cell r="D994"/>
          <cell r="E994"/>
          <cell r="F994"/>
        </row>
        <row r="995">
          <cell r="A995"/>
          <cell r="B995"/>
          <cell r="C995"/>
          <cell r="D995"/>
          <cell r="E995"/>
          <cell r="F995"/>
        </row>
        <row r="996">
          <cell r="A996"/>
          <cell r="B996"/>
          <cell r="C996"/>
          <cell r="D996"/>
          <cell r="E996"/>
          <cell r="F996"/>
        </row>
        <row r="997">
          <cell r="A997"/>
          <cell r="B997"/>
          <cell r="C997"/>
          <cell r="D997"/>
          <cell r="E997"/>
          <cell r="F997"/>
        </row>
        <row r="998">
          <cell r="A998"/>
          <cell r="B998"/>
          <cell r="C998"/>
          <cell r="D998"/>
          <cell r="E998"/>
          <cell r="F998"/>
        </row>
        <row r="999">
          <cell r="A999"/>
          <cell r="B999"/>
          <cell r="C999"/>
          <cell r="D999"/>
          <cell r="E999"/>
          <cell r="F999"/>
        </row>
        <row r="1000">
          <cell r="A1000"/>
          <cell r="B1000"/>
          <cell r="C1000"/>
          <cell r="D1000"/>
          <cell r="E1000"/>
          <cell r="F1000"/>
        </row>
        <row r="1001">
          <cell r="A1001"/>
          <cell r="B1001"/>
          <cell r="C1001"/>
          <cell r="D1001"/>
          <cell r="E1001"/>
          <cell r="F1001"/>
        </row>
        <row r="1002">
          <cell r="A1002"/>
          <cell r="B1002"/>
          <cell r="C1002"/>
          <cell r="D1002"/>
          <cell r="E1002"/>
          <cell r="F1002"/>
        </row>
        <row r="1003">
          <cell r="A1003"/>
          <cell r="B1003"/>
          <cell r="C1003"/>
          <cell r="D1003"/>
          <cell r="E1003"/>
          <cell r="F1003"/>
        </row>
        <row r="1004">
          <cell r="A1004"/>
          <cell r="B1004"/>
          <cell r="C1004"/>
          <cell r="D1004"/>
          <cell r="E1004"/>
          <cell r="F1004"/>
        </row>
        <row r="1005">
          <cell r="A1005"/>
          <cell r="B1005"/>
          <cell r="C1005"/>
          <cell r="D1005"/>
          <cell r="E1005"/>
          <cell r="F1005"/>
        </row>
        <row r="1006">
          <cell r="A1006"/>
          <cell r="B1006"/>
          <cell r="C1006"/>
          <cell r="D1006"/>
          <cell r="E1006"/>
          <cell r="F1006"/>
        </row>
        <row r="1007">
          <cell r="A1007"/>
          <cell r="B1007"/>
          <cell r="C1007"/>
          <cell r="D1007"/>
          <cell r="E1007"/>
          <cell r="F1007"/>
        </row>
        <row r="1008">
          <cell r="A1008"/>
          <cell r="B1008"/>
          <cell r="C1008"/>
          <cell r="D1008"/>
          <cell r="E1008"/>
          <cell r="F1008"/>
        </row>
        <row r="1009">
          <cell r="A1009"/>
          <cell r="B1009"/>
          <cell r="C1009"/>
          <cell r="D1009"/>
          <cell r="E1009"/>
          <cell r="F1009"/>
        </row>
        <row r="1010">
          <cell r="A1010"/>
          <cell r="B1010"/>
          <cell r="C1010"/>
          <cell r="D1010"/>
          <cell r="E1010"/>
          <cell r="F1010"/>
        </row>
        <row r="1011">
          <cell r="A1011"/>
          <cell r="B1011"/>
          <cell r="C1011"/>
          <cell r="D1011"/>
          <cell r="E1011"/>
          <cell r="F1011"/>
        </row>
        <row r="1012">
          <cell r="A1012"/>
          <cell r="B1012"/>
          <cell r="C1012"/>
          <cell r="D1012"/>
          <cell r="E1012"/>
          <cell r="F1012"/>
        </row>
        <row r="1013">
          <cell r="A1013"/>
          <cell r="B1013"/>
          <cell r="C1013"/>
          <cell r="D1013"/>
          <cell r="E1013"/>
          <cell r="F1013"/>
        </row>
        <row r="1014">
          <cell r="A1014"/>
          <cell r="B1014"/>
          <cell r="C1014"/>
          <cell r="D1014"/>
          <cell r="E1014"/>
          <cell r="F1014"/>
        </row>
        <row r="1015">
          <cell r="A1015"/>
          <cell r="B1015"/>
          <cell r="C1015"/>
          <cell r="D1015"/>
          <cell r="E1015"/>
          <cell r="F1015"/>
        </row>
        <row r="1016">
          <cell r="A1016"/>
          <cell r="B1016"/>
          <cell r="C1016"/>
          <cell r="D1016"/>
          <cell r="E1016"/>
          <cell r="F1016"/>
        </row>
        <row r="1017">
          <cell r="A1017"/>
          <cell r="B1017"/>
          <cell r="C1017"/>
          <cell r="D1017"/>
          <cell r="E1017"/>
          <cell r="F1017"/>
        </row>
        <row r="1018">
          <cell r="A1018"/>
          <cell r="B1018"/>
          <cell r="C1018"/>
          <cell r="D1018"/>
          <cell r="E1018"/>
          <cell r="F1018"/>
        </row>
        <row r="1019">
          <cell r="A1019"/>
          <cell r="B1019"/>
          <cell r="C1019"/>
          <cell r="D1019"/>
          <cell r="E1019"/>
          <cell r="F1019"/>
        </row>
        <row r="1020">
          <cell r="A1020"/>
          <cell r="B1020"/>
          <cell r="C1020"/>
          <cell r="D1020"/>
          <cell r="E1020"/>
          <cell r="F1020"/>
        </row>
        <row r="1021">
          <cell r="A1021"/>
          <cell r="B1021"/>
          <cell r="C1021"/>
          <cell r="D1021"/>
          <cell r="E1021"/>
          <cell r="F1021"/>
        </row>
        <row r="1022">
          <cell r="A1022"/>
          <cell r="B1022"/>
          <cell r="C1022"/>
          <cell r="D1022"/>
          <cell r="E1022"/>
          <cell r="F1022"/>
        </row>
        <row r="1023">
          <cell r="A1023"/>
          <cell r="B1023"/>
          <cell r="C1023"/>
          <cell r="D1023"/>
          <cell r="E1023"/>
          <cell r="F1023"/>
        </row>
        <row r="1024">
          <cell r="A1024"/>
          <cell r="B1024"/>
          <cell r="C1024"/>
          <cell r="D1024"/>
          <cell r="E1024"/>
          <cell r="F1024"/>
        </row>
        <row r="1025">
          <cell r="A1025"/>
          <cell r="B1025"/>
          <cell r="C1025"/>
          <cell r="D1025"/>
          <cell r="E1025"/>
          <cell r="F1025"/>
        </row>
        <row r="1026">
          <cell r="A1026"/>
          <cell r="B1026"/>
          <cell r="C1026"/>
          <cell r="D1026"/>
          <cell r="E1026"/>
          <cell r="F1026"/>
        </row>
        <row r="1027">
          <cell r="A1027"/>
          <cell r="B1027"/>
          <cell r="C1027"/>
          <cell r="D1027"/>
          <cell r="E1027"/>
          <cell r="F1027"/>
        </row>
        <row r="1028">
          <cell r="A1028"/>
          <cell r="B1028"/>
          <cell r="C1028"/>
          <cell r="D1028"/>
          <cell r="E1028"/>
          <cell r="F1028"/>
        </row>
        <row r="1029">
          <cell r="A1029"/>
          <cell r="B1029"/>
          <cell r="C1029"/>
          <cell r="D1029"/>
          <cell r="E1029"/>
          <cell r="F1029"/>
        </row>
        <row r="1030">
          <cell r="A1030"/>
          <cell r="B1030"/>
          <cell r="C1030"/>
          <cell r="D1030"/>
          <cell r="E1030"/>
          <cell r="F1030"/>
        </row>
        <row r="1031">
          <cell r="A1031"/>
          <cell r="B1031"/>
          <cell r="C1031"/>
          <cell r="D1031"/>
          <cell r="E1031"/>
          <cell r="F1031"/>
        </row>
        <row r="1032">
          <cell r="A1032"/>
          <cell r="B1032"/>
          <cell r="C1032"/>
          <cell r="D1032"/>
          <cell r="E1032"/>
          <cell r="F1032"/>
        </row>
        <row r="1033">
          <cell r="A1033"/>
          <cell r="B1033"/>
          <cell r="C1033"/>
          <cell r="D1033"/>
          <cell r="E1033"/>
          <cell r="F1033"/>
        </row>
        <row r="1034">
          <cell r="A1034"/>
          <cell r="B1034"/>
          <cell r="C1034"/>
          <cell r="D1034"/>
          <cell r="E1034"/>
          <cell r="F1034"/>
        </row>
        <row r="1035">
          <cell r="A1035"/>
          <cell r="B1035"/>
          <cell r="C1035"/>
          <cell r="D1035"/>
          <cell r="E1035"/>
          <cell r="F1035"/>
        </row>
        <row r="1036">
          <cell r="A1036"/>
          <cell r="B1036"/>
          <cell r="C1036"/>
          <cell r="D1036"/>
          <cell r="E1036"/>
          <cell r="F1036"/>
        </row>
        <row r="1037">
          <cell r="A1037"/>
          <cell r="B1037"/>
          <cell r="C1037"/>
          <cell r="D1037"/>
          <cell r="E1037"/>
          <cell r="F1037"/>
        </row>
        <row r="1038">
          <cell r="A1038"/>
          <cell r="B1038"/>
          <cell r="C1038"/>
          <cell r="D1038"/>
          <cell r="E1038"/>
          <cell r="F1038"/>
        </row>
        <row r="1039">
          <cell r="A1039"/>
          <cell r="B1039"/>
          <cell r="C1039"/>
          <cell r="D1039"/>
          <cell r="E1039"/>
          <cell r="F1039"/>
        </row>
        <row r="1040">
          <cell r="A1040"/>
          <cell r="B1040"/>
          <cell r="C1040"/>
          <cell r="D1040"/>
          <cell r="E1040"/>
          <cell r="F1040"/>
        </row>
        <row r="1041">
          <cell r="A1041"/>
          <cell r="B1041"/>
          <cell r="C1041"/>
          <cell r="D1041"/>
          <cell r="E1041"/>
          <cell r="F1041"/>
        </row>
        <row r="1042">
          <cell r="A1042"/>
          <cell r="B1042"/>
          <cell r="C1042"/>
          <cell r="D1042"/>
          <cell r="E1042"/>
          <cell r="F1042"/>
        </row>
        <row r="1043">
          <cell r="A1043"/>
          <cell r="B1043"/>
          <cell r="C1043"/>
          <cell r="D1043"/>
          <cell r="E1043"/>
          <cell r="F1043"/>
        </row>
        <row r="1044">
          <cell r="A1044"/>
          <cell r="B1044"/>
          <cell r="C1044"/>
          <cell r="D1044"/>
          <cell r="E1044"/>
          <cell r="F1044"/>
        </row>
        <row r="1045">
          <cell r="A1045"/>
          <cell r="B1045"/>
          <cell r="C1045"/>
          <cell r="D1045"/>
          <cell r="E1045"/>
          <cell r="F1045"/>
        </row>
        <row r="1046">
          <cell r="A1046"/>
          <cell r="B1046"/>
          <cell r="C1046"/>
          <cell r="D1046"/>
          <cell r="E1046"/>
          <cell r="F1046"/>
        </row>
        <row r="1047">
          <cell r="A1047"/>
          <cell r="B1047"/>
          <cell r="C1047"/>
          <cell r="D1047"/>
          <cell r="E1047"/>
          <cell r="F1047"/>
        </row>
        <row r="1048">
          <cell r="A1048"/>
          <cell r="B1048"/>
          <cell r="C1048"/>
          <cell r="D1048"/>
          <cell r="E1048"/>
          <cell r="F1048"/>
        </row>
        <row r="1049">
          <cell r="A1049"/>
          <cell r="B1049"/>
          <cell r="C1049"/>
          <cell r="D1049"/>
          <cell r="E1049"/>
          <cell r="F1049"/>
        </row>
        <row r="1050">
          <cell r="A1050"/>
          <cell r="B1050"/>
          <cell r="C1050"/>
          <cell r="D1050"/>
          <cell r="E1050"/>
          <cell r="F1050"/>
        </row>
        <row r="1051">
          <cell r="A1051"/>
          <cell r="B1051"/>
          <cell r="C1051"/>
          <cell r="D1051"/>
          <cell r="E1051"/>
          <cell r="F1051"/>
        </row>
        <row r="1052">
          <cell r="A1052"/>
          <cell r="B1052"/>
          <cell r="C1052"/>
          <cell r="D1052"/>
          <cell r="E1052"/>
          <cell r="F1052"/>
        </row>
        <row r="1053">
          <cell r="A1053"/>
          <cell r="B1053"/>
          <cell r="C1053"/>
          <cell r="D1053"/>
          <cell r="E1053"/>
          <cell r="F1053"/>
        </row>
        <row r="1054">
          <cell r="A1054"/>
          <cell r="B1054"/>
          <cell r="C1054"/>
          <cell r="D1054"/>
          <cell r="E1054"/>
          <cell r="F1054"/>
        </row>
        <row r="1055">
          <cell r="A1055"/>
          <cell r="B1055"/>
          <cell r="C1055"/>
          <cell r="D1055"/>
          <cell r="E1055"/>
          <cell r="F1055"/>
        </row>
        <row r="1056">
          <cell r="A1056"/>
          <cell r="B1056"/>
          <cell r="C1056"/>
          <cell r="D1056"/>
          <cell r="E1056"/>
          <cell r="F1056"/>
        </row>
        <row r="1057">
          <cell r="A1057"/>
          <cell r="B1057"/>
          <cell r="C1057"/>
          <cell r="D1057"/>
          <cell r="E1057"/>
          <cell r="F1057"/>
        </row>
        <row r="1058">
          <cell r="A1058"/>
          <cell r="B1058"/>
          <cell r="C1058"/>
          <cell r="D1058"/>
          <cell r="E1058"/>
          <cell r="F1058"/>
        </row>
        <row r="1059">
          <cell r="A1059"/>
          <cell r="B1059"/>
          <cell r="C1059"/>
          <cell r="D1059"/>
          <cell r="E1059"/>
          <cell r="F1059"/>
        </row>
        <row r="1060">
          <cell r="A1060"/>
          <cell r="B1060"/>
          <cell r="C1060"/>
          <cell r="D1060"/>
          <cell r="E1060"/>
          <cell r="F1060"/>
        </row>
        <row r="1061">
          <cell r="A1061"/>
          <cell r="B1061"/>
          <cell r="C1061"/>
          <cell r="D1061"/>
          <cell r="E1061"/>
          <cell r="F1061"/>
        </row>
        <row r="1062">
          <cell r="A1062"/>
          <cell r="B1062"/>
          <cell r="C1062"/>
          <cell r="D1062"/>
          <cell r="E1062"/>
          <cell r="F1062"/>
        </row>
        <row r="1063">
          <cell r="A1063"/>
          <cell r="B1063"/>
          <cell r="C1063"/>
          <cell r="D1063"/>
          <cell r="E1063"/>
          <cell r="F1063"/>
        </row>
        <row r="1064">
          <cell r="A1064"/>
          <cell r="B1064"/>
          <cell r="C1064"/>
          <cell r="D1064"/>
          <cell r="E1064"/>
          <cell r="F1064"/>
        </row>
        <row r="1065">
          <cell r="A1065"/>
          <cell r="B1065"/>
          <cell r="C1065"/>
          <cell r="D1065"/>
          <cell r="E1065"/>
          <cell r="F1065"/>
        </row>
        <row r="1066">
          <cell r="A1066"/>
          <cell r="B1066"/>
          <cell r="C1066"/>
          <cell r="D1066"/>
          <cell r="E1066"/>
          <cell r="F1066"/>
        </row>
        <row r="1067">
          <cell r="A1067"/>
          <cell r="B1067"/>
          <cell r="C1067"/>
          <cell r="D1067"/>
          <cell r="E1067"/>
          <cell r="F1067"/>
        </row>
        <row r="1068">
          <cell r="A1068"/>
          <cell r="B1068"/>
          <cell r="C1068"/>
          <cell r="D1068"/>
          <cell r="E1068"/>
          <cell r="F1068"/>
        </row>
        <row r="1069">
          <cell r="A1069"/>
          <cell r="B1069"/>
          <cell r="C1069"/>
          <cell r="D1069"/>
          <cell r="E1069"/>
          <cell r="F1069"/>
        </row>
        <row r="1070">
          <cell r="A1070"/>
          <cell r="B1070"/>
          <cell r="C1070"/>
          <cell r="D1070"/>
          <cell r="E1070"/>
          <cell r="F1070"/>
        </row>
        <row r="1071">
          <cell r="A1071"/>
          <cell r="B1071"/>
          <cell r="C1071"/>
          <cell r="D1071"/>
          <cell r="E1071"/>
          <cell r="F1071"/>
        </row>
        <row r="1072">
          <cell r="A1072"/>
          <cell r="B1072"/>
          <cell r="C1072"/>
          <cell r="D1072"/>
          <cell r="E1072"/>
          <cell r="F1072"/>
        </row>
        <row r="1073">
          <cell r="A1073"/>
          <cell r="B1073"/>
          <cell r="C1073"/>
          <cell r="D1073"/>
          <cell r="E1073"/>
          <cell r="F1073"/>
        </row>
        <row r="1074">
          <cell r="A1074"/>
          <cell r="B1074"/>
          <cell r="C1074"/>
          <cell r="D1074"/>
          <cell r="E1074"/>
          <cell r="F1074"/>
        </row>
        <row r="1075">
          <cell r="A1075"/>
          <cell r="B1075"/>
          <cell r="C1075"/>
          <cell r="D1075"/>
          <cell r="E1075"/>
          <cell r="F1075"/>
        </row>
        <row r="1076">
          <cell r="A1076"/>
          <cell r="B1076"/>
          <cell r="C1076"/>
          <cell r="D1076"/>
          <cell r="E1076"/>
          <cell r="F1076"/>
        </row>
        <row r="1077">
          <cell r="A1077"/>
          <cell r="B1077"/>
          <cell r="C1077"/>
          <cell r="D1077"/>
          <cell r="E1077"/>
          <cell r="F1077"/>
        </row>
        <row r="1078">
          <cell r="A1078"/>
          <cell r="B1078"/>
          <cell r="C1078"/>
          <cell r="D1078"/>
          <cell r="E1078"/>
          <cell r="F1078"/>
        </row>
        <row r="1079">
          <cell r="A1079"/>
          <cell r="B1079"/>
          <cell r="C1079"/>
          <cell r="D1079"/>
          <cell r="E1079"/>
          <cell r="F1079"/>
        </row>
        <row r="1080">
          <cell r="A1080"/>
          <cell r="B1080"/>
          <cell r="C1080"/>
          <cell r="D1080"/>
          <cell r="E1080"/>
          <cell r="F1080"/>
        </row>
        <row r="1081">
          <cell r="A1081"/>
          <cell r="B1081"/>
          <cell r="C1081"/>
          <cell r="D1081"/>
          <cell r="E1081"/>
          <cell r="F1081"/>
        </row>
        <row r="1082">
          <cell r="A1082"/>
          <cell r="B1082"/>
          <cell r="C1082"/>
          <cell r="D1082"/>
          <cell r="E1082"/>
          <cell r="F1082"/>
        </row>
        <row r="1083">
          <cell r="A1083"/>
          <cell r="B1083"/>
          <cell r="C1083"/>
          <cell r="D1083"/>
          <cell r="E1083"/>
          <cell r="F1083"/>
        </row>
        <row r="1084">
          <cell r="A1084"/>
          <cell r="B1084"/>
          <cell r="C1084"/>
          <cell r="D1084"/>
          <cell r="E1084"/>
          <cell r="F1084"/>
        </row>
        <row r="1085">
          <cell r="A1085"/>
          <cell r="B1085"/>
          <cell r="C1085"/>
          <cell r="D1085"/>
          <cell r="E1085"/>
          <cell r="F1085"/>
        </row>
        <row r="1086">
          <cell r="A1086"/>
          <cell r="B1086"/>
          <cell r="C1086"/>
          <cell r="D1086"/>
          <cell r="E1086"/>
          <cell r="F1086"/>
        </row>
        <row r="1087">
          <cell r="A1087"/>
          <cell r="B1087"/>
          <cell r="C1087"/>
          <cell r="D1087"/>
          <cell r="E1087"/>
          <cell r="F1087"/>
        </row>
        <row r="1088">
          <cell r="A1088"/>
          <cell r="B1088"/>
          <cell r="C1088"/>
          <cell r="D1088"/>
          <cell r="E1088"/>
          <cell r="F1088"/>
        </row>
        <row r="1089">
          <cell r="A1089"/>
          <cell r="B1089"/>
          <cell r="C1089"/>
          <cell r="D1089"/>
          <cell r="E1089"/>
          <cell r="F1089"/>
        </row>
        <row r="1090">
          <cell r="A1090"/>
          <cell r="B1090"/>
          <cell r="C1090"/>
          <cell r="D1090"/>
          <cell r="E1090"/>
          <cell r="F1090"/>
        </row>
        <row r="1091">
          <cell r="A1091"/>
          <cell r="B1091"/>
          <cell r="C1091"/>
          <cell r="D1091"/>
          <cell r="E1091"/>
          <cell r="F1091"/>
        </row>
        <row r="1092">
          <cell r="A1092"/>
          <cell r="B1092"/>
          <cell r="C1092"/>
          <cell r="D1092"/>
          <cell r="E1092"/>
          <cell r="F1092"/>
        </row>
        <row r="1093">
          <cell r="A1093"/>
          <cell r="B1093"/>
          <cell r="C1093"/>
          <cell r="D1093"/>
          <cell r="E1093"/>
          <cell r="F1093"/>
        </row>
        <row r="1094">
          <cell r="A1094"/>
          <cell r="B1094"/>
          <cell r="C1094"/>
          <cell r="D1094"/>
          <cell r="E1094"/>
          <cell r="F1094"/>
        </row>
        <row r="1095">
          <cell r="A1095"/>
          <cell r="B1095"/>
          <cell r="C1095"/>
          <cell r="D1095"/>
          <cell r="E1095"/>
          <cell r="F1095"/>
        </row>
        <row r="1096">
          <cell r="A1096"/>
          <cell r="B1096"/>
          <cell r="C1096"/>
          <cell r="D1096"/>
          <cell r="E1096"/>
          <cell r="F1096"/>
        </row>
        <row r="1097">
          <cell r="A1097"/>
          <cell r="B1097"/>
          <cell r="C1097"/>
          <cell r="D1097"/>
          <cell r="E1097"/>
          <cell r="F1097"/>
        </row>
        <row r="1098">
          <cell r="A1098"/>
          <cell r="B1098"/>
          <cell r="C1098"/>
          <cell r="D1098"/>
          <cell r="E1098"/>
          <cell r="F1098"/>
        </row>
        <row r="1099">
          <cell r="A1099"/>
          <cell r="B1099"/>
          <cell r="C1099"/>
          <cell r="D1099"/>
          <cell r="E1099"/>
          <cell r="F1099"/>
        </row>
        <row r="1100">
          <cell r="A1100"/>
          <cell r="B1100"/>
          <cell r="C1100"/>
          <cell r="D1100"/>
          <cell r="E1100"/>
          <cell r="F1100"/>
        </row>
        <row r="1101">
          <cell r="A1101"/>
          <cell r="B1101"/>
          <cell r="C1101"/>
          <cell r="D1101"/>
          <cell r="E1101"/>
          <cell r="F1101"/>
        </row>
        <row r="1102">
          <cell r="A1102"/>
          <cell r="B1102"/>
          <cell r="C1102"/>
          <cell r="D1102"/>
          <cell r="E1102"/>
          <cell r="F1102"/>
        </row>
        <row r="1103">
          <cell r="A1103"/>
          <cell r="B1103"/>
          <cell r="C1103"/>
          <cell r="D1103"/>
          <cell r="E1103"/>
          <cell r="F1103"/>
        </row>
        <row r="1104">
          <cell r="A1104"/>
          <cell r="B1104"/>
          <cell r="C1104"/>
          <cell r="D1104"/>
          <cell r="E1104"/>
          <cell r="F1104"/>
        </row>
        <row r="1105">
          <cell r="A1105"/>
          <cell r="B1105"/>
          <cell r="C1105"/>
          <cell r="D1105"/>
          <cell r="E1105"/>
          <cell r="F1105"/>
        </row>
        <row r="1106">
          <cell r="A1106"/>
          <cell r="B1106"/>
          <cell r="C1106"/>
          <cell r="D1106"/>
          <cell r="E1106"/>
          <cell r="F1106"/>
        </row>
        <row r="1107">
          <cell r="A1107"/>
          <cell r="B1107"/>
          <cell r="C1107"/>
          <cell r="D1107"/>
          <cell r="E1107"/>
          <cell r="F1107"/>
        </row>
        <row r="1108">
          <cell r="A1108"/>
          <cell r="B1108"/>
          <cell r="C1108"/>
          <cell r="D1108"/>
          <cell r="E1108"/>
          <cell r="F1108"/>
        </row>
        <row r="1109">
          <cell r="A1109"/>
          <cell r="B1109"/>
          <cell r="C1109"/>
          <cell r="D1109"/>
          <cell r="E1109"/>
          <cell r="F1109"/>
        </row>
        <row r="1110">
          <cell r="A1110"/>
          <cell r="B1110"/>
          <cell r="C1110"/>
          <cell r="D1110"/>
          <cell r="E1110"/>
          <cell r="F1110"/>
        </row>
        <row r="1111">
          <cell r="A1111"/>
          <cell r="B1111"/>
          <cell r="C1111"/>
          <cell r="D1111"/>
          <cell r="E1111"/>
          <cell r="F1111"/>
        </row>
        <row r="1112">
          <cell r="A1112"/>
          <cell r="B1112"/>
          <cell r="C1112"/>
          <cell r="D1112"/>
          <cell r="E1112"/>
          <cell r="F1112"/>
        </row>
        <row r="1113">
          <cell r="A1113"/>
          <cell r="B1113"/>
          <cell r="C1113"/>
          <cell r="D1113"/>
          <cell r="E1113"/>
          <cell r="F1113"/>
        </row>
        <row r="1114">
          <cell r="A1114"/>
          <cell r="B1114"/>
          <cell r="C1114"/>
          <cell r="D1114"/>
          <cell r="E1114"/>
          <cell r="F1114"/>
        </row>
        <row r="1115">
          <cell r="A1115"/>
          <cell r="B1115"/>
          <cell r="C1115"/>
          <cell r="D1115"/>
          <cell r="E1115"/>
          <cell r="F1115"/>
        </row>
        <row r="1116">
          <cell r="A1116"/>
          <cell r="B1116"/>
          <cell r="C1116"/>
          <cell r="D1116"/>
          <cell r="E1116"/>
          <cell r="F1116"/>
        </row>
        <row r="1117">
          <cell r="A1117"/>
          <cell r="B1117"/>
          <cell r="C1117"/>
          <cell r="D1117"/>
          <cell r="E1117"/>
          <cell r="F1117"/>
        </row>
        <row r="1118">
          <cell r="A1118"/>
          <cell r="B1118"/>
          <cell r="C1118"/>
          <cell r="D1118"/>
          <cell r="E1118"/>
          <cell r="F1118"/>
        </row>
        <row r="1119">
          <cell r="A1119"/>
          <cell r="B1119"/>
          <cell r="C1119"/>
          <cell r="D1119"/>
          <cell r="E1119"/>
          <cell r="F1119"/>
        </row>
        <row r="1120">
          <cell r="A1120"/>
          <cell r="B1120"/>
          <cell r="C1120"/>
          <cell r="D1120"/>
          <cell r="E1120"/>
          <cell r="F1120"/>
        </row>
        <row r="1121">
          <cell r="A1121"/>
          <cell r="B1121"/>
          <cell r="C1121"/>
          <cell r="D1121"/>
          <cell r="E1121"/>
          <cell r="F1121"/>
        </row>
        <row r="1122">
          <cell r="A1122"/>
          <cell r="B1122"/>
          <cell r="C1122"/>
          <cell r="D1122"/>
          <cell r="E1122"/>
          <cell r="F1122"/>
        </row>
        <row r="1123">
          <cell r="A1123"/>
          <cell r="B1123"/>
          <cell r="C1123"/>
          <cell r="D1123"/>
          <cell r="E1123"/>
          <cell r="F1123"/>
        </row>
        <row r="1124">
          <cell r="A1124"/>
          <cell r="B1124"/>
          <cell r="C1124"/>
          <cell r="D1124"/>
          <cell r="E1124"/>
          <cell r="F1124"/>
        </row>
        <row r="1125">
          <cell r="A1125"/>
          <cell r="B1125"/>
          <cell r="C1125"/>
          <cell r="D1125"/>
          <cell r="E1125"/>
          <cell r="F1125"/>
        </row>
        <row r="1126">
          <cell r="A1126"/>
          <cell r="B1126"/>
          <cell r="C1126"/>
          <cell r="D1126"/>
          <cell r="E1126"/>
          <cell r="F1126"/>
        </row>
        <row r="1127">
          <cell r="A1127"/>
          <cell r="B1127"/>
          <cell r="C1127"/>
          <cell r="D1127"/>
          <cell r="E1127"/>
          <cell r="F1127"/>
        </row>
        <row r="1128">
          <cell r="A1128"/>
          <cell r="B1128"/>
          <cell r="C1128"/>
          <cell r="D1128"/>
          <cell r="E1128"/>
          <cell r="F1128"/>
        </row>
        <row r="1129">
          <cell r="A1129"/>
          <cell r="B1129"/>
          <cell r="C1129"/>
          <cell r="D1129"/>
          <cell r="E1129"/>
          <cell r="F1129"/>
        </row>
        <row r="1130">
          <cell r="A1130"/>
          <cell r="B1130"/>
          <cell r="C1130"/>
          <cell r="D1130"/>
          <cell r="E1130"/>
          <cell r="F1130"/>
        </row>
        <row r="1131">
          <cell r="A1131"/>
          <cell r="B1131"/>
          <cell r="C1131"/>
          <cell r="D1131"/>
          <cell r="E1131"/>
          <cell r="F1131"/>
        </row>
        <row r="1132">
          <cell r="A1132"/>
          <cell r="B1132"/>
          <cell r="C1132"/>
          <cell r="D1132"/>
          <cell r="E1132"/>
          <cell r="F1132"/>
        </row>
        <row r="1133">
          <cell r="A1133"/>
          <cell r="B1133"/>
          <cell r="C1133"/>
          <cell r="D1133"/>
          <cell r="E1133"/>
          <cell r="F1133"/>
        </row>
        <row r="1134">
          <cell r="A1134"/>
          <cell r="B1134"/>
          <cell r="C1134"/>
          <cell r="D1134"/>
          <cell r="E1134"/>
          <cell r="F1134"/>
        </row>
        <row r="1135">
          <cell r="A1135"/>
          <cell r="B1135"/>
          <cell r="C1135"/>
          <cell r="D1135"/>
          <cell r="E1135"/>
          <cell r="F1135"/>
        </row>
        <row r="1136">
          <cell r="A1136"/>
          <cell r="B1136"/>
          <cell r="C1136"/>
          <cell r="D1136"/>
          <cell r="E1136"/>
          <cell r="F1136"/>
        </row>
        <row r="1137">
          <cell r="A1137"/>
          <cell r="B1137"/>
          <cell r="C1137"/>
          <cell r="D1137"/>
          <cell r="E1137"/>
          <cell r="F1137"/>
        </row>
        <row r="1138">
          <cell r="A1138"/>
          <cell r="B1138"/>
          <cell r="C1138"/>
          <cell r="D1138"/>
          <cell r="E1138"/>
          <cell r="F1138"/>
        </row>
        <row r="1139">
          <cell r="A1139"/>
          <cell r="B1139"/>
          <cell r="C1139"/>
          <cell r="D1139"/>
          <cell r="E1139"/>
          <cell r="F1139"/>
        </row>
        <row r="1140">
          <cell r="A1140"/>
          <cell r="B1140"/>
          <cell r="C1140"/>
          <cell r="D1140"/>
          <cell r="E1140"/>
          <cell r="F1140"/>
        </row>
        <row r="1141">
          <cell r="A1141"/>
          <cell r="B1141"/>
          <cell r="C1141"/>
          <cell r="D1141"/>
          <cell r="E1141"/>
          <cell r="F1141"/>
        </row>
        <row r="1142">
          <cell r="A1142"/>
          <cell r="B1142"/>
          <cell r="C1142"/>
          <cell r="D1142"/>
          <cell r="E1142"/>
          <cell r="F1142"/>
        </row>
        <row r="1143">
          <cell r="A1143"/>
          <cell r="B1143"/>
          <cell r="C1143"/>
          <cell r="D1143"/>
          <cell r="E1143"/>
          <cell r="F1143"/>
        </row>
        <row r="1144">
          <cell r="A1144"/>
          <cell r="B1144"/>
          <cell r="C1144"/>
          <cell r="D1144"/>
          <cell r="E1144"/>
          <cell r="F1144"/>
        </row>
        <row r="1145">
          <cell r="A1145"/>
          <cell r="B1145"/>
          <cell r="C1145"/>
          <cell r="D1145"/>
          <cell r="E1145"/>
          <cell r="F1145"/>
        </row>
        <row r="1146">
          <cell r="A1146"/>
          <cell r="B1146"/>
          <cell r="C1146"/>
          <cell r="D1146"/>
          <cell r="E1146"/>
          <cell r="F1146"/>
        </row>
        <row r="1147">
          <cell r="A1147"/>
          <cell r="B1147"/>
          <cell r="C1147"/>
          <cell r="D1147"/>
          <cell r="E1147"/>
          <cell r="F1147"/>
        </row>
        <row r="1148">
          <cell r="A1148"/>
          <cell r="B1148"/>
          <cell r="C1148"/>
          <cell r="D1148"/>
          <cell r="E1148"/>
          <cell r="F1148"/>
        </row>
        <row r="1149">
          <cell r="A1149"/>
          <cell r="B1149"/>
          <cell r="C1149"/>
          <cell r="D1149"/>
          <cell r="E1149"/>
          <cell r="F1149"/>
        </row>
        <row r="1150">
          <cell r="A1150"/>
          <cell r="B1150"/>
          <cell r="C1150"/>
          <cell r="D1150"/>
          <cell r="E1150"/>
          <cell r="F1150"/>
        </row>
        <row r="1151">
          <cell r="A1151"/>
          <cell r="B1151"/>
          <cell r="C1151"/>
          <cell r="D1151"/>
          <cell r="E1151"/>
          <cell r="F1151"/>
        </row>
        <row r="1152">
          <cell r="A1152"/>
          <cell r="B1152"/>
          <cell r="C1152"/>
          <cell r="D1152"/>
          <cell r="E1152"/>
          <cell r="F1152"/>
        </row>
        <row r="1153">
          <cell r="A1153"/>
          <cell r="B1153"/>
          <cell r="C1153"/>
          <cell r="D1153"/>
          <cell r="E1153"/>
          <cell r="F1153"/>
        </row>
        <row r="1154">
          <cell r="A1154"/>
          <cell r="B1154"/>
          <cell r="C1154"/>
          <cell r="D1154"/>
          <cell r="E1154"/>
          <cell r="F1154"/>
        </row>
        <row r="1155">
          <cell r="A1155"/>
          <cell r="B1155"/>
          <cell r="C1155"/>
          <cell r="D1155"/>
          <cell r="E1155"/>
          <cell r="F1155"/>
        </row>
        <row r="1156">
          <cell r="A1156"/>
          <cell r="B1156"/>
          <cell r="C1156"/>
          <cell r="D1156"/>
          <cell r="E1156"/>
          <cell r="F1156"/>
        </row>
        <row r="1157">
          <cell r="A1157"/>
          <cell r="B1157"/>
          <cell r="C1157"/>
          <cell r="D1157"/>
          <cell r="E1157"/>
          <cell r="F1157"/>
        </row>
        <row r="1158">
          <cell r="A1158"/>
          <cell r="B1158"/>
          <cell r="C1158"/>
          <cell r="D1158"/>
          <cell r="E1158"/>
          <cell r="F1158"/>
        </row>
        <row r="1159">
          <cell r="A1159"/>
          <cell r="B1159"/>
          <cell r="C1159"/>
          <cell r="D1159"/>
          <cell r="E1159"/>
          <cell r="F1159"/>
        </row>
        <row r="1160">
          <cell r="A1160"/>
          <cell r="B1160"/>
          <cell r="C1160"/>
          <cell r="D1160"/>
          <cell r="E1160"/>
          <cell r="F1160"/>
        </row>
        <row r="1161">
          <cell r="A1161"/>
          <cell r="B1161"/>
          <cell r="C1161"/>
          <cell r="D1161"/>
          <cell r="E1161"/>
          <cell r="F1161"/>
        </row>
        <row r="1162">
          <cell r="A1162"/>
          <cell r="B1162"/>
          <cell r="C1162"/>
          <cell r="D1162"/>
          <cell r="E1162"/>
          <cell r="F1162"/>
        </row>
        <row r="1163">
          <cell r="A1163"/>
          <cell r="B1163"/>
          <cell r="C1163"/>
          <cell r="D1163"/>
          <cell r="E1163"/>
          <cell r="F1163"/>
        </row>
        <row r="1164">
          <cell r="A1164"/>
          <cell r="B1164"/>
          <cell r="C1164"/>
          <cell r="D1164"/>
          <cell r="E1164"/>
          <cell r="F1164"/>
        </row>
        <row r="1165">
          <cell r="A1165"/>
          <cell r="B1165"/>
          <cell r="C1165"/>
          <cell r="D1165"/>
          <cell r="E1165"/>
          <cell r="F1165"/>
        </row>
        <row r="1166">
          <cell r="A1166"/>
          <cell r="B1166"/>
          <cell r="C1166"/>
          <cell r="D1166"/>
          <cell r="E1166"/>
          <cell r="F1166"/>
        </row>
        <row r="1167">
          <cell r="A1167"/>
          <cell r="B1167"/>
          <cell r="C1167"/>
          <cell r="D1167"/>
          <cell r="E1167"/>
          <cell r="F1167"/>
        </row>
        <row r="1168">
          <cell r="A1168"/>
          <cell r="B1168"/>
          <cell r="C1168"/>
          <cell r="D1168"/>
          <cell r="E1168"/>
          <cell r="F1168"/>
        </row>
        <row r="1169">
          <cell r="A1169"/>
          <cell r="B1169"/>
          <cell r="C1169"/>
          <cell r="D1169"/>
          <cell r="E1169"/>
          <cell r="F1169"/>
        </row>
        <row r="1170">
          <cell r="A1170"/>
          <cell r="B1170"/>
          <cell r="C1170"/>
          <cell r="D1170"/>
          <cell r="E1170"/>
          <cell r="F1170"/>
        </row>
        <row r="1171">
          <cell r="A1171"/>
          <cell r="B1171"/>
          <cell r="C1171"/>
          <cell r="D1171"/>
          <cell r="E1171"/>
          <cell r="F1171"/>
        </row>
        <row r="1172">
          <cell r="A1172"/>
          <cell r="B1172"/>
          <cell r="C1172"/>
          <cell r="D1172"/>
          <cell r="E1172"/>
          <cell r="F1172"/>
        </row>
        <row r="1173">
          <cell r="A1173"/>
          <cell r="B1173"/>
          <cell r="C1173"/>
          <cell r="D1173"/>
          <cell r="E1173"/>
          <cell r="F1173"/>
        </row>
        <row r="1174">
          <cell r="A1174"/>
          <cell r="B1174"/>
          <cell r="C1174"/>
          <cell r="D1174"/>
          <cell r="E1174"/>
          <cell r="F1174"/>
        </row>
        <row r="1175">
          <cell r="A1175"/>
          <cell r="B1175"/>
          <cell r="C1175"/>
          <cell r="D1175"/>
          <cell r="E1175"/>
          <cell r="F1175"/>
        </row>
        <row r="1176">
          <cell r="A1176"/>
          <cell r="B1176"/>
          <cell r="C1176"/>
          <cell r="D1176"/>
          <cell r="E1176"/>
          <cell r="F1176"/>
        </row>
        <row r="1177">
          <cell r="A1177"/>
          <cell r="B1177"/>
          <cell r="C1177"/>
          <cell r="D1177"/>
          <cell r="E1177"/>
          <cell r="F1177"/>
        </row>
        <row r="1178">
          <cell r="A1178"/>
          <cell r="B1178"/>
          <cell r="C1178"/>
          <cell r="D1178"/>
          <cell r="E1178"/>
          <cell r="F1178"/>
        </row>
        <row r="1179">
          <cell r="A1179"/>
          <cell r="B1179"/>
          <cell r="C1179"/>
          <cell r="D1179"/>
          <cell r="E1179"/>
          <cell r="F1179"/>
        </row>
        <row r="1180">
          <cell r="A1180"/>
          <cell r="B1180"/>
          <cell r="C1180"/>
          <cell r="D1180"/>
          <cell r="E1180"/>
          <cell r="F1180"/>
        </row>
        <row r="1181">
          <cell r="A1181"/>
          <cell r="B1181"/>
          <cell r="C1181"/>
          <cell r="D1181"/>
          <cell r="E1181"/>
          <cell r="F1181"/>
        </row>
        <row r="1182">
          <cell r="A1182"/>
          <cell r="B1182"/>
          <cell r="C1182"/>
          <cell r="D1182"/>
          <cell r="E1182"/>
          <cell r="F1182"/>
        </row>
        <row r="1183">
          <cell r="A1183"/>
          <cell r="B1183"/>
          <cell r="C1183"/>
          <cell r="D1183"/>
          <cell r="E1183"/>
          <cell r="F1183"/>
        </row>
        <row r="1184">
          <cell r="A1184"/>
          <cell r="B1184"/>
          <cell r="C1184"/>
          <cell r="D1184"/>
          <cell r="E1184"/>
          <cell r="F1184"/>
        </row>
        <row r="1185">
          <cell r="A1185"/>
          <cell r="B1185"/>
          <cell r="C1185"/>
          <cell r="D1185"/>
          <cell r="E1185"/>
          <cell r="F1185"/>
        </row>
        <row r="1186">
          <cell r="A1186"/>
          <cell r="B1186"/>
          <cell r="C1186"/>
          <cell r="D1186"/>
          <cell r="E1186"/>
          <cell r="F1186"/>
        </row>
        <row r="1187">
          <cell r="A1187"/>
          <cell r="B1187"/>
          <cell r="C1187"/>
          <cell r="D1187"/>
          <cell r="E1187"/>
          <cell r="F1187"/>
        </row>
        <row r="1188">
          <cell r="A1188"/>
          <cell r="B1188"/>
          <cell r="C1188"/>
          <cell r="D1188"/>
          <cell r="E1188"/>
          <cell r="F1188"/>
        </row>
        <row r="1189">
          <cell r="A1189"/>
          <cell r="B1189"/>
          <cell r="C1189"/>
          <cell r="D1189"/>
          <cell r="E1189"/>
          <cell r="F1189"/>
        </row>
        <row r="1190">
          <cell r="A1190"/>
          <cell r="B1190"/>
          <cell r="C1190"/>
          <cell r="D1190"/>
          <cell r="E1190"/>
          <cell r="F1190"/>
        </row>
        <row r="1191">
          <cell r="A1191"/>
          <cell r="B1191"/>
          <cell r="C1191"/>
          <cell r="D1191"/>
          <cell r="E1191"/>
          <cell r="F1191"/>
        </row>
        <row r="1192">
          <cell r="A1192"/>
          <cell r="B1192"/>
          <cell r="C1192"/>
          <cell r="D1192"/>
          <cell r="E1192"/>
          <cell r="F1192"/>
        </row>
        <row r="1193">
          <cell r="A1193"/>
          <cell r="B1193"/>
          <cell r="C1193"/>
          <cell r="D1193"/>
          <cell r="E1193"/>
          <cell r="F1193"/>
        </row>
        <row r="1194">
          <cell r="A1194"/>
          <cell r="B1194"/>
          <cell r="C1194"/>
          <cell r="D1194"/>
          <cell r="E1194"/>
          <cell r="F1194"/>
        </row>
        <row r="1195">
          <cell r="A1195"/>
          <cell r="B1195"/>
          <cell r="C1195"/>
          <cell r="D1195"/>
          <cell r="E1195"/>
          <cell r="F1195"/>
        </row>
        <row r="1196">
          <cell r="A1196"/>
          <cell r="B1196"/>
          <cell r="C1196"/>
          <cell r="D1196"/>
          <cell r="E1196"/>
          <cell r="F1196"/>
        </row>
        <row r="1197">
          <cell r="A1197"/>
          <cell r="B1197"/>
          <cell r="C1197"/>
          <cell r="D1197"/>
          <cell r="E1197"/>
          <cell r="F1197"/>
        </row>
        <row r="1198">
          <cell r="A1198"/>
          <cell r="B1198"/>
          <cell r="C1198"/>
          <cell r="D1198"/>
          <cell r="E1198"/>
          <cell r="F1198"/>
        </row>
        <row r="1199">
          <cell r="A1199"/>
          <cell r="B1199"/>
          <cell r="C1199"/>
          <cell r="D1199"/>
          <cell r="E1199"/>
          <cell r="F1199"/>
        </row>
        <row r="1200">
          <cell r="A1200"/>
          <cell r="B1200"/>
          <cell r="C1200"/>
          <cell r="D1200"/>
          <cell r="E1200"/>
          <cell r="F1200"/>
        </row>
        <row r="1201">
          <cell r="A1201"/>
          <cell r="B1201"/>
          <cell r="C1201"/>
          <cell r="D1201"/>
          <cell r="E1201"/>
          <cell r="F1201"/>
        </row>
        <row r="1202">
          <cell r="A1202"/>
          <cell r="B1202"/>
          <cell r="C1202"/>
          <cell r="D1202"/>
          <cell r="E1202"/>
          <cell r="F1202"/>
        </row>
        <row r="1203">
          <cell r="A1203"/>
          <cell r="B1203"/>
          <cell r="C1203"/>
          <cell r="D1203"/>
          <cell r="E1203"/>
          <cell r="F1203"/>
        </row>
        <row r="1204">
          <cell r="A1204"/>
          <cell r="B1204"/>
          <cell r="C1204"/>
          <cell r="D1204"/>
          <cell r="E1204"/>
          <cell r="F1204"/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L846">
  <autoFilter ref="A1:L846" xr:uid="{00000000-0009-0000-0100-000001000000}"/>
  <tableColumns count="12">
    <tableColumn id="1" xr3:uid="{00000000-0010-0000-0000-000001000000}" name="Mês" totalsRowDxfId="108"/>
    <tableColumn id="2" xr3:uid="{00000000-0010-0000-0000-000002000000}" name="Data" totalsRowDxfId="107"/>
    <tableColumn id="3" xr3:uid="{00000000-0010-0000-0000-000003000000}" name="Produto" totalsRowDxfId="106"/>
    <tableColumn id="4" xr3:uid="{00000000-0010-0000-0000-000004000000}" name="QT" totalsRowDxfId="105"/>
    <tableColumn id="5" xr3:uid="{00000000-0010-0000-0000-000005000000}" name="Cliente" totalsRowDxfId="104"/>
    <tableColumn id="7" xr3:uid="{00000000-0010-0000-0000-000007000000}" name="Custo _x000a_Un" totalsRowDxfId="103"/>
    <tableColumn id="8" xr3:uid="{00000000-0010-0000-0000-000008000000}" name="Valor gasto" totalsRowDxfId="102"/>
    <tableColumn id="9" xr3:uid="{00000000-0010-0000-0000-000009000000}" name="Valor uni venda" totalsRowDxfId="101"/>
    <tableColumn id="10" xr3:uid="{00000000-0010-0000-0000-00000A000000}" name="Valor da _x000a_venda" totalsRowDxfId="100"/>
    <tableColumn id="11" xr3:uid="{00000000-0010-0000-0000-00000B000000}" name="Tipo de venda" totalsRowDxfId="99"/>
    <tableColumn id="13" xr3:uid="{00000000-0010-0000-0000-00000D000000}" name="Lucro" totalsRowDxfId="98"/>
    <tableColumn id="16" xr3:uid="{00000000-0010-0000-0000-000010000000}" name="Recebido _x000a_loja" totalsRowDxfId="97"/>
  </tableColumns>
  <tableStyleInfo name="V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4" displayName="Table_24" ref="A1:L922">
  <autoFilter ref="A1:L922" xr:uid="{00000000-0009-0000-0100-000002000000}"/>
  <tableColumns count="12">
    <tableColumn id="1" xr3:uid="{00000000-0010-0000-0100-000001000000}" name="Mês" dataDxfId="96" totalsRowDxfId="95"/>
    <tableColumn id="2" xr3:uid="{00000000-0010-0000-0100-000002000000}" name="Data" dataDxfId="94" totalsRowDxfId="93"/>
    <tableColumn id="3" xr3:uid="{00000000-0010-0000-0100-000003000000}" name="Produto" dataDxfId="92" totalsRowDxfId="91"/>
    <tableColumn id="4" xr3:uid="{00000000-0010-0000-0100-000004000000}" name="QT" dataDxfId="90" totalsRowDxfId="89"/>
    <tableColumn id="5" xr3:uid="{00000000-0010-0000-0100-000005000000}" name="Cliente" dataDxfId="88" totalsRowDxfId="87"/>
    <tableColumn id="7" xr3:uid="{00000000-0010-0000-0100-000007000000}" name="Custo _x000a_Un" dataDxfId="86" totalsRowDxfId="85"/>
    <tableColumn id="8" xr3:uid="{00000000-0010-0000-0100-000008000000}" name="Valor gasto" dataDxfId="84" totalsRowDxfId="83"/>
    <tableColumn id="9" xr3:uid="{00000000-0010-0000-0100-000009000000}" name="Valor uni venda" dataDxfId="82" totalsRowDxfId="81"/>
    <tableColumn id="10" xr3:uid="{00000000-0010-0000-0100-00000A000000}" name="Valor da _x000a_venda" dataDxfId="80" totalsRowDxfId="79"/>
    <tableColumn id="11" xr3:uid="{00000000-0010-0000-0100-00000B000000}" name="Tipo de venda" dataDxfId="78" totalsRowDxfId="77"/>
    <tableColumn id="13" xr3:uid="{00000000-0010-0000-0100-00000D000000}" name="Lucro" dataDxfId="76" totalsRowDxfId="75"/>
    <tableColumn id="16" xr3:uid="{00000000-0010-0000-0100-000010000000}" name="Recebido _x000a_loja" dataDxfId="74" totalsRowDxfId="73"/>
  </tableColumns>
  <tableStyleInfo name="V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46" displayName="Table_246" ref="A1:L1111" totalsRowCount="1">
  <tableColumns count="12">
    <tableColumn id="1" xr3:uid="{00000000-0010-0000-0200-000001000000}" name="Mês" totalsRowDxfId="71">
      <calculatedColumnFormula>IF(Table_246[[#This Row],[Data]]="","",MONTH(Table_246[[#This Row],[Data]]))</calculatedColumnFormula>
    </tableColumn>
    <tableColumn id="2" xr3:uid="{00000000-0010-0000-0200-000002000000}" name="Data" totalsRowDxfId="70"/>
    <tableColumn id="3" xr3:uid="{00000000-0010-0000-0200-000003000000}" name="Produto" totalsRowDxfId="69"/>
    <tableColumn id="4" xr3:uid="{00000000-0010-0000-0200-000004000000}" name="QT" totalsRowDxfId="68"/>
    <tableColumn id="5" xr3:uid="{00000000-0010-0000-0200-000005000000}" name="Cliente" totalsRowDxfId="67"/>
    <tableColumn id="7" xr3:uid="{00000000-0010-0000-0200-000007000000}" name="Custo _x000a_Un" totalsRowDxfId="66"/>
    <tableColumn id="8" xr3:uid="{00000000-0010-0000-0200-000008000000}" name="Valor gasto" totalsRowDxfId="65"/>
    <tableColumn id="9" xr3:uid="{00000000-0010-0000-0200-000009000000}" name="Valor uni venda" totalsRowDxfId="64"/>
    <tableColumn id="10" xr3:uid="{00000000-0010-0000-0200-00000A000000}" name="Valor da _x000a_venda" totalsRowDxfId="63"/>
    <tableColumn id="6" xr3:uid="{00000000-0010-0000-0200-000006000000}" name="Tipo de venda" dataDxfId="72" totalsRowDxfId="62"/>
    <tableColumn id="13" xr3:uid="{00000000-0010-0000-0200-00000D000000}" name="Lucro" totalsRowDxfId="61"/>
    <tableColumn id="16" xr3:uid="{00000000-0010-0000-0200-000010000000}" name="Recebido _x000a_loja" totalsRowDxfId="60"/>
  </tableColumns>
  <tableStyleInfo name="Ven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C18-5453-DE6D-E278-76D98E3F9448}">
  <dimension ref="A1:L991"/>
  <sheetViews>
    <sheetView showGridLines="0" topLeftCell="B1" workbookViewId="0">
      <selection activeCell="J1" sqref="J1"/>
    </sheetView>
  </sheetViews>
  <sheetFormatPr defaultColWidth="14.42578125" defaultRowHeight="15" customHeight="1" x14ac:dyDescent="0.25"/>
  <cols>
    <col min="1" max="1" width="7" customWidth="1"/>
    <col min="2" max="2" width="11" customWidth="1"/>
    <col min="3" max="3" width="42.5703125" customWidth="1"/>
    <col min="4" max="4" width="8.85546875" customWidth="1"/>
    <col min="5" max="5" width="23.42578125" bestFit="1" customWidth="1"/>
    <col min="6" max="6" width="12.5703125" customWidth="1"/>
    <col min="7" max="7" width="12.140625" customWidth="1"/>
    <col min="8" max="8" width="16.28515625" bestFit="1" customWidth="1"/>
    <col min="9" max="9" width="15.28515625" customWidth="1"/>
    <col min="10" max="10" width="13.5703125" bestFit="1" customWidth="1"/>
    <col min="11" max="11" width="12.42578125" customWidth="1"/>
    <col min="12" max="12" width="13.28515625" customWidth="1"/>
  </cols>
  <sheetData>
    <row r="1" spans="1:12" ht="33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</row>
    <row r="2" spans="1:12" ht="15" customHeight="1" x14ac:dyDescent="0.25">
      <c r="A2" s="18">
        <v>1</v>
      </c>
      <c r="B2" s="22">
        <v>45313</v>
      </c>
      <c r="C2" s="27" t="s">
        <v>12</v>
      </c>
      <c r="D2" s="33">
        <v>1</v>
      </c>
      <c r="E2" s="38" t="s">
        <v>13</v>
      </c>
      <c r="F2" s="42">
        <v>7</v>
      </c>
      <c r="G2" s="9">
        <v>7</v>
      </c>
      <c r="H2" s="43">
        <v>15</v>
      </c>
      <c r="I2" s="9">
        <v>15</v>
      </c>
      <c r="J2" s="38" t="s">
        <v>14</v>
      </c>
      <c r="K2" s="43">
        <v>8</v>
      </c>
      <c r="L2" s="43" t="s">
        <v>15</v>
      </c>
    </row>
    <row r="3" spans="1:12" ht="15" customHeight="1" x14ac:dyDescent="0.25">
      <c r="A3" s="18">
        <v>1</v>
      </c>
      <c r="B3" s="22">
        <v>45313</v>
      </c>
      <c r="C3" s="27" t="s">
        <v>16</v>
      </c>
      <c r="D3" s="33">
        <v>1</v>
      </c>
      <c r="E3" s="38" t="s">
        <v>17</v>
      </c>
      <c r="F3" s="42">
        <v>37</v>
      </c>
      <c r="G3" s="9">
        <v>37</v>
      </c>
      <c r="H3" s="43">
        <v>55.5</v>
      </c>
      <c r="I3" s="9">
        <v>55.5</v>
      </c>
      <c r="J3" s="38" t="s">
        <v>17</v>
      </c>
      <c r="K3" s="43">
        <v>18.5</v>
      </c>
      <c r="L3" s="43" t="s">
        <v>15</v>
      </c>
    </row>
    <row r="4" spans="1:12" ht="15" customHeight="1" x14ac:dyDescent="0.25">
      <c r="A4" s="18">
        <v>1</v>
      </c>
      <c r="B4" s="22">
        <v>45314</v>
      </c>
      <c r="C4" s="27" t="s">
        <v>16</v>
      </c>
      <c r="D4" s="33">
        <v>1</v>
      </c>
      <c r="E4" s="38" t="s">
        <v>18</v>
      </c>
      <c r="F4" s="42">
        <v>37</v>
      </c>
      <c r="G4" s="9">
        <v>37</v>
      </c>
      <c r="H4" s="43">
        <v>60</v>
      </c>
      <c r="I4" s="9">
        <v>60</v>
      </c>
      <c r="J4" s="38" t="s">
        <v>14</v>
      </c>
      <c r="K4" s="43">
        <v>23</v>
      </c>
      <c r="L4" s="43" t="s">
        <v>15</v>
      </c>
    </row>
    <row r="5" spans="1:12" ht="15" customHeight="1" x14ac:dyDescent="0.25">
      <c r="A5" s="18">
        <v>1</v>
      </c>
      <c r="B5" s="22">
        <v>45315</v>
      </c>
      <c r="C5" s="27" t="s">
        <v>19</v>
      </c>
      <c r="D5" s="33">
        <v>1</v>
      </c>
      <c r="E5" s="38" t="s">
        <v>20</v>
      </c>
      <c r="F5" s="42">
        <v>18</v>
      </c>
      <c r="G5" s="9">
        <v>18</v>
      </c>
      <c r="H5" s="43">
        <v>30</v>
      </c>
      <c r="I5" s="9">
        <v>30</v>
      </c>
      <c r="J5" s="38" t="s">
        <v>14</v>
      </c>
      <c r="K5" s="43">
        <v>12</v>
      </c>
      <c r="L5" s="43" t="s">
        <v>15</v>
      </c>
    </row>
    <row r="6" spans="1:12" ht="15" customHeight="1" x14ac:dyDescent="0.25">
      <c r="A6" s="18">
        <v>1</v>
      </c>
      <c r="B6" s="22">
        <v>45316</v>
      </c>
      <c r="C6" s="27" t="s">
        <v>19</v>
      </c>
      <c r="D6" s="33">
        <v>1</v>
      </c>
      <c r="E6" s="38" t="s">
        <v>20</v>
      </c>
      <c r="F6" s="42">
        <v>18</v>
      </c>
      <c r="G6" s="9">
        <v>18</v>
      </c>
      <c r="H6" s="43">
        <v>20</v>
      </c>
      <c r="I6" s="9">
        <v>20</v>
      </c>
      <c r="J6" s="38" t="s">
        <v>14</v>
      </c>
      <c r="K6" s="43">
        <v>2</v>
      </c>
      <c r="L6" s="43" t="s">
        <v>15</v>
      </c>
    </row>
    <row r="7" spans="1:12" ht="15" customHeight="1" x14ac:dyDescent="0.25">
      <c r="A7" s="18">
        <v>1</v>
      </c>
      <c r="B7" s="22">
        <v>45317</v>
      </c>
      <c r="C7" s="27" t="s">
        <v>21</v>
      </c>
      <c r="D7" s="33">
        <v>1</v>
      </c>
      <c r="E7" s="38" t="s">
        <v>20</v>
      </c>
      <c r="F7" s="42">
        <v>80</v>
      </c>
      <c r="G7" s="9">
        <v>80</v>
      </c>
      <c r="H7" s="43">
        <v>140</v>
      </c>
      <c r="I7" s="9">
        <v>140</v>
      </c>
      <c r="J7" s="38" t="s">
        <v>14</v>
      </c>
      <c r="K7" s="43">
        <v>60</v>
      </c>
      <c r="L7" s="43" t="s">
        <v>15</v>
      </c>
    </row>
    <row r="8" spans="1:12" ht="15" customHeight="1" x14ac:dyDescent="0.25">
      <c r="A8" s="18">
        <v>1</v>
      </c>
      <c r="B8" s="22">
        <v>45318</v>
      </c>
      <c r="C8" s="27" t="s">
        <v>22</v>
      </c>
      <c r="D8" s="33">
        <v>1</v>
      </c>
      <c r="E8" s="38" t="s">
        <v>23</v>
      </c>
      <c r="F8" s="42">
        <v>14</v>
      </c>
      <c r="G8" s="9">
        <v>14</v>
      </c>
      <c r="H8" s="43">
        <v>30</v>
      </c>
      <c r="I8" s="9">
        <v>30</v>
      </c>
      <c r="J8" s="38" t="s">
        <v>24</v>
      </c>
      <c r="K8" s="43">
        <v>16</v>
      </c>
      <c r="L8" s="43" t="s">
        <v>15</v>
      </c>
    </row>
    <row r="9" spans="1:12" ht="15" customHeight="1" x14ac:dyDescent="0.25">
      <c r="A9" s="18">
        <v>1</v>
      </c>
      <c r="B9" s="22">
        <v>45318</v>
      </c>
      <c r="C9" s="27" t="s">
        <v>22</v>
      </c>
      <c r="D9" s="33">
        <v>1</v>
      </c>
      <c r="E9" s="38" t="s">
        <v>23</v>
      </c>
      <c r="F9" s="42">
        <v>14</v>
      </c>
      <c r="G9" s="9">
        <v>14</v>
      </c>
      <c r="H9" s="43">
        <v>30</v>
      </c>
      <c r="I9" s="9">
        <v>30</v>
      </c>
      <c r="J9" s="38" t="s">
        <v>24</v>
      </c>
      <c r="K9" s="43">
        <v>16</v>
      </c>
      <c r="L9" s="43" t="s">
        <v>15</v>
      </c>
    </row>
    <row r="10" spans="1:12" ht="15" customHeight="1" x14ac:dyDescent="0.25">
      <c r="A10" s="18">
        <v>1</v>
      </c>
      <c r="B10" s="22">
        <v>45318</v>
      </c>
      <c r="C10" s="27" t="s">
        <v>22</v>
      </c>
      <c r="D10" s="33">
        <v>1</v>
      </c>
      <c r="E10" s="38" t="s">
        <v>23</v>
      </c>
      <c r="F10" s="42">
        <v>14</v>
      </c>
      <c r="G10" s="9">
        <v>14</v>
      </c>
      <c r="H10" s="43">
        <v>30</v>
      </c>
      <c r="I10" s="9">
        <v>30</v>
      </c>
      <c r="J10" s="38" t="s">
        <v>24</v>
      </c>
      <c r="K10" s="43">
        <v>16</v>
      </c>
      <c r="L10" s="43" t="s">
        <v>15</v>
      </c>
    </row>
    <row r="11" spans="1:12" ht="15" customHeight="1" x14ac:dyDescent="0.25">
      <c r="A11" s="18">
        <v>1</v>
      </c>
      <c r="B11" s="22">
        <v>45318</v>
      </c>
      <c r="C11" s="27" t="s">
        <v>22</v>
      </c>
      <c r="D11" s="33">
        <v>1</v>
      </c>
      <c r="E11" s="38" t="s">
        <v>23</v>
      </c>
      <c r="F11" s="42">
        <v>14</v>
      </c>
      <c r="G11" s="9">
        <v>14</v>
      </c>
      <c r="H11" s="43">
        <v>30</v>
      </c>
      <c r="I11" s="9">
        <v>30</v>
      </c>
      <c r="J11" s="38" t="s">
        <v>24</v>
      </c>
      <c r="K11" s="43">
        <v>16</v>
      </c>
      <c r="L11" s="43" t="s">
        <v>15</v>
      </c>
    </row>
    <row r="12" spans="1:12" ht="15" customHeight="1" x14ac:dyDescent="0.25">
      <c r="A12" s="18">
        <v>1</v>
      </c>
      <c r="B12" s="22">
        <v>45318</v>
      </c>
      <c r="C12" s="27" t="s">
        <v>19</v>
      </c>
      <c r="D12" s="33">
        <v>1</v>
      </c>
      <c r="E12" s="38" t="s">
        <v>20</v>
      </c>
      <c r="F12" s="42">
        <v>18</v>
      </c>
      <c r="G12" s="9">
        <v>18</v>
      </c>
      <c r="H12" s="43">
        <v>20</v>
      </c>
      <c r="I12" s="9">
        <v>20</v>
      </c>
      <c r="J12" s="38" t="s">
        <v>14</v>
      </c>
      <c r="K12" s="43">
        <v>2</v>
      </c>
      <c r="L12" s="43" t="s">
        <v>15</v>
      </c>
    </row>
    <row r="13" spans="1:12" ht="15" customHeight="1" x14ac:dyDescent="0.25">
      <c r="A13" s="18">
        <v>1</v>
      </c>
      <c r="B13" s="22">
        <v>45318</v>
      </c>
      <c r="C13" s="27" t="s">
        <v>25</v>
      </c>
      <c r="D13" s="33">
        <v>1</v>
      </c>
      <c r="E13" s="38" t="s">
        <v>20</v>
      </c>
      <c r="F13" s="42">
        <v>75</v>
      </c>
      <c r="G13" s="9">
        <v>75</v>
      </c>
      <c r="H13" s="43">
        <v>150</v>
      </c>
      <c r="I13" s="9">
        <v>150</v>
      </c>
      <c r="J13" s="38" t="s">
        <v>14</v>
      </c>
      <c r="K13" s="43">
        <v>75</v>
      </c>
      <c r="L13" s="43" t="s">
        <v>15</v>
      </c>
    </row>
    <row r="14" spans="1:12" ht="15" customHeight="1" x14ac:dyDescent="0.25">
      <c r="A14" s="18">
        <v>1</v>
      </c>
      <c r="B14" s="22">
        <v>45318</v>
      </c>
      <c r="C14" s="27" t="s">
        <v>26</v>
      </c>
      <c r="D14" s="33">
        <v>1</v>
      </c>
      <c r="E14" s="38" t="s">
        <v>20</v>
      </c>
      <c r="F14" s="42">
        <v>7.5</v>
      </c>
      <c r="G14" s="9">
        <v>7.5</v>
      </c>
      <c r="H14" s="43">
        <v>12</v>
      </c>
      <c r="I14" s="9">
        <v>12</v>
      </c>
      <c r="J14" s="38" t="s">
        <v>14</v>
      </c>
      <c r="K14" s="43">
        <v>4.5</v>
      </c>
      <c r="L14" s="43" t="s">
        <v>15</v>
      </c>
    </row>
    <row r="15" spans="1:12" ht="15" customHeight="1" x14ac:dyDescent="0.25">
      <c r="A15" s="18">
        <v>1</v>
      </c>
      <c r="B15" s="22">
        <v>45318</v>
      </c>
      <c r="C15" s="27" t="s">
        <v>27</v>
      </c>
      <c r="D15" s="33">
        <v>1</v>
      </c>
      <c r="E15" s="38" t="s">
        <v>20</v>
      </c>
      <c r="F15" s="42">
        <v>10</v>
      </c>
      <c r="G15" s="9">
        <v>10</v>
      </c>
      <c r="H15" s="43">
        <v>15</v>
      </c>
      <c r="I15" s="9">
        <v>15</v>
      </c>
      <c r="J15" s="38" t="s">
        <v>14</v>
      </c>
      <c r="K15" s="43">
        <v>5</v>
      </c>
      <c r="L15" s="43" t="s">
        <v>15</v>
      </c>
    </row>
    <row r="16" spans="1:12" ht="15" customHeight="1" x14ac:dyDescent="0.25">
      <c r="A16" s="18">
        <v>1</v>
      </c>
      <c r="B16" s="22">
        <v>45318</v>
      </c>
      <c r="C16" s="27" t="s">
        <v>28</v>
      </c>
      <c r="D16" s="33">
        <v>1</v>
      </c>
      <c r="E16" s="38" t="s">
        <v>20</v>
      </c>
      <c r="F16" s="42">
        <v>28</v>
      </c>
      <c r="G16" s="9">
        <v>28</v>
      </c>
      <c r="H16" s="43">
        <v>50</v>
      </c>
      <c r="I16" s="9">
        <v>50</v>
      </c>
      <c r="J16" s="38" t="s">
        <v>14</v>
      </c>
      <c r="K16" s="43">
        <v>22</v>
      </c>
      <c r="L16" s="43" t="s">
        <v>15</v>
      </c>
    </row>
    <row r="17" spans="1:12" ht="15" customHeight="1" x14ac:dyDescent="0.25">
      <c r="A17" s="18">
        <v>1</v>
      </c>
      <c r="B17" s="22">
        <v>45318</v>
      </c>
      <c r="C17" s="27" t="s">
        <v>29</v>
      </c>
      <c r="D17" s="33">
        <v>1</v>
      </c>
      <c r="E17" s="38" t="s">
        <v>30</v>
      </c>
      <c r="F17" s="42">
        <v>22</v>
      </c>
      <c r="G17" s="9">
        <v>22</v>
      </c>
      <c r="H17" s="43">
        <v>35</v>
      </c>
      <c r="I17" s="9">
        <v>35</v>
      </c>
      <c r="J17" s="38" t="s">
        <v>14</v>
      </c>
      <c r="K17" s="43">
        <v>13</v>
      </c>
      <c r="L17" s="43" t="s">
        <v>15</v>
      </c>
    </row>
    <row r="18" spans="1:12" ht="15" customHeight="1" x14ac:dyDescent="0.25">
      <c r="A18" s="18">
        <v>1</v>
      </c>
      <c r="B18" s="22">
        <v>45318</v>
      </c>
      <c r="C18" s="27" t="s">
        <v>31</v>
      </c>
      <c r="D18" s="33">
        <v>1</v>
      </c>
      <c r="E18" s="38" t="s">
        <v>20</v>
      </c>
      <c r="F18" s="42">
        <v>31.99</v>
      </c>
      <c r="G18" s="9">
        <v>31.99</v>
      </c>
      <c r="H18" s="43">
        <v>50</v>
      </c>
      <c r="I18" s="9">
        <v>50</v>
      </c>
      <c r="J18" s="38" t="s">
        <v>14</v>
      </c>
      <c r="K18" s="43">
        <v>18.010000000000002</v>
      </c>
      <c r="L18" s="43" t="s">
        <v>15</v>
      </c>
    </row>
    <row r="19" spans="1:12" ht="15" customHeight="1" x14ac:dyDescent="0.25">
      <c r="A19" s="18">
        <v>1</v>
      </c>
      <c r="B19" s="22">
        <v>45318</v>
      </c>
      <c r="C19" s="27" t="s">
        <v>32</v>
      </c>
      <c r="D19" s="33">
        <v>1</v>
      </c>
      <c r="E19" s="38" t="s">
        <v>33</v>
      </c>
      <c r="F19" s="42">
        <v>30</v>
      </c>
      <c r="G19" s="9">
        <v>30</v>
      </c>
      <c r="H19" s="43">
        <v>45</v>
      </c>
      <c r="I19" s="9">
        <v>45</v>
      </c>
      <c r="J19" s="38" t="s">
        <v>14</v>
      </c>
      <c r="K19" s="43">
        <v>15</v>
      </c>
      <c r="L19" s="43" t="s">
        <v>15</v>
      </c>
    </row>
    <row r="20" spans="1:12" ht="15" customHeight="1" x14ac:dyDescent="0.25">
      <c r="A20" s="18">
        <v>1</v>
      </c>
      <c r="B20" s="22">
        <v>45318</v>
      </c>
      <c r="C20" s="27" t="s">
        <v>34</v>
      </c>
      <c r="D20" s="33">
        <v>1</v>
      </c>
      <c r="E20" s="38" t="s">
        <v>35</v>
      </c>
      <c r="F20" s="42">
        <v>9</v>
      </c>
      <c r="G20" s="9">
        <v>9</v>
      </c>
      <c r="H20" s="43">
        <v>20</v>
      </c>
      <c r="I20" s="9">
        <v>20</v>
      </c>
      <c r="J20" s="38" t="s">
        <v>14</v>
      </c>
      <c r="K20" s="43">
        <v>11</v>
      </c>
      <c r="L20" s="43" t="s">
        <v>15</v>
      </c>
    </row>
    <row r="21" spans="1:12" ht="15" customHeight="1" x14ac:dyDescent="0.25">
      <c r="A21" s="18">
        <v>1</v>
      </c>
      <c r="B21" s="22">
        <v>45318</v>
      </c>
      <c r="C21" s="27" t="s">
        <v>22</v>
      </c>
      <c r="D21" s="33">
        <v>1</v>
      </c>
      <c r="E21" s="38" t="s">
        <v>36</v>
      </c>
      <c r="F21" s="42">
        <v>14</v>
      </c>
      <c r="G21" s="9">
        <v>14</v>
      </c>
      <c r="H21" s="43">
        <v>25</v>
      </c>
      <c r="I21" s="9">
        <v>25</v>
      </c>
      <c r="J21" s="38" t="s">
        <v>14</v>
      </c>
      <c r="K21" s="43">
        <v>11</v>
      </c>
      <c r="L21" s="43" t="s">
        <v>15</v>
      </c>
    </row>
    <row r="22" spans="1:12" ht="15" customHeight="1" x14ac:dyDescent="0.25">
      <c r="A22" s="18">
        <v>1</v>
      </c>
      <c r="B22" s="22">
        <v>45318</v>
      </c>
      <c r="C22" s="27" t="s">
        <v>27</v>
      </c>
      <c r="D22" s="33">
        <v>1</v>
      </c>
      <c r="E22" s="38" t="s">
        <v>36</v>
      </c>
      <c r="F22" s="42">
        <v>10</v>
      </c>
      <c r="G22" s="9">
        <v>10</v>
      </c>
      <c r="H22" s="43">
        <v>20</v>
      </c>
      <c r="I22" s="9">
        <v>20</v>
      </c>
      <c r="J22" s="38" t="s">
        <v>14</v>
      </c>
      <c r="K22" s="43">
        <v>10</v>
      </c>
      <c r="L22" s="43" t="s">
        <v>15</v>
      </c>
    </row>
    <row r="23" spans="1:12" ht="15" customHeight="1" x14ac:dyDescent="0.25">
      <c r="A23" s="18">
        <v>1</v>
      </c>
      <c r="B23" s="22">
        <v>45318</v>
      </c>
      <c r="C23" s="27" t="s">
        <v>37</v>
      </c>
      <c r="D23" s="33">
        <v>1</v>
      </c>
      <c r="E23" s="38" t="s">
        <v>20</v>
      </c>
      <c r="F23" s="42">
        <v>22</v>
      </c>
      <c r="G23" s="9">
        <v>22</v>
      </c>
      <c r="H23" s="43">
        <v>40</v>
      </c>
      <c r="I23" s="9">
        <v>40</v>
      </c>
      <c r="J23" s="38" t="s">
        <v>14</v>
      </c>
      <c r="K23" s="43">
        <v>18</v>
      </c>
      <c r="L23" s="43" t="s">
        <v>15</v>
      </c>
    </row>
    <row r="24" spans="1:12" ht="15" customHeight="1" x14ac:dyDescent="0.25">
      <c r="A24" s="18">
        <v>1</v>
      </c>
      <c r="B24" s="22">
        <v>45318</v>
      </c>
      <c r="C24" s="27" t="s">
        <v>38</v>
      </c>
      <c r="D24" s="33">
        <v>1</v>
      </c>
      <c r="E24" s="38" t="s">
        <v>39</v>
      </c>
      <c r="F24" s="42">
        <v>20</v>
      </c>
      <c r="G24" s="9">
        <v>20</v>
      </c>
      <c r="H24" s="43">
        <v>45</v>
      </c>
      <c r="I24" s="9">
        <v>45</v>
      </c>
      <c r="J24" s="38" t="s">
        <v>14</v>
      </c>
      <c r="K24" s="43">
        <v>25</v>
      </c>
      <c r="L24" s="43" t="s">
        <v>15</v>
      </c>
    </row>
    <row r="25" spans="1:12" ht="15" customHeight="1" x14ac:dyDescent="0.25">
      <c r="A25" s="18">
        <v>1</v>
      </c>
      <c r="B25" s="22">
        <v>45318</v>
      </c>
      <c r="C25" s="27" t="s">
        <v>40</v>
      </c>
      <c r="D25" s="33">
        <v>1</v>
      </c>
      <c r="E25" s="38" t="s">
        <v>39</v>
      </c>
      <c r="F25" s="42">
        <v>15</v>
      </c>
      <c r="G25" s="9">
        <v>15</v>
      </c>
      <c r="H25" s="43">
        <v>30</v>
      </c>
      <c r="I25" s="9">
        <v>30</v>
      </c>
      <c r="J25" s="38" t="s">
        <v>14</v>
      </c>
      <c r="K25" s="43">
        <v>15</v>
      </c>
      <c r="L25" s="43" t="s">
        <v>15</v>
      </c>
    </row>
    <row r="26" spans="1:12" ht="15" customHeight="1" x14ac:dyDescent="0.25">
      <c r="A26" s="18">
        <v>1</v>
      </c>
      <c r="B26" s="22">
        <v>45318</v>
      </c>
      <c r="C26" s="27" t="s">
        <v>41</v>
      </c>
      <c r="D26" s="33">
        <v>1</v>
      </c>
      <c r="E26" s="38" t="s">
        <v>20</v>
      </c>
      <c r="F26" s="42">
        <v>3.5</v>
      </c>
      <c r="G26" s="9">
        <v>3.5</v>
      </c>
      <c r="H26" s="43">
        <v>10</v>
      </c>
      <c r="I26" s="9">
        <v>10</v>
      </c>
      <c r="J26" s="38" t="s">
        <v>14</v>
      </c>
      <c r="K26" s="43">
        <v>6.5</v>
      </c>
      <c r="L26" s="43" t="s">
        <v>15</v>
      </c>
    </row>
    <row r="27" spans="1:12" ht="15" customHeight="1" x14ac:dyDescent="0.25">
      <c r="A27" s="18">
        <v>1</v>
      </c>
      <c r="B27" s="22">
        <v>45321</v>
      </c>
      <c r="C27" s="27" t="s">
        <v>42</v>
      </c>
      <c r="D27" s="33">
        <v>1</v>
      </c>
      <c r="E27" s="38" t="s">
        <v>43</v>
      </c>
      <c r="F27" s="42">
        <v>40</v>
      </c>
      <c r="G27" s="9">
        <v>40</v>
      </c>
      <c r="H27" s="43">
        <v>65</v>
      </c>
      <c r="I27" s="9">
        <v>65</v>
      </c>
      <c r="J27" s="38" t="s">
        <v>14</v>
      </c>
      <c r="K27" s="43">
        <v>25</v>
      </c>
      <c r="L27" s="43" t="s">
        <v>15</v>
      </c>
    </row>
    <row r="28" spans="1:12" ht="15" customHeight="1" x14ac:dyDescent="0.25">
      <c r="A28" s="18">
        <v>1</v>
      </c>
      <c r="B28" s="22">
        <v>45321</v>
      </c>
      <c r="C28" s="27" t="s">
        <v>44</v>
      </c>
      <c r="D28" s="33">
        <v>1</v>
      </c>
      <c r="E28" s="38" t="s">
        <v>45</v>
      </c>
      <c r="F28" s="42">
        <v>27.5</v>
      </c>
      <c r="G28" s="9">
        <v>27.5</v>
      </c>
      <c r="H28" s="43">
        <v>50</v>
      </c>
      <c r="I28" s="9">
        <v>50</v>
      </c>
      <c r="J28" s="38" t="s">
        <v>14</v>
      </c>
      <c r="K28" s="43">
        <v>22.5</v>
      </c>
      <c r="L28" s="43" t="s">
        <v>15</v>
      </c>
    </row>
    <row r="29" spans="1:12" ht="15" customHeight="1" x14ac:dyDescent="0.25">
      <c r="A29" s="18">
        <v>1</v>
      </c>
      <c r="B29" s="22">
        <v>45321</v>
      </c>
      <c r="C29" s="27" t="s">
        <v>46</v>
      </c>
      <c r="D29" s="33">
        <v>1</v>
      </c>
      <c r="E29" s="38" t="s">
        <v>20</v>
      </c>
      <c r="F29" s="42">
        <v>13</v>
      </c>
      <c r="G29" s="9">
        <v>13</v>
      </c>
      <c r="H29" s="43">
        <v>25</v>
      </c>
      <c r="I29" s="9">
        <v>25</v>
      </c>
      <c r="J29" s="38" t="s">
        <v>14</v>
      </c>
      <c r="K29" s="43">
        <v>12</v>
      </c>
      <c r="L29" s="43" t="s">
        <v>15</v>
      </c>
    </row>
    <row r="30" spans="1:12" ht="15" customHeight="1" x14ac:dyDescent="0.25">
      <c r="A30" s="18">
        <v>1</v>
      </c>
      <c r="B30" s="22">
        <v>45321</v>
      </c>
      <c r="C30" s="27" t="s">
        <v>47</v>
      </c>
      <c r="D30" s="33">
        <v>1</v>
      </c>
      <c r="E30" s="38" t="s">
        <v>20</v>
      </c>
      <c r="F30" s="42">
        <v>8</v>
      </c>
      <c r="G30" s="9">
        <v>8</v>
      </c>
      <c r="H30" s="43">
        <v>20</v>
      </c>
      <c r="I30" s="9">
        <v>20</v>
      </c>
      <c r="J30" s="38" t="s">
        <v>14</v>
      </c>
      <c r="K30" s="43">
        <v>12</v>
      </c>
      <c r="L30" s="43" t="s">
        <v>15</v>
      </c>
    </row>
    <row r="31" spans="1:12" ht="15" customHeight="1" x14ac:dyDescent="0.25">
      <c r="A31" s="18">
        <v>1</v>
      </c>
      <c r="B31" s="22">
        <v>45321</v>
      </c>
      <c r="C31" s="27" t="s">
        <v>42</v>
      </c>
      <c r="D31" s="33">
        <v>1</v>
      </c>
      <c r="E31" s="38" t="s">
        <v>20</v>
      </c>
      <c r="F31" s="42">
        <v>40</v>
      </c>
      <c r="G31" s="9">
        <v>40</v>
      </c>
      <c r="H31" s="43">
        <v>70</v>
      </c>
      <c r="I31" s="9">
        <v>70</v>
      </c>
      <c r="J31" s="38" t="s">
        <v>14</v>
      </c>
      <c r="K31" s="43">
        <v>30</v>
      </c>
      <c r="L31" s="43" t="s">
        <v>15</v>
      </c>
    </row>
    <row r="32" spans="1:12" ht="15" customHeight="1" x14ac:dyDescent="0.25">
      <c r="A32" s="18">
        <v>1</v>
      </c>
      <c r="B32" s="22">
        <v>45321</v>
      </c>
      <c r="C32" s="27" t="s">
        <v>48</v>
      </c>
      <c r="D32" s="33">
        <v>1</v>
      </c>
      <c r="E32" s="38" t="s">
        <v>20</v>
      </c>
      <c r="F32" s="42">
        <v>3</v>
      </c>
      <c r="G32" s="9">
        <v>3</v>
      </c>
      <c r="H32" s="43">
        <v>20</v>
      </c>
      <c r="I32" s="9">
        <v>20</v>
      </c>
      <c r="J32" s="38" t="s">
        <v>14</v>
      </c>
      <c r="K32" s="43">
        <v>17</v>
      </c>
      <c r="L32" s="43" t="s">
        <v>15</v>
      </c>
    </row>
    <row r="33" spans="1:12" ht="15" customHeight="1" x14ac:dyDescent="0.25">
      <c r="A33" s="18">
        <v>1</v>
      </c>
      <c r="B33" s="22">
        <v>45322</v>
      </c>
      <c r="C33" s="27" t="s">
        <v>44</v>
      </c>
      <c r="D33" s="33">
        <v>1</v>
      </c>
      <c r="E33" s="38" t="s">
        <v>49</v>
      </c>
      <c r="F33" s="42">
        <v>27.5</v>
      </c>
      <c r="G33" s="9">
        <v>27.5</v>
      </c>
      <c r="H33" s="43">
        <v>50</v>
      </c>
      <c r="I33" s="9">
        <v>50</v>
      </c>
      <c r="J33" s="38" t="s">
        <v>14</v>
      </c>
      <c r="K33" s="43">
        <v>22.5</v>
      </c>
      <c r="L33" s="43" t="s">
        <v>15</v>
      </c>
    </row>
    <row r="34" spans="1:12" ht="15" customHeight="1" x14ac:dyDescent="0.25">
      <c r="A34" s="18">
        <v>1</v>
      </c>
      <c r="B34" s="22">
        <v>45322</v>
      </c>
      <c r="C34" s="27" t="s">
        <v>50</v>
      </c>
      <c r="D34" s="33">
        <v>1</v>
      </c>
      <c r="E34" s="38" t="s">
        <v>51</v>
      </c>
      <c r="F34" s="42">
        <v>11</v>
      </c>
      <c r="G34" s="9">
        <v>11</v>
      </c>
      <c r="H34" s="43">
        <v>20</v>
      </c>
      <c r="I34" s="9">
        <v>20</v>
      </c>
      <c r="J34" s="38" t="s">
        <v>14</v>
      </c>
      <c r="K34" s="43">
        <v>9</v>
      </c>
      <c r="L34" s="43" t="s">
        <v>15</v>
      </c>
    </row>
    <row r="35" spans="1:12" ht="15" customHeight="1" x14ac:dyDescent="0.25">
      <c r="A35" s="18">
        <v>1</v>
      </c>
      <c r="B35" s="22">
        <v>45322</v>
      </c>
      <c r="C35" s="27" t="s">
        <v>52</v>
      </c>
      <c r="D35" s="33">
        <v>1</v>
      </c>
      <c r="E35" s="38" t="s">
        <v>20</v>
      </c>
      <c r="F35" s="42">
        <v>8</v>
      </c>
      <c r="G35" s="9">
        <v>8</v>
      </c>
      <c r="H35" s="43">
        <v>15</v>
      </c>
      <c r="I35" s="9">
        <v>15</v>
      </c>
      <c r="J35" s="38" t="s">
        <v>14</v>
      </c>
      <c r="K35" s="43">
        <v>7</v>
      </c>
      <c r="L35" s="43" t="s">
        <v>15</v>
      </c>
    </row>
    <row r="36" spans="1:12" ht="15" customHeight="1" x14ac:dyDescent="0.25">
      <c r="A36" s="18">
        <v>1</v>
      </c>
      <c r="B36" s="22">
        <v>45322</v>
      </c>
      <c r="C36" s="27" t="s">
        <v>53</v>
      </c>
      <c r="D36" s="33">
        <v>1</v>
      </c>
      <c r="E36" s="38" t="s">
        <v>20</v>
      </c>
      <c r="F36" s="42">
        <v>26</v>
      </c>
      <c r="G36" s="9">
        <v>26</v>
      </c>
      <c r="H36" s="43">
        <v>45</v>
      </c>
      <c r="I36" s="9">
        <v>45</v>
      </c>
      <c r="J36" s="38" t="s">
        <v>14</v>
      </c>
      <c r="K36" s="43">
        <v>19</v>
      </c>
      <c r="L36" s="43" t="s">
        <v>15</v>
      </c>
    </row>
    <row r="37" spans="1:12" ht="15" customHeight="1" x14ac:dyDescent="0.25">
      <c r="A37" s="18">
        <v>1</v>
      </c>
      <c r="B37" s="22">
        <v>45322</v>
      </c>
      <c r="C37" s="27" t="s">
        <v>28</v>
      </c>
      <c r="D37" s="33">
        <v>1</v>
      </c>
      <c r="E37" s="38" t="s">
        <v>54</v>
      </c>
      <c r="F37" s="42">
        <v>28</v>
      </c>
      <c r="G37" s="9">
        <v>28</v>
      </c>
      <c r="H37" s="43">
        <v>45</v>
      </c>
      <c r="I37" s="9">
        <v>45</v>
      </c>
      <c r="J37" s="38" t="s">
        <v>14</v>
      </c>
      <c r="K37" s="43">
        <v>17</v>
      </c>
      <c r="L37" s="43" t="s">
        <v>15</v>
      </c>
    </row>
    <row r="38" spans="1:12" ht="15" customHeight="1" x14ac:dyDescent="0.25">
      <c r="A38" s="18">
        <v>1</v>
      </c>
      <c r="B38" s="22">
        <v>45322</v>
      </c>
      <c r="C38" s="27" t="s">
        <v>27</v>
      </c>
      <c r="D38" s="33">
        <v>1</v>
      </c>
      <c r="E38" s="38" t="s">
        <v>55</v>
      </c>
      <c r="F38" s="42">
        <v>10</v>
      </c>
      <c r="G38" s="9">
        <v>10</v>
      </c>
      <c r="H38" s="43">
        <v>15</v>
      </c>
      <c r="I38" s="9">
        <v>15</v>
      </c>
      <c r="J38" s="38" t="s">
        <v>14</v>
      </c>
      <c r="K38" s="43">
        <v>5</v>
      </c>
      <c r="L38" s="43" t="s">
        <v>15</v>
      </c>
    </row>
    <row r="39" spans="1:12" ht="15" customHeight="1" x14ac:dyDescent="0.25">
      <c r="A39" s="18">
        <v>1</v>
      </c>
      <c r="B39" s="22">
        <v>45322</v>
      </c>
      <c r="C39" s="27" t="s">
        <v>56</v>
      </c>
      <c r="D39" s="33">
        <v>1</v>
      </c>
      <c r="E39" s="38" t="s">
        <v>54</v>
      </c>
      <c r="F39" s="42">
        <v>32.450000000000003</v>
      </c>
      <c r="G39" s="9">
        <v>32.450000000000003</v>
      </c>
      <c r="H39" s="43">
        <v>85</v>
      </c>
      <c r="I39" s="9">
        <v>85</v>
      </c>
      <c r="J39" s="38" t="s">
        <v>14</v>
      </c>
      <c r="K39" s="43">
        <v>52.55</v>
      </c>
      <c r="L39" s="43" t="s">
        <v>15</v>
      </c>
    </row>
    <row r="40" spans="1:12" ht="15" customHeight="1" x14ac:dyDescent="0.25">
      <c r="A40" s="18">
        <v>1</v>
      </c>
      <c r="B40" s="22">
        <v>45322</v>
      </c>
      <c r="C40" s="27" t="s">
        <v>57</v>
      </c>
      <c r="D40" s="33">
        <v>1</v>
      </c>
      <c r="E40" s="38" t="s">
        <v>54</v>
      </c>
      <c r="F40" s="42">
        <v>60</v>
      </c>
      <c r="G40" s="9">
        <v>60</v>
      </c>
      <c r="H40" s="43">
        <v>70</v>
      </c>
      <c r="I40" s="9">
        <v>70</v>
      </c>
      <c r="J40" s="38" t="s">
        <v>14</v>
      </c>
      <c r="K40" s="43">
        <v>10</v>
      </c>
      <c r="L40" s="43" t="s">
        <v>15</v>
      </c>
    </row>
    <row r="41" spans="1:12" ht="15" customHeight="1" x14ac:dyDescent="0.25">
      <c r="A41" s="18" t="s">
        <v>58</v>
      </c>
      <c r="B41" s="22">
        <v>45322</v>
      </c>
      <c r="C41" s="27" t="s">
        <v>59</v>
      </c>
      <c r="D41" s="33">
        <v>1</v>
      </c>
      <c r="E41" s="38" t="s">
        <v>60</v>
      </c>
      <c r="F41" s="42">
        <v>4.5</v>
      </c>
      <c r="G41" s="9">
        <v>4.5</v>
      </c>
      <c r="H41" s="43">
        <v>10</v>
      </c>
      <c r="I41" s="9">
        <v>10</v>
      </c>
      <c r="J41" s="38" t="s">
        <v>14</v>
      </c>
      <c r="K41" s="43">
        <v>5.5</v>
      </c>
      <c r="L41" s="43" t="s">
        <v>15</v>
      </c>
    </row>
    <row r="42" spans="1:12" ht="15" customHeight="1" x14ac:dyDescent="0.25">
      <c r="A42" s="19">
        <v>2</v>
      </c>
      <c r="B42" s="23">
        <v>45324</v>
      </c>
      <c r="C42" s="28" t="s">
        <v>61</v>
      </c>
      <c r="D42" s="34">
        <v>1</v>
      </c>
      <c r="E42" s="39" t="s">
        <v>62</v>
      </c>
      <c r="F42" s="42">
        <v>12</v>
      </c>
      <c r="G42" s="9">
        <v>12</v>
      </c>
      <c r="H42" s="44">
        <v>20</v>
      </c>
      <c r="I42" s="9">
        <v>20</v>
      </c>
      <c r="J42" s="39" t="s">
        <v>14</v>
      </c>
      <c r="K42" s="43">
        <v>8</v>
      </c>
      <c r="L42" s="44" t="s">
        <v>15</v>
      </c>
    </row>
    <row r="43" spans="1:12" ht="15" customHeight="1" x14ac:dyDescent="0.25">
      <c r="A43" s="19">
        <v>2</v>
      </c>
      <c r="B43" s="23">
        <v>45325</v>
      </c>
      <c r="C43" s="28" t="s">
        <v>16</v>
      </c>
      <c r="D43" s="34">
        <v>1</v>
      </c>
      <c r="E43" s="39" t="s">
        <v>20</v>
      </c>
      <c r="F43" s="42">
        <v>37</v>
      </c>
      <c r="G43" s="9">
        <v>37</v>
      </c>
      <c r="H43" s="44">
        <v>85</v>
      </c>
      <c r="I43" s="9">
        <v>85</v>
      </c>
      <c r="J43" s="39" t="s">
        <v>14</v>
      </c>
      <c r="K43" s="43">
        <v>48</v>
      </c>
      <c r="L43" s="44" t="s">
        <v>15</v>
      </c>
    </row>
    <row r="44" spans="1:12" ht="15" customHeight="1" x14ac:dyDescent="0.25">
      <c r="A44" s="19">
        <v>2</v>
      </c>
      <c r="B44" s="23">
        <v>45325</v>
      </c>
      <c r="C44" s="28" t="s">
        <v>63</v>
      </c>
      <c r="D44" s="34">
        <v>1</v>
      </c>
      <c r="E44" s="39" t="s">
        <v>20</v>
      </c>
      <c r="F44" s="42">
        <v>7</v>
      </c>
      <c r="G44" s="9">
        <v>7</v>
      </c>
      <c r="H44" s="44">
        <v>12</v>
      </c>
      <c r="I44" s="9">
        <v>12</v>
      </c>
      <c r="J44" s="39" t="s">
        <v>64</v>
      </c>
      <c r="K44" s="43">
        <v>5</v>
      </c>
      <c r="L44" s="44" t="s">
        <v>15</v>
      </c>
    </row>
    <row r="45" spans="1:12" ht="15" customHeight="1" x14ac:dyDescent="0.25">
      <c r="A45" s="19">
        <v>2</v>
      </c>
      <c r="B45" s="23">
        <v>45325</v>
      </c>
      <c r="C45" s="28" t="s">
        <v>65</v>
      </c>
      <c r="D45" s="34">
        <v>1</v>
      </c>
      <c r="E45" s="39" t="s">
        <v>20</v>
      </c>
      <c r="F45" s="42">
        <v>55</v>
      </c>
      <c r="G45" s="9">
        <v>55</v>
      </c>
      <c r="H45" s="44">
        <v>80</v>
      </c>
      <c r="I45" s="9">
        <v>80</v>
      </c>
      <c r="J45" s="39" t="s">
        <v>64</v>
      </c>
      <c r="K45" s="43">
        <v>25</v>
      </c>
      <c r="L45" s="44" t="s">
        <v>15</v>
      </c>
    </row>
    <row r="46" spans="1:12" ht="15" customHeight="1" x14ac:dyDescent="0.25">
      <c r="A46" s="19">
        <v>2</v>
      </c>
      <c r="B46" s="23">
        <v>45327</v>
      </c>
      <c r="C46" s="28" t="s">
        <v>56</v>
      </c>
      <c r="D46" s="34">
        <v>1</v>
      </c>
      <c r="E46" s="39" t="s">
        <v>20</v>
      </c>
      <c r="F46" s="42">
        <v>32.450000000000003</v>
      </c>
      <c r="G46" s="9">
        <v>32.450000000000003</v>
      </c>
      <c r="H46" s="44">
        <v>100</v>
      </c>
      <c r="I46" s="9">
        <v>100</v>
      </c>
      <c r="J46" s="39" t="s">
        <v>64</v>
      </c>
      <c r="K46" s="43">
        <v>67.55</v>
      </c>
      <c r="L46" s="44" t="s">
        <v>15</v>
      </c>
    </row>
    <row r="47" spans="1:12" ht="15" customHeight="1" x14ac:dyDescent="0.25">
      <c r="A47" s="19">
        <v>2</v>
      </c>
      <c r="B47" s="23">
        <v>45327</v>
      </c>
      <c r="C47" s="28" t="s">
        <v>65</v>
      </c>
      <c r="D47" s="34">
        <v>1</v>
      </c>
      <c r="E47" s="39" t="s">
        <v>20</v>
      </c>
      <c r="F47" s="42">
        <v>55</v>
      </c>
      <c r="G47" s="9">
        <v>55</v>
      </c>
      <c r="H47" s="44">
        <v>70</v>
      </c>
      <c r="I47" s="9">
        <v>70</v>
      </c>
      <c r="J47" s="39" t="s">
        <v>64</v>
      </c>
      <c r="K47" s="43">
        <v>15</v>
      </c>
      <c r="L47" s="44" t="s">
        <v>15</v>
      </c>
    </row>
    <row r="48" spans="1:12" ht="15" customHeight="1" x14ac:dyDescent="0.25">
      <c r="A48" s="19">
        <v>2</v>
      </c>
      <c r="B48" s="23">
        <v>45327</v>
      </c>
      <c r="C48" s="28" t="s">
        <v>59</v>
      </c>
      <c r="D48" s="34">
        <v>1</v>
      </c>
      <c r="E48" s="39" t="s">
        <v>20</v>
      </c>
      <c r="F48" s="42">
        <v>4.5</v>
      </c>
      <c r="G48" s="9">
        <v>4.5</v>
      </c>
      <c r="H48" s="44">
        <v>8</v>
      </c>
      <c r="I48" s="9">
        <v>8</v>
      </c>
      <c r="J48" s="39" t="s">
        <v>64</v>
      </c>
      <c r="K48" s="43">
        <v>3.5</v>
      </c>
      <c r="L48" s="44" t="s">
        <v>15</v>
      </c>
    </row>
    <row r="49" spans="1:12" ht="15.75" customHeight="1" x14ac:dyDescent="0.3">
      <c r="A49" s="20">
        <v>2</v>
      </c>
      <c r="B49" s="23">
        <v>45329</v>
      </c>
      <c r="C49" s="28" t="s">
        <v>66</v>
      </c>
      <c r="D49" s="35">
        <v>1</v>
      </c>
      <c r="E49" s="40" t="s">
        <v>20</v>
      </c>
      <c r="F49" s="42">
        <v>1.2</v>
      </c>
      <c r="G49" s="9">
        <v>1.2</v>
      </c>
      <c r="H49" s="44">
        <v>5</v>
      </c>
      <c r="I49" s="9">
        <v>5</v>
      </c>
      <c r="J49" s="39" t="s">
        <v>64</v>
      </c>
      <c r="K49" s="43">
        <v>3.8</v>
      </c>
      <c r="L49" s="44" t="s">
        <v>15</v>
      </c>
    </row>
    <row r="50" spans="1:12" ht="15" customHeight="1" x14ac:dyDescent="0.25">
      <c r="A50" s="19">
        <v>2</v>
      </c>
      <c r="B50" s="23">
        <v>45329</v>
      </c>
      <c r="C50" s="28" t="s">
        <v>26</v>
      </c>
      <c r="D50" s="34">
        <v>1</v>
      </c>
      <c r="E50" s="39" t="s">
        <v>67</v>
      </c>
      <c r="F50" s="42">
        <v>7.5</v>
      </c>
      <c r="G50" s="9">
        <v>7.5</v>
      </c>
      <c r="H50" s="44">
        <v>10.6</v>
      </c>
      <c r="I50" s="9">
        <v>10.6</v>
      </c>
      <c r="J50" s="39" t="s">
        <v>17</v>
      </c>
      <c r="K50" s="43">
        <v>3.0999999999999996</v>
      </c>
      <c r="L50" s="44" t="s">
        <v>15</v>
      </c>
    </row>
    <row r="51" spans="1:12" ht="15" customHeight="1" x14ac:dyDescent="0.25">
      <c r="A51" s="19">
        <v>2</v>
      </c>
      <c r="B51" s="23">
        <v>45329</v>
      </c>
      <c r="C51" s="28" t="s">
        <v>68</v>
      </c>
      <c r="D51" s="34">
        <v>1</v>
      </c>
      <c r="E51" s="39" t="s">
        <v>67</v>
      </c>
      <c r="F51" s="42">
        <v>35</v>
      </c>
      <c r="G51" s="9">
        <v>35</v>
      </c>
      <c r="H51" s="44">
        <v>63.3</v>
      </c>
      <c r="I51" s="9">
        <v>63.3</v>
      </c>
      <c r="J51" s="39" t="s">
        <v>17</v>
      </c>
      <c r="K51" s="43">
        <v>28.299999999999997</v>
      </c>
      <c r="L51" s="44" t="s">
        <v>15</v>
      </c>
    </row>
    <row r="52" spans="1:12" ht="15" customHeight="1" x14ac:dyDescent="0.25">
      <c r="A52" s="19">
        <v>2</v>
      </c>
      <c r="B52" s="23">
        <v>45329</v>
      </c>
      <c r="C52" s="28" t="s">
        <v>26</v>
      </c>
      <c r="D52" s="34">
        <v>1</v>
      </c>
      <c r="E52" s="39" t="s">
        <v>67</v>
      </c>
      <c r="F52" s="42">
        <v>7.5</v>
      </c>
      <c r="G52" s="9">
        <v>7.5</v>
      </c>
      <c r="H52" s="44">
        <v>10.6</v>
      </c>
      <c r="I52" s="9">
        <v>10.6</v>
      </c>
      <c r="J52" s="39" t="s">
        <v>17</v>
      </c>
      <c r="K52" s="43">
        <v>3.0999999999999996</v>
      </c>
      <c r="L52" s="44" t="s">
        <v>15</v>
      </c>
    </row>
    <row r="53" spans="1:12" ht="15" customHeight="1" x14ac:dyDescent="0.25">
      <c r="A53" s="19">
        <v>2</v>
      </c>
      <c r="B53" s="23">
        <v>45329</v>
      </c>
      <c r="C53" s="28" t="s">
        <v>26</v>
      </c>
      <c r="D53" s="34">
        <v>1</v>
      </c>
      <c r="E53" s="39" t="s">
        <v>67</v>
      </c>
      <c r="F53" s="42">
        <v>7.5</v>
      </c>
      <c r="G53" s="9">
        <v>7.5</v>
      </c>
      <c r="H53" s="44">
        <v>10.6</v>
      </c>
      <c r="I53" s="9">
        <v>10.6</v>
      </c>
      <c r="J53" s="39" t="s">
        <v>17</v>
      </c>
      <c r="K53" s="43">
        <v>3.0999999999999996</v>
      </c>
      <c r="L53" s="44" t="s">
        <v>15</v>
      </c>
    </row>
    <row r="54" spans="1:12" ht="15.75" customHeight="1" x14ac:dyDescent="0.3">
      <c r="A54" s="20">
        <v>2</v>
      </c>
      <c r="B54" s="23">
        <v>45329</v>
      </c>
      <c r="C54" s="28" t="s">
        <v>69</v>
      </c>
      <c r="D54" s="35">
        <v>1</v>
      </c>
      <c r="E54" s="40" t="s">
        <v>17</v>
      </c>
      <c r="F54" s="42">
        <v>7.5</v>
      </c>
      <c r="G54" s="9">
        <v>7.5</v>
      </c>
      <c r="H54" s="44">
        <v>16.89</v>
      </c>
      <c r="I54" s="9">
        <v>16.89</v>
      </c>
      <c r="J54" s="39" t="s">
        <v>17</v>
      </c>
      <c r="K54" s="43">
        <v>9.39</v>
      </c>
      <c r="L54" s="44" t="s">
        <v>15</v>
      </c>
    </row>
    <row r="55" spans="1:12" ht="15.75" customHeight="1" x14ac:dyDescent="0.3">
      <c r="A55" s="20">
        <v>2</v>
      </c>
      <c r="B55" s="23">
        <v>45329</v>
      </c>
      <c r="C55" s="28" t="s">
        <v>70</v>
      </c>
      <c r="D55" s="35">
        <v>1</v>
      </c>
      <c r="E55" s="10" t="s">
        <v>71</v>
      </c>
      <c r="F55" s="42" t="s">
        <v>72</v>
      </c>
      <c r="G55" s="9">
        <v>0</v>
      </c>
      <c r="H55" s="44">
        <v>45</v>
      </c>
      <c r="I55" s="9">
        <v>45</v>
      </c>
      <c r="J55" s="39" t="s">
        <v>64</v>
      </c>
      <c r="K55" s="43">
        <v>45</v>
      </c>
      <c r="L55" s="44" t="s">
        <v>15</v>
      </c>
    </row>
    <row r="56" spans="1:12" ht="15.75" customHeight="1" x14ac:dyDescent="0.3">
      <c r="A56" s="20">
        <v>2</v>
      </c>
      <c r="B56" s="23">
        <v>45329</v>
      </c>
      <c r="C56" s="28" t="s">
        <v>73</v>
      </c>
      <c r="D56" s="35">
        <v>1</v>
      </c>
      <c r="E56" s="40" t="s">
        <v>17</v>
      </c>
      <c r="F56" s="42">
        <v>9</v>
      </c>
      <c r="G56" s="9">
        <v>9</v>
      </c>
      <c r="H56" s="44">
        <v>12</v>
      </c>
      <c r="I56" s="9">
        <v>12</v>
      </c>
      <c r="J56" s="39" t="s">
        <v>24</v>
      </c>
      <c r="K56" s="43">
        <v>3</v>
      </c>
      <c r="L56" s="44" t="s">
        <v>15</v>
      </c>
    </row>
    <row r="57" spans="1:12" ht="15.75" customHeight="1" x14ac:dyDescent="0.3">
      <c r="A57" s="20">
        <v>2</v>
      </c>
      <c r="B57" s="23">
        <v>45329</v>
      </c>
      <c r="C57" s="28" t="s">
        <v>66</v>
      </c>
      <c r="D57" s="35">
        <v>1</v>
      </c>
      <c r="E57" s="40" t="s">
        <v>74</v>
      </c>
      <c r="F57" s="42">
        <v>1.2</v>
      </c>
      <c r="G57" s="9">
        <v>1.2</v>
      </c>
      <c r="H57" s="44">
        <v>5</v>
      </c>
      <c r="I57" s="9">
        <v>5</v>
      </c>
      <c r="J57" s="39" t="s">
        <v>64</v>
      </c>
      <c r="K57" s="43">
        <v>3.8</v>
      </c>
      <c r="L57" s="44" t="s">
        <v>15</v>
      </c>
    </row>
    <row r="58" spans="1:12" ht="15.75" customHeight="1" x14ac:dyDescent="0.3">
      <c r="A58" s="20">
        <v>2</v>
      </c>
      <c r="B58" s="23">
        <v>45329</v>
      </c>
      <c r="C58" s="28" t="s">
        <v>66</v>
      </c>
      <c r="D58" s="35">
        <v>1</v>
      </c>
      <c r="E58" s="40" t="s">
        <v>74</v>
      </c>
      <c r="F58" s="42">
        <v>1.2</v>
      </c>
      <c r="G58" s="9">
        <v>1.2</v>
      </c>
      <c r="H58" s="44">
        <v>5</v>
      </c>
      <c r="I58" s="9">
        <v>5</v>
      </c>
      <c r="J58" s="39" t="s">
        <v>64</v>
      </c>
      <c r="K58" s="43">
        <v>3.8</v>
      </c>
      <c r="L58" s="44" t="s">
        <v>15</v>
      </c>
    </row>
    <row r="59" spans="1:12" ht="15.75" customHeight="1" x14ac:dyDescent="0.3">
      <c r="A59" s="20">
        <v>2</v>
      </c>
      <c r="B59" s="23">
        <v>45329</v>
      </c>
      <c r="C59" s="28" t="s">
        <v>75</v>
      </c>
      <c r="D59" s="35">
        <v>1</v>
      </c>
      <c r="E59" s="40" t="s">
        <v>74</v>
      </c>
      <c r="F59" s="42">
        <v>1.2</v>
      </c>
      <c r="G59" s="9">
        <v>1.2</v>
      </c>
      <c r="H59" s="44">
        <v>5</v>
      </c>
      <c r="I59" s="9">
        <v>5</v>
      </c>
      <c r="J59" s="39" t="s">
        <v>64</v>
      </c>
      <c r="K59" s="43">
        <v>3.8</v>
      </c>
      <c r="L59" s="44" t="s">
        <v>15</v>
      </c>
    </row>
    <row r="60" spans="1:12" ht="15.75" customHeight="1" x14ac:dyDescent="0.3">
      <c r="A60" s="20">
        <v>2</v>
      </c>
      <c r="B60" s="23">
        <v>45329</v>
      </c>
      <c r="C60" s="28" t="s">
        <v>75</v>
      </c>
      <c r="D60" s="35">
        <v>1</v>
      </c>
      <c r="E60" s="40" t="s">
        <v>74</v>
      </c>
      <c r="F60" s="42">
        <v>1.2</v>
      </c>
      <c r="G60" s="9">
        <v>1.2</v>
      </c>
      <c r="H60" s="44">
        <v>5</v>
      </c>
      <c r="I60" s="9">
        <v>5</v>
      </c>
      <c r="J60" s="39" t="s">
        <v>64</v>
      </c>
      <c r="K60" s="43">
        <v>3.8</v>
      </c>
      <c r="L60" s="44" t="s">
        <v>15</v>
      </c>
    </row>
    <row r="61" spans="1:12" ht="15.75" customHeight="1" x14ac:dyDescent="0.3">
      <c r="A61" s="20">
        <v>2</v>
      </c>
      <c r="B61" s="23">
        <v>45329</v>
      </c>
      <c r="C61" s="28" t="s">
        <v>76</v>
      </c>
      <c r="D61" s="35">
        <v>1</v>
      </c>
      <c r="E61" s="40" t="s">
        <v>74</v>
      </c>
      <c r="F61" s="42">
        <v>13.5</v>
      </c>
      <c r="G61" s="9">
        <v>13.5</v>
      </c>
      <c r="H61" s="44">
        <v>25</v>
      </c>
      <c r="I61" s="9">
        <v>25</v>
      </c>
      <c r="J61" s="39" t="s">
        <v>64</v>
      </c>
      <c r="K61" s="43">
        <v>11.5</v>
      </c>
      <c r="L61" s="44" t="s">
        <v>15</v>
      </c>
    </row>
    <row r="62" spans="1:12" ht="15.75" customHeight="1" x14ac:dyDescent="0.3">
      <c r="A62" s="20">
        <v>2</v>
      </c>
      <c r="B62" s="23">
        <v>45329</v>
      </c>
      <c r="C62" s="28" t="s">
        <v>77</v>
      </c>
      <c r="D62" s="35">
        <v>1</v>
      </c>
      <c r="E62" s="40" t="s">
        <v>78</v>
      </c>
      <c r="F62" s="42">
        <v>10</v>
      </c>
      <c r="G62" s="9">
        <v>10</v>
      </c>
      <c r="H62" s="44">
        <v>25</v>
      </c>
      <c r="I62" s="9">
        <v>25</v>
      </c>
      <c r="J62" s="39" t="s">
        <v>64</v>
      </c>
      <c r="K62" s="43">
        <v>15</v>
      </c>
      <c r="L62" s="44" t="s">
        <v>15</v>
      </c>
    </row>
    <row r="63" spans="1:12" ht="15.75" customHeight="1" x14ac:dyDescent="0.3">
      <c r="A63" s="20">
        <v>2</v>
      </c>
      <c r="B63" s="23">
        <v>45329</v>
      </c>
      <c r="C63" s="28" t="s">
        <v>79</v>
      </c>
      <c r="D63" s="35">
        <v>1</v>
      </c>
      <c r="E63" s="40" t="s">
        <v>78</v>
      </c>
      <c r="F63" s="42">
        <v>11</v>
      </c>
      <c r="G63" s="9">
        <v>11</v>
      </c>
      <c r="H63" s="44">
        <v>25</v>
      </c>
      <c r="I63" s="9">
        <v>25</v>
      </c>
      <c r="J63" s="39" t="s">
        <v>64</v>
      </c>
      <c r="K63" s="43">
        <v>14</v>
      </c>
      <c r="L63" s="44" t="s">
        <v>15</v>
      </c>
    </row>
    <row r="64" spans="1:12" ht="15.75" customHeight="1" x14ac:dyDescent="0.3">
      <c r="A64" s="20">
        <v>2</v>
      </c>
      <c r="B64" s="23">
        <v>45330</v>
      </c>
      <c r="C64" s="28" t="s">
        <v>80</v>
      </c>
      <c r="D64" s="35">
        <v>1</v>
      </c>
      <c r="E64" s="40" t="s">
        <v>20</v>
      </c>
      <c r="F64" s="42">
        <v>6</v>
      </c>
      <c r="G64" s="9">
        <v>6</v>
      </c>
      <c r="H64" s="44">
        <v>8</v>
      </c>
      <c r="I64" s="9">
        <v>8</v>
      </c>
      <c r="J64" s="39" t="s">
        <v>64</v>
      </c>
      <c r="K64" s="43">
        <v>2</v>
      </c>
      <c r="L64" s="44" t="s">
        <v>15</v>
      </c>
    </row>
    <row r="65" spans="1:12" ht="15.75" customHeight="1" x14ac:dyDescent="0.3">
      <c r="A65" s="20">
        <v>2</v>
      </c>
      <c r="B65" s="23">
        <v>45330</v>
      </c>
      <c r="C65" s="28" t="s">
        <v>81</v>
      </c>
      <c r="D65" s="35">
        <v>1</v>
      </c>
      <c r="E65" s="40" t="s">
        <v>74</v>
      </c>
      <c r="F65" s="42">
        <v>11</v>
      </c>
      <c r="G65" s="9">
        <v>11</v>
      </c>
      <c r="H65" s="44">
        <v>25</v>
      </c>
      <c r="I65" s="9">
        <v>25</v>
      </c>
      <c r="J65" s="39" t="s">
        <v>64</v>
      </c>
      <c r="K65" s="43">
        <v>14</v>
      </c>
      <c r="L65" s="44" t="s">
        <v>15</v>
      </c>
    </row>
    <row r="66" spans="1:12" ht="15.75" customHeight="1" x14ac:dyDescent="0.3">
      <c r="A66" s="20">
        <v>2</v>
      </c>
      <c r="B66" s="23">
        <v>45330</v>
      </c>
      <c r="C66" s="28" t="s">
        <v>82</v>
      </c>
      <c r="D66" s="35">
        <v>1</v>
      </c>
      <c r="E66" s="40" t="s">
        <v>74</v>
      </c>
      <c r="F66" s="42">
        <v>12</v>
      </c>
      <c r="G66" s="9">
        <v>12</v>
      </c>
      <c r="H66" s="44">
        <v>30</v>
      </c>
      <c r="I66" s="9">
        <v>30</v>
      </c>
      <c r="J66" s="39" t="s">
        <v>64</v>
      </c>
      <c r="K66" s="43">
        <v>18</v>
      </c>
      <c r="L66" s="44" t="s">
        <v>15</v>
      </c>
    </row>
    <row r="67" spans="1:12" ht="15.75" customHeight="1" x14ac:dyDescent="0.3">
      <c r="A67" s="20">
        <v>2</v>
      </c>
      <c r="B67" s="23">
        <v>45330</v>
      </c>
      <c r="C67" s="28" t="s">
        <v>83</v>
      </c>
      <c r="D67" s="35">
        <v>1</v>
      </c>
      <c r="E67" s="40" t="s">
        <v>20</v>
      </c>
      <c r="F67" s="42">
        <v>18</v>
      </c>
      <c r="G67" s="9">
        <v>18</v>
      </c>
      <c r="H67" s="44">
        <v>35</v>
      </c>
      <c r="I67" s="9">
        <v>35</v>
      </c>
      <c r="J67" s="39" t="s">
        <v>64</v>
      </c>
      <c r="K67" s="43">
        <v>17</v>
      </c>
      <c r="L67" s="44" t="s">
        <v>15</v>
      </c>
    </row>
    <row r="68" spans="1:12" ht="15.75" customHeight="1" x14ac:dyDescent="0.3">
      <c r="A68" s="20">
        <v>2</v>
      </c>
      <c r="B68" s="23">
        <v>45331</v>
      </c>
      <c r="C68" s="28" t="s">
        <v>84</v>
      </c>
      <c r="D68" s="35">
        <v>1</v>
      </c>
      <c r="E68" s="40" t="s">
        <v>85</v>
      </c>
      <c r="F68" s="42">
        <v>19</v>
      </c>
      <c r="G68" s="9">
        <v>19</v>
      </c>
      <c r="H68" s="44">
        <v>30</v>
      </c>
      <c r="I68" s="9">
        <v>30</v>
      </c>
      <c r="J68" s="39" t="s">
        <v>64</v>
      </c>
      <c r="K68" s="43">
        <v>11</v>
      </c>
      <c r="L68" s="44" t="s">
        <v>15</v>
      </c>
    </row>
    <row r="69" spans="1:12" ht="15.75" customHeight="1" x14ac:dyDescent="0.3">
      <c r="A69" s="20">
        <v>2</v>
      </c>
      <c r="B69" s="23">
        <v>45331</v>
      </c>
      <c r="C69" s="28" t="s">
        <v>86</v>
      </c>
      <c r="D69" s="35">
        <v>1</v>
      </c>
      <c r="E69" s="40" t="s">
        <v>87</v>
      </c>
      <c r="F69" s="42">
        <v>80</v>
      </c>
      <c r="G69" s="9">
        <v>80</v>
      </c>
      <c r="H69" s="44">
        <v>115</v>
      </c>
      <c r="I69" s="9">
        <v>115</v>
      </c>
      <c r="J69" s="39" t="s">
        <v>64</v>
      </c>
      <c r="K69" s="43">
        <v>35</v>
      </c>
      <c r="L69" s="44" t="s">
        <v>15</v>
      </c>
    </row>
    <row r="70" spans="1:12" ht="15.75" customHeight="1" x14ac:dyDescent="0.3">
      <c r="A70" s="20">
        <v>2</v>
      </c>
      <c r="B70" s="23">
        <v>45331</v>
      </c>
      <c r="C70" s="28" t="s">
        <v>88</v>
      </c>
      <c r="D70" s="35">
        <v>1</v>
      </c>
      <c r="E70" s="40" t="s">
        <v>89</v>
      </c>
      <c r="F70" s="42">
        <v>23.5</v>
      </c>
      <c r="G70" s="9">
        <v>23.5</v>
      </c>
      <c r="H70" s="44">
        <v>40</v>
      </c>
      <c r="I70" s="9">
        <v>40</v>
      </c>
      <c r="J70" s="39" t="s">
        <v>64</v>
      </c>
      <c r="K70" s="43">
        <v>16.5</v>
      </c>
      <c r="L70" s="44" t="s">
        <v>15</v>
      </c>
    </row>
    <row r="71" spans="1:12" ht="15.75" customHeight="1" x14ac:dyDescent="0.3">
      <c r="A71" s="20">
        <v>2</v>
      </c>
      <c r="B71" s="23">
        <v>45331</v>
      </c>
      <c r="C71" s="28" t="s">
        <v>90</v>
      </c>
      <c r="D71" s="35">
        <v>1</v>
      </c>
      <c r="E71" s="40" t="s">
        <v>20</v>
      </c>
      <c r="F71" s="42">
        <v>3</v>
      </c>
      <c r="G71" s="9">
        <v>3</v>
      </c>
      <c r="H71" s="44">
        <v>6.666666666666667</v>
      </c>
      <c r="I71" s="9">
        <v>6.666666666666667</v>
      </c>
      <c r="J71" s="39" t="s">
        <v>64</v>
      </c>
      <c r="K71" s="43">
        <v>3.666666666666667</v>
      </c>
      <c r="L71" s="44" t="s">
        <v>15</v>
      </c>
    </row>
    <row r="72" spans="1:12" ht="15.75" customHeight="1" x14ac:dyDescent="0.3">
      <c r="A72" s="20">
        <v>2</v>
      </c>
      <c r="B72" s="23">
        <v>45331</v>
      </c>
      <c r="C72" s="28" t="s">
        <v>90</v>
      </c>
      <c r="D72" s="35">
        <v>1</v>
      </c>
      <c r="E72" s="40" t="s">
        <v>20</v>
      </c>
      <c r="F72" s="42">
        <v>3</v>
      </c>
      <c r="G72" s="9">
        <v>3</v>
      </c>
      <c r="H72" s="44">
        <v>6.666666666666667</v>
      </c>
      <c r="I72" s="9">
        <v>6.666666666666667</v>
      </c>
      <c r="J72" s="39" t="s">
        <v>64</v>
      </c>
      <c r="K72" s="43">
        <v>3.666666666666667</v>
      </c>
      <c r="L72" s="44" t="s">
        <v>15</v>
      </c>
    </row>
    <row r="73" spans="1:12" ht="15.75" customHeight="1" x14ac:dyDescent="0.3">
      <c r="A73" s="20">
        <v>2</v>
      </c>
      <c r="B73" s="23">
        <v>45331</v>
      </c>
      <c r="C73" s="28" t="s">
        <v>90</v>
      </c>
      <c r="D73" s="35">
        <v>1</v>
      </c>
      <c r="E73" s="40" t="s">
        <v>20</v>
      </c>
      <c r="F73" s="42">
        <v>3</v>
      </c>
      <c r="G73" s="9">
        <v>3</v>
      </c>
      <c r="H73" s="44">
        <v>6.666666666666667</v>
      </c>
      <c r="I73" s="9">
        <v>6.666666666666667</v>
      </c>
      <c r="J73" s="39" t="s">
        <v>64</v>
      </c>
      <c r="K73" s="43">
        <v>3.666666666666667</v>
      </c>
      <c r="L73" s="44" t="s">
        <v>15</v>
      </c>
    </row>
    <row r="74" spans="1:12" ht="15.75" customHeight="1" x14ac:dyDescent="0.3">
      <c r="A74" s="20">
        <v>2</v>
      </c>
      <c r="B74" s="23">
        <v>45331</v>
      </c>
      <c r="C74" s="28" t="s">
        <v>22</v>
      </c>
      <c r="D74" s="35">
        <v>1</v>
      </c>
      <c r="E74" s="40" t="s">
        <v>91</v>
      </c>
      <c r="F74" s="42">
        <v>14</v>
      </c>
      <c r="G74" s="9">
        <v>14</v>
      </c>
      <c r="H74" s="44">
        <v>25</v>
      </c>
      <c r="I74" s="9">
        <v>25</v>
      </c>
      <c r="J74" s="39" t="s">
        <v>64</v>
      </c>
      <c r="K74" s="43">
        <v>11</v>
      </c>
      <c r="L74" s="44" t="s">
        <v>15</v>
      </c>
    </row>
    <row r="75" spans="1:12" ht="15.75" customHeight="1" x14ac:dyDescent="0.3">
      <c r="A75" s="20">
        <v>2</v>
      </c>
      <c r="B75" s="23">
        <v>45332</v>
      </c>
      <c r="C75" s="28" t="s">
        <v>92</v>
      </c>
      <c r="D75" s="35">
        <v>1</v>
      </c>
      <c r="E75" s="40" t="s">
        <v>93</v>
      </c>
      <c r="F75" s="42">
        <v>2</v>
      </c>
      <c r="G75" s="9">
        <v>2</v>
      </c>
      <c r="H75" s="44">
        <v>12.5</v>
      </c>
      <c r="I75" s="9">
        <v>12.5</v>
      </c>
      <c r="J75" s="39" t="s">
        <v>64</v>
      </c>
      <c r="K75" s="43">
        <v>10.5</v>
      </c>
      <c r="L75" s="44" t="s">
        <v>15</v>
      </c>
    </row>
    <row r="76" spans="1:12" ht="15.75" customHeight="1" x14ac:dyDescent="0.3">
      <c r="A76" s="20">
        <v>2</v>
      </c>
      <c r="B76" s="23">
        <v>45332</v>
      </c>
      <c r="C76" s="28" t="s">
        <v>90</v>
      </c>
      <c r="D76" s="35">
        <v>1</v>
      </c>
      <c r="E76" s="40" t="s">
        <v>93</v>
      </c>
      <c r="F76" s="42">
        <v>3</v>
      </c>
      <c r="G76" s="9">
        <v>3</v>
      </c>
      <c r="H76" s="44">
        <v>12.5</v>
      </c>
      <c r="I76" s="9">
        <v>12.5</v>
      </c>
      <c r="J76" s="39" t="s">
        <v>64</v>
      </c>
      <c r="K76" s="43">
        <v>9.5</v>
      </c>
      <c r="L76" s="44" t="s">
        <v>15</v>
      </c>
    </row>
    <row r="77" spans="1:12" ht="15.75" customHeight="1" x14ac:dyDescent="0.3">
      <c r="A77" s="20">
        <v>2</v>
      </c>
      <c r="B77" s="23">
        <v>45332</v>
      </c>
      <c r="C77" s="28" t="s">
        <v>92</v>
      </c>
      <c r="D77" s="35">
        <v>1</v>
      </c>
      <c r="E77" s="40" t="s">
        <v>93</v>
      </c>
      <c r="F77" s="42">
        <v>2</v>
      </c>
      <c r="G77" s="9">
        <v>2</v>
      </c>
      <c r="H77" s="44">
        <v>12.5</v>
      </c>
      <c r="I77" s="9">
        <v>12.5</v>
      </c>
      <c r="J77" s="39" t="s">
        <v>64</v>
      </c>
      <c r="K77" s="43">
        <v>10.5</v>
      </c>
      <c r="L77" s="44" t="s">
        <v>15</v>
      </c>
    </row>
    <row r="78" spans="1:12" ht="15.75" customHeight="1" x14ac:dyDescent="0.3">
      <c r="A78" s="20">
        <v>2</v>
      </c>
      <c r="B78" s="23">
        <v>45332</v>
      </c>
      <c r="C78" s="28" t="s">
        <v>90</v>
      </c>
      <c r="D78" s="35">
        <v>1</v>
      </c>
      <c r="E78" s="40" t="s">
        <v>93</v>
      </c>
      <c r="F78" s="42">
        <v>3</v>
      </c>
      <c r="G78" s="9">
        <v>3</v>
      </c>
      <c r="H78" s="44">
        <v>12.5</v>
      </c>
      <c r="I78" s="9">
        <v>12.5</v>
      </c>
      <c r="J78" s="39" t="s">
        <v>64</v>
      </c>
      <c r="K78" s="43">
        <v>9.5</v>
      </c>
      <c r="L78" s="44" t="s">
        <v>15</v>
      </c>
    </row>
    <row r="79" spans="1:12" ht="15.75" customHeight="1" x14ac:dyDescent="0.3">
      <c r="A79" s="20">
        <v>2</v>
      </c>
      <c r="B79" s="23">
        <v>45332</v>
      </c>
      <c r="C79" s="28" t="s">
        <v>94</v>
      </c>
      <c r="D79" s="35">
        <v>1</v>
      </c>
      <c r="E79" s="40" t="s">
        <v>93</v>
      </c>
      <c r="F79" s="42">
        <v>5.5</v>
      </c>
      <c r="G79" s="9">
        <v>5.5</v>
      </c>
      <c r="H79" s="44">
        <v>15</v>
      </c>
      <c r="I79" s="9">
        <v>15</v>
      </c>
      <c r="J79" s="39" t="s">
        <v>64</v>
      </c>
      <c r="K79" s="43">
        <v>9.5</v>
      </c>
      <c r="L79" s="44" t="s">
        <v>15</v>
      </c>
    </row>
    <row r="80" spans="1:12" ht="15.75" customHeight="1" x14ac:dyDescent="0.3">
      <c r="A80" s="20">
        <v>2</v>
      </c>
      <c r="B80" s="23">
        <v>45332</v>
      </c>
      <c r="C80" s="28" t="s">
        <v>94</v>
      </c>
      <c r="D80" s="35">
        <v>1</v>
      </c>
      <c r="E80" s="40" t="s">
        <v>93</v>
      </c>
      <c r="F80" s="42">
        <v>5.5</v>
      </c>
      <c r="G80" s="9">
        <v>5.5</v>
      </c>
      <c r="H80" s="44">
        <v>15</v>
      </c>
      <c r="I80" s="9">
        <v>15</v>
      </c>
      <c r="J80" s="39" t="s">
        <v>64</v>
      </c>
      <c r="K80" s="43">
        <v>9.5</v>
      </c>
      <c r="L80" s="44" t="s">
        <v>15</v>
      </c>
    </row>
    <row r="81" spans="1:12" ht="15.75" customHeight="1" x14ac:dyDescent="0.3">
      <c r="A81" s="20">
        <v>2</v>
      </c>
      <c r="B81" s="23">
        <v>45332</v>
      </c>
      <c r="C81" s="28" t="s">
        <v>95</v>
      </c>
      <c r="D81" s="35">
        <v>1</v>
      </c>
      <c r="E81" s="40" t="s">
        <v>93</v>
      </c>
      <c r="F81" s="42">
        <v>27</v>
      </c>
      <c r="G81" s="9">
        <v>27</v>
      </c>
      <c r="H81" s="44">
        <v>44</v>
      </c>
      <c r="I81" s="9">
        <v>44</v>
      </c>
      <c r="J81" s="39" t="s">
        <v>64</v>
      </c>
      <c r="K81" s="43">
        <v>17</v>
      </c>
      <c r="L81" s="44" t="s">
        <v>15</v>
      </c>
    </row>
    <row r="82" spans="1:12" ht="15.75" customHeight="1" x14ac:dyDescent="0.3">
      <c r="A82" s="20">
        <v>2</v>
      </c>
      <c r="B82" s="23">
        <v>45332</v>
      </c>
      <c r="C82" s="28" t="s">
        <v>80</v>
      </c>
      <c r="D82" s="35">
        <v>1</v>
      </c>
      <c r="E82" s="40" t="s">
        <v>93</v>
      </c>
      <c r="F82" s="42">
        <v>6</v>
      </c>
      <c r="G82" s="9">
        <v>6</v>
      </c>
      <c r="H82" s="44">
        <v>10</v>
      </c>
      <c r="I82" s="9">
        <v>10</v>
      </c>
      <c r="J82" s="39" t="s">
        <v>64</v>
      </c>
      <c r="K82" s="43">
        <v>4</v>
      </c>
      <c r="L82" s="44" t="s">
        <v>15</v>
      </c>
    </row>
    <row r="83" spans="1:12" ht="15.75" customHeight="1" x14ac:dyDescent="0.3">
      <c r="A83" s="20">
        <v>2</v>
      </c>
      <c r="B83" s="23">
        <v>45332</v>
      </c>
      <c r="C83" s="28" t="s">
        <v>96</v>
      </c>
      <c r="D83" s="35">
        <v>1</v>
      </c>
      <c r="E83" s="40" t="s">
        <v>93</v>
      </c>
      <c r="F83" s="42">
        <v>75</v>
      </c>
      <c r="G83" s="9">
        <v>75</v>
      </c>
      <c r="H83" s="44">
        <v>140</v>
      </c>
      <c r="I83" s="9">
        <v>140</v>
      </c>
      <c r="J83" s="39" t="s">
        <v>64</v>
      </c>
      <c r="K83" s="43">
        <v>65</v>
      </c>
      <c r="L83" s="44" t="s">
        <v>15</v>
      </c>
    </row>
    <row r="84" spans="1:12" ht="15.75" customHeight="1" x14ac:dyDescent="0.3">
      <c r="A84" s="20">
        <v>2</v>
      </c>
      <c r="B84" s="23">
        <v>45332</v>
      </c>
      <c r="C84" s="28" t="s">
        <v>97</v>
      </c>
      <c r="D84" s="35">
        <v>1</v>
      </c>
      <c r="E84" s="40" t="s">
        <v>20</v>
      </c>
      <c r="F84" s="42">
        <v>3</v>
      </c>
      <c r="G84" s="9">
        <v>3</v>
      </c>
      <c r="H84" s="44">
        <v>7.5</v>
      </c>
      <c r="I84" s="9">
        <v>7.5</v>
      </c>
      <c r="J84" s="39" t="s">
        <v>64</v>
      </c>
      <c r="K84" s="43">
        <v>4.5</v>
      </c>
      <c r="L84" s="44" t="s">
        <v>15</v>
      </c>
    </row>
    <row r="85" spans="1:12" ht="15.75" customHeight="1" x14ac:dyDescent="0.3">
      <c r="A85" s="20">
        <v>2</v>
      </c>
      <c r="B85" s="23">
        <v>45332</v>
      </c>
      <c r="C85" s="28" t="s">
        <v>97</v>
      </c>
      <c r="D85" s="35">
        <v>1</v>
      </c>
      <c r="E85" s="40" t="s">
        <v>20</v>
      </c>
      <c r="F85" s="42">
        <v>3</v>
      </c>
      <c r="G85" s="9">
        <v>3</v>
      </c>
      <c r="H85" s="44">
        <v>7.5</v>
      </c>
      <c r="I85" s="9">
        <v>7.5</v>
      </c>
      <c r="J85" s="39" t="s">
        <v>64</v>
      </c>
      <c r="K85" s="43">
        <v>4.5</v>
      </c>
      <c r="L85" s="44" t="s">
        <v>15</v>
      </c>
    </row>
    <row r="86" spans="1:12" ht="15.75" customHeight="1" x14ac:dyDescent="0.3">
      <c r="A86" s="20">
        <v>2</v>
      </c>
      <c r="B86" s="23">
        <v>45332</v>
      </c>
      <c r="C86" s="28" t="s">
        <v>48</v>
      </c>
      <c r="D86" s="35">
        <v>1</v>
      </c>
      <c r="E86" s="40" t="s">
        <v>98</v>
      </c>
      <c r="F86" s="42">
        <v>3</v>
      </c>
      <c r="G86" s="9">
        <v>3</v>
      </c>
      <c r="H86" s="44">
        <v>30</v>
      </c>
      <c r="I86" s="9">
        <v>30</v>
      </c>
      <c r="J86" s="39" t="s">
        <v>64</v>
      </c>
      <c r="K86" s="43">
        <v>27</v>
      </c>
      <c r="L86" s="44" t="s">
        <v>15</v>
      </c>
    </row>
    <row r="87" spans="1:12" ht="15.75" customHeight="1" x14ac:dyDescent="0.3">
      <c r="A87" s="20">
        <v>2</v>
      </c>
      <c r="B87" s="23">
        <v>45332</v>
      </c>
      <c r="C87" s="28" t="s">
        <v>90</v>
      </c>
      <c r="D87" s="35">
        <v>1</v>
      </c>
      <c r="E87" s="40" t="s">
        <v>98</v>
      </c>
      <c r="F87" s="42">
        <v>3</v>
      </c>
      <c r="G87" s="9">
        <v>3</v>
      </c>
      <c r="H87" s="44">
        <v>10</v>
      </c>
      <c r="I87" s="9">
        <v>10</v>
      </c>
      <c r="J87" s="39" t="s">
        <v>64</v>
      </c>
      <c r="K87" s="43">
        <v>7</v>
      </c>
      <c r="L87" s="44" t="s">
        <v>15</v>
      </c>
    </row>
    <row r="88" spans="1:12" ht="15.75" customHeight="1" x14ac:dyDescent="0.3">
      <c r="A88" s="20">
        <v>2</v>
      </c>
      <c r="B88" s="23">
        <v>45332</v>
      </c>
      <c r="C88" s="28" t="s">
        <v>99</v>
      </c>
      <c r="D88" s="35">
        <v>1</v>
      </c>
      <c r="E88" s="40" t="s">
        <v>100</v>
      </c>
      <c r="F88" s="42">
        <v>10</v>
      </c>
      <c r="G88" s="9">
        <v>10</v>
      </c>
      <c r="H88" s="44">
        <v>20</v>
      </c>
      <c r="I88" s="9">
        <v>20</v>
      </c>
      <c r="J88" s="39" t="s">
        <v>64</v>
      </c>
      <c r="K88" s="43">
        <v>10</v>
      </c>
      <c r="L88" s="44" t="s">
        <v>15</v>
      </c>
    </row>
    <row r="89" spans="1:12" ht="15.75" customHeight="1" x14ac:dyDescent="0.3">
      <c r="A89" s="20">
        <v>2</v>
      </c>
      <c r="B89" s="23">
        <v>45332</v>
      </c>
      <c r="C89" s="28" t="s">
        <v>90</v>
      </c>
      <c r="D89" s="35">
        <v>1</v>
      </c>
      <c r="E89" s="40" t="s">
        <v>100</v>
      </c>
      <c r="F89" s="42">
        <v>3</v>
      </c>
      <c r="G89" s="9">
        <v>3</v>
      </c>
      <c r="H89" s="44">
        <v>3</v>
      </c>
      <c r="I89" s="9">
        <v>3</v>
      </c>
      <c r="J89" s="39" t="s">
        <v>64</v>
      </c>
      <c r="K89" s="43">
        <v>0</v>
      </c>
      <c r="L89" s="44" t="s">
        <v>15</v>
      </c>
    </row>
    <row r="90" spans="1:12" ht="15.75" customHeight="1" x14ac:dyDescent="0.3">
      <c r="A90" s="20">
        <v>2</v>
      </c>
      <c r="B90" s="23">
        <v>45332</v>
      </c>
      <c r="C90" s="28" t="s">
        <v>101</v>
      </c>
      <c r="D90" s="35">
        <v>1</v>
      </c>
      <c r="E90" s="40" t="s">
        <v>20</v>
      </c>
      <c r="F90" s="42">
        <v>45</v>
      </c>
      <c r="G90" s="9">
        <v>45</v>
      </c>
      <c r="H90" s="44">
        <v>55</v>
      </c>
      <c r="I90" s="9">
        <v>55</v>
      </c>
      <c r="J90" s="39" t="s">
        <v>64</v>
      </c>
      <c r="K90" s="43">
        <v>10</v>
      </c>
      <c r="L90" s="44" t="s">
        <v>15</v>
      </c>
    </row>
    <row r="91" spans="1:12" ht="15.75" customHeight="1" x14ac:dyDescent="0.3">
      <c r="A91" s="20">
        <v>2</v>
      </c>
      <c r="B91" s="23">
        <v>45332</v>
      </c>
      <c r="C91" s="28" t="s">
        <v>102</v>
      </c>
      <c r="D91" s="35">
        <v>1</v>
      </c>
      <c r="E91" s="40" t="s">
        <v>103</v>
      </c>
      <c r="F91" s="42">
        <v>50</v>
      </c>
      <c r="G91" s="9">
        <v>50</v>
      </c>
      <c r="H91" s="44">
        <v>75</v>
      </c>
      <c r="I91" s="9">
        <v>75</v>
      </c>
      <c r="J91" s="39" t="s">
        <v>64</v>
      </c>
      <c r="K91" s="43">
        <v>25</v>
      </c>
      <c r="L91" s="44" t="s">
        <v>15</v>
      </c>
    </row>
    <row r="92" spans="1:12" ht="15.75" customHeight="1" x14ac:dyDescent="0.3">
      <c r="A92" s="20">
        <v>2</v>
      </c>
      <c r="B92" s="23">
        <v>45332</v>
      </c>
      <c r="C92" s="28" t="s">
        <v>104</v>
      </c>
      <c r="D92" s="35">
        <v>1</v>
      </c>
      <c r="E92" s="40" t="s">
        <v>103</v>
      </c>
      <c r="F92" s="42">
        <v>50</v>
      </c>
      <c r="G92" s="9">
        <v>50</v>
      </c>
      <c r="H92" s="44">
        <v>80</v>
      </c>
      <c r="I92" s="9">
        <v>80</v>
      </c>
      <c r="J92" s="39" t="s">
        <v>64</v>
      </c>
      <c r="K92" s="43">
        <v>30</v>
      </c>
      <c r="L92" s="44" t="s">
        <v>15</v>
      </c>
    </row>
    <row r="93" spans="1:12" ht="15.75" customHeight="1" x14ac:dyDescent="0.3">
      <c r="A93" s="20">
        <v>2</v>
      </c>
      <c r="B93" s="23">
        <v>45337</v>
      </c>
      <c r="C93" s="28" t="s">
        <v>26</v>
      </c>
      <c r="D93" s="35">
        <v>1</v>
      </c>
      <c r="E93" s="40" t="s">
        <v>17</v>
      </c>
      <c r="F93" s="42">
        <v>7.5</v>
      </c>
      <c r="G93" s="9">
        <v>7.5</v>
      </c>
      <c r="H93" s="44">
        <v>14.2</v>
      </c>
      <c r="I93" s="9">
        <v>14.2</v>
      </c>
      <c r="J93" s="39" t="s">
        <v>24</v>
      </c>
      <c r="K93" s="43">
        <v>6.6999999999999993</v>
      </c>
      <c r="L93" s="44" t="s">
        <v>15</v>
      </c>
    </row>
    <row r="94" spans="1:12" ht="15.75" customHeight="1" x14ac:dyDescent="0.3">
      <c r="A94" s="20">
        <v>2</v>
      </c>
      <c r="B94" s="23">
        <v>45338</v>
      </c>
      <c r="C94" s="28" t="s">
        <v>105</v>
      </c>
      <c r="D94" s="35">
        <v>1</v>
      </c>
      <c r="E94" s="11" t="s">
        <v>106</v>
      </c>
      <c r="F94" s="42">
        <v>12</v>
      </c>
      <c r="G94" s="9">
        <v>12</v>
      </c>
      <c r="H94" s="44">
        <v>35</v>
      </c>
      <c r="I94" s="9">
        <v>35</v>
      </c>
      <c r="J94" s="39" t="s">
        <v>64</v>
      </c>
      <c r="K94" s="43">
        <v>23</v>
      </c>
      <c r="L94" s="44" t="s">
        <v>15</v>
      </c>
    </row>
    <row r="95" spans="1:12" ht="15.75" customHeight="1" x14ac:dyDescent="0.3">
      <c r="A95" s="20">
        <v>2</v>
      </c>
      <c r="B95" s="23">
        <v>45338</v>
      </c>
      <c r="C95" s="28" t="s">
        <v>107</v>
      </c>
      <c r="D95" s="35">
        <v>1</v>
      </c>
      <c r="E95" s="40" t="s">
        <v>108</v>
      </c>
      <c r="F95" s="42">
        <v>20</v>
      </c>
      <c r="G95" s="9">
        <v>20</v>
      </c>
      <c r="H95" s="44">
        <v>28</v>
      </c>
      <c r="I95" s="9">
        <v>28</v>
      </c>
      <c r="J95" s="39" t="s">
        <v>64</v>
      </c>
      <c r="K95" s="43">
        <v>8</v>
      </c>
      <c r="L95" s="44" t="s">
        <v>15</v>
      </c>
    </row>
    <row r="96" spans="1:12" ht="15.75" customHeight="1" x14ac:dyDescent="0.3">
      <c r="A96" s="20">
        <v>2</v>
      </c>
      <c r="B96" s="23">
        <v>45338</v>
      </c>
      <c r="C96" s="28" t="s">
        <v>109</v>
      </c>
      <c r="D96" s="35">
        <v>1</v>
      </c>
      <c r="E96" s="40" t="s">
        <v>17</v>
      </c>
      <c r="F96" s="42">
        <v>4</v>
      </c>
      <c r="G96" s="9">
        <v>4</v>
      </c>
      <c r="H96" s="44">
        <v>11.41</v>
      </c>
      <c r="I96" s="9">
        <v>11.41</v>
      </c>
      <c r="J96" s="39" t="s">
        <v>24</v>
      </c>
      <c r="K96" s="43">
        <v>7.41</v>
      </c>
      <c r="L96" s="44" t="s">
        <v>15</v>
      </c>
    </row>
    <row r="97" spans="1:12" ht="15.75" customHeight="1" x14ac:dyDescent="0.3">
      <c r="A97" s="20">
        <v>2</v>
      </c>
      <c r="B97" s="23">
        <v>45338</v>
      </c>
      <c r="C97" s="28" t="s">
        <v>22</v>
      </c>
      <c r="D97" s="35">
        <v>1</v>
      </c>
      <c r="E97" s="40" t="s">
        <v>110</v>
      </c>
      <c r="F97" s="42">
        <v>14</v>
      </c>
      <c r="G97" s="9">
        <v>14</v>
      </c>
      <c r="H97" s="44">
        <v>30</v>
      </c>
      <c r="I97" s="9">
        <v>30</v>
      </c>
      <c r="J97" s="39" t="s">
        <v>64</v>
      </c>
      <c r="K97" s="43">
        <v>16</v>
      </c>
      <c r="L97" s="44" t="s">
        <v>15</v>
      </c>
    </row>
    <row r="98" spans="1:12" ht="15.75" customHeight="1" x14ac:dyDescent="0.3">
      <c r="A98" s="20">
        <v>2</v>
      </c>
      <c r="B98" s="23">
        <v>45339</v>
      </c>
      <c r="C98" s="28" t="s">
        <v>59</v>
      </c>
      <c r="D98" s="35">
        <v>1</v>
      </c>
      <c r="E98" s="40" t="s">
        <v>20</v>
      </c>
      <c r="F98" s="42">
        <v>4.5</v>
      </c>
      <c r="G98" s="9">
        <v>4.5</v>
      </c>
      <c r="H98" s="44">
        <v>10</v>
      </c>
      <c r="I98" s="9">
        <v>10</v>
      </c>
      <c r="J98" s="39" t="s">
        <v>64</v>
      </c>
      <c r="K98" s="43">
        <v>5.5</v>
      </c>
      <c r="L98" s="44" t="s">
        <v>15</v>
      </c>
    </row>
    <row r="99" spans="1:12" ht="15.75" customHeight="1" x14ac:dyDescent="0.3">
      <c r="A99" s="20">
        <v>2</v>
      </c>
      <c r="B99" s="23">
        <v>45339</v>
      </c>
      <c r="C99" s="28" t="s">
        <v>28</v>
      </c>
      <c r="D99" s="35">
        <v>1</v>
      </c>
      <c r="E99" s="40" t="s">
        <v>20</v>
      </c>
      <c r="F99" s="42">
        <v>28</v>
      </c>
      <c r="G99" s="9">
        <v>28</v>
      </c>
      <c r="H99" s="44">
        <v>50</v>
      </c>
      <c r="I99" s="9">
        <v>50</v>
      </c>
      <c r="J99" s="39" t="s">
        <v>64</v>
      </c>
      <c r="K99" s="43">
        <v>22</v>
      </c>
      <c r="L99" s="44" t="s">
        <v>15</v>
      </c>
    </row>
    <row r="100" spans="1:12" ht="15.75" customHeight="1" x14ac:dyDescent="0.3">
      <c r="A100" s="20">
        <v>2</v>
      </c>
      <c r="B100" s="23">
        <v>45339</v>
      </c>
      <c r="C100" s="28" t="s">
        <v>111</v>
      </c>
      <c r="D100" s="35">
        <v>1</v>
      </c>
      <c r="E100" s="40" t="s">
        <v>20</v>
      </c>
      <c r="F100" s="42">
        <v>16</v>
      </c>
      <c r="G100" s="9">
        <v>16</v>
      </c>
      <c r="H100" s="44">
        <v>27.5</v>
      </c>
      <c r="I100" s="9">
        <v>27.5</v>
      </c>
      <c r="J100" s="39" t="s">
        <v>64</v>
      </c>
      <c r="K100" s="43">
        <v>11.5</v>
      </c>
      <c r="L100" s="44" t="s">
        <v>15</v>
      </c>
    </row>
    <row r="101" spans="1:12" ht="15.75" customHeight="1" x14ac:dyDescent="0.3">
      <c r="A101" s="20">
        <v>2</v>
      </c>
      <c r="B101" s="23">
        <v>45339</v>
      </c>
      <c r="C101" s="28" t="s">
        <v>111</v>
      </c>
      <c r="D101" s="35">
        <v>1</v>
      </c>
      <c r="E101" s="40" t="s">
        <v>20</v>
      </c>
      <c r="F101" s="42">
        <v>16</v>
      </c>
      <c r="G101" s="9">
        <v>16</v>
      </c>
      <c r="H101" s="44">
        <v>27.5</v>
      </c>
      <c r="I101" s="9">
        <v>27.5</v>
      </c>
      <c r="J101" s="39" t="s">
        <v>64</v>
      </c>
      <c r="K101" s="43">
        <v>11.5</v>
      </c>
      <c r="L101" s="44" t="s">
        <v>15</v>
      </c>
    </row>
    <row r="102" spans="1:12" ht="15.75" customHeight="1" x14ac:dyDescent="0.3">
      <c r="A102" s="20">
        <v>2</v>
      </c>
      <c r="B102" s="23">
        <v>45339</v>
      </c>
      <c r="C102" s="28" t="s">
        <v>112</v>
      </c>
      <c r="D102" s="35">
        <v>1</v>
      </c>
      <c r="E102" s="40" t="s">
        <v>20</v>
      </c>
      <c r="F102" s="42">
        <v>3.5</v>
      </c>
      <c r="G102" s="9">
        <v>3.5</v>
      </c>
      <c r="H102" s="44">
        <v>10</v>
      </c>
      <c r="I102" s="9">
        <v>10</v>
      </c>
      <c r="J102" s="39" t="s">
        <v>64</v>
      </c>
      <c r="K102" s="43">
        <v>6.5</v>
      </c>
      <c r="L102" s="44" t="s">
        <v>15</v>
      </c>
    </row>
    <row r="103" spans="1:12" ht="15.75" customHeight="1" x14ac:dyDescent="0.3">
      <c r="A103" s="20">
        <v>2</v>
      </c>
      <c r="B103" s="23">
        <v>45339</v>
      </c>
      <c r="C103" s="28" t="s">
        <v>113</v>
      </c>
      <c r="D103" s="35">
        <v>1</v>
      </c>
      <c r="E103" s="40" t="s">
        <v>20</v>
      </c>
      <c r="F103" s="42" t="s">
        <v>72</v>
      </c>
      <c r="G103" s="9">
        <v>0</v>
      </c>
      <c r="H103" s="44">
        <v>165</v>
      </c>
      <c r="I103" s="9">
        <v>165</v>
      </c>
      <c r="J103" s="39" t="s">
        <v>64</v>
      </c>
      <c r="K103" s="43">
        <v>165</v>
      </c>
      <c r="L103" s="44" t="s">
        <v>15</v>
      </c>
    </row>
    <row r="104" spans="1:12" ht="15.75" customHeight="1" x14ac:dyDescent="0.3">
      <c r="A104" s="20">
        <v>2</v>
      </c>
      <c r="B104" s="23">
        <v>45339</v>
      </c>
      <c r="C104" s="28" t="s">
        <v>114</v>
      </c>
      <c r="D104" s="35">
        <v>1</v>
      </c>
      <c r="E104" s="40" t="s">
        <v>20</v>
      </c>
      <c r="F104" s="42">
        <v>11</v>
      </c>
      <c r="G104" s="9">
        <v>11</v>
      </c>
      <c r="H104" s="44">
        <v>15</v>
      </c>
      <c r="I104" s="9">
        <v>15</v>
      </c>
      <c r="J104" s="39" t="s">
        <v>64</v>
      </c>
      <c r="K104" s="43">
        <v>4</v>
      </c>
      <c r="L104" s="44" t="s">
        <v>15</v>
      </c>
    </row>
    <row r="105" spans="1:12" ht="15.75" customHeight="1" x14ac:dyDescent="0.3">
      <c r="A105" s="20">
        <v>2</v>
      </c>
      <c r="B105" s="23">
        <v>45339</v>
      </c>
      <c r="C105" s="28" t="s">
        <v>52</v>
      </c>
      <c r="D105" s="35">
        <v>1</v>
      </c>
      <c r="E105" s="40" t="s">
        <v>20</v>
      </c>
      <c r="F105" s="42">
        <v>8</v>
      </c>
      <c r="G105" s="9">
        <v>8</v>
      </c>
      <c r="H105" s="44">
        <v>15</v>
      </c>
      <c r="I105" s="9">
        <v>15</v>
      </c>
      <c r="J105" s="39" t="s">
        <v>64</v>
      </c>
      <c r="K105" s="43">
        <v>7</v>
      </c>
      <c r="L105" s="44" t="s">
        <v>15</v>
      </c>
    </row>
    <row r="106" spans="1:12" ht="15.75" customHeight="1" x14ac:dyDescent="0.3">
      <c r="A106" s="20">
        <v>2</v>
      </c>
      <c r="B106" s="23">
        <v>45339</v>
      </c>
      <c r="C106" s="28" t="s">
        <v>115</v>
      </c>
      <c r="D106" s="35">
        <v>1</v>
      </c>
      <c r="E106" s="40" t="s">
        <v>20</v>
      </c>
      <c r="F106" s="42">
        <v>65</v>
      </c>
      <c r="G106" s="9">
        <v>65</v>
      </c>
      <c r="H106" s="44">
        <v>96.35</v>
      </c>
      <c r="I106" s="9">
        <v>96.35</v>
      </c>
      <c r="J106" s="39" t="s">
        <v>64</v>
      </c>
      <c r="K106" s="43">
        <v>31.349999999999994</v>
      </c>
      <c r="L106" s="44" t="s">
        <v>15</v>
      </c>
    </row>
    <row r="107" spans="1:12" ht="15.75" customHeight="1" x14ac:dyDescent="0.3">
      <c r="A107" s="20">
        <v>2</v>
      </c>
      <c r="B107" s="23">
        <v>45339</v>
      </c>
      <c r="C107" s="28" t="s">
        <v>90</v>
      </c>
      <c r="D107" s="35">
        <v>1</v>
      </c>
      <c r="E107" s="40" t="s">
        <v>20</v>
      </c>
      <c r="F107" s="42">
        <v>3</v>
      </c>
      <c r="G107" s="9">
        <v>3</v>
      </c>
      <c r="H107" s="44">
        <v>15</v>
      </c>
      <c r="I107" s="9">
        <v>15</v>
      </c>
      <c r="J107" s="39" t="s">
        <v>64</v>
      </c>
      <c r="K107" s="43">
        <v>12</v>
      </c>
      <c r="L107" s="44" t="s">
        <v>15</v>
      </c>
    </row>
    <row r="108" spans="1:12" ht="15.75" customHeight="1" x14ac:dyDescent="0.3">
      <c r="A108" s="20">
        <v>2</v>
      </c>
      <c r="B108" s="23">
        <v>45341</v>
      </c>
      <c r="C108" s="28" t="s">
        <v>116</v>
      </c>
      <c r="D108" s="35">
        <v>1</v>
      </c>
      <c r="E108" s="40" t="s">
        <v>117</v>
      </c>
      <c r="F108" s="42">
        <v>12</v>
      </c>
      <c r="G108" s="9">
        <v>12</v>
      </c>
      <c r="H108" s="44">
        <v>25</v>
      </c>
      <c r="I108" s="9">
        <v>25</v>
      </c>
      <c r="J108" s="39" t="s">
        <v>64</v>
      </c>
      <c r="K108" s="43">
        <v>13</v>
      </c>
      <c r="L108" s="44" t="s">
        <v>15</v>
      </c>
    </row>
    <row r="109" spans="1:12" ht="15.75" customHeight="1" x14ac:dyDescent="0.3">
      <c r="A109" s="20">
        <v>2</v>
      </c>
      <c r="B109" s="23">
        <v>45342</v>
      </c>
      <c r="C109" s="28" t="s">
        <v>90</v>
      </c>
      <c r="D109" s="35">
        <v>1</v>
      </c>
      <c r="E109" s="40" t="s">
        <v>118</v>
      </c>
      <c r="F109" s="42">
        <v>3</v>
      </c>
      <c r="G109" s="9">
        <v>3</v>
      </c>
      <c r="H109" s="44">
        <v>10</v>
      </c>
      <c r="I109" s="9">
        <v>10</v>
      </c>
      <c r="J109" s="39" t="s">
        <v>64</v>
      </c>
      <c r="K109" s="43">
        <v>7</v>
      </c>
      <c r="L109" s="44" t="s">
        <v>15</v>
      </c>
    </row>
    <row r="110" spans="1:12" ht="15.75" customHeight="1" x14ac:dyDescent="0.3">
      <c r="A110" s="20">
        <v>2</v>
      </c>
      <c r="B110" s="23">
        <v>45342</v>
      </c>
      <c r="C110" s="28" t="s">
        <v>90</v>
      </c>
      <c r="D110" s="35">
        <v>1</v>
      </c>
      <c r="E110" s="40" t="s">
        <v>118</v>
      </c>
      <c r="F110" s="42">
        <v>3</v>
      </c>
      <c r="G110" s="9">
        <v>3</v>
      </c>
      <c r="H110" s="44">
        <v>10</v>
      </c>
      <c r="I110" s="9">
        <v>10</v>
      </c>
      <c r="J110" s="39" t="s">
        <v>64</v>
      </c>
      <c r="K110" s="43">
        <v>7</v>
      </c>
      <c r="L110" s="44" t="s">
        <v>15</v>
      </c>
    </row>
    <row r="111" spans="1:12" ht="15.75" customHeight="1" x14ac:dyDescent="0.3">
      <c r="A111" s="20">
        <v>2</v>
      </c>
      <c r="B111" s="23">
        <v>45342</v>
      </c>
      <c r="C111" s="28" t="s">
        <v>90</v>
      </c>
      <c r="D111" s="35">
        <v>1</v>
      </c>
      <c r="E111" s="40" t="s">
        <v>118</v>
      </c>
      <c r="F111" s="42">
        <v>3</v>
      </c>
      <c r="G111" s="9">
        <v>3</v>
      </c>
      <c r="H111" s="44">
        <v>10</v>
      </c>
      <c r="I111" s="9">
        <v>10</v>
      </c>
      <c r="J111" s="39" t="s">
        <v>64</v>
      </c>
      <c r="K111" s="43">
        <v>7</v>
      </c>
      <c r="L111" s="44" t="s">
        <v>15</v>
      </c>
    </row>
    <row r="112" spans="1:12" ht="15.75" customHeight="1" x14ac:dyDescent="0.3">
      <c r="A112" s="20">
        <v>2</v>
      </c>
      <c r="B112" s="23">
        <v>45342</v>
      </c>
      <c r="C112" s="28" t="s">
        <v>70</v>
      </c>
      <c r="D112" s="35">
        <v>1</v>
      </c>
      <c r="E112" s="40" t="s">
        <v>118</v>
      </c>
      <c r="F112" s="42" t="s">
        <v>72</v>
      </c>
      <c r="G112" s="9">
        <v>0</v>
      </c>
      <c r="H112" s="44">
        <v>45</v>
      </c>
      <c r="I112" s="9">
        <v>45</v>
      </c>
      <c r="J112" s="39" t="s">
        <v>64</v>
      </c>
      <c r="K112" s="43">
        <v>45</v>
      </c>
      <c r="L112" s="44" t="s">
        <v>15</v>
      </c>
    </row>
    <row r="113" spans="1:12" ht="15.75" customHeight="1" x14ac:dyDescent="0.3">
      <c r="A113" s="20">
        <v>2</v>
      </c>
      <c r="B113" s="23">
        <v>45342</v>
      </c>
      <c r="C113" s="28" t="s">
        <v>119</v>
      </c>
      <c r="D113" s="35">
        <v>1</v>
      </c>
      <c r="E113" s="40" t="s">
        <v>118</v>
      </c>
      <c r="F113" s="42">
        <v>5</v>
      </c>
      <c r="G113" s="9">
        <v>5</v>
      </c>
      <c r="H113" s="44">
        <v>10</v>
      </c>
      <c r="I113" s="9">
        <v>10</v>
      </c>
      <c r="J113" s="39" t="s">
        <v>64</v>
      </c>
      <c r="K113" s="43">
        <v>5</v>
      </c>
      <c r="L113" s="44" t="s">
        <v>15</v>
      </c>
    </row>
    <row r="114" spans="1:12" ht="15.75" customHeight="1" x14ac:dyDescent="0.3">
      <c r="A114" s="20">
        <v>2</v>
      </c>
      <c r="B114" s="23">
        <v>45342</v>
      </c>
      <c r="C114" s="28" t="s">
        <v>19</v>
      </c>
      <c r="D114" s="35">
        <v>1</v>
      </c>
      <c r="E114" s="40" t="s">
        <v>118</v>
      </c>
      <c r="F114" s="42">
        <v>18</v>
      </c>
      <c r="G114" s="9">
        <v>18</v>
      </c>
      <c r="H114" s="44">
        <v>30</v>
      </c>
      <c r="I114" s="9">
        <v>30</v>
      </c>
      <c r="J114" s="39" t="s">
        <v>64</v>
      </c>
      <c r="K114" s="43">
        <v>12</v>
      </c>
      <c r="L114" s="44" t="s">
        <v>15</v>
      </c>
    </row>
    <row r="115" spans="1:12" ht="15.75" customHeight="1" x14ac:dyDescent="0.3">
      <c r="A115" s="20">
        <v>2</v>
      </c>
      <c r="B115" s="23">
        <v>45342</v>
      </c>
      <c r="C115" s="28" t="s">
        <v>120</v>
      </c>
      <c r="D115" s="35">
        <v>1</v>
      </c>
      <c r="E115" s="40" t="s">
        <v>20</v>
      </c>
      <c r="F115" s="42">
        <v>2.5</v>
      </c>
      <c r="G115" s="9">
        <v>2.5</v>
      </c>
      <c r="H115" s="44">
        <v>10</v>
      </c>
      <c r="I115" s="9">
        <v>10</v>
      </c>
      <c r="J115" s="39" t="s">
        <v>64</v>
      </c>
      <c r="K115" s="43">
        <v>7.5</v>
      </c>
      <c r="L115" s="44" t="s">
        <v>15</v>
      </c>
    </row>
    <row r="116" spans="1:12" ht="15.75" customHeight="1" x14ac:dyDescent="0.3">
      <c r="A116" s="20">
        <v>2</v>
      </c>
      <c r="B116" s="23">
        <v>45342</v>
      </c>
      <c r="C116" s="28" t="s">
        <v>90</v>
      </c>
      <c r="D116" s="35">
        <v>1</v>
      </c>
      <c r="E116" s="40" t="s">
        <v>20</v>
      </c>
      <c r="F116" s="42">
        <v>3</v>
      </c>
      <c r="G116" s="9">
        <v>3</v>
      </c>
      <c r="H116" s="44">
        <v>10</v>
      </c>
      <c r="I116" s="9">
        <v>10</v>
      </c>
      <c r="J116" s="39" t="s">
        <v>64</v>
      </c>
      <c r="K116" s="43">
        <v>7</v>
      </c>
      <c r="L116" s="44" t="s">
        <v>15</v>
      </c>
    </row>
    <row r="117" spans="1:12" ht="15.75" customHeight="1" x14ac:dyDescent="0.3">
      <c r="A117" s="20">
        <v>2</v>
      </c>
      <c r="B117" s="24">
        <v>45344</v>
      </c>
      <c r="C117" s="28" t="s">
        <v>121</v>
      </c>
      <c r="D117" s="35">
        <v>1</v>
      </c>
      <c r="E117" s="40" t="s">
        <v>20</v>
      </c>
      <c r="F117" s="42">
        <v>3.5</v>
      </c>
      <c r="G117" s="9">
        <v>3.5</v>
      </c>
      <c r="H117" s="44">
        <v>10</v>
      </c>
      <c r="I117" s="9">
        <v>10</v>
      </c>
      <c r="J117" s="39" t="s">
        <v>64</v>
      </c>
      <c r="K117" s="43">
        <v>6.5</v>
      </c>
      <c r="L117" s="44" t="s">
        <v>15</v>
      </c>
    </row>
    <row r="118" spans="1:12" ht="15.75" customHeight="1" x14ac:dyDescent="0.3">
      <c r="A118" s="20">
        <v>2</v>
      </c>
      <c r="B118" s="24">
        <v>45344</v>
      </c>
      <c r="C118" s="28" t="s">
        <v>121</v>
      </c>
      <c r="D118" s="35">
        <v>1</v>
      </c>
      <c r="E118" s="40" t="s">
        <v>20</v>
      </c>
      <c r="F118" s="42">
        <v>3.5</v>
      </c>
      <c r="G118" s="9">
        <v>3.5</v>
      </c>
      <c r="H118" s="44">
        <v>10</v>
      </c>
      <c r="I118" s="9">
        <v>10</v>
      </c>
      <c r="J118" s="39" t="s">
        <v>64</v>
      </c>
      <c r="K118" s="43">
        <v>6.5</v>
      </c>
      <c r="L118" s="44" t="s">
        <v>15</v>
      </c>
    </row>
    <row r="119" spans="1:12" ht="15.75" customHeight="1" x14ac:dyDescent="0.3">
      <c r="A119" s="20">
        <v>2</v>
      </c>
      <c r="B119" s="24">
        <v>45345</v>
      </c>
      <c r="C119" s="28" t="s">
        <v>115</v>
      </c>
      <c r="D119" s="35">
        <v>1</v>
      </c>
      <c r="E119" s="11" t="s">
        <v>122</v>
      </c>
      <c r="F119" s="42">
        <v>65</v>
      </c>
      <c r="G119" s="9">
        <v>65</v>
      </c>
      <c r="H119" s="44">
        <v>98</v>
      </c>
      <c r="I119" s="9">
        <v>98</v>
      </c>
      <c r="J119" s="39" t="s">
        <v>64</v>
      </c>
      <c r="K119" s="43">
        <v>33</v>
      </c>
      <c r="L119" s="44" t="s">
        <v>15</v>
      </c>
    </row>
    <row r="120" spans="1:12" ht="15.75" customHeight="1" x14ac:dyDescent="0.3">
      <c r="A120" s="20">
        <v>2</v>
      </c>
      <c r="B120" s="24">
        <v>45346</v>
      </c>
      <c r="C120" s="28" t="s">
        <v>123</v>
      </c>
      <c r="D120" s="35">
        <v>7</v>
      </c>
      <c r="E120" s="40" t="s">
        <v>20</v>
      </c>
      <c r="F120" s="42">
        <v>0.05</v>
      </c>
      <c r="G120" s="9">
        <v>0.35000000000000003</v>
      </c>
      <c r="H120" s="44">
        <v>0.5</v>
      </c>
      <c r="I120" s="9">
        <v>3.5</v>
      </c>
      <c r="J120" s="39" t="s">
        <v>64</v>
      </c>
      <c r="K120" s="43">
        <v>3.15</v>
      </c>
      <c r="L120" s="44" t="s">
        <v>15</v>
      </c>
    </row>
    <row r="121" spans="1:12" ht="15.75" customHeight="1" x14ac:dyDescent="0.3">
      <c r="A121" s="20">
        <v>2</v>
      </c>
      <c r="B121" s="24">
        <v>45346</v>
      </c>
      <c r="C121" s="28" t="s">
        <v>123</v>
      </c>
      <c r="D121" s="35">
        <v>25</v>
      </c>
      <c r="E121" s="40" t="s">
        <v>20</v>
      </c>
      <c r="F121" s="42">
        <v>0.05</v>
      </c>
      <c r="G121" s="9">
        <v>1.25</v>
      </c>
      <c r="H121" s="44">
        <v>1</v>
      </c>
      <c r="I121" s="9">
        <v>25</v>
      </c>
      <c r="J121" s="39" t="s">
        <v>64</v>
      </c>
      <c r="K121" s="43">
        <v>23.75</v>
      </c>
      <c r="L121" s="44" t="s">
        <v>15</v>
      </c>
    </row>
    <row r="122" spans="1:12" ht="15.75" customHeight="1" x14ac:dyDescent="0.3">
      <c r="A122" s="20">
        <v>2</v>
      </c>
      <c r="B122" s="24">
        <v>45346</v>
      </c>
      <c r="C122" s="28" t="s">
        <v>124</v>
      </c>
      <c r="D122" s="35">
        <v>1</v>
      </c>
      <c r="E122" s="40" t="s">
        <v>20</v>
      </c>
      <c r="F122" s="42">
        <v>0</v>
      </c>
      <c r="G122" s="9">
        <v>0</v>
      </c>
      <c r="H122" s="44">
        <v>10</v>
      </c>
      <c r="I122" s="9">
        <v>10</v>
      </c>
      <c r="J122" s="39" t="s">
        <v>64</v>
      </c>
      <c r="K122" s="43">
        <v>10</v>
      </c>
      <c r="L122" s="44" t="s">
        <v>15</v>
      </c>
    </row>
    <row r="123" spans="1:12" ht="15.75" customHeight="1" x14ac:dyDescent="0.3">
      <c r="A123" s="20">
        <v>2</v>
      </c>
      <c r="B123" s="24">
        <v>45346</v>
      </c>
      <c r="C123" s="28" t="s">
        <v>125</v>
      </c>
      <c r="D123" s="35">
        <v>1</v>
      </c>
      <c r="E123" s="40" t="s">
        <v>20</v>
      </c>
      <c r="F123" s="42">
        <v>31.99</v>
      </c>
      <c r="G123" s="9">
        <v>31.99</v>
      </c>
      <c r="H123" s="44">
        <v>50</v>
      </c>
      <c r="I123" s="9">
        <v>50</v>
      </c>
      <c r="J123" s="39" t="s">
        <v>64</v>
      </c>
      <c r="K123" s="43">
        <v>18.010000000000002</v>
      </c>
      <c r="L123" s="44" t="s">
        <v>15</v>
      </c>
    </row>
    <row r="124" spans="1:12" ht="15.75" customHeight="1" x14ac:dyDescent="0.3">
      <c r="A124" s="20">
        <v>2</v>
      </c>
      <c r="B124" s="24">
        <v>45346</v>
      </c>
      <c r="C124" s="28" t="s">
        <v>125</v>
      </c>
      <c r="D124" s="35">
        <v>1</v>
      </c>
      <c r="E124" s="40" t="s">
        <v>20</v>
      </c>
      <c r="F124" s="42">
        <v>31.99</v>
      </c>
      <c r="G124" s="9">
        <v>31.99</v>
      </c>
      <c r="H124" s="44">
        <v>50</v>
      </c>
      <c r="I124" s="9">
        <v>50</v>
      </c>
      <c r="J124" s="39" t="s">
        <v>64</v>
      </c>
      <c r="K124" s="43">
        <v>18.010000000000002</v>
      </c>
      <c r="L124" s="44" t="s">
        <v>15</v>
      </c>
    </row>
    <row r="125" spans="1:12" ht="15.75" customHeight="1" x14ac:dyDescent="0.3">
      <c r="A125" s="20">
        <v>2</v>
      </c>
      <c r="B125" s="24">
        <v>45346</v>
      </c>
      <c r="C125" s="28" t="s">
        <v>125</v>
      </c>
      <c r="D125" s="35">
        <v>1</v>
      </c>
      <c r="E125" s="40" t="s">
        <v>20</v>
      </c>
      <c r="F125" s="42">
        <v>31.99</v>
      </c>
      <c r="G125" s="9">
        <v>31.99</v>
      </c>
      <c r="H125" s="44">
        <v>50</v>
      </c>
      <c r="I125" s="9">
        <v>50</v>
      </c>
      <c r="J125" s="39" t="s">
        <v>64</v>
      </c>
      <c r="K125" s="43">
        <v>18.010000000000002</v>
      </c>
      <c r="L125" s="44" t="s">
        <v>15</v>
      </c>
    </row>
    <row r="126" spans="1:12" ht="15.75" customHeight="1" x14ac:dyDescent="0.3">
      <c r="A126" s="20">
        <v>2</v>
      </c>
      <c r="B126" s="24">
        <v>45346</v>
      </c>
      <c r="C126" s="28" t="s">
        <v>125</v>
      </c>
      <c r="D126" s="35">
        <v>1</v>
      </c>
      <c r="E126" s="40" t="s">
        <v>20</v>
      </c>
      <c r="F126" s="42">
        <v>31.99</v>
      </c>
      <c r="G126" s="9">
        <v>31.99</v>
      </c>
      <c r="H126" s="44">
        <v>50</v>
      </c>
      <c r="I126" s="9">
        <v>50</v>
      </c>
      <c r="J126" s="39" t="s">
        <v>64</v>
      </c>
      <c r="K126" s="43">
        <v>18.010000000000002</v>
      </c>
      <c r="L126" s="44" t="s">
        <v>15</v>
      </c>
    </row>
    <row r="127" spans="1:12" ht="15.75" customHeight="1" x14ac:dyDescent="0.3">
      <c r="A127" s="20">
        <v>2</v>
      </c>
      <c r="B127" s="24">
        <v>45346</v>
      </c>
      <c r="C127" s="28" t="s">
        <v>126</v>
      </c>
      <c r="D127" s="35">
        <v>1</v>
      </c>
      <c r="E127" s="40" t="s">
        <v>20</v>
      </c>
      <c r="F127" s="42">
        <v>7</v>
      </c>
      <c r="G127" s="9">
        <v>7</v>
      </c>
      <c r="H127" s="44">
        <v>15</v>
      </c>
      <c r="I127" s="9">
        <v>15</v>
      </c>
      <c r="J127" s="39" t="s">
        <v>64</v>
      </c>
      <c r="K127" s="43">
        <v>8</v>
      </c>
      <c r="L127" s="44" t="s">
        <v>15</v>
      </c>
    </row>
    <row r="128" spans="1:12" ht="15.75" customHeight="1" x14ac:dyDescent="0.3">
      <c r="A128" s="20">
        <v>2</v>
      </c>
      <c r="B128" s="24">
        <v>45349</v>
      </c>
      <c r="C128" s="28" t="s">
        <v>52</v>
      </c>
      <c r="D128" s="35">
        <v>1</v>
      </c>
      <c r="E128" s="40" t="s">
        <v>20</v>
      </c>
      <c r="F128" s="42">
        <v>8</v>
      </c>
      <c r="G128" s="9">
        <v>8</v>
      </c>
      <c r="H128" s="44">
        <v>20</v>
      </c>
      <c r="I128" s="9">
        <v>20</v>
      </c>
      <c r="J128" s="39" t="s">
        <v>64</v>
      </c>
      <c r="K128" s="43">
        <v>12</v>
      </c>
      <c r="L128" s="44" t="s">
        <v>15</v>
      </c>
    </row>
    <row r="129" spans="1:12" ht="15.75" customHeight="1" x14ac:dyDescent="0.3">
      <c r="A129" s="20">
        <v>2</v>
      </c>
      <c r="B129" s="24">
        <v>45349</v>
      </c>
      <c r="C129" s="28" t="s">
        <v>63</v>
      </c>
      <c r="D129" s="35">
        <v>1</v>
      </c>
      <c r="E129" s="40" t="s">
        <v>20</v>
      </c>
      <c r="F129" s="42">
        <v>7</v>
      </c>
      <c r="G129" s="9">
        <v>7</v>
      </c>
      <c r="H129" s="44">
        <v>20</v>
      </c>
      <c r="I129" s="9">
        <v>20</v>
      </c>
      <c r="J129" s="39" t="s">
        <v>64</v>
      </c>
      <c r="K129" s="43">
        <v>13</v>
      </c>
      <c r="L129" s="44" t="s">
        <v>15</v>
      </c>
    </row>
    <row r="130" spans="1:12" ht="15.75" customHeight="1" x14ac:dyDescent="0.3">
      <c r="A130" s="20">
        <v>2</v>
      </c>
      <c r="B130" s="24">
        <v>45349</v>
      </c>
      <c r="C130" s="28" t="s">
        <v>127</v>
      </c>
      <c r="D130" s="35">
        <v>1</v>
      </c>
      <c r="E130" s="40" t="s">
        <v>20</v>
      </c>
      <c r="F130" s="42">
        <v>26</v>
      </c>
      <c r="G130" s="9">
        <v>26</v>
      </c>
      <c r="H130" s="44">
        <v>50</v>
      </c>
      <c r="I130" s="9">
        <v>50</v>
      </c>
      <c r="J130" s="39" t="s">
        <v>64</v>
      </c>
      <c r="K130" s="43">
        <v>24</v>
      </c>
      <c r="L130" s="44" t="s">
        <v>128</v>
      </c>
    </row>
    <row r="131" spans="1:12" ht="15.75" customHeight="1" x14ac:dyDescent="0.3">
      <c r="A131" s="20">
        <v>2</v>
      </c>
      <c r="B131" s="24">
        <v>45350</v>
      </c>
      <c r="C131" s="28" t="s">
        <v>129</v>
      </c>
      <c r="D131" s="35">
        <v>1</v>
      </c>
      <c r="E131" s="40" t="s">
        <v>130</v>
      </c>
      <c r="F131" s="42" t="s">
        <v>72</v>
      </c>
      <c r="G131" s="9">
        <v>0</v>
      </c>
      <c r="H131" s="44">
        <v>70</v>
      </c>
      <c r="I131" s="9">
        <v>70</v>
      </c>
      <c r="J131" s="39" t="s">
        <v>64</v>
      </c>
      <c r="K131" s="43">
        <v>70</v>
      </c>
      <c r="L131" s="44" t="s">
        <v>15</v>
      </c>
    </row>
    <row r="132" spans="1:12" ht="15.75" customHeight="1" x14ac:dyDescent="0.3">
      <c r="A132" s="20">
        <v>2</v>
      </c>
      <c r="B132" s="24">
        <v>45350</v>
      </c>
      <c r="C132" s="28" t="s">
        <v>90</v>
      </c>
      <c r="D132" s="35">
        <v>1</v>
      </c>
      <c r="E132" s="40" t="s">
        <v>131</v>
      </c>
      <c r="F132" s="42">
        <v>3</v>
      </c>
      <c r="G132" s="9">
        <v>3</v>
      </c>
      <c r="H132" s="44">
        <v>10</v>
      </c>
      <c r="I132" s="9">
        <v>10</v>
      </c>
      <c r="J132" s="39" t="s">
        <v>64</v>
      </c>
      <c r="K132" s="43">
        <v>7</v>
      </c>
      <c r="L132" s="44" t="s">
        <v>128</v>
      </c>
    </row>
    <row r="133" spans="1:12" ht="15.75" customHeight="1" x14ac:dyDescent="0.3">
      <c r="A133" s="20">
        <v>2</v>
      </c>
      <c r="B133" s="24">
        <v>45350</v>
      </c>
      <c r="C133" s="28" t="s">
        <v>22</v>
      </c>
      <c r="D133" s="35">
        <v>1</v>
      </c>
      <c r="E133" s="40" t="s">
        <v>132</v>
      </c>
      <c r="F133" s="42">
        <v>14</v>
      </c>
      <c r="G133" s="9">
        <v>14</v>
      </c>
      <c r="H133" s="44">
        <v>30</v>
      </c>
      <c r="I133" s="9">
        <v>30</v>
      </c>
      <c r="J133" s="39" t="s">
        <v>64</v>
      </c>
      <c r="K133" s="43">
        <v>16</v>
      </c>
      <c r="L133" s="44" t="s">
        <v>15</v>
      </c>
    </row>
    <row r="134" spans="1:12" ht="15.75" customHeight="1" x14ac:dyDescent="0.3">
      <c r="A134" s="20">
        <v>2</v>
      </c>
      <c r="B134" s="24">
        <v>45350</v>
      </c>
      <c r="C134" s="28" t="s">
        <v>123</v>
      </c>
      <c r="D134" s="35">
        <v>6</v>
      </c>
      <c r="E134" s="40" t="s">
        <v>20</v>
      </c>
      <c r="F134" s="42">
        <v>0.05</v>
      </c>
      <c r="G134" s="9">
        <v>0.30000000000000004</v>
      </c>
      <c r="H134" s="44">
        <v>1</v>
      </c>
      <c r="I134" s="9">
        <v>6</v>
      </c>
      <c r="J134" s="39" t="s">
        <v>64</v>
      </c>
      <c r="K134" s="43">
        <v>5.7</v>
      </c>
      <c r="L134" s="44" t="s">
        <v>15</v>
      </c>
    </row>
    <row r="135" spans="1:12" ht="15.75" customHeight="1" x14ac:dyDescent="0.3">
      <c r="A135" s="21">
        <v>3</v>
      </c>
      <c r="B135" s="25">
        <v>45352</v>
      </c>
      <c r="C135" s="29" t="s">
        <v>133</v>
      </c>
      <c r="D135" s="36">
        <v>1</v>
      </c>
      <c r="E135" s="41" t="s">
        <v>20</v>
      </c>
      <c r="F135" s="42">
        <v>20</v>
      </c>
      <c r="G135" s="9">
        <v>20</v>
      </c>
      <c r="H135" s="45">
        <v>35</v>
      </c>
      <c r="I135" s="9">
        <v>35</v>
      </c>
      <c r="J135" s="48" t="s">
        <v>64</v>
      </c>
      <c r="K135" s="43">
        <v>15</v>
      </c>
      <c r="L135" s="45" t="s">
        <v>15</v>
      </c>
    </row>
    <row r="136" spans="1:12" ht="15.75" customHeight="1" x14ac:dyDescent="0.3">
      <c r="A136" s="21">
        <v>3</v>
      </c>
      <c r="B136" s="25">
        <v>45352</v>
      </c>
      <c r="C136" s="29" t="s">
        <v>134</v>
      </c>
      <c r="D136" s="36">
        <v>1</v>
      </c>
      <c r="E136" s="41" t="s">
        <v>20</v>
      </c>
      <c r="F136" s="42">
        <v>6</v>
      </c>
      <c r="G136" s="9">
        <v>6</v>
      </c>
      <c r="H136" s="45">
        <v>15</v>
      </c>
      <c r="I136" s="9">
        <v>15</v>
      </c>
      <c r="J136" s="48" t="s">
        <v>64</v>
      </c>
      <c r="K136" s="43">
        <v>9</v>
      </c>
      <c r="L136" s="45" t="s">
        <v>128</v>
      </c>
    </row>
    <row r="137" spans="1:12" ht="15.75" customHeight="1" x14ac:dyDescent="0.3">
      <c r="A137" s="21">
        <v>3</v>
      </c>
      <c r="B137" s="25">
        <v>45352</v>
      </c>
      <c r="C137" s="29" t="s">
        <v>29</v>
      </c>
      <c r="D137" s="36">
        <v>1</v>
      </c>
      <c r="E137" s="41" t="s">
        <v>20</v>
      </c>
      <c r="F137" s="42">
        <v>22</v>
      </c>
      <c r="G137" s="9">
        <v>22</v>
      </c>
      <c r="H137" s="45">
        <v>40</v>
      </c>
      <c r="I137" s="9">
        <v>40</v>
      </c>
      <c r="J137" s="48" t="s">
        <v>64</v>
      </c>
      <c r="K137" s="43">
        <v>18</v>
      </c>
      <c r="L137" s="45" t="s">
        <v>128</v>
      </c>
    </row>
    <row r="138" spans="1:12" ht="15.75" customHeight="1" x14ac:dyDescent="0.3">
      <c r="A138" s="21">
        <v>3</v>
      </c>
      <c r="B138" s="25">
        <v>45352</v>
      </c>
      <c r="C138" s="29" t="s">
        <v>120</v>
      </c>
      <c r="D138" s="36">
        <v>1</v>
      </c>
      <c r="E138" s="41" t="s">
        <v>20</v>
      </c>
      <c r="F138" s="42">
        <v>2.5</v>
      </c>
      <c r="G138" s="9">
        <v>2.5</v>
      </c>
      <c r="H138" s="45">
        <v>10</v>
      </c>
      <c r="I138" s="9">
        <v>10</v>
      </c>
      <c r="J138" s="48" t="s">
        <v>64</v>
      </c>
      <c r="K138" s="43">
        <v>7.5</v>
      </c>
      <c r="L138" s="45" t="s">
        <v>128</v>
      </c>
    </row>
    <row r="139" spans="1:12" ht="15.75" customHeight="1" x14ac:dyDescent="0.3">
      <c r="A139" s="21">
        <v>3</v>
      </c>
      <c r="B139" s="25">
        <v>45352</v>
      </c>
      <c r="C139" s="29" t="s">
        <v>48</v>
      </c>
      <c r="D139" s="36">
        <v>1</v>
      </c>
      <c r="E139" s="41" t="s">
        <v>20</v>
      </c>
      <c r="F139" s="42">
        <v>3</v>
      </c>
      <c r="G139" s="9">
        <v>3</v>
      </c>
      <c r="H139" s="45">
        <v>10</v>
      </c>
      <c r="I139" s="9">
        <v>10</v>
      </c>
      <c r="J139" s="48" t="s">
        <v>64</v>
      </c>
      <c r="K139" s="43">
        <v>7</v>
      </c>
      <c r="L139" s="45" t="s">
        <v>15</v>
      </c>
    </row>
    <row r="140" spans="1:12" ht="15.75" customHeight="1" x14ac:dyDescent="0.3">
      <c r="A140" s="21">
        <v>3</v>
      </c>
      <c r="B140" s="25">
        <v>45352</v>
      </c>
      <c r="C140" s="29" t="s">
        <v>123</v>
      </c>
      <c r="D140" s="36">
        <v>3</v>
      </c>
      <c r="E140" s="41" t="s">
        <v>20</v>
      </c>
      <c r="F140" s="42">
        <v>0.05</v>
      </c>
      <c r="G140" s="9">
        <v>0.15000000000000002</v>
      </c>
      <c r="H140" s="45">
        <v>1</v>
      </c>
      <c r="I140" s="9">
        <v>3</v>
      </c>
      <c r="J140" s="48" t="s">
        <v>64</v>
      </c>
      <c r="K140" s="43">
        <v>2.85</v>
      </c>
      <c r="L140" s="45" t="s">
        <v>15</v>
      </c>
    </row>
    <row r="141" spans="1:12" ht="15.75" customHeight="1" x14ac:dyDescent="0.3">
      <c r="A141" s="21">
        <v>3</v>
      </c>
      <c r="B141" s="25">
        <v>45352</v>
      </c>
      <c r="C141" s="29" t="s">
        <v>135</v>
      </c>
      <c r="D141" s="36">
        <v>1</v>
      </c>
      <c r="E141" s="41" t="s">
        <v>20</v>
      </c>
      <c r="F141" s="42">
        <v>35</v>
      </c>
      <c r="G141" s="9">
        <v>35</v>
      </c>
      <c r="H141" s="45">
        <v>50</v>
      </c>
      <c r="I141" s="9">
        <v>50</v>
      </c>
      <c r="J141" s="48" t="s">
        <v>64</v>
      </c>
      <c r="K141" s="43">
        <v>15</v>
      </c>
      <c r="L141" s="45" t="s">
        <v>128</v>
      </c>
    </row>
    <row r="142" spans="1:12" ht="15.75" customHeight="1" x14ac:dyDescent="0.3">
      <c r="A142" s="21">
        <v>3</v>
      </c>
      <c r="B142" s="25">
        <v>45355</v>
      </c>
      <c r="C142" s="29" t="s">
        <v>123</v>
      </c>
      <c r="D142" s="36">
        <v>1</v>
      </c>
      <c r="E142" s="41" t="s">
        <v>20</v>
      </c>
      <c r="F142" s="42">
        <v>0.05</v>
      </c>
      <c r="G142" s="9">
        <v>0.05</v>
      </c>
      <c r="H142" s="45">
        <v>1</v>
      </c>
      <c r="I142" s="9">
        <v>1</v>
      </c>
      <c r="J142" s="48" t="s">
        <v>64</v>
      </c>
      <c r="K142" s="43">
        <v>0.95</v>
      </c>
      <c r="L142" s="45" t="s">
        <v>15</v>
      </c>
    </row>
    <row r="143" spans="1:12" ht="15.75" customHeight="1" x14ac:dyDescent="0.3">
      <c r="A143" s="21">
        <v>3</v>
      </c>
      <c r="B143" s="25">
        <v>45355</v>
      </c>
      <c r="C143" s="29" t="s">
        <v>136</v>
      </c>
      <c r="D143" s="36">
        <v>1</v>
      </c>
      <c r="E143" s="41" t="s">
        <v>137</v>
      </c>
      <c r="F143" s="42">
        <v>27.9</v>
      </c>
      <c r="G143" s="9">
        <v>27.9</v>
      </c>
      <c r="H143" s="45">
        <v>50</v>
      </c>
      <c r="I143" s="9">
        <v>50</v>
      </c>
      <c r="J143" s="48" t="s">
        <v>64</v>
      </c>
      <c r="K143" s="43">
        <v>22.1</v>
      </c>
      <c r="L143" s="45" t="s">
        <v>15</v>
      </c>
    </row>
    <row r="144" spans="1:12" ht="15.75" customHeight="1" x14ac:dyDescent="0.3">
      <c r="A144" s="21">
        <v>3</v>
      </c>
      <c r="B144" s="25">
        <v>45356</v>
      </c>
      <c r="C144" s="29" t="s">
        <v>105</v>
      </c>
      <c r="D144" s="36">
        <v>1</v>
      </c>
      <c r="E144" s="41" t="s">
        <v>138</v>
      </c>
      <c r="F144" s="42">
        <v>12</v>
      </c>
      <c r="G144" s="9">
        <v>12</v>
      </c>
      <c r="H144" s="45">
        <v>25</v>
      </c>
      <c r="I144" s="9">
        <v>25</v>
      </c>
      <c r="J144" s="48" t="s">
        <v>64</v>
      </c>
      <c r="K144" s="43">
        <v>13</v>
      </c>
      <c r="L144" s="45" t="s">
        <v>128</v>
      </c>
    </row>
    <row r="145" spans="1:12" ht="15.75" customHeight="1" x14ac:dyDescent="0.3">
      <c r="A145" s="21">
        <v>3</v>
      </c>
      <c r="B145" s="25">
        <v>45357</v>
      </c>
      <c r="C145" s="29" t="s">
        <v>139</v>
      </c>
      <c r="D145" s="36">
        <v>2</v>
      </c>
      <c r="E145" s="41" t="s">
        <v>140</v>
      </c>
      <c r="F145" s="42">
        <v>7.0000000000000007E-2</v>
      </c>
      <c r="G145" s="9">
        <v>0.14000000000000001</v>
      </c>
      <c r="H145" s="45">
        <v>1</v>
      </c>
      <c r="I145" s="9">
        <v>2</v>
      </c>
      <c r="J145" s="48" t="s">
        <v>64</v>
      </c>
      <c r="K145" s="43">
        <v>1.8599999999999999</v>
      </c>
      <c r="L145" s="45" t="s">
        <v>15</v>
      </c>
    </row>
    <row r="146" spans="1:12" ht="15.75" customHeight="1" x14ac:dyDescent="0.3">
      <c r="A146" s="21">
        <v>3</v>
      </c>
      <c r="B146" s="25">
        <v>45358</v>
      </c>
      <c r="C146" s="29" t="s">
        <v>90</v>
      </c>
      <c r="D146" s="36">
        <v>1</v>
      </c>
      <c r="E146" s="41" t="s">
        <v>20</v>
      </c>
      <c r="F146" s="42">
        <v>3</v>
      </c>
      <c r="G146" s="9">
        <v>3</v>
      </c>
      <c r="H146" s="45">
        <v>15</v>
      </c>
      <c r="I146" s="9">
        <v>15</v>
      </c>
      <c r="J146" s="48" t="s">
        <v>64</v>
      </c>
      <c r="K146" s="43">
        <v>12</v>
      </c>
      <c r="L146" s="45" t="s">
        <v>15</v>
      </c>
    </row>
    <row r="147" spans="1:12" ht="15.75" customHeight="1" x14ac:dyDescent="0.3">
      <c r="A147" s="21">
        <v>3</v>
      </c>
      <c r="B147" s="25">
        <v>45358</v>
      </c>
      <c r="C147" s="29" t="s">
        <v>48</v>
      </c>
      <c r="D147" s="36">
        <v>1</v>
      </c>
      <c r="E147" s="41" t="s">
        <v>141</v>
      </c>
      <c r="F147" s="42">
        <v>3</v>
      </c>
      <c r="G147" s="9">
        <v>3</v>
      </c>
      <c r="H147" s="45">
        <v>10</v>
      </c>
      <c r="I147" s="9">
        <v>10</v>
      </c>
      <c r="J147" s="48" t="s">
        <v>64</v>
      </c>
      <c r="K147" s="43">
        <v>7</v>
      </c>
      <c r="L147" s="45" t="s">
        <v>15</v>
      </c>
    </row>
    <row r="148" spans="1:12" ht="15.75" customHeight="1" x14ac:dyDescent="0.3">
      <c r="A148" s="21">
        <v>3</v>
      </c>
      <c r="B148" s="25">
        <v>45358</v>
      </c>
      <c r="C148" s="29" t="s">
        <v>142</v>
      </c>
      <c r="D148" s="36">
        <v>1</v>
      </c>
      <c r="E148" s="41" t="s">
        <v>141</v>
      </c>
      <c r="F148" s="42">
        <v>18.739999999999998</v>
      </c>
      <c r="G148" s="9">
        <v>18.739999999999998</v>
      </c>
      <c r="H148" s="45">
        <v>50</v>
      </c>
      <c r="I148" s="9">
        <v>50</v>
      </c>
      <c r="J148" s="48" t="s">
        <v>64</v>
      </c>
      <c r="K148" s="43">
        <v>31.26</v>
      </c>
      <c r="L148" s="45" t="s">
        <v>15</v>
      </c>
    </row>
    <row r="149" spans="1:12" ht="15.75" customHeight="1" x14ac:dyDescent="0.3">
      <c r="A149" s="21">
        <v>3</v>
      </c>
      <c r="B149" s="25">
        <v>45358</v>
      </c>
      <c r="C149" s="29" t="s">
        <v>143</v>
      </c>
      <c r="D149" s="36">
        <v>1</v>
      </c>
      <c r="E149" s="41" t="s">
        <v>20</v>
      </c>
      <c r="F149" s="42">
        <v>25</v>
      </c>
      <c r="G149" s="9">
        <v>25</v>
      </c>
      <c r="H149" s="45">
        <v>49.31</v>
      </c>
      <c r="I149" s="9">
        <v>49.31</v>
      </c>
      <c r="J149" s="48" t="s">
        <v>24</v>
      </c>
      <c r="K149" s="43">
        <v>24.310000000000002</v>
      </c>
      <c r="L149" s="45" t="s">
        <v>15</v>
      </c>
    </row>
    <row r="150" spans="1:12" ht="15.75" customHeight="1" x14ac:dyDescent="0.3">
      <c r="A150" s="21">
        <v>3</v>
      </c>
      <c r="B150" s="25">
        <v>45358</v>
      </c>
      <c r="C150" s="29" t="s">
        <v>144</v>
      </c>
      <c r="D150" s="36">
        <v>1</v>
      </c>
      <c r="E150" s="41" t="s">
        <v>145</v>
      </c>
      <c r="F150" s="42">
        <v>0</v>
      </c>
      <c r="G150" s="9">
        <v>0</v>
      </c>
      <c r="H150" s="45">
        <v>30</v>
      </c>
      <c r="I150" s="9">
        <v>30</v>
      </c>
      <c r="J150" s="48" t="s">
        <v>64</v>
      </c>
      <c r="K150" s="43">
        <v>30</v>
      </c>
      <c r="L150" s="45" t="s">
        <v>15</v>
      </c>
    </row>
    <row r="151" spans="1:12" ht="15.75" customHeight="1" x14ac:dyDescent="0.3">
      <c r="A151" s="21">
        <v>3</v>
      </c>
      <c r="B151" s="25">
        <v>45358</v>
      </c>
      <c r="C151" s="29" t="s">
        <v>146</v>
      </c>
      <c r="D151" s="36">
        <v>1</v>
      </c>
      <c r="E151" s="41" t="s">
        <v>36</v>
      </c>
      <c r="F151" s="42">
        <v>27</v>
      </c>
      <c r="G151" s="9">
        <v>27</v>
      </c>
      <c r="H151" s="45">
        <v>40</v>
      </c>
      <c r="I151" s="9">
        <v>40</v>
      </c>
      <c r="J151" s="48" t="s">
        <v>64</v>
      </c>
      <c r="K151" s="43">
        <v>13</v>
      </c>
      <c r="L151" s="45" t="s">
        <v>15</v>
      </c>
    </row>
    <row r="152" spans="1:12" ht="15.75" customHeight="1" x14ac:dyDescent="0.3">
      <c r="A152" s="21">
        <v>3</v>
      </c>
      <c r="B152" s="25">
        <v>45359</v>
      </c>
      <c r="C152" s="29" t="s">
        <v>147</v>
      </c>
      <c r="D152" s="36">
        <v>1</v>
      </c>
      <c r="E152" s="41" t="s">
        <v>20</v>
      </c>
      <c r="F152" s="42">
        <v>2.5</v>
      </c>
      <c r="G152" s="9">
        <v>2.5</v>
      </c>
      <c r="H152" s="45">
        <v>10</v>
      </c>
      <c r="I152" s="9">
        <v>10</v>
      </c>
      <c r="J152" s="48" t="s">
        <v>64</v>
      </c>
      <c r="K152" s="43">
        <v>7.5</v>
      </c>
      <c r="L152" s="45" t="s">
        <v>15</v>
      </c>
    </row>
    <row r="153" spans="1:12" ht="15.75" customHeight="1" x14ac:dyDescent="0.3">
      <c r="A153" s="21">
        <v>3</v>
      </c>
      <c r="B153" s="25">
        <v>45359</v>
      </c>
      <c r="C153" s="29" t="s">
        <v>148</v>
      </c>
      <c r="D153" s="36">
        <v>1</v>
      </c>
      <c r="E153" s="41" t="s">
        <v>20</v>
      </c>
      <c r="F153" s="42">
        <v>55</v>
      </c>
      <c r="G153" s="9">
        <v>55</v>
      </c>
      <c r="H153" s="45">
        <v>80</v>
      </c>
      <c r="I153" s="9">
        <v>80</v>
      </c>
      <c r="J153" s="48" t="s">
        <v>64</v>
      </c>
      <c r="K153" s="43">
        <v>25</v>
      </c>
      <c r="L153" s="45" t="s">
        <v>128</v>
      </c>
    </row>
    <row r="154" spans="1:12" ht="15.75" customHeight="1" x14ac:dyDescent="0.3">
      <c r="A154" s="21">
        <v>3</v>
      </c>
      <c r="B154" s="25">
        <v>45360</v>
      </c>
      <c r="C154" s="29" t="s">
        <v>149</v>
      </c>
      <c r="D154" s="36">
        <v>1</v>
      </c>
      <c r="E154" s="41" t="s">
        <v>20</v>
      </c>
      <c r="F154" s="42">
        <v>37</v>
      </c>
      <c r="G154" s="9">
        <v>37</v>
      </c>
      <c r="H154" s="45">
        <v>60</v>
      </c>
      <c r="I154" s="9">
        <v>60</v>
      </c>
      <c r="J154" s="48" t="s">
        <v>64</v>
      </c>
      <c r="K154" s="43">
        <v>23</v>
      </c>
      <c r="L154" s="45" t="s">
        <v>15</v>
      </c>
    </row>
    <row r="155" spans="1:12" ht="15.75" customHeight="1" x14ac:dyDescent="0.3">
      <c r="A155" s="21">
        <v>3</v>
      </c>
      <c r="B155" s="25">
        <v>45360</v>
      </c>
      <c r="C155" s="29" t="s">
        <v>150</v>
      </c>
      <c r="D155" s="36">
        <v>1</v>
      </c>
      <c r="E155" s="41" t="s">
        <v>20</v>
      </c>
      <c r="F155" s="42">
        <v>28</v>
      </c>
      <c r="G155" s="9">
        <v>28</v>
      </c>
      <c r="H155" s="45">
        <v>50</v>
      </c>
      <c r="I155" s="9">
        <v>50</v>
      </c>
      <c r="J155" s="48" t="s">
        <v>64</v>
      </c>
      <c r="K155" s="43">
        <v>22</v>
      </c>
      <c r="L155" s="45" t="s">
        <v>15</v>
      </c>
    </row>
    <row r="156" spans="1:12" ht="15.75" customHeight="1" x14ac:dyDescent="0.3">
      <c r="A156" s="21">
        <v>3</v>
      </c>
      <c r="B156" s="25">
        <v>45360</v>
      </c>
      <c r="C156" s="29" t="s">
        <v>12</v>
      </c>
      <c r="D156" s="36">
        <v>1</v>
      </c>
      <c r="E156" s="41" t="s">
        <v>20</v>
      </c>
      <c r="F156" s="42">
        <v>7</v>
      </c>
      <c r="G156" s="9">
        <v>7</v>
      </c>
      <c r="H156" s="45">
        <v>20</v>
      </c>
      <c r="I156" s="9">
        <v>20</v>
      </c>
      <c r="J156" s="48" t="s">
        <v>64</v>
      </c>
      <c r="K156" s="43">
        <v>13</v>
      </c>
      <c r="L156" s="45" t="s">
        <v>15</v>
      </c>
    </row>
    <row r="157" spans="1:12" ht="15.75" customHeight="1" x14ac:dyDescent="0.3">
      <c r="A157" s="21">
        <v>3</v>
      </c>
      <c r="B157" s="25">
        <v>45360</v>
      </c>
      <c r="C157" s="29" t="s">
        <v>151</v>
      </c>
      <c r="D157" s="36">
        <v>1</v>
      </c>
      <c r="E157" s="41" t="s">
        <v>20</v>
      </c>
      <c r="F157" s="42">
        <v>20</v>
      </c>
      <c r="G157" s="9">
        <v>20</v>
      </c>
      <c r="H157" s="45">
        <v>40</v>
      </c>
      <c r="I157" s="9">
        <v>40</v>
      </c>
      <c r="J157" s="48" t="s">
        <v>64</v>
      </c>
      <c r="K157" s="43">
        <v>20</v>
      </c>
      <c r="L157" s="45" t="s">
        <v>15</v>
      </c>
    </row>
    <row r="158" spans="1:12" ht="15.75" customHeight="1" x14ac:dyDescent="0.3">
      <c r="A158" s="21">
        <v>3</v>
      </c>
      <c r="B158" s="25">
        <v>45362</v>
      </c>
      <c r="C158" s="29" t="s">
        <v>152</v>
      </c>
      <c r="D158" s="36">
        <v>1</v>
      </c>
      <c r="E158" s="41" t="s">
        <v>153</v>
      </c>
      <c r="F158" s="42">
        <v>22</v>
      </c>
      <c r="G158" s="9">
        <v>22</v>
      </c>
      <c r="H158" s="45">
        <v>35</v>
      </c>
      <c r="I158" s="9">
        <v>35</v>
      </c>
      <c r="J158" s="48" t="s">
        <v>64</v>
      </c>
      <c r="K158" s="43">
        <v>13</v>
      </c>
      <c r="L158" s="45" t="s">
        <v>15</v>
      </c>
    </row>
    <row r="159" spans="1:12" ht="15.75" customHeight="1" x14ac:dyDescent="0.3">
      <c r="A159" s="21">
        <v>3</v>
      </c>
      <c r="B159" s="25">
        <v>45362</v>
      </c>
      <c r="C159" s="29" t="s">
        <v>143</v>
      </c>
      <c r="D159" s="36">
        <v>1</v>
      </c>
      <c r="E159" s="41" t="s">
        <v>154</v>
      </c>
      <c r="F159" s="42">
        <v>25</v>
      </c>
      <c r="G159" s="9">
        <v>25</v>
      </c>
      <c r="H159" s="45">
        <v>50</v>
      </c>
      <c r="I159" s="9">
        <v>50</v>
      </c>
      <c r="J159" s="48" t="s">
        <v>64</v>
      </c>
      <c r="K159" s="43">
        <v>25</v>
      </c>
      <c r="L159" s="45" t="s">
        <v>15</v>
      </c>
    </row>
    <row r="160" spans="1:12" ht="15.75" customHeight="1" x14ac:dyDescent="0.3">
      <c r="A160" s="21">
        <v>3</v>
      </c>
      <c r="B160" s="25">
        <v>45362</v>
      </c>
      <c r="C160" s="29" t="s">
        <v>123</v>
      </c>
      <c r="D160" s="36">
        <v>1</v>
      </c>
      <c r="E160" s="41" t="s">
        <v>20</v>
      </c>
      <c r="F160" s="42">
        <v>0.05</v>
      </c>
      <c r="G160" s="9">
        <v>0.05</v>
      </c>
      <c r="H160" s="45">
        <v>1</v>
      </c>
      <c r="I160" s="9">
        <v>1</v>
      </c>
      <c r="J160" s="48" t="s">
        <v>64</v>
      </c>
      <c r="K160" s="43">
        <v>0.95</v>
      </c>
      <c r="L160" s="45" t="s">
        <v>15</v>
      </c>
    </row>
    <row r="161" spans="1:12" ht="15.75" customHeight="1" x14ac:dyDescent="0.3">
      <c r="A161" s="21">
        <v>3</v>
      </c>
      <c r="B161" s="25">
        <v>45363</v>
      </c>
      <c r="C161" s="29" t="s">
        <v>139</v>
      </c>
      <c r="D161" s="36">
        <v>1</v>
      </c>
      <c r="E161" s="41" t="s">
        <v>20</v>
      </c>
      <c r="F161" s="42">
        <v>7.0000000000000007E-2</v>
      </c>
      <c r="G161" s="9">
        <v>7.0000000000000007E-2</v>
      </c>
      <c r="H161" s="45">
        <v>1</v>
      </c>
      <c r="I161" s="9">
        <v>1</v>
      </c>
      <c r="J161" s="48" t="s">
        <v>64</v>
      </c>
      <c r="K161" s="43">
        <v>0.92999999999999994</v>
      </c>
      <c r="L161" s="45" t="s">
        <v>15</v>
      </c>
    </row>
    <row r="162" spans="1:12" ht="15.75" customHeight="1" x14ac:dyDescent="0.3">
      <c r="A162" s="21">
        <v>3</v>
      </c>
      <c r="B162" s="25">
        <v>45364</v>
      </c>
      <c r="C162" s="29" t="s">
        <v>12</v>
      </c>
      <c r="D162" s="36">
        <v>1</v>
      </c>
      <c r="E162" s="41" t="s">
        <v>20</v>
      </c>
      <c r="F162" s="42">
        <v>7</v>
      </c>
      <c r="G162" s="9">
        <v>7</v>
      </c>
      <c r="H162" s="45">
        <v>15</v>
      </c>
      <c r="I162" s="9">
        <v>15</v>
      </c>
      <c r="J162" s="48" t="s">
        <v>64</v>
      </c>
      <c r="K162" s="43">
        <v>8</v>
      </c>
      <c r="L162" s="45" t="s">
        <v>15</v>
      </c>
    </row>
    <row r="163" spans="1:12" ht="15.75" customHeight="1" x14ac:dyDescent="0.3">
      <c r="A163" s="21">
        <v>3</v>
      </c>
      <c r="B163" s="25">
        <v>45364</v>
      </c>
      <c r="C163" s="29" t="s">
        <v>90</v>
      </c>
      <c r="D163" s="36">
        <v>1</v>
      </c>
      <c r="E163" s="41" t="s">
        <v>20</v>
      </c>
      <c r="F163" s="42">
        <v>3</v>
      </c>
      <c r="G163" s="9">
        <v>3</v>
      </c>
      <c r="H163" s="45">
        <v>15</v>
      </c>
      <c r="I163" s="9">
        <v>15</v>
      </c>
      <c r="J163" s="48" t="s">
        <v>64</v>
      </c>
      <c r="K163" s="43">
        <v>12</v>
      </c>
      <c r="L163" s="45" t="s">
        <v>15</v>
      </c>
    </row>
    <row r="164" spans="1:12" ht="15.75" customHeight="1" x14ac:dyDescent="0.3">
      <c r="A164" s="21">
        <v>3</v>
      </c>
      <c r="B164" s="25">
        <v>45364</v>
      </c>
      <c r="C164" s="29" t="s">
        <v>155</v>
      </c>
      <c r="D164" s="36">
        <v>1</v>
      </c>
      <c r="E164" s="41" t="s">
        <v>20</v>
      </c>
      <c r="F164" s="42">
        <v>13</v>
      </c>
      <c r="G164" s="9">
        <v>13</v>
      </c>
      <c r="H164" s="45">
        <v>25</v>
      </c>
      <c r="I164" s="9">
        <v>25</v>
      </c>
      <c r="J164" s="48" t="s">
        <v>64</v>
      </c>
      <c r="K164" s="43">
        <v>12</v>
      </c>
      <c r="L164" s="45" t="s">
        <v>15</v>
      </c>
    </row>
    <row r="165" spans="1:12" ht="15.75" customHeight="1" x14ac:dyDescent="0.3">
      <c r="A165" s="21">
        <v>3</v>
      </c>
      <c r="B165" s="25">
        <v>45364</v>
      </c>
      <c r="C165" s="29" t="s">
        <v>156</v>
      </c>
      <c r="D165" s="36">
        <v>1</v>
      </c>
      <c r="E165" s="41" t="s">
        <v>157</v>
      </c>
      <c r="F165" s="42">
        <v>50</v>
      </c>
      <c r="G165" s="9">
        <v>50</v>
      </c>
      <c r="H165" s="45">
        <v>75</v>
      </c>
      <c r="I165" s="9">
        <v>75</v>
      </c>
      <c r="J165" s="48" t="s">
        <v>64</v>
      </c>
      <c r="K165" s="43">
        <v>25</v>
      </c>
      <c r="L165" s="45" t="s">
        <v>15</v>
      </c>
    </row>
    <row r="166" spans="1:12" ht="15.75" customHeight="1" x14ac:dyDescent="0.3">
      <c r="A166" s="21">
        <v>3</v>
      </c>
      <c r="B166" s="25">
        <v>45366</v>
      </c>
      <c r="C166" s="29" t="s">
        <v>90</v>
      </c>
      <c r="D166" s="36">
        <v>1</v>
      </c>
      <c r="E166" s="41" t="s">
        <v>20</v>
      </c>
      <c r="F166" s="42">
        <v>3</v>
      </c>
      <c r="G166" s="9">
        <v>3</v>
      </c>
      <c r="H166" s="45">
        <v>15</v>
      </c>
      <c r="I166" s="9">
        <v>15</v>
      </c>
      <c r="J166" s="48" t="s">
        <v>64</v>
      </c>
      <c r="K166" s="43">
        <v>12</v>
      </c>
      <c r="L166" s="45" t="s">
        <v>15</v>
      </c>
    </row>
    <row r="167" spans="1:12" ht="15.75" customHeight="1" x14ac:dyDescent="0.3">
      <c r="A167" s="21">
        <v>3</v>
      </c>
      <c r="B167" s="25">
        <v>45366</v>
      </c>
      <c r="C167" s="29" t="s">
        <v>158</v>
      </c>
      <c r="D167" s="36">
        <v>1</v>
      </c>
      <c r="E167" s="41" t="s">
        <v>20</v>
      </c>
      <c r="F167" s="42">
        <v>1.2</v>
      </c>
      <c r="G167" s="9">
        <v>1.2</v>
      </c>
      <c r="H167" s="45">
        <v>5</v>
      </c>
      <c r="I167" s="9">
        <v>5</v>
      </c>
      <c r="J167" s="48" t="s">
        <v>64</v>
      </c>
      <c r="K167" s="43">
        <v>3.8</v>
      </c>
      <c r="L167" s="45" t="s">
        <v>15</v>
      </c>
    </row>
    <row r="168" spans="1:12" ht="15.75" customHeight="1" x14ac:dyDescent="0.3">
      <c r="A168" s="21">
        <v>3</v>
      </c>
      <c r="B168" s="25">
        <v>45367</v>
      </c>
      <c r="C168" s="29" t="s">
        <v>159</v>
      </c>
      <c r="D168" s="36">
        <v>1</v>
      </c>
      <c r="E168" s="41" t="s">
        <v>20</v>
      </c>
      <c r="F168" s="42">
        <v>19</v>
      </c>
      <c r="G168" s="9">
        <v>19</v>
      </c>
      <c r="H168" s="45">
        <v>40</v>
      </c>
      <c r="I168" s="9">
        <v>40</v>
      </c>
      <c r="J168" s="48" t="s">
        <v>64</v>
      </c>
      <c r="K168" s="43">
        <v>21</v>
      </c>
      <c r="L168" s="45" t="s">
        <v>15</v>
      </c>
    </row>
    <row r="169" spans="1:12" ht="15.75" customHeight="1" x14ac:dyDescent="0.3">
      <c r="A169" s="21">
        <v>3</v>
      </c>
      <c r="B169" s="25">
        <v>45367</v>
      </c>
      <c r="C169" s="29" t="s">
        <v>160</v>
      </c>
      <c r="D169" s="36">
        <v>1</v>
      </c>
      <c r="E169" s="41" t="s">
        <v>161</v>
      </c>
      <c r="F169" s="42">
        <v>21.99</v>
      </c>
      <c r="G169" s="9">
        <v>21.99</v>
      </c>
      <c r="H169" s="45">
        <v>50</v>
      </c>
      <c r="I169" s="9">
        <v>50</v>
      </c>
      <c r="J169" s="48" t="s">
        <v>64</v>
      </c>
      <c r="K169" s="43">
        <v>28.01</v>
      </c>
      <c r="L169" s="45" t="s">
        <v>15</v>
      </c>
    </row>
    <row r="170" spans="1:12" ht="15.75" customHeight="1" x14ac:dyDescent="0.3">
      <c r="A170" s="21">
        <v>3</v>
      </c>
      <c r="B170" s="25">
        <v>45369</v>
      </c>
      <c r="C170" s="29" t="s">
        <v>162</v>
      </c>
      <c r="D170" s="36">
        <v>1</v>
      </c>
      <c r="E170" s="41" t="s">
        <v>163</v>
      </c>
      <c r="F170" s="42">
        <v>27.5</v>
      </c>
      <c r="G170" s="9">
        <v>27.5</v>
      </c>
      <c r="H170" s="45">
        <v>60</v>
      </c>
      <c r="I170" s="9">
        <v>60</v>
      </c>
      <c r="J170" s="48" t="s">
        <v>64</v>
      </c>
      <c r="K170" s="43">
        <v>32.5</v>
      </c>
      <c r="L170" s="45" t="s">
        <v>15</v>
      </c>
    </row>
    <row r="171" spans="1:12" ht="15.75" customHeight="1" x14ac:dyDescent="0.3">
      <c r="A171" s="21">
        <v>3</v>
      </c>
      <c r="B171" s="25">
        <v>45369</v>
      </c>
      <c r="C171" s="29" t="s">
        <v>164</v>
      </c>
      <c r="D171" s="36">
        <v>1</v>
      </c>
      <c r="E171" s="41" t="s">
        <v>163</v>
      </c>
      <c r="F171" s="42" t="s">
        <v>72</v>
      </c>
      <c r="G171" s="9">
        <v>0</v>
      </c>
      <c r="H171" s="45">
        <v>40</v>
      </c>
      <c r="I171" s="9">
        <v>40</v>
      </c>
      <c r="J171" s="48" t="s">
        <v>64</v>
      </c>
      <c r="K171" s="43">
        <v>40</v>
      </c>
      <c r="L171" s="45" t="s">
        <v>15</v>
      </c>
    </row>
    <row r="172" spans="1:12" ht="15.75" customHeight="1" x14ac:dyDescent="0.3">
      <c r="A172" s="21">
        <v>3</v>
      </c>
      <c r="B172" s="25">
        <v>45370</v>
      </c>
      <c r="C172" s="29" t="s">
        <v>139</v>
      </c>
      <c r="D172" s="36">
        <v>1</v>
      </c>
      <c r="E172" s="41" t="s">
        <v>51</v>
      </c>
      <c r="F172" s="42">
        <v>7.0000000000000007E-2</v>
      </c>
      <c r="G172" s="9">
        <v>7.0000000000000007E-2</v>
      </c>
      <c r="H172" s="45">
        <v>1</v>
      </c>
      <c r="I172" s="9">
        <v>1</v>
      </c>
      <c r="J172" s="48" t="s">
        <v>64</v>
      </c>
      <c r="K172" s="43">
        <v>0.92999999999999994</v>
      </c>
      <c r="L172" s="45" t="s">
        <v>15</v>
      </c>
    </row>
    <row r="173" spans="1:12" ht="15.75" customHeight="1" x14ac:dyDescent="0.3">
      <c r="A173" s="21">
        <v>3</v>
      </c>
      <c r="B173" s="25">
        <v>45370</v>
      </c>
      <c r="C173" s="29" t="s">
        <v>165</v>
      </c>
      <c r="D173" s="36">
        <v>1</v>
      </c>
      <c r="E173" s="41" t="s">
        <v>166</v>
      </c>
      <c r="F173" s="42">
        <v>20.5</v>
      </c>
      <c r="G173" s="9">
        <v>20.5</v>
      </c>
      <c r="H173" s="45">
        <v>60</v>
      </c>
      <c r="I173" s="9">
        <v>60</v>
      </c>
      <c r="J173" s="48" t="s">
        <v>64</v>
      </c>
      <c r="K173" s="43">
        <v>39.5</v>
      </c>
      <c r="L173" s="45" t="s">
        <v>15</v>
      </c>
    </row>
    <row r="174" spans="1:12" ht="15.75" customHeight="1" x14ac:dyDescent="0.3">
      <c r="A174" s="21">
        <v>3</v>
      </c>
      <c r="B174" s="25">
        <v>45370</v>
      </c>
      <c r="C174" s="29" t="s">
        <v>167</v>
      </c>
      <c r="D174" s="36">
        <v>1</v>
      </c>
      <c r="E174" s="41" t="s">
        <v>166</v>
      </c>
      <c r="F174" s="42">
        <v>1.7</v>
      </c>
      <c r="G174" s="9">
        <v>1.7</v>
      </c>
      <c r="H174" s="45">
        <v>70</v>
      </c>
      <c r="I174" s="9">
        <v>70</v>
      </c>
      <c r="J174" s="48" t="s">
        <v>64</v>
      </c>
      <c r="K174" s="43">
        <v>68.3</v>
      </c>
      <c r="L174" s="45" t="s">
        <v>15</v>
      </c>
    </row>
    <row r="175" spans="1:12" ht="15.75" customHeight="1" x14ac:dyDescent="0.3">
      <c r="A175" s="21">
        <v>3</v>
      </c>
      <c r="B175" s="25">
        <v>45370</v>
      </c>
      <c r="C175" s="29" t="s">
        <v>168</v>
      </c>
      <c r="D175" s="36">
        <v>1</v>
      </c>
      <c r="E175" s="41" t="s">
        <v>166</v>
      </c>
      <c r="F175" s="42" t="s">
        <v>72</v>
      </c>
      <c r="G175" s="9">
        <v>0</v>
      </c>
      <c r="H175" s="45">
        <v>15</v>
      </c>
      <c r="I175" s="9">
        <v>15</v>
      </c>
      <c r="J175" s="48" t="s">
        <v>64</v>
      </c>
      <c r="K175" s="43">
        <v>15</v>
      </c>
      <c r="L175" s="45" t="s">
        <v>15</v>
      </c>
    </row>
    <row r="176" spans="1:12" ht="15.75" customHeight="1" x14ac:dyDescent="0.3">
      <c r="A176" s="21">
        <v>3</v>
      </c>
      <c r="B176" s="25">
        <v>45370</v>
      </c>
      <c r="C176" s="29" t="s">
        <v>169</v>
      </c>
      <c r="D176" s="36">
        <v>1</v>
      </c>
      <c r="E176" s="41" t="s">
        <v>20</v>
      </c>
      <c r="F176" s="42">
        <v>13.5</v>
      </c>
      <c r="G176" s="9">
        <v>13.5</v>
      </c>
      <c r="H176" s="45">
        <v>25</v>
      </c>
      <c r="I176" s="9">
        <v>25</v>
      </c>
      <c r="J176" s="48" t="s">
        <v>64</v>
      </c>
      <c r="K176" s="43">
        <v>11.5</v>
      </c>
      <c r="L176" s="45" t="s">
        <v>15</v>
      </c>
    </row>
    <row r="177" spans="1:12" ht="15.75" customHeight="1" x14ac:dyDescent="0.3">
      <c r="A177" s="21">
        <v>3</v>
      </c>
      <c r="B177" s="25">
        <v>45370</v>
      </c>
      <c r="C177" s="29" t="s">
        <v>170</v>
      </c>
      <c r="D177" s="36">
        <v>1</v>
      </c>
      <c r="E177" s="41" t="s">
        <v>20</v>
      </c>
      <c r="F177" s="42">
        <v>8</v>
      </c>
      <c r="G177" s="9">
        <v>8</v>
      </c>
      <c r="H177" s="45">
        <v>15</v>
      </c>
      <c r="I177" s="9">
        <v>15</v>
      </c>
      <c r="J177" s="48" t="s">
        <v>64</v>
      </c>
      <c r="K177" s="43">
        <v>7</v>
      </c>
      <c r="L177" s="45" t="s">
        <v>15</v>
      </c>
    </row>
    <row r="178" spans="1:12" ht="15.75" customHeight="1" x14ac:dyDescent="0.3">
      <c r="A178" s="21">
        <v>3</v>
      </c>
      <c r="B178" s="25">
        <v>45371</v>
      </c>
      <c r="C178" s="29" t="s">
        <v>139</v>
      </c>
      <c r="D178" s="36">
        <v>1</v>
      </c>
      <c r="E178" s="41" t="s">
        <v>20</v>
      </c>
      <c r="F178" s="42">
        <v>7.0000000000000007E-2</v>
      </c>
      <c r="G178" s="9">
        <v>7.0000000000000007E-2</v>
      </c>
      <c r="H178" s="45">
        <v>1</v>
      </c>
      <c r="I178" s="9">
        <v>1</v>
      </c>
      <c r="J178" s="48" t="s">
        <v>64</v>
      </c>
      <c r="K178" s="43">
        <v>0.92999999999999994</v>
      </c>
      <c r="L178" s="45" t="s">
        <v>15</v>
      </c>
    </row>
    <row r="179" spans="1:12" ht="15.75" customHeight="1" x14ac:dyDescent="0.3">
      <c r="A179" s="21">
        <v>3</v>
      </c>
      <c r="B179" s="25">
        <v>45371</v>
      </c>
      <c r="C179" s="29" t="s">
        <v>146</v>
      </c>
      <c r="D179" s="36">
        <v>1</v>
      </c>
      <c r="E179" s="41" t="s">
        <v>20</v>
      </c>
      <c r="F179" s="42">
        <v>27</v>
      </c>
      <c r="G179" s="9">
        <v>27</v>
      </c>
      <c r="H179" s="45">
        <v>40</v>
      </c>
      <c r="I179" s="9">
        <v>40</v>
      </c>
      <c r="J179" s="48" t="s">
        <v>64</v>
      </c>
      <c r="K179" s="43">
        <v>13</v>
      </c>
      <c r="L179" s="45" t="s">
        <v>15</v>
      </c>
    </row>
    <row r="180" spans="1:12" ht="15.75" customHeight="1" x14ac:dyDescent="0.3">
      <c r="A180" s="21">
        <v>3</v>
      </c>
      <c r="B180" s="25">
        <v>45371</v>
      </c>
      <c r="C180" s="29" t="s">
        <v>171</v>
      </c>
      <c r="D180" s="36">
        <v>1</v>
      </c>
      <c r="E180" s="41" t="s">
        <v>20</v>
      </c>
      <c r="F180" s="42" t="s">
        <v>72</v>
      </c>
      <c r="G180" s="9">
        <v>0</v>
      </c>
      <c r="H180" s="45">
        <v>65</v>
      </c>
      <c r="I180" s="9">
        <v>65</v>
      </c>
      <c r="J180" s="48" t="s">
        <v>64</v>
      </c>
      <c r="K180" s="43">
        <v>65</v>
      </c>
      <c r="L180" s="45" t="s">
        <v>15</v>
      </c>
    </row>
    <row r="181" spans="1:12" ht="15.75" customHeight="1" x14ac:dyDescent="0.3">
      <c r="A181" s="21">
        <v>3</v>
      </c>
      <c r="B181" s="25">
        <v>45371</v>
      </c>
      <c r="C181" s="29" t="s">
        <v>172</v>
      </c>
      <c r="D181" s="36">
        <v>1</v>
      </c>
      <c r="E181" s="41" t="s">
        <v>173</v>
      </c>
      <c r="F181" s="42">
        <v>5</v>
      </c>
      <c r="G181" s="9">
        <v>5</v>
      </c>
      <c r="H181" s="45">
        <v>15</v>
      </c>
      <c r="I181" s="9">
        <v>15</v>
      </c>
      <c r="J181" s="48" t="s">
        <v>64</v>
      </c>
      <c r="K181" s="43">
        <v>10</v>
      </c>
      <c r="L181" s="45" t="s">
        <v>15</v>
      </c>
    </row>
    <row r="182" spans="1:12" ht="15.75" customHeight="1" x14ac:dyDescent="0.3">
      <c r="A182" s="21">
        <v>3</v>
      </c>
      <c r="B182" s="25">
        <v>45371</v>
      </c>
      <c r="C182" s="29" t="s">
        <v>174</v>
      </c>
      <c r="D182" s="36">
        <v>1</v>
      </c>
      <c r="E182" s="41" t="s">
        <v>173</v>
      </c>
      <c r="F182" s="42" t="s">
        <v>72</v>
      </c>
      <c r="G182" s="9">
        <v>0</v>
      </c>
      <c r="H182" s="45">
        <v>40</v>
      </c>
      <c r="I182" s="9">
        <v>40</v>
      </c>
      <c r="J182" s="48" t="s">
        <v>64</v>
      </c>
      <c r="K182" s="43">
        <v>40</v>
      </c>
      <c r="L182" s="45" t="s">
        <v>15</v>
      </c>
    </row>
    <row r="183" spans="1:12" ht="15.75" customHeight="1" x14ac:dyDescent="0.3">
      <c r="A183" s="21">
        <v>3</v>
      </c>
      <c r="B183" s="25">
        <v>45372</v>
      </c>
      <c r="C183" s="29" t="s">
        <v>150</v>
      </c>
      <c r="D183" s="36">
        <v>1</v>
      </c>
      <c r="E183" s="41" t="s">
        <v>20</v>
      </c>
      <c r="F183" s="42">
        <v>28</v>
      </c>
      <c r="G183" s="9">
        <v>28</v>
      </c>
      <c r="H183" s="45">
        <v>50</v>
      </c>
      <c r="I183" s="9">
        <v>50</v>
      </c>
      <c r="J183" s="48" t="s">
        <v>64</v>
      </c>
      <c r="K183" s="43">
        <v>22</v>
      </c>
      <c r="L183" s="45" t="s">
        <v>15</v>
      </c>
    </row>
    <row r="184" spans="1:12" ht="15.75" customHeight="1" x14ac:dyDescent="0.3">
      <c r="A184" s="21">
        <v>3</v>
      </c>
      <c r="B184" s="25">
        <v>45373</v>
      </c>
      <c r="C184" s="29" t="s">
        <v>175</v>
      </c>
      <c r="D184" s="36">
        <v>1</v>
      </c>
      <c r="E184" s="41" t="s">
        <v>20</v>
      </c>
      <c r="F184" s="42">
        <v>6</v>
      </c>
      <c r="G184" s="9">
        <v>6</v>
      </c>
      <c r="H184" s="45">
        <v>15</v>
      </c>
      <c r="I184" s="9">
        <v>15</v>
      </c>
      <c r="J184" s="48" t="s">
        <v>64</v>
      </c>
      <c r="K184" s="43">
        <v>9</v>
      </c>
      <c r="L184" s="45" t="s">
        <v>15</v>
      </c>
    </row>
    <row r="185" spans="1:12" ht="15.75" customHeight="1" x14ac:dyDescent="0.3">
      <c r="A185" s="21">
        <v>3</v>
      </c>
      <c r="B185" s="25">
        <v>45373</v>
      </c>
      <c r="C185" s="29" t="s">
        <v>176</v>
      </c>
      <c r="D185" s="36">
        <v>1</v>
      </c>
      <c r="E185" s="41" t="s">
        <v>20</v>
      </c>
      <c r="F185" s="42">
        <v>5</v>
      </c>
      <c r="G185" s="9">
        <v>5</v>
      </c>
      <c r="H185" s="45">
        <v>20</v>
      </c>
      <c r="I185" s="9">
        <v>20</v>
      </c>
      <c r="J185" s="48" t="s">
        <v>64</v>
      </c>
      <c r="K185" s="43">
        <v>15</v>
      </c>
      <c r="L185" s="45" t="s">
        <v>15</v>
      </c>
    </row>
    <row r="186" spans="1:12" ht="15.75" customHeight="1" x14ac:dyDescent="0.3">
      <c r="A186" s="21">
        <v>3</v>
      </c>
      <c r="B186" s="25">
        <v>45373</v>
      </c>
      <c r="C186" s="29" t="s">
        <v>177</v>
      </c>
      <c r="D186" s="36">
        <v>1</v>
      </c>
      <c r="E186" s="41" t="s">
        <v>20</v>
      </c>
      <c r="F186" s="42">
        <v>14</v>
      </c>
      <c r="G186" s="9">
        <v>14</v>
      </c>
      <c r="H186" s="45">
        <v>25</v>
      </c>
      <c r="I186" s="9">
        <v>25</v>
      </c>
      <c r="J186" s="48" t="s">
        <v>64</v>
      </c>
      <c r="K186" s="43">
        <v>11</v>
      </c>
      <c r="L186" s="45" t="s">
        <v>128</v>
      </c>
    </row>
    <row r="187" spans="1:12" ht="15.75" customHeight="1" x14ac:dyDescent="0.3">
      <c r="A187" s="21">
        <v>3</v>
      </c>
      <c r="B187" s="25">
        <v>45373</v>
      </c>
      <c r="C187" s="29" t="s">
        <v>146</v>
      </c>
      <c r="D187" s="36">
        <v>1</v>
      </c>
      <c r="E187" s="41" t="s">
        <v>132</v>
      </c>
      <c r="F187" s="42">
        <v>27</v>
      </c>
      <c r="G187" s="9">
        <v>27</v>
      </c>
      <c r="H187" s="45">
        <v>40</v>
      </c>
      <c r="I187" s="9">
        <v>40</v>
      </c>
      <c r="J187" s="48" t="s">
        <v>64</v>
      </c>
      <c r="K187" s="43">
        <v>13</v>
      </c>
      <c r="L187" s="45" t="s">
        <v>15</v>
      </c>
    </row>
    <row r="188" spans="1:12" ht="15.75" customHeight="1" x14ac:dyDescent="0.3">
      <c r="A188" s="21">
        <v>3</v>
      </c>
      <c r="B188" s="25">
        <v>45373</v>
      </c>
      <c r="C188" s="29" t="s">
        <v>139</v>
      </c>
      <c r="D188" s="36">
        <v>2</v>
      </c>
      <c r="E188" s="41" t="s">
        <v>140</v>
      </c>
      <c r="F188" s="42">
        <v>7.0000000000000007E-2</v>
      </c>
      <c r="G188" s="9">
        <v>0.14000000000000001</v>
      </c>
      <c r="H188" s="45">
        <v>1</v>
      </c>
      <c r="I188" s="9">
        <v>2</v>
      </c>
      <c r="J188" s="48" t="s">
        <v>64</v>
      </c>
      <c r="K188" s="43">
        <v>1.8599999999999999</v>
      </c>
      <c r="L188" s="45" t="s">
        <v>15</v>
      </c>
    </row>
    <row r="189" spans="1:12" ht="15.75" customHeight="1" x14ac:dyDescent="0.3">
      <c r="A189" s="21">
        <v>3</v>
      </c>
      <c r="B189" s="25">
        <v>45373</v>
      </c>
      <c r="C189" s="29" t="s">
        <v>178</v>
      </c>
      <c r="D189" s="36">
        <v>1</v>
      </c>
      <c r="E189" s="41" t="s">
        <v>132</v>
      </c>
      <c r="F189" s="42">
        <v>26</v>
      </c>
      <c r="G189" s="9">
        <v>26</v>
      </c>
      <c r="H189" s="45">
        <v>40</v>
      </c>
      <c r="I189" s="9">
        <v>40</v>
      </c>
      <c r="J189" s="48" t="s">
        <v>64</v>
      </c>
      <c r="K189" s="43">
        <v>14</v>
      </c>
      <c r="L189" s="45" t="s">
        <v>15</v>
      </c>
    </row>
    <row r="190" spans="1:12" ht="15.75" customHeight="1" x14ac:dyDescent="0.3">
      <c r="A190" s="21">
        <v>3</v>
      </c>
      <c r="B190" s="25">
        <v>45373</v>
      </c>
      <c r="C190" s="29" t="s">
        <v>179</v>
      </c>
      <c r="D190" s="36">
        <v>1</v>
      </c>
      <c r="E190" s="41" t="s">
        <v>132</v>
      </c>
      <c r="F190" s="42">
        <v>10</v>
      </c>
      <c r="G190" s="9">
        <v>10</v>
      </c>
      <c r="H190" s="45">
        <v>20</v>
      </c>
      <c r="I190" s="9">
        <v>20</v>
      </c>
      <c r="J190" s="48" t="s">
        <v>64</v>
      </c>
      <c r="K190" s="43">
        <v>10</v>
      </c>
      <c r="L190" s="45" t="s">
        <v>15</v>
      </c>
    </row>
    <row r="191" spans="1:12" ht="15.75" customHeight="1" x14ac:dyDescent="0.3">
      <c r="A191" s="21">
        <v>3</v>
      </c>
      <c r="B191" s="25">
        <v>45373</v>
      </c>
      <c r="C191" s="29" t="s">
        <v>180</v>
      </c>
      <c r="D191" s="36">
        <v>1</v>
      </c>
      <c r="E191" s="41" t="s">
        <v>132</v>
      </c>
      <c r="F191" s="42">
        <v>35</v>
      </c>
      <c r="G191" s="9">
        <v>35</v>
      </c>
      <c r="H191" s="45">
        <v>70</v>
      </c>
      <c r="I191" s="9">
        <v>70</v>
      </c>
      <c r="J191" s="48" t="s">
        <v>64</v>
      </c>
      <c r="K191" s="43">
        <v>35</v>
      </c>
      <c r="L191" s="45" t="s">
        <v>15</v>
      </c>
    </row>
    <row r="192" spans="1:12" ht="15.75" customHeight="1" x14ac:dyDescent="0.3">
      <c r="A192" s="21">
        <v>3</v>
      </c>
      <c r="B192" s="25">
        <v>45373</v>
      </c>
      <c r="C192" s="29" t="s">
        <v>139</v>
      </c>
      <c r="D192" s="36">
        <v>2</v>
      </c>
      <c r="E192" s="41" t="s">
        <v>20</v>
      </c>
      <c r="F192" s="42">
        <v>7.0000000000000007E-2</v>
      </c>
      <c r="G192" s="9">
        <v>0.14000000000000001</v>
      </c>
      <c r="H192" s="45">
        <v>1</v>
      </c>
      <c r="I192" s="9">
        <v>2</v>
      </c>
      <c r="J192" s="48" t="s">
        <v>64</v>
      </c>
      <c r="K192" s="43">
        <v>1.8599999999999999</v>
      </c>
      <c r="L192" s="45" t="s">
        <v>15</v>
      </c>
    </row>
    <row r="193" spans="1:12" ht="15.75" customHeight="1" x14ac:dyDescent="0.3">
      <c r="A193" s="21">
        <v>3</v>
      </c>
      <c r="B193" s="25">
        <v>45376</v>
      </c>
      <c r="C193" s="29" t="s">
        <v>181</v>
      </c>
      <c r="D193" s="36">
        <v>4</v>
      </c>
      <c r="E193" s="41" t="s">
        <v>182</v>
      </c>
      <c r="F193" s="42">
        <v>5</v>
      </c>
      <c r="G193" s="9">
        <v>20</v>
      </c>
      <c r="H193" s="45">
        <v>15</v>
      </c>
      <c r="I193" s="9">
        <v>60</v>
      </c>
      <c r="J193" s="48" t="s">
        <v>64</v>
      </c>
      <c r="K193" s="43">
        <v>40</v>
      </c>
      <c r="L193" s="45" t="s">
        <v>15</v>
      </c>
    </row>
    <row r="194" spans="1:12" ht="15.75" customHeight="1" x14ac:dyDescent="0.3">
      <c r="A194" s="21">
        <v>3</v>
      </c>
      <c r="B194" s="25">
        <v>45376</v>
      </c>
      <c r="C194" s="29" t="s">
        <v>183</v>
      </c>
      <c r="D194" s="36">
        <v>1</v>
      </c>
      <c r="E194" s="41" t="s">
        <v>182</v>
      </c>
      <c r="F194" s="42">
        <v>9</v>
      </c>
      <c r="G194" s="9">
        <v>9</v>
      </c>
      <c r="H194" s="46">
        <v>25</v>
      </c>
      <c r="I194" s="9">
        <v>25</v>
      </c>
      <c r="J194" s="48" t="s">
        <v>64</v>
      </c>
      <c r="K194" s="43">
        <v>16</v>
      </c>
      <c r="L194" s="45" t="s">
        <v>15</v>
      </c>
    </row>
    <row r="195" spans="1:12" ht="15.75" customHeight="1" x14ac:dyDescent="0.3">
      <c r="A195" s="21">
        <v>3</v>
      </c>
      <c r="B195" s="25">
        <v>45377</v>
      </c>
      <c r="C195" s="29" t="s">
        <v>184</v>
      </c>
      <c r="D195" s="36">
        <v>1</v>
      </c>
      <c r="E195" s="41" t="s">
        <v>185</v>
      </c>
      <c r="F195" s="42">
        <v>20</v>
      </c>
      <c r="G195" s="9">
        <v>20</v>
      </c>
      <c r="H195" s="46">
        <v>40</v>
      </c>
      <c r="I195" s="9">
        <v>40</v>
      </c>
      <c r="J195" s="48" t="s">
        <v>64</v>
      </c>
      <c r="K195" s="43">
        <v>20</v>
      </c>
      <c r="L195" s="45" t="s">
        <v>15</v>
      </c>
    </row>
    <row r="196" spans="1:12" ht="15.75" customHeight="1" x14ac:dyDescent="0.3">
      <c r="A196" s="21">
        <v>3</v>
      </c>
      <c r="B196" s="26">
        <v>45378</v>
      </c>
      <c r="C196" s="30" t="s">
        <v>186</v>
      </c>
      <c r="D196" s="37">
        <v>1</v>
      </c>
      <c r="E196" s="37" t="s">
        <v>187</v>
      </c>
      <c r="F196" s="42">
        <v>11</v>
      </c>
      <c r="G196" s="9">
        <v>11</v>
      </c>
      <c r="H196" s="47">
        <v>20</v>
      </c>
      <c r="I196" s="9">
        <v>20</v>
      </c>
      <c r="J196" s="49" t="s">
        <v>64</v>
      </c>
      <c r="K196" s="43">
        <v>9</v>
      </c>
      <c r="L196" s="49" t="s">
        <v>15</v>
      </c>
    </row>
    <row r="197" spans="1:12" ht="15.75" customHeight="1" x14ac:dyDescent="0.3">
      <c r="A197" s="21">
        <v>3</v>
      </c>
      <c r="B197" s="26">
        <v>45378</v>
      </c>
      <c r="C197" s="30" t="s">
        <v>188</v>
      </c>
      <c r="D197" s="37">
        <v>1</v>
      </c>
      <c r="E197" s="37" t="s">
        <v>187</v>
      </c>
      <c r="F197" s="42">
        <v>31.99</v>
      </c>
      <c r="G197" s="9">
        <v>31.99</v>
      </c>
      <c r="H197" s="47">
        <v>50</v>
      </c>
      <c r="I197" s="9">
        <v>50</v>
      </c>
      <c r="J197" s="49" t="s">
        <v>64</v>
      </c>
      <c r="K197" s="43">
        <v>18.010000000000002</v>
      </c>
      <c r="L197" s="49" t="s">
        <v>15</v>
      </c>
    </row>
    <row r="198" spans="1:12" ht="15.75" customHeight="1" x14ac:dyDescent="0.3">
      <c r="A198" s="21">
        <v>3</v>
      </c>
      <c r="B198" s="26">
        <v>45378</v>
      </c>
      <c r="C198" s="31" t="s">
        <v>189</v>
      </c>
      <c r="D198" s="37">
        <v>1</v>
      </c>
      <c r="E198" s="37" t="s">
        <v>187</v>
      </c>
      <c r="F198" s="42">
        <v>65</v>
      </c>
      <c r="G198" s="9">
        <v>65</v>
      </c>
      <c r="H198" s="47">
        <v>100</v>
      </c>
      <c r="I198" s="9">
        <v>100</v>
      </c>
      <c r="J198" s="49" t="s">
        <v>64</v>
      </c>
      <c r="K198" s="43">
        <v>35</v>
      </c>
      <c r="L198" s="49" t="s">
        <v>15</v>
      </c>
    </row>
    <row r="199" spans="1:12" ht="15.75" customHeight="1" x14ac:dyDescent="0.3">
      <c r="A199" s="21">
        <v>3</v>
      </c>
      <c r="B199" s="26">
        <v>45378</v>
      </c>
      <c r="C199" s="30" t="s">
        <v>190</v>
      </c>
      <c r="D199" s="37">
        <v>1</v>
      </c>
      <c r="E199" s="37" t="s">
        <v>187</v>
      </c>
      <c r="F199" s="42" t="s">
        <v>72</v>
      </c>
      <c r="G199" s="9">
        <v>0</v>
      </c>
      <c r="H199" s="47">
        <v>40</v>
      </c>
      <c r="I199" s="9">
        <v>40</v>
      </c>
      <c r="J199" s="49" t="s">
        <v>64</v>
      </c>
      <c r="K199" s="43">
        <v>40</v>
      </c>
      <c r="L199" s="49" t="s">
        <v>15</v>
      </c>
    </row>
    <row r="200" spans="1:12" ht="15.75" customHeight="1" x14ac:dyDescent="0.3">
      <c r="A200" s="21">
        <v>3</v>
      </c>
      <c r="B200" s="26">
        <v>45378</v>
      </c>
      <c r="C200" s="30" t="s">
        <v>90</v>
      </c>
      <c r="D200" s="37">
        <v>1</v>
      </c>
      <c r="E200" s="37" t="s">
        <v>187</v>
      </c>
      <c r="F200" s="42">
        <v>3</v>
      </c>
      <c r="G200" s="9">
        <v>3</v>
      </c>
      <c r="H200" s="47">
        <v>15</v>
      </c>
      <c r="I200" s="9">
        <v>15</v>
      </c>
      <c r="J200" s="49" t="s">
        <v>64</v>
      </c>
      <c r="K200" s="43">
        <v>12</v>
      </c>
      <c r="L200" s="49" t="s">
        <v>15</v>
      </c>
    </row>
    <row r="201" spans="1:12" ht="15.75" customHeight="1" x14ac:dyDescent="0.3">
      <c r="A201" s="21">
        <v>3</v>
      </c>
      <c r="B201" s="26">
        <v>45378</v>
      </c>
      <c r="C201" s="30" t="s">
        <v>191</v>
      </c>
      <c r="D201" s="37">
        <v>1</v>
      </c>
      <c r="E201" s="37" t="s">
        <v>187</v>
      </c>
      <c r="F201" s="42">
        <v>40</v>
      </c>
      <c r="G201" s="9">
        <v>40</v>
      </c>
      <c r="H201" s="47">
        <v>80</v>
      </c>
      <c r="I201" s="9">
        <v>80</v>
      </c>
      <c r="J201" s="49" t="s">
        <v>64</v>
      </c>
      <c r="K201" s="43">
        <v>40</v>
      </c>
      <c r="L201" s="49" t="s">
        <v>15</v>
      </c>
    </row>
    <row r="202" spans="1:12" ht="15.75" customHeight="1" x14ac:dyDescent="0.3">
      <c r="A202" s="21">
        <v>3</v>
      </c>
      <c r="B202" s="26">
        <v>45378</v>
      </c>
      <c r="C202" s="31" t="s">
        <v>192</v>
      </c>
      <c r="D202" s="37">
        <v>1</v>
      </c>
      <c r="E202" s="37" t="s">
        <v>187</v>
      </c>
      <c r="F202" s="42">
        <v>99.9</v>
      </c>
      <c r="G202" s="9">
        <v>99.9</v>
      </c>
      <c r="H202" s="47">
        <v>200</v>
      </c>
      <c r="I202" s="9">
        <v>200</v>
      </c>
      <c r="J202" s="49" t="s">
        <v>64</v>
      </c>
      <c r="K202" s="43">
        <v>100.1</v>
      </c>
      <c r="L202" s="49" t="s">
        <v>15</v>
      </c>
    </row>
    <row r="203" spans="1:12" ht="15.75" customHeight="1" x14ac:dyDescent="0.3">
      <c r="A203" s="21">
        <v>3</v>
      </c>
      <c r="B203" s="26">
        <v>45378</v>
      </c>
      <c r="C203" s="31" t="s">
        <v>193</v>
      </c>
      <c r="D203" s="37">
        <v>1</v>
      </c>
      <c r="E203" s="37" t="s">
        <v>187</v>
      </c>
      <c r="F203" s="42">
        <v>0</v>
      </c>
      <c r="G203" s="9">
        <v>0</v>
      </c>
      <c r="H203" s="47">
        <v>30</v>
      </c>
      <c r="I203" s="9">
        <v>30</v>
      </c>
      <c r="J203" s="49" t="s">
        <v>64</v>
      </c>
      <c r="K203" s="43">
        <v>30</v>
      </c>
      <c r="L203" s="49" t="s">
        <v>15</v>
      </c>
    </row>
    <row r="204" spans="1:12" ht="15.75" customHeight="1" x14ac:dyDescent="0.3">
      <c r="A204" s="21">
        <v>3</v>
      </c>
      <c r="B204" s="26">
        <v>45378</v>
      </c>
      <c r="C204" s="30" t="s">
        <v>194</v>
      </c>
      <c r="D204" s="37">
        <v>1</v>
      </c>
      <c r="E204" s="37" t="s">
        <v>187</v>
      </c>
      <c r="F204" s="42" t="s">
        <v>72</v>
      </c>
      <c r="G204" s="9">
        <v>0</v>
      </c>
      <c r="H204" s="47">
        <v>25</v>
      </c>
      <c r="I204" s="9">
        <v>25</v>
      </c>
      <c r="J204" s="49" t="s">
        <v>64</v>
      </c>
      <c r="K204" s="43">
        <v>25</v>
      </c>
      <c r="L204" s="49" t="s">
        <v>15</v>
      </c>
    </row>
    <row r="205" spans="1:12" ht="15.75" customHeight="1" x14ac:dyDescent="0.3">
      <c r="A205" s="21">
        <v>3</v>
      </c>
      <c r="B205" s="26">
        <v>45378</v>
      </c>
      <c r="C205" s="30" t="s">
        <v>195</v>
      </c>
      <c r="D205" s="37">
        <v>1</v>
      </c>
      <c r="E205" s="37" t="s">
        <v>187</v>
      </c>
      <c r="F205" s="42">
        <v>10</v>
      </c>
      <c r="G205" s="9">
        <v>10</v>
      </c>
      <c r="H205" s="47">
        <v>15</v>
      </c>
      <c r="I205" s="9">
        <v>15</v>
      </c>
      <c r="J205" s="49" t="s">
        <v>64</v>
      </c>
      <c r="K205" s="43">
        <v>5</v>
      </c>
      <c r="L205" s="49" t="s">
        <v>15</v>
      </c>
    </row>
    <row r="206" spans="1:12" ht="15.75" customHeight="1" x14ac:dyDescent="0.3">
      <c r="A206" s="21">
        <v>3</v>
      </c>
      <c r="B206" s="26">
        <v>45378</v>
      </c>
      <c r="C206" s="30" t="s">
        <v>195</v>
      </c>
      <c r="D206" s="37">
        <v>1</v>
      </c>
      <c r="E206" s="37" t="s">
        <v>187</v>
      </c>
      <c r="F206" s="42">
        <v>10</v>
      </c>
      <c r="G206" s="9">
        <v>10</v>
      </c>
      <c r="H206" s="47">
        <v>25</v>
      </c>
      <c r="I206" s="9">
        <v>25</v>
      </c>
      <c r="J206" s="49" t="s">
        <v>64</v>
      </c>
      <c r="K206" s="43">
        <v>15</v>
      </c>
      <c r="L206" s="49" t="s">
        <v>15</v>
      </c>
    </row>
    <row r="207" spans="1:12" ht="15.75" customHeight="1" x14ac:dyDescent="0.3">
      <c r="A207" s="21">
        <v>3</v>
      </c>
      <c r="B207" s="26">
        <v>45378</v>
      </c>
      <c r="C207" s="30" t="s">
        <v>196</v>
      </c>
      <c r="D207" s="37">
        <v>1</v>
      </c>
      <c r="E207" s="37" t="s">
        <v>187</v>
      </c>
      <c r="F207" s="42" t="s">
        <v>72</v>
      </c>
      <c r="G207" s="9">
        <v>0</v>
      </c>
      <c r="H207" s="47">
        <v>10</v>
      </c>
      <c r="I207" s="9">
        <v>10</v>
      </c>
      <c r="J207" s="49" t="s">
        <v>64</v>
      </c>
      <c r="K207" s="43">
        <v>10</v>
      </c>
      <c r="L207" s="49" t="s">
        <v>15</v>
      </c>
    </row>
    <row r="208" spans="1:12" ht="15.75" customHeight="1" x14ac:dyDescent="0.3">
      <c r="A208" s="21">
        <v>3</v>
      </c>
      <c r="B208" s="26">
        <v>45378</v>
      </c>
      <c r="C208" s="30" t="s">
        <v>197</v>
      </c>
      <c r="D208" s="37">
        <v>1</v>
      </c>
      <c r="E208" s="37" t="s">
        <v>187</v>
      </c>
      <c r="F208" s="42">
        <v>6</v>
      </c>
      <c r="G208" s="9">
        <v>6</v>
      </c>
      <c r="H208" s="47">
        <v>10</v>
      </c>
      <c r="I208" s="9">
        <v>10</v>
      </c>
      <c r="J208" s="49" t="s">
        <v>64</v>
      </c>
      <c r="K208" s="43">
        <v>4</v>
      </c>
      <c r="L208" s="49" t="s">
        <v>15</v>
      </c>
    </row>
    <row r="209" spans="1:12" ht="15.75" customHeight="1" x14ac:dyDescent="0.3">
      <c r="A209" s="21">
        <v>3</v>
      </c>
      <c r="B209" s="26">
        <v>45378</v>
      </c>
      <c r="C209" s="30" t="s">
        <v>198</v>
      </c>
      <c r="D209" s="37">
        <v>1</v>
      </c>
      <c r="E209" s="37" t="s">
        <v>187</v>
      </c>
      <c r="F209" s="42">
        <v>15</v>
      </c>
      <c r="G209" s="9">
        <v>15</v>
      </c>
      <c r="H209" s="47">
        <v>25</v>
      </c>
      <c r="I209" s="9">
        <v>25</v>
      </c>
      <c r="J209" s="49" t="s">
        <v>64</v>
      </c>
      <c r="K209" s="43">
        <v>10</v>
      </c>
      <c r="L209" s="49" t="s">
        <v>15</v>
      </c>
    </row>
    <row r="210" spans="1:12" ht="15.75" customHeight="1" x14ac:dyDescent="0.3">
      <c r="A210" s="21">
        <v>3</v>
      </c>
      <c r="B210" s="26">
        <v>45378</v>
      </c>
      <c r="C210" s="30" t="s">
        <v>186</v>
      </c>
      <c r="D210" s="37">
        <v>1</v>
      </c>
      <c r="E210" s="37" t="s">
        <v>187</v>
      </c>
      <c r="F210" s="42">
        <v>11</v>
      </c>
      <c r="G210" s="9">
        <v>11</v>
      </c>
      <c r="H210" s="47">
        <v>20</v>
      </c>
      <c r="I210" s="9">
        <v>20</v>
      </c>
      <c r="J210" s="49" t="s">
        <v>64</v>
      </c>
      <c r="K210" s="43">
        <v>9</v>
      </c>
      <c r="L210" s="49" t="s">
        <v>15</v>
      </c>
    </row>
    <row r="211" spans="1:12" ht="15.75" customHeight="1" x14ac:dyDescent="0.3">
      <c r="A211" s="21">
        <v>3</v>
      </c>
      <c r="B211" s="26">
        <v>45378</v>
      </c>
      <c r="C211" s="30" t="s">
        <v>199</v>
      </c>
      <c r="D211" s="37">
        <v>1</v>
      </c>
      <c r="E211" s="37" t="s">
        <v>187</v>
      </c>
      <c r="F211" s="42">
        <v>35</v>
      </c>
      <c r="G211" s="9">
        <v>35</v>
      </c>
      <c r="H211" s="47">
        <v>65</v>
      </c>
      <c r="I211" s="9">
        <v>65</v>
      </c>
      <c r="J211" s="49" t="s">
        <v>64</v>
      </c>
      <c r="K211" s="43">
        <v>30</v>
      </c>
      <c r="L211" s="49" t="s">
        <v>15</v>
      </c>
    </row>
    <row r="212" spans="1:12" ht="15.75" customHeight="1" x14ac:dyDescent="0.3">
      <c r="A212" s="21">
        <v>3</v>
      </c>
      <c r="B212" s="26">
        <v>45378</v>
      </c>
      <c r="C212" s="30" t="s">
        <v>200</v>
      </c>
      <c r="D212" s="37">
        <v>1</v>
      </c>
      <c r="E212" s="37" t="s">
        <v>187</v>
      </c>
      <c r="F212" s="42" t="s">
        <v>72</v>
      </c>
      <c r="G212" s="9">
        <v>0</v>
      </c>
      <c r="H212" s="47">
        <v>20</v>
      </c>
      <c r="I212" s="9">
        <v>20</v>
      </c>
      <c r="J212" s="49" t="s">
        <v>64</v>
      </c>
      <c r="K212" s="43">
        <v>20</v>
      </c>
      <c r="L212" s="49" t="s">
        <v>15</v>
      </c>
    </row>
    <row r="213" spans="1:12" ht="15.75" customHeight="1" x14ac:dyDescent="0.3">
      <c r="A213" s="21">
        <v>3</v>
      </c>
      <c r="B213" s="26">
        <v>45378</v>
      </c>
      <c r="C213" s="30" t="s">
        <v>201</v>
      </c>
      <c r="D213" s="37">
        <v>1</v>
      </c>
      <c r="E213" s="37" t="s">
        <v>187</v>
      </c>
      <c r="F213" s="42">
        <v>9.5</v>
      </c>
      <c r="G213" s="9">
        <v>9.5</v>
      </c>
      <c r="H213" s="47">
        <v>25</v>
      </c>
      <c r="I213" s="9">
        <v>25</v>
      </c>
      <c r="J213" s="49" t="s">
        <v>64</v>
      </c>
      <c r="K213" s="43">
        <v>15.5</v>
      </c>
      <c r="L213" s="49" t="s">
        <v>15</v>
      </c>
    </row>
    <row r="214" spans="1:12" ht="15.75" customHeight="1" x14ac:dyDescent="0.3">
      <c r="A214" s="21">
        <v>3</v>
      </c>
      <c r="B214" s="26">
        <v>45378</v>
      </c>
      <c r="C214" s="30" t="s">
        <v>202</v>
      </c>
      <c r="D214" s="37">
        <v>1</v>
      </c>
      <c r="E214" s="37" t="s">
        <v>187</v>
      </c>
      <c r="F214" s="42" t="s">
        <v>72</v>
      </c>
      <c r="G214" s="9">
        <v>0</v>
      </c>
      <c r="H214" s="47">
        <v>40</v>
      </c>
      <c r="I214" s="9">
        <v>40</v>
      </c>
      <c r="J214" s="49" t="s">
        <v>64</v>
      </c>
      <c r="K214" s="43">
        <v>40</v>
      </c>
      <c r="L214" s="49" t="s">
        <v>15</v>
      </c>
    </row>
    <row r="215" spans="1:12" ht="15.75" customHeight="1" x14ac:dyDescent="0.3">
      <c r="A215" s="21">
        <v>3</v>
      </c>
      <c r="B215" s="26">
        <v>45378</v>
      </c>
      <c r="C215" s="30" t="s">
        <v>203</v>
      </c>
      <c r="D215" s="37">
        <v>1</v>
      </c>
      <c r="E215" s="37" t="s">
        <v>187</v>
      </c>
      <c r="F215" s="42">
        <v>30</v>
      </c>
      <c r="G215" s="9">
        <v>30</v>
      </c>
      <c r="H215" s="47">
        <v>80</v>
      </c>
      <c r="I215" s="9">
        <v>80</v>
      </c>
      <c r="J215" s="49" t="s">
        <v>64</v>
      </c>
      <c r="K215" s="43">
        <v>50</v>
      </c>
      <c r="L215" s="49" t="s">
        <v>15</v>
      </c>
    </row>
    <row r="216" spans="1:12" ht="15.75" customHeight="1" x14ac:dyDescent="0.3">
      <c r="A216" s="21">
        <v>3</v>
      </c>
      <c r="B216" s="25">
        <v>45381</v>
      </c>
      <c r="C216" s="29" t="s">
        <v>139</v>
      </c>
      <c r="D216" s="36">
        <v>1</v>
      </c>
      <c r="E216" s="41" t="s">
        <v>20</v>
      </c>
      <c r="F216" s="42">
        <v>7.0000000000000007E-2</v>
      </c>
      <c r="G216" s="9">
        <v>7.0000000000000007E-2</v>
      </c>
      <c r="H216" s="45">
        <v>1</v>
      </c>
      <c r="I216" s="9">
        <v>1</v>
      </c>
      <c r="J216" s="48" t="s">
        <v>64</v>
      </c>
      <c r="K216" s="43">
        <v>0.92999999999999994</v>
      </c>
      <c r="L216" s="45" t="s">
        <v>15</v>
      </c>
    </row>
    <row r="217" spans="1:12" ht="15.75" customHeight="1" x14ac:dyDescent="0.3">
      <c r="A217" s="21">
        <v>4</v>
      </c>
      <c r="B217" s="25">
        <v>45383</v>
      </c>
      <c r="C217" s="29" t="s">
        <v>139</v>
      </c>
      <c r="D217" s="36">
        <v>1</v>
      </c>
      <c r="E217" s="41" t="s">
        <v>20</v>
      </c>
      <c r="F217" s="42">
        <v>7.0000000000000007E-2</v>
      </c>
      <c r="G217" s="9">
        <v>7.0000000000000007E-2</v>
      </c>
      <c r="H217" s="45">
        <v>1</v>
      </c>
      <c r="I217" s="9">
        <v>1</v>
      </c>
      <c r="J217" s="48" t="s">
        <v>64</v>
      </c>
      <c r="K217" s="43">
        <v>0.92999999999999994</v>
      </c>
      <c r="L217" s="45" t="s">
        <v>15</v>
      </c>
    </row>
    <row r="218" spans="1:12" ht="15.75" customHeight="1" x14ac:dyDescent="0.3">
      <c r="A218" s="21">
        <v>4</v>
      </c>
      <c r="B218" s="25">
        <v>45383</v>
      </c>
      <c r="C218" s="29" t="s">
        <v>139</v>
      </c>
      <c r="D218" s="36">
        <v>1</v>
      </c>
      <c r="E218" s="41" t="s">
        <v>20</v>
      </c>
      <c r="F218" s="42">
        <v>7.0000000000000007E-2</v>
      </c>
      <c r="G218" s="9">
        <v>7.0000000000000007E-2</v>
      </c>
      <c r="H218" s="45">
        <v>1</v>
      </c>
      <c r="I218" s="9">
        <v>1</v>
      </c>
      <c r="J218" s="48" t="s">
        <v>64</v>
      </c>
      <c r="K218" s="43">
        <v>0.92999999999999994</v>
      </c>
      <c r="L218" s="45" t="s">
        <v>15</v>
      </c>
    </row>
    <row r="219" spans="1:12" ht="15.75" customHeight="1" x14ac:dyDescent="0.3">
      <c r="A219" s="21">
        <v>4</v>
      </c>
      <c r="B219" s="25">
        <v>45383</v>
      </c>
      <c r="C219" s="29" t="s">
        <v>204</v>
      </c>
      <c r="D219" s="36">
        <v>1</v>
      </c>
      <c r="E219" s="41" t="s">
        <v>20</v>
      </c>
      <c r="F219" s="42">
        <v>17</v>
      </c>
      <c r="G219" s="9">
        <v>17</v>
      </c>
      <c r="H219" s="46">
        <v>40</v>
      </c>
      <c r="I219" s="9">
        <v>40</v>
      </c>
      <c r="J219" s="48" t="s">
        <v>64</v>
      </c>
      <c r="K219" s="43">
        <v>23</v>
      </c>
      <c r="L219" s="45" t="s">
        <v>15</v>
      </c>
    </row>
    <row r="220" spans="1:12" ht="15.75" customHeight="1" x14ac:dyDescent="0.3">
      <c r="A220" s="21">
        <v>4</v>
      </c>
      <c r="B220" s="25">
        <v>45384</v>
      </c>
      <c r="C220" s="29" t="s">
        <v>205</v>
      </c>
      <c r="D220" s="36">
        <v>1</v>
      </c>
      <c r="E220" s="41" t="s">
        <v>185</v>
      </c>
      <c r="F220" s="42">
        <v>5</v>
      </c>
      <c r="G220" s="9">
        <v>5</v>
      </c>
      <c r="H220" s="46">
        <v>10</v>
      </c>
      <c r="I220" s="9">
        <v>10</v>
      </c>
      <c r="J220" s="48" t="s">
        <v>64</v>
      </c>
      <c r="K220" s="43">
        <v>5</v>
      </c>
      <c r="L220" s="45" t="s">
        <v>15</v>
      </c>
    </row>
    <row r="221" spans="1:12" ht="15.75" customHeight="1" x14ac:dyDescent="0.3">
      <c r="A221" s="21">
        <v>4</v>
      </c>
      <c r="B221" s="25">
        <v>45385</v>
      </c>
      <c r="C221" s="29" t="s">
        <v>206</v>
      </c>
      <c r="D221" s="36">
        <v>1</v>
      </c>
      <c r="E221" s="41" t="s">
        <v>51</v>
      </c>
      <c r="F221" s="42">
        <v>10</v>
      </c>
      <c r="G221" s="9">
        <v>10</v>
      </c>
      <c r="H221" s="46">
        <v>15</v>
      </c>
      <c r="I221" s="9">
        <v>15</v>
      </c>
      <c r="J221" s="48" t="s">
        <v>64</v>
      </c>
      <c r="K221" s="43">
        <v>5</v>
      </c>
      <c r="L221" s="45" t="s">
        <v>15</v>
      </c>
    </row>
    <row r="222" spans="1:12" ht="15.75" customHeight="1" x14ac:dyDescent="0.3">
      <c r="A222" s="21">
        <v>4</v>
      </c>
      <c r="B222" s="25">
        <v>45386</v>
      </c>
      <c r="C222" s="29" t="s">
        <v>207</v>
      </c>
      <c r="D222" s="36">
        <v>1</v>
      </c>
      <c r="E222" s="41" t="s">
        <v>208</v>
      </c>
      <c r="F222" s="42">
        <v>7</v>
      </c>
      <c r="G222" s="9">
        <v>7</v>
      </c>
      <c r="H222" s="46">
        <v>20</v>
      </c>
      <c r="I222" s="9">
        <v>20</v>
      </c>
      <c r="J222" s="48" t="s">
        <v>64</v>
      </c>
      <c r="K222" s="43">
        <v>13</v>
      </c>
      <c r="L222" s="45" t="s">
        <v>15</v>
      </c>
    </row>
    <row r="223" spans="1:12" ht="15.75" customHeight="1" x14ac:dyDescent="0.3">
      <c r="A223" s="21">
        <v>4</v>
      </c>
      <c r="B223" s="25">
        <v>45386</v>
      </c>
      <c r="C223" s="29" t="s">
        <v>209</v>
      </c>
      <c r="D223" s="36">
        <v>1</v>
      </c>
      <c r="E223" s="41" t="s">
        <v>208</v>
      </c>
      <c r="F223" s="42" t="s">
        <v>72</v>
      </c>
      <c r="G223" s="9">
        <v>0</v>
      </c>
      <c r="H223" s="46">
        <v>20</v>
      </c>
      <c r="I223" s="9">
        <v>20</v>
      </c>
      <c r="J223" s="48" t="s">
        <v>64</v>
      </c>
      <c r="K223" s="43">
        <v>20</v>
      </c>
      <c r="L223" s="45" t="s">
        <v>15</v>
      </c>
    </row>
    <row r="224" spans="1:12" ht="15.75" customHeight="1" x14ac:dyDescent="0.3">
      <c r="A224" s="21">
        <v>4</v>
      </c>
      <c r="B224" s="25">
        <v>45386</v>
      </c>
      <c r="C224" s="29" t="s">
        <v>170</v>
      </c>
      <c r="D224" s="36">
        <v>1</v>
      </c>
      <c r="E224" s="41" t="s">
        <v>208</v>
      </c>
      <c r="F224" s="42">
        <v>8</v>
      </c>
      <c r="G224" s="9">
        <v>8</v>
      </c>
      <c r="H224" s="46">
        <v>30</v>
      </c>
      <c r="I224" s="9">
        <v>30</v>
      </c>
      <c r="J224" s="48" t="s">
        <v>64</v>
      </c>
      <c r="K224" s="43">
        <v>22</v>
      </c>
      <c r="L224" s="45" t="s">
        <v>15</v>
      </c>
    </row>
    <row r="225" spans="1:12" ht="15.75" customHeight="1" x14ac:dyDescent="0.3">
      <c r="A225" s="21">
        <v>4</v>
      </c>
      <c r="B225" s="25">
        <v>45388</v>
      </c>
      <c r="C225" s="29" t="s">
        <v>210</v>
      </c>
      <c r="D225" s="36">
        <v>1</v>
      </c>
      <c r="E225" s="41" t="s">
        <v>20</v>
      </c>
      <c r="F225" s="42">
        <v>15</v>
      </c>
      <c r="G225" s="9">
        <v>15</v>
      </c>
      <c r="H225" s="46">
        <v>35</v>
      </c>
      <c r="I225" s="9">
        <v>35</v>
      </c>
      <c r="J225" s="48" t="s">
        <v>64</v>
      </c>
      <c r="K225" s="43">
        <v>20</v>
      </c>
      <c r="L225" s="45" t="s">
        <v>15</v>
      </c>
    </row>
    <row r="226" spans="1:12" ht="15.75" customHeight="1" x14ac:dyDescent="0.3">
      <c r="A226" s="21">
        <v>4</v>
      </c>
      <c r="B226" s="25">
        <v>45388</v>
      </c>
      <c r="C226" s="29" t="s">
        <v>210</v>
      </c>
      <c r="D226" s="36">
        <v>1</v>
      </c>
      <c r="E226" s="41" t="s">
        <v>20</v>
      </c>
      <c r="F226" s="42">
        <v>15</v>
      </c>
      <c r="G226" s="9">
        <v>15</v>
      </c>
      <c r="H226" s="46">
        <v>35</v>
      </c>
      <c r="I226" s="9">
        <v>35</v>
      </c>
      <c r="J226" s="48" t="s">
        <v>64</v>
      </c>
      <c r="K226" s="43">
        <v>20</v>
      </c>
      <c r="L226" s="45" t="s">
        <v>15</v>
      </c>
    </row>
    <row r="227" spans="1:12" ht="15.75" customHeight="1" x14ac:dyDescent="0.3">
      <c r="A227" s="21">
        <v>4</v>
      </c>
      <c r="B227" s="25">
        <v>45388</v>
      </c>
      <c r="C227" s="29" t="s">
        <v>211</v>
      </c>
      <c r="D227" s="36">
        <v>1</v>
      </c>
      <c r="E227" s="41" t="s">
        <v>20</v>
      </c>
      <c r="F227" s="42">
        <v>5.5</v>
      </c>
      <c r="G227" s="9">
        <v>5.5</v>
      </c>
      <c r="H227" s="46">
        <v>15</v>
      </c>
      <c r="I227" s="9">
        <v>15</v>
      </c>
      <c r="J227" s="48" t="s">
        <v>64</v>
      </c>
      <c r="K227" s="43">
        <v>9.5</v>
      </c>
      <c r="L227" s="45" t="s">
        <v>15</v>
      </c>
    </row>
    <row r="228" spans="1:12" ht="15.75" customHeight="1" x14ac:dyDescent="0.3">
      <c r="A228" s="21">
        <v>4</v>
      </c>
      <c r="B228" s="25">
        <v>45388</v>
      </c>
      <c r="C228" s="29" t="s">
        <v>159</v>
      </c>
      <c r="D228" s="36">
        <v>1</v>
      </c>
      <c r="E228" s="41" t="s">
        <v>20</v>
      </c>
      <c r="F228" s="42">
        <v>19</v>
      </c>
      <c r="G228" s="9">
        <v>19</v>
      </c>
      <c r="H228" s="46">
        <v>40</v>
      </c>
      <c r="I228" s="9">
        <v>40</v>
      </c>
      <c r="J228" s="48" t="s">
        <v>64</v>
      </c>
      <c r="K228" s="43">
        <v>21</v>
      </c>
      <c r="L228" s="45" t="s">
        <v>15</v>
      </c>
    </row>
    <row r="229" spans="1:12" ht="15.75" customHeight="1" x14ac:dyDescent="0.3">
      <c r="A229" s="21">
        <v>4</v>
      </c>
      <c r="B229" s="25">
        <v>45388</v>
      </c>
      <c r="C229" s="29" t="s">
        <v>142</v>
      </c>
      <c r="D229" s="36">
        <v>1</v>
      </c>
      <c r="E229" s="41" t="s">
        <v>212</v>
      </c>
      <c r="F229" s="42">
        <v>18.739999999999998</v>
      </c>
      <c r="G229" s="9">
        <v>18.739999999999998</v>
      </c>
      <c r="H229" s="46">
        <v>60</v>
      </c>
      <c r="I229" s="9">
        <v>60</v>
      </c>
      <c r="J229" s="48" t="s">
        <v>64</v>
      </c>
      <c r="K229" s="43">
        <v>41.260000000000005</v>
      </c>
      <c r="L229" s="45" t="s">
        <v>15</v>
      </c>
    </row>
    <row r="230" spans="1:12" ht="15.75" customHeight="1" x14ac:dyDescent="0.3">
      <c r="A230" s="21">
        <v>4</v>
      </c>
      <c r="B230" s="25">
        <v>45388</v>
      </c>
      <c r="C230" s="29" t="s">
        <v>213</v>
      </c>
      <c r="D230" s="36">
        <v>1</v>
      </c>
      <c r="E230" s="41" t="s">
        <v>214</v>
      </c>
      <c r="F230" s="42">
        <v>125</v>
      </c>
      <c r="G230" s="9">
        <v>125</v>
      </c>
      <c r="H230" s="46">
        <v>202</v>
      </c>
      <c r="I230" s="9">
        <v>202</v>
      </c>
      <c r="J230" s="48" t="s">
        <v>64</v>
      </c>
      <c r="K230" s="43">
        <v>77</v>
      </c>
      <c r="L230" s="45" t="s">
        <v>15</v>
      </c>
    </row>
    <row r="231" spans="1:12" ht="15.75" customHeight="1" x14ac:dyDescent="0.3">
      <c r="A231" s="21">
        <v>4</v>
      </c>
      <c r="B231" s="25">
        <v>45388</v>
      </c>
      <c r="C231" s="29" t="s">
        <v>215</v>
      </c>
      <c r="D231" s="36">
        <v>1</v>
      </c>
      <c r="E231" s="41" t="s">
        <v>214</v>
      </c>
      <c r="F231" s="42">
        <v>6</v>
      </c>
      <c r="G231" s="9">
        <v>6</v>
      </c>
      <c r="H231" s="46">
        <v>12</v>
      </c>
      <c r="I231" s="9">
        <v>12</v>
      </c>
      <c r="J231" s="48" t="s">
        <v>64</v>
      </c>
      <c r="K231" s="43">
        <v>6</v>
      </c>
      <c r="L231" s="45" t="s">
        <v>15</v>
      </c>
    </row>
    <row r="232" spans="1:12" ht="15.75" customHeight="1" x14ac:dyDescent="0.3">
      <c r="A232" s="21">
        <v>4</v>
      </c>
      <c r="B232" s="25">
        <v>45388</v>
      </c>
      <c r="C232" s="29" t="s">
        <v>189</v>
      </c>
      <c r="D232" s="36">
        <v>1</v>
      </c>
      <c r="E232" s="41" t="s">
        <v>214</v>
      </c>
      <c r="F232" s="42">
        <v>65</v>
      </c>
      <c r="G232" s="9">
        <v>65</v>
      </c>
      <c r="H232" s="46">
        <v>100</v>
      </c>
      <c r="I232" s="9">
        <v>100</v>
      </c>
      <c r="J232" s="48" t="s">
        <v>64</v>
      </c>
      <c r="K232" s="43">
        <v>35</v>
      </c>
      <c r="L232" s="45" t="s">
        <v>15</v>
      </c>
    </row>
    <row r="233" spans="1:12" ht="15.75" customHeight="1" x14ac:dyDescent="0.3">
      <c r="A233" s="21">
        <v>4</v>
      </c>
      <c r="B233" s="25">
        <v>45388</v>
      </c>
      <c r="C233" s="29" t="s">
        <v>216</v>
      </c>
      <c r="D233" s="36">
        <v>1</v>
      </c>
      <c r="E233" s="41" t="s">
        <v>20</v>
      </c>
      <c r="F233" s="42">
        <v>0</v>
      </c>
      <c r="G233" s="9">
        <v>0</v>
      </c>
      <c r="H233" s="46">
        <v>50</v>
      </c>
      <c r="I233" s="9">
        <v>50</v>
      </c>
      <c r="J233" s="48" t="s">
        <v>64</v>
      </c>
      <c r="K233" s="43">
        <v>50</v>
      </c>
      <c r="L233" s="45" t="s">
        <v>15</v>
      </c>
    </row>
    <row r="234" spans="1:12" ht="15.75" customHeight="1" x14ac:dyDescent="0.3">
      <c r="A234" s="21">
        <v>4</v>
      </c>
      <c r="B234" s="25">
        <v>45388</v>
      </c>
      <c r="C234" s="29" t="s">
        <v>142</v>
      </c>
      <c r="D234" s="36">
        <v>1</v>
      </c>
      <c r="E234" s="41" t="s">
        <v>20</v>
      </c>
      <c r="F234" s="42">
        <v>18.739999999999998</v>
      </c>
      <c r="G234" s="9">
        <v>18.739999999999998</v>
      </c>
      <c r="H234" s="46">
        <v>50</v>
      </c>
      <c r="I234" s="9">
        <v>50</v>
      </c>
      <c r="J234" s="48" t="s">
        <v>64</v>
      </c>
      <c r="K234" s="43">
        <v>31.26</v>
      </c>
      <c r="L234" s="45" t="s">
        <v>15</v>
      </c>
    </row>
    <row r="235" spans="1:12" ht="15.75" customHeight="1" x14ac:dyDescent="0.3">
      <c r="A235" s="21">
        <v>4</v>
      </c>
      <c r="B235" s="25">
        <v>45388</v>
      </c>
      <c r="C235" s="29" t="s">
        <v>217</v>
      </c>
      <c r="D235" s="36">
        <v>1</v>
      </c>
      <c r="E235" s="41" t="s">
        <v>20</v>
      </c>
      <c r="F235" s="42">
        <v>105.175</v>
      </c>
      <c r="G235" s="9">
        <v>105.175</v>
      </c>
      <c r="H235" s="46">
        <v>210</v>
      </c>
      <c r="I235" s="9">
        <v>210</v>
      </c>
      <c r="J235" s="48" t="s">
        <v>64</v>
      </c>
      <c r="K235" s="43">
        <v>104.825</v>
      </c>
      <c r="L235" s="45" t="s">
        <v>15</v>
      </c>
    </row>
    <row r="236" spans="1:12" ht="15.75" customHeight="1" x14ac:dyDescent="0.3">
      <c r="A236" s="21">
        <v>4</v>
      </c>
      <c r="B236" s="25">
        <v>45388</v>
      </c>
      <c r="C236" s="29" t="s">
        <v>139</v>
      </c>
      <c r="D236" s="36">
        <v>1</v>
      </c>
      <c r="E236" s="41" t="s">
        <v>20</v>
      </c>
      <c r="F236" s="42">
        <v>7.0000000000000007E-2</v>
      </c>
      <c r="G236" s="9">
        <v>7.0000000000000007E-2</v>
      </c>
      <c r="H236" s="45">
        <v>1</v>
      </c>
      <c r="I236" s="9">
        <v>1</v>
      </c>
      <c r="J236" s="48" t="s">
        <v>64</v>
      </c>
      <c r="K236" s="43">
        <v>0.92999999999999994</v>
      </c>
      <c r="L236" s="45" t="s">
        <v>15</v>
      </c>
    </row>
    <row r="237" spans="1:12" ht="15.75" customHeight="1" x14ac:dyDescent="0.3">
      <c r="A237" s="21">
        <v>4</v>
      </c>
      <c r="B237" s="25">
        <v>45391</v>
      </c>
      <c r="C237" s="29" t="s">
        <v>180</v>
      </c>
      <c r="D237" s="36">
        <v>1</v>
      </c>
      <c r="E237" s="41" t="s">
        <v>140</v>
      </c>
      <c r="F237" s="42">
        <v>35</v>
      </c>
      <c r="G237" s="9">
        <v>35</v>
      </c>
      <c r="H237" s="46">
        <v>60</v>
      </c>
      <c r="I237" s="9">
        <v>60</v>
      </c>
      <c r="J237" s="48" t="s">
        <v>64</v>
      </c>
      <c r="K237" s="43">
        <v>25</v>
      </c>
      <c r="L237" s="45" t="s">
        <v>15</v>
      </c>
    </row>
    <row r="238" spans="1:12" ht="15.75" customHeight="1" x14ac:dyDescent="0.3">
      <c r="A238" s="21">
        <v>4</v>
      </c>
      <c r="B238" s="25">
        <v>45391</v>
      </c>
      <c r="C238" s="29" t="s">
        <v>139</v>
      </c>
      <c r="D238" s="36">
        <v>1</v>
      </c>
      <c r="E238" s="41" t="s">
        <v>20</v>
      </c>
      <c r="F238" s="42">
        <v>7.0000000000000007E-2</v>
      </c>
      <c r="G238" s="9">
        <v>7.0000000000000007E-2</v>
      </c>
      <c r="H238" s="45">
        <v>1</v>
      </c>
      <c r="I238" s="9">
        <v>1</v>
      </c>
      <c r="J238" s="48" t="s">
        <v>64</v>
      </c>
      <c r="K238" s="43">
        <v>0.92999999999999994</v>
      </c>
      <c r="L238" s="45" t="s">
        <v>15</v>
      </c>
    </row>
    <row r="239" spans="1:12" ht="15.75" customHeight="1" x14ac:dyDescent="0.3">
      <c r="A239" s="21">
        <v>4</v>
      </c>
      <c r="B239" s="25">
        <v>45393</v>
      </c>
      <c r="C239" s="29" t="s">
        <v>218</v>
      </c>
      <c r="D239" s="36">
        <v>1</v>
      </c>
      <c r="E239" s="41" t="s">
        <v>219</v>
      </c>
      <c r="F239" s="42">
        <v>27.5</v>
      </c>
      <c r="G239" s="9">
        <v>27.5</v>
      </c>
      <c r="H239" s="46">
        <v>50</v>
      </c>
      <c r="I239" s="9">
        <v>50</v>
      </c>
      <c r="J239" s="48" t="s">
        <v>64</v>
      </c>
      <c r="K239" s="43">
        <v>22.5</v>
      </c>
      <c r="L239" s="45" t="s">
        <v>15</v>
      </c>
    </row>
    <row r="240" spans="1:12" ht="15.75" customHeight="1" x14ac:dyDescent="0.3">
      <c r="A240" s="21">
        <v>4</v>
      </c>
      <c r="B240" s="25">
        <v>45393</v>
      </c>
      <c r="C240" s="29" t="s">
        <v>203</v>
      </c>
      <c r="D240" s="36">
        <v>1</v>
      </c>
      <c r="E240" s="41" t="s">
        <v>219</v>
      </c>
      <c r="F240" s="42">
        <v>30</v>
      </c>
      <c r="G240" s="9">
        <v>30</v>
      </c>
      <c r="H240" s="46">
        <v>60</v>
      </c>
      <c r="I240" s="9">
        <v>60</v>
      </c>
      <c r="J240" s="48" t="s">
        <v>64</v>
      </c>
      <c r="K240" s="43">
        <v>30</v>
      </c>
      <c r="L240" s="45" t="s">
        <v>15</v>
      </c>
    </row>
    <row r="241" spans="1:12" ht="15.75" customHeight="1" x14ac:dyDescent="0.3">
      <c r="A241" s="21">
        <v>4</v>
      </c>
      <c r="B241" s="25">
        <v>45393</v>
      </c>
      <c r="C241" s="29" t="s">
        <v>220</v>
      </c>
      <c r="D241" s="36">
        <v>1</v>
      </c>
      <c r="E241" s="41" t="s">
        <v>219</v>
      </c>
      <c r="F241" s="42">
        <v>50</v>
      </c>
      <c r="G241" s="9">
        <v>50</v>
      </c>
      <c r="H241" s="46">
        <v>70</v>
      </c>
      <c r="I241" s="9">
        <v>70</v>
      </c>
      <c r="J241" s="48" t="s">
        <v>64</v>
      </c>
      <c r="K241" s="43">
        <v>20</v>
      </c>
      <c r="L241" s="45" t="s">
        <v>15</v>
      </c>
    </row>
    <row r="242" spans="1:12" ht="15.75" customHeight="1" x14ac:dyDescent="0.3">
      <c r="A242" s="21">
        <v>4</v>
      </c>
      <c r="B242" s="25">
        <v>45393</v>
      </c>
      <c r="C242" s="29" t="s">
        <v>211</v>
      </c>
      <c r="D242" s="36">
        <v>2</v>
      </c>
      <c r="E242" s="41" t="s">
        <v>219</v>
      </c>
      <c r="F242" s="42">
        <v>5.5</v>
      </c>
      <c r="G242" s="9">
        <v>11</v>
      </c>
      <c r="H242" s="46">
        <v>10</v>
      </c>
      <c r="I242" s="9">
        <v>20</v>
      </c>
      <c r="J242" s="48" t="s">
        <v>64</v>
      </c>
      <c r="K242" s="43">
        <v>9</v>
      </c>
      <c r="L242" s="45" t="s">
        <v>15</v>
      </c>
    </row>
    <row r="243" spans="1:12" ht="15.75" customHeight="1" x14ac:dyDescent="0.3">
      <c r="A243" s="21">
        <v>4</v>
      </c>
      <c r="B243" s="25">
        <v>45393</v>
      </c>
      <c r="C243" s="29" t="s">
        <v>90</v>
      </c>
      <c r="D243" s="36">
        <v>1</v>
      </c>
      <c r="E243" s="41" t="s">
        <v>20</v>
      </c>
      <c r="F243" s="42">
        <v>3</v>
      </c>
      <c r="G243" s="9">
        <v>3</v>
      </c>
      <c r="H243" s="46">
        <v>15</v>
      </c>
      <c r="I243" s="9">
        <v>15</v>
      </c>
      <c r="J243" s="48" t="s">
        <v>64</v>
      </c>
      <c r="K243" s="43">
        <v>12</v>
      </c>
      <c r="L243" s="45" t="s">
        <v>15</v>
      </c>
    </row>
    <row r="244" spans="1:12" ht="15.75" customHeight="1" x14ac:dyDescent="0.3">
      <c r="A244" s="21">
        <v>4</v>
      </c>
      <c r="B244" s="25">
        <v>45393</v>
      </c>
      <c r="C244" s="29" t="s">
        <v>221</v>
      </c>
      <c r="D244" s="36">
        <v>1</v>
      </c>
      <c r="E244" s="41" t="s">
        <v>45</v>
      </c>
      <c r="F244" s="42">
        <v>8</v>
      </c>
      <c r="G244" s="9">
        <v>8</v>
      </c>
      <c r="H244" s="46">
        <v>15</v>
      </c>
      <c r="I244" s="9">
        <v>15</v>
      </c>
      <c r="J244" s="48" t="s">
        <v>64</v>
      </c>
      <c r="K244" s="43">
        <v>7</v>
      </c>
      <c r="L244" s="45" t="s">
        <v>15</v>
      </c>
    </row>
    <row r="245" spans="1:12" ht="15.75" customHeight="1" x14ac:dyDescent="0.3">
      <c r="A245" s="21">
        <v>4</v>
      </c>
      <c r="B245" s="25">
        <v>45394</v>
      </c>
      <c r="C245" s="29" t="s">
        <v>222</v>
      </c>
      <c r="D245" s="36">
        <v>1</v>
      </c>
      <c r="E245" s="41" t="s">
        <v>20</v>
      </c>
      <c r="F245" s="42">
        <v>3.3</v>
      </c>
      <c r="G245" s="9">
        <v>3.3</v>
      </c>
      <c r="H245" s="46">
        <v>10</v>
      </c>
      <c r="I245" s="9">
        <v>10</v>
      </c>
      <c r="J245" s="48" t="s">
        <v>64</v>
      </c>
      <c r="K245" s="43">
        <v>6.7</v>
      </c>
      <c r="L245" s="45" t="s">
        <v>15</v>
      </c>
    </row>
    <row r="246" spans="1:12" ht="15.75" customHeight="1" x14ac:dyDescent="0.3">
      <c r="A246" s="21">
        <v>4</v>
      </c>
      <c r="B246" s="25">
        <v>45394</v>
      </c>
      <c r="C246" s="29" t="s">
        <v>123</v>
      </c>
      <c r="D246" s="36">
        <v>2</v>
      </c>
      <c r="E246" s="41" t="s">
        <v>20</v>
      </c>
      <c r="F246" s="42">
        <v>0.05</v>
      </c>
      <c r="G246" s="9">
        <v>0.1</v>
      </c>
      <c r="H246" s="46">
        <v>1</v>
      </c>
      <c r="I246" s="9">
        <v>2</v>
      </c>
      <c r="J246" s="48" t="s">
        <v>64</v>
      </c>
      <c r="K246" s="43">
        <v>1.9</v>
      </c>
      <c r="L246" s="45" t="s">
        <v>15</v>
      </c>
    </row>
    <row r="247" spans="1:12" ht="15.75" customHeight="1" x14ac:dyDescent="0.3">
      <c r="A247" s="21">
        <v>4</v>
      </c>
      <c r="B247" s="25">
        <v>45394</v>
      </c>
      <c r="C247" s="29" t="s">
        <v>223</v>
      </c>
      <c r="D247" s="36">
        <v>1</v>
      </c>
      <c r="E247" s="41" t="s">
        <v>20</v>
      </c>
      <c r="F247" s="42">
        <v>11</v>
      </c>
      <c r="G247" s="9">
        <v>11</v>
      </c>
      <c r="H247" s="46">
        <v>30</v>
      </c>
      <c r="I247" s="9">
        <v>30</v>
      </c>
      <c r="J247" s="48" t="s">
        <v>64</v>
      </c>
      <c r="K247" s="43">
        <v>19</v>
      </c>
      <c r="L247" s="45" t="s">
        <v>15</v>
      </c>
    </row>
    <row r="248" spans="1:12" ht="15.75" customHeight="1" x14ac:dyDescent="0.3">
      <c r="A248" s="21">
        <v>4</v>
      </c>
      <c r="B248" s="25">
        <v>45395</v>
      </c>
      <c r="C248" s="29" t="s">
        <v>224</v>
      </c>
      <c r="D248" s="36">
        <v>1</v>
      </c>
      <c r="E248" s="41" t="s">
        <v>20</v>
      </c>
      <c r="F248" s="42">
        <v>18</v>
      </c>
      <c r="G248" s="9">
        <v>18</v>
      </c>
      <c r="H248" s="46">
        <v>55</v>
      </c>
      <c r="I248" s="9">
        <v>55</v>
      </c>
      <c r="J248" s="48" t="s">
        <v>24</v>
      </c>
      <c r="K248" s="43">
        <v>37</v>
      </c>
      <c r="L248" s="45" t="s">
        <v>15</v>
      </c>
    </row>
    <row r="249" spans="1:12" ht="15.75" customHeight="1" x14ac:dyDescent="0.3">
      <c r="A249" s="21">
        <v>4</v>
      </c>
      <c r="B249" s="25">
        <v>45395</v>
      </c>
      <c r="C249" s="29" t="s">
        <v>225</v>
      </c>
      <c r="D249" s="36">
        <v>1</v>
      </c>
      <c r="E249" s="41" t="s">
        <v>20</v>
      </c>
      <c r="F249" s="42">
        <v>15</v>
      </c>
      <c r="G249" s="9">
        <v>15</v>
      </c>
      <c r="H249" s="46">
        <v>60</v>
      </c>
      <c r="I249" s="9">
        <v>60</v>
      </c>
      <c r="J249" s="48" t="s">
        <v>64</v>
      </c>
      <c r="K249" s="43">
        <v>45</v>
      </c>
      <c r="L249" s="45" t="s">
        <v>15</v>
      </c>
    </row>
    <row r="250" spans="1:12" ht="15.75" customHeight="1" x14ac:dyDescent="0.3">
      <c r="A250" s="21">
        <v>4</v>
      </c>
      <c r="B250" s="25">
        <v>45395</v>
      </c>
      <c r="C250" s="29" t="s">
        <v>226</v>
      </c>
      <c r="D250" s="36">
        <v>1</v>
      </c>
      <c r="E250" s="41" t="s">
        <v>227</v>
      </c>
      <c r="F250" s="42">
        <v>0</v>
      </c>
      <c r="G250" s="9">
        <v>0</v>
      </c>
      <c r="H250" s="46">
        <v>25</v>
      </c>
      <c r="I250" s="9">
        <v>25</v>
      </c>
      <c r="J250" s="48" t="s">
        <v>64</v>
      </c>
      <c r="K250" s="43">
        <v>25</v>
      </c>
      <c r="L250" s="45" t="s">
        <v>15</v>
      </c>
    </row>
    <row r="251" spans="1:12" ht="15.75" customHeight="1" x14ac:dyDescent="0.3">
      <c r="A251" s="21">
        <v>4</v>
      </c>
      <c r="B251" s="25">
        <v>45397</v>
      </c>
      <c r="C251" s="29" t="s">
        <v>228</v>
      </c>
      <c r="D251" s="36">
        <v>1</v>
      </c>
      <c r="E251" s="41" t="s">
        <v>45</v>
      </c>
      <c r="F251" s="42">
        <v>43</v>
      </c>
      <c r="G251" s="9">
        <v>43</v>
      </c>
      <c r="H251" s="46">
        <v>70</v>
      </c>
      <c r="I251" s="9">
        <v>70</v>
      </c>
      <c r="J251" s="48" t="s">
        <v>64</v>
      </c>
      <c r="K251" s="43">
        <v>27</v>
      </c>
      <c r="L251" s="45" t="s">
        <v>15</v>
      </c>
    </row>
    <row r="252" spans="1:12" ht="15.75" customHeight="1" x14ac:dyDescent="0.3">
      <c r="A252" s="21">
        <v>4</v>
      </c>
      <c r="B252" s="25">
        <v>45427</v>
      </c>
      <c r="C252" s="29" t="s">
        <v>229</v>
      </c>
      <c r="D252" s="36">
        <v>1</v>
      </c>
      <c r="E252" s="41" t="s">
        <v>230</v>
      </c>
      <c r="F252" s="42">
        <v>20</v>
      </c>
      <c r="G252" s="9">
        <v>20</v>
      </c>
      <c r="H252" s="46">
        <v>35</v>
      </c>
      <c r="I252" s="9">
        <v>35</v>
      </c>
      <c r="J252" s="48" t="s">
        <v>64</v>
      </c>
      <c r="K252" s="43">
        <v>15</v>
      </c>
      <c r="L252" s="45" t="s">
        <v>15</v>
      </c>
    </row>
    <row r="253" spans="1:12" ht="15.75" customHeight="1" x14ac:dyDescent="0.3">
      <c r="A253" s="21">
        <v>4</v>
      </c>
      <c r="B253" s="25">
        <v>45427</v>
      </c>
      <c r="C253" s="29" t="s">
        <v>231</v>
      </c>
      <c r="D253" s="36">
        <v>1</v>
      </c>
      <c r="E253" s="41" t="s">
        <v>20</v>
      </c>
      <c r="F253" s="42">
        <v>7</v>
      </c>
      <c r="G253" s="9">
        <v>7</v>
      </c>
      <c r="H253" s="46">
        <v>15</v>
      </c>
      <c r="I253" s="9">
        <v>15</v>
      </c>
      <c r="J253" s="48" t="s">
        <v>64</v>
      </c>
      <c r="K253" s="43">
        <v>8</v>
      </c>
      <c r="L253" s="45" t="s">
        <v>15</v>
      </c>
    </row>
    <row r="254" spans="1:12" ht="15.75" customHeight="1" x14ac:dyDescent="0.3">
      <c r="A254" s="21">
        <v>4</v>
      </c>
      <c r="B254" s="25">
        <v>45427</v>
      </c>
      <c r="C254" s="29" t="s">
        <v>90</v>
      </c>
      <c r="D254" s="36">
        <v>1</v>
      </c>
      <c r="E254" s="41" t="s">
        <v>20</v>
      </c>
      <c r="F254" s="42">
        <v>3</v>
      </c>
      <c r="G254" s="9">
        <v>3</v>
      </c>
      <c r="H254" s="46">
        <v>15</v>
      </c>
      <c r="I254" s="9">
        <v>15</v>
      </c>
      <c r="J254" s="48" t="s">
        <v>64</v>
      </c>
      <c r="K254" s="43">
        <v>12</v>
      </c>
      <c r="L254" s="45" t="s">
        <v>15</v>
      </c>
    </row>
    <row r="255" spans="1:12" ht="15.75" customHeight="1" x14ac:dyDescent="0.3">
      <c r="A255" s="21">
        <v>4</v>
      </c>
      <c r="B255" s="25">
        <v>45398</v>
      </c>
      <c r="C255" s="29" t="s">
        <v>158</v>
      </c>
      <c r="D255" s="36">
        <v>1</v>
      </c>
      <c r="E255" s="41" t="s">
        <v>232</v>
      </c>
      <c r="F255" s="42">
        <v>1.2</v>
      </c>
      <c r="G255" s="9">
        <v>1.2</v>
      </c>
      <c r="H255" s="46">
        <v>4</v>
      </c>
      <c r="I255" s="9">
        <v>4</v>
      </c>
      <c r="J255" s="48" t="s">
        <v>64</v>
      </c>
      <c r="K255" s="43">
        <v>2.8</v>
      </c>
      <c r="L255" s="45" t="s">
        <v>15</v>
      </c>
    </row>
    <row r="256" spans="1:12" ht="15.75" customHeight="1" x14ac:dyDescent="0.3">
      <c r="A256" s="21">
        <v>4</v>
      </c>
      <c r="B256" s="25">
        <v>45399</v>
      </c>
      <c r="C256" s="29" t="s">
        <v>233</v>
      </c>
      <c r="D256" s="36">
        <v>1</v>
      </c>
      <c r="E256" s="41" t="s">
        <v>20</v>
      </c>
      <c r="F256" s="42">
        <v>15</v>
      </c>
      <c r="G256" s="9">
        <v>15</v>
      </c>
      <c r="H256" s="46">
        <v>25</v>
      </c>
      <c r="I256" s="9">
        <v>25</v>
      </c>
      <c r="J256" s="48" t="s">
        <v>64</v>
      </c>
      <c r="K256" s="43">
        <v>10</v>
      </c>
      <c r="L256" s="45" t="s">
        <v>15</v>
      </c>
    </row>
    <row r="257" spans="1:12" ht="15.75" customHeight="1" x14ac:dyDescent="0.3">
      <c r="A257" s="21">
        <v>4</v>
      </c>
      <c r="B257" s="25">
        <v>45399</v>
      </c>
      <c r="C257" s="29" t="s">
        <v>123</v>
      </c>
      <c r="D257" s="36">
        <v>1</v>
      </c>
      <c r="E257" s="41" t="s">
        <v>20</v>
      </c>
      <c r="F257" s="42">
        <v>0.05</v>
      </c>
      <c r="G257" s="9">
        <v>0.05</v>
      </c>
      <c r="H257" s="46">
        <v>1</v>
      </c>
      <c r="I257" s="9">
        <v>1</v>
      </c>
      <c r="J257" s="48" t="s">
        <v>64</v>
      </c>
      <c r="K257" s="43">
        <v>0.95</v>
      </c>
      <c r="L257" s="45" t="s">
        <v>15</v>
      </c>
    </row>
    <row r="258" spans="1:12" ht="15.75" customHeight="1" x14ac:dyDescent="0.3">
      <c r="A258" s="21">
        <v>4</v>
      </c>
      <c r="B258" s="25">
        <v>45399</v>
      </c>
      <c r="C258" s="29" t="s">
        <v>234</v>
      </c>
      <c r="D258" s="36">
        <v>1</v>
      </c>
      <c r="E258" s="41" t="s">
        <v>20</v>
      </c>
      <c r="F258" s="42">
        <v>25</v>
      </c>
      <c r="G258" s="9">
        <v>25</v>
      </c>
      <c r="H258" s="46">
        <v>30</v>
      </c>
      <c r="I258" s="9">
        <v>30</v>
      </c>
      <c r="J258" s="48" t="s">
        <v>64</v>
      </c>
      <c r="K258" s="43">
        <v>5</v>
      </c>
      <c r="L258" s="45" t="s">
        <v>15</v>
      </c>
    </row>
    <row r="259" spans="1:12" ht="15.75" customHeight="1" x14ac:dyDescent="0.3">
      <c r="A259" s="21">
        <v>4</v>
      </c>
      <c r="B259" s="25">
        <v>45400</v>
      </c>
      <c r="C259" s="29" t="s">
        <v>12</v>
      </c>
      <c r="D259" s="36">
        <v>1</v>
      </c>
      <c r="E259" s="41" t="s">
        <v>20</v>
      </c>
      <c r="F259" s="42">
        <v>7</v>
      </c>
      <c r="G259" s="9">
        <v>7</v>
      </c>
      <c r="H259" s="46">
        <v>15</v>
      </c>
      <c r="I259" s="9">
        <v>15</v>
      </c>
      <c r="J259" s="48" t="s">
        <v>64</v>
      </c>
      <c r="K259" s="43">
        <v>8</v>
      </c>
      <c r="L259" s="45" t="s">
        <v>15</v>
      </c>
    </row>
    <row r="260" spans="1:12" ht="15.75" customHeight="1" x14ac:dyDescent="0.3">
      <c r="A260" s="21">
        <v>4</v>
      </c>
      <c r="B260" s="25">
        <v>45402</v>
      </c>
      <c r="C260" s="29" t="s">
        <v>235</v>
      </c>
      <c r="D260" s="36">
        <v>1</v>
      </c>
      <c r="E260" s="41" t="s">
        <v>20</v>
      </c>
      <c r="F260" s="42">
        <v>15</v>
      </c>
      <c r="G260" s="9">
        <v>15</v>
      </c>
      <c r="H260" s="46">
        <v>40</v>
      </c>
      <c r="I260" s="9">
        <v>40</v>
      </c>
      <c r="J260" s="48" t="s">
        <v>24</v>
      </c>
      <c r="K260" s="43">
        <v>25</v>
      </c>
      <c r="L260" s="45" t="s">
        <v>15</v>
      </c>
    </row>
    <row r="261" spans="1:12" ht="15.75" customHeight="1" x14ac:dyDescent="0.3">
      <c r="A261" s="21">
        <v>4</v>
      </c>
      <c r="B261" s="25">
        <v>45404</v>
      </c>
      <c r="C261" s="29" t="s">
        <v>236</v>
      </c>
      <c r="D261" s="36">
        <v>1</v>
      </c>
      <c r="E261" s="41" t="s">
        <v>20</v>
      </c>
      <c r="F261" s="42">
        <v>1</v>
      </c>
      <c r="G261" s="9">
        <v>1</v>
      </c>
      <c r="H261" s="46">
        <v>10</v>
      </c>
      <c r="I261" s="9">
        <v>10</v>
      </c>
      <c r="J261" s="48" t="s">
        <v>64</v>
      </c>
      <c r="K261" s="43">
        <v>9</v>
      </c>
      <c r="L261" s="45" t="s">
        <v>15</v>
      </c>
    </row>
    <row r="262" spans="1:12" ht="15.75" customHeight="1" x14ac:dyDescent="0.3">
      <c r="A262" s="21">
        <v>4</v>
      </c>
      <c r="B262" s="25">
        <v>45404</v>
      </c>
      <c r="C262" s="29" t="s">
        <v>237</v>
      </c>
      <c r="D262" s="36">
        <v>1</v>
      </c>
      <c r="E262" s="41" t="s">
        <v>238</v>
      </c>
      <c r="F262" s="42">
        <v>14</v>
      </c>
      <c r="G262" s="9">
        <v>14</v>
      </c>
      <c r="H262" s="46">
        <v>30</v>
      </c>
      <c r="I262" s="9">
        <v>30</v>
      </c>
      <c r="J262" s="48" t="s">
        <v>64</v>
      </c>
      <c r="K262" s="43">
        <v>16</v>
      </c>
      <c r="L262" s="45" t="s">
        <v>15</v>
      </c>
    </row>
    <row r="263" spans="1:12" ht="15.75" customHeight="1" x14ac:dyDescent="0.3">
      <c r="A263" s="21">
        <v>4</v>
      </c>
      <c r="B263" s="25">
        <v>45404</v>
      </c>
      <c r="C263" s="29" t="s">
        <v>239</v>
      </c>
      <c r="D263" s="36">
        <v>1</v>
      </c>
      <c r="E263" s="41" t="s">
        <v>240</v>
      </c>
      <c r="F263" s="42">
        <v>4.5</v>
      </c>
      <c r="G263" s="9">
        <v>4.5</v>
      </c>
      <c r="H263" s="46">
        <v>10</v>
      </c>
      <c r="I263" s="9">
        <v>10</v>
      </c>
      <c r="J263" s="48" t="s">
        <v>64</v>
      </c>
      <c r="K263" s="43">
        <v>5.5</v>
      </c>
      <c r="L263" s="45" t="s">
        <v>15</v>
      </c>
    </row>
    <row r="264" spans="1:12" ht="15.75" customHeight="1" x14ac:dyDescent="0.3">
      <c r="A264" s="21">
        <v>4</v>
      </c>
      <c r="B264" s="25">
        <v>45404</v>
      </c>
      <c r="C264" s="29" t="s">
        <v>241</v>
      </c>
      <c r="D264" s="36">
        <v>1</v>
      </c>
      <c r="E264" s="41" t="s">
        <v>20</v>
      </c>
      <c r="F264" s="42">
        <v>5.5</v>
      </c>
      <c r="G264" s="9">
        <v>5.5</v>
      </c>
      <c r="H264" s="46">
        <v>20</v>
      </c>
      <c r="I264" s="9">
        <v>20</v>
      </c>
      <c r="J264" s="48" t="s">
        <v>24</v>
      </c>
      <c r="K264" s="43">
        <v>14.5</v>
      </c>
      <c r="L264" s="45" t="s">
        <v>15</v>
      </c>
    </row>
    <row r="265" spans="1:12" ht="15.75" customHeight="1" x14ac:dyDescent="0.3">
      <c r="A265" s="21">
        <v>4</v>
      </c>
      <c r="B265" s="25">
        <v>45405</v>
      </c>
      <c r="C265" s="29" t="s">
        <v>202</v>
      </c>
      <c r="D265" s="36">
        <v>1</v>
      </c>
      <c r="E265" s="41" t="s">
        <v>20</v>
      </c>
      <c r="F265" s="42" t="s">
        <v>72</v>
      </c>
      <c r="G265" s="9">
        <v>0</v>
      </c>
      <c r="H265" s="46">
        <v>50</v>
      </c>
      <c r="I265" s="9">
        <v>50</v>
      </c>
      <c r="J265" s="48" t="s">
        <v>64</v>
      </c>
      <c r="K265" s="43">
        <v>50</v>
      </c>
      <c r="L265" s="45" t="s">
        <v>15</v>
      </c>
    </row>
    <row r="266" spans="1:12" ht="15.75" customHeight="1" x14ac:dyDescent="0.3">
      <c r="A266" s="21">
        <v>4</v>
      </c>
      <c r="B266" s="25">
        <v>45406</v>
      </c>
      <c r="C266" s="29" t="s">
        <v>139</v>
      </c>
      <c r="D266" s="36">
        <v>1</v>
      </c>
      <c r="E266" s="41" t="s">
        <v>20</v>
      </c>
      <c r="F266" s="42">
        <v>7.0000000000000007E-2</v>
      </c>
      <c r="G266" s="9">
        <v>7.0000000000000007E-2</v>
      </c>
      <c r="H266" s="45">
        <v>1</v>
      </c>
      <c r="I266" s="9">
        <v>1</v>
      </c>
      <c r="J266" s="48" t="s">
        <v>64</v>
      </c>
      <c r="K266" s="43">
        <v>0.92999999999999994</v>
      </c>
      <c r="L266" s="45" t="s">
        <v>15</v>
      </c>
    </row>
    <row r="267" spans="1:12" ht="15.75" customHeight="1" x14ac:dyDescent="0.3">
      <c r="A267" s="21">
        <v>4</v>
      </c>
      <c r="B267" s="25">
        <v>45406</v>
      </c>
      <c r="C267" s="29" t="s">
        <v>139</v>
      </c>
      <c r="D267" s="36">
        <v>8</v>
      </c>
      <c r="E267" s="41" t="s">
        <v>20</v>
      </c>
      <c r="F267" s="42">
        <v>7.0000000000000007E-2</v>
      </c>
      <c r="G267" s="9">
        <v>0.56000000000000005</v>
      </c>
      <c r="H267" s="45">
        <v>1</v>
      </c>
      <c r="I267" s="9">
        <v>8</v>
      </c>
      <c r="J267" s="48" t="s">
        <v>64</v>
      </c>
      <c r="K267" s="43">
        <v>7.4399999999999995</v>
      </c>
      <c r="L267" s="45" t="s">
        <v>15</v>
      </c>
    </row>
    <row r="268" spans="1:12" ht="15.75" customHeight="1" x14ac:dyDescent="0.3">
      <c r="A268" s="21">
        <v>4</v>
      </c>
      <c r="B268" s="25">
        <v>45406</v>
      </c>
      <c r="C268" s="29" t="s">
        <v>242</v>
      </c>
      <c r="D268" s="36">
        <v>1</v>
      </c>
      <c r="E268" s="41" t="s">
        <v>20</v>
      </c>
      <c r="F268" s="42">
        <v>25</v>
      </c>
      <c r="G268" s="9">
        <v>25</v>
      </c>
      <c r="H268" s="46">
        <v>65</v>
      </c>
      <c r="I268" s="9">
        <v>65</v>
      </c>
      <c r="J268" s="48" t="s">
        <v>64</v>
      </c>
      <c r="K268" s="43">
        <v>40</v>
      </c>
      <c r="L268" s="45" t="s">
        <v>15</v>
      </c>
    </row>
    <row r="269" spans="1:12" ht="15.75" customHeight="1" x14ac:dyDescent="0.3">
      <c r="A269" s="21">
        <v>4</v>
      </c>
      <c r="B269" s="25">
        <v>45406</v>
      </c>
      <c r="C269" s="29" t="s">
        <v>243</v>
      </c>
      <c r="D269" s="36">
        <v>1</v>
      </c>
      <c r="E269" s="41" t="s">
        <v>244</v>
      </c>
      <c r="F269" s="42">
        <v>23.5</v>
      </c>
      <c r="G269" s="9">
        <v>23.5</v>
      </c>
      <c r="H269" s="46">
        <v>35</v>
      </c>
      <c r="I269" s="9">
        <v>35</v>
      </c>
      <c r="J269" s="48" t="s">
        <v>64</v>
      </c>
      <c r="K269" s="43">
        <v>11.5</v>
      </c>
      <c r="L269" s="45" t="s">
        <v>15</v>
      </c>
    </row>
    <row r="270" spans="1:12" ht="15.75" customHeight="1" x14ac:dyDescent="0.3">
      <c r="A270" s="21">
        <v>4</v>
      </c>
      <c r="B270" s="25">
        <v>45406</v>
      </c>
      <c r="C270" s="29" t="s">
        <v>245</v>
      </c>
      <c r="D270" s="36">
        <v>1</v>
      </c>
      <c r="E270" s="41" t="s">
        <v>244</v>
      </c>
      <c r="F270" s="42">
        <v>55</v>
      </c>
      <c r="G270" s="9">
        <v>55</v>
      </c>
      <c r="H270" s="46">
        <v>65</v>
      </c>
      <c r="I270" s="9">
        <v>65</v>
      </c>
      <c r="J270" s="48" t="s">
        <v>64</v>
      </c>
      <c r="K270" s="43">
        <v>10</v>
      </c>
      <c r="L270" s="45" t="s">
        <v>15</v>
      </c>
    </row>
    <row r="271" spans="1:12" ht="15.75" customHeight="1" x14ac:dyDescent="0.3">
      <c r="A271" s="21">
        <v>4</v>
      </c>
      <c r="B271" s="25">
        <v>45406</v>
      </c>
      <c r="C271" s="29" t="s">
        <v>246</v>
      </c>
      <c r="D271" s="36">
        <v>1</v>
      </c>
      <c r="E271" s="41" t="s">
        <v>244</v>
      </c>
      <c r="F271" s="42">
        <v>3.5</v>
      </c>
      <c r="G271" s="9">
        <v>3.5</v>
      </c>
      <c r="H271" s="46">
        <v>10</v>
      </c>
      <c r="I271" s="9">
        <v>10</v>
      </c>
      <c r="J271" s="48" t="s">
        <v>64</v>
      </c>
      <c r="K271" s="43">
        <v>6.5</v>
      </c>
      <c r="L271" s="45" t="s">
        <v>15</v>
      </c>
    </row>
    <row r="272" spans="1:12" ht="15.75" customHeight="1" x14ac:dyDescent="0.3">
      <c r="A272" s="21">
        <v>4</v>
      </c>
      <c r="B272" s="25">
        <v>45406</v>
      </c>
      <c r="C272" s="29" t="s">
        <v>247</v>
      </c>
      <c r="D272" s="36">
        <v>1</v>
      </c>
      <c r="E272" s="41" t="s">
        <v>248</v>
      </c>
      <c r="F272" s="42">
        <v>122</v>
      </c>
      <c r="G272" s="9">
        <v>122</v>
      </c>
      <c r="H272" s="46">
        <v>190</v>
      </c>
      <c r="I272" s="9">
        <v>190</v>
      </c>
      <c r="J272" s="48" t="s">
        <v>64</v>
      </c>
      <c r="K272" s="43">
        <v>68</v>
      </c>
      <c r="L272" s="45" t="s">
        <v>15</v>
      </c>
    </row>
    <row r="273" spans="1:12" ht="15.75" customHeight="1" x14ac:dyDescent="0.3">
      <c r="A273" s="21">
        <v>4</v>
      </c>
      <c r="B273" s="25">
        <v>45408</v>
      </c>
      <c r="C273" s="29" t="s">
        <v>216</v>
      </c>
      <c r="D273" s="36">
        <v>1</v>
      </c>
      <c r="E273" s="41" t="s">
        <v>249</v>
      </c>
      <c r="F273" s="42">
        <v>0</v>
      </c>
      <c r="G273" s="9">
        <v>0</v>
      </c>
      <c r="H273" s="46">
        <v>60</v>
      </c>
      <c r="I273" s="9">
        <v>60</v>
      </c>
      <c r="J273" s="48" t="s">
        <v>64</v>
      </c>
      <c r="K273" s="43">
        <v>60</v>
      </c>
      <c r="L273" s="45" t="s">
        <v>15</v>
      </c>
    </row>
    <row r="274" spans="1:12" ht="15.75" customHeight="1" x14ac:dyDescent="0.3">
      <c r="A274" s="21">
        <v>4</v>
      </c>
      <c r="B274" s="25">
        <v>45408</v>
      </c>
      <c r="C274" s="29" t="s">
        <v>139</v>
      </c>
      <c r="D274" s="36">
        <v>7</v>
      </c>
      <c r="E274" s="41" t="s">
        <v>20</v>
      </c>
      <c r="F274" s="42">
        <v>7.0000000000000007E-2</v>
      </c>
      <c r="G274" s="9">
        <v>0.49000000000000005</v>
      </c>
      <c r="H274" s="45">
        <v>1</v>
      </c>
      <c r="I274" s="9">
        <v>7</v>
      </c>
      <c r="J274" s="48" t="s">
        <v>64</v>
      </c>
      <c r="K274" s="43">
        <v>6.51</v>
      </c>
      <c r="L274" s="45" t="s">
        <v>15</v>
      </c>
    </row>
    <row r="275" spans="1:12" ht="15.75" customHeight="1" x14ac:dyDescent="0.3">
      <c r="A275" s="21">
        <v>4</v>
      </c>
      <c r="B275" s="25">
        <v>45408</v>
      </c>
      <c r="C275" s="29" t="s">
        <v>139</v>
      </c>
      <c r="D275" s="36">
        <v>5</v>
      </c>
      <c r="E275" s="41" t="s">
        <v>20</v>
      </c>
      <c r="F275" s="42">
        <v>7.0000000000000007E-2</v>
      </c>
      <c r="G275" s="9">
        <v>0.35000000000000003</v>
      </c>
      <c r="H275" s="45">
        <v>1</v>
      </c>
      <c r="I275" s="9">
        <v>5</v>
      </c>
      <c r="J275" s="48" t="s">
        <v>64</v>
      </c>
      <c r="K275" s="43">
        <v>4.6500000000000004</v>
      </c>
      <c r="L275" s="45" t="s">
        <v>15</v>
      </c>
    </row>
    <row r="276" spans="1:12" ht="15.75" customHeight="1" x14ac:dyDescent="0.3">
      <c r="A276" s="21">
        <v>4</v>
      </c>
      <c r="B276" s="25">
        <v>45408</v>
      </c>
      <c r="C276" s="29" t="s">
        <v>152</v>
      </c>
      <c r="D276" s="36">
        <v>1</v>
      </c>
      <c r="E276" s="41" t="s">
        <v>20</v>
      </c>
      <c r="F276" s="42">
        <v>22</v>
      </c>
      <c r="G276" s="9">
        <v>22</v>
      </c>
      <c r="H276" s="46">
        <v>40</v>
      </c>
      <c r="I276" s="9">
        <v>40</v>
      </c>
      <c r="J276" s="48" t="s">
        <v>64</v>
      </c>
      <c r="K276" s="43">
        <v>18</v>
      </c>
      <c r="L276" s="45" t="s">
        <v>15</v>
      </c>
    </row>
    <row r="277" spans="1:12" ht="15.75" customHeight="1" x14ac:dyDescent="0.3">
      <c r="A277" s="21">
        <v>4</v>
      </c>
      <c r="B277" s="25">
        <v>45408</v>
      </c>
      <c r="C277" s="29" t="s">
        <v>250</v>
      </c>
      <c r="D277" s="36">
        <v>1</v>
      </c>
      <c r="E277" s="41" t="s">
        <v>249</v>
      </c>
      <c r="F277" s="42">
        <v>25</v>
      </c>
      <c r="G277" s="9">
        <v>25</v>
      </c>
      <c r="H277" s="46">
        <v>60</v>
      </c>
      <c r="I277" s="9">
        <v>60</v>
      </c>
      <c r="J277" s="48" t="s">
        <v>64</v>
      </c>
      <c r="K277" s="43">
        <v>35</v>
      </c>
      <c r="L277" s="45" t="s">
        <v>15</v>
      </c>
    </row>
    <row r="278" spans="1:12" ht="15.75" customHeight="1" x14ac:dyDescent="0.3">
      <c r="A278" s="21">
        <v>4</v>
      </c>
      <c r="B278" s="25">
        <v>45409</v>
      </c>
      <c r="C278" s="29" t="s">
        <v>251</v>
      </c>
      <c r="D278" s="36">
        <v>1</v>
      </c>
      <c r="E278" s="41" t="s">
        <v>20</v>
      </c>
      <c r="F278" s="42">
        <v>11</v>
      </c>
      <c r="G278" s="9">
        <v>11</v>
      </c>
      <c r="H278" s="46">
        <v>25</v>
      </c>
      <c r="I278" s="9">
        <v>25</v>
      </c>
      <c r="J278" s="48" t="s">
        <v>64</v>
      </c>
      <c r="K278" s="43">
        <v>14</v>
      </c>
      <c r="L278" s="45" t="s">
        <v>15</v>
      </c>
    </row>
    <row r="279" spans="1:12" ht="15.75" customHeight="1" x14ac:dyDescent="0.3">
      <c r="A279" s="21">
        <v>4</v>
      </c>
      <c r="B279" s="25">
        <v>45409</v>
      </c>
      <c r="C279" s="29" t="s">
        <v>251</v>
      </c>
      <c r="D279" s="36">
        <v>1</v>
      </c>
      <c r="E279" s="41" t="s">
        <v>20</v>
      </c>
      <c r="F279" s="42">
        <v>11</v>
      </c>
      <c r="G279" s="9">
        <v>11</v>
      </c>
      <c r="H279" s="46">
        <v>25</v>
      </c>
      <c r="I279" s="9">
        <v>25</v>
      </c>
      <c r="J279" s="48"/>
      <c r="K279" s="43">
        <v>14</v>
      </c>
      <c r="L279" s="45" t="s">
        <v>128</v>
      </c>
    </row>
    <row r="280" spans="1:12" ht="15.75" customHeight="1" x14ac:dyDescent="0.3">
      <c r="A280" s="21">
        <v>4</v>
      </c>
      <c r="B280" s="25">
        <v>45409</v>
      </c>
      <c r="C280" s="29" t="s">
        <v>207</v>
      </c>
      <c r="D280" s="36">
        <v>1</v>
      </c>
      <c r="E280" s="41" t="s">
        <v>20</v>
      </c>
      <c r="F280" s="42">
        <v>7</v>
      </c>
      <c r="G280" s="9">
        <v>7</v>
      </c>
      <c r="H280" s="46">
        <v>15</v>
      </c>
      <c r="I280" s="9">
        <v>15</v>
      </c>
      <c r="J280" s="48"/>
      <c r="K280" s="43">
        <v>8</v>
      </c>
      <c r="L280" s="45" t="s">
        <v>128</v>
      </c>
    </row>
    <row r="281" spans="1:12" ht="15.75" customHeight="1" x14ac:dyDescent="0.3">
      <c r="A281" s="21">
        <v>4</v>
      </c>
      <c r="B281" s="25">
        <v>45409</v>
      </c>
      <c r="C281" s="29" t="s">
        <v>217</v>
      </c>
      <c r="D281" s="36">
        <v>1</v>
      </c>
      <c r="E281" s="41" t="s">
        <v>20</v>
      </c>
      <c r="F281" s="42">
        <v>105.175</v>
      </c>
      <c r="G281" s="9">
        <v>105.175</v>
      </c>
      <c r="H281" s="46">
        <v>200</v>
      </c>
      <c r="I281" s="9">
        <v>200</v>
      </c>
      <c r="J281" s="48"/>
      <c r="K281" s="43">
        <v>94.825000000000003</v>
      </c>
      <c r="L281" s="45" t="s">
        <v>15</v>
      </c>
    </row>
    <row r="282" spans="1:12" ht="15.75" customHeight="1" x14ac:dyDescent="0.3">
      <c r="A282" s="21">
        <v>4</v>
      </c>
      <c r="B282" s="25">
        <v>45409</v>
      </c>
      <c r="C282" s="29" t="s">
        <v>48</v>
      </c>
      <c r="D282" s="36">
        <v>1</v>
      </c>
      <c r="E282" s="41" t="s">
        <v>20</v>
      </c>
      <c r="F282" s="42">
        <v>3</v>
      </c>
      <c r="G282" s="9">
        <v>3</v>
      </c>
      <c r="H282" s="46">
        <v>15</v>
      </c>
      <c r="I282" s="9">
        <v>15</v>
      </c>
      <c r="J282" s="48"/>
      <c r="K282" s="43">
        <v>12</v>
      </c>
      <c r="L282" s="45" t="s">
        <v>128</v>
      </c>
    </row>
    <row r="283" spans="1:12" ht="15.75" customHeight="1" x14ac:dyDescent="0.3">
      <c r="A283" s="21">
        <v>4</v>
      </c>
      <c r="B283" s="25">
        <v>45409</v>
      </c>
      <c r="C283" s="29" t="s">
        <v>252</v>
      </c>
      <c r="D283" s="36">
        <v>1</v>
      </c>
      <c r="E283" s="41" t="s">
        <v>20</v>
      </c>
      <c r="F283" s="42">
        <v>6</v>
      </c>
      <c r="G283" s="9">
        <v>6</v>
      </c>
      <c r="H283" s="46">
        <v>15</v>
      </c>
      <c r="I283" s="9">
        <v>15</v>
      </c>
      <c r="J283" s="48"/>
      <c r="K283" s="43">
        <v>9</v>
      </c>
      <c r="L283" s="45" t="s">
        <v>128</v>
      </c>
    </row>
    <row r="284" spans="1:12" ht="15.75" customHeight="1" x14ac:dyDescent="0.3">
      <c r="A284" s="21">
        <v>4</v>
      </c>
      <c r="B284" s="25">
        <v>45409</v>
      </c>
      <c r="C284" s="29" t="s">
        <v>253</v>
      </c>
      <c r="D284" s="36">
        <v>1</v>
      </c>
      <c r="E284" s="41" t="s">
        <v>20</v>
      </c>
      <c r="F284" s="42">
        <v>11</v>
      </c>
      <c r="G284" s="9">
        <v>11</v>
      </c>
      <c r="H284" s="46">
        <v>20</v>
      </c>
      <c r="I284" s="9">
        <v>20</v>
      </c>
      <c r="J284" s="48" t="s">
        <v>64</v>
      </c>
      <c r="K284" s="43">
        <v>9</v>
      </c>
      <c r="L284" s="45" t="s">
        <v>15</v>
      </c>
    </row>
    <row r="285" spans="1:12" ht="15.75" customHeight="1" x14ac:dyDescent="0.3">
      <c r="A285" s="21">
        <v>4</v>
      </c>
      <c r="B285" s="25">
        <v>45409</v>
      </c>
      <c r="C285" s="29" t="s">
        <v>254</v>
      </c>
      <c r="D285" s="36">
        <v>1</v>
      </c>
      <c r="E285" s="41" t="s">
        <v>20</v>
      </c>
      <c r="F285" s="42">
        <v>55</v>
      </c>
      <c r="G285" s="9">
        <v>55</v>
      </c>
      <c r="H285" s="45">
        <v>90</v>
      </c>
      <c r="I285" s="9">
        <v>90</v>
      </c>
      <c r="J285" s="48" t="s">
        <v>64</v>
      </c>
      <c r="K285" s="43">
        <v>35</v>
      </c>
      <c r="L285" s="45" t="s">
        <v>15</v>
      </c>
    </row>
    <row r="286" spans="1:12" ht="15.75" customHeight="1" x14ac:dyDescent="0.3">
      <c r="A286" s="21">
        <v>4</v>
      </c>
      <c r="B286" s="25">
        <v>45411</v>
      </c>
      <c r="C286" s="29" t="s">
        <v>255</v>
      </c>
      <c r="D286" s="36">
        <v>1</v>
      </c>
      <c r="E286" s="41" t="s">
        <v>256</v>
      </c>
      <c r="F286" s="42">
        <v>13</v>
      </c>
      <c r="G286" s="9">
        <v>13</v>
      </c>
      <c r="H286" s="45">
        <v>25</v>
      </c>
      <c r="I286" s="9">
        <v>25</v>
      </c>
      <c r="J286" s="48" t="s">
        <v>64</v>
      </c>
      <c r="K286" s="43">
        <v>12</v>
      </c>
      <c r="L286" s="45" t="s">
        <v>15</v>
      </c>
    </row>
    <row r="287" spans="1:12" ht="15.75" customHeight="1" x14ac:dyDescent="0.3">
      <c r="A287" s="21">
        <v>4</v>
      </c>
      <c r="B287" s="25">
        <v>45411</v>
      </c>
      <c r="C287" s="29" t="s">
        <v>123</v>
      </c>
      <c r="D287" s="36">
        <v>2</v>
      </c>
      <c r="E287" s="41" t="s">
        <v>257</v>
      </c>
      <c r="F287" s="42">
        <v>0.05</v>
      </c>
      <c r="G287" s="9">
        <v>0.1</v>
      </c>
      <c r="H287" s="45">
        <v>1</v>
      </c>
      <c r="I287" s="9">
        <v>2</v>
      </c>
      <c r="J287" s="48" t="s">
        <v>64</v>
      </c>
      <c r="K287" s="43">
        <v>1.9</v>
      </c>
      <c r="L287" s="45" t="s">
        <v>15</v>
      </c>
    </row>
    <row r="288" spans="1:12" ht="15.75" customHeight="1" x14ac:dyDescent="0.3">
      <c r="A288" s="21">
        <v>4</v>
      </c>
      <c r="B288" s="25">
        <v>45412</v>
      </c>
      <c r="C288" s="29" t="s">
        <v>183</v>
      </c>
      <c r="D288" s="36">
        <v>1</v>
      </c>
      <c r="E288" s="41" t="s">
        <v>20</v>
      </c>
      <c r="F288" s="42">
        <v>9</v>
      </c>
      <c r="G288" s="9">
        <v>9</v>
      </c>
      <c r="H288" s="45">
        <v>25</v>
      </c>
      <c r="I288" s="9">
        <v>25</v>
      </c>
      <c r="J288" s="48" t="s">
        <v>64</v>
      </c>
      <c r="K288" s="43">
        <v>16</v>
      </c>
      <c r="L288" s="45" t="s">
        <v>15</v>
      </c>
    </row>
    <row r="289" spans="1:12" ht="15.75" customHeight="1" x14ac:dyDescent="0.3">
      <c r="A289" s="21">
        <v>4</v>
      </c>
      <c r="B289" s="25">
        <v>45412</v>
      </c>
      <c r="C289" s="29" t="s">
        <v>258</v>
      </c>
      <c r="D289" s="36">
        <v>1</v>
      </c>
      <c r="E289" s="41" t="s">
        <v>259</v>
      </c>
      <c r="F289" s="42">
        <v>220</v>
      </c>
      <c r="G289" s="9">
        <v>220</v>
      </c>
      <c r="H289" s="45">
        <v>350</v>
      </c>
      <c r="I289" s="9">
        <v>350</v>
      </c>
      <c r="J289" s="48" t="s">
        <v>24</v>
      </c>
      <c r="K289" s="43">
        <v>130</v>
      </c>
      <c r="L289" s="45" t="s">
        <v>15</v>
      </c>
    </row>
    <row r="290" spans="1:12" ht="15.75" customHeight="1" x14ac:dyDescent="0.3">
      <c r="A290" s="21">
        <v>4</v>
      </c>
      <c r="B290" s="25">
        <v>45412</v>
      </c>
      <c r="C290" s="29" t="s">
        <v>175</v>
      </c>
      <c r="D290" s="36">
        <v>1</v>
      </c>
      <c r="E290" s="41" t="s">
        <v>259</v>
      </c>
      <c r="F290" s="42">
        <v>6</v>
      </c>
      <c r="G290" s="9">
        <v>6</v>
      </c>
      <c r="H290" s="45">
        <v>10</v>
      </c>
      <c r="I290" s="9">
        <v>10</v>
      </c>
      <c r="J290" s="48" t="s">
        <v>64</v>
      </c>
      <c r="K290" s="43">
        <v>4</v>
      </c>
      <c r="L290" s="45" t="s">
        <v>15</v>
      </c>
    </row>
    <row r="291" spans="1:12" ht="15.75" customHeight="1" x14ac:dyDescent="0.3">
      <c r="A291" s="21">
        <v>4</v>
      </c>
      <c r="B291" s="25">
        <v>45412</v>
      </c>
      <c r="C291" s="32" t="s">
        <v>123</v>
      </c>
      <c r="D291" s="36">
        <v>3</v>
      </c>
      <c r="E291" s="41" t="s">
        <v>20</v>
      </c>
      <c r="F291" s="42">
        <v>0.05</v>
      </c>
      <c r="G291" s="9">
        <v>0.15000000000000002</v>
      </c>
      <c r="H291" s="45">
        <v>1</v>
      </c>
      <c r="I291" s="9">
        <v>3</v>
      </c>
      <c r="J291" s="48" t="s">
        <v>64</v>
      </c>
      <c r="K291" s="43">
        <v>2.85</v>
      </c>
      <c r="L291" s="45" t="s">
        <v>15</v>
      </c>
    </row>
    <row r="292" spans="1:12" ht="15.75" customHeight="1" x14ac:dyDescent="0.3">
      <c r="A292" s="21">
        <v>5</v>
      </c>
      <c r="B292" s="25">
        <v>45414</v>
      </c>
      <c r="C292" s="29" t="s">
        <v>260</v>
      </c>
      <c r="D292" s="36">
        <v>1</v>
      </c>
      <c r="E292" s="41" t="s">
        <v>261</v>
      </c>
      <c r="F292" s="42">
        <v>1</v>
      </c>
      <c r="G292" s="9">
        <v>1</v>
      </c>
      <c r="H292" s="45">
        <v>5</v>
      </c>
      <c r="I292" s="9">
        <v>5</v>
      </c>
      <c r="J292" s="48" t="s">
        <v>64</v>
      </c>
      <c r="K292" s="43">
        <v>4</v>
      </c>
      <c r="L292" s="45" t="s">
        <v>15</v>
      </c>
    </row>
    <row r="293" spans="1:12" ht="15.75" customHeight="1" x14ac:dyDescent="0.3">
      <c r="A293" s="21">
        <v>5</v>
      </c>
      <c r="B293" s="25">
        <v>45414</v>
      </c>
      <c r="C293" s="29" t="s">
        <v>262</v>
      </c>
      <c r="D293" s="36">
        <v>1</v>
      </c>
      <c r="E293" s="41" t="s">
        <v>249</v>
      </c>
      <c r="F293" s="42">
        <v>18</v>
      </c>
      <c r="G293" s="9">
        <v>18</v>
      </c>
      <c r="H293" s="45">
        <v>35</v>
      </c>
      <c r="I293" s="9">
        <v>35</v>
      </c>
      <c r="J293" s="48" t="s">
        <v>64</v>
      </c>
      <c r="K293" s="43">
        <v>17</v>
      </c>
      <c r="L293" s="45" t="s">
        <v>15</v>
      </c>
    </row>
    <row r="294" spans="1:12" ht="15.75" customHeight="1" x14ac:dyDescent="0.3">
      <c r="A294" s="21">
        <v>5</v>
      </c>
      <c r="B294" s="25">
        <v>45415</v>
      </c>
      <c r="C294" s="29" t="s">
        <v>263</v>
      </c>
      <c r="D294" s="36">
        <v>1</v>
      </c>
      <c r="E294" s="41" t="s">
        <v>232</v>
      </c>
      <c r="F294" s="42">
        <v>4.5</v>
      </c>
      <c r="G294" s="9">
        <v>4.5</v>
      </c>
      <c r="H294" s="45">
        <v>5</v>
      </c>
      <c r="I294" s="9">
        <v>5</v>
      </c>
      <c r="J294" s="48" t="s">
        <v>64</v>
      </c>
      <c r="K294" s="43">
        <v>0.5</v>
      </c>
      <c r="L294" s="45" t="s">
        <v>15</v>
      </c>
    </row>
    <row r="295" spans="1:12" ht="15.75" customHeight="1" x14ac:dyDescent="0.3">
      <c r="A295" s="21">
        <v>5</v>
      </c>
      <c r="B295" s="25">
        <v>45415</v>
      </c>
      <c r="C295" s="29" t="s">
        <v>264</v>
      </c>
      <c r="D295" s="36">
        <v>1</v>
      </c>
      <c r="E295" s="41" t="s">
        <v>232</v>
      </c>
      <c r="F295" s="42">
        <v>20</v>
      </c>
      <c r="G295" s="9">
        <v>20</v>
      </c>
      <c r="H295" s="45">
        <v>100</v>
      </c>
      <c r="I295" s="9">
        <v>100</v>
      </c>
      <c r="J295" s="48" t="s">
        <v>64</v>
      </c>
      <c r="K295" s="43">
        <v>80</v>
      </c>
      <c r="L295" s="45" t="s">
        <v>15</v>
      </c>
    </row>
    <row r="296" spans="1:12" ht="15.75" customHeight="1" x14ac:dyDescent="0.3">
      <c r="A296" s="21">
        <v>5</v>
      </c>
      <c r="B296" s="25">
        <v>45415</v>
      </c>
      <c r="C296" s="29" t="s">
        <v>139</v>
      </c>
      <c r="D296" s="36">
        <v>3</v>
      </c>
      <c r="E296" s="41" t="s">
        <v>140</v>
      </c>
      <c r="F296" s="42">
        <v>7.0000000000000007E-2</v>
      </c>
      <c r="G296" s="9">
        <v>0.21000000000000002</v>
      </c>
      <c r="H296" s="45">
        <v>1</v>
      </c>
      <c r="I296" s="9">
        <v>3</v>
      </c>
      <c r="J296" s="48" t="s">
        <v>64</v>
      </c>
      <c r="K296" s="43">
        <v>2.79</v>
      </c>
      <c r="L296" s="45" t="s">
        <v>15</v>
      </c>
    </row>
    <row r="297" spans="1:12" ht="15.75" customHeight="1" x14ac:dyDescent="0.3">
      <c r="A297" s="21">
        <v>5</v>
      </c>
      <c r="B297" s="25">
        <v>45415</v>
      </c>
      <c r="C297" s="29" t="s">
        <v>202</v>
      </c>
      <c r="D297" s="36">
        <v>1</v>
      </c>
      <c r="E297" s="41" t="s">
        <v>20</v>
      </c>
      <c r="F297" s="42" t="s">
        <v>72</v>
      </c>
      <c r="G297" s="9">
        <v>0</v>
      </c>
      <c r="H297" s="45">
        <v>40</v>
      </c>
      <c r="I297" s="9">
        <v>40</v>
      </c>
      <c r="J297" s="48" t="s">
        <v>64</v>
      </c>
      <c r="K297" s="43">
        <v>40</v>
      </c>
      <c r="L297" s="45" t="s">
        <v>15</v>
      </c>
    </row>
    <row r="298" spans="1:12" ht="15.75" customHeight="1" x14ac:dyDescent="0.3">
      <c r="A298" s="21">
        <v>5</v>
      </c>
      <c r="B298" s="25">
        <v>45416</v>
      </c>
      <c r="C298" s="29" t="s">
        <v>265</v>
      </c>
      <c r="D298" s="36">
        <v>1</v>
      </c>
      <c r="E298" s="41" t="s">
        <v>45</v>
      </c>
      <c r="F298" s="42">
        <v>75</v>
      </c>
      <c r="G298" s="9">
        <v>75</v>
      </c>
      <c r="H298" s="45">
        <v>100</v>
      </c>
      <c r="I298" s="9">
        <v>100</v>
      </c>
      <c r="J298" s="48" t="s">
        <v>64</v>
      </c>
      <c r="K298" s="43">
        <v>25</v>
      </c>
      <c r="L298" s="45" t="s">
        <v>15</v>
      </c>
    </row>
    <row r="299" spans="1:12" ht="15.75" customHeight="1" x14ac:dyDescent="0.3">
      <c r="A299" s="21">
        <v>5</v>
      </c>
      <c r="B299" s="25">
        <v>45416</v>
      </c>
      <c r="C299" s="29" t="s">
        <v>262</v>
      </c>
      <c r="D299" s="36">
        <v>1</v>
      </c>
      <c r="E299" s="41" t="s">
        <v>266</v>
      </c>
      <c r="F299" s="42">
        <v>18</v>
      </c>
      <c r="G299" s="9">
        <v>18</v>
      </c>
      <c r="H299" s="45">
        <v>40</v>
      </c>
      <c r="I299" s="9">
        <v>40</v>
      </c>
      <c r="J299" s="48" t="s">
        <v>64</v>
      </c>
      <c r="K299" s="43">
        <v>22</v>
      </c>
      <c r="L299" s="45" t="s">
        <v>15</v>
      </c>
    </row>
    <row r="300" spans="1:12" ht="15.75" customHeight="1" x14ac:dyDescent="0.3">
      <c r="A300" s="21">
        <v>5</v>
      </c>
      <c r="B300" s="25">
        <v>45416</v>
      </c>
      <c r="C300" s="29" t="s">
        <v>267</v>
      </c>
      <c r="D300" s="36">
        <v>1</v>
      </c>
      <c r="E300" s="41" t="s">
        <v>20</v>
      </c>
      <c r="F300" s="42">
        <v>0</v>
      </c>
      <c r="G300" s="9">
        <v>0</v>
      </c>
      <c r="H300" s="45">
        <v>5</v>
      </c>
      <c r="I300" s="9">
        <v>5</v>
      </c>
      <c r="J300" s="48" t="s">
        <v>64</v>
      </c>
      <c r="K300" s="43">
        <v>5</v>
      </c>
      <c r="L300" s="45" t="s">
        <v>15</v>
      </c>
    </row>
    <row r="301" spans="1:12" ht="15.75" customHeight="1" x14ac:dyDescent="0.3">
      <c r="A301" s="21">
        <v>5</v>
      </c>
      <c r="B301" s="25">
        <v>45416</v>
      </c>
      <c r="C301" s="29" t="s">
        <v>139</v>
      </c>
      <c r="D301" s="36">
        <v>5</v>
      </c>
      <c r="E301" s="41" t="s">
        <v>20</v>
      </c>
      <c r="F301" s="42">
        <v>7.0000000000000007E-2</v>
      </c>
      <c r="G301" s="9">
        <v>0.35000000000000003</v>
      </c>
      <c r="H301" s="45">
        <v>1</v>
      </c>
      <c r="I301" s="9">
        <v>5</v>
      </c>
      <c r="J301" s="48" t="s">
        <v>64</v>
      </c>
      <c r="K301" s="43">
        <v>4.6500000000000004</v>
      </c>
      <c r="L301" s="45" t="s">
        <v>15</v>
      </c>
    </row>
    <row r="302" spans="1:12" ht="15.75" customHeight="1" x14ac:dyDescent="0.3">
      <c r="A302" s="21">
        <v>5</v>
      </c>
      <c r="B302" s="25">
        <v>45416</v>
      </c>
      <c r="C302" s="29" t="s">
        <v>159</v>
      </c>
      <c r="D302" s="36">
        <v>1</v>
      </c>
      <c r="E302" s="41" t="s">
        <v>140</v>
      </c>
      <c r="F302" s="42">
        <v>19</v>
      </c>
      <c r="G302" s="9">
        <v>19</v>
      </c>
      <c r="H302" s="45">
        <v>35</v>
      </c>
      <c r="I302" s="9">
        <v>35</v>
      </c>
      <c r="J302" s="48" t="s">
        <v>64</v>
      </c>
      <c r="K302" s="43">
        <v>16</v>
      </c>
      <c r="L302" s="45" t="s">
        <v>15</v>
      </c>
    </row>
    <row r="303" spans="1:12" ht="15.75" customHeight="1" x14ac:dyDescent="0.3">
      <c r="A303" s="21">
        <v>5</v>
      </c>
      <c r="B303" s="25">
        <v>45418</v>
      </c>
      <c r="C303" s="29" t="s">
        <v>12</v>
      </c>
      <c r="D303" s="36">
        <v>1</v>
      </c>
      <c r="E303" s="41" t="s">
        <v>240</v>
      </c>
      <c r="F303" s="42">
        <v>7</v>
      </c>
      <c r="G303" s="9">
        <v>7</v>
      </c>
      <c r="H303" s="45">
        <v>15</v>
      </c>
      <c r="I303" s="9">
        <v>15</v>
      </c>
      <c r="J303" s="48" t="s">
        <v>64</v>
      </c>
      <c r="K303" s="43">
        <v>8</v>
      </c>
      <c r="L303" s="45" t="s">
        <v>15</v>
      </c>
    </row>
    <row r="304" spans="1:12" ht="15.75" customHeight="1" x14ac:dyDescent="0.3">
      <c r="A304" s="21">
        <v>5</v>
      </c>
      <c r="B304" s="25">
        <v>45419</v>
      </c>
      <c r="C304" s="29" t="s">
        <v>160</v>
      </c>
      <c r="D304" s="36">
        <v>1</v>
      </c>
      <c r="E304" s="41" t="s">
        <v>268</v>
      </c>
      <c r="F304" s="42">
        <v>21.99</v>
      </c>
      <c r="G304" s="9">
        <v>21.99</v>
      </c>
      <c r="H304" s="45">
        <v>50</v>
      </c>
      <c r="I304" s="9">
        <v>50</v>
      </c>
      <c r="J304" s="48" t="s">
        <v>64</v>
      </c>
      <c r="K304" s="43">
        <v>28.01</v>
      </c>
      <c r="L304" s="45" t="s">
        <v>15</v>
      </c>
    </row>
    <row r="305" spans="1:12" ht="15.75" customHeight="1" x14ac:dyDescent="0.3">
      <c r="A305" s="21">
        <v>5</v>
      </c>
      <c r="B305" s="25">
        <v>45419</v>
      </c>
      <c r="C305" s="29" t="s">
        <v>269</v>
      </c>
      <c r="D305" s="36">
        <v>2</v>
      </c>
      <c r="E305" s="41" t="s">
        <v>270</v>
      </c>
      <c r="F305" s="42">
        <v>16</v>
      </c>
      <c r="G305" s="9">
        <v>32</v>
      </c>
      <c r="H305" s="45">
        <v>35</v>
      </c>
      <c r="I305" s="9">
        <v>70</v>
      </c>
      <c r="J305" s="48" t="s">
        <v>64</v>
      </c>
      <c r="K305" s="43">
        <v>38</v>
      </c>
      <c r="L305" s="45" t="s">
        <v>15</v>
      </c>
    </row>
    <row r="306" spans="1:12" ht="15.75" customHeight="1" x14ac:dyDescent="0.3">
      <c r="A306" s="21">
        <v>5</v>
      </c>
      <c r="B306" s="25">
        <v>45420</v>
      </c>
      <c r="C306" s="29" t="s">
        <v>271</v>
      </c>
      <c r="D306" s="36">
        <v>1</v>
      </c>
      <c r="E306" s="41" t="s">
        <v>118</v>
      </c>
      <c r="F306" s="42">
        <v>15</v>
      </c>
      <c r="G306" s="9">
        <v>15</v>
      </c>
      <c r="H306" s="45">
        <v>30</v>
      </c>
      <c r="I306" s="9">
        <v>30</v>
      </c>
      <c r="J306" s="48" t="s">
        <v>64</v>
      </c>
      <c r="K306" s="43">
        <v>15</v>
      </c>
      <c r="L306" s="45" t="s">
        <v>15</v>
      </c>
    </row>
    <row r="307" spans="1:12" ht="15.75" customHeight="1" x14ac:dyDescent="0.3">
      <c r="A307" s="21">
        <v>5</v>
      </c>
      <c r="B307" s="25">
        <v>45420</v>
      </c>
      <c r="C307" s="29" t="s">
        <v>272</v>
      </c>
      <c r="D307" s="36">
        <v>1</v>
      </c>
      <c r="E307" s="41" t="s">
        <v>273</v>
      </c>
      <c r="F307" s="42">
        <v>0</v>
      </c>
      <c r="G307" s="9">
        <v>0</v>
      </c>
      <c r="H307" s="45">
        <v>65</v>
      </c>
      <c r="I307" s="9">
        <v>65</v>
      </c>
      <c r="J307" s="48" t="s">
        <v>64</v>
      </c>
      <c r="K307" s="43">
        <v>65</v>
      </c>
      <c r="L307" s="45" t="s">
        <v>15</v>
      </c>
    </row>
    <row r="308" spans="1:12" ht="15.75" customHeight="1" x14ac:dyDescent="0.3">
      <c r="A308" s="21">
        <v>5</v>
      </c>
      <c r="B308" s="25">
        <v>45421</v>
      </c>
      <c r="C308" s="29" t="s">
        <v>139</v>
      </c>
      <c r="D308" s="36">
        <v>1</v>
      </c>
      <c r="E308" s="41" t="s">
        <v>20</v>
      </c>
      <c r="F308" s="42">
        <v>7.0000000000000007E-2</v>
      </c>
      <c r="G308" s="9">
        <v>7.0000000000000007E-2</v>
      </c>
      <c r="H308" s="45">
        <v>1</v>
      </c>
      <c r="I308" s="9">
        <v>1</v>
      </c>
      <c r="J308" s="48" t="s">
        <v>64</v>
      </c>
      <c r="K308" s="43">
        <v>0.92999999999999994</v>
      </c>
      <c r="L308" s="45" t="s">
        <v>15</v>
      </c>
    </row>
    <row r="309" spans="1:12" ht="15.75" customHeight="1" x14ac:dyDescent="0.3">
      <c r="A309" s="21">
        <v>5</v>
      </c>
      <c r="B309" s="25">
        <v>45421</v>
      </c>
      <c r="C309" s="29" t="s">
        <v>90</v>
      </c>
      <c r="D309" s="36">
        <v>1</v>
      </c>
      <c r="E309" s="41" t="s">
        <v>20</v>
      </c>
      <c r="F309" s="42">
        <v>3</v>
      </c>
      <c r="G309" s="9">
        <v>3</v>
      </c>
      <c r="H309" s="45">
        <v>15</v>
      </c>
      <c r="I309" s="9">
        <v>15</v>
      </c>
      <c r="J309" s="48" t="s">
        <v>64</v>
      </c>
      <c r="K309" s="43">
        <v>12</v>
      </c>
      <c r="L309" s="45" t="s">
        <v>15</v>
      </c>
    </row>
    <row r="310" spans="1:12" ht="15.75" customHeight="1" x14ac:dyDescent="0.3">
      <c r="A310" s="21">
        <v>5</v>
      </c>
      <c r="B310" s="25">
        <v>45421</v>
      </c>
      <c r="C310" s="29" t="s">
        <v>274</v>
      </c>
      <c r="D310" s="36">
        <v>1</v>
      </c>
      <c r="E310" s="41" t="s">
        <v>20</v>
      </c>
      <c r="F310" s="42">
        <v>9</v>
      </c>
      <c r="G310" s="9">
        <v>9</v>
      </c>
      <c r="H310" s="45">
        <v>20</v>
      </c>
      <c r="I310" s="9">
        <v>20</v>
      </c>
      <c r="J310" s="48" t="s">
        <v>64</v>
      </c>
      <c r="K310" s="43">
        <v>11</v>
      </c>
      <c r="L310" s="45" t="s">
        <v>15</v>
      </c>
    </row>
    <row r="311" spans="1:12" ht="15.75" customHeight="1" x14ac:dyDescent="0.3">
      <c r="A311" s="21">
        <v>5</v>
      </c>
      <c r="B311" s="25">
        <v>45423</v>
      </c>
      <c r="C311" s="29" t="s">
        <v>139</v>
      </c>
      <c r="D311" s="36">
        <v>4</v>
      </c>
      <c r="E311" s="41" t="s">
        <v>20</v>
      </c>
      <c r="F311" s="42">
        <v>7.0000000000000007E-2</v>
      </c>
      <c r="G311" s="9">
        <v>0.28000000000000003</v>
      </c>
      <c r="H311" s="45">
        <v>1</v>
      </c>
      <c r="I311" s="9">
        <v>4</v>
      </c>
      <c r="J311" s="48" t="s">
        <v>64</v>
      </c>
      <c r="K311" s="43">
        <v>3.7199999999999998</v>
      </c>
      <c r="L311" s="45" t="s">
        <v>15</v>
      </c>
    </row>
    <row r="312" spans="1:12" ht="15.75" customHeight="1" x14ac:dyDescent="0.3">
      <c r="A312" s="21">
        <v>5</v>
      </c>
      <c r="B312" s="25">
        <v>45423</v>
      </c>
      <c r="C312" s="29" t="s">
        <v>275</v>
      </c>
      <c r="D312" s="36">
        <v>1</v>
      </c>
      <c r="E312" s="41" t="s">
        <v>276</v>
      </c>
      <c r="F312" s="42">
        <v>18</v>
      </c>
      <c r="G312" s="9">
        <v>18</v>
      </c>
      <c r="H312" s="45">
        <v>25</v>
      </c>
      <c r="I312" s="9">
        <v>25</v>
      </c>
      <c r="J312" s="48" t="s">
        <v>64</v>
      </c>
      <c r="K312" s="43">
        <v>7</v>
      </c>
      <c r="L312" s="45" t="s">
        <v>15</v>
      </c>
    </row>
    <row r="313" spans="1:12" ht="15.75" customHeight="1" x14ac:dyDescent="0.3">
      <c r="A313" s="21">
        <v>5</v>
      </c>
      <c r="B313" s="25">
        <v>45423</v>
      </c>
      <c r="C313" s="29" t="s">
        <v>277</v>
      </c>
      <c r="D313" s="36">
        <v>1</v>
      </c>
      <c r="E313" s="41" t="s">
        <v>273</v>
      </c>
      <c r="F313" s="42">
        <v>15</v>
      </c>
      <c r="G313" s="9">
        <v>15</v>
      </c>
      <c r="H313" s="45">
        <v>50</v>
      </c>
      <c r="I313" s="9">
        <v>50</v>
      </c>
      <c r="J313" s="48" t="s">
        <v>64</v>
      </c>
      <c r="K313" s="43">
        <v>35</v>
      </c>
      <c r="L313" s="45" t="s">
        <v>15</v>
      </c>
    </row>
    <row r="314" spans="1:12" ht="15.75" customHeight="1" x14ac:dyDescent="0.3">
      <c r="A314" s="21">
        <v>5</v>
      </c>
      <c r="B314" s="25">
        <v>45425</v>
      </c>
      <c r="C314" s="29" t="s">
        <v>221</v>
      </c>
      <c r="D314" s="36">
        <v>1</v>
      </c>
      <c r="E314" s="41" t="s">
        <v>20</v>
      </c>
      <c r="F314" s="42">
        <v>8</v>
      </c>
      <c r="G314" s="9">
        <v>8</v>
      </c>
      <c r="H314" s="45">
        <v>20</v>
      </c>
      <c r="I314" s="9">
        <v>20</v>
      </c>
      <c r="J314" s="48" t="s">
        <v>64</v>
      </c>
      <c r="K314" s="43">
        <v>12</v>
      </c>
      <c r="L314" s="45" t="s">
        <v>15</v>
      </c>
    </row>
    <row r="315" spans="1:12" ht="15.75" customHeight="1" x14ac:dyDescent="0.3">
      <c r="A315" s="21">
        <v>5</v>
      </c>
      <c r="B315" s="25">
        <v>45425</v>
      </c>
      <c r="C315" s="29" t="s">
        <v>278</v>
      </c>
      <c r="D315" s="36">
        <v>1</v>
      </c>
      <c r="E315" s="41" t="s">
        <v>20</v>
      </c>
      <c r="F315" s="42" t="s">
        <v>72</v>
      </c>
      <c r="G315" s="9">
        <v>0</v>
      </c>
      <c r="H315" s="45">
        <v>5</v>
      </c>
      <c r="I315" s="9">
        <v>5</v>
      </c>
      <c r="J315" s="48" t="s">
        <v>64</v>
      </c>
      <c r="K315" s="43">
        <v>5</v>
      </c>
      <c r="L315" s="45" t="s">
        <v>15</v>
      </c>
    </row>
    <row r="316" spans="1:12" ht="15.75" customHeight="1" x14ac:dyDescent="0.3">
      <c r="A316" s="21">
        <v>5</v>
      </c>
      <c r="B316" s="25">
        <v>45426</v>
      </c>
      <c r="C316" s="29" t="s">
        <v>220</v>
      </c>
      <c r="D316" s="36">
        <v>1</v>
      </c>
      <c r="E316" s="41" t="s">
        <v>51</v>
      </c>
      <c r="F316" s="42">
        <v>50</v>
      </c>
      <c r="G316" s="9">
        <v>50</v>
      </c>
      <c r="H316" s="45">
        <v>70</v>
      </c>
      <c r="I316" s="9">
        <v>70</v>
      </c>
      <c r="J316" s="48" t="s">
        <v>64</v>
      </c>
      <c r="K316" s="43">
        <v>20</v>
      </c>
      <c r="L316" s="45" t="s">
        <v>15</v>
      </c>
    </row>
    <row r="317" spans="1:12" ht="15.75" customHeight="1" x14ac:dyDescent="0.3">
      <c r="A317" s="21">
        <v>5</v>
      </c>
      <c r="B317" s="25">
        <v>45426</v>
      </c>
      <c r="C317" s="29" t="s">
        <v>236</v>
      </c>
      <c r="D317" s="36">
        <v>1</v>
      </c>
      <c r="E317" s="41" t="s">
        <v>20</v>
      </c>
      <c r="F317" s="42">
        <v>1</v>
      </c>
      <c r="G317" s="9">
        <v>1</v>
      </c>
      <c r="H317" s="45">
        <v>10</v>
      </c>
      <c r="I317" s="9">
        <v>10</v>
      </c>
      <c r="J317" s="48" t="s">
        <v>24</v>
      </c>
      <c r="K317" s="43">
        <v>9</v>
      </c>
      <c r="L317" s="45" t="s">
        <v>15</v>
      </c>
    </row>
    <row r="318" spans="1:12" ht="15.75" customHeight="1" x14ac:dyDescent="0.3">
      <c r="A318" s="21">
        <v>5</v>
      </c>
      <c r="B318" s="25">
        <v>45426</v>
      </c>
      <c r="C318" s="29" t="s">
        <v>139</v>
      </c>
      <c r="D318" s="36">
        <v>1</v>
      </c>
      <c r="E318" s="41" t="s">
        <v>20</v>
      </c>
      <c r="F318" s="42">
        <v>7.0000000000000007E-2</v>
      </c>
      <c r="G318" s="9">
        <v>7.0000000000000007E-2</v>
      </c>
      <c r="H318" s="45">
        <v>1</v>
      </c>
      <c r="I318" s="9">
        <v>1</v>
      </c>
      <c r="J318" s="48" t="s">
        <v>64</v>
      </c>
      <c r="K318" s="43">
        <v>0.92999999999999994</v>
      </c>
      <c r="L318" s="45" t="s">
        <v>15</v>
      </c>
    </row>
    <row r="319" spans="1:12" ht="15.75" customHeight="1" x14ac:dyDescent="0.3">
      <c r="A319" s="21">
        <v>5</v>
      </c>
      <c r="B319" s="25">
        <v>45426</v>
      </c>
      <c r="C319" s="29" t="s">
        <v>202</v>
      </c>
      <c r="D319" s="36">
        <v>1</v>
      </c>
      <c r="E319" s="41" t="s">
        <v>20</v>
      </c>
      <c r="F319" s="42" t="s">
        <v>72</v>
      </c>
      <c r="G319" s="9">
        <v>0</v>
      </c>
      <c r="H319" s="45">
        <v>50</v>
      </c>
      <c r="I319" s="9">
        <v>50</v>
      </c>
      <c r="J319" s="48" t="s">
        <v>24</v>
      </c>
      <c r="K319" s="43">
        <v>50</v>
      </c>
      <c r="L319" s="45" t="s">
        <v>15</v>
      </c>
    </row>
    <row r="320" spans="1:12" ht="15.75" customHeight="1" x14ac:dyDescent="0.3">
      <c r="A320" s="21">
        <v>5</v>
      </c>
      <c r="B320" s="25">
        <v>45427</v>
      </c>
      <c r="C320" s="29" t="s">
        <v>139</v>
      </c>
      <c r="D320" s="36">
        <v>5</v>
      </c>
      <c r="E320" s="41" t="s">
        <v>20</v>
      </c>
      <c r="F320" s="42">
        <v>7.0000000000000007E-2</v>
      </c>
      <c r="G320" s="9">
        <v>0.35000000000000003</v>
      </c>
      <c r="H320" s="45">
        <v>1</v>
      </c>
      <c r="I320" s="9">
        <v>5</v>
      </c>
      <c r="J320" s="48" t="s">
        <v>64</v>
      </c>
      <c r="K320" s="43">
        <v>4.6500000000000004</v>
      </c>
      <c r="L320" s="45" t="s">
        <v>15</v>
      </c>
    </row>
    <row r="321" spans="1:12" ht="15.75" customHeight="1" x14ac:dyDescent="0.3">
      <c r="A321" s="21">
        <v>5</v>
      </c>
      <c r="B321" s="25">
        <v>45428</v>
      </c>
      <c r="C321" s="29" t="s">
        <v>279</v>
      </c>
      <c r="D321" s="36">
        <v>2</v>
      </c>
      <c r="E321" s="41" t="s">
        <v>17</v>
      </c>
      <c r="F321" s="42">
        <v>2.5</v>
      </c>
      <c r="G321" s="9">
        <v>5</v>
      </c>
      <c r="H321" s="45">
        <v>6.36</v>
      </c>
      <c r="I321" s="9">
        <v>12.72</v>
      </c>
      <c r="J321" s="48" t="s">
        <v>24</v>
      </c>
      <c r="K321" s="43">
        <v>7.7200000000000006</v>
      </c>
      <c r="L321" s="45" t="s">
        <v>15</v>
      </c>
    </row>
    <row r="322" spans="1:12" ht="15.75" customHeight="1" x14ac:dyDescent="0.3">
      <c r="A322" s="21">
        <v>5</v>
      </c>
      <c r="B322" s="25">
        <v>45428</v>
      </c>
      <c r="C322" s="29" t="s">
        <v>26</v>
      </c>
      <c r="D322" s="36">
        <v>5</v>
      </c>
      <c r="E322" s="41" t="s">
        <v>17</v>
      </c>
      <c r="F322" s="42">
        <v>7.5</v>
      </c>
      <c r="G322" s="9">
        <v>37.5</v>
      </c>
      <c r="H322" s="45">
        <v>11.97</v>
      </c>
      <c r="I322" s="9">
        <v>59.85</v>
      </c>
      <c r="J322" s="48" t="s">
        <v>24</v>
      </c>
      <c r="K322" s="43">
        <v>22.35</v>
      </c>
      <c r="L322" s="45" t="s">
        <v>15</v>
      </c>
    </row>
    <row r="323" spans="1:12" ht="15.75" customHeight="1" x14ac:dyDescent="0.3">
      <c r="A323" s="21">
        <v>5</v>
      </c>
      <c r="B323" s="25">
        <v>45428</v>
      </c>
      <c r="C323" s="29" t="s">
        <v>280</v>
      </c>
      <c r="D323" s="36">
        <v>1</v>
      </c>
      <c r="E323" s="41" t="s">
        <v>17</v>
      </c>
      <c r="F323" s="42">
        <v>4</v>
      </c>
      <c r="G323" s="9">
        <v>4</v>
      </c>
      <c r="H323" s="45">
        <v>5.89</v>
      </c>
      <c r="I323" s="9">
        <v>5.89</v>
      </c>
      <c r="J323" s="48" t="s">
        <v>24</v>
      </c>
      <c r="K323" s="43">
        <v>1.8899999999999997</v>
      </c>
      <c r="L323" s="45" t="s">
        <v>15</v>
      </c>
    </row>
    <row r="324" spans="1:12" ht="15.75" customHeight="1" x14ac:dyDescent="0.3">
      <c r="A324" s="21">
        <v>5</v>
      </c>
      <c r="B324" s="25">
        <v>45429</v>
      </c>
      <c r="C324" s="29" t="s">
        <v>281</v>
      </c>
      <c r="D324" s="36">
        <v>1</v>
      </c>
      <c r="E324" s="41" t="s">
        <v>20</v>
      </c>
      <c r="F324" s="42">
        <v>35</v>
      </c>
      <c r="G324" s="9">
        <v>35</v>
      </c>
      <c r="H324" s="45">
        <v>80</v>
      </c>
      <c r="I324" s="9">
        <v>80</v>
      </c>
      <c r="J324" s="48" t="s">
        <v>64</v>
      </c>
      <c r="K324" s="43">
        <v>45</v>
      </c>
      <c r="L324" s="45" t="s">
        <v>15</v>
      </c>
    </row>
    <row r="325" spans="1:12" ht="15.75" customHeight="1" x14ac:dyDescent="0.3">
      <c r="A325" s="21">
        <v>5</v>
      </c>
      <c r="B325" s="25">
        <v>45429</v>
      </c>
      <c r="C325" s="29" t="s">
        <v>282</v>
      </c>
      <c r="D325" s="36">
        <v>1</v>
      </c>
      <c r="E325" s="41" t="s">
        <v>283</v>
      </c>
      <c r="F325" s="42">
        <v>11.5</v>
      </c>
      <c r="G325" s="9">
        <v>11.5</v>
      </c>
      <c r="H325" s="45">
        <v>20</v>
      </c>
      <c r="I325" s="9">
        <v>20</v>
      </c>
      <c r="J325" s="48" t="s">
        <v>24</v>
      </c>
      <c r="K325" s="43">
        <v>8.5</v>
      </c>
      <c r="L325" s="45" t="s">
        <v>15</v>
      </c>
    </row>
    <row r="326" spans="1:12" ht="15.75" customHeight="1" x14ac:dyDescent="0.3">
      <c r="A326" s="21">
        <v>5</v>
      </c>
      <c r="B326" s="25">
        <v>45430</v>
      </c>
      <c r="C326" s="29" t="s">
        <v>90</v>
      </c>
      <c r="D326" s="36">
        <v>1</v>
      </c>
      <c r="E326" s="41" t="s">
        <v>20</v>
      </c>
      <c r="F326" s="42">
        <v>3</v>
      </c>
      <c r="G326" s="9">
        <v>3</v>
      </c>
      <c r="H326" s="45">
        <v>15</v>
      </c>
      <c r="I326" s="9">
        <v>15</v>
      </c>
      <c r="J326" s="48" t="s">
        <v>64</v>
      </c>
      <c r="K326" s="43">
        <v>12</v>
      </c>
      <c r="L326" s="45" t="s">
        <v>15</v>
      </c>
    </row>
    <row r="327" spans="1:12" ht="15.75" customHeight="1" x14ac:dyDescent="0.3">
      <c r="A327" s="21">
        <v>5</v>
      </c>
      <c r="B327" s="25">
        <v>45432</v>
      </c>
      <c r="C327" s="29" t="s">
        <v>284</v>
      </c>
      <c r="D327" s="36">
        <v>1</v>
      </c>
      <c r="E327" s="41" t="s">
        <v>20</v>
      </c>
      <c r="F327" s="42">
        <v>30</v>
      </c>
      <c r="G327" s="9">
        <v>30</v>
      </c>
      <c r="H327" s="45">
        <v>50</v>
      </c>
      <c r="I327" s="9">
        <v>50</v>
      </c>
      <c r="J327" s="48" t="s">
        <v>64</v>
      </c>
      <c r="K327" s="43">
        <v>20</v>
      </c>
      <c r="L327" s="45" t="s">
        <v>15</v>
      </c>
    </row>
    <row r="328" spans="1:12" ht="15.75" customHeight="1" x14ac:dyDescent="0.3">
      <c r="A328" s="21">
        <v>5</v>
      </c>
      <c r="B328" s="25">
        <v>45432</v>
      </c>
      <c r="C328" s="29" t="s">
        <v>218</v>
      </c>
      <c r="D328" s="36">
        <v>1</v>
      </c>
      <c r="E328" s="41" t="s">
        <v>20</v>
      </c>
      <c r="F328" s="42">
        <v>27.5</v>
      </c>
      <c r="G328" s="9">
        <v>27.5</v>
      </c>
      <c r="H328" s="45">
        <v>40</v>
      </c>
      <c r="I328" s="9">
        <v>40</v>
      </c>
      <c r="J328" s="48" t="s">
        <v>64</v>
      </c>
      <c r="K328" s="43">
        <v>12.5</v>
      </c>
      <c r="L328" s="45" t="s">
        <v>15</v>
      </c>
    </row>
    <row r="329" spans="1:12" ht="15.75" customHeight="1" x14ac:dyDescent="0.3">
      <c r="A329" s="21">
        <v>5</v>
      </c>
      <c r="B329" s="25">
        <v>45432</v>
      </c>
      <c r="C329" s="29" t="s">
        <v>285</v>
      </c>
      <c r="D329" s="36">
        <v>2</v>
      </c>
      <c r="E329" s="41" t="s">
        <v>286</v>
      </c>
      <c r="F329" s="42">
        <v>4</v>
      </c>
      <c r="G329" s="9">
        <v>8</v>
      </c>
      <c r="H329" s="45">
        <v>15</v>
      </c>
      <c r="I329" s="9">
        <v>30</v>
      </c>
      <c r="J329" s="48" t="s">
        <v>64</v>
      </c>
      <c r="K329" s="43">
        <v>22</v>
      </c>
      <c r="L329" s="45" t="s">
        <v>15</v>
      </c>
    </row>
    <row r="330" spans="1:12" ht="15.75" customHeight="1" x14ac:dyDescent="0.3">
      <c r="A330" s="21">
        <v>5</v>
      </c>
      <c r="B330" s="25">
        <v>45432</v>
      </c>
      <c r="C330" s="29" t="s">
        <v>236</v>
      </c>
      <c r="D330" s="36">
        <v>2</v>
      </c>
      <c r="E330" s="41" t="s">
        <v>20</v>
      </c>
      <c r="F330" s="42">
        <v>1</v>
      </c>
      <c r="G330" s="9">
        <v>2</v>
      </c>
      <c r="H330" s="45">
        <v>10</v>
      </c>
      <c r="I330" s="9">
        <v>20</v>
      </c>
      <c r="J330" s="48" t="s">
        <v>64</v>
      </c>
      <c r="K330" s="43">
        <v>18</v>
      </c>
      <c r="L330" s="45" t="s">
        <v>15</v>
      </c>
    </row>
    <row r="331" spans="1:12" ht="15.75" customHeight="1" x14ac:dyDescent="0.3">
      <c r="A331" s="21">
        <v>5</v>
      </c>
      <c r="B331" s="25">
        <v>45434</v>
      </c>
      <c r="C331" s="29" t="s">
        <v>287</v>
      </c>
      <c r="D331" s="36">
        <v>1</v>
      </c>
      <c r="E331" s="41" t="s">
        <v>17</v>
      </c>
      <c r="F331" s="42">
        <v>7.5</v>
      </c>
      <c r="G331" s="9">
        <v>7.5</v>
      </c>
      <c r="H331" s="45">
        <v>15.72</v>
      </c>
      <c r="I331" s="9">
        <v>15.72</v>
      </c>
      <c r="J331" s="48" t="s">
        <v>24</v>
      </c>
      <c r="K331" s="43">
        <v>8.2200000000000006</v>
      </c>
      <c r="L331" s="45" t="s">
        <v>15</v>
      </c>
    </row>
    <row r="332" spans="1:12" ht="15.75" customHeight="1" x14ac:dyDescent="0.3">
      <c r="A332" s="21">
        <v>5</v>
      </c>
      <c r="B332" s="25">
        <v>45434</v>
      </c>
      <c r="C332" s="29" t="s">
        <v>288</v>
      </c>
      <c r="D332" s="36">
        <v>1</v>
      </c>
      <c r="E332" s="41" t="s">
        <v>17</v>
      </c>
      <c r="F332" s="42">
        <v>7.5</v>
      </c>
      <c r="G332" s="9">
        <v>7.5</v>
      </c>
      <c r="H332" s="45">
        <v>12.21</v>
      </c>
      <c r="I332" s="9">
        <v>12.21</v>
      </c>
      <c r="J332" s="48" t="s">
        <v>24</v>
      </c>
      <c r="K332" s="43">
        <v>4.7100000000000009</v>
      </c>
      <c r="L332" s="45" t="s">
        <v>15</v>
      </c>
    </row>
    <row r="333" spans="1:12" ht="15.75" customHeight="1" x14ac:dyDescent="0.3">
      <c r="A333" s="21">
        <v>5</v>
      </c>
      <c r="B333" s="25">
        <v>45435</v>
      </c>
      <c r="C333" s="29" t="s">
        <v>289</v>
      </c>
      <c r="D333" s="36">
        <v>1</v>
      </c>
      <c r="E333" s="41" t="s">
        <v>290</v>
      </c>
      <c r="F333" s="42">
        <v>38</v>
      </c>
      <c r="G333" s="9">
        <v>38</v>
      </c>
      <c r="H333" s="45">
        <v>80</v>
      </c>
      <c r="I333" s="9">
        <v>80</v>
      </c>
      <c r="J333" s="48" t="s">
        <v>64</v>
      </c>
      <c r="K333" s="43">
        <v>42</v>
      </c>
      <c r="L333" s="45" t="s">
        <v>15</v>
      </c>
    </row>
    <row r="334" spans="1:12" ht="15.75" customHeight="1" x14ac:dyDescent="0.3">
      <c r="A334" s="21">
        <v>5</v>
      </c>
      <c r="B334" s="25">
        <v>45435</v>
      </c>
      <c r="C334" s="29" t="s">
        <v>291</v>
      </c>
      <c r="D334" s="36">
        <v>1</v>
      </c>
      <c r="E334" s="41" t="s">
        <v>290</v>
      </c>
      <c r="F334" s="42">
        <v>23</v>
      </c>
      <c r="G334" s="9">
        <v>23</v>
      </c>
      <c r="H334" s="45">
        <v>40</v>
      </c>
      <c r="I334" s="9">
        <v>40</v>
      </c>
      <c r="J334" s="48" t="s">
        <v>64</v>
      </c>
      <c r="K334" s="43">
        <v>17</v>
      </c>
      <c r="L334" s="45" t="s">
        <v>15</v>
      </c>
    </row>
    <row r="335" spans="1:12" ht="15.75" customHeight="1" x14ac:dyDescent="0.3">
      <c r="A335" s="21">
        <v>5</v>
      </c>
      <c r="B335" s="25">
        <v>45435</v>
      </c>
      <c r="C335" s="29" t="s">
        <v>292</v>
      </c>
      <c r="D335" s="36">
        <v>1</v>
      </c>
      <c r="E335" s="41" t="s">
        <v>132</v>
      </c>
      <c r="F335" s="42">
        <v>8</v>
      </c>
      <c r="G335" s="9">
        <v>8</v>
      </c>
      <c r="H335" s="45">
        <v>15</v>
      </c>
      <c r="I335" s="9">
        <v>15</v>
      </c>
      <c r="J335" s="48"/>
      <c r="K335" s="43">
        <v>7</v>
      </c>
      <c r="L335" s="45" t="s">
        <v>15</v>
      </c>
    </row>
    <row r="336" spans="1:12" ht="15.75" customHeight="1" x14ac:dyDescent="0.3">
      <c r="A336" s="21">
        <v>5</v>
      </c>
      <c r="B336" s="25">
        <v>45435</v>
      </c>
      <c r="C336" s="29" t="s">
        <v>90</v>
      </c>
      <c r="D336" s="36">
        <v>1</v>
      </c>
      <c r="E336" s="41" t="s">
        <v>293</v>
      </c>
      <c r="F336" s="42">
        <v>3</v>
      </c>
      <c r="G336" s="9">
        <v>3</v>
      </c>
      <c r="H336" s="45">
        <v>10</v>
      </c>
      <c r="I336" s="9">
        <v>10</v>
      </c>
      <c r="J336" s="48" t="s">
        <v>64</v>
      </c>
      <c r="K336" s="43">
        <v>7</v>
      </c>
      <c r="L336" s="45" t="s">
        <v>15</v>
      </c>
    </row>
    <row r="337" spans="1:12" ht="15.75" customHeight="1" x14ac:dyDescent="0.3">
      <c r="A337" s="21">
        <v>5</v>
      </c>
      <c r="B337" s="25">
        <v>45435</v>
      </c>
      <c r="C337" s="29" t="s">
        <v>294</v>
      </c>
      <c r="D337" s="36">
        <v>1</v>
      </c>
      <c r="E337" s="41" t="s">
        <v>20</v>
      </c>
      <c r="F337" s="42">
        <v>15</v>
      </c>
      <c r="G337" s="9">
        <v>15</v>
      </c>
      <c r="H337" s="45">
        <v>30</v>
      </c>
      <c r="I337" s="9">
        <v>30</v>
      </c>
      <c r="J337" s="48"/>
      <c r="K337" s="43">
        <v>15</v>
      </c>
      <c r="L337" s="45" t="s">
        <v>15</v>
      </c>
    </row>
    <row r="338" spans="1:12" ht="15.75" customHeight="1" x14ac:dyDescent="0.3">
      <c r="A338" s="21">
        <v>5</v>
      </c>
      <c r="B338" s="25">
        <v>45435</v>
      </c>
      <c r="C338" s="29" t="s">
        <v>295</v>
      </c>
      <c r="D338" s="36">
        <v>1</v>
      </c>
      <c r="E338" s="41" t="s">
        <v>20</v>
      </c>
      <c r="F338" s="42">
        <v>0.05</v>
      </c>
      <c r="G338" s="9">
        <v>0.05</v>
      </c>
      <c r="H338" s="45">
        <v>2</v>
      </c>
      <c r="I338" s="9">
        <v>2</v>
      </c>
      <c r="J338" s="48" t="s">
        <v>64</v>
      </c>
      <c r="K338" s="43">
        <v>1.95</v>
      </c>
      <c r="L338" s="45" t="s">
        <v>15</v>
      </c>
    </row>
    <row r="339" spans="1:12" ht="15.75" customHeight="1" x14ac:dyDescent="0.3">
      <c r="A339" s="21">
        <v>5</v>
      </c>
      <c r="B339" s="25">
        <v>45435</v>
      </c>
      <c r="C339" s="29" t="s">
        <v>296</v>
      </c>
      <c r="D339" s="36">
        <v>1</v>
      </c>
      <c r="E339" s="41" t="s">
        <v>293</v>
      </c>
      <c r="F339" s="42">
        <v>50</v>
      </c>
      <c r="G339" s="9">
        <v>50</v>
      </c>
      <c r="H339" s="45">
        <v>70</v>
      </c>
      <c r="I339" s="9">
        <v>70</v>
      </c>
      <c r="J339" s="48" t="s">
        <v>64</v>
      </c>
      <c r="K339" s="43">
        <v>20</v>
      </c>
      <c r="L339" s="45" t="s">
        <v>15</v>
      </c>
    </row>
    <row r="340" spans="1:12" ht="15.75" customHeight="1" x14ac:dyDescent="0.3">
      <c r="A340" s="21">
        <v>5</v>
      </c>
      <c r="B340" s="25">
        <v>45435</v>
      </c>
      <c r="C340" s="29" t="s">
        <v>297</v>
      </c>
      <c r="D340" s="36">
        <v>1</v>
      </c>
      <c r="E340" s="41" t="s">
        <v>132</v>
      </c>
      <c r="F340" s="42">
        <v>18</v>
      </c>
      <c r="G340" s="9">
        <v>18</v>
      </c>
      <c r="H340" s="45">
        <v>10</v>
      </c>
      <c r="I340" s="9">
        <v>10</v>
      </c>
      <c r="J340" s="48" t="s">
        <v>64</v>
      </c>
      <c r="K340" s="43">
        <v>-8</v>
      </c>
      <c r="L340" s="45" t="s">
        <v>15</v>
      </c>
    </row>
    <row r="341" spans="1:12" ht="15.75" customHeight="1" x14ac:dyDescent="0.3">
      <c r="A341" s="21">
        <v>5</v>
      </c>
      <c r="B341" s="25">
        <v>45435</v>
      </c>
      <c r="C341" s="29" t="s">
        <v>298</v>
      </c>
      <c r="D341" s="36">
        <v>1</v>
      </c>
      <c r="E341" s="41" t="s">
        <v>299</v>
      </c>
      <c r="F341" s="42">
        <v>38</v>
      </c>
      <c r="G341" s="9">
        <v>38</v>
      </c>
      <c r="H341" s="45">
        <v>44</v>
      </c>
      <c r="I341" s="9">
        <v>44</v>
      </c>
      <c r="J341" s="48" t="s">
        <v>24</v>
      </c>
      <c r="K341" s="43">
        <v>6</v>
      </c>
      <c r="L341" s="45" t="s">
        <v>15</v>
      </c>
    </row>
    <row r="342" spans="1:12" ht="15.75" customHeight="1" x14ac:dyDescent="0.3">
      <c r="A342" s="21">
        <v>5</v>
      </c>
      <c r="B342" s="25">
        <v>45435</v>
      </c>
      <c r="C342" s="29" t="s">
        <v>275</v>
      </c>
      <c r="D342" s="36">
        <v>1</v>
      </c>
      <c r="E342" s="41" t="s">
        <v>300</v>
      </c>
      <c r="F342" s="42">
        <v>18</v>
      </c>
      <c r="G342" s="9">
        <v>18</v>
      </c>
      <c r="H342" s="45">
        <v>30</v>
      </c>
      <c r="I342" s="9">
        <v>30</v>
      </c>
      <c r="J342" s="48" t="s">
        <v>64</v>
      </c>
      <c r="K342" s="43">
        <v>12</v>
      </c>
      <c r="L342" s="45" t="s">
        <v>128</v>
      </c>
    </row>
    <row r="343" spans="1:12" ht="15.75" customHeight="1" x14ac:dyDescent="0.3">
      <c r="A343" s="21">
        <v>5</v>
      </c>
      <c r="B343" s="25">
        <v>45436</v>
      </c>
      <c r="C343" s="29" t="s">
        <v>267</v>
      </c>
      <c r="D343" s="36">
        <v>1</v>
      </c>
      <c r="E343" s="41" t="s">
        <v>20</v>
      </c>
      <c r="F343" s="42">
        <v>0</v>
      </c>
      <c r="G343" s="9">
        <v>0</v>
      </c>
      <c r="H343" s="45">
        <v>100</v>
      </c>
      <c r="I343" s="9">
        <v>100</v>
      </c>
      <c r="J343" s="48" t="s">
        <v>64</v>
      </c>
      <c r="K343" s="43">
        <v>100</v>
      </c>
      <c r="L343" s="45" t="s">
        <v>15</v>
      </c>
    </row>
    <row r="344" spans="1:12" ht="15.75" customHeight="1" x14ac:dyDescent="0.3">
      <c r="A344" s="21">
        <v>5</v>
      </c>
      <c r="B344" s="25">
        <v>45436</v>
      </c>
      <c r="C344" s="29" t="s">
        <v>267</v>
      </c>
      <c r="D344" s="36">
        <v>1</v>
      </c>
      <c r="E344" s="41" t="s">
        <v>20</v>
      </c>
      <c r="F344" s="42">
        <v>0</v>
      </c>
      <c r="G344" s="9">
        <v>0</v>
      </c>
      <c r="H344" s="45">
        <v>105</v>
      </c>
      <c r="I344" s="9">
        <v>105</v>
      </c>
      <c r="J344" s="48" t="s">
        <v>24</v>
      </c>
      <c r="K344" s="43">
        <v>105</v>
      </c>
      <c r="L344" s="45" t="s">
        <v>15</v>
      </c>
    </row>
    <row r="345" spans="1:12" ht="15.75" customHeight="1" x14ac:dyDescent="0.3">
      <c r="A345" s="21">
        <v>5</v>
      </c>
      <c r="B345" s="25">
        <v>45436</v>
      </c>
      <c r="C345" s="29" t="s">
        <v>301</v>
      </c>
      <c r="D345" s="36">
        <v>1</v>
      </c>
      <c r="E345" s="41" t="s">
        <v>302</v>
      </c>
      <c r="F345" s="42">
        <v>8</v>
      </c>
      <c r="G345" s="9">
        <v>8</v>
      </c>
      <c r="H345" s="45">
        <v>20</v>
      </c>
      <c r="I345" s="9">
        <v>20</v>
      </c>
      <c r="J345" s="48" t="s">
        <v>64</v>
      </c>
      <c r="K345" s="43">
        <v>12</v>
      </c>
      <c r="L345" s="45" t="s">
        <v>303</v>
      </c>
    </row>
    <row r="346" spans="1:12" ht="15.75" customHeight="1" x14ac:dyDescent="0.3">
      <c r="A346" s="21">
        <v>5</v>
      </c>
      <c r="B346" s="25">
        <v>45440</v>
      </c>
      <c r="C346" s="29" t="s">
        <v>267</v>
      </c>
      <c r="D346" s="36">
        <v>1</v>
      </c>
      <c r="E346" s="41" t="s">
        <v>20</v>
      </c>
      <c r="F346" s="42">
        <v>0</v>
      </c>
      <c r="G346" s="9">
        <v>0</v>
      </c>
      <c r="H346" s="45">
        <v>150</v>
      </c>
      <c r="I346" s="9">
        <v>150</v>
      </c>
      <c r="J346" s="48" t="s">
        <v>64</v>
      </c>
      <c r="K346" s="43">
        <v>150</v>
      </c>
      <c r="L346" s="45" t="s">
        <v>303</v>
      </c>
    </row>
    <row r="347" spans="1:12" ht="15.75" customHeight="1" x14ac:dyDescent="0.3">
      <c r="A347" s="21">
        <v>5</v>
      </c>
      <c r="B347" s="25">
        <v>45440</v>
      </c>
      <c r="C347" s="29" t="s">
        <v>139</v>
      </c>
      <c r="D347" s="36">
        <v>5</v>
      </c>
      <c r="E347" s="41" t="s">
        <v>20</v>
      </c>
      <c r="F347" s="42">
        <v>7.0000000000000007E-2</v>
      </c>
      <c r="G347" s="9">
        <v>0.35000000000000003</v>
      </c>
      <c r="H347" s="45">
        <v>1</v>
      </c>
      <c r="I347" s="9">
        <v>5</v>
      </c>
      <c r="J347" s="48" t="s">
        <v>64</v>
      </c>
      <c r="K347" s="43">
        <v>4.6500000000000004</v>
      </c>
      <c r="L347" s="45" t="s">
        <v>303</v>
      </c>
    </row>
    <row r="348" spans="1:12" ht="15.75" customHeight="1" x14ac:dyDescent="0.3">
      <c r="A348" s="21">
        <v>5</v>
      </c>
      <c r="B348" s="25">
        <v>45440</v>
      </c>
      <c r="C348" s="29" t="s">
        <v>267</v>
      </c>
      <c r="D348" s="36">
        <v>1</v>
      </c>
      <c r="E348" s="41" t="s">
        <v>20</v>
      </c>
      <c r="F348" s="42">
        <v>0</v>
      </c>
      <c r="G348" s="9">
        <v>0</v>
      </c>
      <c r="H348" s="45">
        <v>25</v>
      </c>
      <c r="I348" s="9">
        <v>25</v>
      </c>
      <c r="J348" s="48" t="s">
        <v>64</v>
      </c>
      <c r="K348" s="43">
        <v>25</v>
      </c>
      <c r="L348" s="45" t="s">
        <v>303</v>
      </c>
    </row>
    <row r="349" spans="1:12" ht="15.75" customHeight="1" x14ac:dyDescent="0.3">
      <c r="A349" s="21">
        <v>5</v>
      </c>
      <c r="B349" s="25">
        <v>45440</v>
      </c>
      <c r="C349" s="29" t="s">
        <v>109</v>
      </c>
      <c r="D349" s="36">
        <v>1</v>
      </c>
      <c r="E349" s="41" t="s">
        <v>20</v>
      </c>
      <c r="F349" s="42">
        <v>4</v>
      </c>
      <c r="G349" s="9">
        <v>4</v>
      </c>
      <c r="H349" s="45">
        <v>10</v>
      </c>
      <c r="I349" s="9">
        <v>10</v>
      </c>
      <c r="J349" s="48" t="s">
        <v>64</v>
      </c>
      <c r="K349" s="43">
        <v>6</v>
      </c>
      <c r="L349" s="45" t="s">
        <v>303</v>
      </c>
    </row>
    <row r="350" spans="1:12" ht="15.75" customHeight="1" x14ac:dyDescent="0.3">
      <c r="A350" s="21">
        <v>5</v>
      </c>
      <c r="B350" s="25">
        <v>45440</v>
      </c>
      <c r="C350" s="29" t="s">
        <v>202</v>
      </c>
      <c r="D350" s="36">
        <v>1</v>
      </c>
      <c r="E350" s="41" t="s">
        <v>304</v>
      </c>
      <c r="F350" s="42" t="s">
        <v>72</v>
      </c>
      <c r="G350" s="9">
        <v>0</v>
      </c>
      <c r="H350" s="45">
        <v>25</v>
      </c>
      <c r="I350" s="9">
        <v>25</v>
      </c>
      <c r="J350" s="48" t="s">
        <v>64</v>
      </c>
      <c r="K350" s="43">
        <v>25</v>
      </c>
      <c r="L350" s="45" t="s">
        <v>128</v>
      </c>
    </row>
    <row r="351" spans="1:12" ht="15.75" customHeight="1" x14ac:dyDescent="0.3">
      <c r="A351" s="21">
        <v>5</v>
      </c>
      <c r="B351" s="25">
        <v>45441</v>
      </c>
      <c r="C351" s="29" t="s">
        <v>305</v>
      </c>
      <c r="D351" s="36">
        <v>1</v>
      </c>
      <c r="E351" s="41" t="s">
        <v>20</v>
      </c>
      <c r="F351" s="42">
        <v>35</v>
      </c>
      <c r="G351" s="9">
        <v>35</v>
      </c>
      <c r="H351" s="45">
        <v>70</v>
      </c>
      <c r="I351" s="9">
        <v>70</v>
      </c>
      <c r="J351" s="48" t="s">
        <v>64</v>
      </c>
      <c r="K351" s="43">
        <v>35</v>
      </c>
      <c r="L351" s="45" t="s">
        <v>303</v>
      </c>
    </row>
    <row r="352" spans="1:12" ht="15.75" customHeight="1" x14ac:dyDescent="0.3">
      <c r="A352" s="21">
        <v>5</v>
      </c>
      <c r="B352" s="25">
        <v>45442</v>
      </c>
      <c r="C352" s="29" t="s">
        <v>183</v>
      </c>
      <c r="D352" s="36">
        <v>1</v>
      </c>
      <c r="E352" s="41" t="s">
        <v>182</v>
      </c>
      <c r="F352" s="42">
        <v>9</v>
      </c>
      <c r="G352" s="9">
        <v>9</v>
      </c>
      <c r="H352" s="45">
        <v>25</v>
      </c>
      <c r="I352" s="9">
        <v>25</v>
      </c>
      <c r="J352" s="48" t="s">
        <v>64</v>
      </c>
      <c r="K352" s="43">
        <v>16</v>
      </c>
      <c r="L352" s="45" t="s">
        <v>15</v>
      </c>
    </row>
    <row r="353" spans="1:12" ht="15.75" customHeight="1" x14ac:dyDescent="0.3">
      <c r="A353" s="21">
        <v>6</v>
      </c>
      <c r="B353" s="25">
        <v>45444</v>
      </c>
      <c r="C353" s="29" t="s">
        <v>139</v>
      </c>
      <c r="D353" s="36">
        <v>1</v>
      </c>
      <c r="E353" s="41" t="s">
        <v>20</v>
      </c>
      <c r="F353" s="42">
        <v>7.0000000000000007E-2</v>
      </c>
      <c r="G353" s="9">
        <v>7.0000000000000007E-2</v>
      </c>
      <c r="H353" s="45">
        <v>1</v>
      </c>
      <c r="I353" s="9">
        <v>1</v>
      </c>
      <c r="J353" s="48" t="s">
        <v>64</v>
      </c>
      <c r="K353" s="43">
        <v>0.92999999999999994</v>
      </c>
      <c r="L353" s="45" t="s">
        <v>15</v>
      </c>
    </row>
    <row r="354" spans="1:12" ht="15.75" customHeight="1" x14ac:dyDescent="0.3">
      <c r="A354" s="21">
        <v>6</v>
      </c>
      <c r="B354" s="25">
        <v>45444</v>
      </c>
      <c r="C354" s="29" t="s">
        <v>210</v>
      </c>
      <c r="D354" s="36">
        <v>1</v>
      </c>
      <c r="E354" s="41" t="s">
        <v>20</v>
      </c>
      <c r="F354" s="42">
        <v>15</v>
      </c>
      <c r="G354" s="9">
        <v>15</v>
      </c>
      <c r="H354" s="45">
        <v>28</v>
      </c>
      <c r="I354" s="9">
        <v>28</v>
      </c>
      <c r="J354" s="48" t="s">
        <v>64</v>
      </c>
      <c r="K354" s="43">
        <v>13</v>
      </c>
      <c r="L354" s="45" t="s">
        <v>15</v>
      </c>
    </row>
    <row r="355" spans="1:12" ht="15.75" customHeight="1" x14ac:dyDescent="0.3">
      <c r="A355" s="21">
        <v>6</v>
      </c>
      <c r="B355" s="25">
        <v>45444</v>
      </c>
      <c r="C355" s="29" t="s">
        <v>19</v>
      </c>
      <c r="D355" s="36">
        <v>1</v>
      </c>
      <c r="E355" s="41" t="s">
        <v>20</v>
      </c>
      <c r="F355" s="42">
        <v>18</v>
      </c>
      <c r="G355" s="9">
        <v>18</v>
      </c>
      <c r="H355" s="45">
        <v>33</v>
      </c>
      <c r="I355" s="9">
        <v>33</v>
      </c>
      <c r="J355" s="48" t="s">
        <v>64</v>
      </c>
      <c r="K355" s="43">
        <v>15</v>
      </c>
      <c r="L355" s="45" t="s">
        <v>15</v>
      </c>
    </row>
    <row r="356" spans="1:12" ht="15.75" customHeight="1" x14ac:dyDescent="0.3">
      <c r="A356" s="21">
        <v>6</v>
      </c>
      <c r="B356" s="25">
        <v>45444</v>
      </c>
      <c r="C356" s="29" t="s">
        <v>272</v>
      </c>
      <c r="D356" s="36">
        <v>1</v>
      </c>
      <c r="E356" s="41" t="s">
        <v>20</v>
      </c>
      <c r="F356" s="42">
        <v>0</v>
      </c>
      <c r="G356" s="9">
        <v>0</v>
      </c>
      <c r="H356" s="45">
        <v>100</v>
      </c>
      <c r="I356" s="9">
        <v>100</v>
      </c>
      <c r="J356" s="48" t="s">
        <v>64</v>
      </c>
      <c r="K356" s="43">
        <v>100</v>
      </c>
      <c r="L356" s="45" t="s">
        <v>15</v>
      </c>
    </row>
    <row r="357" spans="1:12" ht="15.75" customHeight="1" x14ac:dyDescent="0.3">
      <c r="A357" s="21">
        <v>6</v>
      </c>
      <c r="B357" s="25">
        <v>45446</v>
      </c>
      <c r="C357" s="29" t="s">
        <v>210</v>
      </c>
      <c r="D357" s="36">
        <v>1</v>
      </c>
      <c r="E357" s="41" t="s">
        <v>20</v>
      </c>
      <c r="F357" s="42">
        <v>15</v>
      </c>
      <c r="G357" s="9">
        <v>15</v>
      </c>
      <c r="H357" s="45">
        <v>25</v>
      </c>
      <c r="I357" s="9">
        <v>25</v>
      </c>
      <c r="J357" s="48" t="s">
        <v>64</v>
      </c>
      <c r="K357" s="43">
        <v>10</v>
      </c>
      <c r="L357" s="45" t="s">
        <v>15</v>
      </c>
    </row>
    <row r="358" spans="1:12" ht="15.75" customHeight="1" x14ac:dyDescent="0.3">
      <c r="A358" s="21">
        <v>6</v>
      </c>
      <c r="B358" s="25">
        <v>45446</v>
      </c>
      <c r="C358" s="29" t="s">
        <v>272</v>
      </c>
      <c r="D358" s="36">
        <v>1</v>
      </c>
      <c r="E358" s="41" t="s">
        <v>20</v>
      </c>
      <c r="F358" s="42">
        <v>0</v>
      </c>
      <c r="G358" s="9">
        <v>0</v>
      </c>
      <c r="H358" s="45">
        <v>45</v>
      </c>
      <c r="I358" s="9">
        <v>45</v>
      </c>
      <c r="J358" s="48" t="s">
        <v>64</v>
      </c>
      <c r="K358" s="43">
        <v>45</v>
      </c>
      <c r="L358" s="45" t="s">
        <v>15</v>
      </c>
    </row>
    <row r="359" spans="1:12" ht="15.75" customHeight="1" x14ac:dyDescent="0.3">
      <c r="A359" s="21">
        <v>6</v>
      </c>
      <c r="B359" s="25">
        <v>45446</v>
      </c>
      <c r="C359" s="29" t="s">
        <v>306</v>
      </c>
      <c r="D359" s="36">
        <v>1</v>
      </c>
      <c r="E359" s="41" t="s">
        <v>20</v>
      </c>
      <c r="F359" s="42">
        <v>31.99</v>
      </c>
      <c r="G359" s="9">
        <v>31.99</v>
      </c>
      <c r="H359" s="45">
        <v>55</v>
      </c>
      <c r="I359" s="9">
        <v>55</v>
      </c>
      <c r="J359" s="48" t="s">
        <v>64</v>
      </c>
      <c r="K359" s="43">
        <v>23.01</v>
      </c>
      <c r="L359" s="45" t="s">
        <v>15</v>
      </c>
    </row>
    <row r="360" spans="1:12" ht="15.75" customHeight="1" x14ac:dyDescent="0.3">
      <c r="A360" s="21">
        <v>6</v>
      </c>
      <c r="B360" s="25">
        <v>45446</v>
      </c>
      <c r="C360" s="29" t="s">
        <v>307</v>
      </c>
      <c r="D360" s="36">
        <v>1</v>
      </c>
      <c r="E360" s="41" t="s">
        <v>232</v>
      </c>
      <c r="F360" s="42">
        <v>10</v>
      </c>
      <c r="G360" s="9">
        <v>10</v>
      </c>
      <c r="H360" s="45">
        <v>20</v>
      </c>
      <c r="I360" s="9">
        <v>20</v>
      </c>
      <c r="J360" s="48" t="s">
        <v>64</v>
      </c>
      <c r="K360" s="43">
        <v>10</v>
      </c>
      <c r="L360" s="45" t="s">
        <v>15</v>
      </c>
    </row>
    <row r="361" spans="1:12" ht="15.75" customHeight="1" x14ac:dyDescent="0.3">
      <c r="A361" s="21">
        <v>6</v>
      </c>
      <c r="B361" s="25">
        <v>45447</v>
      </c>
      <c r="C361" s="29" t="s">
        <v>139</v>
      </c>
      <c r="D361" s="36">
        <v>46</v>
      </c>
      <c r="E361" s="41" t="s">
        <v>20</v>
      </c>
      <c r="F361" s="42">
        <v>7.0000000000000007E-2</v>
      </c>
      <c r="G361" s="9">
        <v>3.22</v>
      </c>
      <c r="H361" s="45">
        <v>1</v>
      </c>
      <c r="I361" s="9">
        <v>46</v>
      </c>
      <c r="J361" s="48" t="s">
        <v>64</v>
      </c>
      <c r="K361" s="43">
        <v>42.78</v>
      </c>
      <c r="L361" s="45" t="s">
        <v>15</v>
      </c>
    </row>
    <row r="362" spans="1:12" ht="15.75" customHeight="1" x14ac:dyDescent="0.3">
      <c r="A362" s="21">
        <v>6</v>
      </c>
      <c r="B362" s="25">
        <v>45447</v>
      </c>
      <c r="C362" s="29" t="s">
        <v>180</v>
      </c>
      <c r="D362" s="36">
        <v>1</v>
      </c>
      <c r="E362" s="41" t="s">
        <v>20</v>
      </c>
      <c r="F362" s="42">
        <v>35</v>
      </c>
      <c r="G362" s="9">
        <v>35</v>
      </c>
      <c r="H362" s="45">
        <v>60</v>
      </c>
      <c r="I362" s="9">
        <v>60</v>
      </c>
      <c r="J362" s="48" t="s">
        <v>64</v>
      </c>
      <c r="K362" s="43">
        <v>25</v>
      </c>
      <c r="L362" s="45" t="s">
        <v>15</v>
      </c>
    </row>
    <row r="363" spans="1:12" ht="15.75" customHeight="1" x14ac:dyDescent="0.3">
      <c r="A363" s="21">
        <v>6</v>
      </c>
      <c r="B363" s="25">
        <v>45447</v>
      </c>
      <c r="C363" s="29" t="s">
        <v>121</v>
      </c>
      <c r="D363" s="36">
        <v>1</v>
      </c>
      <c r="E363" s="41" t="s">
        <v>20</v>
      </c>
      <c r="F363" s="42">
        <v>3.5</v>
      </c>
      <c r="G363" s="9">
        <v>3.5</v>
      </c>
      <c r="H363" s="45">
        <v>10</v>
      </c>
      <c r="I363" s="9">
        <v>10</v>
      </c>
      <c r="J363" s="48" t="s">
        <v>64</v>
      </c>
      <c r="K363" s="43">
        <v>6.5</v>
      </c>
      <c r="L363" s="45" t="s">
        <v>15</v>
      </c>
    </row>
    <row r="364" spans="1:12" ht="15.75" customHeight="1" x14ac:dyDescent="0.3">
      <c r="A364" s="21">
        <v>6</v>
      </c>
      <c r="B364" s="25">
        <v>45447</v>
      </c>
      <c r="C364" s="29" t="s">
        <v>139</v>
      </c>
      <c r="D364" s="36">
        <v>2</v>
      </c>
      <c r="E364" s="41" t="s">
        <v>308</v>
      </c>
      <c r="F364" s="42">
        <v>7.0000000000000007E-2</v>
      </c>
      <c r="G364" s="9">
        <v>0.14000000000000001</v>
      </c>
      <c r="H364" s="45">
        <v>1</v>
      </c>
      <c r="I364" s="9">
        <v>2</v>
      </c>
      <c r="J364" s="48" t="s">
        <v>309</v>
      </c>
      <c r="K364" s="43">
        <v>1.8599999999999999</v>
      </c>
      <c r="L364" s="45" t="s">
        <v>15</v>
      </c>
    </row>
    <row r="365" spans="1:12" ht="15.75" customHeight="1" x14ac:dyDescent="0.3">
      <c r="A365" s="21">
        <v>6</v>
      </c>
      <c r="B365" s="25">
        <v>45447</v>
      </c>
      <c r="C365" s="29" t="s">
        <v>310</v>
      </c>
      <c r="D365" s="36">
        <v>1</v>
      </c>
      <c r="E365" s="41" t="s">
        <v>308</v>
      </c>
      <c r="F365" s="42">
        <v>5</v>
      </c>
      <c r="G365" s="9">
        <v>5</v>
      </c>
      <c r="H365" s="45">
        <v>10</v>
      </c>
      <c r="I365" s="9">
        <v>10</v>
      </c>
      <c r="J365" s="48" t="s">
        <v>309</v>
      </c>
      <c r="K365" s="43">
        <v>5</v>
      </c>
      <c r="L365" s="45" t="s">
        <v>15</v>
      </c>
    </row>
    <row r="366" spans="1:12" ht="15.75" customHeight="1" x14ac:dyDescent="0.3">
      <c r="A366" s="21">
        <v>6</v>
      </c>
      <c r="B366" s="25">
        <v>45449</v>
      </c>
      <c r="C366" s="29" t="s">
        <v>311</v>
      </c>
      <c r="D366" s="36">
        <v>1</v>
      </c>
      <c r="E366" s="41" t="s">
        <v>232</v>
      </c>
      <c r="F366" s="42">
        <v>15</v>
      </c>
      <c r="G366" s="9">
        <v>15</v>
      </c>
      <c r="H366" s="45">
        <v>25</v>
      </c>
      <c r="I366" s="9">
        <v>25</v>
      </c>
      <c r="J366" s="48" t="s">
        <v>64</v>
      </c>
      <c r="K366" s="43">
        <v>10</v>
      </c>
      <c r="L366" s="45" t="s">
        <v>15</v>
      </c>
    </row>
    <row r="367" spans="1:12" ht="15.75" customHeight="1" x14ac:dyDescent="0.3">
      <c r="A367" s="21">
        <v>6</v>
      </c>
      <c r="B367" s="25">
        <v>45449</v>
      </c>
      <c r="C367" s="29" t="s">
        <v>139</v>
      </c>
      <c r="D367" s="36">
        <v>1</v>
      </c>
      <c r="E367" s="41" t="s">
        <v>20</v>
      </c>
      <c r="F367" s="42">
        <v>7.0000000000000007E-2</v>
      </c>
      <c r="G367" s="9">
        <v>7.0000000000000007E-2</v>
      </c>
      <c r="H367" s="45">
        <v>1</v>
      </c>
      <c r="I367" s="9">
        <v>1</v>
      </c>
      <c r="J367" s="48" t="s">
        <v>64</v>
      </c>
      <c r="K367" s="43">
        <v>0.92999999999999994</v>
      </c>
      <c r="L367" s="45" t="s">
        <v>15</v>
      </c>
    </row>
    <row r="368" spans="1:12" ht="15.75" customHeight="1" x14ac:dyDescent="0.3">
      <c r="A368" s="21">
        <v>6</v>
      </c>
      <c r="B368" s="25">
        <v>45449</v>
      </c>
      <c r="C368" s="29" t="s">
        <v>312</v>
      </c>
      <c r="D368" s="36">
        <v>1</v>
      </c>
      <c r="E368" s="41" t="s">
        <v>20</v>
      </c>
      <c r="F368" s="42">
        <v>0.05</v>
      </c>
      <c r="G368" s="9">
        <v>0.05</v>
      </c>
      <c r="H368" s="45">
        <v>5</v>
      </c>
      <c r="I368" s="9">
        <v>5</v>
      </c>
      <c r="J368" s="48" t="s">
        <v>309</v>
      </c>
      <c r="K368" s="43">
        <v>4.95</v>
      </c>
      <c r="L368" s="45" t="s">
        <v>15</v>
      </c>
    </row>
    <row r="369" spans="1:12" ht="15.75" customHeight="1" x14ac:dyDescent="0.3">
      <c r="A369" s="21">
        <v>6</v>
      </c>
      <c r="B369" s="25">
        <v>45450</v>
      </c>
      <c r="C369" s="29" t="s">
        <v>313</v>
      </c>
      <c r="D369" s="36">
        <v>1</v>
      </c>
      <c r="E369" s="41" t="s">
        <v>20</v>
      </c>
      <c r="F369" s="42">
        <v>3</v>
      </c>
      <c r="G369" s="9">
        <v>3</v>
      </c>
      <c r="H369" s="45">
        <v>15</v>
      </c>
      <c r="I369" s="9">
        <v>15</v>
      </c>
      <c r="J369" s="48" t="s">
        <v>64</v>
      </c>
      <c r="K369" s="43">
        <v>12</v>
      </c>
      <c r="L369" s="45" t="s">
        <v>15</v>
      </c>
    </row>
    <row r="370" spans="1:12" ht="15.75" customHeight="1" x14ac:dyDescent="0.3">
      <c r="A370" s="21">
        <v>6</v>
      </c>
      <c r="B370" s="25">
        <v>45450</v>
      </c>
      <c r="C370" s="29" t="s">
        <v>315</v>
      </c>
      <c r="D370" s="36">
        <v>1</v>
      </c>
      <c r="E370" s="41" t="s">
        <v>20</v>
      </c>
      <c r="F370" s="42">
        <v>7.0000000000000007E-2</v>
      </c>
      <c r="G370" s="9">
        <v>7.0000000000000007E-2</v>
      </c>
      <c r="H370" s="45">
        <v>1</v>
      </c>
      <c r="I370" s="9">
        <v>1</v>
      </c>
      <c r="J370" s="48" t="s">
        <v>64</v>
      </c>
      <c r="K370" s="43">
        <v>0.92999999999999994</v>
      </c>
      <c r="L370" s="45" t="s">
        <v>15</v>
      </c>
    </row>
    <row r="371" spans="1:12" ht="15.75" customHeight="1" x14ac:dyDescent="0.3">
      <c r="A371" s="21">
        <v>6</v>
      </c>
      <c r="B371" s="25">
        <v>45450</v>
      </c>
      <c r="C371" s="29" t="s">
        <v>251</v>
      </c>
      <c r="D371" s="36">
        <v>1</v>
      </c>
      <c r="E371" s="41" t="s">
        <v>20</v>
      </c>
      <c r="F371" s="42">
        <v>11</v>
      </c>
      <c r="G371" s="9">
        <v>11</v>
      </c>
      <c r="H371" s="45">
        <v>30</v>
      </c>
      <c r="I371" s="9">
        <v>30</v>
      </c>
      <c r="J371" s="48" t="s">
        <v>64</v>
      </c>
      <c r="K371" s="43">
        <v>19</v>
      </c>
      <c r="L371" s="45" t="s">
        <v>15</v>
      </c>
    </row>
    <row r="372" spans="1:12" ht="15.75" customHeight="1" x14ac:dyDescent="0.3">
      <c r="A372" s="21">
        <v>6</v>
      </c>
      <c r="B372" s="25">
        <v>45451</v>
      </c>
      <c r="C372" s="29" t="s">
        <v>316</v>
      </c>
      <c r="D372" s="36">
        <v>1</v>
      </c>
      <c r="E372" s="41" t="s">
        <v>20</v>
      </c>
      <c r="F372" s="42">
        <v>25</v>
      </c>
      <c r="G372" s="9">
        <v>25</v>
      </c>
      <c r="H372" s="45">
        <v>50</v>
      </c>
      <c r="I372" s="9">
        <v>50</v>
      </c>
      <c r="J372" s="48" t="s">
        <v>24</v>
      </c>
      <c r="K372" s="43">
        <v>25</v>
      </c>
      <c r="L372" s="45" t="s">
        <v>15</v>
      </c>
    </row>
    <row r="373" spans="1:12" ht="15.75" customHeight="1" x14ac:dyDescent="0.3">
      <c r="A373" s="21">
        <v>6</v>
      </c>
      <c r="B373" s="25">
        <v>45454</v>
      </c>
      <c r="C373" s="29" t="s">
        <v>312</v>
      </c>
      <c r="D373" s="36">
        <v>1</v>
      </c>
      <c r="E373" s="41" t="s">
        <v>317</v>
      </c>
      <c r="F373" s="42">
        <v>0.05</v>
      </c>
      <c r="G373" s="9">
        <v>0.05</v>
      </c>
      <c r="H373" s="45">
        <v>2</v>
      </c>
      <c r="I373" s="9">
        <v>2</v>
      </c>
      <c r="J373" s="48" t="s">
        <v>24</v>
      </c>
      <c r="K373" s="43">
        <v>1.95</v>
      </c>
      <c r="L373" s="45" t="s">
        <v>15</v>
      </c>
    </row>
    <row r="374" spans="1:12" ht="15.75" customHeight="1" x14ac:dyDescent="0.3">
      <c r="A374" s="21">
        <v>6</v>
      </c>
      <c r="B374" s="25">
        <v>45454</v>
      </c>
      <c r="C374" s="29" t="s">
        <v>318</v>
      </c>
      <c r="D374" s="36">
        <v>1</v>
      </c>
      <c r="E374" s="41" t="s">
        <v>20</v>
      </c>
      <c r="F374" s="42">
        <v>13.5</v>
      </c>
      <c r="G374" s="9">
        <v>13.5</v>
      </c>
      <c r="H374" s="45">
        <v>25</v>
      </c>
      <c r="I374" s="9">
        <v>25</v>
      </c>
      <c r="J374" s="48" t="s">
        <v>24</v>
      </c>
      <c r="K374" s="43">
        <v>11.5</v>
      </c>
      <c r="L374" s="45" t="s">
        <v>15</v>
      </c>
    </row>
    <row r="375" spans="1:12" ht="15.75" customHeight="1" x14ac:dyDescent="0.3">
      <c r="A375" s="21">
        <v>6</v>
      </c>
      <c r="B375" s="25">
        <v>45454</v>
      </c>
      <c r="C375" s="29" t="s">
        <v>236</v>
      </c>
      <c r="D375" s="36">
        <v>1</v>
      </c>
      <c r="E375" s="41" t="s">
        <v>20</v>
      </c>
      <c r="F375" s="42">
        <v>1</v>
      </c>
      <c r="G375" s="9">
        <v>1</v>
      </c>
      <c r="H375" s="45">
        <v>10</v>
      </c>
      <c r="I375" s="9">
        <v>10</v>
      </c>
      <c r="J375" s="48" t="s">
        <v>24</v>
      </c>
      <c r="K375" s="43">
        <v>9</v>
      </c>
      <c r="L375" s="45" t="s">
        <v>15</v>
      </c>
    </row>
    <row r="376" spans="1:12" ht="15.75" customHeight="1" x14ac:dyDescent="0.3">
      <c r="A376" s="21">
        <v>6</v>
      </c>
      <c r="B376" s="25">
        <v>45454</v>
      </c>
      <c r="C376" s="29" t="s">
        <v>319</v>
      </c>
      <c r="D376" s="36">
        <v>1</v>
      </c>
      <c r="E376" s="41" t="s">
        <v>20</v>
      </c>
      <c r="F376" s="42">
        <v>15</v>
      </c>
      <c r="G376" s="9">
        <v>15</v>
      </c>
      <c r="H376" s="45">
        <v>35</v>
      </c>
      <c r="I376" s="9">
        <v>35</v>
      </c>
      <c r="J376" s="48" t="s">
        <v>24</v>
      </c>
      <c r="K376" s="43">
        <v>20</v>
      </c>
      <c r="L376" s="45" t="s">
        <v>15</v>
      </c>
    </row>
    <row r="377" spans="1:12" ht="15.75" customHeight="1" x14ac:dyDescent="0.3">
      <c r="A377" s="21">
        <v>6</v>
      </c>
      <c r="B377" s="25">
        <v>45454</v>
      </c>
      <c r="C377" s="29" t="s">
        <v>275</v>
      </c>
      <c r="D377" s="36">
        <v>1</v>
      </c>
      <c r="E377" s="41" t="s">
        <v>304</v>
      </c>
      <c r="F377" s="42">
        <v>18</v>
      </c>
      <c r="G377" s="9">
        <v>18</v>
      </c>
      <c r="H377" s="45">
        <v>25</v>
      </c>
      <c r="I377" s="9">
        <v>25</v>
      </c>
      <c r="J377" s="48"/>
      <c r="K377" s="43">
        <v>7</v>
      </c>
      <c r="L377" s="45" t="s">
        <v>128</v>
      </c>
    </row>
    <row r="378" spans="1:12" ht="15.75" customHeight="1" x14ac:dyDescent="0.3">
      <c r="A378" s="21">
        <v>6</v>
      </c>
      <c r="B378" s="25">
        <v>45454</v>
      </c>
      <c r="C378" s="29" t="s">
        <v>202</v>
      </c>
      <c r="D378" s="36">
        <v>1</v>
      </c>
      <c r="E378" s="41" t="s">
        <v>304</v>
      </c>
      <c r="F378" s="42" t="s">
        <v>72</v>
      </c>
      <c r="G378" s="9">
        <v>0</v>
      </c>
      <c r="H378" s="45">
        <v>25</v>
      </c>
      <c r="I378" s="9">
        <v>25</v>
      </c>
      <c r="J378" s="48"/>
      <c r="K378" s="43">
        <v>25</v>
      </c>
      <c r="L378" s="45" t="s">
        <v>128</v>
      </c>
    </row>
    <row r="379" spans="1:12" ht="15.75" customHeight="1" x14ac:dyDescent="0.3">
      <c r="A379" s="21">
        <v>6</v>
      </c>
      <c r="B379" s="25">
        <v>45454</v>
      </c>
      <c r="C379" s="29" t="s">
        <v>275</v>
      </c>
      <c r="D379" s="36">
        <v>1</v>
      </c>
      <c r="E379" s="41" t="s">
        <v>304</v>
      </c>
      <c r="F379" s="42">
        <v>18</v>
      </c>
      <c r="G379" s="9">
        <v>18</v>
      </c>
      <c r="H379" s="45">
        <v>25</v>
      </c>
      <c r="I379" s="9">
        <v>25</v>
      </c>
      <c r="J379" s="48"/>
      <c r="K379" s="43">
        <v>7</v>
      </c>
      <c r="L379" s="45" t="s">
        <v>128</v>
      </c>
    </row>
    <row r="380" spans="1:12" ht="15.75" customHeight="1" x14ac:dyDescent="0.3">
      <c r="A380" s="21">
        <v>6</v>
      </c>
      <c r="B380" s="25">
        <v>45455</v>
      </c>
      <c r="C380" s="29" t="s">
        <v>139</v>
      </c>
      <c r="D380" s="36">
        <v>1</v>
      </c>
      <c r="E380" s="41" t="s">
        <v>320</v>
      </c>
      <c r="F380" s="42">
        <v>7.0000000000000007E-2</v>
      </c>
      <c r="G380" s="9">
        <v>7.0000000000000007E-2</v>
      </c>
      <c r="H380" s="45">
        <v>1</v>
      </c>
      <c r="I380" s="9">
        <v>1</v>
      </c>
      <c r="J380" s="48" t="s">
        <v>64</v>
      </c>
      <c r="K380" s="43">
        <v>0.92999999999999994</v>
      </c>
      <c r="L380" s="45" t="s">
        <v>15</v>
      </c>
    </row>
    <row r="381" spans="1:12" ht="15.75" customHeight="1" x14ac:dyDescent="0.3">
      <c r="A381" s="21">
        <v>6</v>
      </c>
      <c r="B381" s="25">
        <v>45455</v>
      </c>
      <c r="C381" s="29" t="s">
        <v>296</v>
      </c>
      <c r="D381" s="36">
        <v>1</v>
      </c>
      <c r="E381" s="41" t="s">
        <v>320</v>
      </c>
      <c r="F381" s="42">
        <v>50</v>
      </c>
      <c r="G381" s="9">
        <v>50</v>
      </c>
      <c r="H381" s="45">
        <v>100</v>
      </c>
      <c r="I381" s="9">
        <v>100</v>
      </c>
      <c r="J381" s="48" t="s">
        <v>64</v>
      </c>
      <c r="K381" s="43">
        <v>50</v>
      </c>
      <c r="L381" s="45" t="s">
        <v>15</v>
      </c>
    </row>
    <row r="382" spans="1:12" ht="15.75" customHeight="1" x14ac:dyDescent="0.3">
      <c r="A382" s="21">
        <v>6</v>
      </c>
      <c r="B382" s="25">
        <v>45455</v>
      </c>
      <c r="C382" s="29" t="s">
        <v>321</v>
      </c>
      <c r="D382" s="36">
        <v>1</v>
      </c>
      <c r="E382" s="41" t="s">
        <v>322</v>
      </c>
      <c r="F382" s="42">
        <v>15</v>
      </c>
      <c r="G382" s="9">
        <v>15</v>
      </c>
      <c r="H382" s="45">
        <v>30</v>
      </c>
      <c r="I382" s="9">
        <v>30</v>
      </c>
      <c r="J382" s="48" t="s">
        <v>24</v>
      </c>
      <c r="K382" s="43">
        <v>15</v>
      </c>
      <c r="L382" s="45" t="s">
        <v>15</v>
      </c>
    </row>
    <row r="383" spans="1:12" ht="15.75" customHeight="1" x14ac:dyDescent="0.3">
      <c r="A383" s="21">
        <v>6</v>
      </c>
      <c r="B383" s="25">
        <v>45457</v>
      </c>
      <c r="C383" s="29" t="s">
        <v>312</v>
      </c>
      <c r="D383" s="36">
        <v>1</v>
      </c>
      <c r="E383" s="41" t="s">
        <v>20</v>
      </c>
      <c r="F383" s="42">
        <v>0.05</v>
      </c>
      <c r="G383" s="9">
        <v>0.05</v>
      </c>
      <c r="H383" s="45">
        <v>2</v>
      </c>
      <c r="I383" s="9">
        <v>2</v>
      </c>
      <c r="J383" s="48" t="s">
        <v>64</v>
      </c>
      <c r="K383" s="43">
        <v>1.95</v>
      </c>
      <c r="L383" s="45" t="s">
        <v>15</v>
      </c>
    </row>
    <row r="384" spans="1:12" ht="15.75" customHeight="1" x14ac:dyDescent="0.3">
      <c r="A384" s="21">
        <v>6</v>
      </c>
      <c r="B384" s="25">
        <v>45458</v>
      </c>
      <c r="C384" s="29" t="s">
        <v>139</v>
      </c>
      <c r="D384" s="36">
        <v>1</v>
      </c>
      <c r="E384" s="41" t="s">
        <v>20</v>
      </c>
      <c r="F384" s="42">
        <v>7.0000000000000007E-2</v>
      </c>
      <c r="G384" s="9">
        <v>7.0000000000000007E-2</v>
      </c>
      <c r="H384" s="45">
        <v>1</v>
      </c>
      <c r="I384" s="9">
        <v>1</v>
      </c>
      <c r="J384" s="48" t="s">
        <v>64</v>
      </c>
      <c r="K384" s="43">
        <v>0.92999999999999994</v>
      </c>
      <c r="L384" s="45" t="s">
        <v>15</v>
      </c>
    </row>
    <row r="385" spans="1:12" ht="15.75" customHeight="1" x14ac:dyDescent="0.3">
      <c r="A385" s="21">
        <v>6</v>
      </c>
      <c r="B385" s="25">
        <v>45458</v>
      </c>
      <c r="C385" s="29" t="s">
        <v>323</v>
      </c>
      <c r="D385" s="36">
        <v>3</v>
      </c>
      <c r="E385" s="41" t="s">
        <v>20</v>
      </c>
      <c r="F385" s="42">
        <v>2</v>
      </c>
      <c r="G385" s="9">
        <v>6</v>
      </c>
      <c r="H385" s="45">
        <v>4</v>
      </c>
      <c r="I385" s="9">
        <v>12</v>
      </c>
      <c r="J385" s="48" t="s">
        <v>64</v>
      </c>
      <c r="K385" s="43">
        <v>6</v>
      </c>
      <c r="L385" s="45" t="s">
        <v>15</v>
      </c>
    </row>
    <row r="386" spans="1:12" ht="15.75" customHeight="1" x14ac:dyDescent="0.3">
      <c r="A386" s="21">
        <v>6</v>
      </c>
      <c r="B386" s="25">
        <v>45458</v>
      </c>
      <c r="C386" s="29" t="s">
        <v>324</v>
      </c>
      <c r="D386" s="36">
        <v>1</v>
      </c>
      <c r="E386" s="41" t="s">
        <v>20</v>
      </c>
      <c r="F386" s="42">
        <v>12.5</v>
      </c>
      <c r="G386" s="9">
        <v>12.5</v>
      </c>
      <c r="H386" s="45">
        <v>30</v>
      </c>
      <c r="I386" s="9">
        <v>30</v>
      </c>
      <c r="J386" s="48" t="s">
        <v>24</v>
      </c>
      <c r="K386" s="43">
        <v>17.5</v>
      </c>
      <c r="L386" s="45" t="s">
        <v>15</v>
      </c>
    </row>
    <row r="387" spans="1:12" ht="15.75" customHeight="1" x14ac:dyDescent="0.3">
      <c r="A387" s="21">
        <v>6</v>
      </c>
      <c r="B387" s="25">
        <v>45458</v>
      </c>
      <c r="C387" s="29" t="s">
        <v>325</v>
      </c>
      <c r="D387" s="36">
        <v>1</v>
      </c>
      <c r="E387" s="41" t="s">
        <v>20</v>
      </c>
      <c r="F387" s="42">
        <v>6</v>
      </c>
      <c r="G387" s="9">
        <v>6</v>
      </c>
      <c r="H387" s="45">
        <v>10</v>
      </c>
      <c r="I387" s="9">
        <v>10</v>
      </c>
      <c r="J387" s="48" t="s">
        <v>24</v>
      </c>
      <c r="K387" s="43">
        <v>4</v>
      </c>
      <c r="L387" s="45" t="s">
        <v>15</v>
      </c>
    </row>
    <row r="388" spans="1:12" ht="15.75" customHeight="1" x14ac:dyDescent="0.3">
      <c r="A388" s="21">
        <v>6</v>
      </c>
      <c r="B388" s="25">
        <v>45460</v>
      </c>
      <c r="C388" s="29" t="s">
        <v>315</v>
      </c>
      <c r="D388" s="36">
        <v>1</v>
      </c>
      <c r="E388" s="41" t="s">
        <v>20</v>
      </c>
      <c r="F388" s="42">
        <v>7.0000000000000007E-2</v>
      </c>
      <c r="G388" s="9">
        <v>7.0000000000000007E-2</v>
      </c>
      <c r="H388" s="45">
        <v>1</v>
      </c>
      <c r="I388" s="9">
        <v>1</v>
      </c>
      <c r="J388" s="48" t="s">
        <v>24</v>
      </c>
      <c r="K388" s="43">
        <v>0.92999999999999994</v>
      </c>
      <c r="L388" s="45" t="s">
        <v>15</v>
      </c>
    </row>
    <row r="389" spans="1:12" ht="15.75" customHeight="1" x14ac:dyDescent="0.3">
      <c r="A389" s="21">
        <v>6</v>
      </c>
      <c r="B389" s="25">
        <v>45460</v>
      </c>
      <c r="C389" s="29" t="s">
        <v>312</v>
      </c>
      <c r="D389" s="36">
        <v>1</v>
      </c>
      <c r="E389" s="41" t="s">
        <v>20</v>
      </c>
      <c r="F389" s="42">
        <v>0.05</v>
      </c>
      <c r="G389" s="9">
        <v>0.05</v>
      </c>
      <c r="H389" s="45">
        <v>2</v>
      </c>
      <c r="I389" s="9">
        <v>2</v>
      </c>
      <c r="J389" s="48" t="s">
        <v>24</v>
      </c>
      <c r="K389" s="43">
        <v>1.95</v>
      </c>
      <c r="L389" s="45" t="s">
        <v>15</v>
      </c>
    </row>
    <row r="390" spans="1:12" ht="15.75" customHeight="1" x14ac:dyDescent="0.3">
      <c r="A390" s="21">
        <v>6</v>
      </c>
      <c r="B390" s="25">
        <v>45460</v>
      </c>
      <c r="C390" s="29" t="s">
        <v>326</v>
      </c>
      <c r="D390" s="36">
        <v>1</v>
      </c>
      <c r="E390" s="41" t="s">
        <v>20</v>
      </c>
      <c r="F390" s="42">
        <v>0.05</v>
      </c>
      <c r="G390" s="9">
        <v>0.05</v>
      </c>
      <c r="H390" s="45">
        <v>0.5</v>
      </c>
      <c r="I390" s="9">
        <v>0.5</v>
      </c>
      <c r="J390" s="48" t="s">
        <v>64</v>
      </c>
      <c r="K390" s="43">
        <v>0.45</v>
      </c>
      <c r="L390" s="45" t="s">
        <v>15</v>
      </c>
    </row>
    <row r="391" spans="1:12" ht="15.75" customHeight="1" x14ac:dyDescent="0.3">
      <c r="A391" s="21">
        <v>6</v>
      </c>
      <c r="B391" s="25">
        <v>45461</v>
      </c>
      <c r="C391" s="29" t="s">
        <v>327</v>
      </c>
      <c r="D391" s="36">
        <v>1</v>
      </c>
      <c r="E391" s="41" t="s">
        <v>20</v>
      </c>
      <c r="F391" s="42">
        <v>165</v>
      </c>
      <c r="G391" s="9">
        <v>165</v>
      </c>
      <c r="H391" s="45">
        <v>300</v>
      </c>
      <c r="I391" s="9">
        <v>300</v>
      </c>
      <c r="J391" s="48" t="s">
        <v>64</v>
      </c>
      <c r="K391" s="43">
        <v>135</v>
      </c>
      <c r="L391" s="45" t="s">
        <v>15</v>
      </c>
    </row>
    <row r="392" spans="1:12" ht="15.75" customHeight="1" x14ac:dyDescent="0.3">
      <c r="A392" s="21">
        <v>6</v>
      </c>
      <c r="B392" s="25">
        <v>45462</v>
      </c>
      <c r="C392" s="29" t="s">
        <v>328</v>
      </c>
      <c r="D392" s="36">
        <v>1</v>
      </c>
      <c r="E392" s="41" t="s">
        <v>329</v>
      </c>
      <c r="F392" s="42">
        <v>25</v>
      </c>
      <c r="G392" s="9">
        <v>25</v>
      </c>
      <c r="H392" s="45">
        <v>40</v>
      </c>
      <c r="I392" s="9">
        <v>40</v>
      </c>
      <c r="J392" s="48" t="s">
        <v>64</v>
      </c>
      <c r="K392" s="43">
        <v>15</v>
      </c>
      <c r="L392" s="45" t="s">
        <v>15</v>
      </c>
    </row>
    <row r="393" spans="1:12" ht="15.75" customHeight="1" x14ac:dyDescent="0.3">
      <c r="A393" s="21">
        <v>6</v>
      </c>
      <c r="B393" s="25">
        <v>45462</v>
      </c>
      <c r="C393" s="29" t="s">
        <v>330</v>
      </c>
      <c r="D393" s="36">
        <v>1</v>
      </c>
      <c r="E393" s="41" t="s">
        <v>331</v>
      </c>
      <c r="F393" s="42">
        <v>15</v>
      </c>
      <c r="G393" s="9">
        <v>15</v>
      </c>
      <c r="H393" s="45">
        <v>25</v>
      </c>
      <c r="I393" s="9">
        <v>25</v>
      </c>
      <c r="J393" s="48" t="s">
        <v>64</v>
      </c>
      <c r="K393" s="43">
        <v>10</v>
      </c>
      <c r="L393" s="45" t="s">
        <v>15</v>
      </c>
    </row>
    <row r="394" spans="1:12" ht="15.75" customHeight="1" x14ac:dyDescent="0.3">
      <c r="A394" s="21">
        <v>6</v>
      </c>
      <c r="B394" s="25">
        <v>45462</v>
      </c>
      <c r="C394" s="29" t="s">
        <v>315</v>
      </c>
      <c r="D394" s="36">
        <v>3</v>
      </c>
      <c r="E394" s="41" t="s">
        <v>20</v>
      </c>
      <c r="F394" s="42">
        <v>7.0000000000000007E-2</v>
      </c>
      <c r="G394" s="9">
        <v>0.21000000000000002</v>
      </c>
      <c r="H394" s="45">
        <v>1</v>
      </c>
      <c r="I394" s="9">
        <v>3</v>
      </c>
      <c r="J394" s="48" t="s">
        <v>24</v>
      </c>
      <c r="K394" s="43">
        <v>2.79</v>
      </c>
      <c r="L394" s="45" t="s">
        <v>15</v>
      </c>
    </row>
    <row r="395" spans="1:12" ht="15.75" customHeight="1" x14ac:dyDescent="0.3">
      <c r="A395" s="21">
        <v>6</v>
      </c>
      <c r="B395" s="25">
        <v>45462</v>
      </c>
      <c r="C395" s="29" t="s">
        <v>186</v>
      </c>
      <c r="D395" s="36">
        <v>1</v>
      </c>
      <c r="E395" s="41" t="s">
        <v>140</v>
      </c>
      <c r="F395" s="42">
        <v>11</v>
      </c>
      <c r="G395" s="9">
        <v>11</v>
      </c>
      <c r="H395" s="45">
        <v>20</v>
      </c>
      <c r="I395" s="9">
        <v>20</v>
      </c>
      <c r="J395" s="48"/>
      <c r="K395" s="43">
        <v>9</v>
      </c>
      <c r="L395" s="45" t="s">
        <v>303</v>
      </c>
    </row>
    <row r="396" spans="1:12" ht="15.75" customHeight="1" x14ac:dyDescent="0.3">
      <c r="A396" s="21">
        <v>6</v>
      </c>
      <c r="B396" s="25">
        <v>45462</v>
      </c>
      <c r="C396" s="29" t="s">
        <v>315</v>
      </c>
      <c r="D396" s="36">
        <v>1</v>
      </c>
      <c r="E396" s="41" t="s">
        <v>20</v>
      </c>
      <c r="F396" s="42">
        <v>7.0000000000000007E-2</v>
      </c>
      <c r="G396" s="9">
        <v>7.0000000000000007E-2</v>
      </c>
      <c r="H396" s="45">
        <v>1</v>
      </c>
      <c r="I396" s="9">
        <v>1</v>
      </c>
      <c r="J396" s="48" t="s">
        <v>24</v>
      </c>
      <c r="K396" s="43">
        <v>0.92999999999999994</v>
      </c>
      <c r="L396" s="45" t="s">
        <v>15</v>
      </c>
    </row>
    <row r="397" spans="1:12" ht="15.75" customHeight="1" x14ac:dyDescent="0.3">
      <c r="A397" s="21">
        <v>6</v>
      </c>
      <c r="B397" s="25">
        <v>45463</v>
      </c>
      <c r="C397" s="29" t="s">
        <v>120</v>
      </c>
      <c r="D397" s="36">
        <v>2</v>
      </c>
      <c r="E397" s="41" t="s">
        <v>332</v>
      </c>
      <c r="F397" s="42">
        <v>2.5</v>
      </c>
      <c r="G397" s="9">
        <v>5</v>
      </c>
      <c r="H397" s="45">
        <v>10</v>
      </c>
      <c r="I397" s="9">
        <v>20</v>
      </c>
      <c r="J397" s="48"/>
      <c r="K397" s="43">
        <v>15</v>
      </c>
      <c r="L397" s="45" t="s">
        <v>303</v>
      </c>
    </row>
    <row r="398" spans="1:12" ht="15.75" customHeight="1" x14ac:dyDescent="0.3">
      <c r="A398" s="21">
        <v>6</v>
      </c>
      <c r="B398" s="25">
        <v>45463</v>
      </c>
      <c r="C398" s="29" t="s">
        <v>333</v>
      </c>
      <c r="D398" s="36">
        <v>2</v>
      </c>
      <c r="E398" s="41" t="s">
        <v>332</v>
      </c>
      <c r="F398" s="42">
        <v>10</v>
      </c>
      <c r="G398" s="9">
        <v>20</v>
      </c>
      <c r="H398" s="45">
        <v>15</v>
      </c>
      <c r="I398" s="9">
        <v>30</v>
      </c>
      <c r="J398" s="48"/>
      <c r="K398" s="43">
        <v>10</v>
      </c>
      <c r="L398" s="45" t="s">
        <v>303</v>
      </c>
    </row>
    <row r="399" spans="1:12" ht="15.75" customHeight="1" x14ac:dyDescent="0.3">
      <c r="A399" s="21">
        <v>6</v>
      </c>
      <c r="B399" s="25">
        <v>45463</v>
      </c>
      <c r="C399" s="29" t="s">
        <v>326</v>
      </c>
      <c r="D399" s="36">
        <v>1</v>
      </c>
      <c r="E399" s="41" t="s">
        <v>20</v>
      </c>
      <c r="F399" s="42">
        <v>0.05</v>
      </c>
      <c r="G399" s="9">
        <v>0.05</v>
      </c>
      <c r="H399" s="45">
        <v>0.5</v>
      </c>
      <c r="I399" s="9">
        <v>0.5</v>
      </c>
      <c r="J399" s="48" t="s">
        <v>64</v>
      </c>
      <c r="K399" s="43">
        <v>0.45</v>
      </c>
      <c r="L399" s="45" t="s">
        <v>303</v>
      </c>
    </row>
    <row r="400" spans="1:12" ht="15.75" customHeight="1" x14ac:dyDescent="0.3">
      <c r="A400" s="21">
        <v>6</v>
      </c>
      <c r="B400" s="25">
        <v>45464</v>
      </c>
      <c r="C400" s="29" t="s">
        <v>48</v>
      </c>
      <c r="D400" s="36">
        <v>1</v>
      </c>
      <c r="E400" s="41" t="s">
        <v>334</v>
      </c>
      <c r="F400" s="42">
        <v>3</v>
      </c>
      <c r="G400" s="9">
        <v>3</v>
      </c>
      <c r="H400" s="45">
        <v>15</v>
      </c>
      <c r="I400" s="9">
        <v>15</v>
      </c>
      <c r="J400" s="48"/>
      <c r="K400" s="43">
        <v>12</v>
      </c>
      <c r="L400" s="45" t="s">
        <v>303</v>
      </c>
    </row>
    <row r="401" spans="1:12" ht="15.75" customHeight="1" x14ac:dyDescent="0.3">
      <c r="A401" s="21">
        <v>6</v>
      </c>
      <c r="B401" s="25">
        <v>45464</v>
      </c>
      <c r="C401" s="29" t="s">
        <v>335</v>
      </c>
      <c r="D401" s="36">
        <v>1</v>
      </c>
      <c r="E401" s="41" t="s">
        <v>334</v>
      </c>
      <c r="F401" s="42">
        <v>3</v>
      </c>
      <c r="G401" s="9">
        <v>3</v>
      </c>
      <c r="H401" s="45">
        <v>15</v>
      </c>
      <c r="I401" s="9">
        <v>15</v>
      </c>
      <c r="J401" s="48" t="s">
        <v>64</v>
      </c>
      <c r="K401" s="43">
        <v>12</v>
      </c>
      <c r="L401" s="45" t="s">
        <v>303</v>
      </c>
    </row>
    <row r="402" spans="1:12" ht="15.75" customHeight="1" x14ac:dyDescent="0.3">
      <c r="A402" s="21">
        <v>6</v>
      </c>
      <c r="B402" s="25">
        <v>45464</v>
      </c>
      <c r="C402" s="29" t="s">
        <v>333</v>
      </c>
      <c r="D402" s="36">
        <v>1</v>
      </c>
      <c r="E402" s="41" t="s">
        <v>336</v>
      </c>
      <c r="F402" s="42">
        <v>10</v>
      </c>
      <c r="G402" s="9">
        <v>10</v>
      </c>
      <c r="H402" s="45">
        <v>10</v>
      </c>
      <c r="I402" s="9">
        <v>10</v>
      </c>
      <c r="J402" s="48"/>
      <c r="K402" s="43">
        <v>0</v>
      </c>
      <c r="L402" s="45" t="s">
        <v>15</v>
      </c>
    </row>
    <row r="403" spans="1:12" ht="15.75" customHeight="1" x14ac:dyDescent="0.3">
      <c r="A403" s="21">
        <v>6</v>
      </c>
      <c r="B403" s="25">
        <v>45464</v>
      </c>
      <c r="C403" s="29" t="s">
        <v>315</v>
      </c>
      <c r="D403" s="36">
        <v>1</v>
      </c>
      <c r="E403" s="41" t="s">
        <v>20</v>
      </c>
      <c r="F403" s="42">
        <v>7.0000000000000007E-2</v>
      </c>
      <c r="G403" s="9">
        <v>7.0000000000000007E-2</v>
      </c>
      <c r="H403" s="45">
        <v>1</v>
      </c>
      <c r="I403" s="9">
        <v>1</v>
      </c>
      <c r="J403" s="48" t="s">
        <v>24</v>
      </c>
      <c r="K403" s="43">
        <v>0.92999999999999994</v>
      </c>
      <c r="L403" s="45" t="s">
        <v>15</v>
      </c>
    </row>
    <row r="404" spans="1:12" ht="15.75" customHeight="1" x14ac:dyDescent="0.3">
      <c r="A404" s="21">
        <v>6</v>
      </c>
      <c r="B404" s="25">
        <v>45464</v>
      </c>
      <c r="C404" s="29" t="s">
        <v>315</v>
      </c>
      <c r="D404" s="36">
        <v>2</v>
      </c>
      <c r="E404" s="41" t="s">
        <v>20</v>
      </c>
      <c r="F404" s="42">
        <v>7.0000000000000007E-2</v>
      </c>
      <c r="G404" s="9">
        <v>0.14000000000000001</v>
      </c>
      <c r="H404" s="45">
        <v>1</v>
      </c>
      <c r="I404" s="9">
        <v>2</v>
      </c>
      <c r="J404" s="48"/>
      <c r="K404" s="43">
        <v>1.8599999999999999</v>
      </c>
      <c r="L404" s="45" t="s">
        <v>15</v>
      </c>
    </row>
    <row r="405" spans="1:12" ht="15.75" customHeight="1" x14ac:dyDescent="0.3">
      <c r="A405" s="21">
        <v>6</v>
      </c>
      <c r="B405" s="25">
        <v>45465</v>
      </c>
      <c r="C405" s="29" t="s">
        <v>315</v>
      </c>
      <c r="D405" s="36">
        <v>1</v>
      </c>
      <c r="E405" s="41" t="s">
        <v>20</v>
      </c>
      <c r="F405" s="42">
        <v>7.0000000000000007E-2</v>
      </c>
      <c r="G405" s="9">
        <v>7.0000000000000007E-2</v>
      </c>
      <c r="H405" s="45">
        <v>1</v>
      </c>
      <c r="I405" s="9">
        <v>1</v>
      </c>
      <c r="J405" s="48"/>
      <c r="K405" s="43">
        <v>0.92999999999999994</v>
      </c>
      <c r="L405" s="45" t="s">
        <v>15</v>
      </c>
    </row>
    <row r="406" spans="1:12" ht="15.75" customHeight="1" x14ac:dyDescent="0.3">
      <c r="A406" s="21">
        <v>6</v>
      </c>
      <c r="B406" s="25">
        <v>45467</v>
      </c>
      <c r="C406" s="29" t="s">
        <v>326</v>
      </c>
      <c r="D406" s="36">
        <v>3</v>
      </c>
      <c r="E406" s="41" t="s">
        <v>20</v>
      </c>
      <c r="F406" s="42">
        <v>0.05</v>
      </c>
      <c r="G406" s="9">
        <v>0.15000000000000002</v>
      </c>
      <c r="H406" s="45">
        <v>1</v>
      </c>
      <c r="I406" s="9">
        <v>3</v>
      </c>
      <c r="J406" s="48" t="s">
        <v>24</v>
      </c>
      <c r="K406" s="43">
        <v>2.85</v>
      </c>
      <c r="L406" s="45" t="s">
        <v>15</v>
      </c>
    </row>
    <row r="407" spans="1:12" ht="15.75" customHeight="1" x14ac:dyDescent="0.3">
      <c r="A407" s="21">
        <v>6</v>
      </c>
      <c r="B407" s="25">
        <v>45468</v>
      </c>
      <c r="C407" s="29" t="s">
        <v>337</v>
      </c>
      <c r="D407" s="36">
        <v>44</v>
      </c>
      <c r="E407" s="41" t="s">
        <v>320</v>
      </c>
      <c r="F407" s="42">
        <v>0.05</v>
      </c>
      <c r="G407" s="9">
        <v>2.2000000000000002</v>
      </c>
      <c r="H407" s="45">
        <v>1.3640000000000001</v>
      </c>
      <c r="I407" s="9">
        <v>60.016000000000005</v>
      </c>
      <c r="J407" s="48" t="s">
        <v>338</v>
      </c>
      <c r="K407" s="43">
        <v>57.816000000000003</v>
      </c>
      <c r="L407" s="45" t="s">
        <v>15</v>
      </c>
    </row>
    <row r="408" spans="1:12" ht="15.75" customHeight="1" x14ac:dyDescent="0.3">
      <c r="A408" s="21">
        <v>6</v>
      </c>
      <c r="B408" s="25">
        <v>45469</v>
      </c>
      <c r="C408" s="29" t="s">
        <v>337</v>
      </c>
      <c r="D408" s="36">
        <v>24</v>
      </c>
      <c r="E408" s="41" t="s">
        <v>320</v>
      </c>
      <c r="F408" s="42">
        <v>0.05</v>
      </c>
      <c r="G408" s="9">
        <v>1.2000000000000002</v>
      </c>
      <c r="H408" s="45">
        <v>1.67</v>
      </c>
      <c r="I408" s="9">
        <v>40.08</v>
      </c>
      <c r="J408" s="48" t="s">
        <v>338</v>
      </c>
      <c r="K408" s="43">
        <v>38.879999999999995</v>
      </c>
      <c r="L408" s="45" t="s">
        <v>15</v>
      </c>
    </row>
    <row r="409" spans="1:12" ht="15.75" customHeight="1" x14ac:dyDescent="0.3">
      <c r="A409" s="21">
        <v>6</v>
      </c>
      <c r="B409" s="25">
        <v>45469</v>
      </c>
      <c r="C409" s="29" t="s">
        <v>339</v>
      </c>
      <c r="D409" s="36">
        <v>1</v>
      </c>
      <c r="E409" s="41" t="s">
        <v>334</v>
      </c>
      <c r="F409" s="42">
        <v>60</v>
      </c>
      <c r="G409" s="9">
        <v>60</v>
      </c>
      <c r="H409" s="45">
        <v>100</v>
      </c>
      <c r="I409" s="9">
        <v>100</v>
      </c>
      <c r="J409" s="48"/>
      <c r="K409" s="43">
        <v>40</v>
      </c>
      <c r="L409" s="45" t="s">
        <v>15</v>
      </c>
    </row>
    <row r="410" spans="1:12" ht="15.75" customHeight="1" x14ac:dyDescent="0.3">
      <c r="A410" s="21">
        <v>6</v>
      </c>
      <c r="B410" s="25">
        <v>45470</v>
      </c>
      <c r="C410" s="29" t="s">
        <v>337</v>
      </c>
      <c r="D410" s="36">
        <v>5</v>
      </c>
      <c r="E410" s="41" t="s">
        <v>320</v>
      </c>
      <c r="F410" s="42">
        <v>0.05</v>
      </c>
      <c r="G410" s="9">
        <v>0.25</v>
      </c>
      <c r="H410" s="45">
        <v>2</v>
      </c>
      <c r="I410" s="9">
        <v>10</v>
      </c>
      <c r="J410" s="48" t="s">
        <v>338</v>
      </c>
      <c r="K410" s="43">
        <v>9.75</v>
      </c>
      <c r="L410" s="45" t="s">
        <v>15</v>
      </c>
    </row>
    <row r="411" spans="1:12" ht="15.75" customHeight="1" x14ac:dyDescent="0.3">
      <c r="A411" s="21">
        <v>6</v>
      </c>
      <c r="B411" s="25">
        <v>45471</v>
      </c>
      <c r="C411" s="29" t="s">
        <v>12</v>
      </c>
      <c r="D411" s="36">
        <v>1</v>
      </c>
      <c r="E411" s="41" t="s">
        <v>20</v>
      </c>
      <c r="F411" s="42">
        <v>7</v>
      </c>
      <c r="G411" s="9">
        <v>7</v>
      </c>
      <c r="H411" s="45">
        <v>20</v>
      </c>
      <c r="I411" s="9">
        <v>20</v>
      </c>
      <c r="J411" s="48" t="s">
        <v>309</v>
      </c>
      <c r="K411" s="43">
        <v>13</v>
      </c>
      <c r="L411" s="45" t="s">
        <v>15</v>
      </c>
    </row>
    <row r="412" spans="1:12" ht="15.75" customHeight="1" x14ac:dyDescent="0.3">
      <c r="A412" s="21">
        <v>6</v>
      </c>
      <c r="B412" s="25">
        <v>45472</v>
      </c>
      <c r="C412" s="29" t="s">
        <v>192</v>
      </c>
      <c r="D412" s="36">
        <v>1</v>
      </c>
      <c r="E412" s="41" t="s">
        <v>340</v>
      </c>
      <c r="F412" s="42">
        <v>99.9</v>
      </c>
      <c r="G412" s="9">
        <v>99.9</v>
      </c>
      <c r="H412" s="45">
        <v>290</v>
      </c>
      <c r="I412" s="9">
        <v>290</v>
      </c>
      <c r="J412" s="48" t="s">
        <v>309</v>
      </c>
      <c r="K412" s="43">
        <v>190.1</v>
      </c>
      <c r="L412" s="45" t="s">
        <v>15</v>
      </c>
    </row>
    <row r="413" spans="1:12" ht="15.75" customHeight="1" x14ac:dyDescent="0.3">
      <c r="A413" s="21">
        <v>6</v>
      </c>
      <c r="B413" s="25">
        <v>45472</v>
      </c>
      <c r="C413" s="29" t="s">
        <v>341</v>
      </c>
      <c r="D413" s="36">
        <v>1</v>
      </c>
      <c r="E413" s="41" t="s">
        <v>342</v>
      </c>
      <c r="F413" s="42">
        <v>40</v>
      </c>
      <c r="G413" s="9">
        <v>40</v>
      </c>
      <c r="H413" s="45">
        <v>50</v>
      </c>
      <c r="I413" s="9">
        <v>50</v>
      </c>
      <c r="J413" s="48" t="s">
        <v>309</v>
      </c>
      <c r="K413" s="43">
        <v>10</v>
      </c>
      <c r="L413" s="45" t="s">
        <v>15</v>
      </c>
    </row>
    <row r="414" spans="1:12" ht="15.75" customHeight="1" x14ac:dyDescent="0.3">
      <c r="A414" s="21">
        <v>7</v>
      </c>
      <c r="B414" s="25">
        <v>45474</v>
      </c>
      <c r="C414" s="29" t="s">
        <v>139</v>
      </c>
      <c r="D414" s="36">
        <v>7</v>
      </c>
      <c r="E414" s="41" t="s">
        <v>20</v>
      </c>
      <c r="F414" s="42">
        <v>7.0000000000000007E-2</v>
      </c>
      <c r="G414" s="9">
        <v>0.49000000000000005</v>
      </c>
      <c r="H414" s="45">
        <v>1</v>
      </c>
      <c r="I414" s="9">
        <v>7</v>
      </c>
      <c r="J414" s="48" t="s">
        <v>309</v>
      </c>
      <c r="K414" s="43">
        <v>6.51</v>
      </c>
      <c r="L414" s="45" t="s">
        <v>15</v>
      </c>
    </row>
    <row r="415" spans="1:12" ht="15.75" customHeight="1" x14ac:dyDescent="0.3">
      <c r="A415" s="21">
        <v>7</v>
      </c>
      <c r="B415" s="25">
        <v>45474</v>
      </c>
      <c r="C415" s="29" t="s">
        <v>343</v>
      </c>
      <c r="D415" s="36">
        <v>32</v>
      </c>
      <c r="E415" s="41" t="s">
        <v>20</v>
      </c>
      <c r="F415" s="42">
        <v>0.05</v>
      </c>
      <c r="G415" s="9">
        <v>1.6</v>
      </c>
      <c r="H415" s="45">
        <v>1.5625</v>
      </c>
      <c r="I415" s="9">
        <v>50</v>
      </c>
      <c r="J415" s="48" t="s">
        <v>309</v>
      </c>
      <c r="K415" s="43">
        <v>48.4</v>
      </c>
      <c r="L415" s="45" t="s">
        <v>15</v>
      </c>
    </row>
    <row r="416" spans="1:12" ht="15.75" customHeight="1" x14ac:dyDescent="0.3">
      <c r="A416" s="21">
        <v>7</v>
      </c>
      <c r="B416" s="25">
        <v>45475</v>
      </c>
      <c r="C416" s="29" t="s">
        <v>343</v>
      </c>
      <c r="D416" s="36">
        <v>2</v>
      </c>
      <c r="E416" s="41" t="s">
        <v>320</v>
      </c>
      <c r="F416" s="42">
        <v>0.05</v>
      </c>
      <c r="G416" s="9">
        <v>0.1</v>
      </c>
      <c r="H416" s="45">
        <v>2</v>
      </c>
      <c r="I416" s="9">
        <v>4</v>
      </c>
      <c r="J416" s="48" t="s">
        <v>64</v>
      </c>
      <c r="K416" s="43">
        <v>3.9</v>
      </c>
      <c r="L416" s="45" t="s">
        <v>15</v>
      </c>
    </row>
    <row r="417" spans="1:12" ht="15.75" customHeight="1" x14ac:dyDescent="0.3">
      <c r="A417" s="21">
        <v>7</v>
      </c>
      <c r="B417" s="25">
        <v>45475</v>
      </c>
      <c r="C417" s="29" t="s">
        <v>343</v>
      </c>
      <c r="D417" s="36">
        <v>10</v>
      </c>
      <c r="E417" s="41" t="s">
        <v>320</v>
      </c>
      <c r="F417" s="42">
        <v>0.05</v>
      </c>
      <c r="G417" s="9">
        <v>0.5</v>
      </c>
      <c r="H417" s="45">
        <v>1.5</v>
      </c>
      <c r="I417" s="9">
        <v>15</v>
      </c>
      <c r="J417" s="48" t="s">
        <v>64</v>
      </c>
      <c r="K417" s="43">
        <v>14.5</v>
      </c>
      <c r="L417" s="45" t="s">
        <v>15</v>
      </c>
    </row>
    <row r="418" spans="1:12" ht="15.75" customHeight="1" x14ac:dyDescent="0.3">
      <c r="A418" s="21">
        <v>7</v>
      </c>
      <c r="B418" s="25">
        <v>45475</v>
      </c>
      <c r="C418" s="29" t="s">
        <v>262</v>
      </c>
      <c r="D418" s="36">
        <v>2</v>
      </c>
      <c r="E418" s="41" t="s">
        <v>182</v>
      </c>
      <c r="F418" s="42">
        <v>18</v>
      </c>
      <c r="G418" s="9">
        <v>36</v>
      </c>
      <c r="H418" s="45">
        <v>40</v>
      </c>
      <c r="I418" s="9">
        <v>80</v>
      </c>
      <c r="J418" s="48" t="s">
        <v>64</v>
      </c>
      <c r="K418" s="43">
        <v>44</v>
      </c>
      <c r="L418" s="45" t="s">
        <v>15</v>
      </c>
    </row>
    <row r="419" spans="1:12" ht="15.75" customHeight="1" x14ac:dyDescent="0.3">
      <c r="A419" s="21">
        <v>7</v>
      </c>
      <c r="B419" s="25">
        <v>45475</v>
      </c>
      <c r="C419" s="29" t="s">
        <v>344</v>
      </c>
      <c r="D419" s="36">
        <v>1</v>
      </c>
      <c r="E419" s="41" t="s">
        <v>345</v>
      </c>
      <c r="F419" s="42">
        <v>7</v>
      </c>
      <c r="G419" s="9">
        <v>7</v>
      </c>
      <c r="H419" s="45">
        <v>15</v>
      </c>
      <c r="I419" s="9">
        <v>15</v>
      </c>
      <c r="J419" s="48" t="s">
        <v>64</v>
      </c>
      <c r="K419" s="43">
        <v>8</v>
      </c>
      <c r="L419" s="45" t="s">
        <v>15</v>
      </c>
    </row>
    <row r="420" spans="1:12" ht="15.75" customHeight="1" x14ac:dyDescent="0.3">
      <c r="A420" s="21">
        <v>7</v>
      </c>
      <c r="B420" s="25">
        <v>45475</v>
      </c>
      <c r="C420" s="29" t="s">
        <v>197</v>
      </c>
      <c r="D420" s="36">
        <v>1</v>
      </c>
      <c r="E420" s="41" t="s">
        <v>345</v>
      </c>
      <c r="F420" s="42">
        <v>6</v>
      </c>
      <c r="G420" s="9">
        <v>6</v>
      </c>
      <c r="H420" s="45">
        <v>10</v>
      </c>
      <c r="I420" s="9">
        <v>10</v>
      </c>
      <c r="J420" s="48" t="s">
        <v>64</v>
      </c>
      <c r="K420" s="43">
        <v>4</v>
      </c>
      <c r="L420" s="45" t="s">
        <v>15</v>
      </c>
    </row>
    <row r="421" spans="1:12" ht="15.75" customHeight="1" x14ac:dyDescent="0.3">
      <c r="A421" s="21">
        <v>7</v>
      </c>
      <c r="B421" s="25">
        <v>45476</v>
      </c>
      <c r="C421" s="29" t="s">
        <v>272</v>
      </c>
      <c r="D421" s="36">
        <v>1</v>
      </c>
      <c r="E421" s="41" t="s">
        <v>332</v>
      </c>
      <c r="F421" s="42">
        <v>0</v>
      </c>
      <c r="G421" s="9">
        <v>0</v>
      </c>
      <c r="H421" s="45">
        <v>60</v>
      </c>
      <c r="I421" s="9">
        <v>60</v>
      </c>
      <c r="J421" s="48"/>
      <c r="K421" s="43">
        <v>60</v>
      </c>
      <c r="L421" s="45" t="s">
        <v>15</v>
      </c>
    </row>
    <row r="422" spans="1:12" ht="15.75" customHeight="1" x14ac:dyDescent="0.3">
      <c r="A422" s="21">
        <v>7</v>
      </c>
      <c r="B422" s="25">
        <v>45476</v>
      </c>
      <c r="C422" s="29" t="s">
        <v>139</v>
      </c>
      <c r="D422" s="36">
        <v>8</v>
      </c>
      <c r="E422" s="41" t="s">
        <v>20</v>
      </c>
      <c r="F422" s="42">
        <v>7.0000000000000007E-2</v>
      </c>
      <c r="G422" s="9">
        <v>0.56000000000000005</v>
      </c>
      <c r="H422" s="45">
        <v>1</v>
      </c>
      <c r="I422" s="9">
        <v>8</v>
      </c>
      <c r="J422" s="48" t="s">
        <v>309</v>
      </c>
      <c r="K422" s="43">
        <v>7.4399999999999995</v>
      </c>
      <c r="L422" s="45" t="s">
        <v>15</v>
      </c>
    </row>
    <row r="423" spans="1:12" ht="15.75" customHeight="1" x14ac:dyDescent="0.3">
      <c r="A423" s="21">
        <v>7</v>
      </c>
      <c r="B423" s="25">
        <v>45477</v>
      </c>
      <c r="C423" s="29" t="s">
        <v>236</v>
      </c>
      <c r="D423" s="36">
        <v>2</v>
      </c>
      <c r="E423" s="41" t="s">
        <v>20</v>
      </c>
      <c r="F423" s="42">
        <v>1</v>
      </c>
      <c r="G423" s="9">
        <v>2</v>
      </c>
      <c r="H423" s="45">
        <v>20</v>
      </c>
      <c r="I423" s="9">
        <v>40</v>
      </c>
      <c r="J423" s="48" t="s">
        <v>64</v>
      </c>
      <c r="K423" s="43">
        <v>38</v>
      </c>
      <c r="L423" s="45" t="s">
        <v>15</v>
      </c>
    </row>
    <row r="424" spans="1:12" ht="15.75" customHeight="1" x14ac:dyDescent="0.3">
      <c r="A424" s="21">
        <v>7</v>
      </c>
      <c r="B424" s="25">
        <v>45477</v>
      </c>
      <c r="C424" s="29" t="s">
        <v>48</v>
      </c>
      <c r="D424" s="36">
        <v>1</v>
      </c>
      <c r="E424" s="41" t="s">
        <v>293</v>
      </c>
      <c r="F424" s="42">
        <v>3</v>
      </c>
      <c r="G424" s="9">
        <v>3</v>
      </c>
      <c r="H424" s="45">
        <v>15</v>
      </c>
      <c r="I424" s="9">
        <v>15</v>
      </c>
      <c r="J424" s="48" t="s">
        <v>64</v>
      </c>
      <c r="K424" s="43">
        <v>12</v>
      </c>
      <c r="L424" s="45" t="s">
        <v>15</v>
      </c>
    </row>
    <row r="425" spans="1:12" ht="15.75" customHeight="1" x14ac:dyDescent="0.3">
      <c r="A425" s="21">
        <v>7</v>
      </c>
      <c r="B425" s="25">
        <v>45477</v>
      </c>
      <c r="C425" s="29" t="s">
        <v>346</v>
      </c>
      <c r="D425" s="36">
        <v>1</v>
      </c>
      <c r="E425" s="41" t="s">
        <v>293</v>
      </c>
      <c r="F425" s="42">
        <v>3.5</v>
      </c>
      <c r="G425" s="9">
        <v>3.5</v>
      </c>
      <c r="H425" s="45">
        <v>10</v>
      </c>
      <c r="I425" s="9">
        <v>10</v>
      </c>
      <c r="J425" s="48" t="s">
        <v>64</v>
      </c>
      <c r="K425" s="43">
        <v>6.5</v>
      </c>
      <c r="L425" s="45" t="s">
        <v>15</v>
      </c>
    </row>
    <row r="426" spans="1:12" ht="15.75" customHeight="1" x14ac:dyDescent="0.3">
      <c r="A426" s="21">
        <v>7</v>
      </c>
      <c r="B426" s="25">
        <v>45477</v>
      </c>
      <c r="C426" s="29" t="s">
        <v>335</v>
      </c>
      <c r="D426" s="36">
        <v>1</v>
      </c>
      <c r="E426" s="41" t="s">
        <v>20</v>
      </c>
      <c r="F426" s="42">
        <v>3</v>
      </c>
      <c r="G426" s="9">
        <v>3</v>
      </c>
      <c r="H426" s="45">
        <v>15</v>
      </c>
      <c r="I426" s="9">
        <v>15</v>
      </c>
      <c r="J426" s="48" t="s">
        <v>64</v>
      </c>
      <c r="K426" s="43">
        <v>12</v>
      </c>
      <c r="L426" s="45" t="s">
        <v>15</v>
      </c>
    </row>
    <row r="427" spans="1:12" ht="15.75" customHeight="1" x14ac:dyDescent="0.3">
      <c r="A427" s="21">
        <v>7</v>
      </c>
      <c r="B427" s="25">
        <v>45478</v>
      </c>
      <c r="C427" s="29" t="s">
        <v>104</v>
      </c>
      <c r="D427" s="36">
        <v>2</v>
      </c>
      <c r="E427" s="41" t="s">
        <v>347</v>
      </c>
      <c r="F427" s="42">
        <v>50</v>
      </c>
      <c r="G427" s="9">
        <v>100</v>
      </c>
      <c r="H427" s="45">
        <v>60</v>
      </c>
      <c r="I427" s="9">
        <v>120</v>
      </c>
      <c r="J427" s="48" t="s">
        <v>338</v>
      </c>
      <c r="K427" s="43">
        <v>20</v>
      </c>
      <c r="L427" s="45" t="s">
        <v>15</v>
      </c>
    </row>
    <row r="428" spans="1:12" ht="15.75" customHeight="1" x14ac:dyDescent="0.3">
      <c r="A428" s="21">
        <v>7</v>
      </c>
      <c r="B428" s="25">
        <v>45479</v>
      </c>
      <c r="C428" s="29" t="s">
        <v>348</v>
      </c>
      <c r="D428" s="36">
        <v>1</v>
      </c>
      <c r="E428" s="41" t="s">
        <v>349</v>
      </c>
      <c r="F428" s="42">
        <v>35</v>
      </c>
      <c r="G428" s="9">
        <v>35</v>
      </c>
      <c r="H428" s="45">
        <v>85</v>
      </c>
      <c r="I428" s="9">
        <v>85</v>
      </c>
      <c r="J428" s="48" t="s">
        <v>338</v>
      </c>
      <c r="K428" s="43">
        <v>50</v>
      </c>
      <c r="L428" s="45" t="s">
        <v>15</v>
      </c>
    </row>
    <row r="429" spans="1:12" ht="15.75" customHeight="1" x14ac:dyDescent="0.3">
      <c r="A429" s="21">
        <v>7</v>
      </c>
      <c r="B429" s="25">
        <v>45479</v>
      </c>
      <c r="C429" s="29" t="s">
        <v>350</v>
      </c>
      <c r="D429" s="36">
        <v>1</v>
      </c>
      <c r="E429" s="41" t="s">
        <v>20</v>
      </c>
      <c r="F429" s="42">
        <v>10</v>
      </c>
      <c r="G429" s="9">
        <v>10</v>
      </c>
      <c r="H429" s="45">
        <v>25</v>
      </c>
      <c r="I429" s="9">
        <v>25</v>
      </c>
      <c r="J429" s="48" t="s">
        <v>309</v>
      </c>
      <c r="K429" s="43">
        <v>15</v>
      </c>
      <c r="L429" s="45" t="s">
        <v>15</v>
      </c>
    </row>
    <row r="430" spans="1:12" ht="15.75" customHeight="1" x14ac:dyDescent="0.3">
      <c r="A430" s="21">
        <v>7</v>
      </c>
      <c r="B430" s="25">
        <v>45479</v>
      </c>
      <c r="C430" s="29" t="s">
        <v>351</v>
      </c>
      <c r="D430" s="36">
        <v>1</v>
      </c>
      <c r="E430" s="41" t="s">
        <v>20</v>
      </c>
      <c r="F430" s="42">
        <v>11</v>
      </c>
      <c r="G430" s="9">
        <v>11</v>
      </c>
      <c r="H430" s="45">
        <v>25</v>
      </c>
      <c r="I430" s="9">
        <v>25</v>
      </c>
      <c r="J430" s="48" t="s">
        <v>309</v>
      </c>
      <c r="K430" s="43">
        <v>14</v>
      </c>
      <c r="L430" s="45" t="s">
        <v>15</v>
      </c>
    </row>
    <row r="431" spans="1:12" ht="15.75" customHeight="1" x14ac:dyDescent="0.3">
      <c r="A431" s="21">
        <v>7</v>
      </c>
      <c r="B431" s="25">
        <v>45479</v>
      </c>
      <c r="C431" s="29" t="s">
        <v>343</v>
      </c>
      <c r="D431" s="36">
        <v>1</v>
      </c>
      <c r="E431" s="41" t="s">
        <v>320</v>
      </c>
      <c r="F431" s="42">
        <v>0.05</v>
      </c>
      <c r="G431" s="9">
        <v>0.05</v>
      </c>
      <c r="H431" s="45">
        <v>2</v>
      </c>
      <c r="I431" s="9">
        <v>2</v>
      </c>
      <c r="J431" s="48" t="s">
        <v>338</v>
      </c>
      <c r="K431" s="43">
        <v>1.95</v>
      </c>
      <c r="L431" s="45" t="s">
        <v>15</v>
      </c>
    </row>
    <row r="432" spans="1:12" ht="15.75" customHeight="1" x14ac:dyDescent="0.3">
      <c r="A432" s="21">
        <v>7</v>
      </c>
      <c r="B432" s="25">
        <v>45481</v>
      </c>
      <c r="C432" s="29" t="s">
        <v>343</v>
      </c>
      <c r="D432" s="36">
        <v>35</v>
      </c>
      <c r="E432" s="41" t="s">
        <v>320</v>
      </c>
      <c r="F432" s="42">
        <v>0.05</v>
      </c>
      <c r="G432" s="9">
        <v>1.75</v>
      </c>
      <c r="H432" s="45">
        <v>2</v>
      </c>
      <c r="I432" s="9">
        <v>70</v>
      </c>
      <c r="J432" s="48" t="s">
        <v>338</v>
      </c>
      <c r="K432" s="43">
        <v>68.25</v>
      </c>
      <c r="L432" s="45" t="s">
        <v>15</v>
      </c>
    </row>
    <row r="433" spans="1:12" ht="15.75" customHeight="1" x14ac:dyDescent="0.3">
      <c r="A433" s="21">
        <v>7</v>
      </c>
      <c r="B433" s="25">
        <v>45482</v>
      </c>
      <c r="C433" s="29" t="s">
        <v>272</v>
      </c>
      <c r="D433" s="36">
        <v>1</v>
      </c>
      <c r="E433" s="41" t="s">
        <v>78</v>
      </c>
      <c r="F433" s="42">
        <v>0</v>
      </c>
      <c r="G433" s="9">
        <v>0</v>
      </c>
      <c r="H433" s="45">
        <v>20</v>
      </c>
      <c r="I433" s="9">
        <v>20</v>
      </c>
      <c r="J433" s="48" t="s">
        <v>338</v>
      </c>
      <c r="K433" s="43">
        <v>20</v>
      </c>
      <c r="L433" s="45" t="s">
        <v>15</v>
      </c>
    </row>
    <row r="434" spans="1:12" ht="15.75" customHeight="1" x14ac:dyDescent="0.3">
      <c r="A434" s="21">
        <v>7</v>
      </c>
      <c r="B434" s="25">
        <v>45482</v>
      </c>
      <c r="C434" s="29" t="s">
        <v>352</v>
      </c>
      <c r="D434" s="36">
        <v>1</v>
      </c>
      <c r="E434" s="41" t="s">
        <v>353</v>
      </c>
      <c r="F434" s="42">
        <v>0</v>
      </c>
      <c r="G434" s="9">
        <v>0</v>
      </c>
      <c r="H434" s="45">
        <v>450</v>
      </c>
      <c r="I434" s="9">
        <v>450</v>
      </c>
      <c r="J434" s="48" t="s">
        <v>338</v>
      </c>
      <c r="K434" s="43">
        <v>450</v>
      </c>
      <c r="L434" s="45" t="s">
        <v>15</v>
      </c>
    </row>
    <row r="435" spans="1:12" ht="15.75" customHeight="1" x14ac:dyDescent="0.3">
      <c r="A435" s="21">
        <v>7</v>
      </c>
      <c r="B435" s="25">
        <v>45482</v>
      </c>
      <c r="C435" s="29" t="s">
        <v>335</v>
      </c>
      <c r="D435" s="36">
        <v>2</v>
      </c>
      <c r="E435" s="41" t="s">
        <v>353</v>
      </c>
      <c r="F435" s="42">
        <v>3</v>
      </c>
      <c r="G435" s="9">
        <v>6</v>
      </c>
      <c r="H435" s="45">
        <v>10</v>
      </c>
      <c r="I435" s="9">
        <v>20</v>
      </c>
      <c r="J435" s="48" t="s">
        <v>338</v>
      </c>
      <c r="K435" s="43">
        <v>14</v>
      </c>
      <c r="L435" s="45" t="s">
        <v>15</v>
      </c>
    </row>
    <row r="436" spans="1:12" ht="15.75" customHeight="1" x14ac:dyDescent="0.3">
      <c r="A436" s="21">
        <v>7</v>
      </c>
      <c r="B436" s="25">
        <v>45483</v>
      </c>
      <c r="C436" s="29" t="s">
        <v>315</v>
      </c>
      <c r="D436" s="36">
        <v>1</v>
      </c>
      <c r="E436" s="41" t="s">
        <v>20</v>
      </c>
      <c r="F436" s="42">
        <v>7.0000000000000007E-2</v>
      </c>
      <c r="G436" s="9">
        <v>7.0000000000000007E-2</v>
      </c>
      <c r="H436" s="45">
        <v>1</v>
      </c>
      <c r="I436" s="9">
        <v>1</v>
      </c>
      <c r="J436" s="48" t="s">
        <v>338</v>
      </c>
      <c r="K436" s="43">
        <v>0.92999999999999994</v>
      </c>
      <c r="L436" s="45" t="s">
        <v>15</v>
      </c>
    </row>
    <row r="437" spans="1:12" ht="15.75" customHeight="1" x14ac:dyDescent="0.3">
      <c r="A437" s="21">
        <v>7</v>
      </c>
      <c r="B437" s="25">
        <v>45486</v>
      </c>
      <c r="C437" s="29" t="s">
        <v>354</v>
      </c>
      <c r="D437" s="36">
        <v>1</v>
      </c>
      <c r="E437" s="41" t="s">
        <v>20</v>
      </c>
      <c r="F437" s="42">
        <v>18.8</v>
      </c>
      <c r="G437" s="9">
        <v>18.8</v>
      </c>
      <c r="H437" s="45">
        <v>30</v>
      </c>
      <c r="I437" s="9">
        <v>30</v>
      </c>
      <c r="J437" s="48" t="s">
        <v>24</v>
      </c>
      <c r="K437" s="43">
        <v>11.2</v>
      </c>
      <c r="L437" s="45" t="s">
        <v>15</v>
      </c>
    </row>
    <row r="438" spans="1:12" ht="15.75" customHeight="1" x14ac:dyDescent="0.3">
      <c r="A438" s="21">
        <v>7</v>
      </c>
      <c r="B438" s="25">
        <v>45486</v>
      </c>
      <c r="C438" s="29" t="s">
        <v>210</v>
      </c>
      <c r="D438" s="36">
        <v>1</v>
      </c>
      <c r="E438" s="41" t="s">
        <v>20</v>
      </c>
      <c r="F438" s="42">
        <v>15</v>
      </c>
      <c r="G438" s="9">
        <v>15</v>
      </c>
      <c r="H438" s="45">
        <v>30</v>
      </c>
      <c r="I438" s="9">
        <v>30</v>
      </c>
      <c r="J438" s="48" t="s">
        <v>338</v>
      </c>
      <c r="K438" s="43">
        <v>15</v>
      </c>
      <c r="L438" s="45" t="s">
        <v>15</v>
      </c>
    </row>
    <row r="439" spans="1:12" ht="15.75" customHeight="1" x14ac:dyDescent="0.3">
      <c r="A439" s="21">
        <v>7</v>
      </c>
      <c r="B439" s="25">
        <v>45487</v>
      </c>
      <c r="C439" s="29" t="s">
        <v>275</v>
      </c>
      <c r="D439" s="36">
        <v>1</v>
      </c>
      <c r="E439" s="41" t="s">
        <v>355</v>
      </c>
      <c r="F439" s="42">
        <v>18</v>
      </c>
      <c r="G439" s="9">
        <v>18</v>
      </c>
      <c r="H439" s="45">
        <v>30</v>
      </c>
      <c r="I439" s="9">
        <v>30</v>
      </c>
      <c r="J439" s="48" t="s">
        <v>24</v>
      </c>
      <c r="K439" s="43">
        <v>12</v>
      </c>
      <c r="L439" s="45" t="s">
        <v>15</v>
      </c>
    </row>
    <row r="440" spans="1:12" ht="15.75" customHeight="1" x14ac:dyDescent="0.3">
      <c r="A440" s="21">
        <v>7</v>
      </c>
      <c r="B440" s="25">
        <v>45487</v>
      </c>
      <c r="C440" s="29" t="s">
        <v>251</v>
      </c>
      <c r="D440" s="36">
        <v>1</v>
      </c>
      <c r="E440" s="41" t="s">
        <v>355</v>
      </c>
      <c r="F440" s="42">
        <v>11</v>
      </c>
      <c r="G440" s="9">
        <v>11</v>
      </c>
      <c r="H440" s="45">
        <v>30</v>
      </c>
      <c r="I440" s="9">
        <v>30</v>
      </c>
      <c r="J440" s="48" t="s">
        <v>24</v>
      </c>
      <c r="K440" s="43">
        <v>19</v>
      </c>
      <c r="L440" s="45" t="s">
        <v>15</v>
      </c>
    </row>
    <row r="441" spans="1:12" ht="15.75" customHeight="1" x14ac:dyDescent="0.3">
      <c r="A441" s="21">
        <v>7</v>
      </c>
      <c r="B441" s="25">
        <v>45487</v>
      </c>
      <c r="C441" s="29" t="s">
        <v>356</v>
      </c>
      <c r="D441" s="36">
        <v>1</v>
      </c>
      <c r="E441" s="41" t="s">
        <v>355</v>
      </c>
      <c r="F441" s="42">
        <v>6</v>
      </c>
      <c r="G441" s="9">
        <v>6</v>
      </c>
      <c r="H441" s="45">
        <v>40</v>
      </c>
      <c r="I441" s="9">
        <v>40</v>
      </c>
      <c r="J441" s="48" t="s">
        <v>24</v>
      </c>
      <c r="K441" s="43">
        <v>34</v>
      </c>
      <c r="L441" s="45" t="s">
        <v>15</v>
      </c>
    </row>
    <row r="442" spans="1:12" ht="15.75" customHeight="1" x14ac:dyDescent="0.3">
      <c r="A442" s="21">
        <v>7</v>
      </c>
      <c r="B442" s="25">
        <v>45488</v>
      </c>
      <c r="C442" s="29" t="s">
        <v>315</v>
      </c>
      <c r="D442" s="36">
        <v>1</v>
      </c>
      <c r="E442" s="41" t="s">
        <v>20</v>
      </c>
      <c r="F442" s="42">
        <v>7.0000000000000007E-2</v>
      </c>
      <c r="G442" s="9">
        <v>7.0000000000000007E-2</v>
      </c>
      <c r="H442" s="45">
        <v>1</v>
      </c>
      <c r="I442" s="9">
        <v>1</v>
      </c>
      <c r="J442" s="48" t="s">
        <v>338</v>
      </c>
      <c r="K442" s="43">
        <v>0.92999999999999994</v>
      </c>
      <c r="L442" s="45" t="s">
        <v>15</v>
      </c>
    </row>
    <row r="443" spans="1:12" ht="15.75" customHeight="1" x14ac:dyDescent="0.3">
      <c r="A443" s="21">
        <v>7</v>
      </c>
      <c r="B443" s="25">
        <v>45490</v>
      </c>
      <c r="C443" s="29" t="s">
        <v>315</v>
      </c>
      <c r="D443" s="36">
        <v>3</v>
      </c>
      <c r="E443" s="41" t="s">
        <v>357</v>
      </c>
      <c r="F443" s="42">
        <v>7.0000000000000007E-2</v>
      </c>
      <c r="G443" s="9">
        <v>0.21000000000000002</v>
      </c>
      <c r="H443" s="45">
        <v>1</v>
      </c>
      <c r="I443" s="9">
        <v>3</v>
      </c>
      <c r="J443" s="48" t="s">
        <v>338</v>
      </c>
      <c r="K443" s="43">
        <v>2.79</v>
      </c>
      <c r="L443" s="45" t="s">
        <v>15</v>
      </c>
    </row>
    <row r="444" spans="1:12" ht="15.75" customHeight="1" x14ac:dyDescent="0.3">
      <c r="A444" s="21">
        <v>7</v>
      </c>
      <c r="B444" s="25">
        <v>45490</v>
      </c>
      <c r="C444" s="29" t="s">
        <v>358</v>
      </c>
      <c r="D444" s="36">
        <v>1</v>
      </c>
      <c r="E444" s="41" t="s">
        <v>20</v>
      </c>
      <c r="F444" s="42">
        <v>2.5</v>
      </c>
      <c r="G444" s="9">
        <v>2.5</v>
      </c>
      <c r="H444" s="45">
        <v>10</v>
      </c>
      <c r="I444" s="9">
        <v>10</v>
      </c>
      <c r="J444" s="48" t="s">
        <v>338</v>
      </c>
      <c r="K444" s="43">
        <v>7.5</v>
      </c>
      <c r="L444" s="45" t="s">
        <v>15</v>
      </c>
    </row>
    <row r="445" spans="1:12" ht="15.75" customHeight="1" x14ac:dyDescent="0.3">
      <c r="A445" s="21">
        <v>7</v>
      </c>
      <c r="B445" s="25">
        <v>45490</v>
      </c>
      <c r="C445" s="29" t="s">
        <v>162</v>
      </c>
      <c r="D445" s="36">
        <v>1</v>
      </c>
      <c r="E445" s="41" t="s">
        <v>357</v>
      </c>
      <c r="F445" s="42">
        <v>27.5</v>
      </c>
      <c r="G445" s="9">
        <v>27.5</v>
      </c>
      <c r="H445" s="45">
        <v>50</v>
      </c>
      <c r="I445" s="9">
        <v>50</v>
      </c>
      <c r="J445" s="48" t="s">
        <v>24</v>
      </c>
      <c r="K445" s="43">
        <v>22.5</v>
      </c>
      <c r="L445" s="45" t="s">
        <v>15</v>
      </c>
    </row>
    <row r="446" spans="1:12" ht="15.75" customHeight="1" x14ac:dyDescent="0.3">
      <c r="A446" s="21">
        <v>7</v>
      </c>
      <c r="B446" s="25">
        <v>45493</v>
      </c>
      <c r="C446" s="29" t="s">
        <v>315</v>
      </c>
      <c r="D446" s="36">
        <v>2</v>
      </c>
      <c r="E446" s="41" t="s">
        <v>20</v>
      </c>
      <c r="F446" s="42">
        <v>7.0000000000000007E-2</v>
      </c>
      <c r="G446" s="9">
        <v>0.14000000000000001</v>
      </c>
      <c r="H446" s="45">
        <v>1</v>
      </c>
      <c r="I446" s="9">
        <v>2</v>
      </c>
      <c r="J446" s="48" t="s">
        <v>338</v>
      </c>
      <c r="K446" s="43">
        <v>1.8599999999999999</v>
      </c>
      <c r="L446" s="45" t="s">
        <v>15</v>
      </c>
    </row>
    <row r="447" spans="1:12" ht="15.75" customHeight="1" x14ac:dyDescent="0.3">
      <c r="A447" s="21">
        <v>7</v>
      </c>
      <c r="B447" s="25">
        <v>45495</v>
      </c>
      <c r="C447" s="29" t="s">
        <v>223</v>
      </c>
      <c r="D447" s="36">
        <v>1</v>
      </c>
      <c r="E447" s="41" t="s">
        <v>20</v>
      </c>
      <c r="F447" s="42">
        <v>11</v>
      </c>
      <c r="G447" s="9">
        <v>11</v>
      </c>
      <c r="H447" s="45">
        <v>25</v>
      </c>
      <c r="I447" s="9">
        <v>25</v>
      </c>
      <c r="J447" s="48" t="s">
        <v>338</v>
      </c>
      <c r="K447" s="43">
        <v>14</v>
      </c>
      <c r="L447" s="45" t="s">
        <v>15</v>
      </c>
    </row>
    <row r="448" spans="1:12" ht="15.75" customHeight="1" x14ac:dyDescent="0.3">
      <c r="A448" s="21">
        <v>7</v>
      </c>
      <c r="B448" s="25">
        <v>45495</v>
      </c>
      <c r="C448" s="29" t="s">
        <v>335</v>
      </c>
      <c r="D448" s="36">
        <v>1</v>
      </c>
      <c r="E448" s="41" t="s">
        <v>20</v>
      </c>
      <c r="F448" s="42">
        <v>3</v>
      </c>
      <c r="G448" s="9">
        <v>3</v>
      </c>
      <c r="H448" s="45">
        <v>15</v>
      </c>
      <c r="I448" s="9">
        <v>15</v>
      </c>
      <c r="J448" s="48" t="s">
        <v>24</v>
      </c>
      <c r="K448" s="43">
        <v>12</v>
      </c>
      <c r="L448" s="45" t="s">
        <v>15</v>
      </c>
    </row>
    <row r="449" spans="1:12" ht="15.75" customHeight="1" x14ac:dyDescent="0.3">
      <c r="A449" s="21">
        <v>7</v>
      </c>
      <c r="B449" s="25">
        <v>45496</v>
      </c>
      <c r="C449" s="29" t="s">
        <v>359</v>
      </c>
      <c r="D449" s="36">
        <v>18</v>
      </c>
      <c r="E449" s="41" t="s">
        <v>20</v>
      </c>
      <c r="F449" s="42">
        <v>0</v>
      </c>
      <c r="G449" s="9">
        <v>0</v>
      </c>
      <c r="H449" s="45">
        <v>1</v>
      </c>
      <c r="I449" s="9">
        <v>18</v>
      </c>
      <c r="J449" s="48" t="s">
        <v>24</v>
      </c>
      <c r="K449" s="43">
        <v>18</v>
      </c>
      <c r="L449" s="45" t="s">
        <v>15</v>
      </c>
    </row>
    <row r="450" spans="1:12" ht="15.75" customHeight="1" x14ac:dyDescent="0.3">
      <c r="A450" s="21">
        <v>7</v>
      </c>
      <c r="B450" s="25">
        <v>45497</v>
      </c>
      <c r="C450" s="29" t="s">
        <v>335</v>
      </c>
      <c r="D450" s="36">
        <v>1</v>
      </c>
      <c r="E450" s="41" t="s">
        <v>20</v>
      </c>
      <c r="F450" s="42">
        <v>3</v>
      </c>
      <c r="G450" s="9">
        <v>3</v>
      </c>
      <c r="H450" s="45">
        <v>15</v>
      </c>
      <c r="I450" s="9">
        <v>15</v>
      </c>
      <c r="J450" s="48" t="s">
        <v>24</v>
      </c>
      <c r="K450" s="43">
        <v>12</v>
      </c>
      <c r="L450" s="45" t="s">
        <v>15</v>
      </c>
    </row>
    <row r="451" spans="1:12" ht="15.75" customHeight="1" x14ac:dyDescent="0.3">
      <c r="A451" s="21">
        <v>7</v>
      </c>
      <c r="B451" s="25">
        <v>45497</v>
      </c>
      <c r="C451" s="29" t="s">
        <v>267</v>
      </c>
      <c r="D451" s="36">
        <v>1</v>
      </c>
      <c r="E451" s="41" t="s">
        <v>20</v>
      </c>
      <c r="F451" s="42">
        <v>0</v>
      </c>
      <c r="G451" s="9">
        <v>0</v>
      </c>
      <c r="H451" s="45">
        <v>30</v>
      </c>
      <c r="I451" s="9">
        <v>30</v>
      </c>
      <c r="J451" s="48" t="s">
        <v>24</v>
      </c>
      <c r="K451" s="43">
        <v>30</v>
      </c>
      <c r="L451" s="45" t="s">
        <v>15</v>
      </c>
    </row>
    <row r="452" spans="1:12" ht="15.75" customHeight="1" x14ac:dyDescent="0.3">
      <c r="A452" s="21">
        <v>7</v>
      </c>
      <c r="B452" s="25">
        <v>45497</v>
      </c>
      <c r="C452" s="29" t="s">
        <v>267</v>
      </c>
      <c r="D452" s="36">
        <v>1</v>
      </c>
      <c r="E452" s="41" t="s">
        <v>20</v>
      </c>
      <c r="F452" s="42">
        <v>0</v>
      </c>
      <c r="G452" s="9">
        <v>0</v>
      </c>
      <c r="H452" s="45">
        <v>10</v>
      </c>
      <c r="I452" s="9">
        <v>10</v>
      </c>
      <c r="J452" s="48" t="s">
        <v>24</v>
      </c>
      <c r="K452" s="43">
        <v>10</v>
      </c>
      <c r="L452" s="45" t="s">
        <v>15</v>
      </c>
    </row>
    <row r="453" spans="1:12" ht="15.75" customHeight="1" x14ac:dyDescent="0.3">
      <c r="A453" s="21">
        <v>7</v>
      </c>
      <c r="B453" s="25">
        <v>45499</v>
      </c>
      <c r="C453" s="29" t="s">
        <v>360</v>
      </c>
      <c r="D453" s="36">
        <v>1</v>
      </c>
      <c r="E453" s="41" t="s">
        <v>361</v>
      </c>
      <c r="F453" s="42">
        <v>25</v>
      </c>
      <c r="G453" s="9">
        <v>25</v>
      </c>
      <c r="H453" s="45">
        <v>50</v>
      </c>
      <c r="I453" s="9">
        <v>50</v>
      </c>
      <c r="J453" s="48" t="s">
        <v>338</v>
      </c>
      <c r="K453" s="43">
        <v>25</v>
      </c>
      <c r="L453" s="45" t="s">
        <v>15</v>
      </c>
    </row>
    <row r="454" spans="1:12" ht="15.75" customHeight="1" x14ac:dyDescent="0.3">
      <c r="A454" s="21">
        <v>7</v>
      </c>
      <c r="B454" s="25">
        <v>45499</v>
      </c>
      <c r="C454" s="29" t="s">
        <v>335</v>
      </c>
      <c r="D454" s="36">
        <v>2</v>
      </c>
      <c r="E454" s="41" t="s">
        <v>20</v>
      </c>
      <c r="F454" s="42">
        <v>3</v>
      </c>
      <c r="G454" s="9">
        <v>6</v>
      </c>
      <c r="H454" s="45">
        <v>15</v>
      </c>
      <c r="I454" s="9">
        <v>30</v>
      </c>
      <c r="J454" s="48" t="s">
        <v>338</v>
      </c>
      <c r="K454" s="43">
        <v>24</v>
      </c>
      <c r="L454" s="45" t="s">
        <v>128</v>
      </c>
    </row>
    <row r="455" spans="1:12" ht="15.75" customHeight="1" x14ac:dyDescent="0.3">
      <c r="A455" s="21">
        <v>7</v>
      </c>
      <c r="B455" s="25">
        <v>45499</v>
      </c>
      <c r="C455" s="29" t="s">
        <v>48</v>
      </c>
      <c r="D455" s="36">
        <v>2</v>
      </c>
      <c r="E455" s="41" t="s">
        <v>20</v>
      </c>
      <c r="F455" s="42">
        <v>3</v>
      </c>
      <c r="G455" s="9">
        <v>6</v>
      </c>
      <c r="H455" s="45">
        <v>15</v>
      </c>
      <c r="I455" s="9">
        <v>30</v>
      </c>
      <c r="J455" s="48" t="s">
        <v>338</v>
      </c>
      <c r="K455" s="43">
        <v>24</v>
      </c>
      <c r="L455" s="45" t="s">
        <v>128</v>
      </c>
    </row>
    <row r="456" spans="1:12" ht="15.75" customHeight="1" x14ac:dyDescent="0.3">
      <c r="A456" s="21">
        <v>7</v>
      </c>
      <c r="B456" s="25">
        <v>45499</v>
      </c>
      <c r="C456" s="29" t="s">
        <v>105</v>
      </c>
      <c r="D456" s="36">
        <v>1</v>
      </c>
      <c r="E456" s="41" t="s">
        <v>20</v>
      </c>
      <c r="F456" s="42">
        <v>12</v>
      </c>
      <c r="G456" s="9">
        <v>12</v>
      </c>
      <c r="H456" s="45">
        <v>30</v>
      </c>
      <c r="I456" s="9">
        <v>30</v>
      </c>
      <c r="J456" s="48" t="s">
        <v>338</v>
      </c>
      <c r="K456" s="43">
        <v>18</v>
      </c>
      <c r="L456" s="45" t="s">
        <v>128</v>
      </c>
    </row>
    <row r="457" spans="1:12" ht="15.75" customHeight="1" x14ac:dyDescent="0.3">
      <c r="A457" s="21">
        <v>7</v>
      </c>
      <c r="B457" s="25">
        <v>45499</v>
      </c>
      <c r="C457" s="29" t="s">
        <v>343</v>
      </c>
      <c r="D457" s="36">
        <v>1</v>
      </c>
      <c r="E457" s="41" t="s">
        <v>20</v>
      </c>
      <c r="F457" s="42">
        <v>0.05</v>
      </c>
      <c r="G457" s="9">
        <v>0.05</v>
      </c>
      <c r="H457" s="45">
        <v>2</v>
      </c>
      <c r="I457" s="9">
        <v>2</v>
      </c>
      <c r="J457" s="48" t="s">
        <v>338</v>
      </c>
      <c r="K457" s="43">
        <v>1.95</v>
      </c>
      <c r="L457" s="45" t="s">
        <v>15</v>
      </c>
    </row>
    <row r="458" spans="1:12" ht="15.75" customHeight="1" x14ac:dyDescent="0.3">
      <c r="A458" s="21">
        <v>7</v>
      </c>
      <c r="B458" s="25">
        <v>45500</v>
      </c>
      <c r="C458" s="29" t="s">
        <v>362</v>
      </c>
      <c r="D458" s="36">
        <v>1</v>
      </c>
      <c r="E458" s="41" t="s">
        <v>270</v>
      </c>
      <c r="F458" s="42">
        <v>77</v>
      </c>
      <c r="G458" s="9">
        <v>77</v>
      </c>
      <c r="H458" s="45">
        <v>130</v>
      </c>
      <c r="I458" s="9">
        <v>130</v>
      </c>
      <c r="J458" s="48" t="s">
        <v>24</v>
      </c>
      <c r="K458" s="43">
        <v>53</v>
      </c>
      <c r="L458" s="45" t="s">
        <v>15</v>
      </c>
    </row>
    <row r="459" spans="1:12" ht="15.75" customHeight="1" x14ac:dyDescent="0.3">
      <c r="A459" s="21">
        <v>7</v>
      </c>
      <c r="B459" s="25">
        <v>45500</v>
      </c>
      <c r="C459" s="29" t="s">
        <v>301</v>
      </c>
      <c r="D459" s="36">
        <v>1</v>
      </c>
      <c r="E459" s="41" t="s">
        <v>270</v>
      </c>
      <c r="F459" s="42">
        <v>8</v>
      </c>
      <c r="G459" s="9">
        <v>8</v>
      </c>
      <c r="H459" s="45">
        <v>20</v>
      </c>
      <c r="I459" s="9">
        <v>20</v>
      </c>
      <c r="J459" s="48" t="s">
        <v>24</v>
      </c>
      <c r="K459" s="43">
        <v>12</v>
      </c>
      <c r="L459" s="45" t="s">
        <v>15</v>
      </c>
    </row>
    <row r="460" spans="1:12" ht="15.75" customHeight="1" x14ac:dyDescent="0.3">
      <c r="A460" s="21">
        <v>7</v>
      </c>
      <c r="B460" s="25">
        <v>45502</v>
      </c>
      <c r="C460" s="29" t="s">
        <v>315</v>
      </c>
      <c r="D460" s="36">
        <v>2</v>
      </c>
      <c r="E460" s="41" t="s">
        <v>20</v>
      </c>
      <c r="F460" s="42">
        <v>7.0000000000000007E-2</v>
      </c>
      <c r="G460" s="9">
        <v>0.14000000000000001</v>
      </c>
      <c r="H460" s="45">
        <v>1</v>
      </c>
      <c r="I460" s="9">
        <v>2</v>
      </c>
      <c r="J460" s="48" t="s">
        <v>338</v>
      </c>
      <c r="K460" s="43">
        <v>1.8599999999999999</v>
      </c>
      <c r="L460" s="45" t="s">
        <v>15</v>
      </c>
    </row>
    <row r="461" spans="1:12" ht="15.75" customHeight="1" x14ac:dyDescent="0.3">
      <c r="A461" s="21">
        <v>7</v>
      </c>
      <c r="B461" s="25">
        <v>45503</v>
      </c>
      <c r="C461" s="29" t="s">
        <v>363</v>
      </c>
      <c r="D461" s="36">
        <v>1</v>
      </c>
      <c r="E461" s="41" t="s">
        <v>20</v>
      </c>
      <c r="F461" s="42">
        <v>4</v>
      </c>
      <c r="G461" s="9">
        <v>4</v>
      </c>
      <c r="H461" s="45">
        <v>15</v>
      </c>
      <c r="I461" s="9">
        <v>15</v>
      </c>
      <c r="J461" s="48" t="s">
        <v>24</v>
      </c>
      <c r="K461" s="43">
        <v>11</v>
      </c>
      <c r="L461" s="45" t="s">
        <v>15</v>
      </c>
    </row>
    <row r="462" spans="1:12" ht="15.75" customHeight="1" x14ac:dyDescent="0.3">
      <c r="A462" s="21">
        <v>7</v>
      </c>
      <c r="B462" s="25">
        <v>45504</v>
      </c>
      <c r="C462" s="29" t="s">
        <v>271</v>
      </c>
      <c r="D462" s="36">
        <v>1</v>
      </c>
      <c r="E462" s="41" t="s">
        <v>20</v>
      </c>
      <c r="F462" s="42">
        <v>15</v>
      </c>
      <c r="G462" s="9">
        <v>15</v>
      </c>
      <c r="H462" s="45">
        <v>40</v>
      </c>
      <c r="I462" s="9">
        <v>40</v>
      </c>
      <c r="J462" s="48" t="s">
        <v>338</v>
      </c>
      <c r="K462" s="43">
        <v>25</v>
      </c>
      <c r="L462" s="45" t="s">
        <v>15</v>
      </c>
    </row>
    <row r="463" spans="1:12" ht="15.75" customHeight="1" x14ac:dyDescent="0.3">
      <c r="A463" s="21">
        <v>7</v>
      </c>
      <c r="B463" s="25">
        <v>45504</v>
      </c>
      <c r="C463" s="29" t="s">
        <v>315</v>
      </c>
      <c r="D463" s="36">
        <v>2</v>
      </c>
      <c r="E463" s="41" t="s">
        <v>357</v>
      </c>
      <c r="F463" s="42">
        <v>7.0000000000000007E-2</v>
      </c>
      <c r="G463" s="9">
        <v>0.14000000000000001</v>
      </c>
      <c r="H463" s="45">
        <v>1</v>
      </c>
      <c r="I463" s="9">
        <v>2</v>
      </c>
      <c r="J463" s="48" t="s">
        <v>338</v>
      </c>
      <c r="K463" s="43">
        <v>1.8599999999999999</v>
      </c>
      <c r="L463" s="45" t="s">
        <v>15</v>
      </c>
    </row>
    <row r="464" spans="1:12" ht="15.75" customHeight="1" x14ac:dyDescent="0.3">
      <c r="A464" s="21">
        <v>8</v>
      </c>
      <c r="B464" s="25">
        <v>45505</v>
      </c>
      <c r="C464" s="29" t="s">
        <v>282</v>
      </c>
      <c r="D464" s="36">
        <v>1</v>
      </c>
      <c r="E464" s="41" t="s">
        <v>20</v>
      </c>
      <c r="F464" s="42">
        <v>11.5</v>
      </c>
      <c r="G464" s="9">
        <v>11.5</v>
      </c>
      <c r="H464" s="45">
        <v>20</v>
      </c>
      <c r="I464" s="9">
        <v>20</v>
      </c>
      <c r="J464" s="48" t="s">
        <v>338</v>
      </c>
      <c r="K464" s="43">
        <v>8.5</v>
      </c>
      <c r="L464" s="45" t="s">
        <v>15</v>
      </c>
    </row>
    <row r="465" spans="1:12" ht="15.75" customHeight="1" x14ac:dyDescent="0.3">
      <c r="A465" s="21">
        <v>8</v>
      </c>
      <c r="B465" s="25">
        <v>45506</v>
      </c>
      <c r="C465" s="29" t="s">
        <v>236</v>
      </c>
      <c r="D465" s="36">
        <v>1</v>
      </c>
      <c r="E465" s="41" t="s">
        <v>20</v>
      </c>
      <c r="F465" s="42">
        <v>1</v>
      </c>
      <c r="G465" s="9">
        <v>1</v>
      </c>
      <c r="H465" s="45">
        <v>10</v>
      </c>
      <c r="I465" s="9">
        <v>10</v>
      </c>
      <c r="J465" s="48" t="s">
        <v>338</v>
      </c>
      <c r="K465" s="43">
        <v>9</v>
      </c>
      <c r="L465" s="45" t="s">
        <v>15</v>
      </c>
    </row>
    <row r="466" spans="1:12" ht="15.75" customHeight="1" x14ac:dyDescent="0.3">
      <c r="A466" s="21">
        <v>8</v>
      </c>
      <c r="B466" s="25">
        <v>45506</v>
      </c>
      <c r="C466" s="29" t="s">
        <v>364</v>
      </c>
      <c r="D466" s="36">
        <v>1</v>
      </c>
      <c r="E466" s="41" t="s">
        <v>20</v>
      </c>
      <c r="F466" s="42">
        <v>41.49</v>
      </c>
      <c r="G466" s="9">
        <v>41.49</v>
      </c>
      <c r="H466" s="45">
        <v>120</v>
      </c>
      <c r="I466" s="9">
        <v>120</v>
      </c>
      <c r="J466" s="48" t="s">
        <v>338</v>
      </c>
      <c r="K466" s="43">
        <v>78.509999999999991</v>
      </c>
      <c r="L466" s="45" t="s">
        <v>15</v>
      </c>
    </row>
    <row r="467" spans="1:12" ht="15.75" customHeight="1" x14ac:dyDescent="0.3">
      <c r="A467" s="21">
        <v>8</v>
      </c>
      <c r="B467" s="25">
        <v>45507</v>
      </c>
      <c r="C467" s="29" t="s">
        <v>365</v>
      </c>
      <c r="D467" s="36">
        <v>1</v>
      </c>
      <c r="E467" s="41" t="s">
        <v>366</v>
      </c>
      <c r="F467" s="42">
        <v>24</v>
      </c>
      <c r="G467" s="9">
        <v>24</v>
      </c>
      <c r="H467" s="45">
        <v>60</v>
      </c>
      <c r="I467" s="9">
        <v>60</v>
      </c>
      <c r="J467" s="48" t="s">
        <v>338</v>
      </c>
      <c r="K467" s="43">
        <v>36</v>
      </c>
      <c r="L467" s="45" t="s">
        <v>15</v>
      </c>
    </row>
    <row r="468" spans="1:12" ht="15.75" customHeight="1" x14ac:dyDescent="0.3">
      <c r="A468" s="21">
        <v>8</v>
      </c>
      <c r="B468" s="25">
        <v>45507</v>
      </c>
      <c r="C468" s="29" t="s">
        <v>315</v>
      </c>
      <c r="D468" s="36">
        <v>9</v>
      </c>
      <c r="E468" s="41" t="s">
        <v>20</v>
      </c>
      <c r="F468" s="42">
        <v>7.0000000000000007E-2</v>
      </c>
      <c r="G468" s="9">
        <v>0.63000000000000012</v>
      </c>
      <c r="H468" s="45">
        <v>1</v>
      </c>
      <c r="I468" s="9">
        <v>9</v>
      </c>
      <c r="J468" s="48" t="s">
        <v>338</v>
      </c>
      <c r="K468" s="43">
        <v>8.3699999999999992</v>
      </c>
      <c r="L468" s="45" t="s">
        <v>15</v>
      </c>
    </row>
    <row r="469" spans="1:12" ht="15.75" customHeight="1" x14ac:dyDescent="0.3">
      <c r="A469" s="21">
        <v>8</v>
      </c>
      <c r="B469" s="25">
        <v>45509</v>
      </c>
      <c r="C469" s="29" t="s">
        <v>315</v>
      </c>
      <c r="D469" s="36">
        <v>1</v>
      </c>
      <c r="E469" s="41" t="s">
        <v>20</v>
      </c>
      <c r="F469" s="42">
        <v>7.0000000000000007E-2</v>
      </c>
      <c r="G469" s="9">
        <v>7.0000000000000007E-2</v>
      </c>
      <c r="H469" s="45">
        <v>1</v>
      </c>
      <c r="I469" s="9">
        <v>1</v>
      </c>
      <c r="J469" s="48" t="s">
        <v>338</v>
      </c>
      <c r="K469" s="43">
        <v>0.92999999999999994</v>
      </c>
      <c r="L469" s="45" t="s">
        <v>15</v>
      </c>
    </row>
    <row r="470" spans="1:12" ht="15.75" customHeight="1" x14ac:dyDescent="0.3">
      <c r="A470" s="21">
        <v>8</v>
      </c>
      <c r="B470" s="25">
        <v>45509</v>
      </c>
      <c r="C470" s="29" t="s">
        <v>367</v>
      </c>
      <c r="D470" s="36">
        <v>1</v>
      </c>
      <c r="E470" s="41" t="s">
        <v>20</v>
      </c>
      <c r="F470" s="42">
        <v>14</v>
      </c>
      <c r="G470" s="9">
        <v>14</v>
      </c>
      <c r="H470" s="45">
        <v>30</v>
      </c>
      <c r="I470" s="9">
        <v>30</v>
      </c>
      <c r="J470" s="48" t="s">
        <v>338</v>
      </c>
      <c r="K470" s="43">
        <v>16</v>
      </c>
      <c r="L470" s="45" t="s">
        <v>15</v>
      </c>
    </row>
    <row r="471" spans="1:12" ht="15.75" customHeight="1" x14ac:dyDescent="0.3">
      <c r="A471" s="21">
        <v>8</v>
      </c>
      <c r="B471" s="25">
        <v>45509</v>
      </c>
      <c r="C471" s="29" t="s">
        <v>236</v>
      </c>
      <c r="D471" s="36">
        <v>2</v>
      </c>
      <c r="E471" s="41" t="s">
        <v>20</v>
      </c>
      <c r="F471" s="42">
        <v>1</v>
      </c>
      <c r="G471" s="9">
        <v>2</v>
      </c>
      <c r="H471" s="45">
        <v>10</v>
      </c>
      <c r="I471" s="9">
        <v>20</v>
      </c>
      <c r="J471" s="48" t="s">
        <v>338</v>
      </c>
      <c r="K471" s="43">
        <v>18</v>
      </c>
      <c r="L471" s="45" t="s">
        <v>15</v>
      </c>
    </row>
    <row r="472" spans="1:12" ht="15.75" customHeight="1" x14ac:dyDescent="0.3">
      <c r="A472" s="21">
        <v>8</v>
      </c>
      <c r="B472" s="25">
        <v>45509</v>
      </c>
      <c r="C472" s="29" t="s">
        <v>368</v>
      </c>
      <c r="D472" s="36">
        <v>1</v>
      </c>
      <c r="E472" s="41" t="s">
        <v>20</v>
      </c>
      <c r="F472" s="42">
        <v>17</v>
      </c>
      <c r="G472" s="9">
        <v>17</v>
      </c>
      <c r="H472" s="45">
        <v>30</v>
      </c>
      <c r="I472" s="9">
        <v>30</v>
      </c>
      <c r="J472" s="48" t="s">
        <v>338</v>
      </c>
      <c r="K472" s="43">
        <v>13</v>
      </c>
      <c r="L472" s="45" t="s">
        <v>15</v>
      </c>
    </row>
    <row r="473" spans="1:12" ht="15.75" customHeight="1" x14ac:dyDescent="0.3">
      <c r="A473" s="21">
        <v>8</v>
      </c>
      <c r="B473" s="25">
        <v>45510</v>
      </c>
      <c r="C473" s="29" t="s">
        <v>315</v>
      </c>
      <c r="D473" s="36">
        <v>1</v>
      </c>
      <c r="E473" s="41" t="s">
        <v>20</v>
      </c>
      <c r="F473" s="42">
        <v>7.0000000000000007E-2</v>
      </c>
      <c r="G473" s="9">
        <v>7.0000000000000007E-2</v>
      </c>
      <c r="H473" s="45">
        <v>1</v>
      </c>
      <c r="I473" s="9">
        <v>1</v>
      </c>
      <c r="J473" s="48" t="s">
        <v>338</v>
      </c>
      <c r="K473" s="43">
        <v>0.92999999999999994</v>
      </c>
      <c r="L473" s="45" t="s">
        <v>15</v>
      </c>
    </row>
    <row r="474" spans="1:12" ht="15.75" customHeight="1" x14ac:dyDescent="0.3">
      <c r="A474" s="21">
        <v>8</v>
      </c>
      <c r="B474" s="25">
        <v>45510</v>
      </c>
      <c r="C474" s="29" t="s">
        <v>176</v>
      </c>
      <c r="D474" s="36">
        <v>1</v>
      </c>
      <c r="E474" s="41" t="s">
        <v>322</v>
      </c>
      <c r="F474" s="42">
        <v>5</v>
      </c>
      <c r="G474" s="9">
        <v>5</v>
      </c>
      <c r="H474" s="45">
        <v>10</v>
      </c>
      <c r="I474" s="9">
        <v>10</v>
      </c>
      <c r="J474" s="48" t="s">
        <v>338</v>
      </c>
      <c r="K474" s="43">
        <v>5</v>
      </c>
      <c r="L474" s="45" t="s">
        <v>128</v>
      </c>
    </row>
    <row r="475" spans="1:12" ht="15.75" customHeight="1" x14ac:dyDescent="0.3">
      <c r="A475" s="21">
        <v>8</v>
      </c>
      <c r="B475" s="25">
        <v>45511</v>
      </c>
      <c r="C475" s="29" t="s">
        <v>369</v>
      </c>
      <c r="D475" s="36">
        <v>1</v>
      </c>
      <c r="E475" s="41" t="s">
        <v>366</v>
      </c>
      <c r="F475" s="42">
        <v>18</v>
      </c>
      <c r="G475" s="9">
        <v>18</v>
      </c>
      <c r="H475" s="45">
        <v>60</v>
      </c>
      <c r="I475" s="9">
        <v>60</v>
      </c>
      <c r="J475" s="48" t="s">
        <v>338</v>
      </c>
      <c r="K475" s="43">
        <v>42</v>
      </c>
      <c r="L475" s="45" t="s">
        <v>15</v>
      </c>
    </row>
    <row r="476" spans="1:12" ht="15.75" customHeight="1" x14ac:dyDescent="0.3">
      <c r="A476" s="21">
        <v>8</v>
      </c>
      <c r="B476" s="25">
        <v>45511</v>
      </c>
      <c r="C476" s="29" t="s">
        <v>275</v>
      </c>
      <c r="D476" s="36">
        <v>1</v>
      </c>
      <c r="E476" s="41" t="s">
        <v>20</v>
      </c>
      <c r="F476" s="42">
        <v>18</v>
      </c>
      <c r="G476" s="9">
        <v>18</v>
      </c>
      <c r="H476" s="45">
        <v>30</v>
      </c>
      <c r="I476" s="9">
        <v>30</v>
      </c>
      <c r="J476" s="48" t="s">
        <v>338</v>
      </c>
      <c r="K476" s="43">
        <v>12</v>
      </c>
      <c r="L476" s="45" t="s">
        <v>128</v>
      </c>
    </row>
    <row r="477" spans="1:12" ht="15.75" customHeight="1" x14ac:dyDescent="0.3">
      <c r="A477" s="21">
        <v>8</v>
      </c>
      <c r="B477" s="25">
        <v>45511</v>
      </c>
      <c r="C477" s="29" t="s">
        <v>370</v>
      </c>
      <c r="D477" s="36">
        <v>1</v>
      </c>
      <c r="E477" s="41" t="s">
        <v>20</v>
      </c>
      <c r="F477" s="42">
        <v>11</v>
      </c>
      <c r="G477" s="9">
        <v>11</v>
      </c>
      <c r="H477" s="45">
        <v>30</v>
      </c>
      <c r="I477" s="9">
        <v>30</v>
      </c>
      <c r="J477" s="48" t="s">
        <v>338</v>
      </c>
      <c r="K477" s="43">
        <v>19</v>
      </c>
      <c r="L477" s="45" t="s">
        <v>15</v>
      </c>
    </row>
    <row r="478" spans="1:12" ht="15.75" customHeight="1" x14ac:dyDescent="0.3">
      <c r="A478" s="21">
        <v>8</v>
      </c>
      <c r="B478" s="25">
        <v>45512</v>
      </c>
      <c r="C478" s="29" t="s">
        <v>315</v>
      </c>
      <c r="D478" s="36">
        <v>4</v>
      </c>
      <c r="E478" s="41" t="s">
        <v>20</v>
      </c>
      <c r="F478" s="42">
        <v>7.0000000000000007E-2</v>
      </c>
      <c r="G478" s="9">
        <v>0.28000000000000003</v>
      </c>
      <c r="H478" s="45">
        <v>1</v>
      </c>
      <c r="I478" s="9">
        <v>4</v>
      </c>
      <c r="J478" s="48" t="s">
        <v>338</v>
      </c>
      <c r="K478" s="43">
        <v>3.7199999999999998</v>
      </c>
      <c r="L478" s="45" t="s">
        <v>15</v>
      </c>
    </row>
    <row r="479" spans="1:12" ht="15.75" customHeight="1" x14ac:dyDescent="0.3">
      <c r="A479" s="21">
        <v>8</v>
      </c>
      <c r="B479" s="25">
        <v>45512</v>
      </c>
      <c r="C479" s="29" t="s">
        <v>326</v>
      </c>
      <c r="D479" s="36">
        <v>3</v>
      </c>
      <c r="E479" s="41" t="s">
        <v>20</v>
      </c>
      <c r="F479" s="42">
        <v>0.05</v>
      </c>
      <c r="G479" s="9">
        <v>0.15000000000000002</v>
      </c>
      <c r="H479" s="45">
        <v>1</v>
      </c>
      <c r="I479" s="9">
        <v>3</v>
      </c>
      <c r="J479" s="48" t="s">
        <v>338</v>
      </c>
      <c r="K479" s="43">
        <v>2.85</v>
      </c>
      <c r="L479" s="45" t="s">
        <v>15</v>
      </c>
    </row>
    <row r="480" spans="1:12" ht="15.75" customHeight="1" x14ac:dyDescent="0.3">
      <c r="A480" s="21">
        <v>8</v>
      </c>
      <c r="B480" s="25">
        <v>45512</v>
      </c>
      <c r="C480" s="29" t="s">
        <v>267</v>
      </c>
      <c r="D480" s="36">
        <v>1</v>
      </c>
      <c r="E480" s="41" t="s">
        <v>20</v>
      </c>
      <c r="F480" s="42">
        <v>0</v>
      </c>
      <c r="G480" s="9">
        <v>0</v>
      </c>
      <c r="H480" s="45">
        <v>10</v>
      </c>
      <c r="I480" s="9">
        <v>10</v>
      </c>
      <c r="J480" s="48" t="s">
        <v>338</v>
      </c>
      <c r="K480" s="43">
        <v>10</v>
      </c>
      <c r="L480" s="45" t="s">
        <v>15</v>
      </c>
    </row>
    <row r="481" spans="1:12" ht="15.75" customHeight="1" x14ac:dyDescent="0.3">
      <c r="A481" s="21">
        <v>8</v>
      </c>
      <c r="B481" s="25">
        <v>45512</v>
      </c>
      <c r="C481" s="29" t="s">
        <v>267</v>
      </c>
      <c r="D481" s="36">
        <v>1</v>
      </c>
      <c r="E481" s="41" t="s">
        <v>20</v>
      </c>
      <c r="F481" s="42">
        <v>0</v>
      </c>
      <c r="G481" s="9">
        <v>0</v>
      </c>
      <c r="H481" s="45">
        <v>100</v>
      </c>
      <c r="I481" s="9">
        <v>100</v>
      </c>
      <c r="J481" s="48" t="s">
        <v>338</v>
      </c>
      <c r="K481" s="43">
        <v>100</v>
      </c>
      <c r="L481" s="45" t="s">
        <v>15</v>
      </c>
    </row>
    <row r="482" spans="1:12" ht="15.75" customHeight="1" x14ac:dyDescent="0.3">
      <c r="A482" s="21">
        <v>8</v>
      </c>
      <c r="B482" s="25">
        <v>45512</v>
      </c>
      <c r="C482" s="29" t="s">
        <v>267</v>
      </c>
      <c r="D482" s="36">
        <v>1</v>
      </c>
      <c r="E482" s="41" t="s">
        <v>20</v>
      </c>
      <c r="F482" s="42">
        <v>0</v>
      </c>
      <c r="G482" s="9">
        <v>0</v>
      </c>
      <c r="H482" s="45">
        <v>306</v>
      </c>
      <c r="I482" s="9">
        <v>306</v>
      </c>
      <c r="J482" s="48" t="s">
        <v>338</v>
      </c>
      <c r="K482" s="43">
        <v>306</v>
      </c>
      <c r="L482" s="45" t="s">
        <v>15</v>
      </c>
    </row>
    <row r="483" spans="1:12" ht="15.75" customHeight="1" x14ac:dyDescent="0.3">
      <c r="A483" s="21">
        <v>8</v>
      </c>
      <c r="B483" s="25">
        <v>45512</v>
      </c>
      <c r="C483" s="29" t="s">
        <v>367</v>
      </c>
      <c r="D483" s="36">
        <v>1</v>
      </c>
      <c r="E483" s="41" t="s">
        <v>20</v>
      </c>
      <c r="F483" s="42">
        <v>14</v>
      </c>
      <c r="G483" s="9">
        <v>14</v>
      </c>
      <c r="H483" s="45">
        <v>30</v>
      </c>
      <c r="I483" s="9">
        <v>30</v>
      </c>
      <c r="J483" s="48" t="s">
        <v>338</v>
      </c>
      <c r="K483" s="43">
        <v>16</v>
      </c>
      <c r="L483" s="45" t="s">
        <v>15</v>
      </c>
    </row>
    <row r="484" spans="1:12" ht="15.75" customHeight="1" x14ac:dyDescent="0.3">
      <c r="A484" s="21">
        <v>8</v>
      </c>
      <c r="B484" s="25">
        <v>45516</v>
      </c>
      <c r="C484" s="29" t="s">
        <v>315</v>
      </c>
      <c r="D484" s="36">
        <v>1</v>
      </c>
      <c r="E484" s="41" t="s">
        <v>20</v>
      </c>
      <c r="F484" s="42">
        <v>7.0000000000000007E-2</v>
      </c>
      <c r="G484" s="9">
        <v>7.0000000000000007E-2</v>
      </c>
      <c r="H484" s="45">
        <v>1</v>
      </c>
      <c r="I484" s="9">
        <v>1</v>
      </c>
      <c r="J484" s="48" t="s">
        <v>338</v>
      </c>
      <c r="K484" s="43">
        <v>0.92999999999999994</v>
      </c>
      <c r="L484" s="45" t="s">
        <v>15</v>
      </c>
    </row>
    <row r="485" spans="1:12" ht="15.75" customHeight="1" x14ac:dyDescent="0.3">
      <c r="A485" s="21">
        <v>8</v>
      </c>
      <c r="B485" s="25">
        <v>45516</v>
      </c>
      <c r="C485" s="29" t="s">
        <v>348</v>
      </c>
      <c r="D485" s="36">
        <v>1</v>
      </c>
      <c r="E485" s="41" t="s">
        <v>371</v>
      </c>
      <c r="F485" s="42">
        <v>35</v>
      </c>
      <c r="G485" s="9">
        <v>35</v>
      </c>
      <c r="H485" s="45">
        <v>70</v>
      </c>
      <c r="I485" s="9">
        <v>70</v>
      </c>
      <c r="J485" s="48" t="s">
        <v>338</v>
      </c>
      <c r="K485" s="43">
        <v>35</v>
      </c>
      <c r="L485" s="45" t="s">
        <v>15</v>
      </c>
    </row>
    <row r="486" spans="1:12" ht="15.75" customHeight="1" x14ac:dyDescent="0.3">
      <c r="A486" s="21">
        <v>8</v>
      </c>
      <c r="B486" s="25">
        <v>45517</v>
      </c>
      <c r="C486" s="29" t="s">
        <v>315</v>
      </c>
      <c r="D486" s="36">
        <v>6</v>
      </c>
      <c r="E486" s="41" t="s">
        <v>372</v>
      </c>
      <c r="F486" s="42">
        <v>7.0000000000000007E-2</v>
      </c>
      <c r="G486" s="9">
        <v>0.42000000000000004</v>
      </c>
      <c r="H486" s="45">
        <v>1</v>
      </c>
      <c r="I486" s="9">
        <v>6</v>
      </c>
      <c r="J486" s="48" t="s">
        <v>24</v>
      </c>
      <c r="K486" s="43">
        <v>5.58</v>
      </c>
      <c r="L486" s="45" t="s">
        <v>15</v>
      </c>
    </row>
    <row r="487" spans="1:12" ht="15.75" customHeight="1" x14ac:dyDescent="0.3">
      <c r="A487" s="21">
        <v>8</v>
      </c>
      <c r="B487" s="25">
        <v>45517</v>
      </c>
      <c r="C487" s="29" t="s">
        <v>373</v>
      </c>
      <c r="D487" s="36">
        <v>1</v>
      </c>
      <c r="E487" s="41" t="s">
        <v>20</v>
      </c>
      <c r="F487" s="42">
        <v>10</v>
      </c>
      <c r="G487" s="9">
        <v>10</v>
      </c>
      <c r="H487" s="45">
        <v>22.5</v>
      </c>
      <c r="I487" s="9">
        <v>22.5</v>
      </c>
      <c r="J487" s="48" t="s">
        <v>24</v>
      </c>
      <c r="K487" s="43">
        <v>12.5</v>
      </c>
      <c r="L487" s="45" t="s">
        <v>15</v>
      </c>
    </row>
    <row r="488" spans="1:12" ht="15.75" customHeight="1" x14ac:dyDescent="0.3">
      <c r="A488" s="21">
        <v>8</v>
      </c>
      <c r="B488" s="25">
        <v>45519</v>
      </c>
      <c r="C488" s="29" t="s">
        <v>356</v>
      </c>
      <c r="D488" s="36">
        <v>1</v>
      </c>
      <c r="E488" s="41" t="s">
        <v>374</v>
      </c>
      <c r="F488" s="42">
        <v>6</v>
      </c>
      <c r="G488" s="9">
        <v>6</v>
      </c>
      <c r="H488" s="45">
        <v>25</v>
      </c>
      <c r="I488" s="9">
        <v>25</v>
      </c>
      <c r="J488" s="48" t="s">
        <v>338</v>
      </c>
      <c r="K488" s="43">
        <v>19</v>
      </c>
      <c r="L488" s="45" t="s">
        <v>15</v>
      </c>
    </row>
    <row r="489" spans="1:12" ht="15.75" customHeight="1" x14ac:dyDescent="0.3">
      <c r="A489" s="21">
        <v>8</v>
      </c>
      <c r="B489" s="25">
        <v>45519</v>
      </c>
      <c r="C489" s="29" t="s">
        <v>370</v>
      </c>
      <c r="D489" s="36">
        <v>1</v>
      </c>
      <c r="E489" s="41" t="s">
        <v>374</v>
      </c>
      <c r="F489" s="42">
        <v>11</v>
      </c>
      <c r="G489" s="9">
        <v>11</v>
      </c>
      <c r="H489" s="45">
        <v>25</v>
      </c>
      <c r="I489" s="9">
        <v>25</v>
      </c>
      <c r="J489" s="48" t="s">
        <v>338</v>
      </c>
      <c r="K489" s="43">
        <v>14</v>
      </c>
      <c r="L489" s="45" t="s">
        <v>15</v>
      </c>
    </row>
    <row r="490" spans="1:12" ht="15.75" customHeight="1" x14ac:dyDescent="0.3">
      <c r="A490" s="21">
        <v>8</v>
      </c>
      <c r="B490" s="25">
        <v>45519</v>
      </c>
      <c r="C490" s="29" t="s">
        <v>335</v>
      </c>
      <c r="D490" s="36">
        <v>1</v>
      </c>
      <c r="E490" s="41" t="s">
        <v>374</v>
      </c>
      <c r="F490" s="42">
        <v>3</v>
      </c>
      <c r="G490" s="9">
        <v>3</v>
      </c>
      <c r="H490" s="45">
        <v>15</v>
      </c>
      <c r="I490" s="9">
        <v>15</v>
      </c>
      <c r="J490" s="48" t="s">
        <v>338</v>
      </c>
      <c r="K490" s="43">
        <v>12</v>
      </c>
      <c r="L490" s="45" t="s">
        <v>15</v>
      </c>
    </row>
    <row r="491" spans="1:12" ht="15.75" customHeight="1" x14ac:dyDescent="0.3">
      <c r="A491" s="21">
        <v>8</v>
      </c>
      <c r="B491" s="25">
        <v>45519</v>
      </c>
      <c r="C491" s="29" t="s">
        <v>326</v>
      </c>
      <c r="D491" s="36">
        <v>6</v>
      </c>
      <c r="E491" s="41" t="s">
        <v>20</v>
      </c>
      <c r="F491" s="42">
        <v>0.05</v>
      </c>
      <c r="G491" s="9">
        <v>0.30000000000000004</v>
      </c>
      <c r="H491" s="45">
        <v>1</v>
      </c>
      <c r="I491" s="9">
        <v>6</v>
      </c>
      <c r="J491" s="48" t="s">
        <v>338</v>
      </c>
      <c r="K491" s="43">
        <v>5.7</v>
      </c>
      <c r="L491" s="45" t="s">
        <v>15</v>
      </c>
    </row>
    <row r="492" spans="1:12" ht="15.75" customHeight="1" x14ac:dyDescent="0.3">
      <c r="A492" s="21">
        <v>8</v>
      </c>
      <c r="B492" s="25">
        <v>45519</v>
      </c>
      <c r="C492" s="29" t="s">
        <v>315</v>
      </c>
      <c r="D492" s="36">
        <v>6</v>
      </c>
      <c r="E492" s="41" t="s">
        <v>20</v>
      </c>
      <c r="F492" s="42">
        <v>7.0000000000000007E-2</v>
      </c>
      <c r="G492" s="9">
        <v>0.42000000000000004</v>
      </c>
      <c r="H492" s="45">
        <v>1</v>
      </c>
      <c r="I492" s="9">
        <v>6</v>
      </c>
      <c r="J492" s="48" t="s">
        <v>338</v>
      </c>
      <c r="K492" s="43">
        <v>5.58</v>
      </c>
      <c r="L492" s="45" t="s">
        <v>15</v>
      </c>
    </row>
    <row r="493" spans="1:12" ht="15.75" customHeight="1" x14ac:dyDescent="0.3">
      <c r="A493" s="21">
        <v>8</v>
      </c>
      <c r="B493" s="25">
        <v>45520</v>
      </c>
      <c r="C493" s="29" t="s">
        <v>375</v>
      </c>
      <c r="D493" s="36">
        <v>1</v>
      </c>
      <c r="E493" s="41" t="s">
        <v>340</v>
      </c>
      <c r="F493" s="42">
        <v>24.5</v>
      </c>
      <c r="G493" s="9">
        <v>24.5</v>
      </c>
      <c r="H493" s="45">
        <v>40</v>
      </c>
      <c r="I493" s="9">
        <v>40</v>
      </c>
      <c r="J493" s="48" t="s">
        <v>338</v>
      </c>
      <c r="K493" s="43">
        <v>15.5</v>
      </c>
      <c r="L493" s="45" t="s">
        <v>15</v>
      </c>
    </row>
    <row r="494" spans="1:12" ht="15.75" customHeight="1" x14ac:dyDescent="0.3">
      <c r="A494" s="21">
        <v>8</v>
      </c>
      <c r="B494" s="25">
        <v>45520</v>
      </c>
      <c r="C494" s="29" t="s">
        <v>315</v>
      </c>
      <c r="D494" s="36">
        <v>9</v>
      </c>
      <c r="E494" s="41" t="s">
        <v>357</v>
      </c>
      <c r="F494" s="42">
        <v>7.0000000000000007E-2</v>
      </c>
      <c r="G494" s="9">
        <v>0.63000000000000012</v>
      </c>
      <c r="H494" s="45">
        <v>1</v>
      </c>
      <c r="I494" s="9">
        <v>9</v>
      </c>
      <c r="J494" s="48" t="s">
        <v>338</v>
      </c>
      <c r="K494" s="43">
        <v>8.3699999999999992</v>
      </c>
      <c r="L494" s="45" t="s">
        <v>15</v>
      </c>
    </row>
    <row r="495" spans="1:12" ht="15.75" customHeight="1" x14ac:dyDescent="0.3">
      <c r="A495" s="21">
        <v>8</v>
      </c>
      <c r="B495" s="25">
        <v>45520</v>
      </c>
      <c r="C495" s="29" t="s">
        <v>315</v>
      </c>
      <c r="D495" s="36">
        <v>9</v>
      </c>
      <c r="E495" s="41" t="s">
        <v>20</v>
      </c>
      <c r="F495" s="42">
        <v>7.0000000000000007E-2</v>
      </c>
      <c r="G495" s="9">
        <v>0.63000000000000012</v>
      </c>
      <c r="H495" s="45">
        <v>1</v>
      </c>
      <c r="I495" s="9">
        <v>9</v>
      </c>
      <c r="J495" s="48" t="s">
        <v>338</v>
      </c>
      <c r="K495" s="43">
        <v>8.3699999999999992</v>
      </c>
      <c r="L495" s="45" t="s">
        <v>15</v>
      </c>
    </row>
    <row r="496" spans="1:12" ht="15.75" customHeight="1" x14ac:dyDescent="0.3">
      <c r="A496" s="21">
        <v>8</v>
      </c>
      <c r="B496" s="25">
        <v>45521</v>
      </c>
      <c r="C496" s="29" t="s">
        <v>350</v>
      </c>
      <c r="D496" s="36">
        <v>1</v>
      </c>
      <c r="E496" s="41" t="s">
        <v>376</v>
      </c>
      <c r="F496" s="42">
        <v>10</v>
      </c>
      <c r="G496" s="9">
        <v>10</v>
      </c>
      <c r="H496" s="45">
        <v>30</v>
      </c>
      <c r="I496" s="9">
        <v>30</v>
      </c>
      <c r="J496" s="48" t="s">
        <v>338</v>
      </c>
      <c r="K496" s="43">
        <v>20</v>
      </c>
      <c r="L496" s="45" t="s">
        <v>15</v>
      </c>
    </row>
    <row r="497" spans="1:12" ht="15.75" customHeight="1" x14ac:dyDescent="0.3">
      <c r="A497" s="21">
        <v>8</v>
      </c>
      <c r="B497" s="25">
        <v>45521</v>
      </c>
      <c r="C497" s="29" t="s">
        <v>315</v>
      </c>
      <c r="D497" s="36">
        <v>4</v>
      </c>
      <c r="E497" s="41" t="s">
        <v>20</v>
      </c>
      <c r="F497" s="42">
        <v>7.0000000000000007E-2</v>
      </c>
      <c r="G497" s="9">
        <v>0.28000000000000003</v>
      </c>
      <c r="H497" s="45">
        <v>1</v>
      </c>
      <c r="I497" s="9">
        <v>4</v>
      </c>
      <c r="J497" s="48" t="s">
        <v>338</v>
      </c>
      <c r="K497" s="43">
        <v>3.7199999999999998</v>
      </c>
      <c r="L497" s="45" t="s">
        <v>15</v>
      </c>
    </row>
    <row r="498" spans="1:12" ht="15.75" customHeight="1" x14ac:dyDescent="0.3">
      <c r="A498" s="21">
        <v>8</v>
      </c>
      <c r="B498" s="25">
        <v>45521</v>
      </c>
      <c r="C498" s="29" t="s">
        <v>343</v>
      </c>
      <c r="D498" s="36">
        <v>1</v>
      </c>
      <c r="E498" s="41" t="s">
        <v>20</v>
      </c>
      <c r="F498" s="42">
        <v>0.05</v>
      </c>
      <c r="G498" s="9">
        <v>0.05</v>
      </c>
      <c r="H498" s="45">
        <v>2</v>
      </c>
      <c r="I498" s="9">
        <v>2</v>
      </c>
      <c r="J498" s="48" t="s">
        <v>338</v>
      </c>
      <c r="K498" s="43">
        <v>1.95</v>
      </c>
      <c r="L498" s="45" t="s">
        <v>15</v>
      </c>
    </row>
    <row r="499" spans="1:12" ht="16.5" customHeight="1" x14ac:dyDescent="0.3">
      <c r="A499" s="21">
        <v>8</v>
      </c>
      <c r="B499" s="25">
        <v>45521</v>
      </c>
      <c r="C499" s="29" t="s">
        <v>315</v>
      </c>
      <c r="D499" s="36">
        <v>2</v>
      </c>
      <c r="E499" s="41" t="s">
        <v>20</v>
      </c>
      <c r="F499" s="42">
        <v>7.0000000000000007E-2</v>
      </c>
      <c r="G499" s="9">
        <v>0.14000000000000001</v>
      </c>
      <c r="H499" s="45">
        <v>1</v>
      </c>
      <c r="I499" s="9">
        <v>2</v>
      </c>
      <c r="J499" s="48" t="s">
        <v>377</v>
      </c>
      <c r="K499" s="43">
        <v>1.8599999999999999</v>
      </c>
      <c r="L499" s="45" t="s">
        <v>15</v>
      </c>
    </row>
    <row r="500" spans="1:12" ht="15.75" customHeight="1" x14ac:dyDescent="0.3">
      <c r="A500" s="21">
        <v>8</v>
      </c>
      <c r="B500" s="25">
        <v>45523</v>
      </c>
      <c r="C500" s="29" t="s">
        <v>326</v>
      </c>
      <c r="D500" s="36">
        <v>5</v>
      </c>
      <c r="E500" s="41" t="s">
        <v>20</v>
      </c>
      <c r="F500" s="42">
        <v>0.05</v>
      </c>
      <c r="G500" s="9">
        <v>0.25</v>
      </c>
      <c r="H500" s="45">
        <v>1</v>
      </c>
      <c r="I500" s="9">
        <v>5</v>
      </c>
      <c r="J500" s="48" t="s">
        <v>338</v>
      </c>
      <c r="K500" s="43">
        <v>4.75</v>
      </c>
      <c r="L500" s="45" t="s">
        <v>15</v>
      </c>
    </row>
    <row r="501" spans="1:12" ht="15.75" customHeight="1" x14ac:dyDescent="0.3">
      <c r="A501" s="21">
        <v>8</v>
      </c>
      <c r="B501" s="25">
        <v>45523</v>
      </c>
      <c r="C501" s="29" t="s">
        <v>315</v>
      </c>
      <c r="D501" s="36">
        <v>1</v>
      </c>
      <c r="E501" s="41" t="s">
        <v>20</v>
      </c>
      <c r="F501" s="42">
        <v>7.0000000000000007E-2</v>
      </c>
      <c r="G501" s="9">
        <v>7.0000000000000007E-2</v>
      </c>
      <c r="H501" s="45">
        <v>1</v>
      </c>
      <c r="I501" s="9">
        <v>1</v>
      </c>
      <c r="J501" s="48" t="s">
        <v>338</v>
      </c>
      <c r="K501" s="43">
        <v>0.92999999999999994</v>
      </c>
      <c r="L501" s="45" t="s">
        <v>15</v>
      </c>
    </row>
    <row r="502" spans="1:12" ht="15.75" customHeight="1" x14ac:dyDescent="0.3">
      <c r="A502" s="21">
        <v>8</v>
      </c>
      <c r="B502" s="25">
        <v>45523</v>
      </c>
      <c r="C502" s="29" t="s">
        <v>326</v>
      </c>
      <c r="D502" s="36">
        <v>8</v>
      </c>
      <c r="E502" s="41" t="s">
        <v>20</v>
      </c>
      <c r="F502" s="42">
        <v>0.05</v>
      </c>
      <c r="G502" s="9">
        <v>0.4</v>
      </c>
      <c r="H502" s="45">
        <v>0.5</v>
      </c>
      <c r="I502" s="9">
        <v>4</v>
      </c>
      <c r="J502" s="48" t="s">
        <v>338</v>
      </c>
      <c r="K502" s="43">
        <v>3.6</v>
      </c>
      <c r="L502" s="45" t="s">
        <v>15</v>
      </c>
    </row>
    <row r="503" spans="1:12" ht="15.75" customHeight="1" x14ac:dyDescent="0.3">
      <c r="A503" s="21">
        <v>8</v>
      </c>
      <c r="B503" s="25">
        <v>45524</v>
      </c>
      <c r="C503" s="29" t="s">
        <v>315</v>
      </c>
      <c r="D503" s="36">
        <v>2</v>
      </c>
      <c r="E503" s="41" t="s">
        <v>20</v>
      </c>
      <c r="F503" s="42">
        <v>7.0000000000000007E-2</v>
      </c>
      <c r="G503" s="9">
        <v>0.14000000000000001</v>
      </c>
      <c r="H503" s="45">
        <v>1</v>
      </c>
      <c r="I503" s="9">
        <v>2</v>
      </c>
      <c r="J503" s="48" t="s">
        <v>338</v>
      </c>
      <c r="K503" s="43">
        <v>1.8599999999999999</v>
      </c>
      <c r="L503" s="45" t="s">
        <v>15</v>
      </c>
    </row>
    <row r="504" spans="1:12" ht="15.75" customHeight="1" x14ac:dyDescent="0.3">
      <c r="A504" s="21">
        <v>8</v>
      </c>
      <c r="B504" s="25">
        <v>45524</v>
      </c>
      <c r="C504" s="29" t="s">
        <v>378</v>
      </c>
      <c r="D504" s="36">
        <v>1</v>
      </c>
      <c r="E504" s="41" t="s">
        <v>20</v>
      </c>
      <c r="F504" s="42">
        <v>17</v>
      </c>
      <c r="G504" s="9">
        <v>17</v>
      </c>
      <c r="H504" s="45">
        <v>23.5</v>
      </c>
      <c r="I504" s="9">
        <v>23.5</v>
      </c>
      <c r="J504" s="48" t="s">
        <v>338</v>
      </c>
      <c r="K504" s="43">
        <v>6.5</v>
      </c>
      <c r="L504" s="45" t="s">
        <v>15</v>
      </c>
    </row>
    <row r="505" spans="1:12" ht="15.75" customHeight="1" x14ac:dyDescent="0.3">
      <c r="A505" s="21">
        <v>8</v>
      </c>
      <c r="B505" s="25">
        <v>45524</v>
      </c>
      <c r="C505" s="29" t="s">
        <v>379</v>
      </c>
      <c r="D505" s="36">
        <v>2</v>
      </c>
      <c r="E505" s="41" t="s">
        <v>20</v>
      </c>
      <c r="F505" s="42">
        <v>2.5</v>
      </c>
      <c r="G505" s="9">
        <v>5</v>
      </c>
      <c r="H505" s="45">
        <v>5</v>
      </c>
      <c r="I505" s="9">
        <v>10</v>
      </c>
      <c r="J505" s="48"/>
      <c r="K505" s="43">
        <v>5</v>
      </c>
      <c r="L505" s="45" t="s">
        <v>15</v>
      </c>
    </row>
    <row r="506" spans="1:12" ht="15.75" customHeight="1" x14ac:dyDescent="0.3">
      <c r="A506" s="21">
        <v>8</v>
      </c>
      <c r="B506" s="25">
        <v>45524</v>
      </c>
      <c r="C506" s="29" t="s">
        <v>246</v>
      </c>
      <c r="D506" s="36">
        <v>1</v>
      </c>
      <c r="E506" s="41" t="s">
        <v>340</v>
      </c>
      <c r="F506" s="42">
        <v>3.5</v>
      </c>
      <c r="G506" s="9">
        <v>3.5</v>
      </c>
      <c r="H506" s="45">
        <v>15</v>
      </c>
      <c r="I506" s="9">
        <v>15</v>
      </c>
      <c r="J506" s="48" t="s">
        <v>338</v>
      </c>
      <c r="K506" s="43">
        <v>11.5</v>
      </c>
      <c r="L506" s="45" t="s">
        <v>15</v>
      </c>
    </row>
    <row r="507" spans="1:12" ht="15.75" customHeight="1" x14ac:dyDescent="0.3">
      <c r="A507" s="21">
        <v>8</v>
      </c>
      <c r="B507" s="25">
        <v>45524</v>
      </c>
      <c r="C507" s="29" t="s">
        <v>315</v>
      </c>
      <c r="D507" s="36">
        <v>20</v>
      </c>
      <c r="E507" s="41" t="s">
        <v>20</v>
      </c>
      <c r="F507" s="42">
        <v>7.0000000000000007E-2</v>
      </c>
      <c r="G507" s="9">
        <v>1.4000000000000001</v>
      </c>
      <c r="H507" s="45">
        <v>1</v>
      </c>
      <c r="I507" s="9">
        <v>20</v>
      </c>
      <c r="J507" s="48" t="s">
        <v>338</v>
      </c>
      <c r="K507" s="43">
        <v>18.600000000000001</v>
      </c>
      <c r="L507" s="45" t="s">
        <v>15</v>
      </c>
    </row>
    <row r="508" spans="1:12" ht="15.75" customHeight="1" x14ac:dyDescent="0.3">
      <c r="A508" s="21">
        <v>8</v>
      </c>
      <c r="B508" s="25">
        <v>45524</v>
      </c>
      <c r="C508" s="29" t="s">
        <v>380</v>
      </c>
      <c r="D508" s="36">
        <v>1</v>
      </c>
      <c r="E508" s="41" t="s">
        <v>20</v>
      </c>
      <c r="F508" s="42">
        <v>8</v>
      </c>
      <c r="G508" s="9">
        <v>8</v>
      </c>
      <c r="H508" s="45">
        <v>15</v>
      </c>
      <c r="I508" s="9">
        <v>15</v>
      </c>
      <c r="J508" s="48" t="s">
        <v>338</v>
      </c>
      <c r="K508" s="43">
        <v>7</v>
      </c>
      <c r="L508" s="45" t="s">
        <v>15</v>
      </c>
    </row>
    <row r="509" spans="1:12" ht="15.75" customHeight="1" x14ac:dyDescent="0.3">
      <c r="A509" s="21">
        <v>8</v>
      </c>
      <c r="B509" s="25">
        <v>45525</v>
      </c>
      <c r="C509" s="29" t="s">
        <v>381</v>
      </c>
      <c r="D509" s="36">
        <v>1</v>
      </c>
      <c r="E509" s="41" t="s">
        <v>334</v>
      </c>
      <c r="F509" s="42">
        <v>0</v>
      </c>
      <c r="G509" s="9">
        <v>0</v>
      </c>
      <c r="H509" s="45">
        <v>150</v>
      </c>
      <c r="I509" s="9">
        <v>150</v>
      </c>
      <c r="J509" s="48" t="s">
        <v>338</v>
      </c>
      <c r="K509" s="43">
        <v>150</v>
      </c>
      <c r="L509" s="45" t="s">
        <v>15</v>
      </c>
    </row>
    <row r="510" spans="1:12" ht="15.75" customHeight="1" x14ac:dyDescent="0.3">
      <c r="A510" s="21">
        <v>8</v>
      </c>
      <c r="B510" s="25">
        <v>45525</v>
      </c>
      <c r="C510" s="29" t="s">
        <v>267</v>
      </c>
      <c r="D510" s="36">
        <v>1</v>
      </c>
      <c r="E510" s="41" t="s">
        <v>382</v>
      </c>
      <c r="F510" s="42">
        <v>0</v>
      </c>
      <c r="G510" s="9">
        <v>0</v>
      </c>
      <c r="H510" s="45">
        <v>16</v>
      </c>
      <c r="I510" s="9">
        <v>16</v>
      </c>
      <c r="J510" s="48" t="s">
        <v>338</v>
      </c>
      <c r="K510" s="43">
        <v>16</v>
      </c>
      <c r="L510" s="45" t="s">
        <v>15</v>
      </c>
    </row>
    <row r="511" spans="1:12" ht="15.75" customHeight="1" x14ac:dyDescent="0.3">
      <c r="A511" s="21">
        <v>8</v>
      </c>
      <c r="B511" s="25">
        <v>45526</v>
      </c>
      <c r="C511" s="29" t="s">
        <v>267</v>
      </c>
      <c r="D511" s="36">
        <v>1</v>
      </c>
      <c r="E511" s="41" t="s">
        <v>340</v>
      </c>
      <c r="F511" s="42">
        <v>0</v>
      </c>
      <c r="G511" s="9">
        <v>0</v>
      </c>
      <c r="H511" s="45">
        <v>20</v>
      </c>
      <c r="I511" s="9">
        <v>20</v>
      </c>
      <c r="J511" s="48" t="s">
        <v>338</v>
      </c>
      <c r="K511" s="43">
        <v>20</v>
      </c>
      <c r="L511" s="45" t="s">
        <v>15</v>
      </c>
    </row>
    <row r="512" spans="1:12" ht="15.75" customHeight="1" x14ac:dyDescent="0.3">
      <c r="A512" s="21">
        <v>8</v>
      </c>
      <c r="B512" s="25">
        <v>45527</v>
      </c>
      <c r="C512" s="29" t="s">
        <v>315</v>
      </c>
      <c r="D512" s="36">
        <v>1</v>
      </c>
      <c r="E512" s="41" t="s">
        <v>383</v>
      </c>
      <c r="F512" s="42">
        <v>7.0000000000000007E-2</v>
      </c>
      <c r="G512" s="9">
        <v>7.0000000000000007E-2</v>
      </c>
      <c r="H512" s="45">
        <v>1</v>
      </c>
      <c r="I512" s="9">
        <v>1</v>
      </c>
      <c r="J512" s="48" t="s">
        <v>338</v>
      </c>
      <c r="K512" s="43">
        <v>0.92999999999999994</v>
      </c>
      <c r="L512" s="45" t="s">
        <v>15</v>
      </c>
    </row>
    <row r="513" spans="1:12" ht="15.75" customHeight="1" x14ac:dyDescent="0.3">
      <c r="A513" s="21">
        <v>8</v>
      </c>
      <c r="B513" s="25">
        <v>45528</v>
      </c>
      <c r="C513" s="29" t="s">
        <v>236</v>
      </c>
      <c r="D513" s="36">
        <v>2</v>
      </c>
      <c r="E513" s="41" t="s">
        <v>384</v>
      </c>
      <c r="F513" s="42">
        <v>1</v>
      </c>
      <c r="G513" s="9">
        <v>2</v>
      </c>
      <c r="H513" s="45">
        <v>10</v>
      </c>
      <c r="I513" s="9">
        <v>20</v>
      </c>
      <c r="J513" s="48" t="s">
        <v>338</v>
      </c>
      <c r="K513" s="43">
        <v>18</v>
      </c>
      <c r="L513" s="45" t="s">
        <v>15</v>
      </c>
    </row>
    <row r="514" spans="1:12" ht="15.75" customHeight="1" x14ac:dyDescent="0.3">
      <c r="A514" s="21">
        <v>8</v>
      </c>
      <c r="B514" s="25">
        <v>45527</v>
      </c>
      <c r="C514" s="29" t="s">
        <v>337</v>
      </c>
      <c r="D514" s="36">
        <v>1</v>
      </c>
      <c r="E514" s="41" t="s">
        <v>383</v>
      </c>
      <c r="F514" s="42">
        <v>0.05</v>
      </c>
      <c r="G514" s="9">
        <v>0.05</v>
      </c>
      <c r="H514" s="45">
        <v>2</v>
      </c>
      <c r="I514" s="9">
        <v>2</v>
      </c>
      <c r="J514" s="48" t="s">
        <v>338</v>
      </c>
      <c r="K514" s="43">
        <v>1.95</v>
      </c>
      <c r="L514" s="45" t="s">
        <v>15</v>
      </c>
    </row>
    <row r="515" spans="1:12" ht="15.75" customHeight="1" x14ac:dyDescent="0.3">
      <c r="A515" s="21">
        <v>8</v>
      </c>
      <c r="B515" s="25">
        <v>45530</v>
      </c>
      <c r="C515" s="29" t="s">
        <v>315</v>
      </c>
      <c r="D515" s="36">
        <v>1</v>
      </c>
      <c r="E515" s="41" t="s">
        <v>385</v>
      </c>
      <c r="F515" s="42">
        <v>7.0000000000000007E-2</v>
      </c>
      <c r="G515" s="9">
        <v>7.0000000000000007E-2</v>
      </c>
      <c r="H515" s="45">
        <v>1</v>
      </c>
      <c r="I515" s="9">
        <v>1</v>
      </c>
      <c r="J515" s="48" t="s">
        <v>338</v>
      </c>
      <c r="K515" s="43">
        <v>0.92999999999999994</v>
      </c>
      <c r="L515" s="45" t="s">
        <v>15</v>
      </c>
    </row>
    <row r="516" spans="1:12" ht="15.75" customHeight="1" x14ac:dyDescent="0.3">
      <c r="A516" s="21">
        <v>8</v>
      </c>
      <c r="B516" s="25">
        <v>45530</v>
      </c>
      <c r="C516" s="29" t="s">
        <v>315</v>
      </c>
      <c r="D516" s="36">
        <v>1</v>
      </c>
      <c r="E516" s="41" t="s">
        <v>386</v>
      </c>
      <c r="F516" s="42">
        <v>7.0000000000000007E-2</v>
      </c>
      <c r="G516" s="9">
        <v>7.0000000000000007E-2</v>
      </c>
      <c r="H516" s="45">
        <v>1</v>
      </c>
      <c r="I516" s="9">
        <v>1</v>
      </c>
      <c r="J516" s="48" t="s">
        <v>338</v>
      </c>
      <c r="K516" s="43">
        <v>0.92999999999999994</v>
      </c>
      <c r="L516" s="45" t="s">
        <v>15</v>
      </c>
    </row>
    <row r="517" spans="1:12" ht="15.75" customHeight="1" x14ac:dyDescent="0.3">
      <c r="A517" s="21">
        <v>8</v>
      </c>
      <c r="B517" s="25">
        <v>45531</v>
      </c>
      <c r="C517" s="29" t="s">
        <v>315</v>
      </c>
      <c r="D517" s="36">
        <v>1</v>
      </c>
      <c r="E517" s="41" t="s">
        <v>385</v>
      </c>
      <c r="F517" s="42">
        <v>7.0000000000000007E-2</v>
      </c>
      <c r="G517" s="9">
        <v>7.0000000000000007E-2</v>
      </c>
      <c r="H517" s="45">
        <v>1</v>
      </c>
      <c r="I517" s="9">
        <v>1</v>
      </c>
      <c r="J517" s="48" t="s">
        <v>338</v>
      </c>
      <c r="K517" s="43">
        <v>0.92999999999999994</v>
      </c>
      <c r="L517" s="45" t="s">
        <v>15</v>
      </c>
    </row>
    <row r="518" spans="1:12" ht="15.75" customHeight="1" x14ac:dyDescent="0.3">
      <c r="A518" s="21">
        <v>8</v>
      </c>
      <c r="B518" s="25">
        <v>45531</v>
      </c>
      <c r="C518" s="29" t="s">
        <v>326</v>
      </c>
      <c r="D518" s="36">
        <v>1</v>
      </c>
      <c r="E518" s="41" t="s">
        <v>232</v>
      </c>
      <c r="F518" s="42">
        <v>0.05</v>
      </c>
      <c r="G518" s="9">
        <v>0.05</v>
      </c>
      <c r="H518" s="45">
        <v>0.5</v>
      </c>
      <c r="I518" s="9">
        <v>0.5</v>
      </c>
      <c r="J518" s="48" t="s">
        <v>338</v>
      </c>
      <c r="K518" s="43">
        <v>0.45</v>
      </c>
      <c r="L518" s="45" t="s">
        <v>15</v>
      </c>
    </row>
    <row r="519" spans="1:12" ht="15.75" customHeight="1" x14ac:dyDescent="0.3">
      <c r="A519" s="21">
        <v>8</v>
      </c>
      <c r="B519" s="25">
        <v>45531</v>
      </c>
      <c r="C519" s="29" t="s">
        <v>326</v>
      </c>
      <c r="D519" s="36">
        <v>10</v>
      </c>
      <c r="E519" s="41" t="s">
        <v>232</v>
      </c>
      <c r="F519" s="42">
        <v>0.05</v>
      </c>
      <c r="G519" s="9">
        <v>0.5</v>
      </c>
      <c r="H519" s="45">
        <v>0.5</v>
      </c>
      <c r="I519" s="9">
        <v>5</v>
      </c>
      <c r="J519" s="48" t="s">
        <v>338</v>
      </c>
      <c r="K519" s="43">
        <v>4.5</v>
      </c>
      <c r="L519" s="45" t="s">
        <v>15</v>
      </c>
    </row>
    <row r="520" spans="1:12" ht="15.75" customHeight="1" x14ac:dyDescent="0.3">
      <c r="A520" s="21">
        <v>8</v>
      </c>
      <c r="B520" s="25">
        <v>45531</v>
      </c>
      <c r="C520" s="29" t="s">
        <v>315</v>
      </c>
      <c r="D520" s="36">
        <v>1</v>
      </c>
      <c r="E520" s="41" t="s">
        <v>140</v>
      </c>
      <c r="F520" s="42">
        <v>7.0000000000000007E-2</v>
      </c>
      <c r="G520" s="9">
        <v>7.0000000000000007E-2</v>
      </c>
      <c r="H520" s="45">
        <v>1</v>
      </c>
      <c r="I520" s="9">
        <v>1</v>
      </c>
      <c r="J520" s="48" t="s">
        <v>338</v>
      </c>
      <c r="K520" s="43">
        <v>0.92999999999999994</v>
      </c>
      <c r="L520" s="45" t="s">
        <v>15</v>
      </c>
    </row>
    <row r="521" spans="1:12" ht="15.75" customHeight="1" x14ac:dyDescent="0.3">
      <c r="A521" s="21">
        <v>8</v>
      </c>
      <c r="B521" s="25">
        <v>45532</v>
      </c>
      <c r="C521" s="29" t="s">
        <v>315</v>
      </c>
      <c r="D521" s="36">
        <v>2</v>
      </c>
      <c r="E521" s="41" t="s">
        <v>20</v>
      </c>
      <c r="F521" s="42">
        <v>7.0000000000000007E-2</v>
      </c>
      <c r="G521" s="9">
        <v>0.14000000000000001</v>
      </c>
      <c r="H521" s="45">
        <v>1</v>
      </c>
      <c r="I521" s="9">
        <v>2</v>
      </c>
      <c r="J521" s="48" t="s">
        <v>338</v>
      </c>
      <c r="K521" s="43">
        <v>1.8599999999999999</v>
      </c>
      <c r="L521" s="45" t="s">
        <v>15</v>
      </c>
    </row>
    <row r="522" spans="1:12" ht="15.75" customHeight="1" x14ac:dyDescent="0.3">
      <c r="A522" s="21">
        <v>8</v>
      </c>
      <c r="B522" s="25">
        <v>45534</v>
      </c>
      <c r="C522" s="29" t="s">
        <v>326</v>
      </c>
      <c r="D522" s="36">
        <v>4</v>
      </c>
      <c r="E522" s="41" t="s">
        <v>20</v>
      </c>
      <c r="F522" s="42">
        <v>0.05</v>
      </c>
      <c r="G522" s="9">
        <v>0.2</v>
      </c>
      <c r="H522" s="45">
        <v>0.5</v>
      </c>
      <c r="I522" s="9">
        <v>2</v>
      </c>
      <c r="J522" s="48" t="s">
        <v>338</v>
      </c>
      <c r="K522" s="43">
        <v>1.8</v>
      </c>
      <c r="L522" s="45" t="s">
        <v>15</v>
      </c>
    </row>
    <row r="523" spans="1:12" ht="15.75" customHeight="1" x14ac:dyDescent="0.3">
      <c r="A523" s="21">
        <v>8</v>
      </c>
      <c r="B523" s="25">
        <v>45534</v>
      </c>
      <c r="C523" s="29" t="s">
        <v>387</v>
      </c>
      <c r="D523" s="36">
        <v>1</v>
      </c>
      <c r="E523" s="41" t="s">
        <v>20</v>
      </c>
      <c r="F523" s="42">
        <v>0</v>
      </c>
      <c r="G523" s="9">
        <v>0</v>
      </c>
      <c r="H523" s="45">
        <v>100</v>
      </c>
      <c r="I523" s="9">
        <v>100</v>
      </c>
      <c r="J523" s="48"/>
      <c r="K523" s="43">
        <v>100</v>
      </c>
      <c r="L523" s="45" t="s">
        <v>15</v>
      </c>
    </row>
    <row r="524" spans="1:12" ht="15.75" customHeight="1" x14ac:dyDescent="0.3">
      <c r="A524" s="21">
        <v>8</v>
      </c>
      <c r="B524" s="25">
        <v>45535</v>
      </c>
      <c r="C524" s="29" t="s">
        <v>388</v>
      </c>
      <c r="D524" s="36">
        <v>2</v>
      </c>
      <c r="E524" s="41" t="s">
        <v>20</v>
      </c>
      <c r="F524" s="42">
        <v>13</v>
      </c>
      <c r="G524" s="9">
        <v>26</v>
      </c>
      <c r="H524" s="45">
        <v>25</v>
      </c>
      <c r="I524" s="9">
        <v>50</v>
      </c>
      <c r="J524" s="48" t="s">
        <v>338</v>
      </c>
      <c r="K524" s="43">
        <v>24</v>
      </c>
      <c r="L524" s="45" t="s">
        <v>15</v>
      </c>
    </row>
    <row r="525" spans="1:12" ht="15.75" customHeight="1" x14ac:dyDescent="0.3">
      <c r="A525" s="21">
        <v>8</v>
      </c>
      <c r="B525" s="25">
        <v>45535</v>
      </c>
      <c r="C525" s="29" t="s">
        <v>315</v>
      </c>
      <c r="D525" s="36">
        <v>1</v>
      </c>
      <c r="E525" s="41" t="s">
        <v>20</v>
      </c>
      <c r="F525" s="42">
        <v>7.0000000000000007E-2</v>
      </c>
      <c r="G525" s="9">
        <v>7.0000000000000007E-2</v>
      </c>
      <c r="H525" s="45">
        <v>1</v>
      </c>
      <c r="I525" s="9">
        <v>1</v>
      </c>
      <c r="J525" s="48" t="s">
        <v>338</v>
      </c>
      <c r="K525" s="43">
        <v>0.92999999999999994</v>
      </c>
      <c r="L525" s="45" t="s">
        <v>15</v>
      </c>
    </row>
    <row r="526" spans="1:12" ht="15.75" customHeight="1" x14ac:dyDescent="0.3">
      <c r="A526" s="21">
        <v>8</v>
      </c>
      <c r="B526" s="25">
        <v>45535</v>
      </c>
      <c r="C526" s="29" t="s">
        <v>267</v>
      </c>
      <c r="D526" s="36">
        <v>1</v>
      </c>
      <c r="E526" s="41" t="s">
        <v>20</v>
      </c>
      <c r="F526" s="42">
        <v>0</v>
      </c>
      <c r="G526" s="9">
        <v>0</v>
      </c>
      <c r="H526" s="45">
        <v>20</v>
      </c>
      <c r="I526" s="9">
        <v>20</v>
      </c>
      <c r="J526" s="48" t="s">
        <v>338</v>
      </c>
      <c r="K526" s="43">
        <v>20</v>
      </c>
      <c r="L526" s="45" t="s">
        <v>15</v>
      </c>
    </row>
    <row r="527" spans="1:12" ht="15.75" customHeight="1" x14ac:dyDescent="0.3">
      <c r="A527" s="21">
        <v>8</v>
      </c>
      <c r="B527" s="25">
        <v>45535</v>
      </c>
      <c r="C527" s="29" t="s">
        <v>267</v>
      </c>
      <c r="D527" s="36">
        <v>1</v>
      </c>
      <c r="E527" s="41" t="s">
        <v>20</v>
      </c>
      <c r="F527" s="42">
        <v>0</v>
      </c>
      <c r="G527" s="9">
        <v>0</v>
      </c>
      <c r="H527" s="45">
        <v>15</v>
      </c>
      <c r="I527" s="9">
        <v>15</v>
      </c>
      <c r="J527" s="48" t="s">
        <v>338</v>
      </c>
      <c r="K527" s="43">
        <v>15</v>
      </c>
      <c r="L527" s="45" t="s">
        <v>15</v>
      </c>
    </row>
    <row r="528" spans="1:12" ht="15.75" customHeight="1" x14ac:dyDescent="0.3">
      <c r="A528" s="21">
        <v>8</v>
      </c>
      <c r="B528" s="25">
        <v>45535</v>
      </c>
      <c r="C528" s="29" t="s">
        <v>343</v>
      </c>
      <c r="D528" s="36">
        <v>10</v>
      </c>
      <c r="E528" s="41" t="s">
        <v>20</v>
      </c>
      <c r="F528" s="42">
        <v>0.05</v>
      </c>
      <c r="G528" s="9">
        <v>0.5</v>
      </c>
      <c r="H528" s="45">
        <v>0.9</v>
      </c>
      <c r="I528" s="9">
        <v>9</v>
      </c>
      <c r="J528" s="48" t="s">
        <v>338</v>
      </c>
      <c r="K528" s="43">
        <v>8.5</v>
      </c>
      <c r="L528" s="45" t="s">
        <v>15</v>
      </c>
    </row>
    <row r="529" spans="1:12" ht="15.75" customHeight="1" x14ac:dyDescent="0.3">
      <c r="A529" s="21">
        <v>8</v>
      </c>
      <c r="B529" s="25">
        <v>45535</v>
      </c>
      <c r="C529" s="29" t="s">
        <v>389</v>
      </c>
      <c r="D529" s="36">
        <v>1</v>
      </c>
      <c r="E529" s="41" t="s">
        <v>20</v>
      </c>
      <c r="F529" s="42">
        <v>0.39549999999999996</v>
      </c>
      <c r="G529" s="9">
        <v>0.39549999999999996</v>
      </c>
      <c r="H529" s="45">
        <v>1</v>
      </c>
      <c r="I529" s="9">
        <v>1</v>
      </c>
      <c r="J529" s="48" t="s">
        <v>338</v>
      </c>
      <c r="K529" s="43">
        <v>0.60450000000000004</v>
      </c>
      <c r="L529" s="45" t="s">
        <v>15</v>
      </c>
    </row>
    <row r="530" spans="1:12" ht="15.75" customHeight="1" x14ac:dyDescent="0.3">
      <c r="A530" s="21">
        <v>8</v>
      </c>
      <c r="B530" s="25">
        <v>45535</v>
      </c>
      <c r="C530" s="29" t="s">
        <v>315</v>
      </c>
      <c r="D530" s="36">
        <v>8</v>
      </c>
      <c r="E530" s="41" t="s">
        <v>20</v>
      </c>
      <c r="F530" s="42">
        <v>7.0000000000000007E-2</v>
      </c>
      <c r="G530" s="9">
        <v>0.56000000000000005</v>
      </c>
      <c r="H530" s="45">
        <v>1</v>
      </c>
      <c r="I530" s="9">
        <v>8</v>
      </c>
      <c r="J530" s="48" t="s">
        <v>338</v>
      </c>
      <c r="K530" s="43">
        <v>7.4399999999999995</v>
      </c>
      <c r="L530" s="45" t="s">
        <v>15</v>
      </c>
    </row>
    <row r="531" spans="1:12" ht="15.75" customHeight="1" x14ac:dyDescent="0.3">
      <c r="A531" s="21">
        <v>8</v>
      </c>
      <c r="B531" s="25">
        <v>45535</v>
      </c>
      <c r="C531" s="29" t="s">
        <v>390</v>
      </c>
      <c r="D531" s="36">
        <v>1</v>
      </c>
      <c r="E531" s="41" t="s">
        <v>391</v>
      </c>
      <c r="F531" s="42">
        <v>130</v>
      </c>
      <c r="G531" s="9">
        <v>130</v>
      </c>
      <c r="H531" s="45">
        <v>300</v>
      </c>
      <c r="I531" s="9">
        <v>300</v>
      </c>
      <c r="J531" s="48" t="s">
        <v>338</v>
      </c>
      <c r="K531" s="43">
        <v>170</v>
      </c>
      <c r="L531" s="45" t="s">
        <v>15</v>
      </c>
    </row>
    <row r="532" spans="1:12" ht="15.75" customHeight="1" x14ac:dyDescent="0.3">
      <c r="A532" s="21">
        <v>8</v>
      </c>
      <c r="B532" s="25">
        <v>45535</v>
      </c>
      <c r="C532" s="29" t="s">
        <v>392</v>
      </c>
      <c r="D532" s="36">
        <v>1</v>
      </c>
      <c r="E532" s="41" t="s">
        <v>391</v>
      </c>
      <c r="F532" s="42">
        <v>10</v>
      </c>
      <c r="G532" s="9">
        <v>10</v>
      </c>
      <c r="H532" s="45">
        <v>20</v>
      </c>
      <c r="I532" s="9">
        <v>20</v>
      </c>
      <c r="J532" s="48"/>
      <c r="K532" s="43">
        <v>10</v>
      </c>
      <c r="L532" s="45" t="s">
        <v>15</v>
      </c>
    </row>
    <row r="533" spans="1:12" ht="15.75" customHeight="1" x14ac:dyDescent="0.3">
      <c r="A533" s="21">
        <v>9</v>
      </c>
      <c r="B533" s="25">
        <v>45537</v>
      </c>
      <c r="C533" s="29" t="s">
        <v>315</v>
      </c>
      <c r="D533" s="36">
        <v>6</v>
      </c>
      <c r="E533" s="41" t="s">
        <v>20</v>
      </c>
      <c r="F533" s="42">
        <v>7.0000000000000007E-2</v>
      </c>
      <c r="G533" s="9">
        <v>0.42000000000000004</v>
      </c>
      <c r="H533" s="45">
        <v>1</v>
      </c>
      <c r="I533" s="9">
        <v>6</v>
      </c>
      <c r="J533" s="48" t="s">
        <v>338</v>
      </c>
      <c r="K533" s="43">
        <v>5.58</v>
      </c>
      <c r="L533" s="45" t="s">
        <v>15</v>
      </c>
    </row>
    <row r="534" spans="1:12" ht="15.75" customHeight="1" x14ac:dyDescent="0.3">
      <c r="A534" s="21">
        <v>9</v>
      </c>
      <c r="B534" s="25">
        <v>45538</v>
      </c>
      <c r="C534" s="29" t="s">
        <v>267</v>
      </c>
      <c r="D534" s="36">
        <v>2</v>
      </c>
      <c r="E534" s="41" t="s">
        <v>393</v>
      </c>
      <c r="F534" s="42">
        <v>0</v>
      </c>
      <c r="G534" s="9">
        <v>0</v>
      </c>
      <c r="H534" s="45">
        <v>200</v>
      </c>
      <c r="I534" s="9">
        <v>400</v>
      </c>
      <c r="J534" s="48" t="s">
        <v>338</v>
      </c>
      <c r="K534" s="43">
        <v>400</v>
      </c>
      <c r="L534" s="45" t="s">
        <v>15</v>
      </c>
    </row>
    <row r="535" spans="1:12" ht="15.75" customHeight="1" x14ac:dyDescent="0.3">
      <c r="A535" s="21">
        <v>9</v>
      </c>
      <c r="B535" s="25">
        <v>45539</v>
      </c>
      <c r="C535" s="29" t="s">
        <v>326</v>
      </c>
      <c r="D535" s="36">
        <v>1</v>
      </c>
      <c r="E535" s="41" t="s">
        <v>51</v>
      </c>
      <c r="F535" s="42">
        <v>0.05</v>
      </c>
      <c r="G535" s="9">
        <v>0.05</v>
      </c>
      <c r="H535" s="45">
        <v>0.5</v>
      </c>
      <c r="I535" s="9">
        <v>0.5</v>
      </c>
      <c r="J535" s="48" t="s">
        <v>338</v>
      </c>
      <c r="K535" s="43">
        <v>0.45</v>
      </c>
      <c r="L535" s="45" t="s">
        <v>15</v>
      </c>
    </row>
    <row r="536" spans="1:12" ht="15.75" customHeight="1" x14ac:dyDescent="0.3">
      <c r="A536" s="21">
        <v>9</v>
      </c>
      <c r="B536" s="25">
        <v>45539</v>
      </c>
      <c r="C536" s="29" t="s">
        <v>392</v>
      </c>
      <c r="D536" s="36">
        <v>1</v>
      </c>
      <c r="E536" s="41" t="s">
        <v>20</v>
      </c>
      <c r="F536" s="42">
        <v>10</v>
      </c>
      <c r="G536" s="9">
        <v>10</v>
      </c>
      <c r="H536" s="45">
        <v>20</v>
      </c>
      <c r="I536" s="9">
        <v>20</v>
      </c>
      <c r="J536" s="48" t="s">
        <v>338</v>
      </c>
      <c r="K536" s="43">
        <v>10</v>
      </c>
      <c r="L536" s="45" t="s">
        <v>15</v>
      </c>
    </row>
    <row r="537" spans="1:12" ht="15.75" customHeight="1" x14ac:dyDescent="0.3">
      <c r="A537" s="21">
        <v>9</v>
      </c>
      <c r="B537" s="25">
        <v>45539</v>
      </c>
      <c r="C537" s="29" t="s">
        <v>394</v>
      </c>
      <c r="D537" s="36">
        <v>1</v>
      </c>
      <c r="E537" s="41" t="s">
        <v>395</v>
      </c>
      <c r="F537" s="42">
        <v>35</v>
      </c>
      <c r="G537" s="9">
        <v>35</v>
      </c>
      <c r="H537" s="45">
        <v>50</v>
      </c>
      <c r="I537" s="9">
        <v>50</v>
      </c>
      <c r="J537" s="48" t="s">
        <v>24</v>
      </c>
      <c r="K537" s="43">
        <v>15</v>
      </c>
      <c r="L537" s="45" t="s">
        <v>15</v>
      </c>
    </row>
    <row r="538" spans="1:12" ht="15.75" customHeight="1" x14ac:dyDescent="0.3">
      <c r="A538" s="21">
        <v>9</v>
      </c>
      <c r="B538" s="25">
        <v>45540</v>
      </c>
      <c r="C538" s="29" t="s">
        <v>396</v>
      </c>
      <c r="D538" s="36">
        <v>1</v>
      </c>
      <c r="E538" s="41" t="s">
        <v>397</v>
      </c>
      <c r="F538" s="42">
        <v>15</v>
      </c>
      <c r="G538" s="9">
        <v>15</v>
      </c>
      <c r="H538" s="45">
        <v>25</v>
      </c>
      <c r="I538" s="9">
        <v>25</v>
      </c>
      <c r="J538" s="48" t="s">
        <v>338</v>
      </c>
      <c r="K538" s="43">
        <v>10</v>
      </c>
      <c r="L538" s="45" t="s">
        <v>15</v>
      </c>
    </row>
    <row r="539" spans="1:12" ht="15.75" customHeight="1" x14ac:dyDescent="0.3">
      <c r="A539" s="21">
        <v>9</v>
      </c>
      <c r="B539" s="25">
        <v>45540</v>
      </c>
      <c r="C539" s="29" t="s">
        <v>315</v>
      </c>
      <c r="D539" s="36">
        <v>1</v>
      </c>
      <c r="E539" s="41" t="s">
        <v>386</v>
      </c>
      <c r="F539" s="42">
        <v>7.0000000000000007E-2</v>
      </c>
      <c r="G539" s="9">
        <v>7.0000000000000007E-2</v>
      </c>
      <c r="H539" s="45">
        <v>1</v>
      </c>
      <c r="I539" s="9">
        <v>1</v>
      </c>
      <c r="J539" s="48" t="s">
        <v>338</v>
      </c>
      <c r="K539" s="43">
        <v>0.92999999999999994</v>
      </c>
      <c r="L539" s="45" t="s">
        <v>15</v>
      </c>
    </row>
    <row r="540" spans="1:12" ht="15.75" customHeight="1" x14ac:dyDescent="0.3">
      <c r="A540" s="21">
        <v>9</v>
      </c>
      <c r="B540" s="25">
        <v>45540</v>
      </c>
      <c r="C540" s="29" t="s">
        <v>398</v>
      </c>
      <c r="D540" s="36">
        <v>1</v>
      </c>
      <c r="E540" s="41" t="s">
        <v>232</v>
      </c>
      <c r="F540" s="42">
        <v>24.82</v>
      </c>
      <c r="G540" s="9">
        <v>24.82</v>
      </c>
      <c r="H540" s="45">
        <v>80</v>
      </c>
      <c r="I540" s="9">
        <v>80</v>
      </c>
      <c r="J540" s="48" t="s">
        <v>338</v>
      </c>
      <c r="K540" s="43">
        <v>55.18</v>
      </c>
      <c r="L540" s="45" t="s">
        <v>15</v>
      </c>
    </row>
    <row r="541" spans="1:12" ht="15.75" customHeight="1" x14ac:dyDescent="0.3">
      <c r="A541" s="21">
        <v>9</v>
      </c>
      <c r="B541" s="25">
        <v>45540</v>
      </c>
      <c r="C541" s="29" t="s">
        <v>399</v>
      </c>
      <c r="D541" s="36">
        <v>1</v>
      </c>
      <c r="E541" s="41" t="s">
        <v>400</v>
      </c>
      <c r="F541" s="42">
        <v>11</v>
      </c>
      <c r="G541" s="9">
        <v>11</v>
      </c>
      <c r="H541" s="45">
        <v>25</v>
      </c>
      <c r="I541" s="9">
        <v>25</v>
      </c>
      <c r="J541" s="48" t="s">
        <v>338</v>
      </c>
      <c r="K541" s="43">
        <v>14</v>
      </c>
      <c r="L541" s="45" t="s">
        <v>15</v>
      </c>
    </row>
    <row r="542" spans="1:12" ht="15.75" customHeight="1" x14ac:dyDescent="0.3">
      <c r="A542" s="21">
        <v>9</v>
      </c>
      <c r="B542" s="25">
        <v>45540</v>
      </c>
      <c r="C542" s="29" t="s">
        <v>321</v>
      </c>
      <c r="D542" s="36">
        <v>1</v>
      </c>
      <c r="E542" s="41" t="s">
        <v>393</v>
      </c>
      <c r="F542" s="42">
        <v>15</v>
      </c>
      <c r="G542" s="9">
        <v>15</v>
      </c>
      <c r="H542" s="45">
        <v>30</v>
      </c>
      <c r="I542" s="9">
        <v>30</v>
      </c>
      <c r="J542" s="48" t="s">
        <v>338</v>
      </c>
      <c r="K542" s="43">
        <v>15</v>
      </c>
      <c r="L542" s="45" t="s">
        <v>15</v>
      </c>
    </row>
    <row r="543" spans="1:12" ht="15.75" customHeight="1" x14ac:dyDescent="0.3">
      <c r="A543" s="21">
        <v>9</v>
      </c>
      <c r="B543" s="25">
        <v>45540</v>
      </c>
      <c r="C543" s="29" t="s">
        <v>401</v>
      </c>
      <c r="D543" s="36">
        <v>1</v>
      </c>
      <c r="E543" s="41" t="s">
        <v>393</v>
      </c>
      <c r="F543" s="42">
        <v>15</v>
      </c>
      <c r="G543" s="9">
        <v>15</v>
      </c>
      <c r="H543" s="45">
        <v>30</v>
      </c>
      <c r="I543" s="9">
        <v>30</v>
      </c>
      <c r="J543" s="48" t="s">
        <v>338</v>
      </c>
      <c r="K543" s="43">
        <v>15</v>
      </c>
      <c r="L543" s="45" t="s">
        <v>15</v>
      </c>
    </row>
    <row r="544" spans="1:12" ht="15.75" customHeight="1" x14ac:dyDescent="0.3">
      <c r="A544" s="21">
        <v>9</v>
      </c>
      <c r="B544" s="25">
        <v>45540</v>
      </c>
      <c r="C544" s="29" t="s">
        <v>262</v>
      </c>
      <c r="D544" s="36">
        <v>1</v>
      </c>
      <c r="E544" s="41" t="s">
        <v>393</v>
      </c>
      <c r="F544" s="42">
        <v>18</v>
      </c>
      <c r="G544" s="9">
        <v>18</v>
      </c>
      <c r="H544" s="45">
        <v>40</v>
      </c>
      <c r="I544" s="9">
        <v>40</v>
      </c>
      <c r="J544" s="48" t="s">
        <v>338</v>
      </c>
      <c r="K544" s="43">
        <v>22</v>
      </c>
      <c r="L544" s="45" t="s">
        <v>15</v>
      </c>
    </row>
    <row r="545" spans="1:12" ht="15.75" customHeight="1" x14ac:dyDescent="0.3">
      <c r="A545" s="21">
        <v>9</v>
      </c>
      <c r="B545" s="25">
        <v>45540</v>
      </c>
      <c r="C545" s="29" t="s">
        <v>267</v>
      </c>
      <c r="D545" s="36">
        <v>1</v>
      </c>
      <c r="E545" s="41" t="s">
        <v>393</v>
      </c>
      <c r="F545" s="42">
        <v>0</v>
      </c>
      <c r="G545" s="9">
        <v>0</v>
      </c>
      <c r="H545" s="45">
        <v>20</v>
      </c>
      <c r="I545" s="9">
        <v>20</v>
      </c>
      <c r="J545" s="48" t="s">
        <v>338</v>
      </c>
      <c r="K545" s="43">
        <v>20</v>
      </c>
      <c r="L545" s="45" t="s">
        <v>15</v>
      </c>
    </row>
    <row r="546" spans="1:12" ht="15.75" customHeight="1" x14ac:dyDescent="0.3">
      <c r="A546" s="21">
        <v>9</v>
      </c>
      <c r="B546" s="25">
        <v>45541</v>
      </c>
      <c r="C546" s="29" t="s">
        <v>402</v>
      </c>
      <c r="D546" s="36">
        <v>1</v>
      </c>
      <c r="E546" s="41" t="s">
        <v>36</v>
      </c>
      <c r="F546" s="42">
        <v>10.99</v>
      </c>
      <c r="G546" s="9">
        <v>10.99</v>
      </c>
      <c r="H546" s="45">
        <v>20</v>
      </c>
      <c r="I546" s="9">
        <v>20</v>
      </c>
      <c r="J546" s="48" t="s">
        <v>338</v>
      </c>
      <c r="K546" s="43">
        <v>9.01</v>
      </c>
      <c r="L546" s="45" t="s">
        <v>15</v>
      </c>
    </row>
    <row r="547" spans="1:12" ht="15.75" customHeight="1" x14ac:dyDescent="0.3">
      <c r="A547" s="21">
        <v>9</v>
      </c>
      <c r="B547" s="25">
        <v>45541</v>
      </c>
      <c r="C547" s="29" t="s">
        <v>403</v>
      </c>
      <c r="D547" s="36">
        <v>1</v>
      </c>
      <c r="E547" s="41" t="s">
        <v>36</v>
      </c>
      <c r="F547" s="42">
        <v>5</v>
      </c>
      <c r="G547" s="9">
        <v>5</v>
      </c>
      <c r="H547" s="45">
        <v>10</v>
      </c>
      <c r="I547" s="9">
        <v>10</v>
      </c>
      <c r="J547" s="48" t="s">
        <v>338</v>
      </c>
      <c r="K547" s="43">
        <v>5</v>
      </c>
      <c r="L547" s="45" t="s">
        <v>15</v>
      </c>
    </row>
    <row r="548" spans="1:12" ht="15.75" customHeight="1" x14ac:dyDescent="0.3">
      <c r="A548" s="21">
        <v>9</v>
      </c>
      <c r="B548" s="25">
        <v>45541</v>
      </c>
      <c r="C548" s="29" t="s">
        <v>404</v>
      </c>
      <c r="D548" s="36">
        <v>1</v>
      </c>
      <c r="E548" s="41" t="s">
        <v>36</v>
      </c>
      <c r="F548" s="42">
        <v>4.5999999999999996</v>
      </c>
      <c r="G548" s="9">
        <v>4.5999999999999996</v>
      </c>
      <c r="H548" s="45">
        <v>10</v>
      </c>
      <c r="I548" s="9">
        <v>10</v>
      </c>
      <c r="J548" s="48" t="s">
        <v>338</v>
      </c>
      <c r="K548" s="43">
        <v>5.4</v>
      </c>
      <c r="L548" s="45" t="s">
        <v>15</v>
      </c>
    </row>
    <row r="549" spans="1:12" ht="15.75" customHeight="1" x14ac:dyDescent="0.3">
      <c r="A549" s="21">
        <v>9</v>
      </c>
      <c r="B549" s="25">
        <v>45541</v>
      </c>
      <c r="C549" s="29" t="s">
        <v>12</v>
      </c>
      <c r="D549" s="36">
        <v>1</v>
      </c>
      <c r="E549" s="41" t="s">
        <v>405</v>
      </c>
      <c r="F549" s="42">
        <v>7</v>
      </c>
      <c r="G549" s="9">
        <v>7</v>
      </c>
      <c r="H549" s="45">
        <v>20</v>
      </c>
      <c r="I549" s="9">
        <v>20</v>
      </c>
      <c r="J549" s="48" t="s">
        <v>338</v>
      </c>
      <c r="K549" s="43">
        <v>13</v>
      </c>
      <c r="L549" s="45" t="s">
        <v>15</v>
      </c>
    </row>
    <row r="550" spans="1:12" ht="15.75" customHeight="1" x14ac:dyDescent="0.3">
      <c r="A550" s="21">
        <v>9</v>
      </c>
      <c r="B550" s="25">
        <v>45541</v>
      </c>
      <c r="C550" s="29" t="s">
        <v>406</v>
      </c>
      <c r="D550" s="36">
        <v>2</v>
      </c>
      <c r="E550" s="41" t="s">
        <v>20</v>
      </c>
      <c r="F550" s="42">
        <v>10</v>
      </c>
      <c r="G550" s="9">
        <v>20</v>
      </c>
      <c r="H550" s="45">
        <v>20</v>
      </c>
      <c r="I550" s="9">
        <v>40</v>
      </c>
      <c r="J550" s="48"/>
      <c r="K550" s="43">
        <v>20</v>
      </c>
      <c r="L550" s="45" t="s">
        <v>15</v>
      </c>
    </row>
    <row r="551" spans="1:12" ht="15.75" customHeight="1" x14ac:dyDescent="0.3">
      <c r="A551" s="21">
        <v>9</v>
      </c>
      <c r="B551" s="25">
        <v>45541</v>
      </c>
      <c r="C551" s="29" t="s">
        <v>315</v>
      </c>
      <c r="D551" s="36">
        <v>1</v>
      </c>
      <c r="E551" s="41" t="s">
        <v>51</v>
      </c>
      <c r="F551" s="42">
        <v>7.0000000000000007E-2</v>
      </c>
      <c r="G551" s="9">
        <v>7.0000000000000007E-2</v>
      </c>
      <c r="H551" s="45">
        <v>1</v>
      </c>
      <c r="I551" s="9">
        <v>1</v>
      </c>
      <c r="J551" s="48" t="s">
        <v>338</v>
      </c>
      <c r="K551" s="43">
        <v>0.92999999999999994</v>
      </c>
      <c r="L551" s="45" t="s">
        <v>15</v>
      </c>
    </row>
    <row r="552" spans="1:12" ht="15.75" customHeight="1" x14ac:dyDescent="0.3">
      <c r="A552" s="21">
        <v>9</v>
      </c>
      <c r="B552" s="25">
        <v>45541</v>
      </c>
      <c r="C552" s="29" t="s">
        <v>315</v>
      </c>
      <c r="D552" s="36">
        <v>1</v>
      </c>
      <c r="E552" s="41" t="s">
        <v>20</v>
      </c>
      <c r="F552" s="42">
        <v>7.0000000000000007E-2</v>
      </c>
      <c r="G552" s="9">
        <v>7.0000000000000007E-2</v>
      </c>
      <c r="H552" s="45">
        <v>1</v>
      </c>
      <c r="I552" s="9">
        <v>1</v>
      </c>
      <c r="J552" s="48" t="s">
        <v>338</v>
      </c>
      <c r="K552" s="43">
        <v>0.92999999999999994</v>
      </c>
      <c r="L552" s="45" t="s">
        <v>15</v>
      </c>
    </row>
    <row r="553" spans="1:12" ht="15.75" customHeight="1" x14ac:dyDescent="0.3">
      <c r="A553" s="21">
        <v>9</v>
      </c>
      <c r="B553" s="25">
        <v>45541</v>
      </c>
      <c r="C553" s="29" t="s">
        <v>326</v>
      </c>
      <c r="D553" s="36">
        <v>1</v>
      </c>
      <c r="E553" s="41" t="s">
        <v>20</v>
      </c>
      <c r="F553" s="42">
        <v>0.05</v>
      </c>
      <c r="G553" s="9">
        <v>0.05</v>
      </c>
      <c r="H553" s="45">
        <v>0.5</v>
      </c>
      <c r="I553" s="9">
        <v>0.5</v>
      </c>
      <c r="J553" s="48" t="s">
        <v>338</v>
      </c>
      <c r="K553" s="43">
        <v>0.45</v>
      </c>
      <c r="L553" s="45" t="s">
        <v>15</v>
      </c>
    </row>
    <row r="554" spans="1:12" ht="15.75" customHeight="1" x14ac:dyDescent="0.3">
      <c r="A554" s="21">
        <v>9</v>
      </c>
      <c r="B554" s="25">
        <v>45542</v>
      </c>
      <c r="C554" s="29" t="s">
        <v>407</v>
      </c>
      <c r="D554" s="36">
        <v>1</v>
      </c>
      <c r="E554" s="41" t="s">
        <v>20</v>
      </c>
      <c r="F554" s="42">
        <v>3.5</v>
      </c>
      <c r="G554" s="9">
        <v>3.5</v>
      </c>
      <c r="H554" s="45">
        <v>10</v>
      </c>
      <c r="I554" s="9">
        <v>10</v>
      </c>
      <c r="J554" s="48" t="s">
        <v>338</v>
      </c>
      <c r="K554" s="43">
        <v>6.5</v>
      </c>
      <c r="L554" s="45" t="s">
        <v>15</v>
      </c>
    </row>
    <row r="555" spans="1:12" ht="15.75" customHeight="1" x14ac:dyDescent="0.3">
      <c r="A555" s="21">
        <v>9</v>
      </c>
      <c r="B555" s="25">
        <v>45542</v>
      </c>
      <c r="C555" s="29" t="s">
        <v>346</v>
      </c>
      <c r="D555" s="36">
        <v>1</v>
      </c>
      <c r="E555" s="41" t="s">
        <v>20</v>
      </c>
      <c r="F555" s="42">
        <v>3.5</v>
      </c>
      <c r="G555" s="9">
        <v>3.5</v>
      </c>
      <c r="H555" s="45">
        <v>10</v>
      </c>
      <c r="I555" s="9">
        <v>10</v>
      </c>
      <c r="J555" s="48" t="s">
        <v>338</v>
      </c>
      <c r="K555" s="43">
        <v>6.5</v>
      </c>
      <c r="L555" s="45" t="s">
        <v>15</v>
      </c>
    </row>
    <row r="556" spans="1:12" ht="15.75" customHeight="1" x14ac:dyDescent="0.3">
      <c r="A556" s="21">
        <v>9</v>
      </c>
      <c r="B556" s="25">
        <v>45542</v>
      </c>
      <c r="C556" s="29" t="s">
        <v>315</v>
      </c>
      <c r="D556" s="36">
        <v>2</v>
      </c>
      <c r="E556" s="41" t="s">
        <v>20</v>
      </c>
      <c r="F556" s="42">
        <v>7.0000000000000007E-2</v>
      </c>
      <c r="G556" s="9">
        <v>0.14000000000000001</v>
      </c>
      <c r="H556" s="45">
        <v>1</v>
      </c>
      <c r="I556" s="9">
        <v>2</v>
      </c>
      <c r="J556" s="48" t="s">
        <v>338</v>
      </c>
      <c r="K556" s="43">
        <v>1.8599999999999999</v>
      </c>
      <c r="L556" s="45" t="s">
        <v>15</v>
      </c>
    </row>
    <row r="557" spans="1:12" ht="15.75" customHeight="1" x14ac:dyDescent="0.3">
      <c r="A557" s="21">
        <v>9</v>
      </c>
      <c r="B557" s="25">
        <v>45542</v>
      </c>
      <c r="C557" s="29" t="s">
        <v>337</v>
      </c>
      <c r="D557" s="36">
        <v>1</v>
      </c>
      <c r="E557" s="41" t="s">
        <v>20</v>
      </c>
      <c r="F557" s="42">
        <v>0.05</v>
      </c>
      <c r="G557" s="9">
        <v>0.05</v>
      </c>
      <c r="H557" s="45">
        <v>1</v>
      </c>
      <c r="I557" s="9">
        <v>1</v>
      </c>
      <c r="J557" s="48" t="s">
        <v>338</v>
      </c>
      <c r="K557" s="43">
        <v>0.95</v>
      </c>
      <c r="L557" s="45" t="s">
        <v>15</v>
      </c>
    </row>
    <row r="558" spans="1:12" ht="15.75" customHeight="1" x14ac:dyDescent="0.3">
      <c r="A558" s="21">
        <v>9</v>
      </c>
      <c r="B558" s="25">
        <v>45542</v>
      </c>
      <c r="C558" s="29" t="s">
        <v>315</v>
      </c>
      <c r="D558" s="36">
        <v>2</v>
      </c>
      <c r="E558" s="41" t="s">
        <v>20</v>
      </c>
      <c r="F558" s="42">
        <v>7.0000000000000007E-2</v>
      </c>
      <c r="G558" s="9">
        <v>0.14000000000000001</v>
      </c>
      <c r="H558" s="45">
        <v>1</v>
      </c>
      <c r="I558" s="9">
        <v>2</v>
      </c>
      <c r="J558" s="48" t="s">
        <v>338</v>
      </c>
      <c r="K558" s="43">
        <v>1.8599999999999999</v>
      </c>
      <c r="L558" s="45" t="s">
        <v>15</v>
      </c>
    </row>
    <row r="559" spans="1:12" ht="15.75" customHeight="1" x14ac:dyDescent="0.3">
      <c r="A559" s="21">
        <v>9</v>
      </c>
      <c r="B559" s="25">
        <v>45542</v>
      </c>
      <c r="C559" s="29" t="s">
        <v>408</v>
      </c>
      <c r="D559" s="36">
        <v>1</v>
      </c>
      <c r="E559" s="41" t="s">
        <v>409</v>
      </c>
      <c r="F559" s="42">
        <v>20</v>
      </c>
      <c r="G559" s="9">
        <v>20</v>
      </c>
      <c r="H559" s="45">
        <v>40</v>
      </c>
      <c r="I559" s="9">
        <v>40</v>
      </c>
      <c r="J559" s="48" t="s">
        <v>338</v>
      </c>
      <c r="K559" s="43">
        <v>20</v>
      </c>
      <c r="L559" s="45" t="s">
        <v>15</v>
      </c>
    </row>
    <row r="560" spans="1:12" ht="15.75" customHeight="1" x14ac:dyDescent="0.3">
      <c r="A560" s="21">
        <v>9</v>
      </c>
      <c r="B560" s="25">
        <v>45544</v>
      </c>
      <c r="C560" s="29" t="s">
        <v>326</v>
      </c>
      <c r="D560" s="36">
        <v>1</v>
      </c>
      <c r="E560" s="41" t="s">
        <v>20</v>
      </c>
      <c r="F560" s="42">
        <v>0.05</v>
      </c>
      <c r="G560" s="9">
        <v>0.05</v>
      </c>
      <c r="H560" s="45">
        <v>0.5</v>
      </c>
      <c r="I560" s="9">
        <v>0.5</v>
      </c>
      <c r="J560" s="48" t="s">
        <v>338</v>
      </c>
      <c r="K560" s="43">
        <v>0.45</v>
      </c>
      <c r="L560" s="45" t="s">
        <v>15</v>
      </c>
    </row>
    <row r="561" spans="1:12" ht="15.75" customHeight="1" x14ac:dyDescent="0.3">
      <c r="A561" s="21">
        <v>9</v>
      </c>
      <c r="B561" s="25">
        <v>45544</v>
      </c>
      <c r="C561" s="29" t="s">
        <v>410</v>
      </c>
      <c r="D561" s="36">
        <v>1</v>
      </c>
      <c r="E561" s="41" t="s">
        <v>411</v>
      </c>
      <c r="F561" s="42">
        <v>0.24285714285714285</v>
      </c>
      <c r="G561" s="9">
        <v>0.24285714285714285</v>
      </c>
      <c r="H561" s="45">
        <v>0.5</v>
      </c>
      <c r="I561" s="9">
        <v>0.5</v>
      </c>
      <c r="J561" s="48" t="s">
        <v>338</v>
      </c>
      <c r="K561" s="43">
        <v>0.25714285714285712</v>
      </c>
      <c r="L561" s="45" t="s">
        <v>15</v>
      </c>
    </row>
    <row r="562" spans="1:12" ht="15.75" customHeight="1" x14ac:dyDescent="0.3">
      <c r="A562" s="21">
        <v>9</v>
      </c>
      <c r="B562" s="25">
        <v>45544</v>
      </c>
      <c r="C562" s="29" t="s">
        <v>326</v>
      </c>
      <c r="D562" s="36">
        <v>2</v>
      </c>
      <c r="E562" s="41" t="s">
        <v>412</v>
      </c>
      <c r="F562" s="42">
        <v>0.05</v>
      </c>
      <c r="G562" s="9">
        <v>0.1</v>
      </c>
      <c r="H562" s="45">
        <v>0.5</v>
      </c>
      <c r="I562" s="9">
        <v>1</v>
      </c>
      <c r="J562" s="48" t="s">
        <v>338</v>
      </c>
      <c r="K562" s="43">
        <v>0.9</v>
      </c>
      <c r="L562" s="45" t="s">
        <v>15</v>
      </c>
    </row>
    <row r="563" spans="1:12" ht="15.75" customHeight="1" x14ac:dyDescent="0.3">
      <c r="A563" s="21">
        <v>9</v>
      </c>
      <c r="B563" s="25">
        <v>45544</v>
      </c>
      <c r="C563" s="29" t="s">
        <v>410</v>
      </c>
      <c r="D563" s="36">
        <v>1</v>
      </c>
      <c r="E563" s="41" t="s">
        <v>51</v>
      </c>
      <c r="F563" s="42">
        <v>0.24285714285714285</v>
      </c>
      <c r="G563" s="9">
        <v>0.24285714285714285</v>
      </c>
      <c r="H563" s="45">
        <v>0.5</v>
      </c>
      <c r="I563" s="9">
        <v>0.5</v>
      </c>
      <c r="J563" s="48" t="s">
        <v>338</v>
      </c>
      <c r="K563" s="43">
        <v>0.25714285714285712</v>
      </c>
      <c r="L563" s="45" t="s">
        <v>15</v>
      </c>
    </row>
    <row r="564" spans="1:12" ht="15.75" customHeight="1" x14ac:dyDescent="0.3">
      <c r="A564" s="21">
        <v>9</v>
      </c>
      <c r="B564" s="25">
        <v>45544</v>
      </c>
      <c r="C564" s="29" t="s">
        <v>413</v>
      </c>
      <c r="D564" s="36">
        <v>1</v>
      </c>
      <c r="E564" s="41" t="s">
        <v>20</v>
      </c>
      <c r="F564" s="42">
        <v>15</v>
      </c>
      <c r="G564" s="9">
        <v>15</v>
      </c>
      <c r="H564" s="45">
        <v>15</v>
      </c>
      <c r="I564" s="9">
        <v>15</v>
      </c>
      <c r="J564" s="48" t="s">
        <v>338</v>
      </c>
      <c r="K564" s="43">
        <v>0</v>
      </c>
      <c r="L564" s="45" t="s">
        <v>15</v>
      </c>
    </row>
    <row r="565" spans="1:12" ht="15.75" customHeight="1" x14ac:dyDescent="0.3">
      <c r="A565" s="21">
        <v>9</v>
      </c>
      <c r="B565" s="25">
        <v>45544</v>
      </c>
      <c r="C565" s="29" t="s">
        <v>105</v>
      </c>
      <c r="D565" s="36">
        <v>1</v>
      </c>
      <c r="E565" s="41" t="s">
        <v>20</v>
      </c>
      <c r="F565" s="42">
        <v>12</v>
      </c>
      <c r="G565" s="9">
        <v>12</v>
      </c>
      <c r="H565" s="45">
        <v>30</v>
      </c>
      <c r="I565" s="9">
        <v>30</v>
      </c>
      <c r="J565" s="48" t="s">
        <v>338</v>
      </c>
      <c r="K565" s="43">
        <v>18</v>
      </c>
      <c r="L565" s="45" t="s">
        <v>15</v>
      </c>
    </row>
    <row r="566" spans="1:12" ht="15.75" customHeight="1" x14ac:dyDescent="0.3">
      <c r="A566" s="21">
        <v>9</v>
      </c>
      <c r="B566" s="25">
        <v>45545</v>
      </c>
      <c r="C566" s="29" t="s">
        <v>315</v>
      </c>
      <c r="D566" s="36">
        <v>1</v>
      </c>
      <c r="E566" s="41" t="s">
        <v>386</v>
      </c>
      <c r="F566" s="42">
        <v>7.0000000000000007E-2</v>
      </c>
      <c r="G566" s="9">
        <v>7.0000000000000007E-2</v>
      </c>
      <c r="H566" s="45">
        <v>1</v>
      </c>
      <c r="I566" s="9">
        <v>1</v>
      </c>
      <c r="J566" s="48" t="s">
        <v>338</v>
      </c>
      <c r="K566" s="43">
        <v>0.92999999999999994</v>
      </c>
      <c r="L566" s="45" t="s">
        <v>15</v>
      </c>
    </row>
    <row r="567" spans="1:12" ht="15.75" customHeight="1" x14ac:dyDescent="0.3">
      <c r="A567" s="21">
        <v>9</v>
      </c>
      <c r="B567" s="25">
        <v>45545</v>
      </c>
      <c r="C567" s="29" t="s">
        <v>410</v>
      </c>
      <c r="D567" s="36">
        <v>1</v>
      </c>
      <c r="E567" s="41" t="s">
        <v>232</v>
      </c>
      <c r="F567" s="42">
        <v>0.24285714285714285</v>
      </c>
      <c r="G567" s="9">
        <v>0.24285714285714285</v>
      </c>
      <c r="H567" s="45">
        <v>0.5</v>
      </c>
      <c r="I567" s="9">
        <v>0.5</v>
      </c>
      <c r="J567" s="48" t="s">
        <v>338</v>
      </c>
      <c r="K567" s="43">
        <v>0.25714285714285712</v>
      </c>
      <c r="L567" s="45" t="s">
        <v>15</v>
      </c>
    </row>
    <row r="568" spans="1:12" ht="15.75" customHeight="1" x14ac:dyDescent="0.3">
      <c r="A568" s="21">
        <v>9</v>
      </c>
      <c r="B568" s="25">
        <v>45545</v>
      </c>
      <c r="C568" s="29" t="s">
        <v>414</v>
      </c>
      <c r="D568" s="36">
        <v>1</v>
      </c>
      <c r="E568" s="41" t="s">
        <v>140</v>
      </c>
      <c r="F568" s="42">
        <v>41</v>
      </c>
      <c r="G568" s="9">
        <v>41</v>
      </c>
      <c r="H568" s="45">
        <v>75</v>
      </c>
      <c r="I568" s="9">
        <v>75</v>
      </c>
      <c r="J568" s="48" t="s">
        <v>338</v>
      </c>
      <c r="K568" s="43">
        <v>34</v>
      </c>
      <c r="L568" s="45" t="s">
        <v>15</v>
      </c>
    </row>
    <row r="569" spans="1:12" ht="15.75" customHeight="1" x14ac:dyDescent="0.3">
      <c r="A569" s="21">
        <v>9</v>
      </c>
      <c r="B569" s="25">
        <v>45545</v>
      </c>
      <c r="C569" s="29" t="s">
        <v>415</v>
      </c>
      <c r="D569" s="36">
        <v>1</v>
      </c>
      <c r="E569" s="41" t="s">
        <v>140</v>
      </c>
      <c r="F569" s="42">
        <v>6</v>
      </c>
      <c r="G569" s="9">
        <v>6</v>
      </c>
      <c r="H569" s="45">
        <v>10</v>
      </c>
      <c r="I569" s="9">
        <v>10</v>
      </c>
      <c r="J569" s="48" t="s">
        <v>338</v>
      </c>
      <c r="K569" s="43">
        <v>4</v>
      </c>
      <c r="L569" s="45" t="s">
        <v>15</v>
      </c>
    </row>
    <row r="570" spans="1:12" ht="15.75" customHeight="1" x14ac:dyDescent="0.3">
      <c r="A570" s="21">
        <v>9</v>
      </c>
      <c r="B570" s="25">
        <v>45545</v>
      </c>
      <c r="C570" s="29" t="s">
        <v>48</v>
      </c>
      <c r="D570" s="36">
        <v>1</v>
      </c>
      <c r="E570" s="41" t="s">
        <v>416</v>
      </c>
      <c r="F570" s="42">
        <v>3</v>
      </c>
      <c r="G570" s="9">
        <v>3</v>
      </c>
      <c r="H570" s="45">
        <v>10</v>
      </c>
      <c r="I570" s="9">
        <v>10</v>
      </c>
      <c r="J570" s="48" t="s">
        <v>338</v>
      </c>
      <c r="K570" s="43">
        <v>7</v>
      </c>
      <c r="L570" s="45" t="s">
        <v>15</v>
      </c>
    </row>
    <row r="571" spans="1:12" ht="15.75" customHeight="1" x14ac:dyDescent="0.3">
      <c r="A571" s="21">
        <v>9</v>
      </c>
      <c r="B571" s="25">
        <v>45545</v>
      </c>
      <c r="C571" s="29" t="s">
        <v>410</v>
      </c>
      <c r="D571" s="36">
        <v>1</v>
      </c>
      <c r="E571" s="41" t="s">
        <v>232</v>
      </c>
      <c r="F571" s="42">
        <v>0.24285714285714285</v>
      </c>
      <c r="G571" s="9">
        <v>0.24285714285714285</v>
      </c>
      <c r="H571" s="45">
        <v>0.5</v>
      </c>
      <c r="I571" s="9">
        <v>0.5</v>
      </c>
      <c r="J571" s="48" t="s">
        <v>338</v>
      </c>
      <c r="K571" s="43">
        <v>0.25714285714285712</v>
      </c>
      <c r="L571" s="45" t="s">
        <v>15</v>
      </c>
    </row>
    <row r="572" spans="1:12" ht="15.75" customHeight="1" x14ac:dyDescent="0.3">
      <c r="A572" s="21">
        <v>9</v>
      </c>
      <c r="B572" s="25">
        <v>45545</v>
      </c>
      <c r="C572" s="29" t="s">
        <v>414</v>
      </c>
      <c r="D572" s="36">
        <v>1</v>
      </c>
      <c r="E572" s="41" t="s">
        <v>334</v>
      </c>
      <c r="F572" s="42">
        <v>41</v>
      </c>
      <c r="G572" s="9">
        <v>41</v>
      </c>
      <c r="H572" s="45">
        <v>75</v>
      </c>
      <c r="I572" s="9">
        <v>75</v>
      </c>
      <c r="J572" s="48" t="s">
        <v>338</v>
      </c>
      <c r="K572" s="43">
        <v>34</v>
      </c>
      <c r="L572" s="45" t="s">
        <v>15</v>
      </c>
    </row>
    <row r="573" spans="1:12" ht="15.75" customHeight="1" x14ac:dyDescent="0.3">
      <c r="A573" s="21">
        <v>9</v>
      </c>
      <c r="B573" s="25">
        <v>45546</v>
      </c>
      <c r="C573" s="29" t="s">
        <v>315</v>
      </c>
      <c r="D573" s="36">
        <v>2</v>
      </c>
      <c r="E573" s="41" t="s">
        <v>20</v>
      </c>
      <c r="F573" s="42">
        <v>7.0000000000000007E-2</v>
      </c>
      <c r="G573" s="9">
        <v>0.14000000000000001</v>
      </c>
      <c r="H573" s="45">
        <v>1</v>
      </c>
      <c r="I573" s="9">
        <v>2</v>
      </c>
      <c r="J573" s="48" t="s">
        <v>338</v>
      </c>
      <c r="K573" s="43">
        <v>1.8599999999999999</v>
      </c>
      <c r="L573" s="45" t="s">
        <v>15</v>
      </c>
    </row>
    <row r="574" spans="1:12" ht="15.75" customHeight="1" x14ac:dyDescent="0.3">
      <c r="A574" s="21">
        <v>9</v>
      </c>
      <c r="B574" s="25">
        <v>45546</v>
      </c>
      <c r="C574" s="29" t="s">
        <v>356</v>
      </c>
      <c r="D574" s="36">
        <v>1</v>
      </c>
      <c r="E574" s="41" t="s">
        <v>118</v>
      </c>
      <c r="F574" s="42">
        <v>6</v>
      </c>
      <c r="G574" s="9">
        <v>6</v>
      </c>
      <c r="H574" s="45">
        <v>20</v>
      </c>
      <c r="I574" s="9">
        <v>20</v>
      </c>
      <c r="J574" s="48" t="s">
        <v>338</v>
      </c>
      <c r="K574" s="43">
        <v>14</v>
      </c>
      <c r="L574" s="45" t="s">
        <v>15</v>
      </c>
    </row>
    <row r="575" spans="1:12" ht="15.75" customHeight="1" x14ac:dyDescent="0.3">
      <c r="A575" s="21">
        <v>9</v>
      </c>
      <c r="B575" s="25">
        <v>45546</v>
      </c>
      <c r="C575" s="29" t="s">
        <v>370</v>
      </c>
      <c r="D575" s="36">
        <v>1</v>
      </c>
      <c r="E575" s="41" t="s">
        <v>118</v>
      </c>
      <c r="F575" s="42">
        <v>11</v>
      </c>
      <c r="G575" s="9">
        <v>11</v>
      </c>
      <c r="H575" s="45">
        <v>20</v>
      </c>
      <c r="I575" s="9">
        <v>20</v>
      </c>
      <c r="J575" s="48" t="s">
        <v>338</v>
      </c>
      <c r="K575" s="43">
        <v>9</v>
      </c>
      <c r="L575" s="45" t="s">
        <v>15</v>
      </c>
    </row>
    <row r="576" spans="1:12" ht="15.75" customHeight="1" x14ac:dyDescent="0.3">
      <c r="A576" s="21">
        <v>9</v>
      </c>
      <c r="B576" s="25">
        <v>45546</v>
      </c>
      <c r="C576" s="29" t="s">
        <v>417</v>
      </c>
      <c r="D576" s="36">
        <v>1</v>
      </c>
      <c r="E576" s="41" t="s">
        <v>118</v>
      </c>
      <c r="F576" s="42">
        <v>17</v>
      </c>
      <c r="G576" s="9">
        <v>17</v>
      </c>
      <c r="H576" s="45">
        <v>40</v>
      </c>
      <c r="I576" s="9">
        <v>40</v>
      </c>
      <c r="J576" s="48" t="s">
        <v>338</v>
      </c>
      <c r="K576" s="43">
        <v>23</v>
      </c>
      <c r="L576" s="45" t="s">
        <v>15</v>
      </c>
    </row>
    <row r="577" spans="1:12" ht="15.75" customHeight="1" x14ac:dyDescent="0.3">
      <c r="A577" s="21">
        <v>9</v>
      </c>
      <c r="B577" s="25">
        <v>45546</v>
      </c>
      <c r="C577" s="29" t="s">
        <v>418</v>
      </c>
      <c r="D577" s="36">
        <v>1</v>
      </c>
      <c r="E577" s="41" t="s">
        <v>419</v>
      </c>
      <c r="F577" s="42">
        <v>100</v>
      </c>
      <c r="G577" s="9">
        <v>100</v>
      </c>
      <c r="H577" s="45">
        <v>136.9</v>
      </c>
      <c r="I577" s="9">
        <v>136.9</v>
      </c>
      <c r="J577" s="48" t="s">
        <v>338</v>
      </c>
      <c r="K577" s="43">
        <v>36.900000000000006</v>
      </c>
      <c r="L577" s="45" t="s">
        <v>15</v>
      </c>
    </row>
    <row r="578" spans="1:12" ht="15.75" customHeight="1" x14ac:dyDescent="0.3">
      <c r="A578" s="21">
        <v>9</v>
      </c>
      <c r="B578" s="25">
        <v>45547</v>
      </c>
      <c r="C578" s="29" t="s">
        <v>415</v>
      </c>
      <c r="D578" s="36">
        <v>1</v>
      </c>
      <c r="E578" s="41" t="s">
        <v>420</v>
      </c>
      <c r="F578" s="42">
        <v>6</v>
      </c>
      <c r="G578" s="9">
        <v>6</v>
      </c>
      <c r="H578" s="45">
        <v>10</v>
      </c>
      <c r="I578" s="9">
        <v>10</v>
      </c>
      <c r="J578" s="48" t="s">
        <v>338</v>
      </c>
      <c r="K578" s="43">
        <v>4</v>
      </c>
      <c r="L578" s="45" t="s">
        <v>15</v>
      </c>
    </row>
    <row r="579" spans="1:12" ht="15.75" customHeight="1" x14ac:dyDescent="0.3">
      <c r="A579" s="21">
        <v>9</v>
      </c>
      <c r="B579" s="25">
        <v>45548</v>
      </c>
      <c r="C579" s="29" t="s">
        <v>315</v>
      </c>
      <c r="D579" s="36">
        <v>1</v>
      </c>
      <c r="E579" s="41" t="s">
        <v>20</v>
      </c>
      <c r="F579" s="42">
        <v>7.0000000000000007E-2</v>
      </c>
      <c r="G579" s="9">
        <v>7.0000000000000007E-2</v>
      </c>
      <c r="H579" s="45">
        <v>1</v>
      </c>
      <c r="I579" s="9">
        <v>1</v>
      </c>
      <c r="J579" s="48" t="s">
        <v>338</v>
      </c>
      <c r="K579" s="43">
        <v>0.92999999999999994</v>
      </c>
      <c r="L579" s="45" t="s">
        <v>15</v>
      </c>
    </row>
    <row r="580" spans="1:12" ht="15.75" customHeight="1" x14ac:dyDescent="0.3">
      <c r="A580" s="21">
        <v>9</v>
      </c>
      <c r="B580" s="25">
        <v>45548</v>
      </c>
      <c r="C580" s="29" t="s">
        <v>378</v>
      </c>
      <c r="D580" s="36">
        <v>1</v>
      </c>
      <c r="E580" s="41" t="s">
        <v>20</v>
      </c>
      <c r="F580" s="42">
        <v>17</v>
      </c>
      <c r="G580" s="9">
        <v>17</v>
      </c>
      <c r="H580" s="45">
        <v>30</v>
      </c>
      <c r="I580" s="9">
        <v>30</v>
      </c>
      <c r="J580" s="48" t="s">
        <v>338</v>
      </c>
      <c r="K580" s="43">
        <v>13</v>
      </c>
      <c r="L580" s="45" t="s">
        <v>15</v>
      </c>
    </row>
    <row r="581" spans="1:12" ht="15.75" customHeight="1" x14ac:dyDescent="0.3">
      <c r="A581" s="21">
        <v>9</v>
      </c>
      <c r="B581" s="25">
        <v>45548</v>
      </c>
      <c r="C581" s="29" t="s">
        <v>267</v>
      </c>
      <c r="D581" s="36">
        <v>1</v>
      </c>
      <c r="E581" s="41" t="s">
        <v>304</v>
      </c>
      <c r="F581" s="42">
        <v>0</v>
      </c>
      <c r="G581" s="9">
        <v>0</v>
      </c>
      <c r="H581" s="45">
        <v>71</v>
      </c>
      <c r="I581" s="9">
        <v>71</v>
      </c>
      <c r="J581" s="48" t="s">
        <v>338</v>
      </c>
      <c r="K581" s="43">
        <v>71</v>
      </c>
      <c r="L581" s="45" t="s">
        <v>15</v>
      </c>
    </row>
    <row r="582" spans="1:12" ht="15.75" customHeight="1" x14ac:dyDescent="0.3">
      <c r="A582" s="21">
        <v>9</v>
      </c>
      <c r="B582" s="25">
        <v>45548</v>
      </c>
      <c r="C582" s="29" t="s">
        <v>378</v>
      </c>
      <c r="D582" s="36">
        <v>1</v>
      </c>
      <c r="E582" s="41" t="s">
        <v>20</v>
      </c>
      <c r="F582" s="42">
        <v>17</v>
      </c>
      <c r="G582" s="9">
        <v>17</v>
      </c>
      <c r="H582" s="45">
        <v>30</v>
      </c>
      <c r="I582" s="9">
        <v>30</v>
      </c>
      <c r="J582" s="48" t="s">
        <v>338</v>
      </c>
      <c r="K582" s="43">
        <v>13</v>
      </c>
      <c r="L582" s="45" t="s">
        <v>15</v>
      </c>
    </row>
    <row r="583" spans="1:12" ht="15.75" customHeight="1" x14ac:dyDescent="0.3">
      <c r="A583" s="21">
        <v>9</v>
      </c>
      <c r="B583" s="25">
        <v>45548</v>
      </c>
      <c r="C583" s="29" t="s">
        <v>421</v>
      </c>
      <c r="D583" s="36">
        <v>1</v>
      </c>
      <c r="E583" s="41" t="s">
        <v>20</v>
      </c>
      <c r="F583" s="42">
        <v>35</v>
      </c>
      <c r="G583" s="9">
        <v>35</v>
      </c>
      <c r="H583" s="45">
        <v>70</v>
      </c>
      <c r="I583" s="9">
        <v>70</v>
      </c>
      <c r="J583" s="48" t="s">
        <v>338</v>
      </c>
      <c r="K583" s="43">
        <v>35</v>
      </c>
      <c r="L583" s="45" t="s">
        <v>15</v>
      </c>
    </row>
    <row r="584" spans="1:12" ht="15.75" customHeight="1" x14ac:dyDescent="0.3">
      <c r="A584" s="21">
        <v>9</v>
      </c>
      <c r="B584" s="25">
        <v>45548</v>
      </c>
      <c r="C584" s="29" t="s">
        <v>318</v>
      </c>
      <c r="D584" s="36">
        <v>1</v>
      </c>
      <c r="E584" s="41" t="s">
        <v>422</v>
      </c>
      <c r="F584" s="42">
        <v>13.5</v>
      </c>
      <c r="G584" s="9">
        <v>13.5</v>
      </c>
      <c r="H584" s="45">
        <v>25</v>
      </c>
      <c r="I584" s="9">
        <v>25</v>
      </c>
      <c r="J584" s="48" t="s">
        <v>338</v>
      </c>
      <c r="K584" s="43">
        <v>11.5</v>
      </c>
      <c r="L584" s="45" t="s">
        <v>15</v>
      </c>
    </row>
    <row r="585" spans="1:12" ht="15.75" customHeight="1" x14ac:dyDescent="0.3">
      <c r="A585" s="21">
        <v>9</v>
      </c>
      <c r="B585" s="25">
        <v>45549</v>
      </c>
      <c r="C585" s="29" t="s">
        <v>315</v>
      </c>
      <c r="D585" s="36">
        <v>1</v>
      </c>
      <c r="E585" s="41" t="s">
        <v>20</v>
      </c>
      <c r="F585" s="42">
        <v>7.0000000000000007E-2</v>
      </c>
      <c r="G585" s="9">
        <v>7.0000000000000007E-2</v>
      </c>
      <c r="H585" s="45">
        <v>1</v>
      </c>
      <c r="I585" s="9">
        <v>1</v>
      </c>
      <c r="J585" s="48" t="s">
        <v>338</v>
      </c>
      <c r="K585" s="43">
        <v>0.92999999999999994</v>
      </c>
      <c r="L585" s="45" t="s">
        <v>15</v>
      </c>
    </row>
    <row r="586" spans="1:12" ht="15.75" customHeight="1" x14ac:dyDescent="0.3">
      <c r="A586" s="21">
        <v>9</v>
      </c>
      <c r="B586" s="25">
        <v>45551</v>
      </c>
      <c r="C586" s="29" t="s">
        <v>423</v>
      </c>
      <c r="D586" s="36">
        <v>1</v>
      </c>
      <c r="E586" s="41" t="s">
        <v>424</v>
      </c>
      <c r="F586" s="42">
        <v>12</v>
      </c>
      <c r="G586" s="9">
        <v>12</v>
      </c>
      <c r="H586" s="45">
        <v>30</v>
      </c>
      <c r="I586" s="9">
        <v>30</v>
      </c>
      <c r="J586" s="48" t="s">
        <v>338</v>
      </c>
      <c r="K586" s="43">
        <v>18</v>
      </c>
      <c r="L586" s="45" t="s">
        <v>15</v>
      </c>
    </row>
    <row r="587" spans="1:12" ht="15.75" customHeight="1" x14ac:dyDescent="0.3">
      <c r="A587" s="21">
        <v>9</v>
      </c>
      <c r="B587" s="25">
        <v>45552</v>
      </c>
      <c r="C587" s="29" t="s">
        <v>315</v>
      </c>
      <c r="D587" s="36">
        <v>1</v>
      </c>
      <c r="E587" s="41" t="s">
        <v>20</v>
      </c>
      <c r="F587" s="42">
        <v>7.0000000000000007E-2</v>
      </c>
      <c r="G587" s="9">
        <v>7.0000000000000007E-2</v>
      </c>
      <c r="H587" s="45">
        <v>1</v>
      </c>
      <c r="I587" s="9">
        <v>1</v>
      </c>
      <c r="J587" s="48" t="s">
        <v>338</v>
      </c>
      <c r="K587" s="43">
        <v>0.92999999999999994</v>
      </c>
      <c r="L587" s="45" t="s">
        <v>15</v>
      </c>
    </row>
    <row r="588" spans="1:12" ht="15.75" customHeight="1" x14ac:dyDescent="0.3">
      <c r="A588" s="21">
        <v>9</v>
      </c>
      <c r="B588" s="25">
        <v>45552</v>
      </c>
      <c r="C588" s="29" t="s">
        <v>326</v>
      </c>
      <c r="D588" s="36">
        <v>2</v>
      </c>
      <c r="E588" s="41" t="s">
        <v>20</v>
      </c>
      <c r="F588" s="42">
        <v>0.05</v>
      </c>
      <c r="G588" s="9">
        <v>0.1</v>
      </c>
      <c r="H588" s="45">
        <v>1</v>
      </c>
      <c r="I588" s="9">
        <v>2</v>
      </c>
      <c r="J588" s="48" t="s">
        <v>338</v>
      </c>
      <c r="K588" s="43">
        <v>1.9</v>
      </c>
      <c r="L588" s="45" t="s">
        <v>15</v>
      </c>
    </row>
    <row r="589" spans="1:12" ht="15.75" customHeight="1" x14ac:dyDescent="0.3">
      <c r="A589" s="21">
        <v>9</v>
      </c>
      <c r="B589" s="25">
        <v>45552</v>
      </c>
      <c r="C589" s="29" t="s">
        <v>425</v>
      </c>
      <c r="D589" s="36">
        <v>1</v>
      </c>
      <c r="E589" s="41" t="s">
        <v>334</v>
      </c>
      <c r="F589" s="42">
        <v>13</v>
      </c>
      <c r="G589" s="9">
        <v>13</v>
      </c>
      <c r="H589" s="45">
        <v>20</v>
      </c>
      <c r="I589" s="9">
        <v>20</v>
      </c>
      <c r="J589" s="48" t="s">
        <v>338</v>
      </c>
      <c r="K589" s="43">
        <v>7</v>
      </c>
      <c r="L589" s="45" t="s">
        <v>15</v>
      </c>
    </row>
    <row r="590" spans="1:12" ht="15.75" customHeight="1" x14ac:dyDescent="0.3">
      <c r="A590" s="21">
        <v>9</v>
      </c>
      <c r="B590" s="25">
        <v>45552</v>
      </c>
      <c r="C590" s="29" t="s">
        <v>426</v>
      </c>
      <c r="D590" s="36">
        <v>1</v>
      </c>
      <c r="E590" s="41" t="s">
        <v>334</v>
      </c>
      <c r="F590" s="42" t="s">
        <v>72</v>
      </c>
      <c r="G590" s="9">
        <v>0</v>
      </c>
      <c r="H590" s="45"/>
      <c r="I590" s="9">
        <v>0</v>
      </c>
      <c r="J590" s="48"/>
      <c r="K590" s="43">
        <v>0</v>
      </c>
      <c r="L590" s="45" t="s">
        <v>15</v>
      </c>
    </row>
    <row r="591" spans="1:12" ht="15.75" customHeight="1" x14ac:dyDescent="0.3">
      <c r="A591" s="21">
        <v>9</v>
      </c>
      <c r="B591" s="25">
        <v>45553</v>
      </c>
      <c r="C591" s="29" t="s">
        <v>335</v>
      </c>
      <c r="D591" s="36">
        <v>1</v>
      </c>
      <c r="E591" s="41" t="s">
        <v>20</v>
      </c>
      <c r="F591" s="42">
        <v>3</v>
      </c>
      <c r="G591" s="9">
        <v>3</v>
      </c>
      <c r="H591" s="45">
        <v>15</v>
      </c>
      <c r="I591" s="9">
        <v>15</v>
      </c>
      <c r="J591" s="48" t="s">
        <v>338</v>
      </c>
      <c r="K591" s="43">
        <v>12</v>
      </c>
      <c r="L591" s="45" t="s">
        <v>15</v>
      </c>
    </row>
    <row r="592" spans="1:12" ht="15.75" customHeight="1" x14ac:dyDescent="0.3">
      <c r="A592" s="21">
        <v>9</v>
      </c>
      <c r="B592" s="25">
        <v>45553</v>
      </c>
      <c r="C592" s="29" t="s">
        <v>315</v>
      </c>
      <c r="D592" s="36">
        <v>2</v>
      </c>
      <c r="E592" s="41" t="s">
        <v>51</v>
      </c>
      <c r="F592" s="42">
        <v>7.0000000000000007E-2</v>
      </c>
      <c r="G592" s="9">
        <v>0.14000000000000001</v>
      </c>
      <c r="H592" s="45">
        <v>1</v>
      </c>
      <c r="I592" s="9">
        <v>2</v>
      </c>
      <c r="J592" s="48" t="s">
        <v>338</v>
      </c>
      <c r="K592" s="43">
        <v>1.8599999999999999</v>
      </c>
      <c r="L592" s="45" t="s">
        <v>15</v>
      </c>
    </row>
    <row r="593" spans="1:12" ht="15.75" customHeight="1" x14ac:dyDescent="0.3">
      <c r="A593" s="21">
        <v>9</v>
      </c>
      <c r="B593" s="25">
        <v>45552</v>
      </c>
      <c r="C593" s="29" t="s">
        <v>414</v>
      </c>
      <c r="D593" s="36">
        <v>1</v>
      </c>
      <c r="E593" s="41" t="s">
        <v>340</v>
      </c>
      <c r="F593" s="42">
        <v>41</v>
      </c>
      <c r="G593" s="9">
        <v>41</v>
      </c>
      <c r="H593" s="45">
        <v>75</v>
      </c>
      <c r="I593" s="9">
        <v>75</v>
      </c>
      <c r="J593" s="48" t="s">
        <v>338</v>
      </c>
      <c r="K593" s="43">
        <v>34</v>
      </c>
      <c r="L593" s="45" t="s">
        <v>15</v>
      </c>
    </row>
    <row r="594" spans="1:12" ht="15.75" customHeight="1" x14ac:dyDescent="0.3">
      <c r="A594" s="21">
        <v>9</v>
      </c>
      <c r="B594" s="25">
        <v>45553</v>
      </c>
      <c r="C594" s="29" t="s">
        <v>410</v>
      </c>
      <c r="D594" s="36">
        <v>3</v>
      </c>
      <c r="E594" s="41" t="s">
        <v>232</v>
      </c>
      <c r="F594" s="42">
        <v>0.24285714285714285</v>
      </c>
      <c r="G594" s="9">
        <v>0.72857142857142854</v>
      </c>
      <c r="H594" s="45">
        <v>0.5</v>
      </c>
      <c r="I594" s="9">
        <v>1.5</v>
      </c>
      <c r="J594" s="48" t="s">
        <v>338</v>
      </c>
      <c r="K594" s="43">
        <v>0.77142857142857146</v>
      </c>
      <c r="L594" s="45" t="s">
        <v>15</v>
      </c>
    </row>
    <row r="595" spans="1:12" ht="15.75" customHeight="1" x14ac:dyDescent="0.3">
      <c r="A595" s="21">
        <v>9</v>
      </c>
      <c r="B595" s="25">
        <v>45553</v>
      </c>
      <c r="C595" s="29" t="s">
        <v>326</v>
      </c>
      <c r="D595" s="36">
        <v>2</v>
      </c>
      <c r="E595" s="41" t="s">
        <v>20</v>
      </c>
      <c r="F595" s="42">
        <v>0.05</v>
      </c>
      <c r="G595" s="9">
        <v>0.1</v>
      </c>
      <c r="H595" s="45">
        <v>0.5</v>
      </c>
      <c r="I595" s="9">
        <v>1</v>
      </c>
      <c r="J595" s="48" t="s">
        <v>338</v>
      </c>
      <c r="K595" s="43">
        <v>0.9</v>
      </c>
      <c r="L595" s="45" t="s">
        <v>15</v>
      </c>
    </row>
    <row r="596" spans="1:12" ht="15.75" customHeight="1" x14ac:dyDescent="0.3">
      <c r="A596" s="21">
        <v>9</v>
      </c>
      <c r="B596" s="25">
        <v>45553</v>
      </c>
      <c r="C596" s="29" t="s">
        <v>315</v>
      </c>
      <c r="D596" s="36">
        <v>10</v>
      </c>
      <c r="E596" s="41" t="s">
        <v>20</v>
      </c>
      <c r="F596" s="42">
        <v>7.0000000000000007E-2</v>
      </c>
      <c r="G596" s="9">
        <v>0.70000000000000007</v>
      </c>
      <c r="H596" s="45">
        <v>1</v>
      </c>
      <c r="I596" s="9">
        <v>10</v>
      </c>
      <c r="J596" s="48" t="s">
        <v>338</v>
      </c>
      <c r="K596" s="43">
        <v>9.3000000000000007</v>
      </c>
      <c r="L596" s="45" t="s">
        <v>15</v>
      </c>
    </row>
    <row r="597" spans="1:12" ht="15.75" customHeight="1" x14ac:dyDescent="0.3">
      <c r="A597" s="21">
        <v>9</v>
      </c>
      <c r="B597" s="25">
        <v>45553</v>
      </c>
      <c r="C597" s="29" t="s">
        <v>326</v>
      </c>
      <c r="D597" s="36">
        <v>2</v>
      </c>
      <c r="E597" s="41" t="s">
        <v>20</v>
      </c>
      <c r="F597" s="42">
        <v>0.05</v>
      </c>
      <c r="G597" s="9">
        <v>0.1</v>
      </c>
      <c r="H597" s="45">
        <v>0.5</v>
      </c>
      <c r="I597" s="9">
        <v>1</v>
      </c>
      <c r="J597" s="48" t="s">
        <v>338</v>
      </c>
      <c r="K597" s="43">
        <v>0.9</v>
      </c>
      <c r="L597" s="45" t="s">
        <v>15</v>
      </c>
    </row>
    <row r="598" spans="1:12" ht="15.75" customHeight="1" x14ac:dyDescent="0.3">
      <c r="A598" s="21">
        <v>9</v>
      </c>
      <c r="B598" s="25">
        <v>45553</v>
      </c>
      <c r="C598" s="29" t="s">
        <v>410</v>
      </c>
      <c r="D598" s="36">
        <v>4</v>
      </c>
      <c r="E598" s="41" t="s">
        <v>232</v>
      </c>
      <c r="F598" s="42">
        <v>0.24285714285714285</v>
      </c>
      <c r="G598" s="9">
        <v>0.97142857142857142</v>
      </c>
      <c r="H598" s="45">
        <v>0.5</v>
      </c>
      <c r="I598" s="9">
        <v>2</v>
      </c>
      <c r="J598" s="48" t="s">
        <v>338</v>
      </c>
      <c r="K598" s="43">
        <v>1.0285714285714285</v>
      </c>
      <c r="L598" s="45" t="s">
        <v>15</v>
      </c>
    </row>
    <row r="599" spans="1:12" ht="15.75" customHeight="1" x14ac:dyDescent="0.3">
      <c r="A599" s="21">
        <v>9</v>
      </c>
      <c r="B599" s="25">
        <v>45553</v>
      </c>
      <c r="C599" s="29" t="s">
        <v>326</v>
      </c>
      <c r="D599" s="36">
        <v>5</v>
      </c>
      <c r="E599" s="41" t="s">
        <v>20</v>
      </c>
      <c r="F599" s="42">
        <v>0.05</v>
      </c>
      <c r="G599" s="9">
        <v>0.25</v>
      </c>
      <c r="H599" s="45">
        <v>0.5</v>
      </c>
      <c r="I599" s="9">
        <v>2.5</v>
      </c>
      <c r="J599" s="48" t="s">
        <v>338</v>
      </c>
      <c r="K599" s="43">
        <v>2.25</v>
      </c>
      <c r="L599" s="45" t="s">
        <v>15</v>
      </c>
    </row>
    <row r="600" spans="1:12" ht="15.75" customHeight="1" x14ac:dyDescent="0.3">
      <c r="A600" s="21">
        <v>9</v>
      </c>
      <c r="B600" s="25">
        <v>45553</v>
      </c>
      <c r="C600" s="29" t="s">
        <v>326</v>
      </c>
      <c r="D600" s="36">
        <v>2</v>
      </c>
      <c r="E600" s="41" t="s">
        <v>20</v>
      </c>
      <c r="F600" s="42">
        <v>0.05</v>
      </c>
      <c r="G600" s="9">
        <v>0.1</v>
      </c>
      <c r="H600" s="45">
        <v>0.5</v>
      </c>
      <c r="I600" s="9">
        <v>1</v>
      </c>
      <c r="J600" s="48" t="s">
        <v>338</v>
      </c>
      <c r="K600" s="43">
        <v>0.9</v>
      </c>
      <c r="L600" s="45" t="s">
        <v>15</v>
      </c>
    </row>
    <row r="601" spans="1:12" ht="15.75" customHeight="1" x14ac:dyDescent="0.3">
      <c r="A601" s="21">
        <v>9</v>
      </c>
      <c r="B601" s="25">
        <v>45554</v>
      </c>
      <c r="C601" s="29" t="s">
        <v>410</v>
      </c>
      <c r="D601" s="36">
        <v>1</v>
      </c>
      <c r="E601" s="41" t="s">
        <v>334</v>
      </c>
      <c r="F601" s="42">
        <v>0.24285714285714285</v>
      </c>
      <c r="G601" s="9">
        <v>0.24285714285714285</v>
      </c>
      <c r="H601" s="45">
        <v>0.5</v>
      </c>
      <c r="I601" s="9">
        <v>0.5</v>
      </c>
      <c r="J601" s="48" t="s">
        <v>338</v>
      </c>
      <c r="K601" s="43">
        <v>0.25714285714285712</v>
      </c>
      <c r="L601" s="45" t="s">
        <v>15</v>
      </c>
    </row>
    <row r="602" spans="1:12" ht="15.75" customHeight="1" x14ac:dyDescent="0.3">
      <c r="A602" s="21">
        <v>9</v>
      </c>
      <c r="B602" s="25">
        <v>45554</v>
      </c>
      <c r="C602" s="29" t="s">
        <v>210</v>
      </c>
      <c r="D602" s="36">
        <v>1</v>
      </c>
      <c r="E602" s="41" t="s">
        <v>20</v>
      </c>
      <c r="F602" s="42">
        <v>15</v>
      </c>
      <c r="G602" s="9">
        <v>15</v>
      </c>
      <c r="H602" s="45">
        <v>30</v>
      </c>
      <c r="I602" s="9">
        <v>30</v>
      </c>
      <c r="J602" s="48" t="s">
        <v>338</v>
      </c>
      <c r="K602" s="43">
        <v>15</v>
      </c>
      <c r="L602" s="45" t="s">
        <v>15</v>
      </c>
    </row>
    <row r="603" spans="1:12" ht="15.75" customHeight="1" x14ac:dyDescent="0.3">
      <c r="A603" s="21">
        <v>9</v>
      </c>
      <c r="B603" s="25">
        <v>45556</v>
      </c>
      <c r="C603" s="29" t="s">
        <v>427</v>
      </c>
      <c r="D603" s="36">
        <v>1</v>
      </c>
      <c r="E603" s="41" t="s">
        <v>20</v>
      </c>
      <c r="F603" s="42">
        <v>14.84</v>
      </c>
      <c r="G603" s="9">
        <v>14.84</v>
      </c>
      <c r="H603" s="45">
        <v>60</v>
      </c>
      <c r="I603" s="9">
        <v>60</v>
      </c>
      <c r="J603" s="48" t="s">
        <v>338</v>
      </c>
      <c r="K603" s="43">
        <v>45.16</v>
      </c>
      <c r="L603" s="45" t="s">
        <v>15</v>
      </c>
    </row>
    <row r="604" spans="1:12" ht="15.75" customHeight="1" x14ac:dyDescent="0.3">
      <c r="A604" s="21">
        <v>9</v>
      </c>
      <c r="B604" s="25">
        <v>45556</v>
      </c>
      <c r="C604" s="29" t="s">
        <v>410</v>
      </c>
      <c r="D604" s="36">
        <v>1</v>
      </c>
      <c r="E604" s="41" t="s">
        <v>428</v>
      </c>
      <c r="F604" s="42">
        <v>0.24285714285714285</v>
      </c>
      <c r="G604" s="9">
        <v>0.24285714285714285</v>
      </c>
      <c r="H604" s="45">
        <v>0.5</v>
      </c>
      <c r="I604" s="9">
        <v>0.5</v>
      </c>
      <c r="J604" s="48" t="s">
        <v>338</v>
      </c>
      <c r="K604" s="43">
        <v>0.25714285714285712</v>
      </c>
      <c r="L604" s="45" t="s">
        <v>15</v>
      </c>
    </row>
    <row r="605" spans="1:12" ht="15.75" customHeight="1" x14ac:dyDescent="0.3">
      <c r="A605" s="21">
        <v>9</v>
      </c>
      <c r="B605" s="25">
        <v>45558</v>
      </c>
      <c r="C605" s="29" t="s">
        <v>429</v>
      </c>
      <c r="D605" s="36">
        <v>1</v>
      </c>
      <c r="E605" s="41" t="s">
        <v>430</v>
      </c>
      <c r="F605" s="42">
        <v>35.99</v>
      </c>
      <c r="G605" s="9">
        <v>35.99</v>
      </c>
      <c r="H605" s="45">
        <v>40</v>
      </c>
      <c r="I605" s="9">
        <v>40</v>
      </c>
      <c r="J605" s="48" t="s">
        <v>338</v>
      </c>
      <c r="K605" s="43">
        <v>4.009999999999998</v>
      </c>
      <c r="L605" s="45" t="s">
        <v>15</v>
      </c>
    </row>
    <row r="606" spans="1:12" ht="15.75" customHeight="1" x14ac:dyDescent="0.3">
      <c r="A606" s="21">
        <v>9</v>
      </c>
      <c r="B606" s="25">
        <v>45559</v>
      </c>
      <c r="C606" s="29" t="s">
        <v>359</v>
      </c>
      <c r="D606" s="36">
        <v>19</v>
      </c>
      <c r="E606" s="41" t="s">
        <v>20</v>
      </c>
      <c r="F606" s="42">
        <v>0</v>
      </c>
      <c r="G606" s="9">
        <v>0</v>
      </c>
      <c r="H606" s="45">
        <v>0.5</v>
      </c>
      <c r="I606" s="9">
        <v>9.5</v>
      </c>
      <c r="J606" s="48" t="s">
        <v>338</v>
      </c>
      <c r="K606" s="43">
        <v>9.5</v>
      </c>
      <c r="L606" s="45" t="s">
        <v>15</v>
      </c>
    </row>
    <row r="607" spans="1:12" ht="15.75" customHeight="1" x14ac:dyDescent="0.3">
      <c r="A607" s="21">
        <v>9</v>
      </c>
      <c r="B607" s="25">
        <v>45559</v>
      </c>
      <c r="C607" s="29" t="s">
        <v>431</v>
      </c>
      <c r="D607" s="36">
        <v>1</v>
      </c>
      <c r="E607" s="41" t="s">
        <v>20</v>
      </c>
      <c r="F607" s="42">
        <v>0</v>
      </c>
      <c r="G607" s="9">
        <v>0</v>
      </c>
      <c r="H607" s="45">
        <v>15</v>
      </c>
      <c r="I607" s="9">
        <v>15</v>
      </c>
      <c r="J607" s="48" t="s">
        <v>338</v>
      </c>
      <c r="K607" s="43">
        <v>15</v>
      </c>
      <c r="L607" s="45" t="s">
        <v>15</v>
      </c>
    </row>
    <row r="608" spans="1:12" ht="15.75" customHeight="1" x14ac:dyDescent="0.3">
      <c r="A608" s="21">
        <v>9</v>
      </c>
      <c r="B608" s="25">
        <v>45559</v>
      </c>
      <c r="C608" s="29" t="s">
        <v>354</v>
      </c>
      <c r="D608" s="36">
        <v>1</v>
      </c>
      <c r="E608" s="41" t="s">
        <v>20</v>
      </c>
      <c r="F608" s="42">
        <v>18.8</v>
      </c>
      <c r="G608" s="9">
        <v>18.8</v>
      </c>
      <c r="H608" s="45">
        <v>30</v>
      </c>
      <c r="I608" s="9">
        <v>30</v>
      </c>
      <c r="J608" s="48" t="s">
        <v>338</v>
      </c>
      <c r="K608" s="43">
        <v>11.2</v>
      </c>
      <c r="L608" s="45" t="s">
        <v>15</v>
      </c>
    </row>
    <row r="609" spans="1:12" ht="15.75" customHeight="1" x14ac:dyDescent="0.3">
      <c r="A609" s="21">
        <v>9</v>
      </c>
      <c r="B609" s="25">
        <v>45560</v>
      </c>
      <c r="C609" s="29" t="s">
        <v>410</v>
      </c>
      <c r="D609" s="36">
        <v>2</v>
      </c>
      <c r="E609" s="41" t="s">
        <v>334</v>
      </c>
      <c r="F609" s="42">
        <v>0.24285714285714285</v>
      </c>
      <c r="G609" s="9">
        <v>0.48571428571428571</v>
      </c>
      <c r="H609" s="45">
        <v>0.5</v>
      </c>
      <c r="I609" s="9">
        <v>1</v>
      </c>
      <c r="J609" s="48" t="s">
        <v>338</v>
      </c>
      <c r="K609" s="43">
        <v>0.51428571428571423</v>
      </c>
      <c r="L609" s="45" t="s">
        <v>15</v>
      </c>
    </row>
    <row r="610" spans="1:12" ht="15.75" customHeight="1" x14ac:dyDescent="0.3">
      <c r="A610" s="21">
        <v>9</v>
      </c>
      <c r="B610" s="25">
        <v>45561</v>
      </c>
      <c r="C610" s="29" t="s">
        <v>378</v>
      </c>
      <c r="D610" s="36">
        <v>1</v>
      </c>
      <c r="E610" s="41" t="s">
        <v>20</v>
      </c>
      <c r="F610" s="42">
        <v>17</v>
      </c>
      <c r="G610" s="9">
        <v>17</v>
      </c>
      <c r="H610" s="45">
        <v>30</v>
      </c>
      <c r="I610" s="9">
        <v>30</v>
      </c>
      <c r="J610" s="48" t="s">
        <v>338</v>
      </c>
      <c r="K610" s="43">
        <v>13</v>
      </c>
      <c r="L610" s="45" t="s">
        <v>15</v>
      </c>
    </row>
    <row r="611" spans="1:12" ht="15.75" customHeight="1" x14ac:dyDescent="0.3">
      <c r="A611" s="21">
        <v>9</v>
      </c>
      <c r="B611" s="25">
        <v>45562</v>
      </c>
      <c r="C611" s="29" t="s">
        <v>432</v>
      </c>
      <c r="D611" s="36">
        <v>1</v>
      </c>
      <c r="E611" s="41" t="s">
        <v>20</v>
      </c>
      <c r="F611" s="42">
        <v>4</v>
      </c>
      <c r="G611" s="9">
        <v>4</v>
      </c>
      <c r="H611" s="45">
        <v>10</v>
      </c>
      <c r="I611" s="9">
        <v>10</v>
      </c>
      <c r="J611" s="48" t="s">
        <v>338</v>
      </c>
      <c r="K611" s="43">
        <v>6</v>
      </c>
      <c r="L611" s="45" t="s">
        <v>15</v>
      </c>
    </row>
    <row r="612" spans="1:12" ht="15.75" customHeight="1" x14ac:dyDescent="0.3">
      <c r="A612" s="21">
        <v>9</v>
      </c>
      <c r="B612" s="25">
        <v>45563</v>
      </c>
      <c r="C612" s="29" t="s">
        <v>326</v>
      </c>
      <c r="D612" s="36">
        <v>10</v>
      </c>
      <c r="E612" s="41" t="s">
        <v>20</v>
      </c>
      <c r="F612" s="42">
        <v>0.05</v>
      </c>
      <c r="G612" s="9">
        <v>0.5</v>
      </c>
      <c r="H612" s="45">
        <v>0.5</v>
      </c>
      <c r="I612" s="9">
        <v>5</v>
      </c>
      <c r="J612" s="48" t="s">
        <v>338</v>
      </c>
      <c r="K612" s="43">
        <v>4.5</v>
      </c>
      <c r="L612" s="45" t="s">
        <v>15</v>
      </c>
    </row>
    <row r="613" spans="1:12" ht="15.75" customHeight="1" x14ac:dyDescent="0.3">
      <c r="A613" s="21">
        <v>9</v>
      </c>
      <c r="B613" s="25">
        <v>45563</v>
      </c>
      <c r="C613" s="29" t="s">
        <v>431</v>
      </c>
      <c r="D613" s="36">
        <v>1</v>
      </c>
      <c r="E613" s="41" t="s">
        <v>428</v>
      </c>
      <c r="F613" s="42">
        <v>0</v>
      </c>
      <c r="G613" s="9">
        <v>0</v>
      </c>
      <c r="H613" s="45">
        <v>15</v>
      </c>
      <c r="I613" s="9">
        <v>15</v>
      </c>
      <c r="J613" s="48" t="s">
        <v>338</v>
      </c>
      <c r="K613" s="43">
        <v>15</v>
      </c>
      <c r="L613" s="45" t="s">
        <v>15</v>
      </c>
    </row>
    <row r="614" spans="1:12" ht="15.75" customHeight="1" x14ac:dyDescent="0.3">
      <c r="A614" s="21">
        <v>9</v>
      </c>
      <c r="B614" s="25">
        <v>45563</v>
      </c>
      <c r="C614" s="29" t="s">
        <v>433</v>
      </c>
      <c r="D614" s="36">
        <v>1</v>
      </c>
      <c r="E614" s="41" t="s">
        <v>434</v>
      </c>
      <c r="F614" s="42">
        <v>100</v>
      </c>
      <c r="G614" s="9">
        <v>100</v>
      </c>
      <c r="H614" s="45">
        <v>184.82</v>
      </c>
      <c r="I614" s="9">
        <v>184.82</v>
      </c>
      <c r="J614" s="48" t="s">
        <v>338</v>
      </c>
      <c r="K614" s="43">
        <v>84.82</v>
      </c>
      <c r="L614" s="45" t="s">
        <v>15</v>
      </c>
    </row>
    <row r="615" spans="1:12" ht="15.75" customHeight="1" x14ac:dyDescent="0.3">
      <c r="A615" s="21">
        <v>9</v>
      </c>
      <c r="B615" s="25">
        <v>45563</v>
      </c>
      <c r="C615" s="29" t="s">
        <v>414</v>
      </c>
      <c r="D615" s="36">
        <v>1</v>
      </c>
      <c r="E615" s="41" t="s">
        <v>20</v>
      </c>
      <c r="F615" s="42">
        <v>41</v>
      </c>
      <c r="G615" s="9">
        <v>41</v>
      </c>
      <c r="H615" s="45">
        <v>80</v>
      </c>
      <c r="I615" s="9">
        <v>80</v>
      </c>
      <c r="J615" s="48" t="s">
        <v>338</v>
      </c>
      <c r="K615" s="43">
        <v>39</v>
      </c>
      <c r="L615" s="45" t="s">
        <v>15</v>
      </c>
    </row>
    <row r="616" spans="1:12" ht="15.75" customHeight="1" x14ac:dyDescent="0.3">
      <c r="A616" s="21">
        <v>9</v>
      </c>
      <c r="B616" s="25">
        <v>45565</v>
      </c>
      <c r="C616" s="29" t="s">
        <v>348</v>
      </c>
      <c r="D616" s="36">
        <v>1</v>
      </c>
      <c r="E616" s="41" t="s">
        <v>391</v>
      </c>
      <c r="F616" s="42">
        <v>35</v>
      </c>
      <c r="G616" s="9">
        <v>35</v>
      </c>
      <c r="H616" s="45">
        <v>70</v>
      </c>
      <c r="I616" s="9">
        <v>70</v>
      </c>
      <c r="J616" s="48" t="s">
        <v>338</v>
      </c>
      <c r="K616" s="43">
        <v>35</v>
      </c>
      <c r="L616" s="45" t="s">
        <v>15</v>
      </c>
    </row>
    <row r="617" spans="1:12" ht="15.75" customHeight="1" x14ac:dyDescent="0.3">
      <c r="A617" s="21">
        <v>9</v>
      </c>
      <c r="B617" s="25">
        <v>45565</v>
      </c>
      <c r="C617" s="29" t="s">
        <v>326</v>
      </c>
      <c r="D617" s="36">
        <v>7</v>
      </c>
      <c r="E617" s="41" t="s">
        <v>435</v>
      </c>
      <c r="F617" s="42">
        <v>0.05</v>
      </c>
      <c r="G617" s="9">
        <v>0.35000000000000003</v>
      </c>
      <c r="H617" s="45">
        <v>0.5</v>
      </c>
      <c r="I617" s="9">
        <v>3.5</v>
      </c>
      <c r="J617" s="48" t="s">
        <v>338</v>
      </c>
      <c r="K617" s="43">
        <v>3.15</v>
      </c>
      <c r="L617" s="45" t="s">
        <v>15</v>
      </c>
    </row>
    <row r="618" spans="1:12" ht="15.75" customHeight="1" x14ac:dyDescent="0.3">
      <c r="A618" s="21">
        <v>9</v>
      </c>
      <c r="B618" s="25">
        <v>45565</v>
      </c>
      <c r="C618" s="29" t="s">
        <v>315</v>
      </c>
      <c r="D618" s="36">
        <v>2</v>
      </c>
      <c r="E618" s="41" t="s">
        <v>436</v>
      </c>
      <c r="F618" s="42">
        <v>7.0000000000000007E-2</v>
      </c>
      <c r="G618" s="9">
        <v>0.14000000000000001</v>
      </c>
      <c r="H618" s="45">
        <v>1</v>
      </c>
      <c r="I618" s="9">
        <v>2</v>
      </c>
      <c r="J618" s="48" t="s">
        <v>338</v>
      </c>
      <c r="K618" s="43">
        <v>1.8599999999999999</v>
      </c>
      <c r="L618" s="45" t="s">
        <v>15</v>
      </c>
    </row>
    <row r="619" spans="1:12" ht="15.75" customHeight="1" x14ac:dyDescent="0.3">
      <c r="A619" s="21">
        <v>9</v>
      </c>
      <c r="B619" s="25">
        <v>45565</v>
      </c>
      <c r="C619" s="29" t="s">
        <v>437</v>
      </c>
      <c r="D619" s="36">
        <v>1</v>
      </c>
      <c r="E619" s="41" t="s">
        <v>435</v>
      </c>
      <c r="F619" s="42" t="s">
        <v>72</v>
      </c>
      <c r="G619" s="9">
        <v>0</v>
      </c>
      <c r="H619" s="45">
        <v>0.5</v>
      </c>
      <c r="I619" s="9">
        <v>0.5</v>
      </c>
      <c r="J619" s="48" t="s">
        <v>338</v>
      </c>
      <c r="K619" s="43">
        <v>0.5</v>
      </c>
      <c r="L619" s="45" t="s">
        <v>15</v>
      </c>
    </row>
    <row r="620" spans="1:12" ht="15.75" customHeight="1" x14ac:dyDescent="0.3">
      <c r="A620" s="21">
        <v>9</v>
      </c>
      <c r="B620" s="25">
        <v>45565</v>
      </c>
      <c r="C620" s="29" t="s">
        <v>326</v>
      </c>
      <c r="D620" s="36">
        <v>4</v>
      </c>
      <c r="E620" s="41" t="s">
        <v>20</v>
      </c>
      <c r="F620" s="42">
        <v>0.05</v>
      </c>
      <c r="G620" s="9">
        <v>0.2</v>
      </c>
      <c r="H620" s="45">
        <v>0.5</v>
      </c>
      <c r="I620" s="9">
        <v>2</v>
      </c>
      <c r="J620" s="48" t="s">
        <v>338</v>
      </c>
      <c r="K620" s="43">
        <v>1.8</v>
      </c>
      <c r="L620" s="45" t="s">
        <v>15</v>
      </c>
    </row>
    <row r="621" spans="1:12" ht="15.75" customHeight="1" x14ac:dyDescent="0.3">
      <c r="A621" s="21">
        <v>10</v>
      </c>
      <c r="B621" s="25">
        <v>45567</v>
      </c>
      <c r="C621" s="29" t="s">
        <v>438</v>
      </c>
      <c r="D621" s="36">
        <v>1</v>
      </c>
      <c r="E621" s="41" t="s">
        <v>36</v>
      </c>
      <c r="F621" s="42">
        <v>8.99</v>
      </c>
      <c r="G621" s="9">
        <v>8.99</v>
      </c>
      <c r="H621" s="45">
        <v>15</v>
      </c>
      <c r="I621" s="9">
        <v>15</v>
      </c>
      <c r="J621" s="48" t="s">
        <v>338</v>
      </c>
      <c r="K621" s="43">
        <v>6.01</v>
      </c>
      <c r="L621" s="45" t="s">
        <v>15</v>
      </c>
    </row>
    <row r="622" spans="1:12" ht="15.75" customHeight="1" x14ac:dyDescent="0.3">
      <c r="A622" s="21">
        <v>10</v>
      </c>
      <c r="B622" s="25">
        <v>45567</v>
      </c>
      <c r="C622" s="29" t="s">
        <v>410</v>
      </c>
      <c r="D622" s="36">
        <v>1</v>
      </c>
      <c r="E622" s="41" t="s">
        <v>428</v>
      </c>
      <c r="F622" s="42">
        <v>0.24285714285714285</v>
      </c>
      <c r="G622" s="9">
        <v>0.24285714285714285</v>
      </c>
      <c r="H622" s="45">
        <v>0.5</v>
      </c>
      <c r="I622" s="9">
        <v>0.5</v>
      </c>
      <c r="J622" s="48" t="s">
        <v>338</v>
      </c>
      <c r="K622" s="43">
        <v>0.25714285714285712</v>
      </c>
      <c r="L622" s="45" t="s">
        <v>15</v>
      </c>
    </row>
    <row r="623" spans="1:12" ht="15.75" customHeight="1" x14ac:dyDescent="0.3">
      <c r="A623" s="21">
        <v>10</v>
      </c>
      <c r="B623" s="25">
        <v>45567</v>
      </c>
      <c r="C623" s="29" t="s">
        <v>267</v>
      </c>
      <c r="D623" s="36">
        <v>1</v>
      </c>
      <c r="E623" s="41" t="s">
        <v>428</v>
      </c>
      <c r="F623" s="42">
        <v>0</v>
      </c>
      <c r="G623" s="9">
        <v>0</v>
      </c>
      <c r="H623" s="45">
        <v>25</v>
      </c>
      <c r="I623" s="9">
        <v>25</v>
      </c>
      <c r="J623" s="48" t="s">
        <v>338</v>
      </c>
      <c r="K623" s="43">
        <v>25</v>
      </c>
      <c r="L623" s="45" t="s">
        <v>15</v>
      </c>
    </row>
    <row r="624" spans="1:12" ht="15.75" customHeight="1" x14ac:dyDescent="0.3">
      <c r="A624" s="21">
        <v>10</v>
      </c>
      <c r="B624" s="25">
        <v>45567</v>
      </c>
      <c r="C624" s="29" t="s">
        <v>439</v>
      </c>
      <c r="D624" s="36">
        <v>1</v>
      </c>
      <c r="E624" s="41" t="s">
        <v>428</v>
      </c>
      <c r="F624" s="42">
        <v>1</v>
      </c>
      <c r="G624" s="9">
        <v>1</v>
      </c>
      <c r="H624" s="45">
        <v>5</v>
      </c>
      <c r="I624" s="9">
        <v>5</v>
      </c>
      <c r="J624" s="48" t="s">
        <v>338</v>
      </c>
      <c r="K624" s="43">
        <v>4</v>
      </c>
      <c r="L624" s="45" t="s">
        <v>15</v>
      </c>
    </row>
    <row r="625" spans="1:12" ht="15.75" customHeight="1" x14ac:dyDescent="0.3">
      <c r="A625" s="21">
        <v>10</v>
      </c>
      <c r="B625" s="25">
        <v>45567</v>
      </c>
      <c r="C625" s="29" t="s">
        <v>410</v>
      </c>
      <c r="D625" s="36">
        <v>1</v>
      </c>
      <c r="E625" s="41" t="s">
        <v>334</v>
      </c>
      <c r="F625" s="42">
        <v>0.24285714285714285</v>
      </c>
      <c r="G625" s="9">
        <v>0.24285714285714285</v>
      </c>
      <c r="H625" s="45">
        <v>0.5</v>
      </c>
      <c r="I625" s="9">
        <v>0.5</v>
      </c>
      <c r="J625" s="48" t="s">
        <v>338</v>
      </c>
      <c r="K625" s="43">
        <v>0.25714285714285712</v>
      </c>
      <c r="L625" s="45" t="s">
        <v>15</v>
      </c>
    </row>
    <row r="626" spans="1:12" ht="15.75" customHeight="1" x14ac:dyDescent="0.3">
      <c r="A626" s="21">
        <v>10</v>
      </c>
      <c r="B626" s="25">
        <v>45568</v>
      </c>
      <c r="C626" s="32" t="s">
        <v>123</v>
      </c>
      <c r="D626" s="36">
        <v>1</v>
      </c>
      <c r="E626" s="41" t="s">
        <v>20</v>
      </c>
      <c r="F626" s="42">
        <v>0.05</v>
      </c>
      <c r="G626" s="9">
        <v>0.05</v>
      </c>
      <c r="H626" s="45">
        <v>0.5</v>
      </c>
      <c r="I626" s="9">
        <v>0.5</v>
      </c>
      <c r="J626" s="48" t="s">
        <v>338</v>
      </c>
      <c r="K626" s="43">
        <v>0.45</v>
      </c>
      <c r="L626" s="45" t="s">
        <v>15</v>
      </c>
    </row>
    <row r="627" spans="1:12" ht="15.75" customHeight="1" x14ac:dyDescent="0.3">
      <c r="A627" s="21">
        <v>10</v>
      </c>
      <c r="B627" s="25">
        <v>45568</v>
      </c>
      <c r="C627" s="29" t="s">
        <v>431</v>
      </c>
      <c r="D627" s="36">
        <v>1</v>
      </c>
      <c r="E627" s="41" t="s">
        <v>20</v>
      </c>
      <c r="F627" s="42">
        <v>0</v>
      </c>
      <c r="G627" s="9">
        <v>0</v>
      </c>
      <c r="H627" s="45">
        <v>15</v>
      </c>
      <c r="I627" s="9">
        <v>15</v>
      </c>
      <c r="J627" s="48" t="s">
        <v>338</v>
      </c>
      <c r="K627" s="43">
        <v>15</v>
      </c>
      <c r="L627" s="45" t="s">
        <v>15</v>
      </c>
    </row>
    <row r="628" spans="1:12" ht="15.75" customHeight="1" x14ac:dyDescent="0.3">
      <c r="A628" s="21">
        <v>10</v>
      </c>
      <c r="B628" s="25">
        <v>45568</v>
      </c>
      <c r="C628" s="29" t="s">
        <v>267</v>
      </c>
      <c r="D628" s="36">
        <v>1</v>
      </c>
      <c r="E628" s="41" t="s">
        <v>20</v>
      </c>
      <c r="F628" s="42">
        <v>0</v>
      </c>
      <c r="G628" s="9">
        <v>0</v>
      </c>
      <c r="H628" s="45">
        <v>5</v>
      </c>
      <c r="I628" s="9">
        <v>5</v>
      </c>
      <c r="J628" s="48" t="s">
        <v>338</v>
      </c>
      <c r="K628" s="43">
        <v>5</v>
      </c>
      <c r="L628" s="45" t="s">
        <v>15</v>
      </c>
    </row>
    <row r="629" spans="1:12" ht="15.75" customHeight="1" x14ac:dyDescent="0.3">
      <c r="A629" s="21">
        <v>10</v>
      </c>
      <c r="B629" s="25">
        <v>45568</v>
      </c>
      <c r="C629" s="29" t="s">
        <v>315</v>
      </c>
      <c r="D629" s="36">
        <v>10</v>
      </c>
      <c r="E629" s="41" t="s">
        <v>20</v>
      </c>
      <c r="F629" s="42">
        <v>7.0000000000000007E-2</v>
      </c>
      <c r="G629" s="9">
        <v>0.70000000000000007</v>
      </c>
      <c r="H629" s="45">
        <v>1</v>
      </c>
      <c r="I629" s="9">
        <v>10</v>
      </c>
      <c r="J629" s="48" t="s">
        <v>338</v>
      </c>
      <c r="K629" s="43">
        <v>9.3000000000000007</v>
      </c>
      <c r="L629" s="45" t="s">
        <v>15</v>
      </c>
    </row>
    <row r="630" spans="1:12" ht="15.75" customHeight="1" x14ac:dyDescent="0.3">
      <c r="A630" s="21">
        <v>10</v>
      </c>
      <c r="B630" s="25">
        <v>45570</v>
      </c>
      <c r="C630" s="29" t="s">
        <v>315</v>
      </c>
      <c r="D630" s="36">
        <v>1</v>
      </c>
      <c r="E630" s="41" t="s">
        <v>51</v>
      </c>
      <c r="F630" s="42">
        <v>7.0000000000000007E-2</v>
      </c>
      <c r="G630" s="9">
        <v>7.0000000000000007E-2</v>
      </c>
      <c r="H630" s="45">
        <v>1</v>
      </c>
      <c r="I630" s="9">
        <v>1</v>
      </c>
      <c r="J630" s="48" t="s">
        <v>338</v>
      </c>
      <c r="K630" s="43">
        <v>0.92999999999999994</v>
      </c>
      <c r="L630" s="45" t="s">
        <v>15</v>
      </c>
    </row>
    <row r="631" spans="1:12" ht="15.75" customHeight="1" x14ac:dyDescent="0.3">
      <c r="A631" s="21">
        <v>10</v>
      </c>
      <c r="B631" s="25">
        <v>45570</v>
      </c>
      <c r="C631" s="29" t="s">
        <v>275</v>
      </c>
      <c r="D631" s="36">
        <v>1</v>
      </c>
      <c r="E631" s="41" t="s">
        <v>400</v>
      </c>
      <c r="F631" s="42">
        <v>18</v>
      </c>
      <c r="G631" s="9">
        <v>18</v>
      </c>
      <c r="H631" s="45">
        <v>20</v>
      </c>
      <c r="I631" s="9">
        <v>20</v>
      </c>
      <c r="J631" s="48" t="s">
        <v>338</v>
      </c>
      <c r="K631" s="43">
        <v>2</v>
      </c>
      <c r="L631" s="45" t="s">
        <v>15</v>
      </c>
    </row>
    <row r="632" spans="1:12" ht="15.75" customHeight="1" x14ac:dyDescent="0.3">
      <c r="A632" s="21">
        <v>10</v>
      </c>
      <c r="B632" s="25">
        <v>45570</v>
      </c>
      <c r="C632" s="29" t="s">
        <v>410</v>
      </c>
      <c r="D632" s="36">
        <v>1</v>
      </c>
      <c r="E632" s="41" t="s">
        <v>20</v>
      </c>
      <c r="F632" s="42">
        <v>0.24285714285714285</v>
      </c>
      <c r="G632" s="9">
        <v>0.24285714285714285</v>
      </c>
      <c r="H632" s="45">
        <v>0.5</v>
      </c>
      <c r="I632" s="9">
        <v>0.5</v>
      </c>
      <c r="J632" s="48" t="s">
        <v>338</v>
      </c>
      <c r="K632" s="43">
        <v>0.25714285714285712</v>
      </c>
      <c r="L632" s="45" t="s">
        <v>15</v>
      </c>
    </row>
    <row r="633" spans="1:12" ht="15.75" customHeight="1" x14ac:dyDescent="0.3">
      <c r="A633" s="21">
        <v>10</v>
      </c>
      <c r="B633" s="25">
        <v>45570</v>
      </c>
      <c r="C633" s="29" t="s">
        <v>440</v>
      </c>
      <c r="D633" s="36">
        <v>1</v>
      </c>
      <c r="E633" s="41" t="s">
        <v>20</v>
      </c>
      <c r="F633" s="42">
        <v>12</v>
      </c>
      <c r="G633" s="9">
        <v>12</v>
      </c>
      <c r="H633" s="45">
        <v>25</v>
      </c>
      <c r="I633" s="9">
        <v>25</v>
      </c>
      <c r="J633" s="48" t="s">
        <v>338</v>
      </c>
      <c r="K633" s="43">
        <v>13</v>
      </c>
      <c r="L633" s="45" t="s">
        <v>15</v>
      </c>
    </row>
    <row r="634" spans="1:12" ht="15.75" customHeight="1" x14ac:dyDescent="0.3">
      <c r="A634" s="21">
        <v>10</v>
      </c>
      <c r="B634" s="25">
        <v>45570</v>
      </c>
      <c r="C634" s="29" t="s">
        <v>441</v>
      </c>
      <c r="D634" s="36">
        <v>1</v>
      </c>
      <c r="E634" s="41" t="s">
        <v>20</v>
      </c>
      <c r="F634" s="42">
        <v>26.11</v>
      </c>
      <c r="G634" s="9">
        <v>26.11</v>
      </c>
      <c r="H634" s="45">
        <v>150</v>
      </c>
      <c r="I634" s="9">
        <v>150</v>
      </c>
      <c r="J634" s="48" t="s">
        <v>338</v>
      </c>
      <c r="K634" s="43">
        <v>123.89</v>
      </c>
      <c r="L634" s="45" t="s">
        <v>15</v>
      </c>
    </row>
    <row r="635" spans="1:12" ht="15.75" customHeight="1" x14ac:dyDescent="0.3">
      <c r="A635" s="21">
        <v>10</v>
      </c>
      <c r="B635" s="25">
        <v>45570</v>
      </c>
      <c r="C635" s="29" t="s">
        <v>267</v>
      </c>
      <c r="D635" s="36">
        <v>1</v>
      </c>
      <c r="E635" s="41" t="s">
        <v>20</v>
      </c>
      <c r="F635" s="42">
        <v>0</v>
      </c>
      <c r="G635" s="9">
        <v>0</v>
      </c>
      <c r="H635" s="45">
        <v>10</v>
      </c>
      <c r="I635" s="9">
        <v>10</v>
      </c>
      <c r="J635" s="48" t="s">
        <v>338</v>
      </c>
      <c r="K635" s="43">
        <v>10</v>
      </c>
      <c r="L635" s="45" t="s">
        <v>15</v>
      </c>
    </row>
    <row r="636" spans="1:12" ht="15.75" customHeight="1" x14ac:dyDescent="0.3">
      <c r="A636" s="21">
        <v>10</v>
      </c>
      <c r="B636" s="25">
        <v>45570</v>
      </c>
      <c r="C636" s="29" t="s">
        <v>387</v>
      </c>
      <c r="D636" s="36">
        <v>1</v>
      </c>
      <c r="E636" s="41" t="s">
        <v>442</v>
      </c>
      <c r="F636" s="42">
        <v>0</v>
      </c>
      <c r="G636" s="9">
        <v>0</v>
      </c>
      <c r="H636" s="45">
        <v>150</v>
      </c>
      <c r="I636" s="9">
        <v>150</v>
      </c>
      <c r="J636" s="48" t="s">
        <v>338</v>
      </c>
      <c r="K636" s="43">
        <v>150</v>
      </c>
      <c r="L636" s="45" t="s">
        <v>15</v>
      </c>
    </row>
    <row r="637" spans="1:12" ht="15.75" customHeight="1" x14ac:dyDescent="0.3">
      <c r="A637" s="21">
        <v>10</v>
      </c>
      <c r="B637" s="25">
        <v>45570</v>
      </c>
      <c r="C637" s="29" t="s">
        <v>443</v>
      </c>
      <c r="D637" s="36">
        <v>2</v>
      </c>
      <c r="E637" s="41" t="s">
        <v>20</v>
      </c>
      <c r="F637" s="42">
        <v>0.2</v>
      </c>
      <c r="G637" s="9">
        <v>0.4</v>
      </c>
      <c r="H637" s="45">
        <v>0.5</v>
      </c>
      <c r="I637" s="9">
        <v>1</v>
      </c>
      <c r="J637" s="48" t="s">
        <v>338</v>
      </c>
      <c r="K637" s="43">
        <v>0.6</v>
      </c>
      <c r="L637" s="45" t="s">
        <v>15</v>
      </c>
    </row>
    <row r="638" spans="1:12" ht="15.75" customHeight="1" x14ac:dyDescent="0.3">
      <c r="A638" s="21">
        <v>10</v>
      </c>
      <c r="B638" s="25">
        <v>45572</v>
      </c>
      <c r="C638" s="29" t="s">
        <v>444</v>
      </c>
      <c r="D638" s="36">
        <v>1</v>
      </c>
      <c r="E638" s="41" t="s">
        <v>20</v>
      </c>
      <c r="F638" s="42">
        <v>9</v>
      </c>
      <c r="G638" s="9">
        <v>9</v>
      </c>
      <c r="H638" s="45">
        <v>30</v>
      </c>
      <c r="I638" s="9">
        <v>30</v>
      </c>
      <c r="J638" s="48" t="s">
        <v>338</v>
      </c>
      <c r="K638" s="43">
        <v>21</v>
      </c>
      <c r="L638" s="45" t="s">
        <v>15</v>
      </c>
    </row>
    <row r="639" spans="1:12" ht="15.75" customHeight="1" x14ac:dyDescent="0.3">
      <c r="A639" s="21">
        <v>10</v>
      </c>
      <c r="B639" s="25">
        <v>45572</v>
      </c>
      <c r="C639" s="29" t="s">
        <v>392</v>
      </c>
      <c r="D639" s="36">
        <v>1</v>
      </c>
      <c r="E639" s="41" t="s">
        <v>20</v>
      </c>
      <c r="F639" s="42">
        <v>10</v>
      </c>
      <c r="G639" s="9">
        <v>10</v>
      </c>
      <c r="H639" s="45">
        <v>20</v>
      </c>
      <c r="I639" s="9">
        <v>20</v>
      </c>
      <c r="J639" s="48" t="s">
        <v>338</v>
      </c>
      <c r="K639" s="43">
        <v>10</v>
      </c>
      <c r="L639" s="45" t="s">
        <v>15</v>
      </c>
    </row>
    <row r="640" spans="1:12" ht="15.75" customHeight="1" x14ac:dyDescent="0.3">
      <c r="A640" s="21">
        <v>10</v>
      </c>
      <c r="B640" s="25">
        <v>45572</v>
      </c>
      <c r="C640" s="29" t="s">
        <v>315</v>
      </c>
      <c r="D640" s="36">
        <v>2</v>
      </c>
      <c r="E640" s="41" t="s">
        <v>445</v>
      </c>
      <c r="F640" s="42">
        <v>7.0000000000000007E-2</v>
      </c>
      <c r="G640" s="9">
        <v>0.14000000000000001</v>
      </c>
      <c r="H640" s="45">
        <v>1</v>
      </c>
      <c r="I640" s="9">
        <v>2</v>
      </c>
      <c r="J640" s="48" t="s">
        <v>338</v>
      </c>
      <c r="K640" s="43">
        <v>1.8599999999999999</v>
      </c>
      <c r="L640" s="45" t="s">
        <v>15</v>
      </c>
    </row>
    <row r="641" spans="1:12" ht="15.75" customHeight="1" x14ac:dyDescent="0.3">
      <c r="A641" s="21">
        <v>10</v>
      </c>
      <c r="B641" s="25">
        <v>45572</v>
      </c>
      <c r="C641" s="29" t="s">
        <v>315</v>
      </c>
      <c r="D641" s="36">
        <v>15</v>
      </c>
      <c r="E641" s="41" t="s">
        <v>445</v>
      </c>
      <c r="F641" s="42">
        <v>7.0000000000000007E-2</v>
      </c>
      <c r="G641" s="9">
        <v>1.05</v>
      </c>
      <c r="H641" s="45">
        <v>1</v>
      </c>
      <c r="I641" s="9">
        <v>15</v>
      </c>
      <c r="J641" s="48" t="s">
        <v>338</v>
      </c>
      <c r="K641" s="43">
        <v>13.95</v>
      </c>
      <c r="L641" s="45" t="s">
        <v>15</v>
      </c>
    </row>
    <row r="642" spans="1:12" ht="15.75" customHeight="1" x14ac:dyDescent="0.3">
      <c r="A642" s="21">
        <v>10</v>
      </c>
      <c r="B642" s="25">
        <v>45573</v>
      </c>
      <c r="C642" s="29" t="s">
        <v>335</v>
      </c>
      <c r="D642" s="36">
        <v>1</v>
      </c>
      <c r="E642" s="41" t="s">
        <v>445</v>
      </c>
      <c r="F642" s="42">
        <v>3</v>
      </c>
      <c r="G642" s="9">
        <v>3</v>
      </c>
      <c r="H642" s="45">
        <v>15</v>
      </c>
      <c r="I642" s="9">
        <v>15</v>
      </c>
      <c r="J642" s="48" t="s">
        <v>338</v>
      </c>
      <c r="K642" s="43">
        <v>12</v>
      </c>
      <c r="L642" s="45" t="s">
        <v>15</v>
      </c>
    </row>
    <row r="643" spans="1:12" ht="15.75" customHeight="1" x14ac:dyDescent="0.3">
      <c r="A643" s="21">
        <v>10</v>
      </c>
      <c r="B643" s="25">
        <v>45573</v>
      </c>
      <c r="C643" s="29" t="s">
        <v>446</v>
      </c>
      <c r="D643" s="36">
        <v>1</v>
      </c>
      <c r="E643" s="41" t="s">
        <v>20</v>
      </c>
      <c r="F643" s="42">
        <v>0</v>
      </c>
      <c r="G643" s="9">
        <v>0</v>
      </c>
      <c r="H643" s="45">
        <v>277</v>
      </c>
      <c r="I643" s="9">
        <v>277</v>
      </c>
      <c r="J643" s="48" t="s">
        <v>338</v>
      </c>
      <c r="K643" s="43">
        <v>277</v>
      </c>
      <c r="L643" s="45" t="s">
        <v>15</v>
      </c>
    </row>
    <row r="644" spans="1:12" ht="15.75" customHeight="1" x14ac:dyDescent="0.3">
      <c r="A644" s="21">
        <v>10</v>
      </c>
      <c r="B644" s="25">
        <v>45573</v>
      </c>
      <c r="C644" s="29" t="s">
        <v>272</v>
      </c>
      <c r="D644" s="36">
        <v>1</v>
      </c>
      <c r="E644" s="41" t="s">
        <v>445</v>
      </c>
      <c r="F644" s="42">
        <v>0</v>
      </c>
      <c r="G644" s="9">
        <v>0</v>
      </c>
      <c r="H644" s="45">
        <v>93</v>
      </c>
      <c r="I644" s="9">
        <v>93</v>
      </c>
      <c r="J644" s="48" t="s">
        <v>338</v>
      </c>
      <c r="K644" s="43">
        <v>93</v>
      </c>
      <c r="L644" s="45" t="s">
        <v>15</v>
      </c>
    </row>
    <row r="645" spans="1:12" ht="15.75" customHeight="1" x14ac:dyDescent="0.3">
      <c r="A645" s="21">
        <v>10</v>
      </c>
      <c r="B645" s="25">
        <v>45574</v>
      </c>
      <c r="C645" s="29" t="s">
        <v>425</v>
      </c>
      <c r="D645" s="36">
        <v>1</v>
      </c>
      <c r="E645" s="41" t="s">
        <v>20</v>
      </c>
      <c r="F645" s="42">
        <v>13</v>
      </c>
      <c r="G645" s="9">
        <v>13</v>
      </c>
      <c r="H645" s="45">
        <v>20</v>
      </c>
      <c r="I645" s="9">
        <v>20</v>
      </c>
      <c r="J645" s="48" t="s">
        <v>338</v>
      </c>
      <c r="K645" s="43">
        <v>7</v>
      </c>
      <c r="L645" s="45" t="s">
        <v>15</v>
      </c>
    </row>
    <row r="646" spans="1:12" ht="15.75" customHeight="1" x14ac:dyDescent="0.3">
      <c r="A646" s="21">
        <v>10</v>
      </c>
      <c r="B646" s="25">
        <v>45574</v>
      </c>
      <c r="C646" s="29" t="s">
        <v>448</v>
      </c>
      <c r="D646" s="36">
        <v>1</v>
      </c>
      <c r="E646" s="41" t="s">
        <v>20</v>
      </c>
      <c r="F646" s="42">
        <v>0.5</v>
      </c>
      <c r="G646" s="9">
        <v>0.5</v>
      </c>
      <c r="H646" s="45">
        <v>2</v>
      </c>
      <c r="I646" s="9">
        <v>2</v>
      </c>
      <c r="J646" s="48" t="s">
        <v>338</v>
      </c>
      <c r="K646" s="43">
        <v>1.5</v>
      </c>
      <c r="L646" s="45" t="s">
        <v>15</v>
      </c>
    </row>
    <row r="647" spans="1:12" ht="15.75" customHeight="1" x14ac:dyDescent="0.3">
      <c r="A647" s="21">
        <v>10</v>
      </c>
      <c r="B647" s="25">
        <v>45574</v>
      </c>
      <c r="C647" s="29" t="s">
        <v>315</v>
      </c>
      <c r="D647" s="36">
        <v>2</v>
      </c>
      <c r="E647" s="41" t="s">
        <v>140</v>
      </c>
      <c r="F647" s="42">
        <v>7.0000000000000007E-2</v>
      </c>
      <c r="G647" s="9">
        <v>0.14000000000000001</v>
      </c>
      <c r="H647" s="45">
        <v>1</v>
      </c>
      <c r="I647" s="9">
        <v>2</v>
      </c>
      <c r="J647" s="48" t="s">
        <v>338</v>
      </c>
      <c r="K647" s="43">
        <v>1.8599999999999999</v>
      </c>
      <c r="L647" s="45" t="s">
        <v>15</v>
      </c>
    </row>
    <row r="648" spans="1:12" ht="15.75" customHeight="1" x14ac:dyDescent="0.3">
      <c r="A648" s="21">
        <v>10</v>
      </c>
      <c r="B648" s="25">
        <v>45574</v>
      </c>
      <c r="C648" s="29" t="s">
        <v>315</v>
      </c>
      <c r="D648" s="36">
        <v>3</v>
      </c>
      <c r="E648" s="41" t="s">
        <v>449</v>
      </c>
      <c r="F648" s="42">
        <v>7.0000000000000007E-2</v>
      </c>
      <c r="G648" s="9">
        <v>0.21000000000000002</v>
      </c>
      <c r="H648" s="45">
        <v>1</v>
      </c>
      <c r="I648" s="9">
        <v>3</v>
      </c>
      <c r="J648" s="48" t="s">
        <v>338</v>
      </c>
      <c r="K648" s="43">
        <v>2.79</v>
      </c>
      <c r="L648" s="45" t="s">
        <v>15</v>
      </c>
    </row>
    <row r="649" spans="1:12" ht="15.75" customHeight="1" x14ac:dyDescent="0.3">
      <c r="A649" s="21">
        <v>10</v>
      </c>
      <c r="B649" s="25">
        <v>45575</v>
      </c>
      <c r="C649" s="29" t="s">
        <v>315</v>
      </c>
      <c r="D649" s="36">
        <v>1</v>
      </c>
      <c r="E649" s="41" t="s">
        <v>450</v>
      </c>
      <c r="F649" s="42">
        <v>7.0000000000000007E-2</v>
      </c>
      <c r="G649" s="9">
        <v>7.0000000000000007E-2</v>
      </c>
      <c r="H649" s="45">
        <v>1</v>
      </c>
      <c r="I649" s="9">
        <v>1</v>
      </c>
      <c r="J649" s="48" t="s">
        <v>338</v>
      </c>
      <c r="K649" s="43">
        <v>0.92999999999999994</v>
      </c>
      <c r="L649" s="45" t="s">
        <v>15</v>
      </c>
    </row>
    <row r="650" spans="1:12" ht="15.75" customHeight="1" x14ac:dyDescent="0.3">
      <c r="A650" s="21">
        <v>10</v>
      </c>
      <c r="B650" s="25">
        <v>45575</v>
      </c>
      <c r="C650" s="29" t="s">
        <v>315</v>
      </c>
      <c r="D650" s="36">
        <v>1</v>
      </c>
      <c r="E650" s="41" t="s">
        <v>20</v>
      </c>
      <c r="F650" s="42">
        <v>7.0000000000000007E-2</v>
      </c>
      <c r="G650" s="9">
        <v>7.0000000000000007E-2</v>
      </c>
      <c r="H650" s="45">
        <v>0.5</v>
      </c>
      <c r="I650" s="9">
        <v>0.5</v>
      </c>
      <c r="J650" s="48" t="s">
        <v>338</v>
      </c>
      <c r="K650" s="43">
        <v>0.43</v>
      </c>
      <c r="L650" s="45" t="s">
        <v>15</v>
      </c>
    </row>
    <row r="651" spans="1:12" ht="15.75" customHeight="1" x14ac:dyDescent="0.3">
      <c r="A651" s="21">
        <v>10</v>
      </c>
      <c r="B651" s="25">
        <v>45575</v>
      </c>
      <c r="C651" s="29" t="s">
        <v>315</v>
      </c>
      <c r="D651" s="36">
        <v>2</v>
      </c>
      <c r="E651" s="41" t="s">
        <v>451</v>
      </c>
      <c r="F651" s="42">
        <v>7.0000000000000007E-2</v>
      </c>
      <c r="G651" s="9">
        <v>0.14000000000000001</v>
      </c>
      <c r="H651" s="45">
        <v>1</v>
      </c>
      <c r="I651" s="9">
        <v>2</v>
      </c>
      <c r="J651" s="48" t="s">
        <v>338</v>
      </c>
      <c r="K651" s="43">
        <v>1.8599999999999999</v>
      </c>
      <c r="L651" s="45" t="s">
        <v>15</v>
      </c>
    </row>
    <row r="652" spans="1:12" ht="15.75" customHeight="1" x14ac:dyDescent="0.3">
      <c r="A652" s="21">
        <v>10</v>
      </c>
      <c r="B652" s="25">
        <v>45576</v>
      </c>
      <c r="C652" s="29" t="s">
        <v>443</v>
      </c>
      <c r="D652" s="36">
        <v>1</v>
      </c>
      <c r="E652" s="41" t="s">
        <v>20</v>
      </c>
      <c r="F652" s="42">
        <v>0.2</v>
      </c>
      <c r="G652" s="9">
        <v>0.2</v>
      </c>
      <c r="H652" s="45">
        <v>0.5</v>
      </c>
      <c r="I652" s="9">
        <v>0.5</v>
      </c>
      <c r="J652" s="48" t="s">
        <v>338</v>
      </c>
      <c r="K652" s="43">
        <v>0.3</v>
      </c>
      <c r="L652" s="45" t="s">
        <v>15</v>
      </c>
    </row>
    <row r="653" spans="1:12" ht="15.75" customHeight="1" x14ac:dyDescent="0.3">
      <c r="A653" s="21">
        <v>10</v>
      </c>
      <c r="B653" s="25">
        <v>45576</v>
      </c>
      <c r="C653" s="29" t="s">
        <v>315</v>
      </c>
      <c r="D653" s="36">
        <v>2</v>
      </c>
      <c r="E653" s="41" t="s">
        <v>51</v>
      </c>
      <c r="F653" s="42">
        <v>7.0000000000000007E-2</v>
      </c>
      <c r="G653" s="9">
        <v>0.14000000000000001</v>
      </c>
      <c r="H653" s="45">
        <v>1</v>
      </c>
      <c r="I653" s="9">
        <v>2</v>
      </c>
      <c r="J653" s="48" t="s">
        <v>338</v>
      </c>
      <c r="K653" s="43">
        <v>1.8599999999999999</v>
      </c>
      <c r="L653" s="45" t="s">
        <v>15</v>
      </c>
    </row>
    <row r="654" spans="1:12" ht="15.75" customHeight="1" x14ac:dyDescent="0.3">
      <c r="A654" s="21">
        <v>10</v>
      </c>
      <c r="B654" s="25">
        <v>45576</v>
      </c>
      <c r="C654" s="29" t="s">
        <v>410</v>
      </c>
      <c r="D654" s="36">
        <v>2</v>
      </c>
      <c r="E654" s="41" t="s">
        <v>20</v>
      </c>
      <c r="F654" s="42">
        <v>0.24285714285714285</v>
      </c>
      <c r="G654" s="9">
        <v>0.48571428571428571</v>
      </c>
      <c r="H654" s="45">
        <v>0.5</v>
      </c>
      <c r="I654" s="9">
        <v>1</v>
      </c>
      <c r="J654" s="48" t="s">
        <v>338</v>
      </c>
      <c r="K654" s="43">
        <v>0.51428571428571423</v>
      </c>
      <c r="L654" s="45" t="s">
        <v>15</v>
      </c>
    </row>
    <row r="655" spans="1:12" ht="15.75" customHeight="1" x14ac:dyDescent="0.3">
      <c r="A655" s="21">
        <v>10</v>
      </c>
      <c r="B655" s="25">
        <v>45577</v>
      </c>
      <c r="C655" s="29" t="s">
        <v>452</v>
      </c>
      <c r="D655" s="36">
        <v>1</v>
      </c>
      <c r="E655" s="41" t="s">
        <v>20</v>
      </c>
      <c r="F655" s="42">
        <v>15</v>
      </c>
      <c r="G655" s="9">
        <v>15</v>
      </c>
      <c r="H655" s="45">
        <v>50</v>
      </c>
      <c r="I655" s="9">
        <v>50</v>
      </c>
      <c r="J655" s="48" t="s">
        <v>309</v>
      </c>
      <c r="K655" s="43">
        <v>35</v>
      </c>
      <c r="L655" s="45" t="s">
        <v>15</v>
      </c>
    </row>
    <row r="656" spans="1:12" ht="15.75" customHeight="1" x14ac:dyDescent="0.3">
      <c r="A656" s="21">
        <v>10</v>
      </c>
      <c r="B656" s="25">
        <v>45579</v>
      </c>
      <c r="C656" s="29" t="s">
        <v>453</v>
      </c>
      <c r="D656" s="36">
        <v>1</v>
      </c>
      <c r="E656" s="41" t="s">
        <v>20</v>
      </c>
      <c r="F656" s="42">
        <v>9</v>
      </c>
      <c r="G656" s="9">
        <v>9</v>
      </c>
      <c r="H656" s="45">
        <v>20</v>
      </c>
      <c r="I656" s="9">
        <v>20</v>
      </c>
      <c r="J656" s="48" t="s">
        <v>338</v>
      </c>
      <c r="K656" s="43">
        <v>11</v>
      </c>
      <c r="L656" s="45" t="s">
        <v>15</v>
      </c>
    </row>
    <row r="657" spans="1:12" ht="15.75" customHeight="1" x14ac:dyDescent="0.3">
      <c r="A657" s="21">
        <v>10</v>
      </c>
      <c r="B657" s="25">
        <v>45579</v>
      </c>
      <c r="C657" s="29" t="s">
        <v>378</v>
      </c>
      <c r="D657" s="36">
        <v>1</v>
      </c>
      <c r="E657" s="41" t="s">
        <v>20</v>
      </c>
      <c r="F657" s="42">
        <v>17</v>
      </c>
      <c r="G657" s="9">
        <v>17</v>
      </c>
      <c r="H657" s="45">
        <v>30</v>
      </c>
      <c r="I657" s="9">
        <v>30</v>
      </c>
      <c r="J657" s="48" t="s">
        <v>338</v>
      </c>
      <c r="K657" s="43">
        <v>13</v>
      </c>
      <c r="L657" s="45" t="s">
        <v>15</v>
      </c>
    </row>
    <row r="658" spans="1:12" ht="15.75" customHeight="1" x14ac:dyDescent="0.3">
      <c r="A658" s="21">
        <v>10</v>
      </c>
      <c r="B658" s="25">
        <v>45579</v>
      </c>
      <c r="C658" s="29" t="s">
        <v>379</v>
      </c>
      <c r="D658" s="36">
        <v>1</v>
      </c>
      <c r="E658" s="41" t="s">
        <v>20</v>
      </c>
      <c r="F658" s="42">
        <v>2.5</v>
      </c>
      <c r="G658" s="9">
        <v>2.5</v>
      </c>
      <c r="H658" s="45">
        <v>5</v>
      </c>
      <c r="I658" s="9">
        <v>5</v>
      </c>
      <c r="J658" s="48" t="s">
        <v>58</v>
      </c>
      <c r="K658" s="43">
        <v>2.5</v>
      </c>
      <c r="L658" s="45" t="s">
        <v>15</v>
      </c>
    </row>
    <row r="659" spans="1:12" ht="15.75" customHeight="1" x14ac:dyDescent="0.3">
      <c r="A659" s="21">
        <v>10</v>
      </c>
      <c r="B659" s="25">
        <v>45580</v>
      </c>
      <c r="C659" s="29" t="s">
        <v>315</v>
      </c>
      <c r="D659" s="36">
        <v>15</v>
      </c>
      <c r="E659" s="41" t="s">
        <v>454</v>
      </c>
      <c r="F659" s="42">
        <v>7.0000000000000007E-2</v>
      </c>
      <c r="G659" s="9">
        <v>1.05</v>
      </c>
      <c r="H659" s="45">
        <v>1</v>
      </c>
      <c r="I659" s="9">
        <v>15</v>
      </c>
      <c r="J659" s="48" t="s">
        <v>309</v>
      </c>
      <c r="K659" s="43">
        <v>13.95</v>
      </c>
      <c r="L659" s="45" t="s">
        <v>15</v>
      </c>
    </row>
    <row r="660" spans="1:12" ht="15.75" customHeight="1" x14ac:dyDescent="0.3">
      <c r="A660" s="21">
        <v>10</v>
      </c>
      <c r="B660" s="25">
        <v>45580</v>
      </c>
      <c r="C660" s="29" t="s">
        <v>315</v>
      </c>
      <c r="D660" s="36">
        <v>3</v>
      </c>
      <c r="E660" s="41" t="s">
        <v>455</v>
      </c>
      <c r="F660" s="42">
        <v>7.0000000000000007E-2</v>
      </c>
      <c r="G660" s="9">
        <v>0.21000000000000002</v>
      </c>
      <c r="H660" s="45">
        <v>1</v>
      </c>
      <c r="I660" s="9">
        <v>3</v>
      </c>
      <c r="J660" s="48"/>
      <c r="K660" s="43">
        <v>2.79</v>
      </c>
      <c r="L660" s="45" t="s">
        <v>15</v>
      </c>
    </row>
    <row r="661" spans="1:12" ht="15.75" customHeight="1" x14ac:dyDescent="0.3">
      <c r="A661" s="21">
        <v>10</v>
      </c>
      <c r="B661" s="25">
        <v>45580</v>
      </c>
      <c r="C661" s="29" t="s">
        <v>456</v>
      </c>
      <c r="D661" s="36">
        <v>2</v>
      </c>
      <c r="E661" s="41" t="s">
        <v>20</v>
      </c>
      <c r="F661" s="42">
        <v>8.3333333333333339</v>
      </c>
      <c r="G661" s="9">
        <v>16.666666666666668</v>
      </c>
      <c r="H661" s="45">
        <v>25</v>
      </c>
      <c r="I661" s="9">
        <v>50</v>
      </c>
      <c r="J661" s="48" t="s">
        <v>309</v>
      </c>
      <c r="K661" s="43">
        <v>33.333333333333329</v>
      </c>
      <c r="L661" s="45" t="s">
        <v>15</v>
      </c>
    </row>
    <row r="662" spans="1:12" ht="15.75" customHeight="1" x14ac:dyDescent="0.3">
      <c r="A662" s="21">
        <v>10</v>
      </c>
      <c r="B662" s="25">
        <v>45581</v>
      </c>
      <c r="C662" s="29" t="s">
        <v>326</v>
      </c>
      <c r="D662" s="36">
        <v>20</v>
      </c>
      <c r="E662" s="41" t="s">
        <v>20</v>
      </c>
      <c r="F662" s="42">
        <v>0.05</v>
      </c>
      <c r="G662" s="9">
        <v>1</v>
      </c>
      <c r="H662" s="45">
        <v>0.5</v>
      </c>
      <c r="I662" s="9">
        <v>10</v>
      </c>
      <c r="J662" s="48" t="s">
        <v>338</v>
      </c>
      <c r="K662" s="43">
        <v>9</v>
      </c>
      <c r="L662" s="45" t="s">
        <v>15</v>
      </c>
    </row>
    <row r="663" spans="1:12" ht="15.75" customHeight="1" x14ac:dyDescent="0.3">
      <c r="A663" s="21">
        <v>10</v>
      </c>
      <c r="B663" s="25">
        <v>45581</v>
      </c>
      <c r="C663" s="29" t="s">
        <v>315</v>
      </c>
      <c r="D663" s="36">
        <v>5</v>
      </c>
      <c r="E663" s="41" t="s">
        <v>20</v>
      </c>
      <c r="F663" s="42">
        <v>7.0000000000000007E-2</v>
      </c>
      <c r="G663" s="9">
        <v>0.35000000000000003</v>
      </c>
      <c r="H663" s="45">
        <v>1</v>
      </c>
      <c r="I663" s="9">
        <v>5</v>
      </c>
      <c r="J663" s="48" t="s">
        <v>338</v>
      </c>
      <c r="K663" s="43">
        <v>4.6500000000000004</v>
      </c>
      <c r="L663" s="45" t="s">
        <v>15</v>
      </c>
    </row>
    <row r="664" spans="1:12" ht="15.75" customHeight="1" x14ac:dyDescent="0.3">
      <c r="A664" s="21">
        <v>10</v>
      </c>
      <c r="B664" s="25">
        <v>45581</v>
      </c>
      <c r="C664" s="29" t="s">
        <v>315</v>
      </c>
      <c r="D664" s="36">
        <v>3</v>
      </c>
      <c r="E664" s="41" t="s">
        <v>20</v>
      </c>
      <c r="F664" s="42">
        <v>7.0000000000000007E-2</v>
      </c>
      <c r="G664" s="9">
        <v>0.21000000000000002</v>
      </c>
      <c r="H664" s="45">
        <v>1</v>
      </c>
      <c r="I664" s="9">
        <v>3</v>
      </c>
      <c r="J664" s="48" t="s">
        <v>309</v>
      </c>
      <c r="K664" s="43">
        <v>2.79</v>
      </c>
      <c r="L664" s="45" t="s">
        <v>15</v>
      </c>
    </row>
    <row r="665" spans="1:12" ht="15.75" customHeight="1" x14ac:dyDescent="0.3">
      <c r="A665" s="21">
        <v>10</v>
      </c>
      <c r="B665" s="25">
        <v>45582</v>
      </c>
      <c r="C665" s="29" t="s">
        <v>246</v>
      </c>
      <c r="D665" s="36">
        <v>1</v>
      </c>
      <c r="E665" s="41" t="s">
        <v>457</v>
      </c>
      <c r="F665" s="42">
        <v>3.5</v>
      </c>
      <c r="G665" s="9">
        <v>3.5</v>
      </c>
      <c r="H665" s="45">
        <v>10</v>
      </c>
      <c r="I665" s="9">
        <v>10</v>
      </c>
      <c r="J665" s="48" t="s">
        <v>338</v>
      </c>
      <c r="K665" s="43">
        <v>6.5</v>
      </c>
      <c r="L665" s="45" t="s">
        <v>15</v>
      </c>
    </row>
    <row r="666" spans="1:12" ht="15.75" customHeight="1" x14ac:dyDescent="0.3">
      <c r="A666" s="21">
        <v>10</v>
      </c>
      <c r="B666" s="25">
        <v>45583</v>
      </c>
      <c r="C666" s="29" t="s">
        <v>315</v>
      </c>
      <c r="D666" s="36">
        <v>3</v>
      </c>
      <c r="E666" s="41" t="s">
        <v>51</v>
      </c>
      <c r="F666" s="42">
        <v>7.0000000000000007E-2</v>
      </c>
      <c r="G666" s="9">
        <v>0.21000000000000002</v>
      </c>
      <c r="H666" s="45">
        <v>1</v>
      </c>
      <c r="I666" s="9">
        <v>3</v>
      </c>
      <c r="J666" s="48" t="s">
        <v>338</v>
      </c>
      <c r="K666" s="43">
        <v>2.79</v>
      </c>
      <c r="L666" s="45" t="s">
        <v>15</v>
      </c>
    </row>
    <row r="667" spans="1:12" ht="15.75" customHeight="1" x14ac:dyDescent="0.3">
      <c r="A667" s="21">
        <v>10</v>
      </c>
      <c r="B667" s="25">
        <v>45583</v>
      </c>
      <c r="C667" s="29" t="s">
        <v>315</v>
      </c>
      <c r="D667" s="36">
        <v>5</v>
      </c>
      <c r="E667" s="41" t="s">
        <v>20</v>
      </c>
      <c r="F667" s="42">
        <v>7.0000000000000007E-2</v>
      </c>
      <c r="G667" s="9">
        <v>0.35000000000000003</v>
      </c>
      <c r="H667" s="45">
        <v>1</v>
      </c>
      <c r="I667" s="9">
        <v>5</v>
      </c>
      <c r="J667" s="48" t="s">
        <v>338</v>
      </c>
      <c r="K667" s="43">
        <v>4.6500000000000004</v>
      </c>
      <c r="L667" s="45" t="s">
        <v>15</v>
      </c>
    </row>
    <row r="668" spans="1:12" ht="15.75" customHeight="1" x14ac:dyDescent="0.3">
      <c r="A668" s="21">
        <v>10</v>
      </c>
      <c r="B668" s="25">
        <v>45583</v>
      </c>
      <c r="C668" s="29" t="s">
        <v>358</v>
      </c>
      <c r="D668" s="36">
        <v>1</v>
      </c>
      <c r="E668" s="41" t="s">
        <v>20</v>
      </c>
      <c r="F668" s="42">
        <v>2.5</v>
      </c>
      <c r="G668" s="9">
        <v>2.5</v>
      </c>
      <c r="H668" s="45">
        <v>10</v>
      </c>
      <c r="I668" s="9">
        <v>10</v>
      </c>
      <c r="J668" s="48"/>
      <c r="K668" s="43">
        <v>7.5</v>
      </c>
      <c r="L668" s="45" t="s">
        <v>15</v>
      </c>
    </row>
    <row r="669" spans="1:12" ht="15.75" customHeight="1" x14ac:dyDescent="0.3">
      <c r="A669" s="21">
        <v>10</v>
      </c>
      <c r="B669" s="25">
        <v>45583</v>
      </c>
      <c r="C669" s="29" t="s">
        <v>458</v>
      </c>
      <c r="D669" s="36">
        <v>1</v>
      </c>
      <c r="E669" s="41" t="s">
        <v>20</v>
      </c>
      <c r="F669" s="42">
        <v>30</v>
      </c>
      <c r="G669" s="9">
        <v>30</v>
      </c>
      <c r="H669" s="45">
        <v>40</v>
      </c>
      <c r="I669" s="9">
        <v>40</v>
      </c>
      <c r="J669" s="48"/>
      <c r="K669" s="43">
        <v>10</v>
      </c>
      <c r="L669" s="45" t="s">
        <v>128</v>
      </c>
    </row>
    <row r="670" spans="1:12" ht="15.75" customHeight="1" x14ac:dyDescent="0.3">
      <c r="A670" s="21">
        <v>10</v>
      </c>
      <c r="B670" s="25">
        <v>45584</v>
      </c>
      <c r="C670" s="29" t="s">
        <v>459</v>
      </c>
      <c r="D670" s="36">
        <v>1</v>
      </c>
      <c r="E670" s="41" t="s">
        <v>20</v>
      </c>
      <c r="F670" s="42">
        <v>10</v>
      </c>
      <c r="G670" s="9">
        <v>10</v>
      </c>
      <c r="H670" s="45">
        <v>30</v>
      </c>
      <c r="I670" s="9">
        <v>30</v>
      </c>
      <c r="J670" s="48" t="s">
        <v>309</v>
      </c>
      <c r="K670" s="43">
        <v>20</v>
      </c>
      <c r="L670" s="45" t="s">
        <v>15</v>
      </c>
    </row>
    <row r="671" spans="1:12" ht="15.75" customHeight="1" x14ac:dyDescent="0.3">
      <c r="A671" s="21">
        <v>10</v>
      </c>
      <c r="B671" s="25">
        <v>45586</v>
      </c>
      <c r="C671" s="29" t="s">
        <v>315</v>
      </c>
      <c r="D671" s="36">
        <v>5</v>
      </c>
      <c r="E671" s="41" t="s">
        <v>20</v>
      </c>
      <c r="F671" s="42">
        <v>7.0000000000000007E-2</v>
      </c>
      <c r="G671" s="9">
        <v>0.35000000000000003</v>
      </c>
      <c r="H671" s="45">
        <v>1</v>
      </c>
      <c r="I671" s="9">
        <v>5</v>
      </c>
      <c r="J671" s="48" t="s">
        <v>338</v>
      </c>
      <c r="K671" s="43">
        <v>4.6500000000000004</v>
      </c>
      <c r="L671" s="45" t="s">
        <v>15</v>
      </c>
    </row>
    <row r="672" spans="1:12" ht="15.75" customHeight="1" x14ac:dyDescent="0.3">
      <c r="A672" s="21">
        <v>10</v>
      </c>
      <c r="B672" s="25">
        <v>45586</v>
      </c>
      <c r="C672" s="29" t="s">
        <v>460</v>
      </c>
      <c r="D672" s="36">
        <v>1</v>
      </c>
      <c r="E672" s="41" t="s">
        <v>461</v>
      </c>
      <c r="F672" s="42">
        <v>60</v>
      </c>
      <c r="G672" s="9">
        <v>60</v>
      </c>
      <c r="H672" s="45">
        <v>100</v>
      </c>
      <c r="I672" s="9">
        <v>100</v>
      </c>
      <c r="J672" s="48" t="s">
        <v>338</v>
      </c>
      <c r="K672" s="43">
        <v>40</v>
      </c>
      <c r="L672" s="45" t="s">
        <v>15</v>
      </c>
    </row>
    <row r="673" spans="1:12" ht="15.75" customHeight="1" x14ac:dyDescent="0.3">
      <c r="A673" s="21">
        <v>10</v>
      </c>
      <c r="B673" s="25">
        <v>45586</v>
      </c>
      <c r="C673" s="29" t="s">
        <v>267</v>
      </c>
      <c r="D673" s="36">
        <v>1</v>
      </c>
      <c r="E673" s="41" t="s">
        <v>428</v>
      </c>
      <c r="F673" s="42">
        <v>0</v>
      </c>
      <c r="G673" s="9">
        <v>0</v>
      </c>
      <c r="H673" s="45">
        <v>30</v>
      </c>
      <c r="I673" s="9">
        <v>30</v>
      </c>
      <c r="J673" s="48"/>
      <c r="K673" s="43">
        <v>30</v>
      </c>
      <c r="L673" s="45" t="s">
        <v>15</v>
      </c>
    </row>
    <row r="674" spans="1:12" ht="15.75" customHeight="1" x14ac:dyDescent="0.3">
      <c r="A674" s="21">
        <v>10</v>
      </c>
      <c r="B674" s="25">
        <v>45586</v>
      </c>
      <c r="C674" s="29" t="s">
        <v>315</v>
      </c>
      <c r="D674" s="36">
        <v>3</v>
      </c>
      <c r="E674" s="41" t="s">
        <v>386</v>
      </c>
      <c r="F674" s="42">
        <v>7.0000000000000007E-2</v>
      </c>
      <c r="G674" s="9">
        <v>0.21000000000000002</v>
      </c>
      <c r="H674" s="45">
        <v>1</v>
      </c>
      <c r="I674" s="9">
        <v>3</v>
      </c>
      <c r="J674" s="48" t="s">
        <v>338</v>
      </c>
      <c r="K674" s="43">
        <v>2.79</v>
      </c>
      <c r="L674" s="45" t="s">
        <v>15</v>
      </c>
    </row>
    <row r="675" spans="1:12" ht="15.75" customHeight="1" x14ac:dyDescent="0.3">
      <c r="A675" s="21">
        <v>10</v>
      </c>
      <c r="B675" s="25">
        <v>45587</v>
      </c>
      <c r="C675" s="29" t="s">
        <v>462</v>
      </c>
      <c r="D675" s="36">
        <v>1</v>
      </c>
      <c r="E675" s="41" t="s">
        <v>20</v>
      </c>
      <c r="F675" s="42">
        <v>17</v>
      </c>
      <c r="G675" s="9">
        <v>17</v>
      </c>
      <c r="H675" s="45">
        <v>48.28</v>
      </c>
      <c r="I675" s="9">
        <v>48.28</v>
      </c>
      <c r="J675" s="48" t="s">
        <v>309</v>
      </c>
      <c r="K675" s="43">
        <v>31.28</v>
      </c>
      <c r="L675" s="45" t="s">
        <v>15</v>
      </c>
    </row>
    <row r="676" spans="1:12" ht="15.75" customHeight="1" x14ac:dyDescent="0.3">
      <c r="A676" s="21">
        <v>10</v>
      </c>
      <c r="B676" s="25">
        <v>45587</v>
      </c>
      <c r="C676" s="29" t="s">
        <v>315</v>
      </c>
      <c r="D676" s="36">
        <v>8</v>
      </c>
      <c r="E676" s="41" t="s">
        <v>463</v>
      </c>
      <c r="F676" s="42">
        <v>7.0000000000000007E-2</v>
      </c>
      <c r="G676" s="9">
        <v>0.56000000000000005</v>
      </c>
      <c r="H676" s="45">
        <v>1</v>
      </c>
      <c r="I676" s="9">
        <v>8</v>
      </c>
      <c r="J676" s="48" t="s">
        <v>338</v>
      </c>
      <c r="K676" s="43">
        <v>7.4399999999999995</v>
      </c>
      <c r="L676" s="45" t="s">
        <v>15</v>
      </c>
    </row>
    <row r="677" spans="1:12" ht="15.75" customHeight="1" x14ac:dyDescent="0.3">
      <c r="A677" s="21">
        <v>10</v>
      </c>
      <c r="B677" s="25">
        <v>45587</v>
      </c>
      <c r="C677" s="29" t="s">
        <v>315</v>
      </c>
      <c r="D677" s="36">
        <v>2</v>
      </c>
      <c r="E677" s="41" t="s">
        <v>464</v>
      </c>
      <c r="F677" s="42">
        <v>7.0000000000000007E-2</v>
      </c>
      <c r="G677" s="9">
        <v>0.14000000000000001</v>
      </c>
      <c r="H677" s="45">
        <v>1</v>
      </c>
      <c r="I677" s="9">
        <v>2</v>
      </c>
      <c r="J677" s="48" t="s">
        <v>338</v>
      </c>
      <c r="K677" s="43">
        <v>1.8599999999999999</v>
      </c>
      <c r="L677" s="45" t="s">
        <v>15</v>
      </c>
    </row>
    <row r="678" spans="1:12" ht="15.75" customHeight="1" x14ac:dyDescent="0.3">
      <c r="A678" s="21">
        <v>10</v>
      </c>
      <c r="B678" s="25">
        <v>45588</v>
      </c>
      <c r="C678" s="29" t="s">
        <v>267</v>
      </c>
      <c r="D678" s="36">
        <v>1</v>
      </c>
      <c r="E678" s="41" t="s">
        <v>20</v>
      </c>
      <c r="F678" s="42">
        <v>0</v>
      </c>
      <c r="G678" s="9">
        <v>0</v>
      </c>
      <c r="H678" s="45">
        <v>30</v>
      </c>
      <c r="I678" s="9">
        <v>30</v>
      </c>
      <c r="J678" s="48" t="s">
        <v>338</v>
      </c>
      <c r="K678" s="43">
        <v>30</v>
      </c>
      <c r="L678" s="45" t="s">
        <v>15</v>
      </c>
    </row>
    <row r="679" spans="1:12" ht="15.75" customHeight="1" x14ac:dyDescent="0.3">
      <c r="A679" s="21">
        <v>10</v>
      </c>
      <c r="B679" s="25">
        <v>45588</v>
      </c>
      <c r="C679" s="29" t="s">
        <v>370</v>
      </c>
      <c r="D679" s="36">
        <v>1</v>
      </c>
      <c r="E679" s="41" t="s">
        <v>20</v>
      </c>
      <c r="F679" s="42">
        <v>11</v>
      </c>
      <c r="G679" s="9">
        <v>11</v>
      </c>
      <c r="H679" s="45">
        <v>30</v>
      </c>
      <c r="I679" s="9">
        <v>30</v>
      </c>
      <c r="J679" s="48" t="s">
        <v>338</v>
      </c>
      <c r="K679" s="43">
        <v>19</v>
      </c>
      <c r="L679" s="45" t="s">
        <v>15</v>
      </c>
    </row>
    <row r="680" spans="1:12" ht="15.75" customHeight="1" x14ac:dyDescent="0.3">
      <c r="A680" s="21">
        <v>10</v>
      </c>
      <c r="B680" s="25">
        <v>45589</v>
      </c>
      <c r="C680" s="29" t="s">
        <v>465</v>
      </c>
      <c r="D680" s="36">
        <v>1</v>
      </c>
      <c r="E680" s="41" t="s">
        <v>232</v>
      </c>
      <c r="F680" s="42">
        <v>2.5</v>
      </c>
      <c r="G680" s="9">
        <v>2.5</v>
      </c>
      <c r="H680" s="45">
        <v>5</v>
      </c>
      <c r="I680" s="9">
        <v>5</v>
      </c>
      <c r="J680" s="48"/>
      <c r="K680" s="43">
        <v>2.5</v>
      </c>
      <c r="L680" s="45" t="s">
        <v>15</v>
      </c>
    </row>
    <row r="681" spans="1:12" ht="15.75" customHeight="1" x14ac:dyDescent="0.3">
      <c r="A681" s="21">
        <v>10</v>
      </c>
      <c r="B681" s="25">
        <v>45591</v>
      </c>
      <c r="C681" s="29" t="s">
        <v>337</v>
      </c>
      <c r="D681" s="36">
        <v>1</v>
      </c>
      <c r="E681" s="41" t="s">
        <v>20</v>
      </c>
      <c r="F681" s="42">
        <v>0.05</v>
      </c>
      <c r="G681" s="9">
        <v>0.05</v>
      </c>
      <c r="H681" s="45">
        <v>5</v>
      </c>
      <c r="I681" s="9">
        <v>5</v>
      </c>
      <c r="J681" s="48" t="s">
        <v>338</v>
      </c>
      <c r="K681" s="43">
        <v>4.95</v>
      </c>
      <c r="L681" s="45" t="s">
        <v>15</v>
      </c>
    </row>
    <row r="682" spans="1:12" ht="15.75" customHeight="1" x14ac:dyDescent="0.3">
      <c r="A682" s="21">
        <v>10</v>
      </c>
      <c r="B682" s="25">
        <v>45593</v>
      </c>
      <c r="C682" s="29" t="s">
        <v>267</v>
      </c>
      <c r="D682" s="36">
        <v>1</v>
      </c>
      <c r="E682" s="41" t="s">
        <v>20</v>
      </c>
      <c r="F682" s="42">
        <v>0</v>
      </c>
      <c r="G682" s="9">
        <v>0</v>
      </c>
      <c r="H682" s="45">
        <v>10</v>
      </c>
      <c r="I682" s="9">
        <v>10</v>
      </c>
      <c r="J682" s="48" t="s">
        <v>309</v>
      </c>
      <c r="K682" s="43">
        <v>10</v>
      </c>
      <c r="L682" s="45" t="s">
        <v>15</v>
      </c>
    </row>
    <row r="683" spans="1:12" ht="15.75" customHeight="1" x14ac:dyDescent="0.3">
      <c r="A683" s="21">
        <v>10</v>
      </c>
      <c r="B683" s="25">
        <v>45594</v>
      </c>
      <c r="C683" s="29" t="s">
        <v>326</v>
      </c>
      <c r="D683" s="36">
        <v>1</v>
      </c>
      <c r="E683" s="41" t="s">
        <v>20</v>
      </c>
      <c r="F683" s="42">
        <v>0.05</v>
      </c>
      <c r="G683" s="9">
        <v>0.05</v>
      </c>
      <c r="H683" s="45">
        <v>0.5</v>
      </c>
      <c r="I683" s="9">
        <v>0.5</v>
      </c>
      <c r="J683" s="48" t="s">
        <v>338</v>
      </c>
      <c r="K683" s="43">
        <v>0.45</v>
      </c>
      <c r="L683" s="45" t="s">
        <v>15</v>
      </c>
    </row>
    <row r="684" spans="1:12" ht="15.75" customHeight="1" x14ac:dyDescent="0.3">
      <c r="A684" s="21">
        <v>10</v>
      </c>
      <c r="B684" s="25">
        <v>45595</v>
      </c>
      <c r="C684" s="29" t="s">
        <v>466</v>
      </c>
      <c r="D684" s="36">
        <v>1</v>
      </c>
      <c r="E684" s="41" t="s">
        <v>467</v>
      </c>
      <c r="F684" s="42">
        <v>9</v>
      </c>
      <c r="G684" s="9">
        <v>9</v>
      </c>
      <c r="H684" s="45">
        <v>30</v>
      </c>
      <c r="I684" s="9">
        <v>30</v>
      </c>
      <c r="J684" s="48" t="s">
        <v>338</v>
      </c>
      <c r="K684" s="43">
        <v>21</v>
      </c>
      <c r="L684" s="45" t="s">
        <v>15</v>
      </c>
    </row>
    <row r="685" spans="1:12" ht="15.75" customHeight="1" x14ac:dyDescent="0.3">
      <c r="A685" s="21">
        <v>10</v>
      </c>
      <c r="B685" s="25">
        <v>45595</v>
      </c>
      <c r="C685" s="29" t="s">
        <v>468</v>
      </c>
      <c r="D685" s="36">
        <v>1</v>
      </c>
      <c r="E685" s="41" t="s">
        <v>467</v>
      </c>
      <c r="F685" s="42">
        <v>75</v>
      </c>
      <c r="G685" s="9">
        <v>75</v>
      </c>
      <c r="H685" s="45">
        <v>135</v>
      </c>
      <c r="I685" s="9">
        <v>135</v>
      </c>
      <c r="J685" s="48" t="s">
        <v>338</v>
      </c>
      <c r="K685" s="43">
        <v>60</v>
      </c>
      <c r="L685" s="45" t="s">
        <v>15</v>
      </c>
    </row>
    <row r="686" spans="1:12" ht="15.75" customHeight="1" x14ac:dyDescent="0.3">
      <c r="A686" s="21">
        <v>10</v>
      </c>
      <c r="B686" s="25">
        <v>45595</v>
      </c>
      <c r="C686" s="29" t="s">
        <v>315</v>
      </c>
      <c r="D686" s="36">
        <v>4</v>
      </c>
      <c r="E686" s="41" t="s">
        <v>463</v>
      </c>
      <c r="F686" s="42">
        <v>7.0000000000000007E-2</v>
      </c>
      <c r="G686" s="9">
        <v>0.28000000000000003</v>
      </c>
      <c r="H686" s="45">
        <v>1</v>
      </c>
      <c r="I686" s="9">
        <v>4</v>
      </c>
      <c r="J686" s="48" t="s">
        <v>338</v>
      </c>
      <c r="K686" s="43">
        <v>3.7199999999999998</v>
      </c>
      <c r="L686" s="45" t="s">
        <v>15</v>
      </c>
    </row>
    <row r="687" spans="1:12" ht="15.75" customHeight="1" x14ac:dyDescent="0.3">
      <c r="A687" s="21">
        <v>10</v>
      </c>
      <c r="B687" s="25">
        <v>45596</v>
      </c>
      <c r="C687" s="29" t="s">
        <v>315</v>
      </c>
      <c r="D687" s="36">
        <v>1</v>
      </c>
      <c r="E687" s="41" t="s">
        <v>469</v>
      </c>
      <c r="F687" s="42">
        <v>7.0000000000000007E-2</v>
      </c>
      <c r="G687" s="9">
        <v>7.0000000000000007E-2</v>
      </c>
      <c r="H687" s="45">
        <v>2</v>
      </c>
      <c r="I687" s="9">
        <v>2</v>
      </c>
      <c r="J687" s="48" t="s">
        <v>338</v>
      </c>
      <c r="K687" s="43">
        <v>1.93</v>
      </c>
      <c r="L687" s="45" t="s">
        <v>15</v>
      </c>
    </row>
    <row r="688" spans="1:12" ht="15.75" customHeight="1" x14ac:dyDescent="0.3">
      <c r="A688" s="21">
        <v>11</v>
      </c>
      <c r="B688" s="25">
        <v>45598</v>
      </c>
      <c r="C688" s="29" t="s">
        <v>470</v>
      </c>
      <c r="D688" s="36">
        <v>1</v>
      </c>
      <c r="E688" s="41" t="s">
        <v>471</v>
      </c>
      <c r="F688" s="42">
        <v>30</v>
      </c>
      <c r="G688" s="9">
        <v>30</v>
      </c>
      <c r="H688" s="45">
        <v>70</v>
      </c>
      <c r="I688" s="9">
        <v>70</v>
      </c>
      <c r="J688" s="48" t="s">
        <v>338</v>
      </c>
      <c r="K688" s="43">
        <v>40</v>
      </c>
      <c r="L688" s="45" t="s">
        <v>15</v>
      </c>
    </row>
    <row r="689" spans="1:12" ht="15.75" customHeight="1" x14ac:dyDescent="0.3">
      <c r="A689" s="21">
        <v>11</v>
      </c>
      <c r="B689" s="25">
        <v>45598</v>
      </c>
      <c r="C689" s="29" t="s">
        <v>267</v>
      </c>
      <c r="D689" s="36">
        <v>1</v>
      </c>
      <c r="E689" s="41" t="s">
        <v>472</v>
      </c>
      <c r="F689" s="42">
        <v>0</v>
      </c>
      <c r="G689" s="9">
        <v>0</v>
      </c>
      <c r="H689" s="45">
        <v>67</v>
      </c>
      <c r="I689" s="9">
        <v>67</v>
      </c>
      <c r="J689" s="48" t="s">
        <v>338</v>
      </c>
      <c r="K689" s="43">
        <v>67</v>
      </c>
      <c r="L689" s="45" t="s">
        <v>15</v>
      </c>
    </row>
    <row r="690" spans="1:12" ht="15.75" customHeight="1" x14ac:dyDescent="0.3">
      <c r="A690" s="21">
        <v>11</v>
      </c>
      <c r="B690" s="25">
        <v>45600</v>
      </c>
      <c r="C690" s="29" t="s">
        <v>48</v>
      </c>
      <c r="D690" s="36">
        <v>1</v>
      </c>
      <c r="E690" s="41" t="s">
        <v>51</v>
      </c>
      <c r="F690" s="42">
        <v>3</v>
      </c>
      <c r="G690" s="9">
        <v>3</v>
      </c>
      <c r="H690" s="45">
        <v>10</v>
      </c>
      <c r="I690" s="9">
        <v>10</v>
      </c>
      <c r="J690" s="48" t="s">
        <v>338</v>
      </c>
      <c r="K690" s="43">
        <v>7</v>
      </c>
      <c r="L690" s="45" t="s">
        <v>15</v>
      </c>
    </row>
    <row r="691" spans="1:12" ht="15.75" customHeight="1" x14ac:dyDescent="0.3">
      <c r="A691" s="21">
        <v>11</v>
      </c>
      <c r="B691" s="25">
        <v>45600</v>
      </c>
      <c r="C691" s="29" t="s">
        <v>252</v>
      </c>
      <c r="D691" s="36">
        <v>1</v>
      </c>
      <c r="E691" s="41" t="s">
        <v>51</v>
      </c>
      <c r="F691" s="42">
        <v>6</v>
      </c>
      <c r="G691" s="9">
        <v>6</v>
      </c>
      <c r="H691" s="45">
        <v>20</v>
      </c>
      <c r="I691" s="9">
        <v>20</v>
      </c>
      <c r="J691" s="48" t="s">
        <v>338</v>
      </c>
      <c r="K691" s="43">
        <v>14</v>
      </c>
      <c r="L691" s="45" t="s">
        <v>15</v>
      </c>
    </row>
    <row r="692" spans="1:12" ht="15.75" customHeight="1" x14ac:dyDescent="0.3">
      <c r="A692" s="21">
        <v>11</v>
      </c>
      <c r="B692" s="25">
        <v>45600</v>
      </c>
      <c r="C692" s="29" t="s">
        <v>315</v>
      </c>
      <c r="D692" s="36">
        <v>3</v>
      </c>
      <c r="E692" s="41" t="s">
        <v>463</v>
      </c>
      <c r="F692" s="42">
        <v>7.0000000000000007E-2</v>
      </c>
      <c r="G692" s="9">
        <v>0.21000000000000002</v>
      </c>
      <c r="H692" s="45">
        <v>1</v>
      </c>
      <c r="I692" s="9">
        <v>3</v>
      </c>
      <c r="J692" s="48" t="s">
        <v>338</v>
      </c>
      <c r="K692" s="43">
        <v>2.79</v>
      </c>
      <c r="L692" s="45" t="s">
        <v>15</v>
      </c>
    </row>
    <row r="693" spans="1:12" ht="15.75" customHeight="1" x14ac:dyDescent="0.3">
      <c r="A693" s="21">
        <v>11</v>
      </c>
      <c r="B693" s="25">
        <v>45601</v>
      </c>
      <c r="C693" s="29" t="s">
        <v>315</v>
      </c>
      <c r="D693" s="36">
        <v>12</v>
      </c>
      <c r="E693" s="41" t="s">
        <v>473</v>
      </c>
      <c r="F693" s="42">
        <v>7.0000000000000007E-2</v>
      </c>
      <c r="G693" s="9">
        <v>0.84000000000000008</v>
      </c>
      <c r="H693" s="45">
        <v>1</v>
      </c>
      <c r="I693" s="9">
        <v>12</v>
      </c>
      <c r="J693" s="48" t="s">
        <v>338</v>
      </c>
      <c r="K693" s="43">
        <v>11.16</v>
      </c>
      <c r="L693" s="45" t="s">
        <v>15</v>
      </c>
    </row>
    <row r="694" spans="1:12" ht="15.75" customHeight="1" x14ac:dyDescent="0.3">
      <c r="A694" s="21">
        <v>11</v>
      </c>
      <c r="B694" s="25">
        <v>45602</v>
      </c>
      <c r="C694" s="29" t="s">
        <v>348</v>
      </c>
      <c r="D694" s="36">
        <v>1</v>
      </c>
      <c r="E694" s="41" t="s">
        <v>232</v>
      </c>
      <c r="F694" s="42">
        <v>35</v>
      </c>
      <c r="G694" s="9">
        <v>35</v>
      </c>
      <c r="H694" s="45">
        <v>60</v>
      </c>
      <c r="I694" s="9">
        <v>60</v>
      </c>
      <c r="J694" s="48"/>
      <c r="K694" s="43">
        <v>25</v>
      </c>
      <c r="L694" s="45" t="s">
        <v>15</v>
      </c>
    </row>
    <row r="695" spans="1:12" ht="15.75" customHeight="1" x14ac:dyDescent="0.3">
      <c r="A695" s="21">
        <v>11</v>
      </c>
      <c r="B695" s="25">
        <v>45602</v>
      </c>
      <c r="C695" s="29" t="s">
        <v>379</v>
      </c>
      <c r="D695" s="36">
        <v>3</v>
      </c>
      <c r="E695" s="41" t="s">
        <v>20</v>
      </c>
      <c r="F695" s="42">
        <v>2.5</v>
      </c>
      <c r="G695" s="9">
        <v>7.5</v>
      </c>
      <c r="H695" s="45">
        <v>5</v>
      </c>
      <c r="I695" s="9">
        <v>15</v>
      </c>
      <c r="J695" s="48" t="s">
        <v>338</v>
      </c>
      <c r="K695" s="43">
        <v>7.5</v>
      </c>
      <c r="L695" s="45" t="s">
        <v>15</v>
      </c>
    </row>
    <row r="696" spans="1:12" ht="15.75" customHeight="1" x14ac:dyDescent="0.3">
      <c r="A696" s="21">
        <v>11</v>
      </c>
      <c r="B696" s="25">
        <v>45602</v>
      </c>
      <c r="C696" s="29" t="s">
        <v>315</v>
      </c>
      <c r="D696" s="36">
        <v>1</v>
      </c>
      <c r="E696" s="41" t="s">
        <v>20</v>
      </c>
      <c r="F696" s="42">
        <v>7.0000000000000007E-2</v>
      </c>
      <c r="G696" s="9">
        <v>7.0000000000000007E-2</v>
      </c>
      <c r="H696" s="45">
        <v>1</v>
      </c>
      <c r="I696" s="9">
        <v>1</v>
      </c>
      <c r="J696" s="48" t="s">
        <v>338</v>
      </c>
      <c r="K696" s="43">
        <v>0.92999999999999994</v>
      </c>
      <c r="L696" s="45" t="s">
        <v>15</v>
      </c>
    </row>
    <row r="697" spans="1:12" ht="15.75" customHeight="1" x14ac:dyDescent="0.3">
      <c r="A697" s="21">
        <v>11</v>
      </c>
      <c r="B697" s="25">
        <v>45602</v>
      </c>
      <c r="C697" s="29" t="s">
        <v>474</v>
      </c>
      <c r="D697" s="36">
        <v>1</v>
      </c>
      <c r="E697" s="41" t="s">
        <v>397</v>
      </c>
      <c r="F697" s="42" t="s">
        <v>72</v>
      </c>
      <c r="G697" s="12">
        <v>125</v>
      </c>
      <c r="H697" s="45">
        <v>125</v>
      </c>
      <c r="I697" s="9">
        <v>125</v>
      </c>
      <c r="J697" s="48"/>
      <c r="K697" s="43">
        <v>0</v>
      </c>
      <c r="L697" s="45" t="s">
        <v>15</v>
      </c>
    </row>
    <row r="698" spans="1:12" ht="15.75" customHeight="1" x14ac:dyDescent="0.3">
      <c r="A698" s="21">
        <v>11</v>
      </c>
      <c r="B698" s="25">
        <v>45603</v>
      </c>
      <c r="C698" s="29" t="s">
        <v>378</v>
      </c>
      <c r="D698" s="36">
        <v>1</v>
      </c>
      <c r="E698" s="41" t="s">
        <v>20</v>
      </c>
      <c r="F698" s="42">
        <v>17</v>
      </c>
      <c r="G698" s="9">
        <v>17</v>
      </c>
      <c r="H698" s="45">
        <v>30</v>
      </c>
      <c r="I698" s="9">
        <v>30</v>
      </c>
      <c r="J698" s="48"/>
      <c r="K698" s="43">
        <v>13</v>
      </c>
      <c r="L698" s="45" t="s">
        <v>15</v>
      </c>
    </row>
    <row r="699" spans="1:12" ht="15.75" customHeight="1" x14ac:dyDescent="0.3">
      <c r="A699" s="21">
        <v>11</v>
      </c>
      <c r="B699" s="25">
        <v>45604</v>
      </c>
      <c r="C699" s="29" t="s">
        <v>378</v>
      </c>
      <c r="D699" s="36">
        <v>1</v>
      </c>
      <c r="E699" s="41" t="s">
        <v>20</v>
      </c>
      <c r="F699" s="42">
        <v>17</v>
      </c>
      <c r="G699" s="9">
        <v>17</v>
      </c>
      <c r="H699" s="45">
        <v>30</v>
      </c>
      <c r="I699" s="9">
        <v>30</v>
      </c>
      <c r="J699" s="48"/>
      <c r="K699" s="43">
        <v>13</v>
      </c>
      <c r="L699" s="45" t="s">
        <v>15</v>
      </c>
    </row>
    <row r="700" spans="1:12" ht="15.75" customHeight="1" x14ac:dyDescent="0.3">
      <c r="A700" s="21">
        <v>11</v>
      </c>
      <c r="B700" s="25">
        <v>45605</v>
      </c>
      <c r="C700" s="29" t="s">
        <v>267</v>
      </c>
      <c r="D700" s="36">
        <v>1</v>
      </c>
      <c r="E700" s="41" t="s">
        <v>20</v>
      </c>
      <c r="F700" s="42">
        <v>0</v>
      </c>
      <c r="G700" s="9">
        <v>0</v>
      </c>
      <c r="H700" s="45">
        <v>65</v>
      </c>
      <c r="I700" s="9">
        <v>65</v>
      </c>
      <c r="J700" s="48"/>
      <c r="K700" s="43">
        <v>65</v>
      </c>
      <c r="L700" s="45" t="s">
        <v>15</v>
      </c>
    </row>
    <row r="701" spans="1:12" ht="15.75" customHeight="1" x14ac:dyDescent="0.3">
      <c r="A701" s="21">
        <v>11</v>
      </c>
      <c r="B701" s="25">
        <v>45605</v>
      </c>
      <c r="C701" s="29" t="s">
        <v>315</v>
      </c>
      <c r="D701" s="36">
        <v>1</v>
      </c>
      <c r="E701" s="41" t="s">
        <v>20</v>
      </c>
      <c r="F701" s="42">
        <v>7.0000000000000007E-2</v>
      </c>
      <c r="G701" s="9">
        <v>7.0000000000000007E-2</v>
      </c>
      <c r="H701" s="45">
        <v>1</v>
      </c>
      <c r="I701" s="9">
        <v>1</v>
      </c>
      <c r="J701" s="48"/>
      <c r="K701" s="43">
        <v>0.92999999999999994</v>
      </c>
      <c r="L701" s="45" t="s">
        <v>15</v>
      </c>
    </row>
    <row r="702" spans="1:12" ht="15.75" customHeight="1" x14ac:dyDescent="0.3">
      <c r="A702" s="21">
        <v>11</v>
      </c>
      <c r="B702" s="25">
        <v>45605</v>
      </c>
      <c r="C702" s="29" t="s">
        <v>475</v>
      </c>
      <c r="D702" s="36">
        <v>1</v>
      </c>
      <c r="E702" s="41" t="s">
        <v>140</v>
      </c>
      <c r="F702" s="42">
        <v>7</v>
      </c>
      <c r="G702" s="9">
        <v>7</v>
      </c>
      <c r="H702" s="45">
        <v>15</v>
      </c>
      <c r="I702" s="9">
        <v>15</v>
      </c>
      <c r="J702" s="48"/>
      <c r="K702" s="43">
        <v>8</v>
      </c>
      <c r="L702" s="45" t="s">
        <v>15</v>
      </c>
    </row>
    <row r="703" spans="1:12" ht="15.75" customHeight="1" x14ac:dyDescent="0.3">
      <c r="A703" s="21">
        <v>11</v>
      </c>
      <c r="B703" s="25">
        <v>45605</v>
      </c>
      <c r="C703" s="29" t="s">
        <v>267</v>
      </c>
      <c r="D703" s="36">
        <v>1</v>
      </c>
      <c r="E703" s="41" t="s">
        <v>428</v>
      </c>
      <c r="F703" s="42">
        <v>0</v>
      </c>
      <c r="G703" s="9">
        <v>0</v>
      </c>
      <c r="H703" s="45">
        <v>30</v>
      </c>
      <c r="I703" s="9">
        <v>30</v>
      </c>
      <c r="J703" s="48"/>
      <c r="K703" s="43">
        <v>30</v>
      </c>
      <c r="L703" s="45" t="s">
        <v>15</v>
      </c>
    </row>
    <row r="704" spans="1:12" ht="15.75" customHeight="1" x14ac:dyDescent="0.3">
      <c r="A704" s="21">
        <v>11</v>
      </c>
      <c r="B704" s="25">
        <v>45605</v>
      </c>
      <c r="C704" s="29" t="s">
        <v>476</v>
      </c>
      <c r="D704" s="36">
        <v>1</v>
      </c>
      <c r="E704" s="41" t="s">
        <v>20</v>
      </c>
      <c r="F704" s="42">
        <v>4.5</v>
      </c>
      <c r="G704" s="9">
        <v>4.5</v>
      </c>
      <c r="H704" s="45">
        <v>10</v>
      </c>
      <c r="I704" s="9">
        <v>10</v>
      </c>
      <c r="J704" s="48"/>
      <c r="K704" s="43">
        <v>5.5</v>
      </c>
      <c r="L704" s="45" t="s">
        <v>15</v>
      </c>
    </row>
    <row r="705" spans="1:12" ht="15.75" customHeight="1" x14ac:dyDescent="0.3">
      <c r="A705" s="21">
        <v>11</v>
      </c>
      <c r="B705" s="25">
        <v>45607</v>
      </c>
      <c r="C705" s="29" t="s">
        <v>315</v>
      </c>
      <c r="D705" s="36">
        <v>1</v>
      </c>
      <c r="E705" s="41" t="s">
        <v>386</v>
      </c>
      <c r="F705" s="42">
        <v>7.0000000000000007E-2</v>
      </c>
      <c r="G705" s="9">
        <v>7.0000000000000007E-2</v>
      </c>
      <c r="H705" s="45">
        <v>1</v>
      </c>
      <c r="I705" s="9">
        <v>1</v>
      </c>
      <c r="J705" s="48"/>
      <c r="K705" s="43">
        <v>0.92999999999999994</v>
      </c>
      <c r="L705" s="45" t="s">
        <v>15</v>
      </c>
    </row>
    <row r="706" spans="1:12" ht="15.75" customHeight="1" x14ac:dyDescent="0.3">
      <c r="A706" s="21">
        <v>11</v>
      </c>
      <c r="B706" s="25">
        <v>45607</v>
      </c>
      <c r="C706" s="29" t="s">
        <v>476</v>
      </c>
      <c r="D706" s="36">
        <v>1</v>
      </c>
      <c r="E706" s="41" t="s">
        <v>477</v>
      </c>
      <c r="F706" s="42">
        <v>4.5</v>
      </c>
      <c r="G706" s="9">
        <v>4.5</v>
      </c>
      <c r="H706" s="45">
        <v>10</v>
      </c>
      <c r="I706" s="9">
        <v>10</v>
      </c>
      <c r="J706" s="48"/>
      <c r="K706" s="43">
        <v>5.5</v>
      </c>
      <c r="L706" s="45" t="s">
        <v>15</v>
      </c>
    </row>
    <row r="707" spans="1:12" ht="15.75" customHeight="1" x14ac:dyDescent="0.3">
      <c r="A707" s="21">
        <v>11</v>
      </c>
      <c r="B707" s="25">
        <v>45607</v>
      </c>
      <c r="C707" s="29" t="s">
        <v>478</v>
      </c>
      <c r="D707" s="36">
        <v>1</v>
      </c>
      <c r="E707" s="41" t="s">
        <v>477</v>
      </c>
      <c r="F707" s="42">
        <v>6</v>
      </c>
      <c r="G707" s="9">
        <v>6</v>
      </c>
      <c r="H707" s="45">
        <v>25</v>
      </c>
      <c r="I707" s="9">
        <v>25</v>
      </c>
      <c r="J707" s="48"/>
      <c r="K707" s="43">
        <v>19</v>
      </c>
      <c r="L707" s="45" t="s">
        <v>15</v>
      </c>
    </row>
    <row r="708" spans="1:12" ht="15.75" customHeight="1" x14ac:dyDescent="0.3">
      <c r="A708" s="21">
        <v>11</v>
      </c>
      <c r="B708" s="25">
        <v>45608</v>
      </c>
      <c r="C708" s="29" t="s">
        <v>252</v>
      </c>
      <c r="D708" s="36">
        <v>2</v>
      </c>
      <c r="E708" s="41" t="s">
        <v>293</v>
      </c>
      <c r="F708" s="42">
        <v>6</v>
      </c>
      <c r="G708" s="9">
        <v>12</v>
      </c>
      <c r="H708" s="45">
        <v>15</v>
      </c>
      <c r="I708" s="9">
        <v>30</v>
      </c>
      <c r="J708" s="48"/>
      <c r="K708" s="43">
        <v>18</v>
      </c>
      <c r="L708" s="45" t="s">
        <v>15</v>
      </c>
    </row>
    <row r="709" spans="1:12" ht="15.75" customHeight="1" x14ac:dyDescent="0.3">
      <c r="A709" s="21">
        <v>11</v>
      </c>
      <c r="B709" s="25">
        <v>45608</v>
      </c>
      <c r="C709" s="29" t="s">
        <v>479</v>
      </c>
      <c r="D709" s="36">
        <v>2</v>
      </c>
      <c r="E709" s="41" t="s">
        <v>293</v>
      </c>
      <c r="F709" s="42">
        <v>7</v>
      </c>
      <c r="G709" s="9">
        <v>14</v>
      </c>
      <c r="H709" s="45">
        <v>15</v>
      </c>
      <c r="I709" s="9">
        <v>30</v>
      </c>
      <c r="J709" s="48"/>
      <c r="K709" s="43">
        <v>16</v>
      </c>
      <c r="L709" s="45" t="s">
        <v>15</v>
      </c>
    </row>
    <row r="710" spans="1:12" ht="15.75" customHeight="1" x14ac:dyDescent="0.3">
      <c r="A710" s="21">
        <v>11</v>
      </c>
      <c r="B710" s="25">
        <v>45608</v>
      </c>
      <c r="C710" s="29" t="s">
        <v>267</v>
      </c>
      <c r="D710" s="36">
        <v>1</v>
      </c>
      <c r="E710" s="41" t="s">
        <v>20</v>
      </c>
      <c r="F710" s="42">
        <v>0</v>
      </c>
      <c r="G710" s="9">
        <v>0</v>
      </c>
      <c r="H710" s="45">
        <v>80</v>
      </c>
      <c r="I710" s="9">
        <v>80</v>
      </c>
      <c r="J710" s="48"/>
      <c r="K710" s="43">
        <v>80</v>
      </c>
      <c r="L710" s="45" t="s">
        <v>15</v>
      </c>
    </row>
    <row r="711" spans="1:12" ht="15.75" customHeight="1" x14ac:dyDescent="0.3">
      <c r="A711" s="21">
        <v>11</v>
      </c>
      <c r="B711" s="25">
        <v>45608</v>
      </c>
      <c r="C711" s="29" t="s">
        <v>399</v>
      </c>
      <c r="D711" s="36">
        <v>1</v>
      </c>
      <c r="E711" s="41" t="s">
        <v>20</v>
      </c>
      <c r="F711" s="42">
        <v>11</v>
      </c>
      <c r="G711" s="9">
        <v>11</v>
      </c>
      <c r="H711" s="45">
        <v>40</v>
      </c>
      <c r="I711" s="9">
        <v>40</v>
      </c>
      <c r="J711" s="48"/>
      <c r="K711" s="43">
        <v>29</v>
      </c>
      <c r="L711" s="45" t="s">
        <v>15</v>
      </c>
    </row>
    <row r="712" spans="1:12" ht="15.75" customHeight="1" x14ac:dyDescent="0.3">
      <c r="A712" s="21">
        <v>11</v>
      </c>
      <c r="B712" s="25">
        <v>45608</v>
      </c>
      <c r="C712" s="29" t="s">
        <v>480</v>
      </c>
      <c r="D712" s="36">
        <v>2</v>
      </c>
      <c r="E712" s="41" t="s">
        <v>51</v>
      </c>
      <c r="F712" s="42">
        <v>0.125</v>
      </c>
      <c r="G712" s="9">
        <v>0.25</v>
      </c>
      <c r="H712" s="45">
        <v>0.25</v>
      </c>
      <c r="I712" s="9">
        <v>0.5</v>
      </c>
      <c r="J712" s="48"/>
      <c r="K712" s="43">
        <v>0.25</v>
      </c>
      <c r="L712" s="45" t="s">
        <v>15</v>
      </c>
    </row>
    <row r="713" spans="1:12" ht="15.75" customHeight="1" x14ac:dyDescent="0.3">
      <c r="A713" s="21">
        <v>11</v>
      </c>
      <c r="B713" s="25">
        <v>45608</v>
      </c>
      <c r="C713" s="29" t="s">
        <v>378</v>
      </c>
      <c r="D713" s="36">
        <v>1</v>
      </c>
      <c r="E713" s="41" t="s">
        <v>20</v>
      </c>
      <c r="F713" s="42">
        <v>17</v>
      </c>
      <c r="G713" s="9">
        <v>17</v>
      </c>
      <c r="H713" s="45">
        <v>30</v>
      </c>
      <c r="I713" s="9">
        <v>30</v>
      </c>
      <c r="J713" s="48"/>
      <c r="K713" s="43">
        <v>13</v>
      </c>
      <c r="L713" s="45" t="s">
        <v>15</v>
      </c>
    </row>
    <row r="714" spans="1:12" ht="15.75" customHeight="1" x14ac:dyDescent="0.3">
      <c r="A714" s="21">
        <v>11</v>
      </c>
      <c r="B714" s="25">
        <v>45609</v>
      </c>
      <c r="C714" s="29" t="s">
        <v>149</v>
      </c>
      <c r="D714" s="36">
        <v>1</v>
      </c>
      <c r="E714" s="41" t="s">
        <v>481</v>
      </c>
      <c r="F714" s="42">
        <v>40</v>
      </c>
      <c r="G714" s="9">
        <v>40</v>
      </c>
      <c r="H714" s="45">
        <v>80</v>
      </c>
      <c r="I714" s="9">
        <v>80</v>
      </c>
      <c r="J714" s="48"/>
      <c r="K714" s="43">
        <v>40</v>
      </c>
      <c r="L714" s="45" t="s">
        <v>15</v>
      </c>
    </row>
    <row r="715" spans="1:12" ht="15.75" customHeight="1" x14ac:dyDescent="0.3">
      <c r="A715" s="21">
        <v>11</v>
      </c>
      <c r="B715" s="25">
        <v>45610</v>
      </c>
      <c r="C715" s="29" t="s">
        <v>315</v>
      </c>
      <c r="D715" s="36">
        <v>1</v>
      </c>
      <c r="E715" s="41" t="s">
        <v>20</v>
      </c>
      <c r="F715" s="42">
        <v>7.0000000000000007E-2</v>
      </c>
      <c r="G715" s="9">
        <v>7.0000000000000007E-2</v>
      </c>
      <c r="H715" s="45">
        <v>1</v>
      </c>
      <c r="I715" s="9">
        <v>1</v>
      </c>
      <c r="J715" s="48"/>
      <c r="K715" s="43">
        <v>0.92999999999999994</v>
      </c>
      <c r="L715" s="45" t="s">
        <v>15</v>
      </c>
    </row>
    <row r="716" spans="1:12" ht="15.75" customHeight="1" x14ac:dyDescent="0.3">
      <c r="A716" s="21">
        <v>11</v>
      </c>
      <c r="B716" s="25">
        <v>45610</v>
      </c>
      <c r="C716" s="29" t="s">
        <v>216</v>
      </c>
      <c r="D716" s="36">
        <v>1</v>
      </c>
      <c r="E716" s="41" t="s">
        <v>461</v>
      </c>
      <c r="F716" s="42">
        <v>0</v>
      </c>
      <c r="G716" s="9">
        <v>0</v>
      </c>
      <c r="H716" s="45">
        <v>70</v>
      </c>
      <c r="I716" s="9">
        <v>70</v>
      </c>
      <c r="J716" s="48"/>
      <c r="K716" s="43">
        <v>70</v>
      </c>
      <c r="L716" s="45" t="s">
        <v>15</v>
      </c>
    </row>
    <row r="717" spans="1:12" ht="15.75" customHeight="1" x14ac:dyDescent="0.3">
      <c r="A717" s="21">
        <v>11</v>
      </c>
      <c r="B717" s="25">
        <v>45610</v>
      </c>
      <c r="C717" s="29" t="s">
        <v>267</v>
      </c>
      <c r="D717" s="36">
        <v>1</v>
      </c>
      <c r="E717" s="41" t="s">
        <v>461</v>
      </c>
      <c r="F717" s="42">
        <v>0</v>
      </c>
      <c r="G717" s="9">
        <v>0</v>
      </c>
      <c r="H717" s="45">
        <v>70</v>
      </c>
      <c r="I717" s="9">
        <v>70</v>
      </c>
      <c r="J717" s="48"/>
      <c r="K717" s="43">
        <v>70</v>
      </c>
      <c r="L717" s="45" t="s">
        <v>15</v>
      </c>
    </row>
    <row r="718" spans="1:12" ht="15.75" customHeight="1" x14ac:dyDescent="0.3">
      <c r="A718" s="21">
        <v>11</v>
      </c>
      <c r="B718" s="25">
        <v>45610</v>
      </c>
      <c r="C718" s="29" t="s">
        <v>439</v>
      </c>
      <c r="D718" s="36">
        <v>1</v>
      </c>
      <c r="E718" s="41" t="s">
        <v>428</v>
      </c>
      <c r="F718" s="42" t="s">
        <v>72</v>
      </c>
      <c r="G718" s="9">
        <v>0</v>
      </c>
      <c r="H718" s="45">
        <v>5</v>
      </c>
      <c r="I718" s="9">
        <v>5</v>
      </c>
      <c r="J718" s="48"/>
      <c r="K718" s="43">
        <v>5</v>
      </c>
      <c r="L718" s="45" t="s">
        <v>15</v>
      </c>
    </row>
    <row r="719" spans="1:12" ht="15.75" customHeight="1" x14ac:dyDescent="0.3">
      <c r="A719" s="21">
        <v>11</v>
      </c>
      <c r="B719" s="25">
        <v>45610</v>
      </c>
      <c r="C719" s="29" t="s">
        <v>482</v>
      </c>
      <c r="D719" s="36">
        <v>1</v>
      </c>
      <c r="E719" s="41" t="s">
        <v>483</v>
      </c>
      <c r="F719" s="42">
        <v>10</v>
      </c>
      <c r="G719" s="9">
        <v>10</v>
      </c>
      <c r="H719" s="45">
        <v>20</v>
      </c>
      <c r="I719" s="9">
        <v>20</v>
      </c>
      <c r="J719" s="48"/>
      <c r="K719" s="43">
        <v>10</v>
      </c>
      <c r="L719" s="45" t="s">
        <v>15</v>
      </c>
    </row>
    <row r="720" spans="1:12" ht="15.75" customHeight="1" x14ac:dyDescent="0.3">
      <c r="A720" s="21">
        <v>11</v>
      </c>
      <c r="B720" s="25">
        <v>45610</v>
      </c>
      <c r="C720" s="29" t="s">
        <v>480</v>
      </c>
      <c r="D720" s="36">
        <v>2</v>
      </c>
      <c r="E720" s="41" t="s">
        <v>51</v>
      </c>
      <c r="F720" s="42">
        <v>0.125</v>
      </c>
      <c r="G720" s="9">
        <v>0.25</v>
      </c>
      <c r="H720" s="45">
        <v>0.25</v>
      </c>
      <c r="I720" s="9">
        <v>0.5</v>
      </c>
      <c r="J720" s="48"/>
      <c r="K720" s="43">
        <v>0.25</v>
      </c>
      <c r="L720" s="45" t="s">
        <v>15</v>
      </c>
    </row>
    <row r="721" spans="1:12" ht="15.75" customHeight="1" x14ac:dyDescent="0.3">
      <c r="A721" s="21">
        <v>11</v>
      </c>
      <c r="B721" s="25">
        <v>45610</v>
      </c>
      <c r="C721" s="29" t="s">
        <v>315</v>
      </c>
      <c r="D721" s="36">
        <v>4</v>
      </c>
      <c r="E721" s="41" t="s">
        <v>20</v>
      </c>
      <c r="F721" s="42">
        <v>7.0000000000000007E-2</v>
      </c>
      <c r="G721" s="9">
        <v>0.28000000000000003</v>
      </c>
      <c r="H721" s="45">
        <v>1</v>
      </c>
      <c r="I721" s="9">
        <v>4</v>
      </c>
      <c r="J721" s="48"/>
      <c r="K721" s="43">
        <v>3.7199999999999998</v>
      </c>
      <c r="L721" s="45" t="s">
        <v>15</v>
      </c>
    </row>
    <row r="722" spans="1:12" ht="15.75" customHeight="1" x14ac:dyDescent="0.3">
      <c r="A722" s="21">
        <v>11</v>
      </c>
      <c r="B722" s="25">
        <v>45610</v>
      </c>
      <c r="C722" s="29" t="s">
        <v>484</v>
      </c>
      <c r="D722" s="36">
        <v>1</v>
      </c>
      <c r="E722" s="41" t="s">
        <v>485</v>
      </c>
      <c r="F722" s="42">
        <v>8</v>
      </c>
      <c r="G722" s="9">
        <v>8</v>
      </c>
      <c r="H722" s="45">
        <v>15</v>
      </c>
      <c r="I722" s="9">
        <v>15</v>
      </c>
      <c r="J722" s="48"/>
      <c r="K722" s="43">
        <v>7</v>
      </c>
      <c r="L722" s="45" t="s">
        <v>15</v>
      </c>
    </row>
    <row r="723" spans="1:12" ht="15.75" customHeight="1" x14ac:dyDescent="0.3">
      <c r="A723" s="21">
        <v>11</v>
      </c>
      <c r="B723" s="25">
        <v>45610</v>
      </c>
      <c r="C723" s="29" t="s">
        <v>486</v>
      </c>
      <c r="D723" s="36">
        <v>2</v>
      </c>
      <c r="E723" s="41" t="s">
        <v>485</v>
      </c>
      <c r="F723" s="42">
        <v>3.5</v>
      </c>
      <c r="G723" s="9">
        <v>7</v>
      </c>
      <c r="H723" s="45">
        <v>7.5</v>
      </c>
      <c r="I723" s="9">
        <v>15</v>
      </c>
      <c r="J723" s="48"/>
      <c r="K723" s="43">
        <v>8</v>
      </c>
      <c r="L723" s="45" t="s">
        <v>15</v>
      </c>
    </row>
    <row r="724" spans="1:12" ht="15.75" customHeight="1" x14ac:dyDescent="0.3">
      <c r="A724" s="21">
        <v>11</v>
      </c>
      <c r="B724" s="25">
        <v>45610</v>
      </c>
      <c r="C724" s="29" t="s">
        <v>487</v>
      </c>
      <c r="D724" s="36">
        <v>1</v>
      </c>
      <c r="E724" s="41" t="s">
        <v>299</v>
      </c>
      <c r="F724" s="42" t="s">
        <v>72</v>
      </c>
      <c r="G724" s="9">
        <v>0</v>
      </c>
      <c r="H724" s="45">
        <v>135</v>
      </c>
      <c r="I724" s="9">
        <v>135</v>
      </c>
      <c r="J724" s="48"/>
      <c r="K724" s="43">
        <v>135</v>
      </c>
      <c r="L724" s="45" t="s">
        <v>15</v>
      </c>
    </row>
    <row r="725" spans="1:12" ht="15.75" customHeight="1" x14ac:dyDescent="0.3">
      <c r="A725" s="21">
        <v>11</v>
      </c>
      <c r="B725" s="25">
        <v>45611</v>
      </c>
      <c r="C725" s="29" t="s">
        <v>488</v>
      </c>
      <c r="D725" s="36">
        <v>1</v>
      </c>
      <c r="E725" s="41" t="s">
        <v>461</v>
      </c>
      <c r="F725" s="42">
        <v>144</v>
      </c>
      <c r="G725" s="9">
        <v>144</v>
      </c>
      <c r="H725" s="45">
        <v>200</v>
      </c>
      <c r="I725" s="9">
        <v>200</v>
      </c>
      <c r="J725" s="48"/>
      <c r="K725" s="43">
        <v>56</v>
      </c>
      <c r="L725" s="45" t="s">
        <v>15</v>
      </c>
    </row>
    <row r="726" spans="1:12" ht="15.75" customHeight="1" x14ac:dyDescent="0.3">
      <c r="A726" s="21">
        <v>11</v>
      </c>
      <c r="B726" s="25">
        <v>45611</v>
      </c>
      <c r="C726" s="29" t="s">
        <v>243</v>
      </c>
      <c r="D726" s="36">
        <v>1</v>
      </c>
      <c r="E726" s="41" t="s">
        <v>20</v>
      </c>
      <c r="F726" s="42">
        <v>23.5</v>
      </c>
      <c r="G726" s="9">
        <v>23.5</v>
      </c>
      <c r="H726" s="45">
        <v>35</v>
      </c>
      <c r="I726" s="9">
        <v>35</v>
      </c>
      <c r="J726" s="48"/>
      <c r="K726" s="43">
        <v>11.5</v>
      </c>
      <c r="L726" s="45" t="s">
        <v>15</v>
      </c>
    </row>
    <row r="727" spans="1:12" ht="15.75" customHeight="1" x14ac:dyDescent="0.3">
      <c r="A727" s="21">
        <v>11</v>
      </c>
      <c r="B727" s="25">
        <v>45612</v>
      </c>
      <c r="C727" s="29" t="s">
        <v>392</v>
      </c>
      <c r="D727" s="36">
        <v>1</v>
      </c>
      <c r="E727" s="41" t="s">
        <v>20</v>
      </c>
      <c r="F727" s="42">
        <v>10</v>
      </c>
      <c r="G727" s="9">
        <v>10</v>
      </c>
      <c r="H727" s="45">
        <v>20</v>
      </c>
      <c r="I727" s="9">
        <v>20</v>
      </c>
      <c r="J727" s="48"/>
      <c r="K727" s="43">
        <v>10</v>
      </c>
      <c r="L727" s="45" t="s">
        <v>15</v>
      </c>
    </row>
    <row r="728" spans="1:12" ht="15.75" customHeight="1" x14ac:dyDescent="0.3">
      <c r="A728" s="21">
        <v>11</v>
      </c>
      <c r="B728" s="25">
        <v>45612</v>
      </c>
      <c r="C728" s="29" t="s">
        <v>315</v>
      </c>
      <c r="D728" s="36">
        <v>4</v>
      </c>
      <c r="E728" s="41" t="s">
        <v>20</v>
      </c>
      <c r="F728" s="42">
        <v>7.0000000000000007E-2</v>
      </c>
      <c r="G728" s="9">
        <v>0.28000000000000003</v>
      </c>
      <c r="H728" s="45">
        <v>1</v>
      </c>
      <c r="I728" s="9">
        <v>4</v>
      </c>
      <c r="J728" s="48"/>
      <c r="K728" s="43">
        <v>3.7199999999999998</v>
      </c>
      <c r="L728" s="45" t="s">
        <v>15</v>
      </c>
    </row>
    <row r="729" spans="1:12" ht="15.75" customHeight="1" x14ac:dyDescent="0.3">
      <c r="A729" s="21">
        <v>11</v>
      </c>
      <c r="B729" s="25">
        <v>45615</v>
      </c>
      <c r="C729" s="29" t="s">
        <v>315</v>
      </c>
      <c r="D729" s="36">
        <v>3</v>
      </c>
      <c r="E729" s="41" t="s">
        <v>51</v>
      </c>
      <c r="F729" s="42">
        <v>7.0000000000000007E-2</v>
      </c>
      <c r="G729" s="9">
        <v>0.21000000000000002</v>
      </c>
      <c r="H729" s="45">
        <v>1</v>
      </c>
      <c r="I729" s="9">
        <v>3</v>
      </c>
      <c r="J729" s="48"/>
      <c r="K729" s="43">
        <v>2.79</v>
      </c>
      <c r="L729" s="45" t="s">
        <v>15</v>
      </c>
    </row>
    <row r="730" spans="1:12" ht="15.75" customHeight="1" x14ac:dyDescent="0.3">
      <c r="A730" s="21">
        <v>11</v>
      </c>
      <c r="B730" s="25">
        <v>45615</v>
      </c>
      <c r="C730" s="29" t="s">
        <v>267</v>
      </c>
      <c r="D730" s="36">
        <v>2</v>
      </c>
      <c r="E730" s="41" t="s">
        <v>20</v>
      </c>
      <c r="F730" s="42">
        <v>0</v>
      </c>
      <c r="G730" s="9">
        <v>0</v>
      </c>
      <c r="H730" s="45">
        <v>5</v>
      </c>
      <c r="I730" s="9">
        <v>10</v>
      </c>
      <c r="J730" s="48"/>
      <c r="K730" s="43">
        <v>10</v>
      </c>
      <c r="L730" s="45" t="s">
        <v>15</v>
      </c>
    </row>
    <row r="731" spans="1:12" ht="15.75" customHeight="1" x14ac:dyDescent="0.3">
      <c r="A731" s="21">
        <v>11</v>
      </c>
      <c r="B731" s="25">
        <v>45615</v>
      </c>
      <c r="C731" s="29" t="s">
        <v>315</v>
      </c>
      <c r="D731" s="36">
        <v>12</v>
      </c>
      <c r="E731" s="41" t="s">
        <v>489</v>
      </c>
      <c r="F731" s="42">
        <v>7.0000000000000007E-2</v>
      </c>
      <c r="G731" s="9">
        <v>0.84000000000000008</v>
      </c>
      <c r="H731" s="45">
        <v>1</v>
      </c>
      <c r="I731" s="9">
        <v>12</v>
      </c>
      <c r="J731" s="48"/>
      <c r="K731" s="43">
        <v>11.16</v>
      </c>
      <c r="L731" s="45" t="s">
        <v>15</v>
      </c>
    </row>
    <row r="732" spans="1:12" ht="15.75" customHeight="1" x14ac:dyDescent="0.3">
      <c r="A732" s="21">
        <v>11</v>
      </c>
      <c r="B732" s="25">
        <v>45615</v>
      </c>
      <c r="C732" s="29" t="s">
        <v>264</v>
      </c>
      <c r="D732" s="36">
        <v>1</v>
      </c>
      <c r="E732" s="41" t="s">
        <v>445</v>
      </c>
      <c r="F732" s="42">
        <v>20</v>
      </c>
      <c r="G732" s="9">
        <v>20</v>
      </c>
      <c r="H732" s="45">
        <v>70</v>
      </c>
      <c r="I732" s="9">
        <v>70</v>
      </c>
      <c r="J732" s="48"/>
      <c r="K732" s="43">
        <v>50</v>
      </c>
      <c r="L732" s="45" t="s">
        <v>15</v>
      </c>
    </row>
    <row r="733" spans="1:12" ht="15.75" customHeight="1" x14ac:dyDescent="0.3">
      <c r="A733" s="21">
        <v>11</v>
      </c>
      <c r="B733" s="25">
        <v>45616</v>
      </c>
      <c r="C733" s="29" t="s">
        <v>315</v>
      </c>
      <c r="D733" s="36">
        <v>5</v>
      </c>
      <c r="E733" s="41" t="s">
        <v>20</v>
      </c>
      <c r="F733" s="42">
        <v>7.0000000000000007E-2</v>
      </c>
      <c r="G733" s="9">
        <v>0.35000000000000003</v>
      </c>
      <c r="H733" s="45">
        <v>1</v>
      </c>
      <c r="I733" s="9">
        <v>5</v>
      </c>
      <c r="J733" s="48"/>
      <c r="K733" s="43">
        <v>4.6500000000000004</v>
      </c>
      <c r="L733" s="45" t="s">
        <v>15</v>
      </c>
    </row>
    <row r="734" spans="1:12" ht="15.75" customHeight="1" x14ac:dyDescent="0.3">
      <c r="A734" s="21">
        <v>11</v>
      </c>
      <c r="B734" s="25">
        <v>45617</v>
      </c>
      <c r="C734" s="29" t="s">
        <v>378</v>
      </c>
      <c r="D734" s="36">
        <v>1</v>
      </c>
      <c r="E734" s="41" t="s">
        <v>20</v>
      </c>
      <c r="F734" s="42">
        <v>17</v>
      </c>
      <c r="G734" s="9">
        <v>17</v>
      </c>
      <c r="H734" s="45">
        <v>30</v>
      </c>
      <c r="I734" s="9">
        <v>30</v>
      </c>
      <c r="J734" s="48"/>
      <c r="K734" s="43">
        <v>13</v>
      </c>
      <c r="L734" s="45" t="s">
        <v>15</v>
      </c>
    </row>
    <row r="735" spans="1:12" ht="15.75" customHeight="1" x14ac:dyDescent="0.3">
      <c r="A735" s="21">
        <v>11</v>
      </c>
      <c r="B735" s="25">
        <v>45617</v>
      </c>
      <c r="C735" s="29" t="s">
        <v>315</v>
      </c>
      <c r="D735" s="36">
        <v>3</v>
      </c>
      <c r="E735" s="41" t="s">
        <v>20</v>
      </c>
      <c r="F735" s="42">
        <v>7.0000000000000007E-2</v>
      </c>
      <c r="G735" s="9">
        <v>0.21000000000000002</v>
      </c>
      <c r="H735" s="45">
        <v>1</v>
      </c>
      <c r="I735" s="9">
        <v>3</v>
      </c>
      <c r="J735" s="48"/>
      <c r="K735" s="43">
        <v>2.79</v>
      </c>
      <c r="L735" s="45" t="s">
        <v>15</v>
      </c>
    </row>
    <row r="736" spans="1:12" ht="15.75" customHeight="1" x14ac:dyDescent="0.3">
      <c r="A736" s="21">
        <v>11</v>
      </c>
      <c r="B736" s="25">
        <v>45618</v>
      </c>
      <c r="C736" s="29" t="s">
        <v>267</v>
      </c>
      <c r="D736" s="36">
        <v>1</v>
      </c>
      <c r="E736" s="41" t="s">
        <v>20</v>
      </c>
      <c r="F736" s="42">
        <v>0</v>
      </c>
      <c r="G736" s="9">
        <v>0</v>
      </c>
      <c r="H736" s="45">
        <v>10</v>
      </c>
      <c r="I736" s="9">
        <v>10</v>
      </c>
      <c r="J736" s="48"/>
      <c r="K736" s="43">
        <v>10</v>
      </c>
      <c r="L736" s="45" t="s">
        <v>15</v>
      </c>
    </row>
    <row r="737" spans="1:12" ht="15.75" customHeight="1" x14ac:dyDescent="0.3">
      <c r="A737" s="21">
        <v>11</v>
      </c>
      <c r="B737" s="25">
        <v>45618</v>
      </c>
      <c r="C737" s="29" t="s">
        <v>267</v>
      </c>
      <c r="D737" s="36">
        <v>1</v>
      </c>
      <c r="E737" s="41" t="s">
        <v>428</v>
      </c>
      <c r="F737" s="42">
        <v>0</v>
      </c>
      <c r="G737" s="9">
        <v>0</v>
      </c>
      <c r="H737" s="45">
        <v>40</v>
      </c>
      <c r="I737" s="9">
        <v>40</v>
      </c>
      <c r="J737" s="48"/>
      <c r="K737" s="43">
        <v>40</v>
      </c>
      <c r="L737" s="45" t="s">
        <v>15</v>
      </c>
    </row>
    <row r="738" spans="1:12" ht="15.75" customHeight="1" x14ac:dyDescent="0.3">
      <c r="A738" s="21">
        <v>11</v>
      </c>
      <c r="B738" s="25">
        <v>45618</v>
      </c>
      <c r="C738" s="29" t="s">
        <v>267</v>
      </c>
      <c r="D738" s="36">
        <v>1</v>
      </c>
      <c r="E738" s="41" t="s">
        <v>299</v>
      </c>
      <c r="F738" s="42">
        <v>0</v>
      </c>
      <c r="G738" s="9">
        <v>0</v>
      </c>
      <c r="H738" s="45">
        <v>72</v>
      </c>
      <c r="I738" s="9">
        <v>72</v>
      </c>
      <c r="J738" s="48"/>
      <c r="K738" s="43">
        <v>72</v>
      </c>
      <c r="L738" s="45" t="s">
        <v>15</v>
      </c>
    </row>
    <row r="739" spans="1:12" ht="15.75" customHeight="1" x14ac:dyDescent="0.3">
      <c r="A739" s="21">
        <v>11</v>
      </c>
      <c r="B739" s="25">
        <v>45618</v>
      </c>
      <c r="C739" s="29" t="s">
        <v>313</v>
      </c>
      <c r="D739" s="36">
        <v>1</v>
      </c>
      <c r="E739" s="41" t="s">
        <v>20</v>
      </c>
      <c r="F739" s="42">
        <v>3</v>
      </c>
      <c r="G739" s="9">
        <v>3</v>
      </c>
      <c r="H739" s="45">
        <v>15</v>
      </c>
      <c r="I739" s="9">
        <v>15</v>
      </c>
      <c r="J739" s="48"/>
      <c r="K739" s="43">
        <v>12</v>
      </c>
      <c r="L739" s="45" t="s">
        <v>15</v>
      </c>
    </row>
    <row r="740" spans="1:12" ht="15.75" customHeight="1" x14ac:dyDescent="0.3">
      <c r="A740" s="21">
        <v>11</v>
      </c>
      <c r="B740" s="25">
        <v>45618</v>
      </c>
      <c r="C740" s="29" t="s">
        <v>490</v>
      </c>
      <c r="D740" s="36">
        <v>1</v>
      </c>
      <c r="E740" s="41" t="s">
        <v>20</v>
      </c>
      <c r="F740" s="42" t="s">
        <v>72</v>
      </c>
      <c r="G740" s="9">
        <v>0</v>
      </c>
      <c r="H740" s="45">
        <v>25</v>
      </c>
      <c r="I740" s="9">
        <v>25</v>
      </c>
      <c r="J740" s="48"/>
      <c r="K740" s="43">
        <v>25</v>
      </c>
      <c r="L740" s="45" t="s">
        <v>15</v>
      </c>
    </row>
    <row r="741" spans="1:12" ht="15.75" customHeight="1" x14ac:dyDescent="0.3">
      <c r="A741" s="21">
        <v>11</v>
      </c>
      <c r="B741" s="25">
        <v>45618</v>
      </c>
      <c r="C741" s="29" t="s">
        <v>491</v>
      </c>
      <c r="D741" s="36">
        <v>1</v>
      </c>
      <c r="E741" s="41" t="s">
        <v>51</v>
      </c>
      <c r="F741" s="42">
        <v>0.8</v>
      </c>
      <c r="G741" s="9">
        <v>0.8</v>
      </c>
      <c r="H741" s="45">
        <v>4</v>
      </c>
      <c r="I741" s="9">
        <v>4</v>
      </c>
      <c r="J741" s="48"/>
      <c r="K741" s="43">
        <v>3.2</v>
      </c>
      <c r="L741" s="45" t="s">
        <v>15</v>
      </c>
    </row>
    <row r="742" spans="1:12" ht="15.75" customHeight="1" x14ac:dyDescent="0.3">
      <c r="A742" s="21">
        <v>11</v>
      </c>
      <c r="B742" s="25">
        <v>45619</v>
      </c>
      <c r="C742" s="29" t="s">
        <v>315</v>
      </c>
      <c r="D742" s="36">
        <v>2</v>
      </c>
      <c r="E742" s="41" t="s">
        <v>20</v>
      </c>
      <c r="F742" s="42">
        <v>7.0000000000000007E-2</v>
      </c>
      <c r="G742" s="9">
        <v>0.14000000000000001</v>
      </c>
      <c r="H742" s="45">
        <v>1</v>
      </c>
      <c r="I742" s="9">
        <v>2</v>
      </c>
      <c r="J742" s="48"/>
      <c r="K742" s="43">
        <v>1.8599999999999999</v>
      </c>
      <c r="L742" s="45" t="s">
        <v>15</v>
      </c>
    </row>
    <row r="743" spans="1:12" ht="15.75" customHeight="1" x14ac:dyDescent="0.3">
      <c r="A743" s="21">
        <v>11</v>
      </c>
      <c r="B743" s="25">
        <v>45619</v>
      </c>
      <c r="C743" s="29" t="s">
        <v>480</v>
      </c>
      <c r="D743" s="36">
        <v>4</v>
      </c>
      <c r="E743" s="41" t="s">
        <v>492</v>
      </c>
      <c r="F743" s="42">
        <v>0.125</v>
      </c>
      <c r="G743" s="9">
        <v>0.5</v>
      </c>
      <c r="H743" s="45">
        <v>0.25</v>
      </c>
      <c r="I743" s="9">
        <v>1</v>
      </c>
      <c r="J743" s="48"/>
      <c r="K743" s="43">
        <v>0.5</v>
      </c>
      <c r="L743" s="45" t="s">
        <v>15</v>
      </c>
    </row>
    <row r="744" spans="1:12" ht="15.75" customHeight="1" x14ac:dyDescent="0.3">
      <c r="A744" s="21">
        <v>11</v>
      </c>
      <c r="B744" s="25">
        <v>45619</v>
      </c>
      <c r="C744" s="29" t="s">
        <v>480</v>
      </c>
      <c r="D744" s="36">
        <v>2</v>
      </c>
      <c r="E744" s="41" t="s">
        <v>51</v>
      </c>
      <c r="F744" s="42">
        <v>0.125</v>
      </c>
      <c r="G744" s="9">
        <v>0.25</v>
      </c>
      <c r="H744" s="45">
        <v>0.25</v>
      </c>
      <c r="I744" s="9">
        <v>0.5</v>
      </c>
      <c r="J744" s="48"/>
      <c r="K744" s="43">
        <v>0.25</v>
      </c>
      <c r="L744" s="45" t="s">
        <v>15</v>
      </c>
    </row>
    <row r="745" spans="1:12" ht="15.75" customHeight="1" x14ac:dyDescent="0.3">
      <c r="A745" s="21">
        <v>11</v>
      </c>
      <c r="B745" s="25">
        <v>45619</v>
      </c>
      <c r="C745" s="29" t="s">
        <v>480</v>
      </c>
      <c r="D745" s="36">
        <v>8</v>
      </c>
      <c r="E745" s="41" t="s">
        <v>493</v>
      </c>
      <c r="F745" s="42">
        <v>0.125</v>
      </c>
      <c r="G745" s="9">
        <v>1</v>
      </c>
      <c r="H745" s="45">
        <v>0.25</v>
      </c>
      <c r="I745" s="9">
        <v>2</v>
      </c>
      <c r="J745" s="48"/>
      <c r="K745" s="43">
        <v>1</v>
      </c>
      <c r="L745" s="45" t="s">
        <v>15</v>
      </c>
    </row>
    <row r="746" spans="1:12" ht="15.75" customHeight="1" x14ac:dyDescent="0.3">
      <c r="A746" s="21">
        <v>11</v>
      </c>
      <c r="B746" s="25">
        <v>45621</v>
      </c>
      <c r="C746" s="29" t="s">
        <v>378</v>
      </c>
      <c r="D746" s="36">
        <v>1</v>
      </c>
      <c r="E746" s="41" t="s">
        <v>20</v>
      </c>
      <c r="F746" s="42">
        <v>17</v>
      </c>
      <c r="G746" s="9">
        <v>17</v>
      </c>
      <c r="H746" s="45">
        <v>30</v>
      </c>
      <c r="I746" s="9">
        <v>30</v>
      </c>
      <c r="J746" s="48"/>
      <c r="K746" s="43">
        <v>13</v>
      </c>
      <c r="L746" s="45" t="s">
        <v>15</v>
      </c>
    </row>
    <row r="747" spans="1:12" ht="15.75" customHeight="1" x14ac:dyDescent="0.3">
      <c r="A747" s="21">
        <v>11</v>
      </c>
      <c r="B747" s="25">
        <v>45621</v>
      </c>
      <c r="C747" s="29" t="s">
        <v>315</v>
      </c>
      <c r="D747" s="36">
        <v>2</v>
      </c>
      <c r="E747" s="41" t="s">
        <v>386</v>
      </c>
      <c r="F747" s="42">
        <v>7.0000000000000007E-2</v>
      </c>
      <c r="G747" s="9">
        <v>0.14000000000000001</v>
      </c>
      <c r="H747" s="45">
        <v>1</v>
      </c>
      <c r="I747" s="9">
        <v>2</v>
      </c>
      <c r="J747" s="48"/>
      <c r="K747" s="43">
        <v>1.8599999999999999</v>
      </c>
      <c r="L747" s="45" t="s">
        <v>15</v>
      </c>
    </row>
    <row r="748" spans="1:12" ht="15.75" customHeight="1" x14ac:dyDescent="0.3">
      <c r="A748" s="21">
        <v>11</v>
      </c>
      <c r="B748" s="25">
        <v>45621</v>
      </c>
      <c r="C748" s="29" t="s">
        <v>494</v>
      </c>
      <c r="D748" s="36">
        <v>1</v>
      </c>
      <c r="E748" s="41" t="s">
        <v>334</v>
      </c>
      <c r="F748" s="42">
        <v>26.49</v>
      </c>
      <c r="G748" s="9">
        <v>26.49</v>
      </c>
      <c r="H748" s="45">
        <v>50</v>
      </c>
      <c r="I748" s="9">
        <v>50</v>
      </c>
      <c r="J748" s="48"/>
      <c r="K748" s="43">
        <v>23.51</v>
      </c>
      <c r="L748" s="45" t="s">
        <v>15</v>
      </c>
    </row>
    <row r="749" spans="1:12" ht="15.75" customHeight="1" x14ac:dyDescent="0.3">
      <c r="A749" s="21">
        <v>11</v>
      </c>
      <c r="B749" s="25">
        <v>45621</v>
      </c>
      <c r="C749" s="29" t="s">
        <v>495</v>
      </c>
      <c r="D749" s="36">
        <v>6</v>
      </c>
      <c r="E749" s="41" t="s">
        <v>20</v>
      </c>
      <c r="F749" s="42">
        <v>0.29425000000000001</v>
      </c>
      <c r="G749" s="9">
        <v>1.7655000000000001</v>
      </c>
      <c r="H749" s="45">
        <v>5</v>
      </c>
      <c r="I749" s="9">
        <v>30</v>
      </c>
      <c r="J749" s="48"/>
      <c r="K749" s="43">
        <v>28.234500000000001</v>
      </c>
      <c r="L749" s="45" t="s">
        <v>15</v>
      </c>
    </row>
    <row r="750" spans="1:12" ht="15.75" customHeight="1" x14ac:dyDescent="0.3">
      <c r="A750" s="21">
        <v>11</v>
      </c>
      <c r="B750" s="25">
        <v>45621</v>
      </c>
      <c r="C750" s="29" t="s">
        <v>392</v>
      </c>
      <c r="D750" s="36">
        <v>1</v>
      </c>
      <c r="E750" s="41" t="s">
        <v>20</v>
      </c>
      <c r="F750" s="42">
        <v>10</v>
      </c>
      <c r="G750" s="9">
        <v>10</v>
      </c>
      <c r="H750" s="45">
        <v>20</v>
      </c>
      <c r="I750" s="9">
        <v>20</v>
      </c>
      <c r="J750" s="48"/>
      <c r="K750" s="43">
        <v>10</v>
      </c>
      <c r="L750" s="45" t="s">
        <v>15</v>
      </c>
    </row>
    <row r="751" spans="1:12" ht="15.75" customHeight="1" x14ac:dyDescent="0.3">
      <c r="A751" s="21">
        <v>11</v>
      </c>
      <c r="B751" s="25">
        <v>45621</v>
      </c>
      <c r="C751" s="29" t="s">
        <v>216</v>
      </c>
      <c r="D751" s="36">
        <v>1</v>
      </c>
      <c r="E751" s="41" t="s">
        <v>397</v>
      </c>
      <c r="F751" s="42">
        <v>0</v>
      </c>
      <c r="G751" s="9">
        <v>0</v>
      </c>
      <c r="H751" s="45">
        <v>50</v>
      </c>
      <c r="I751" s="9">
        <v>50</v>
      </c>
      <c r="J751" s="48"/>
      <c r="K751" s="43">
        <v>50</v>
      </c>
      <c r="L751" s="45" t="s">
        <v>15</v>
      </c>
    </row>
    <row r="752" spans="1:12" ht="15.75" customHeight="1" x14ac:dyDescent="0.3">
      <c r="A752" s="21">
        <v>11</v>
      </c>
      <c r="B752" s="25">
        <v>45621</v>
      </c>
      <c r="C752" s="29" t="s">
        <v>496</v>
      </c>
      <c r="D752" s="36">
        <v>1</v>
      </c>
      <c r="E752" s="41" t="s">
        <v>397</v>
      </c>
      <c r="F752" s="42" t="s">
        <v>72</v>
      </c>
      <c r="G752" s="9">
        <v>0</v>
      </c>
      <c r="H752" s="45">
        <v>100</v>
      </c>
      <c r="I752" s="9">
        <v>100</v>
      </c>
      <c r="J752" s="48"/>
      <c r="K752" s="43">
        <v>100</v>
      </c>
      <c r="L752" s="45" t="s">
        <v>15</v>
      </c>
    </row>
    <row r="753" spans="1:12" ht="15.75" customHeight="1" x14ac:dyDescent="0.3">
      <c r="A753" s="21">
        <v>11</v>
      </c>
      <c r="B753" s="25">
        <v>45623</v>
      </c>
      <c r="C753" s="29" t="s">
        <v>267</v>
      </c>
      <c r="D753" s="36">
        <v>1</v>
      </c>
      <c r="E753" s="41" t="s">
        <v>497</v>
      </c>
      <c r="F753" s="42">
        <v>0</v>
      </c>
      <c r="G753" s="9">
        <v>0</v>
      </c>
      <c r="H753" s="45">
        <v>15</v>
      </c>
      <c r="I753" s="9">
        <v>15</v>
      </c>
      <c r="J753" s="48"/>
      <c r="K753" s="43">
        <v>15</v>
      </c>
      <c r="L753" s="45" t="s">
        <v>15</v>
      </c>
    </row>
    <row r="754" spans="1:12" ht="15.75" customHeight="1" x14ac:dyDescent="0.3">
      <c r="A754" s="21">
        <v>11</v>
      </c>
      <c r="B754" s="25">
        <v>45623</v>
      </c>
      <c r="C754" s="29" t="s">
        <v>367</v>
      </c>
      <c r="D754" s="36">
        <v>1</v>
      </c>
      <c r="E754" s="41" t="s">
        <v>497</v>
      </c>
      <c r="F754" s="42">
        <v>14</v>
      </c>
      <c r="G754" s="9">
        <v>14</v>
      </c>
      <c r="H754" s="45">
        <v>30</v>
      </c>
      <c r="I754" s="9">
        <v>30</v>
      </c>
      <c r="J754" s="48"/>
      <c r="K754" s="43">
        <v>16</v>
      </c>
      <c r="L754" s="45" t="s">
        <v>15</v>
      </c>
    </row>
    <row r="755" spans="1:12" ht="15.75" customHeight="1" x14ac:dyDescent="0.3">
      <c r="A755" s="21">
        <v>11</v>
      </c>
      <c r="B755" s="25">
        <v>45624</v>
      </c>
      <c r="C755" s="29" t="s">
        <v>267</v>
      </c>
      <c r="D755" s="36">
        <v>1</v>
      </c>
      <c r="E755" s="41" t="s">
        <v>498</v>
      </c>
      <c r="F755" s="42">
        <v>0</v>
      </c>
      <c r="G755" s="9">
        <v>0</v>
      </c>
      <c r="H755" s="45">
        <v>250</v>
      </c>
      <c r="I755" s="9">
        <v>250</v>
      </c>
      <c r="J755" s="48"/>
      <c r="K755" s="43">
        <v>250</v>
      </c>
      <c r="L755" s="45" t="s">
        <v>15</v>
      </c>
    </row>
    <row r="756" spans="1:12" ht="15.75" customHeight="1" x14ac:dyDescent="0.3">
      <c r="A756" s="21">
        <v>11</v>
      </c>
      <c r="B756" s="25">
        <v>45624</v>
      </c>
      <c r="C756" s="29" t="s">
        <v>315</v>
      </c>
      <c r="D756" s="36">
        <v>6</v>
      </c>
      <c r="E756" s="41" t="s">
        <v>20</v>
      </c>
      <c r="F756" s="42">
        <v>7.0000000000000007E-2</v>
      </c>
      <c r="G756" s="9">
        <v>0.42000000000000004</v>
      </c>
      <c r="H756" s="45">
        <v>1</v>
      </c>
      <c r="I756" s="9">
        <v>6</v>
      </c>
      <c r="J756" s="48"/>
      <c r="K756" s="43">
        <v>5.58</v>
      </c>
      <c r="L756" s="45" t="s">
        <v>15</v>
      </c>
    </row>
    <row r="757" spans="1:12" ht="15.75" customHeight="1" x14ac:dyDescent="0.3">
      <c r="A757" s="21">
        <v>11</v>
      </c>
      <c r="B757" s="25">
        <v>45624</v>
      </c>
      <c r="C757" s="29" t="s">
        <v>231</v>
      </c>
      <c r="D757" s="36">
        <v>1</v>
      </c>
      <c r="E757" s="41" t="s">
        <v>483</v>
      </c>
      <c r="F757" s="42">
        <v>7</v>
      </c>
      <c r="G757" s="9">
        <v>7</v>
      </c>
      <c r="H757" s="45">
        <v>20</v>
      </c>
      <c r="I757" s="9">
        <v>20</v>
      </c>
      <c r="J757" s="48"/>
      <c r="K757" s="43">
        <v>13</v>
      </c>
      <c r="L757" s="45" t="s">
        <v>15</v>
      </c>
    </row>
    <row r="758" spans="1:12" ht="15.75" customHeight="1" x14ac:dyDescent="0.3">
      <c r="A758" s="21">
        <v>11</v>
      </c>
      <c r="B758" s="25">
        <v>45625</v>
      </c>
      <c r="C758" s="29" t="s">
        <v>267</v>
      </c>
      <c r="D758" s="36">
        <v>1</v>
      </c>
      <c r="E758" s="41" t="s">
        <v>299</v>
      </c>
      <c r="F758" s="42">
        <v>0</v>
      </c>
      <c r="G758" s="9">
        <v>0</v>
      </c>
      <c r="H758" s="45">
        <v>65</v>
      </c>
      <c r="I758" s="9">
        <v>65</v>
      </c>
      <c r="J758" s="48"/>
      <c r="K758" s="43">
        <v>65</v>
      </c>
      <c r="L758" s="45" t="s">
        <v>15</v>
      </c>
    </row>
    <row r="759" spans="1:12" ht="15.75" customHeight="1" x14ac:dyDescent="0.3">
      <c r="A759" s="21">
        <v>11</v>
      </c>
      <c r="B759" s="25">
        <v>45626</v>
      </c>
      <c r="C759" s="29" t="s">
        <v>499</v>
      </c>
      <c r="D759" s="36">
        <v>1</v>
      </c>
      <c r="E759" s="41" t="s">
        <v>340</v>
      </c>
      <c r="F759" s="42">
        <v>5.5</v>
      </c>
      <c r="G759" s="9">
        <v>5.5</v>
      </c>
      <c r="H759" s="45">
        <v>10</v>
      </c>
      <c r="I759" s="9">
        <v>10</v>
      </c>
      <c r="J759" s="48"/>
      <c r="K759" s="43">
        <v>4.5</v>
      </c>
      <c r="L759" s="45" t="s">
        <v>15</v>
      </c>
    </row>
    <row r="760" spans="1:12" ht="15.75" customHeight="1" x14ac:dyDescent="0.3">
      <c r="A760" s="21">
        <v>11</v>
      </c>
      <c r="B760" s="25">
        <v>45626</v>
      </c>
      <c r="C760" s="29" t="s">
        <v>500</v>
      </c>
      <c r="D760" s="36">
        <v>1</v>
      </c>
      <c r="E760" s="41" t="s">
        <v>340</v>
      </c>
      <c r="F760" s="42">
        <v>6.5</v>
      </c>
      <c r="G760" s="9">
        <v>6.5</v>
      </c>
      <c r="H760" s="45">
        <v>15</v>
      </c>
      <c r="I760" s="9">
        <v>15</v>
      </c>
      <c r="J760" s="48"/>
      <c r="K760" s="43">
        <v>8.5</v>
      </c>
      <c r="L760" s="45" t="s">
        <v>15</v>
      </c>
    </row>
    <row r="761" spans="1:12" ht="15.75" customHeight="1" x14ac:dyDescent="0.3">
      <c r="A761" s="21">
        <v>11</v>
      </c>
      <c r="B761" s="25">
        <v>45626</v>
      </c>
      <c r="C761" s="29" t="s">
        <v>486</v>
      </c>
      <c r="D761" s="36">
        <v>1</v>
      </c>
      <c r="E761" s="41" t="s">
        <v>340</v>
      </c>
      <c r="F761" s="42">
        <v>3.5</v>
      </c>
      <c r="G761" s="9">
        <v>3.5</v>
      </c>
      <c r="H761" s="45">
        <v>5</v>
      </c>
      <c r="I761" s="9">
        <v>5</v>
      </c>
      <c r="J761" s="48"/>
      <c r="K761" s="43">
        <v>1.5</v>
      </c>
      <c r="L761" s="45" t="s">
        <v>15</v>
      </c>
    </row>
    <row r="762" spans="1:12" ht="15.75" customHeight="1" x14ac:dyDescent="0.3">
      <c r="A762" s="21">
        <v>11</v>
      </c>
      <c r="B762" s="25">
        <v>45626</v>
      </c>
      <c r="C762" s="29" t="s">
        <v>501</v>
      </c>
      <c r="D762" s="36">
        <v>1</v>
      </c>
      <c r="E762" s="41" t="s">
        <v>340</v>
      </c>
      <c r="F762" s="42">
        <v>14.135</v>
      </c>
      <c r="G762" s="9">
        <v>14.135</v>
      </c>
      <c r="H762" s="45">
        <v>45</v>
      </c>
      <c r="I762" s="9">
        <v>45</v>
      </c>
      <c r="J762" s="48"/>
      <c r="K762" s="43">
        <v>30.865000000000002</v>
      </c>
      <c r="L762" s="45" t="s">
        <v>15</v>
      </c>
    </row>
    <row r="763" spans="1:12" ht="15.75" customHeight="1" x14ac:dyDescent="0.3">
      <c r="A763" s="21">
        <v>12</v>
      </c>
      <c r="B763" s="25">
        <v>45628</v>
      </c>
      <c r="C763" s="29" t="s">
        <v>392</v>
      </c>
      <c r="D763" s="36">
        <v>1</v>
      </c>
      <c r="E763" s="41" t="s">
        <v>20</v>
      </c>
      <c r="F763" s="42">
        <v>10</v>
      </c>
      <c r="G763" s="9">
        <v>10</v>
      </c>
      <c r="H763" s="45">
        <v>20</v>
      </c>
      <c r="I763" s="9">
        <v>20</v>
      </c>
      <c r="J763" s="48"/>
      <c r="K763" s="43">
        <v>10</v>
      </c>
      <c r="L763" s="45" t="s">
        <v>15</v>
      </c>
    </row>
    <row r="764" spans="1:12" ht="15.75" customHeight="1" x14ac:dyDescent="0.3">
      <c r="A764" s="21">
        <v>12</v>
      </c>
      <c r="B764" s="25">
        <v>45628</v>
      </c>
      <c r="C764" s="29" t="s">
        <v>502</v>
      </c>
      <c r="D764" s="36">
        <v>1</v>
      </c>
      <c r="E764" s="41" t="s">
        <v>503</v>
      </c>
      <c r="F764" s="42">
        <v>18</v>
      </c>
      <c r="G764" s="9">
        <v>18</v>
      </c>
      <c r="H764" s="45">
        <v>40</v>
      </c>
      <c r="I764" s="9">
        <v>40</v>
      </c>
      <c r="J764" s="48"/>
      <c r="K764" s="43">
        <v>22</v>
      </c>
      <c r="L764" s="45" t="s">
        <v>15</v>
      </c>
    </row>
    <row r="765" spans="1:12" ht="15.75" customHeight="1" x14ac:dyDescent="0.3">
      <c r="A765" s="21">
        <v>12</v>
      </c>
      <c r="B765" s="25">
        <v>45628</v>
      </c>
      <c r="C765" s="29" t="s">
        <v>315</v>
      </c>
      <c r="D765" s="36">
        <v>1</v>
      </c>
      <c r="E765" s="41" t="s">
        <v>20</v>
      </c>
      <c r="F765" s="42">
        <v>7.0000000000000007E-2</v>
      </c>
      <c r="G765" s="9">
        <v>7.0000000000000007E-2</v>
      </c>
      <c r="H765" s="45">
        <v>1</v>
      </c>
      <c r="I765" s="9">
        <v>1</v>
      </c>
      <c r="J765" s="48"/>
      <c r="K765" s="43">
        <v>0.92999999999999994</v>
      </c>
      <c r="L765" s="45" t="s">
        <v>15</v>
      </c>
    </row>
    <row r="766" spans="1:12" ht="15.75" customHeight="1" x14ac:dyDescent="0.3">
      <c r="A766" s="21">
        <v>12</v>
      </c>
      <c r="B766" s="25">
        <v>45628</v>
      </c>
      <c r="C766" s="29" t="s">
        <v>504</v>
      </c>
      <c r="D766" s="36">
        <v>1</v>
      </c>
      <c r="E766" s="41" t="s">
        <v>20</v>
      </c>
      <c r="F766" s="42">
        <v>3.5</v>
      </c>
      <c r="G766" s="9">
        <v>3.5</v>
      </c>
      <c r="H766" s="45">
        <v>10</v>
      </c>
      <c r="I766" s="9">
        <v>10</v>
      </c>
      <c r="J766" s="48"/>
      <c r="K766" s="43">
        <v>6.5</v>
      </c>
      <c r="L766" s="45" t="s">
        <v>15</v>
      </c>
    </row>
    <row r="767" spans="1:12" ht="15.75" customHeight="1" x14ac:dyDescent="0.3">
      <c r="A767" s="21">
        <v>12</v>
      </c>
      <c r="B767" s="25">
        <v>45628</v>
      </c>
      <c r="C767" s="29" t="s">
        <v>392</v>
      </c>
      <c r="D767" s="36">
        <v>1</v>
      </c>
      <c r="E767" s="41" t="s">
        <v>20</v>
      </c>
      <c r="F767" s="42">
        <v>10</v>
      </c>
      <c r="G767" s="9">
        <v>10</v>
      </c>
      <c r="H767" s="45">
        <v>20</v>
      </c>
      <c r="I767" s="9">
        <v>20</v>
      </c>
      <c r="J767" s="48"/>
      <c r="K767" s="43">
        <v>10</v>
      </c>
      <c r="L767" s="45" t="s">
        <v>15</v>
      </c>
    </row>
    <row r="768" spans="1:12" ht="15.75" customHeight="1" x14ac:dyDescent="0.3">
      <c r="A768" s="21">
        <v>12</v>
      </c>
      <c r="B768" s="25">
        <v>45629</v>
      </c>
      <c r="C768" s="29" t="s">
        <v>315</v>
      </c>
      <c r="D768" s="36">
        <v>3</v>
      </c>
      <c r="E768" s="41" t="s">
        <v>20</v>
      </c>
      <c r="F768" s="42">
        <v>7.0000000000000007E-2</v>
      </c>
      <c r="G768" s="9">
        <v>0.21000000000000002</v>
      </c>
      <c r="H768" s="45">
        <v>1</v>
      </c>
      <c r="I768" s="9">
        <v>3</v>
      </c>
      <c r="J768" s="48"/>
      <c r="K768" s="43">
        <v>2.79</v>
      </c>
      <c r="L768" s="45" t="s">
        <v>15</v>
      </c>
    </row>
    <row r="769" spans="1:12" ht="15.75" customHeight="1" x14ac:dyDescent="0.3">
      <c r="A769" s="21">
        <v>12</v>
      </c>
      <c r="B769" s="25">
        <v>45629</v>
      </c>
      <c r="C769" s="29" t="s">
        <v>267</v>
      </c>
      <c r="D769" s="36">
        <v>1</v>
      </c>
      <c r="E769" s="41" t="s">
        <v>20</v>
      </c>
      <c r="F769" s="42">
        <v>0</v>
      </c>
      <c r="G769" s="9">
        <v>0</v>
      </c>
      <c r="H769" s="45">
        <v>20</v>
      </c>
      <c r="I769" s="9">
        <v>20</v>
      </c>
      <c r="J769" s="48"/>
      <c r="K769" s="43">
        <v>20</v>
      </c>
      <c r="L769" s="45" t="s">
        <v>15</v>
      </c>
    </row>
    <row r="770" spans="1:12" ht="15.75" customHeight="1" x14ac:dyDescent="0.3">
      <c r="A770" s="21">
        <v>12</v>
      </c>
      <c r="B770" s="25">
        <v>45629</v>
      </c>
      <c r="C770" s="29" t="s">
        <v>392</v>
      </c>
      <c r="D770" s="36">
        <v>1</v>
      </c>
      <c r="E770" s="41" t="s">
        <v>20</v>
      </c>
      <c r="F770" s="42">
        <v>10</v>
      </c>
      <c r="G770" s="9">
        <v>10</v>
      </c>
      <c r="H770" s="45">
        <v>20</v>
      </c>
      <c r="I770" s="9">
        <v>20</v>
      </c>
      <c r="J770" s="48"/>
      <c r="K770" s="43">
        <v>10</v>
      </c>
      <c r="L770" s="45" t="s">
        <v>15</v>
      </c>
    </row>
    <row r="771" spans="1:12" ht="15.75" customHeight="1" x14ac:dyDescent="0.3">
      <c r="A771" s="21">
        <v>12</v>
      </c>
      <c r="B771" s="25">
        <v>45630</v>
      </c>
      <c r="C771" s="29" t="s">
        <v>407</v>
      </c>
      <c r="D771" s="36">
        <v>1</v>
      </c>
      <c r="E771" s="41" t="s">
        <v>20</v>
      </c>
      <c r="F771" s="42">
        <v>3.5</v>
      </c>
      <c r="G771" s="9">
        <v>3.5</v>
      </c>
      <c r="H771" s="45">
        <v>10</v>
      </c>
      <c r="I771" s="9">
        <v>10</v>
      </c>
      <c r="J771" s="48"/>
      <c r="K771" s="43">
        <v>6.5</v>
      </c>
      <c r="L771" s="45" t="s">
        <v>15</v>
      </c>
    </row>
    <row r="772" spans="1:12" ht="15.75" customHeight="1" x14ac:dyDescent="0.3">
      <c r="A772" s="21">
        <v>12</v>
      </c>
      <c r="B772" s="25">
        <v>45630</v>
      </c>
      <c r="C772" s="29" t="s">
        <v>491</v>
      </c>
      <c r="D772" s="36">
        <v>1</v>
      </c>
      <c r="E772" s="41" t="s">
        <v>20</v>
      </c>
      <c r="F772" s="42">
        <v>0.8</v>
      </c>
      <c r="G772" s="9">
        <v>0.8</v>
      </c>
      <c r="H772" s="45">
        <v>4</v>
      </c>
      <c r="I772" s="9">
        <v>4</v>
      </c>
      <c r="J772" s="48"/>
      <c r="K772" s="43">
        <v>3.2</v>
      </c>
      <c r="L772" s="45" t="s">
        <v>15</v>
      </c>
    </row>
    <row r="773" spans="1:12" ht="15.75" customHeight="1" x14ac:dyDescent="0.3">
      <c r="A773" s="21">
        <v>12</v>
      </c>
      <c r="B773" s="25">
        <v>45630</v>
      </c>
      <c r="C773" s="29" t="s">
        <v>431</v>
      </c>
      <c r="D773" s="36">
        <v>1</v>
      </c>
      <c r="E773" s="41" t="s">
        <v>20</v>
      </c>
      <c r="F773" s="42">
        <v>0</v>
      </c>
      <c r="G773" s="9">
        <v>0</v>
      </c>
      <c r="H773" s="45">
        <v>12</v>
      </c>
      <c r="I773" s="9">
        <v>12</v>
      </c>
      <c r="J773" s="48"/>
      <c r="K773" s="43">
        <v>12</v>
      </c>
      <c r="L773" s="45" t="s">
        <v>15</v>
      </c>
    </row>
    <row r="774" spans="1:12" ht="15.75" customHeight="1" x14ac:dyDescent="0.3">
      <c r="A774" s="21">
        <v>12</v>
      </c>
      <c r="B774" s="25">
        <v>45630</v>
      </c>
      <c r="C774" s="29" t="s">
        <v>267</v>
      </c>
      <c r="D774" s="36">
        <v>1</v>
      </c>
      <c r="E774" s="41" t="s">
        <v>20</v>
      </c>
      <c r="F774" s="42">
        <v>0</v>
      </c>
      <c r="G774" s="9">
        <v>0.75</v>
      </c>
      <c r="H774" s="45">
        <v>47.5</v>
      </c>
      <c r="I774" s="9">
        <v>47.5</v>
      </c>
      <c r="J774" s="48"/>
      <c r="K774" s="43">
        <v>1.43</v>
      </c>
      <c r="L774" s="45" t="s">
        <v>15</v>
      </c>
    </row>
    <row r="775" spans="1:12" ht="15.75" customHeight="1" x14ac:dyDescent="0.3">
      <c r="A775" s="21">
        <v>12</v>
      </c>
      <c r="B775" s="25">
        <v>45631</v>
      </c>
      <c r="C775" s="29" t="s">
        <v>505</v>
      </c>
      <c r="D775" s="36">
        <v>1</v>
      </c>
      <c r="E775" s="41" t="s">
        <v>20</v>
      </c>
      <c r="F775" s="42">
        <v>0</v>
      </c>
      <c r="G775" s="9">
        <v>0</v>
      </c>
      <c r="H775" s="45">
        <v>60</v>
      </c>
      <c r="I775" s="9">
        <v>60</v>
      </c>
      <c r="J775" s="48"/>
      <c r="K775" s="43">
        <v>46.75</v>
      </c>
      <c r="L775" s="45" t="s">
        <v>15</v>
      </c>
    </row>
    <row r="776" spans="1:12" ht="15.75" customHeight="1" x14ac:dyDescent="0.3">
      <c r="A776" s="21">
        <v>12</v>
      </c>
      <c r="B776" s="25">
        <v>45631</v>
      </c>
      <c r="C776" s="29" t="s">
        <v>478</v>
      </c>
      <c r="D776" s="36">
        <v>1</v>
      </c>
      <c r="E776" s="41" t="s">
        <v>20</v>
      </c>
      <c r="F776" s="42">
        <v>6</v>
      </c>
      <c r="G776" s="9">
        <v>0</v>
      </c>
      <c r="H776" s="45">
        <v>15</v>
      </c>
      <c r="I776" s="9">
        <v>15</v>
      </c>
      <c r="J776" s="48"/>
      <c r="K776" s="43">
        <v>60</v>
      </c>
      <c r="L776" s="45" t="s">
        <v>15</v>
      </c>
    </row>
    <row r="777" spans="1:12" ht="15.75" customHeight="1" x14ac:dyDescent="0.3">
      <c r="A777" s="21">
        <v>12</v>
      </c>
      <c r="B777" s="25">
        <v>45631</v>
      </c>
      <c r="C777" s="29" t="s">
        <v>315</v>
      </c>
      <c r="D777" s="36">
        <v>1</v>
      </c>
      <c r="E777" s="41" t="s">
        <v>445</v>
      </c>
      <c r="F777" s="42">
        <v>7.0000000000000007E-2</v>
      </c>
      <c r="G777" s="9">
        <v>6</v>
      </c>
      <c r="H777" s="45">
        <v>1</v>
      </c>
      <c r="I777" s="9">
        <v>1</v>
      </c>
      <c r="J777" s="48"/>
      <c r="K777" s="43">
        <v>15</v>
      </c>
      <c r="L777" s="45" t="s">
        <v>15</v>
      </c>
    </row>
    <row r="778" spans="1:12" ht="15.75" customHeight="1" x14ac:dyDescent="0.3">
      <c r="A778" s="21">
        <v>12</v>
      </c>
      <c r="B778" s="25">
        <v>45631</v>
      </c>
      <c r="C778" s="29" t="s">
        <v>480</v>
      </c>
      <c r="D778" s="36">
        <v>6</v>
      </c>
      <c r="E778" s="41" t="s">
        <v>20</v>
      </c>
      <c r="F778" s="42">
        <v>0.125</v>
      </c>
      <c r="G778" s="9">
        <v>7.0000000000000007E-2</v>
      </c>
      <c r="H778" s="45">
        <v>0.25</v>
      </c>
      <c r="I778" s="9">
        <v>1.5</v>
      </c>
      <c r="J778" s="48"/>
      <c r="K778" s="43">
        <v>-5</v>
      </c>
      <c r="L778" s="45" t="s">
        <v>15</v>
      </c>
    </row>
    <row r="779" spans="1:12" ht="15.75" customHeight="1" x14ac:dyDescent="0.3">
      <c r="A779" s="21">
        <v>12</v>
      </c>
      <c r="B779" s="25">
        <v>45632</v>
      </c>
      <c r="C779" s="29" t="s">
        <v>506</v>
      </c>
      <c r="D779" s="36">
        <v>1</v>
      </c>
      <c r="E779" s="41" t="s">
        <v>507</v>
      </c>
      <c r="F779" s="42">
        <v>270</v>
      </c>
      <c r="G779" s="9">
        <v>270</v>
      </c>
      <c r="H779" s="45">
        <v>370</v>
      </c>
      <c r="I779" s="9">
        <v>370</v>
      </c>
      <c r="J779" s="48"/>
      <c r="K779" s="43">
        <v>100</v>
      </c>
      <c r="L779" s="45" t="s">
        <v>15</v>
      </c>
    </row>
    <row r="780" spans="1:12" ht="15.75" customHeight="1" x14ac:dyDescent="0.3">
      <c r="A780" s="21">
        <v>12</v>
      </c>
      <c r="B780" s="25">
        <v>45632</v>
      </c>
      <c r="C780" s="29" t="s">
        <v>417</v>
      </c>
      <c r="D780" s="36">
        <v>1</v>
      </c>
      <c r="E780" s="41" t="s">
        <v>508</v>
      </c>
      <c r="F780" s="42">
        <v>17</v>
      </c>
      <c r="G780" s="9">
        <v>17</v>
      </c>
      <c r="H780" s="45">
        <v>50</v>
      </c>
      <c r="I780" s="9">
        <v>50</v>
      </c>
      <c r="J780" s="48"/>
      <c r="K780" s="43">
        <v>33</v>
      </c>
      <c r="L780" s="45" t="s">
        <v>15</v>
      </c>
    </row>
    <row r="781" spans="1:12" ht="15.75" customHeight="1" x14ac:dyDescent="0.3">
      <c r="A781" s="21">
        <v>12</v>
      </c>
      <c r="B781" s="25">
        <v>45632</v>
      </c>
      <c r="C781" s="29" t="s">
        <v>315</v>
      </c>
      <c r="D781" s="36">
        <v>2</v>
      </c>
      <c r="E781" s="41" t="s">
        <v>509</v>
      </c>
      <c r="F781" s="42">
        <v>7.0000000000000007E-2</v>
      </c>
      <c r="G781" s="9">
        <v>0.14000000000000001</v>
      </c>
      <c r="H781" s="45">
        <v>1</v>
      </c>
      <c r="I781" s="9">
        <v>2</v>
      </c>
      <c r="J781" s="48"/>
      <c r="K781" s="43">
        <v>1.8599999999999999</v>
      </c>
      <c r="L781" s="45" t="s">
        <v>15</v>
      </c>
    </row>
    <row r="782" spans="1:12" ht="15.75" customHeight="1" x14ac:dyDescent="0.3">
      <c r="A782" s="21">
        <v>12</v>
      </c>
      <c r="B782" s="25">
        <v>45632</v>
      </c>
      <c r="C782" s="29" t="s">
        <v>510</v>
      </c>
      <c r="D782" s="36">
        <v>1</v>
      </c>
      <c r="E782" s="41" t="s">
        <v>20</v>
      </c>
      <c r="F782" s="42">
        <v>54.9</v>
      </c>
      <c r="G782" s="9">
        <v>54.9</v>
      </c>
      <c r="H782" s="45">
        <v>55</v>
      </c>
      <c r="I782" s="9">
        <v>55</v>
      </c>
      <c r="J782" s="48"/>
      <c r="K782" s="43">
        <v>0.10000000000000142</v>
      </c>
      <c r="L782" s="45" t="s">
        <v>15</v>
      </c>
    </row>
    <row r="783" spans="1:12" ht="15.75" customHeight="1" x14ac:dyDescent="0.3">
      <c r="A783" s="21">
        <v>12</v>
      </c>
      <c r="B783" s="25">
        <v>45633</v>
      </c>
      <c r="C783" s="29" t="s">
        <v>511</v>
      </c>
      <c r="D783" s="36">
        <v>1</v>
      </c>
      <c r="E783" s="41" t="s">
        <v>512</v>
      </c>
      <c r="F783" s="42" t="s">
        <v>72</v>
      </c>
      <c r="G783" s="9">
        <v>0</v>
      </c>
      <c r="H783" s="45">
        <v>200</v>
      </c>
      <c r="I783" s="9">
        <v>200</v>
      </c>
      <c r="J783" s="48"/>
      <c r="K783" s="43">
        <v>200</v>
      </c>
      <c r="L783" s="45" t="s">
        <v>15</v>
      </c>
    </row>
    <row r="784" spans="1:12" ht="15.75" customHeight="1" x14ac:dyDescent="0.3">
      <c r="A784" s="21">
        <v>12</v>
      </c>
      <c r="B784" s="25">
        <v>45633</v>
      </c>
      <c r="C784" s="29" t="s">
        <v>216</v>
      </c>
      <c r="D784" s="36">
        <v>1</v>
      </c>
      <c r="E784" s="41" t="s">
        <v>512</v>
      </c>
      <c r="F784" s="42">
        <v>0</v>
      </c>
      <c r="G784" s="9">
        <v>0</v>
      </c>
      <c r="H784" s="45">
        <v>30</v>
      </c>
      <c r="I784" s="9">
        <v>30</v>
      </c>
      <c r="J784" s="48"/>
      <c r="K784" s="43">
        <v>30</v>
      </c>
      <c r="L784" s="45" t="s">
        <v>15</v>
      </c>
    </row>
    <row r="785" spans="1:12" ht="15.75" customHeight="1" x14ac:dyDescent="0.3">
      <c r="A785" s="21">
        <v>12</v>
      </c>
      <c r="B785" s="25">
        <v>45634</v>
      </c>
      <c r="C785" s="29" t="s">
        <v>480</v>
      </c>
      <c r="D785" s="36">
        <v>5</v>
      </c>
      <c r="E785" s="41" t="s">
        <v>20</v>
      </c>
      <c r="F785" s="42">
        <v>0.125</v>
      </c>
      <c r="G785" s="9">
        <v>92</v>
      </c>
      <c r="H785" s="45">
        <v>0.25</v>
      </c>
      <c r="I785" s="9">
        <v>1.25</v>
      </c>
      <c r="J785" s="48"/>
      <c r="K785" s="43">
        <v>150</v>
      </c>
      <c r="L785" s="45" t="s">
        <v>15</v>
      </c>
    </row>
    <row r="786" spans="1:12" ht="15.75" customHeight="1" x14ac:dyDescent="0.3">
      <c r="A786" s="21">
        <v>12</v>
      </c>
      <c r="B786" s="25">
        <v>45635</v>
      </c>
      <c r="C786" s="29" t="s">
        <v>315</v>
      </c>
      <c r="D786" s="36">
        <v>3</v>
      </c>
      <c r="E786" s="41" t="s">
        <v>20</v>
      </c>
      <c r="F786" s="42">
        <v>7.0000000000000007E-2</v>
      </c>
      <c r="G786" s="9"/>
      <c r="H786" s="45">
        <v>1</v>
      </c>
      <c r="I786" s="9">
        <v>1.25</v>
      </c>
      <c r="J786" s="48"/>
      <c r="K786" s="43">
        <v>-90.75</v>
      </c>
      <c r="L786" s="45" t="s">
        <v>15</v>
      </c>
    </row>
    <row r="787" spans="1:12" ht="15.75" customHeight="1" x14ac:dyDescent="0.3">
      <c r="A787" s="21">
        <v>12</v>
      </c>
      <c r="B787" s="25">
        <v>45635</v>
      </c>
      <c r="C787" s="29" t="s">
        <v>495</v>
      </c>
      <c r="D787" s="36">
        <v>4</v>
      </c>
      <c r="E787" s="41" t="s">
        <v>513</v>
      </c>
      <c r="F787" s="42">
        <v>0.29425000000000001</v>
      </c>
      <c r="G787" s="9">
        <v>0.21000000000000002</v>
      </c>
      <c r="H787" s="45">
        <v>5</v>
      </c>
      <c r="I787" s="9">
        <v>20</v>
      </c>
      <c r="J787" s="48"/>
      <c r="K787" s="43">
        <v>0</v>
      </c>
      <c r="L787" s="45" t="s">
        <v>15</v>
      </c>
    </row>
    <row r="788" spans="1:12" ht="15.75" customHeight="1" x14ac:dyDescent="0.3">
      <c r="A788" s="21">
        <v>12</v>
      </c>
      <c r="B788" s="25">
        <v>45636</v>
      </c>
      <c r="C788" s="29" t="s">
        <v>315</v>
      </c>
      <c r="D788" s="36">
        <v>6</v>
      </c>
      <c r="E788" s="41" t="s">
        <v>20</v>
      </c>
      <c r="F788" s="42">
        <v>7.0000000000000007E-2</v>
      </c>
      <c r="G788" s="9">
        <v>1.177</v>
      </c>
      <c r="H788" s="45">
        <v>1</v>
      </c>
      <c r="I788" s="9">
        <v>6</v>
      </c>
      <c r="J788" s="48"/>
      <c r="K788" s="43">
        <v>19.79</v>
      </c>
      <c r="L788" s="45" t="s">
        <v>15</v>
      </c>
    </row>
    <row r="789" spans="1:12" ht="15.75" customHeight="1" x14ac:dyDescent="0.3">
      <c r="A789" s="21">
        <v>12</v>
      </c>
      <c r="B789" s="25">
        <v>45636</v>
      </c>
      <c r="C789" s="29" t="s">
        <v>510</v>
      </c>
      <c r="D789" s="36">
        <v>1</v>
      </c>
      <c r="E789" s="41" t="s">
        <v>51</v>
      </c>
      <c r="F789" s="42">
        <v>54.9</v>
      </c>
      <c r="G789" s="9">
        <v>0.42000000000000004</v>
      </c>
      <c r="H789" s="45">
        <v>55</v>
      </c>
      <c r="I789" s="9">
        <v>55</v>
      </c>
      <c r="J789" s="48"/>
      <c r="K789" s="43">
        <v>4.8230000000000004</v>
      </c>
      <c r="L789" s="45" t="s">
        <v>15</v>
      </c>
    </row>
    <row r="790" spans="1:12" ht="15.75" customHeight="1" x14ac:dyDescent="0.3">
      <c r="A790" s="21">
        <v>12</v>
      </c>
      <c r="B790" s="25">
        <v>45636</v>
      </c>
      <c r="C790" s="29" t="s">
        <v>299</v>
      </c>
      <c r="D790" s="36">
        <v>1</v>
      </c>
      <c r="E790" s="41" t="s">
        <v>299</v>
      </c>
      <c r="F790" s="42" t="s">
        <v>72</v>
      </c>
      <c r="G790" s="9">
        <v>54.9</v>
      </c>
      <c r="H790" s="45">
        <v>123.28</v>
      </c>
      <c r="I790" s="9">
        <v>123.28</v>
      </c>
      <c r="J790" s="48"/>
      <c r="K790" s="43">
        <v>54.58</v>
      </c>
      <c r="L790" s="45" t="s">
        <v>15</v>
      </c>
    </row>
    <row r="791" spans="1:12" ht="15.75" customHeight="1" x14ac:dyDescent="0.3">
      <c r="A791" s="21">
        <v>12</v>
      </c>
      <c r="B791" s="25">
        <v>45637</v>
      </c>
      <c r="C791" s="29" t="s">
        <v>216</v>
      </c>
      <c r="D791" s="36">
        <v>1</v>
      </c>
      <c r="E791" s="41" t="s">
        <v>514</v>
      </c>
      <c r="F791" s="42">
        <v>0</v>
      </c>
      <c r="G791" s="9">
        <v>0</v>
      </c>
      <c r="H791" s="45">
        <v>50</v>
      </c>
      <c r="I791" s="9">
        <v>50</v>
      </c>
      <c r="J791" s="48"/>
      <c r="K791" s="43">
        <v>68.38</v>
      </c>
      <c r="L791" s="45" t="s">
        <v>15</v>
      </c>
    </row>
    <row r="792" spans="1:12" ht="15.75" customHeight="1" x14ac:dyDescent="0.3">
      <c r="A792" s="21">
        <v>12</v>
      </c>
      <c r="B792" s="25">
        <v>45637</v>
      </c>
      <c r="C792" s="29" t="s">
        <v>515</v>
      </c>
      <c r="D792" s="36">
        <v>1</v>
      </c>
      <c r="E792" s="41" t="s">
        <v>514</v>
      </c>
      <c r="F792" s="42" t="s">
        <v>72</v>
      </c>
      <c r="G792" s="9">
        <v>0</v>
      </c>
      <c r="H792" s="45">
        <v>70</v>
      </c>
      <c r="I792" s="9">
        <v>70</v>
      </c>
      <c r="J792" s="48"/>
      <c r="K792" s="43">
        <v>50</v>
      </c>
      <c r="L792" s="45" t="s">
        <v>15</v>
      </c>
    </row>
    <row r="793" spans="1:12" ht="15.75" customHeight="1" x14ac:dyDescent="0.3">
      <c r="A793" s="21">
        <v>12</v>
      </c>
      <c r="B793" s="25">
        <v>45637</v>
      </c>
      <c r="C793" s="29" t="s">
        <v>516</v>
      </c>
      <c r="D793" s="36">
        <v>1</v>
      </c>
      <c r="E793" s="41" t="s">
        <v>514</v>
      </c>
      <c r="F793" s="42">
        <v>92</v>
      </c>
      <c r="G793" s="9">
        <v>0</v>
      </c>
      <c r="H793" s="45">
        <v>150</v>
      </c>
      <c r="I793" s="9">
        <v>150</v>
      </c>
      <c r="J793" s="48"/>
      <c r="K793" s="43">
        <v>70</v>
      </c>
      <c r="L793" s="45" t="s">
        <v>15</v>
      </c>
    </row>
    <row r="794" spans="1:12" ht="15.75" customHeight="1" x14ac:dyDescent="0.3">
      <c r="A794" s="21">
        <v>12</v>
      </c>
      <c r="B794" s="25">
        <v>45637</v>
      </c>
      <c r="C794" s="29" t="s">
        <v>267</v>
      </c>
      <c r="D794" s="36">
        <v>1</v>
      </c>
      <c r="E794" s="41" t="s">
        <v>20</v>
      </c>
      <c r="F794" s="42">
        <v>0</v>
      </c>
      <c r="G794" s="9">
        <v>0</v>
      </c>
      <c r="H794" s="45">
        <v>10</v>
      </c>
      <c r="I794" s="9">
        <v>10</v>
      </c>
      <c r="J794" s="48"/>
      <c r="K794" s="43">
        <v>10</v>
      </c>
      <c r="L794" s="45" t="s">
        <v>15</v>
      </c>
    </row>
    <row r="795" spans="1:12" ht="15.75" customHeight="1" x14ac:dyDescent="0.3">
      <c r="A795" s="21">
        <v>12</v>
      </c>
      <c r="B795" s="25">
        <v>45637</v>
      </c>
      <c r="C795" s="29" t="s">
        <v>491</v>
      </c>
      <c r="D795" s="36">
        <v>1</v>
      </c>
      <c r="E795" s="41" t="s">
        <v>51</v>
      </c>
      <c r="F795" s="42">
        <v>0.8</v>
      </c>
      <c r="G795" s="9">
        <v>0.8</v>
      </c>
      <c r="H795" s="45">
        <v>4</v>
      </c>
      <c r="I795" s="9">
        <v>4</v>
      </c>
      <c r="J795" s="48"/>
      <c r="K795" s="43">
        <v>3.2</v>
      </c>
      <c r="L795" s="45" t="s">
        <v>15</v>
      </c>
    </row>
    <row r="796" spans="1:12" ht="15.75" customHeight="1" x14ac:dyDescent="0.3">
      <c r="A796" s="21">
        <v>12</v>
      </c>
      <c r="B796" s="25">
        <v>45637</v>
      </c>
      <c r="C796" s="29" t="s">
        <v>517</v>
      </c>
      <c r="D796" s="36">
        <v>1</v>
      </c>
      <c r="E796" s="41" t="s">
        <v>518</v>
      </c>
      <c r="F796" s="42">
        <v>19</v>
      </c>
      <c r="G796" s="9">
        <v>19</v>
      </c>
      <c r="H796" s="45">
        <v>35</v>
      </c>
      <c r="I796" s="9">
        <v>35</v>
      </c>
      <c r="J796" s="48"/>
      <c r="K796" s="43">
        <v>16</v>
      </c>
      <c r="L796" s="45" t="s">
        <v>15</v>
      </c>
    </row>
    <row r="797" spans="1:12" ht="15.75" customHeight="1" x14ac:dyDescent="0.3">
      <c r="A797" s="21">
        <v>12</v>
      </c>
      <c r="B797" s="25">
        <v>45639</v>
      </c>
      <c r="C797" s="29" t="s">
        <v>406</v>
      </c>
      <c r="D797" s="36">
        <v>1</v>
      </c>
      <c r="E797" s="41" t="s">
        <v>20</v>
      </c>
      <c r="F797" s="42">
        <v>10</v>
      </c>
      <c r="G797" s="9">
        <v>10</v>
      </c>
      <c r="H797" s="45">
        <v>20</v>
      </c>
      <c r="I797" s="9">
        <v>20</v>
      </c>
      <c r="J797" s="48"/>
      <c r="K797" s="43">
        <v>10</v>
      </c>
      <c r="L797" s="45" t="s">
        <v>15</v>
      </c>
    </row>
    <row r="798" spans="1:12" ht="15.75" customHeight="1" x14ac:dyDescent="0.3">
      <c r="A798" s="21">
        <v>12</v>
      </c>
      <c r="B798" s="25">
        <v>45639</v>
      </c>
      <c r="C798" s="29" t="s">
        <v>315</v>
      </c>
      <c r="D798" s="36">
        <v>1</v>
      </c>
      <c r="E798" s="41" t="s">
        <v>20</v>
      </c>
      <c r="F798" s="42">
        <v>7.0000000000000007E-2</v>
      </c>
      <c r="G798" s="9">
        <v>7.0000000000000007E-2</v>
      </c>
      <c r="H798" s="45">
        <v>1</v>
      </c>
      <c r="I798" s="9">
        <v>1</v>
      </c>
      <c r="J798" s="48"/>
      <c r="K798" s="43">
        <v>0.92999999999999994</v>
      </c>
      <c r="L798" s="45" t="s">
        <v>15</v>
      </c>
    </row>
    <row r="799" spans="1:12" ht="15.75" customHeight="1" x14ac:dyDescent="0.3">
      <c r="A799" s="21">
        <v>12</v>
      </c>
      <c r="B799" s="25">
        <v>45640</v>
      </c>
      <c r="C799" s="29" t="s">
        <v>267</v>
      </c>
      <c r="D799" s="36">
        <v>1</v>
      </c>
      <c r="E799" s="41" t="s">
        <v>519</v>
      </c>
      <c r="F799" s="42">
        <v>0</v>
      </c>
      <c r="G799" s="9">
        <v>0</v>
      </c>
      <c r="H799" s="45">
        <v>5</v>
      </c>
      <c r="I799" s="9">
        <v>5</v>
      </c>
      <c r="J799" s="48"/>
      <c r="K799" s="43">
        <v>5</v>
      </c>
      <c r="L799" s="45" t="s">
        <v>15</v>
      </c>
    </row>
    <row r="800" spans="1:12" ht="15.75" customHeight="1" x14ac:dyDescent="0.3">
      <c r="A800" s="21">
        <v>12</v>
      </c>
      <c r="B800" s="25">
        <v>45640</v>
      </c>
      <c r="C800" s="29" t="s">
        <v>520</v>
      </c>
      <c r="D800" s="36">
        <v>1</v>
      </c>
      <c r="E800" s="41" t="s">
        <v>519</v>
      </c>
      <c r="F800" s="42">
        <v>13</v>
      </c>
      <c r="G800" s="9">
        <v>13</v>
      </c>
      <c r="H800" s="45">
        <v>25</v>
      </c>
      <c r="I800" s="9">
        <v>25</v>
      </c>
      <c r="J800" s="48"/>
      <c r="K800" s="43">
        <v>12</v>
      </c>
      <c r="L800" s="45" t="s">
        <v>15</v>
      </c>
    </row>
    <row r="801" spans="1:12" ht="15.75" customHeight="1" x14ac:dyDescent="0.3">
      <c r="A801" s="21">
        <v>12</v>
      </c>
      <c r="B801" s="25">
        <v>45642</v>
      </c>
      <c r="C801" s="29" t="s">
        <v>521</v>
      </c>
      <c r="D801" s="36">
        <v>1</v>
      </c>
      <c r="E801" s="41" t="s">
        <v>132</v>
      </c>
      <c r="F801" s="42">
        <v>33</v>
      </c>
      <c r="G801" s="9">
        <v>33</v>
      </c>
      <c r="H801" s="45">
        <v>75</v>
      </c>
      <c r="I801" s="9">
        <v>75</v>
      </c>
      <c r="J801" s="48"/>
      <c r="K801" s="43">
        <v>42</v>
      </c>
      <c r="L801" s="45" t="s">
        <v>15</v>
      </c>
    </row>
    <row r="802" spans="1:12" ht="15.75" customHeight="1" x14ac:dyDescent="0.3">
      <c r="A802" s="21">
        <v>12</v>
      </c>
      <c r="B802" s="25">
        <v>45642</v>
      </c>
      <c r="C802" s="29" t="s">
        <v>184</v>
      </c>
      <c r="D802" s="36">
        <v>1</v>
      </c>
      <c r="E802" s="41" t="s">
        <v>132</v>
      </c>
      <c r="F802" s="42">
        <v>20</v>
      </c>
      <c r="G802" s="9">
        <v>20</v>
      </c>
      <c r="H802" s="45">
        <v>40</v>
      </c>
      <c r="I802" s="9">
        <v>40</v>
      </c>
      <c r="J802" s="48"/>
      <c r="K802" s="43">
        <v>20</v>
      </c>
      <c r="L802" s="45" t="s">
        <v>15</v>
      </c>
    </row>
    <row r="803" spans="1:12" ht="15.75" customHeight="1" x14ac:dyDescent="0.3">
      <c r="A803" s="21">
        <v>12</v>
      </c>
      <c r="B803" s="25">
        <v>45643</v>
      </c>
      <c r="C803" s="29" t="s">
        <v>522</v>
      </c>
      <c r="D803" s="36">
        <v>1</v>
      </c>
      <c r="E803" s="41" t="s">
        <v>445</v>
      </c>
      <c r="F803" s="42">
        <v>1.5</v>
      </c>
      <c r="G803" s="9">
        <v>1.5</v>
      </c>
      <c r="H803" s="45">
        <v>5</v>
      </c>
      <c r="I803" s="9">
        <v>5</v>
      </c>
      <c r="J803" s="48"/>
      <c r="K803" s="43">
        <v>3.5</v>
      </c>
      <c r="L803" s="45" t="s">
        <v>15</v>
      </c>
    </row>
    <row r="804" spans="1:12" ht="15.75" customHeight="1" x14ac:dyDescent="0.3">
      <c r="A804" s="21">
        <v>12</v>
      </c>
      <c r="B804" s="25">
        <v>45643</v>
      </c>
      <c r="C804" s="29" t="s">
        <v>315</v>
      </c>
      <c r="D804" s="36">
        <v>2</v>
      </c>
      <c r="E804" s="41" t="s">
        <v>51</v>
      </c>
      <c r="F804" s="42">
        <v>7.0000000000000007E-2</v>
      </c>
      <c r="G804" s="9">
        <v>0.14000000000000001</v>
      </c>
      <c r="H804" s="45">
        <v>1</v>
      </c>
      <c r="I804" s="9">
        <v>2</v>
      </c>
      <c r="J804" s="48"/>
      <c r="K804" s="43">
        <v>1.8599999999999999</v>
      </c>
      <c r="L804" s="45" t="s">
        <v>15</v>
      </c>
    </row>
    <row r="805" spans="1:12" ht="15.75" customHeight="1" x14ac:dyDescent="0.3">
      <c r="A805" s="21">
        <v>12</v>
      </c>
      <c r="B805" s="25">
        <v>45643</v>
      </c>
      <c r="C805" s="29" t="s">
        <v>523</v>
      </c>
      <c r="D805" s="36">
        <v>1</v>
      </c>
      <c r="E805" s="41" t="s">
        <v>524</v>
      </c>
      <c r="F805" s="42">
        <v>3.5</v>
      </c>
      <c r="G805" s="9">
        <v>3.5</v>
      </c>
      <c r="H805" s="45">
        <v>10</v>
      </c>
      <c r="I805" s="9">
        <v>10</v>
      </c>
      <c r="J805" s="48"/>
      <c r="K805" s="43">
        <v>6.5</v>
      </c>
      <c r="L805" s="45" t="s">
        <v>15</v>
      </c>
    </row>
    <row r="806" spans="1:12" ht="15.75" customHeight="1" x14ac:dyDescent="0.3">
      <c r="A806" s="21">
        <v>12</v>
      </c>
      <c r="B806" s="25">
        <v>45643</v>
      </c>
      <c r="C806" s="29" t="s">
        <v>404</v>
      </c>
      <c r="D806" s="36">
        <v>1</v>
      </c>
      <c r="E806" s="41" t="s">
        <v>524</v>
      </c>
      <c r="F806" s="42">
        <v>4.5999999999999996</v>
      </c>
      <c r="G806" s="9">
        <v>4.5999999999999996</v>
      </c>
      <c r="H806" s="45">
        <v>10</v>
      </c>
      <c r="I806" s="9">
        <v>10</v>
      </c>
      <c r="J806" s="48"/>
      <c r="K806" s="43">
        <v>5.4</v>
      </c>
      <c r="L806" s="45" t="s">
        <v>15</v>
      </c>
    </row>
    <row r="807" spans="1:12" ht="15.75" customHeight="1" x14ac:dyDescent="0.3">
      <c r="A807" s="21">
        <v>12</v>
      </c>
      <c r="B807" s="25">
        <v>45643</v>
      </c>
      <c r="C807" s="29" t="s">
        <v>525</v>
      </c>
      <c r="D807" s="36">
        <v>1</v>
      </c>
      <c r="E807" s="41" t="s">
        <v>340</v>
      </c>
      <c r="F807" s="42">
        <v>6.5</v>
      </c>
      <c r="G807" s="9">
        <v>6.5</v>
      </c>
      <c r="H807" s="45">
        <v>15</v>
      </c>
      <c r="I807" s="9">
        <v>15</v>
      </c>
      <c r="J807" s="48"/>
      <c r="K807" s="43">
        <v>8.5</v>
      </c>
      <c r="L807" s="45" t="s">
        <v>15</v>
      </c>
    </row>
    <row r="808" spans="1:12" ht="15.75" customHeight="1" x14ac:dyDescent="0.3">
      <c r="A808" s="21">
        <v>12</v>
      </c>
      <c r="B808" s="25">
        <v>45643</v>
      </c>
      <c r="C808" s="29" t="s">
        <v>315</v>
      </c>
      <c r="D808" s="36">
        <v>1</v>
      </c>
      <c r="E808" s="41" t="s">
        <v>20</v>
      </c>
      <c r="F808" s="42">
        <v>7.0000000000000007E-2</v>
      </c>
      <c r="G808" s="9">
        <v>7.0000000000000007E-2</v>
      </c>
      <c r="H808" s="45">
        <v>1</v>
      </c>
      <c r="I808" s="9">
        <v>1</v>
      </c>
      <c r="J808" s="48"/>
      <c r="K808" s="43">
        <v>0.92999999999999994</v>
      </c>
      <c r="L808" s="45" t="s">
        <v>15</v>
      </c>
    </row>
    <row r="809" spans="1:12" ht="15.75" customHeight="1" x14ac:dyDescent="0.3">
      <c r="A809" s="21">
        <v>12</v>
      </c>
      <c r="B809" s="25">
        <v>45643</v>
      </c>
      <c r="C809" s="29" t="s">
        <v>267</v>
      </c>
      <c r="D809" s="36">
        <v>1</v>
      </c>
      <c r="E809" s="41" t="s">
        <v>20</v>
      </c>
      <c r="F809" s="42">
        <v>0</v>
      </c>
      <c r="G809" s="9">
        <v>0</v>
      </c>
      <c r="H809" s="45">
        <v>40</v>
      </c>
      <c r="I809" s="9">
        <v>40</v>
      </c>
      <c r="J809" s="48"/>
      <c r="K809" s="43">
        <v>40</v>
      </c>
      <c r="L809" s="45" t="s">
        <v>15</v>
      </c>
    </row>
    <row r="810" spans="1:12" ht="15.75" customHeight="1" x14ac:dyDescent="0.3">
      <c r="A810" s="21">
        <v>12</v>
      </c>
      <c r="B810" s="25">
        <v>45644</v>
      </c>
      <c r="C810" s="29" t="s">
        <v>267</v>
      </c>
      <c r="D810" s="36">
        <v>1</v>
      </c>
      <c r="E810" s="41" t="s">
        <v>20</v>
      </c>
      <c r="F810" s="42">
        <v>0</v>
      </c>
      <c r="G810" s="9">
        <v>0</v>
      </c>
      <c r="H810" s="45">
        <v>15</v>
      </c>
      <c r="I810" s="9">
        <v>15</v>
      </c>
      <c r="J810" s="48"/>
      <c r="K810" s="43">
        <v>15</v>
      </c>
      <c r="L810" s="45" t="s">
        <v>15</v>
      </c>
    </row>
    <row r="811" spans="1:12" ht="15.75" customHeight="1" x14ac:dyDescent="0.3">
      <c r="A811" s="21">
        <v>12</v>
      </c>
      <c r="B811" s="25">
        <v>45646</v>
      </c>
      <c r="C811" s="29" t="s">
        <v>526</v>
      </c>
      <c r="D811" s="36">
        <v>1</v>
      </c>
      <c r="E811" s="41" t="s">
        <v>20</v>
      </c>
      <c r="F811" s="42">
        <v>0</v>
      </c>
      <c r="G811" s="9">
        <v>0</v>
      </c>
      <c r="H811" s="45">
        <v>10</v>
      </c>
      <c r="I811" s="9">
        <v>10</v>
      </c>
      <c r="J811" s="48"/>
      <c r="K811" s="43">
        <v>10</v>
      </c>
      <c r="L811" s="45" t="s">
        <v>15</v>
      </c>
    </row>
    <row r="812" spans="1:12" ht="15.75" customHeight="1" x14ac:dyDescent="0.3">
      <c r="A812" s="21">
        <v>12</v>
      </c>
      <c r="B812" s="25">
        <v>45646</v>
      </c>
      <c r="C812" s="29" t="s">
        <v>527</v>
      </c>
      <c r="D812" s="36">
        <v>1</v>
      </c>
      <c r="E812" s="41" t="s">
        <v>20</v>
      </c>
      <c r="F812" s="42">
        <v>50</v>
      </c>
      <c r="G812" s="9">
        <v>50</v>
      </c>
      <c r="H812" s="45">
        <v>80</v>
      </c>
      <c r="I812" s="9">
        <v>80</v>
      </c>
      <c r="J812" s="48"/>
      <c r="K812" s="43">
        <v>30</v>
      </c>
      <c r="L812" s="45" t="s">
        <v>15</v>
      </c>
    </row>
    <row r="813" spans="1:12" ht="15.75" customHeight="1" x14ac:dyDescent="0.3">
      <c r="A813" s="21">
        <v>12</v>
      </c>
      <c r="B813" s="25">
        <v>45646</v>
      </c>
      <c r="C813" s="29" t="s">
        <v>528</v>
      </c>
      <c r="D813" s="36">
        <v>1</v>
      </c>
      <c r="E813" s="41" t="s">
        <v>529</v>
      </c>
      <c r="F813" s="42">
        <v>60</v>
      </c>
      <c r="G813" s="9">
        <v>60</v>
      </c>
      <c r="H813" s="45">
        <v>120</v>
      </c>
      <c r="I813" s="9">
        <v>120</v>
      </c>
      <c r="J813" s="48"/>
      <c r="K813" s="43">
        <v>60</v>
      </c>
      <c r="L813" s="45" t="s">
        <v>15</v>
      </c>
    </row>
    <row r="814" spans="1:12" ht="15.75" customHeight="1" x14ac:dyDescent="0.3">
      <c r="A814" s="21">
        <v>12</v>
      </c>
      <c r="B814" s="25">
        <v>45646</v>
      </c>
      <c r="C814" s="29" t="s">
        <v>520</v>
      </c>
      <c r="D814" s="36">
        <v>1</v>
      </c>
      <c r="E814" s="41" t="s">
        <v>20</v>
      </c>
      <c r="F814" s="42">
        <v>13</v>
      </c>
      <c r="G814" s="9">
        <v>13</v>
      </c>
      <c r="H814" s="45">
        <v>30</v>
      </c>
      <c r="I814" s="9">
        <v>30</v>
      </c>
      <c r="J814" s="48"/>
      <c r="K814" s="43">
        <v>17</v>
      </c>
      <c r="L814" s="45" t="s">
        <v>15</v>
      </c>
    </row>
    <row r="815" spans="1:12" ht="15.75" customHeight="1" x14ac:dyDescent="0.3">
      <c r="A815" s="21">
        <v>12</v>
      </c>
      <c r="B815" s="25">
        <v>45646</v>
      </c>
      <c r="C815" s="29" t="s">
        <v>267</v>
      </c>
      <c r="D815" s="36">
        <v>1</v>
      </c>
      <c r="E815" s="41" t="s">
        <v>20</v>
      </c>
      <c r="F815" s="42">
        <v>0</v>
      </c>
      <c r="G815" s="9">
        <v>0</v>
      </c>
      <c r="H815" s="45">
        <v>50</v>
      </c>
      <c r="I815" s="9">
        <v>50</v>
      </c>
      <c r="J815" s="48"/>
      <c r="K815" s="43">
        <v>50</v>
      </c>
      <c r="L815" s="45" t="s">
        <v>15</v>
      </c>
    </row>
    <row r="816" spans="1:12" ht="15.75" customHeight="1" x14ac:dyDescent="0.3">
      <c r="A816" s="21">
        <v>12</v>
      </c>
      <c r="B816" s="25">
        <v>45646</v>
      </c>
      <c r="C816" s="29" t="s">
        <v>267</v>
      </c>
      <c r="D816" s="36">
        <v>1</v>
      </c>
      <c r="E816" s="41" t="s">
        <v>20</v>
      </c>
      <c r="F816" s="42">
        <v>0</v>
      </c>
      <c r="G816" s="9">
        <v>0</v>
      </c>
      <c r="H816" s="45">
        <v>10</v>
      </c>
      <c r="I816" s="9">
        <v>10</v>
      </c>
      <c r="J816" s="48"/>
      <c r="K816" s="43">
        <v>10</v>
      </c>
      <c r="L816" s="45" t="s">
        <v>15</v>
      </c>
    </row>
    <row r="817" spans="1:12" ht="15.75" customHeight="1" x14ac:dyDescent="0.3">
      <c r="A817" s="21">
        <v>12</v>
      </c>
      <c r="B817" s="25">
        <v>45647</v>
      </c>
      <c r="C817" s="29" t="s">
        <v>315</v>
      </c>
      <c r="D817" s="36">
        <v>28</v>
      </c>
      <c r="E817" s="41" t="s">
        <v>51</v>
      </c>
      <c r="F817" s="42">
        <v>7.0000000000000007E-2</v>
      </c>
      <c r="G817" s="9">
        <v>1.9600000000000002</v>
      </c>
      <c r="H817" s="45">
        <v>1</v>
      </c>
      <c r="I817" s="9">
        <v>28</v>
      </c>
      <c r="J817" s="48"/>
      <c r="K817" s="43">
        <v>26.04</v>
      </c>
      <c r="L817" s="45" t="s">
        <v>15</v>
      </c>
    </row>
    <row r="818" spans="1:12" ht="15.75" customHeight="1" x14ac:dyDescent="0.3">
      <c r="A818" s="21">
        <v>12</v>
      </c>
      <c r="B818" s="25">
        <v>45647</v>
      </c>
      <c r="C818" s="29" t="s">
        <v>356</v>
      </c>
      <c r="D818" s="36">
        <v>1</v>
      </c>
      <c r="E818" s="41" t="s">
        <v>20</v>
      </c>
      <c r="F818" s="42">
        <v>6</v>
      </c>
      <c r="G818" s="9">
        <v>6</v>
      </c>
      <c r="H818" s="45">
        <v>25</v>
      </c>
      <c r="I818" s="9">
        <v>25</v>
      </c>
      <c r="J818" s="48"/>
      <c r="K818" s="43">
        <v>19</v>
      </c>
      <c r="L818" s="45" t="s">
        <v>15</v>
      </c>
    </row>
    <row r="819" spans="1:12" ht="15.75" customHeight="1" x14ac:dyDescent="0.3">
      <c r="A819" s="21">
        <v>12</v>
      </c>
      <c r="B819" s="25">
        <v>45647</v>
      </c>
      <c r="C819" s="29" t="s">
        <v>530</v>
      </c>
      <c r="D819" s="36">
        <v>1</v>
      </c>
      <c r="E819" s="41" t="s">
        <v>531</v>
      </c>
      <c r="F819" s="42">
        <v>25</v>
      </c>
      <c r="G819" s="9">
        <v>25</v>
      </c>
      <c r="H819" s="45">
        <v>50</v>
      </c>
      <c r="I819" s="9">
        <v>50</v>
      </c>
      <c r="J819" s="48"/>
      <c r="K819" s="43">
        <v>25</v>
      </c>
      <c r="L819" s="45" t="s">
        <v>15</v>
      </c>
    </row>
    <row r="820" spans="1:12" ht="15.75" customHeight="1" x14ac:dyDescent="0.3">
      <c r="A820" s="21">
        <v>12</v>
      </c>
      <c r="B820" s="25">
        <v>45648</v>
      </c>
      <c r="C820" s="29" t="s">
        <v>532</v>
      </c>
      <c r="D820" s="36">
        <v>1</v>
      </c>
      <c r="E820" s="41" t="s">
        <v>533</v>
      </c>
      <c r="F820" s="42">
        <v>20</v>
      </c>
      <c r="G820" s="9">
        <v>20</v>
      </c>
      <c r="H820" s="45">
        <v>50</v>
      </c>
      <c r="I820" s="9">
        <v>50</v>
      </c>
      <c r="J820" s="48"/>
      <c r="K820" s="43">
        <v>30</v>
      </c>
      <c r="L820" s="45" t="s">
        <v>15</v>
      </c>
    </row>
    <row r="821" spans="1:12" ht="15.75" customHeight="1" x14ac:dyDescent="0.3">
      <c r="A821" s="21">
        <v>12</v>
      </c>
      <c r="B821" s="25">
        <v>45649</v>
      </c>
      <c r="C821" s="29" t="s">
        <v>495</v>
      </c>
      <c r="D821" s="36">
        <v>2</v>
      </c>
      <c r="E821" s="41" t="s">
        <v>20</v>
      </c>
      <c r="F821" s="42">
        <v>0.29425000000000001</v>
      </c>
      <c r="G821" s="9">
        <v>0.58850000000000002</v>
      </c>
      <c r="H821" s="45">
        <v>5</v>
      </c>
      <c r="I821" s="9">
        <v>10</v>
      </c>
      <c r="J821" s="48"/>
      <c r="K821" s="43">
        <v>9.4115000000000002</v>
      </c>
      <c r="L821" s="45" t="s">
        <v>15</v>
      </c>
    </row>
    <row r="822" spans="1:12" ht="15.75" customHeight="1" x14ac:dyDescent="0.3">
      <c r="A822" s="21">
        <v>12</v>
      </c>
      <c r="B822" s="25">
        <v>45649</v>
      </c>
      <c r="C822" s="29" t="s">
        <v>534</v>
      </c>
      <c r="D822" s="36">
        <v>1</v>
      </c>
      <c r="E822" s="41" t="s">
        <v>535</v>
      </c>
      <c r="F822" s="42" t="s">
        <v>72</v>
      </c>
      <c r="G822" s="9">
        <v>0</v>
      </c>
      <c r="H822" s="45">
        <v>15</v>
      </c>
      <c r="I822" s="9">
        <v>15</v>
      </c>
      <c r="J822" s="48"/>
      <c r="K822" s="43">
        <v>15</v>
      </c>
      <c r="L822" s="45" t="s">
        <v>15</v>
      </c>
    </row>
    <row r="823" spans="1:12" ht="15.75" customHeight="1" x14ac:dyDescent="0.3">
      <c r="A823" s="21">
        <v>12</v>
      </c>
      <c r="B823" s="25">
        <v>45649</v>
      </c>
      <c r="C823" s="29" t="s">
        <v>378</v>
      </c>
      <c r="D823" s="36">
        <v>1</v>
      </c>
      <c r="E823" s="41" t="s">
        <v>20</v>
      </c>
      <c r="F823" s="42">
        <v>17</v>
      </c>
      <c r="G823" s="9">
        <v>17</v>
      </c>
      <c r="H823" s="45">
        <v>30</v>
      </c>
      <c r="I823" s="9">
        <v>30</v>
      </c>
      <c r="J823" s="48"/>
      <c r="K823" s="43">
        <v>13</v>
      </c>
      <c r="L823" s="45" t="s">
        <v>15</v>
      </c>
    </row>
    <row r="824" spans="1:12" ht="15.75" customHeight="1" x14ac:dyDescent="0.3">
      <c r="A824" s="21">
        <v>12</v>
      </c>
      <c r="B824" s="25">
        <v>45649</v>
      </c>
      <c r="C824" s="29" t="s">
        <v>536</v>
      </c>
      <c r="D824" s="36">
        <v>1</v>
      </c>
      <c r="E824" s="41" t="s">
        <v>20</v>
      </c>
      <c r="F824" s="42">
        <v>5</v>
      </c>
      <c r="G824" s="9">
        <v>5</v>
      </c>
      <c r="H824" s="45">
        <v>10</v>
      </c>
      <c r="I824" s="9">
        <v>10</v>
      </c>
      <c r="J824" s="48"/>
      <c r="K824" s="43">
        <v>5</v>
      </c>
      <c r="L824" s="45" t="s">
        <v>15</v>
      </c>
    </row>
    <row r="825" spans="1:12" ht="15.75" customHeight="1" x14ac:dyDescent="0.3">
      <c r="A825" s="21">
        <v>12</v>
      </c>
      <c r="B825" s="25">
        <v>45652</v>
      </c>
      <c r="C825" s="29" t="s">
        <v>537</v>
      </c>
      <c r="D825" s="36">
        <v>1</v>
      </c>
      <c r="E825" s="41" t="s">
        <v>538</v>
      </c>
      <c r="F825" s="42">
        <v>7</v>
      </c>
      <c r="G825" s="9">
        <v>7</v>
      </c>
      <c r="H825" s="45">
        <v>15</v>
      </c>
      <c r="I825" s="9">
        <v>15</v>
      </c>
      <c r="J825" s="48"/>
      <c r="K825" s="43">
        <v>8</v>
      </c>
      <c r="L825" s="45" t="s">
        <v>15</v>
      </c>
    </row>
    <row r="826" spans="1:12" ht="15.75" customHeight="1" x14ac:dyDescent="0.3">
      <c r="A826" s="21">
        <v>12</v>
      </c>
      <c r="B826" s="25">
        <v>45652</v>
      </c>
      <c r="C826" s="29" t="s">
        <v>267</v>
      </c>
      <c r="D826" s="36">
        <v>1</v>
      </c>
      <c r="E826" s="41" t="s">
        <v>538</v>
      </c>
      <c r="F826" s="42">
        <v>0</v>
      </c>
      <c r="G826" s="9">
        <v>0</v>
      </c>
      <c r="H826" s="45">
        <v>30</v>
      </c>
      <c r="I826" s="9">
        <v>30</v>
      </c>
      <c r="J826" s="48"/>
      <c r="K826" s="43">
        <v>30</v>
      </c>
      <c r="L826" s="45" t="s">
        <v>15</v>
      </c>
    </row>
    <row r="827" spans="1:12" ht="15.75" customHeight="1" x14ac:dyDescent="0.3">
      <c r="A827" s="21">
        <v>12</v>
      </c>
      <c r="B827" s="25">
        <v>45652</v>
      </c>
      <c r="C827" s="29" t="s">
        <v>539</v>
      </c>
      <c r="D827" s="36">
        <v>1</v>
      </c>
      <c r="E827" s="41" t="s">
        <v>538</v>
      </c>
      <c r="F827" s="42">
        <v>16</v>
      </c>
      <c r="G827" s="9">
        <v>16</v>
      </c>
      <c r="H827" s="45">
        <v>40</v>
      </c>
      <c r="I827" s="9">
        <v>40</v>
      </c>
      <c r="J827" s="48"/>
      <c r="K827" s="43">
        <v>24</v>
      </c>
      <c r="L827" s="45" t="s">
        <v>15</v>
      </c>
    </row>
    <row r="828" spans="1:12" ht="15.75" customHeight="1" x14ac:dyDescent="0.3">
      <c r="A828" s="21">
        <v>12</v>
      </c>
      <c r="B828" s="25">
        <v>45652</v>
      </c>
      <c r="C828" s="29" t="s">
        <v>344</v>
      </c>
      <c r="D828" s="36">
        <v>1</v>
      </c>
      <c r="E828" s="41" t="s">
        <v>20</v>
      </c>
      <c r="F828" s="42">
        <v>7</v>
      </c>
      <c r="G828" s="9">
        <v>7</v>
      </c>
      <c r="H828" s="45">
        <v>10</v>
      </c>
      <c r="I828" s="9">
        <v>10</v>
      </c>
      <c r="J828" s="48"/>
      <c r="K828" s="43">
        <v>3</v>
      </c>
      <c r="L828" s="45" t="s">
        <v>15</v>
      </c>
    </row>
    <row r="829" spans="1:12" ht="15.75" customHeight="1" x14ac:dyDescent="0.3">
      <c r="A829" s="21">
        <v>12</v>
      </c>
      <c r="B829" s="25">
        <v>45653</v>
      </c>
      <c r="C829" s="29" t="s">
        <v>315</v>
      </c>
      <c r="D829" s="36">
        <v>1</v>
      </c>
      <c r="E829" s="41" t="s">
        <v>20</v>
      </c>
      <c r="F829" s="42">
        <v>7.0000000000000007E-2</v>
      </c>
      <c r="G829" s="9">
        <v>7.0000000000000007E-2</v>
      </c>
      <c r="H829" s="45">
        <v>1</v>
      </c>
      <c r="I829" s="9">
        <v>1</v>
      </c>
      <c r="J829" s="48"/>
      <c r="K829" s="43">
        <v>0.92999999999999994</v>
      </c>
      <c r="L829" s="45" t="s">
        <v>15</v>
      </c>
    </row>
    <row r="830" spans="1:12" ht="15.75" customHeight="1" x14ac:dyDescent="0.3">
      <c r="A830" s="21">
        <v>12</v>
      </c>
      <c r="B830" s="25">
        <v>45653</v>
      </c>
      <c r="C830" s="29" t="s">
        <v>315</v>
      </c>
      <c r="D830" s="36">
        <v>1</v>
      </c>
      <c r="E830" s="41" t="s">
        <v>445</v>
      </c>
      <c r="F830" s="42">
        <v>7.0000000000000007E-2</v>
      </c>
      <c r="G830" s="9">
        <v>7.0000000000000007E-2</v>
      </c>
      <c r="H830" s="45">
        <v>1</v>
      </c>
      <c r="I830" s="9">
        <v>1</v>
      </c>
      <c r="J830" s="48"/>
      <c r="K830" s="43">
        <v>0.92999999999999994</v>
      </c>
      <c r="L830" s="45" t="s">
        <v>15</v>
      </c>
    </row>
    <row r="831" spans="1:12" ht="15.75" customHeight="1" x14ac:dyDescent="0.3">
      <c r="A831" s="21">
        <v>12</v>
      </c>
      <c r="B831" s="25">
        <v>45653</v>
      </c>
      <c r="C831" s="29" t="s">
        <v>534</v>
      </c>
      <c r="D831" s="36">
        <v>1</v>
      </c>
      <c r="E831" s="41" t="s">
        <v>483</v>
      </c>
      <c r="F831" s="42" t="s">
        <v>72</v>
      </c>
      <c r="G831" s="9">
        <v>0</v>
      </c>
      <c r="H831" s="45">
        <v>30</v>
      </c>
      <c r="I831" s="9">
        <v>30</v>
      </c>
      <c r="J831" s="48"/>
      <c r="K831" s="43">
        <v>30</v>
      </c>
      <c r="L831" s="45" t="s">
        <v>15</v>
      </c>
    </row>
    <row r="832" spans="1:12" ht="15.75" customHeight="1" x14ac:dyDescent="0.3">
      <c r="A832" s="21">
        <v>12</v>
      </c>
      <c r="B832" s="25">
        <v>45653</v>
      </c>
      <c r="C832" s="29" t="s">
        <v>534</v>
      </c>
      <c r="D832" s="36">
        <v>1</v>
      </c>
      <c r="E832" s="41" t="s">
        <v>445</v>
      </c>
      <c r="F832" s="42" t="s">
        <v>72</v>
      </c>
      <c r="G832" s="9">
        <v>0</v>
      </c>
      <c r="H832" s="45">
        <v>15</v>
      </c>
      <c r="I832" s="9">
        <v>15</v>
      </c>
      <c r="J832" s="48"/>
      <c r="K832" s="43">
        <v>15</v>
      </c>
      <c r="L832" s="45" t="s">
        <v>15</v>
      </c>
    </row>
    <row r="833" spans="1:12" ht="15.75" customHeight="1" x14ac:dyDescent="0.3">
      <c r="A833" s="21">
        <v>12</v>
      </c>
      <c r="B833" s="25">
        <v>45653</v>
      </c>
      <c r="C833" s="29" t="s">
        <v>456</v>
      </c>
      <c r="D833" s="36">
        <v>1</v>
      </c>
      <c r="E833" s="41" t="s">
        <v>20</v>
      </c>
      <c r="F833" s="42">
        <v>8.3333333333333339</v>
      </c>
      <c r="G833" s="9">
        <v>8.3333333333333339</v>
      </c>
      <c r="H833" s="45">
        <v>25</v>
      </c>
      <c r="I833" s="9">
        <v>25</v>
      </c>
      <c r="J833" s="48"/>
      <c r="K833" s="43">
        <v>16.666666666666664</v>
      </c>
      <c r="L833" s="45" t="s">
        <v>15</v>
      </c>
    </row>
    <row r="834" spans="1:12" ht="15.75" customHeight="1" x14ac:dyDescent="0.3">
      <c r="A834" s="21">
        <v>12</v>
      </c>
      <c r="B834" s="25">
        <v>45653</v>
      </c>
      <c r="C834" s="29" t="s">
        <v>540</v>
      </c>
      <c r="D834" s="36">
        <v>1</v>
      </c>
      <c r="E834" s="41" t="s">
        <v>20</v>
      </c>
      <c r="F834" s="42">
        <v>19</v>
      </c>
      <c r="G834" s="9">
        <v>19</v>
      </c>
      <c r="H834" s="45">
        <v>20</v>
      </c>
      <c r="I834" s="9">
        <v>20</v>
      </c>
      <c r="J834" s="48"/>
      <c r="K834" s="43">
        <v>1</v>
      </c>
      <c r="L834" s="45" t="s">
        <v>15</v>
      </c>
    </row>
    <row r="835" spans="1:12" ht="15.75" customHeight="1" x14ac:dyDescent="0.3">
      <c r="A835" s="21">
        <v>12</v>
      </c>
      <c r="B835" s="25">
        <v>45654</v>
      </c>
      <c r="C835" s="29" t="s">
        <v>406</v>
      </c>
      <c r="D835" s="36">
        <v>1</v>
      </c>
      <c r="E835" s="41" t="s">
        <v>20</v>
      </c>
      <c r="F835" s="42">
        <v>10</v>
      </c>
      <c r="G835" s="9">
        <v>10</v>
      </c>
      <c r="H835" s="45">
        <v>15</v>
      </c>
      <c r="I835" s="9">
        <v>15</v>
      </c>
      <c r="J835" s="48"/>
      <c r="K835" s="43">
        <v>5</v>
      </c>
      <c r="L835" s="45" t="s">
        <v>15</v>
      </c>
    </row>
    <row r="836" spans="1:12" ht="15.75" customHeight="1" x14ac:dyDescent="0.3">
      <c r="A836" s="21">
        <v>12</v>
      </c>
      <c r="B836" s="25">
        <v>45654</v>
      </c>
      <c r="C836" s="29" t="s">
        <v>378</v>
      </c>
      <c r="D836" s="36">
        <v>1</v>
      </c>
      <c r="E836" s="41" t="s">
        <v>20</v>
      </c>
      <c r="F836" s="42">
        <v>17</v>
      </c>
      <c r="G836" s="9">
        <v>17</v>
      </c>
      <c r="H836" s="45">
        <v>30</v>
      </c>
      <c r="I836" s="9">
        <v>30</v>
      </c>
      <c r="J836" s="48"/>
      <c r="K836" s="43">
        <v>13</v>
      </c>
      <c r="L836" s="45" t="s">
        <v>15</v>
      </c>
    </row>
    <row r="837" spans="1:12" ht="15.75" customHeight="1" x14ac:dyDescent="0.3">
      <c r="A837" s="21">
        <v>12</v>
      </c>
      <c r="B837" s="25">
        <v>45654</v>
      </c>
      <c r="C837" s="29" t="s">
        <v>90</v>
      </c>
      <c r="D837" s="36">
        <v>1</v>
      </c>
      <c r="E837" s="41" t="s">
        <v>445</v>
      </c>
      <c r="F837" s="42">
        <v>3</v>
      </c>
      <c r="G837" s="9">
        <v>3</v>
      </c>
      <c r="H837" s="45">
        <v>15</v>
      </c>
      <c r="I837" s="9">
        <v>15</v>
      </c>
      <c r="J837" s="48"/>
      <c r="K837" s="43">
        <v>12</v>
      </c>
      <c r="L837" s="45" t="s">
        <v>15</v>
      </c>
    </row>
    <row r="838" spans="1:12" ht="15.75" customHeight="1" x14ac:dyDescent="0.3">
      <c r="A838" s="21">
        <v>12</v>
      </c>
      <c r="B838" s="25">
        <v>45653</v>
      </c>
      <c r="C838" s="29" t="s">
        <v>267</v>
      </c>
      <c r="D838" s="36">
        <v>1</v>
      </c>
      <c r="E838" s="41" t="s">
        <v>445</v>
      </c>
      <c r="F838" s="42">
        <v>0</v>
      </c>
      <c r="G838" s="9">
        <v>0</v>
      </c>
      <c r="H838" s="45">
        <v>25</v>
      </c>
      <c r="I838" s="9">
        <v>25</v>
      </c>
      <c r="J838" s="48"/>
      <c r="K838" s="43">
        <v>25</v>
      </c>
      <c r="L838" s="45" t="s">
        <v>15</v>
      </c>
    </row>
    <row r="839" spans="1:12" ht="15.75" customHeight="1" x14ac:dyDescent="0.3">
      <c r="A839" s="21">
        <v>12</v>
      </c>
      <c r="B839" s="25">
        <v>45654</v>
      </c>
      <c r="C839" s="29" t="s">
        <v>541</v>
      </c>
      <c r="D839" s="36">
        <v>1</v>
      </c>
      <c r="E839" s="41" t="s">
        <v>20</v>
      </c>
      <c r="F839" s="42">
        <v>145</v>
      </c>
      <c r="G839" s="9">
        <v>145</v>
      </c>
      <c r="H839" s="45">
        <v>170</v>
      </c>
      <c r="I839" s="9">
        <v>170</v>
      </c>
      <c r="J839" s="48"/>
      <c r="K839" s="43">
        <v>25</v>
      </c>
      <c r="L839" s="45" t="s">
        <v>15</v>
      </c>
    </row>
    <row r="840" spans="1:12" ht="15.75" customHeight="1" x14ac:dyDescent="0.3">
      <c r="A840" s="21">
        <v>12</v>
      </c>
      <c r="B840" s="25">
        <v>45654</v>
      </c>
      <c r="C840" s="29" t="s">
        <v>267</v>
      </c>
      <c r="D840" s="36">
        <v>1</v>
      </c>
      <c r="E840" s="41" t="s">
        <v>445</v>
      </c>
      <c r="F840" s="42">
        <v>0</v>
      </c>
      <c r="G840" s="9">
        <v>0</v>
      </c>
      <c r="H840" s="45">
        <v>40</v>
      </c>
      <c r="I840" s="9">
        <v>40</v>
      </c>
      <c r="J840" s="48"/>
      <c r="K840" s="43">
        <v>40</v>
      </c>
      <c r="L840" s="45" t="s">
        <v>15</v>
      </c>
    </row>
    <row r="841" spans="1:12" ht="15.75" customHeight="1" x14ac:dyDescent="0.3">
      <c r="A841" s="21">
        <v>12</v>
      </c>
      <c r="B841" s="25">
        <v>45654</v>
      </c>
      <c r="C841" s="29" t="s">
        <v>344</v>
      </c>
      <c r="D841" s="36">
        <v>1</v>
      </c>
      <c r="E841" s="41" t="s">
        <v>20</v>
      </c>
      <c r="F841" s="42">
        <v>7</v>
      </c>
      <c r="G841" s="9">
        <v>7</v>
      </c>
      <c r="H841" s="45">
        <v>10</v>
      </c>
      <c r="I841" s="9">
        <v>10</v>
      </c>
      <c r="J841" s="48"/>
      <c r="K841" s="43">
        <v>3</v>
      </c>
      <c r="L841" s="45" t="s">
        <v>15</v>
      </c>
    </row>
    <row r="842" spans="1:12" ht="15.75" customHeight="1" x14ac:dyDescent="0.3">
      <c r="A842" s="21">
        <v>12</v>
      </c>
      <c r="B842" s="25">
        <v>45656</v>
      </c>
      <c r="C842" s="29" t="s">
        <v>267</v>
      </c>
      <c r="D842" s="36">
        <v>1</v>
      </c>
      <c r="E842" s="41" t="s">
        <v>447</v>
      </c>
      <c r="F842" s="42">
        <v>0</v>
      </c>
      <c r="G842" s="9">
        <v>0</v>
      </c>
      <c r="H842" s="45">
        <v>22</v>
      </c>
      <c r="I842" s="9">
        <v>22</v>
      </c>
      <c r="J842" s="48"/>
      <c r="K842" s="43">
        <v>22</v>
      </c>
      <c r="L842" s="45" t="s">
        <v>15</v>
      </c>
    </row>
    <row r="843" spans="1:12" ht="15.75" customHeight="1" x14ac:dyDescent="0.3">
      <c r="A843" s="21">
        <v>12</v>
      </c>
      <c r="B843" s="25">
        <v>45657</v>
      </c>
      <c r="C843" s="29" t="s">
        <v>267</v>
      </c>
      <c r="D843" s="36">
        <v>1</v>
      </c>
      <c r="E843" s="41" t="s">
        <v>447</v>
      </c>
      <c r="F843" s="42">
        <v>0</v>
      </c>
      <c r="G843" s="9">
        <v>0</v>
      </c>
      <c r="H843" s="45">
        <v>30</v>
      </c>
      <c r="I843" s="9">
        <v>30</v>
      </c>
      <c r="J843" s="48"/>
      <c r="K843" s="43">
        <v>30</v>
      </c>
      <c r="L843" s="45" t="s">
        <v>15</v>
      </c>
    </row>
    <row r="844" spans="1:12" ht="15.75" customHeight="1" x14ac:dyDescent="0.3">
      <c r="A844" s="21">
        <v>12</v>
      </c>
      <c r="B844" s="25">
        <v>45657</v>
      </c>
      <c r="C844" s="29" t="s">
        <v>176</v>
      </c>
      <c r="D844" s="36">
        <v>1</v>
      </c>
      <c r="E844" s="41" t="s">
        <v>20</v>
      </c>
      <c r="F844" s="42">
        <v>5</v>
      </c>
      <c r="G844" s="9">
        <v>5</v>
      </c>
      <c r="H844" s="45">
        <v>20</v>
      </c>
      <c r="I844" s="9">
        <v>20</v>
      </c>
      <c r="J844" s="48"/>
      <c r="K844" s="43">
        <v>15</v>
      </c>
      <c r="L844" s="45" t="s">
        <v>15</v>
      </c>
    </row>
    <row r="845" spans="1:12" ht="15.75" customHeight="1" x14ac:dyDescent="0.3">
      <c r="A845" s="21">
        <v>12</v>
      </c>
      <c r="B845" s="25">
        <v>45657</v>
      </c>
      <c r="C845" s="29" t="s">
        <v>542</v>
      </c>
      <c r="D845" s="36">
        <v>1</v>
      </c>
      <c r="E845" s="41" t="s">
        <v>20</v>
      </c>
      <c r="F845" s="42">
        <v>50</v>
      </c>
      <c r="G845" s="9">
        <v>50</v>
      </c>
      <c r="H845" s="45">
        <v>100</v>
      </c>
      <c r="I845" s="9">
        <v>100</v>
      </c>
      <c r="J845" s="48"/>
      <c r="K845" s="43">
        <v>50</v>
      </c>
      <c r="L845" s="45" t="s">
        <v>15</v>
      </c>
    </row>
    <row r="846" spans="1:12" ht="15.75" customHeight="1" x14ac:dyDescent="0.3">
      <c r="A846" s="21">
        <v>12</v>
      </c>
      <c r="B846" s="25">
        <v>45657</v>
      </c>
      <c r="C846" s="29" t="s">
        <v>543</v>
      </c>
      <c r="D846" s="36">
        <v>1</v>
      </c>
      <c r="E846" s="41" t="s">
        <v>20</v>
      </c>
      <c r="F846" s="42">
        <v>15</v>
      </c>
      <c r="G846" s="9">
        <v>15</v>
      </c>
      <c r="H846" s="45">
        <v>35</v>
      </c>
      <c r="I846" s="9">
        <v>35</v>
      </c>
      <c r="J846" s="48"/>
      <c r="K846" s="43">
        <v>20</v>
      </c>
      <c r="L846" s="45" t="s">
        <v>15</v>
      </c>
    </row>
    <row r="847" spans="1:12" ht="15" customHeight="1" x14ac:dyDescent="0.25">
      <c r="B847" s="13"/>
      <c r="C847" s="14"/>
      <c r="D847" s="15"/>
      <c r="E847" s="15"/>
      <c r="F847" s="16"/>
      <c r="G847" s="17"/>
      <c r="H847" s="17"/>
      <c r="I847" s="16"/>
      <c r="J847" s="17"/>
      <c r="K847" s="16"/>
    </row>
    <row r="848" spans="1:12" ht="15" customHeight="1" x14ac:dyDescent="0.25">
      <c r="B848" s="13"/>
      <c r="C848" s="14"/>
      <c r="D848" s="15"/>
      <c r="E848" s="15"/>
      <c r="F848" s="16"/>
      <c r="G848" s="17"/>
      <c r="H848" s="17"/>
      <c r="I848" s="16"/>
      <c r="J848" s="17"/>
      <c r="K848" s="16"/>
    </row>
    <row r="849" spans="2:11" ht="15" customHeight="1" x14ac:dyDescent="0.25">
      <c r="B849" s="13"/>
      <c r="C849" s="14"/>
      <c r="D849" s="15"/>
      <c r="E849" s="15"/>
      <c r="F849" s="16"/>
      <c r="G849" s="17"/>
      <c r="H849" s="17"/>
      <c r="I849" s="16"/>
      <c r="J849" s="17"/>
      <c r="K849" s="16"/>
    </row>
    <row r="850" spans="2:11" ht="15" customHeight="1" x14ac:dyDescent="0.25">
      <c r="B850" s="13"/>
      <c r="C850" s="14"/>
      <c r="D850" s="15"/>
      <c r="E850" s="15"/>
      <c r="F850" s="16"/>
      <c r="G850" s="17"/>
      <c r="H850" s="17"/>
      <c r="I850" s="16"/>
      <c r="J850" s="17"/>
      <c r="K850" s="16"/>
    </row>
    <row r="851" spans="2:11" ht="15" customHeight="1" x14ac:dyDescent="0.25">
      <c r="B851" s="13"/>
      <c r="C851" s="14"/>
      <c r="D851" s="15"/>
      <c r="E851" s="15"/>
      <c r="F851" s="16"/>
      <c r="G851" s="17"/>
      <c r="H851" s="17"/>
      <c r="I851" s="16"/>
      <c r="J851" s="17"/>
      <c r="K851" s="16"/>
    </row>
    <row r="852" spans="2:11" ht="15" customHeight="1" x14ac:dyDescent="0.25">
      <c r="B852" s="13"/>
      <c r="C852" s="14"/>
      <c r="D852" s="15"/>
      <c r="E852" s="15"/>
      <c r="F852" s="16"/>
      <c r="G852" s="17"/>
      <c r="H852" s="17"/>
      <c r="I852" s="16"/>
      <c r="J852" s="17"/>
      <c r="K852" s="16"/>
    </row>
    <row r="853" spans="2:11" ht="15" customHeight="1" x14ac:dyDescent="0.25">
      <c r="B853" s="13"/>
      <c r="C853" s="14"/>
      <c r="D853" s="15"/>
      <c r="E853" s="15"/>
      <c r="F853" s="16"/>
      <c r="G853" s="17"/>
      <c r="H853" s="17"/>
      <c r="I853" s="16"/>
      <c r="J853" s="17"/>
      <c r="K853" s="16"/>
    </row>
    <row r="854" spans="2:11" ht="15" customHeight="1" x14ac:dyDescent="0.25">
      <c r="B854" s="13"/>
      <c r="C854" s="14"/>
      <c r="D854" s="15"/>
      <c r="E854" s="15"/>
      <c r="F854" s="16"/>
      <c r="G854" s="17"/>
      <c r="H854" s="17"/>
      <c r="I854" s="16"/>
      <c r="J854" s="17"/>
      <c r="K854" s="16"/>
    </row>
    <row r="855" spans="2:11" ht="15" customHeight="1" x14ac:dyDescent="0.25">
      <c r="B855" s="13"/>
      <c r="C855" s="14"/>
      <c r="D855" s="15"/>
      <c r="E855" s="15"/>
      <c r="F855" s="16"/>
      <c r="G855" s="17"/>
      <c r="H855" s="17"/>
      <c r="I855" s="16"/>
      <c r="J855" s="17"/>
      <c r="K855" s="16"/>
    </row>
    <row r="856" spans="2:11" ht="15" customHeight="1" x14ac:dyDescent="0.25">
      <c r="B856" s="13"/>
      <c r="C856" s="14"/>
      <c r="D856" s="15"/>
      <c r="E856" s="15"/>
      <c r="F856" s="16"/>
      <c r="G856" s="17"/>
      <c r="H856" s="17"/>
      <c r="I856" s="16"/>
      <c r="J856" s="17"/>
      <c r="K856" s="16"/>
    </row>
    <row r="857" spans="2:11" ht="15" customHeight="1" x14ac:dyDescent="0.25">
      <c r="B857" s="13"/>
      <c r="C857" s="14"/>
      <c r="D857" s="15"/>
      <c r="E857" s="15"/>
      <c r="F857" s="16"/>
      <c r="G857" s="17"/>
      <c r="H857" s="17"/>
      <c r="I857" s="16"/>
      <c r="J857" s="17"/>
      <c r="K857" s="16"/>
    </row>
    <row r="858" spans="2:11" ht="15" customHeight="1" x14ac:dyDescent="0.25">
      <c r="B858" s="13"/>
      <c r="C858" s="14"/>
      <c r="D858" s="15"/>
      <c r="E858" s="15"/>
      <c r="F858" s="16"/>
      <c r="G858" s="17"/>
      <c r="H858" s="17"/>
      <c r="I858" s="16"/>
      <c r="J858" s="17"/>
      <c r="K858" s="16"/>
    </row>
    <row r="859" spans="2:11" ht="15" customHeight="1" x14ac:dyDescent="0.25">
      <c r="B859" s="13"/>
      <c r="C859" s="14"/>
      <c r="D859" s="15"/>
      <c r="E859" s="15"/>
      <c r="F859" s="16"/>
      <c r="G859" s="17"/>
      <c r="H859" s="17"/>
      <c r="I859" s="16"/>
      <c r="J859" s="17"/>
      <c r="K859" s="16"/>
    </row>
    <row r="860" spans="2:11" ht="15" customHeight="1" x14ac:dyDescent="0.25">
      <c r="B860" s="13"/>
      <c r="C860" s="14"/>
      <c r="D860" s="15"/>
      <c r="E860" s="15"/>
      <c r="F860" s="16"/>
      <c r="G860" s="17"/>
      <c r="H860" s="17"/>
      <c r="I860" s="16"/>
      <c r="J860" s="17"/>
      <c r="K860" s="16"/>
    </row>
    <row r="861" spans="2:11" ht="15" customHeight="1" x14ac:dyDescent="0.25">
      <c r="B861" s="13"/>
      <c r="C861" s="14"/>
      <c r="D861" s="15"/>
      <c r="E861" s="15"/>
      <c r="F861" s="16"/>
      <c r="G861" s="17"/>
      <c r="H861" s="17"/>
      <c r="I861" s="16"/>
      <c r="J861" s="17"/>
      <c r="K861" s="16"/>
    </row>
    <row r="862" spans="2:11" ht="15" customHeight="1" x14ac:dyDescent="0.25">
      <c r="B862" s="13"/>
      <c r="C862" s="14"/>
      <c r="D862" s="15"/>
      <c r="E862" s="15"/>
      <c r="F862" s="16"/>
      <c r="G862" s="17"/>
      <c r="H862" s="17"/>
      <c r="I862" s="16"/>
      <c r="J862" s="17"/>
      <c r="K862" s="16"/>
    </row>
    <row r="863" spans="2:11" ht="15" customHeight="1" x14ac:dyDescent="0.25">
      <c r="B863" s="13"/>
      <c r="C863" s="14"/>
      <c r="D863" s="15"/>
      <c r="E863" s="15"/>
      <c r="F863" s="16"/>
      <c r="G863" s="17"/>
      <c r="H863" s="17"/>
      <c r="I863" s="16"/>
      <c r="J863" s="17"/>
      <c r="K863" s="16"/>
    </row>
    <row r="864" spans="2:11" ht="15" customHeight="1" x14ac:dyDescent="0.25">
      <c r="B864" s="13"/>
      <c r="C864" s="14"/>
      <c r="D864" s="15"/>
      <c r="E864" s="15"/>
      <c r="F864" s="16"/>
      <c r="G864" s="17"/>
      <c r="H864" s="17"/>
      <c r="I864" s="16"/>
      <c r="J864" s="17"/>
      <c r="K864" s="16"/>
    </row>
    <row r="865" spans="2:11" ht="15" customHeight="1" x14ac:dyDescent="0.25">
      <c r="B865" s="13"/>
      <c r="C865" s="14"/>
      <c r="D865" s="15"/>
      <c r="E865" s="15"/>
      <c r="F865" s="16"/>
      <c r="G865" s="17"/>
      <c r="H865" s="17"/>
      <c r="I865" s="16"/>
      <c r="J865" s="17"/>
      <c r="K865" s="16"/>
    </row>
    <row r="866" spans="2:11" ht="15" customHeight="1" x14ac:dyDescent="0.25">
      <c r="B866" s="13"/>
      <c r="C866" s="14"/>
      <c r="D866" s="15"/>
      <c r="E866" s="15"/>
      <c r="F866" s="16"/>
      <c r="G866" s="17"/>
      <c r="H866" s="17"/>
      <c r="I866" s="16"/>
      <c r="J866" s="17"/>
      <c r="K866" s="16"/>
    </row>
    <row r="867" spans="2:11" ht="15" customHeight="1" x14ac:dyDescent="0.25">
      <c r="B867" s="13"/>
      <c r="C867" s="14"/>
      <c r="D867" s="15"/>
      <c r="E867" s="15"/>
      <c r="F867" s="16"/>
      <c r="G867" s="17"/>
      <c r="H867" s="17"/>
      <c r="I867" s="16"/>
      <c r="J867" s="17"/>
      <c r="K867" s="16"/>
    </row>
    <row r="868" spans="2:11" ht="15" customHeight="1" x14ac:dyDescent="0.25">
      <c r="B868" s="13"/>
      <c r="C868" s="14"/>
      <c r="D868" s="15"/>
      <c r="E868" s="15"/>
      <c r="F868" s="16"/>
      <c r="G868" s="17"/>
      <c r="H868" s="17"/>
      <c r="I868" s="16"/>
      <c r="J868" s="17"/>
      <c r="K868" s="16"/>
    </row>
    <row r="869" spans="2:11" ht="15" customHeight="1" x14ac:dyDescent="0.25">
      <c r="B869" s="13"/>
      <c r="C869" s="14"/>
      <c r="D869" s="15"/>
      <c r="E869" s="15"/>
      <c r="F869" s="16"/>
      <c r="G869" s="17"/>
      <c r="H869" s="17"/>
      <c r="I869" s="16"/>
      <c r="J869" s="17"/>
      <c r="K869" s="16"/>
    </row>
    <row r="870" spans="2:11" ht="15" customHeight="1" x14ac:dyDescent="0.25">
      <c r="B870" s="13"/>
      <c r="C870" s="14"/>
      <c r="D870" s="15"/>
      <c r="E870" s="15"/>
      <c r="F870" s="16"/>
      <c r="G870" s="17"/>
      <c r="H870" s="17"/>
      <c r="I870" s="16"/>
      <c r="J870" s="17"/>
      <c r="K870" s="16"/>
    </row>
    <row r="871" spans="2:11" ht="15" customHeight="1" x14ac:dyDescent="0.25">
      <c r="B871" s="13"/>
      <c r="C871" s="14"/>
      <c r="D871" s="15"/>
      <c r="E871" s="15"/>
      <c r="F871" s="16"/>
      <c r="G871" s="17"/>
      <c r="H871" s="17"/>
      <c r="I871" s="16"/>
      <c r="J871" s="17"/>
      <c r="K871" s="16"/>
    </row>
    <row r="872" spans="2:11" ht="15" customHeight="1" x14ac:dyDescent="0.25">
      <c r="B872" s="13"/>
      <c r="C872" s="14"/>
      <c r="D872" s="15"/>
      <c r="E872" s="15"/>
      <c r="F872" s="16"/>
      <c r="G872" s="17"/>
      <c r="H872" s="17"/>
      <c r="I872" s="16"/>
      <c r="J872" s="17"/>
      <c r="K872" s="16"/>
    </row>
    <row r="873" spans="2:11" ht="15" customHeight="1" x14ac:dyDescent="0.25">
      <c r="B873" s="13"/>
      <c r="C873" s="14"/>
      <c r="D873" s="15"/>
      <c r="E873" s="15"/>
      <c r="F873" s="16"/>
      <c r="G873" s="17"/>
      <c r="H873" s="17"/>
      <c r="I873" s="16"/>
      <c r="J873" s="17"/>
      <c r="K873" s="16"/>
    </row>
    <row r="874" spans="2:11" ht="15" customHeight="1" x14ac:dyDescent="0.25">
      <c r="B874" s="13"/>
      <c r="C874" s="14"/>
      <c r="D874" s="15"/>
      <c r="E874" s="15"/>
      <c r="F874" s="16"/>
      <c r="G874" s="17"/>
      <c r="H874" s="17"/>
      <c r="I874" s="16"/>
      <c r="J874" s="17"/>
      <c r="K874" s="16"/>
    </row>
    <row r="875" spans="2:11" ht="15" customHeight="1" x14ac:dyDescent="0.25">
      <c r="B875" s="13"/>
      <c r="C875" s="14"/>
      <c r="D875" s="15"/>
      <c r="E875" s="15"/>
      <c r="F875" s="16"/>
      <c r="G875" s="17"/>
      <c r="H875" s="17"/>
      <c r="I875" s="16"/>
      <c r="J875" s="17"/>
      <c r="K875" s="16"/>
    </row>
    <row r="876" spans="2:11" ht="15" customHeight="1" x14ac:dyDescent="0.25">
      <c r="B876" s="13"/>
      <c r="C876" s="14"/>
      <c r="D876" s="15"/>
      <c r="E876" s="15"/>
      <c r="F876" s="16"/>
      <c r="G876" s="17"/>
      <c r="H876" s="17"/>
      <c r="I876" s="16"/>
      <c r="J876" s="17"/>
      <c r="K876" s="16"/>
    </row>
    <row r="877" spans="2:11" ht="15" customHeight="1" x14ac:dyDescent="0.25">
      <c r="B877" s="13"/>
      <c r="C877" s="14"/>
      <c r="D877" s="15"/>
      <c r="E877" s="15"/>
      <c r="F877" s="16"/>
      <c r="G877" s="17"/>
      <c r="H877" s="17"/>
      <c r="I877" s="16"/>
      <c r="J877" s="17"/>
      <c r="K877" s="16"/>
    </row>
    <row r="878" spans="2:11" ht="15" customHeight="1" x14ac:dyDescent="0.25">
      <c r="B878" s="13"/>
      <c r="C878" s="14"/>
      <c r="D878" s="15"/>
      <c r="E878" s="15"/>
      <c r="F878" s="16"/>
      <c r="G878" s="17"/>
      <c r="H878" s="17"/>
      <c r="I878" s="16"/>
      <c r="J878" s="17"/>
      <c r="K878" s="16"/>
    </row>
    <row r="879" spans="2:11" ht="15" customHeight="1" x14ac:dyDescent="0.25">
      <c r="B879" s="13"/>
      <c r="C879" s="14"/>
      <c r="D879" s="15"/>
      <c r="E879" s="15"/>
      <c r="F879" s="16"/>
      <c r="G879" s="17"/>
      <c r="H879" s="17"/>
      <c r="I879" s="16"/>
      <c r="J879" s="17"/>
      <c r="K879" s="16"/>
    </row>
    <row r="880" spans="2:11" ht="15" customHeight="1" x14ac:dyDescent="0.25">
      <c r="B880" s="13"/>
      <c r="C880" s="14"/>
      <c r="D880" s="15"/>
      <c r="E880" s="15"/>
      <c r="F880" s="16"/>
      <c r="G880" s="17"/>
      <c r="H880" s="17"/>
      <c r="I880" s="16"/>
      <c r="J880" s="17"/>
      <c r="K880" s="16"/>
    </row>
    <row r="881" spans="2:11" ht="15" customHeight="1" x14ac:dyDescent="0.25">
      <c r="B881" s="13"/>
      <c r="C881" s="14"/>
      <c r="D881" s="15"/>
      <c r="E881" s="15"/>
      <c r="F881" s="16"/>
      <c r="G881" s="17"/>
      <c r="H881" s="17"/>
      <c r="I881" s="16"/>
      <c r="J881" s="17"/>
      <c r="K881" s="16"/>
    </row>
    <row r="882" spans="2:11" ht="15" customHeight="1" x14ac:dyDescent="0.25">
      <c r="B882" s="13"/>
      <c r="C882" s="14"/>
      <c r="D882" s="15"/>
      <c r="E882" s="15"/>
      <c r="F882" s="16"/>
      <c r="G882" s="17"/>
      <c r="H882" s="17"/>
      <c r="I882" s="16"/>
      <c r="J882" s="17"/>
      <c r="K882" s="16"/>
    </row>
    <row r="883" spans="2:11" ht="15" customHeight="1" x14ac:dyDescent="0.25">
      <c r="B883" s="13"/>
      <c r="C883" s="14"/>
      <c r="D883" s="15"/>
      <c r="E883" s="15"/>
      <c r="F883" s="16"/>
      <c r="G883" s="17"/>
      <c r="H883" s="17"/>
      <c r="I883" s="16"/>
      <c r="J883" s="17"/>
      <c r="K883" s="16"/>
    </row>
    <row r="884" spans="2:11" ht="15" customHeight="1" x14ac:dyDescent="0.25">
      <c r="B884" s="13"/>
      <c r="C884" s="14"/>
      <c r="D884" s="15"/>
      <c r="E884" s="15"/>
      <c r="F884" s="16"/>
      <c r="G884" s="17"/>
      <c r="H884" s="17"/>
      <c r="I884" s="16"/>
      <c r="J884" s="17"/>
      <c r="K884" s="16"/>
    </row>
    <row r="885" spans="2:11" ht="15" customHeight="1" x14ac:dyDescent="0.25">
      <c r="B885" s="13"/>
      <c r="C885" s="14"/>
      <c r="D885" s="15"/>
      <c r="E885" s="15"/>
      <c r="F885" s="16"/>
      <c r="G885" s="17"/>
      <c r="H885" s="17"/>
      <c r="I885" s="16"/>
      <c r="J885" s="17"/>
      <c r="K885" s="16"/>
    </row>
    <row r="886" spans="2:11" ht="15" customHeight="1" x14ac:dyDescent="0.25">
      <c r="B886" s="13"/>
      <c r="C886" s="14"/>
      <c r="D886" s="15"/>
      <c r="E886" s="15"/>
      <c r="F886" s="16"/>
      <c r="G886" s="17"/>
      <c r="H886" s="17"/>
      <c r="I886" s="16"/>
      <c r="J886" s="17"/>
      <c r="K886" s="16"/>
    </row>
    <row r="887" spans="2:11" ht="15" customHeight="1" x14ac:dyDescent="0.25">
      <c r="B887" s="13"/>
      <c r="C887" s="14"/>
      <c r="D887" s="15"/>
      <c r="E887" s="15"/>
      <c r="F887" s="16"/>
      <c r="G887" s="17"/>
      <c r="H887" s="17"/>
      <c r="I887" s="16"/>
      <c r="J887" s="17"/>
      <c r="K887" s="16"/>
    </row>
    <row r="888" spans="2:11" ht="15" customHeight="1" x14ac:dyDescent="0.25">
      <c r="B888" s="13"/>
      <c r="C888" s="14"/>
      <c r="D888" s="15"/>
      <c r="E888" s="15"/>
      <c r="F888" s="16"/>
      <c r="G888" s="17"/>
      <c r="H888" s="17"/>
      <c r="I888" s="16"/>
      <c r="J888" s="17"/>
      <c r="K888" s="16"/>
    </row>
    <row r="889" spans="2:11" ht="15" customHeight="1" x14ac:dyDescent="0.25">
      <c r="B889" s="13"/>
      <c r="C889" s="14"/>
      <c r="D889" s="15"/>
      <c r="E889" s="15"/>
      <c r="F889" s="16"/>
      <c r="G889" s="17"/>
      <c r="H889" s="17"/>
      <c r="I889" s="16"/>
      <c r="J889" s="17"/>
      <c r="K889" s="16"/>
    </row>
    <row r="890" spans="2:11" ht="15" customHeight="1" x14ac:dyDescent="0.25">
      <c r="B890" s="13"/>
      <c r="C890" s="14"/>
      <c r="D890" s="15"/>
      <c r="E890" s="15"/>
      <c r="F890" s="16"/>
      <c r="G890" s="17"/>
      <c r="H890" s="17"/>
      <c r="I890" s="16"/>
      <c r="J890" s="17"/>
      <c r="K890" s="16"/>
    </row>
    <row r="891" spans="2:11" ht="15" customHeight="1" x14ac:dyDescent="0.25">
      <c r="B891" s="13"/>
      <c r="C891" s="14"/>
      <c r="D891" s="15"/>
      <c r="E891" s="15"/>
      <c r="F891" s="16"/>
      <c r="G891" s="17"/>
      <c r="H891" s="17"/>
      <c r="I891" s="16"/>
      <c r="J891" s="17"/>
      <c r="K891" s="16"/>
    </row>
    <row r="892" spans="2:11" ht="15" customHeight="1" x14ac:dyDescent="0.25">
      <c r="B892" s="13"/>
      <c r="C892" s="14"/>
      <c r="D892" s="15"/>
      <c r="E892" s="15"/>
      <c r="F892" s="16"/>
      <c r="G892" s="17"/>
      <c r="H892" s="17"/>
      <c r="I892" s="16"/>
      <c r="J892" s="17"/>
      <c r="K892" s="16"/>
    </row>
    <row r="893" spans="2:11" ht="15" customHeight="1" x14ac:dyDescent="0.25">
      <c r="B893" s="13"/>
      <c r="C893" s="14"/>
      <c r="D893" s="15"/>
      <c r="E893" s="15"/>
      <c r="F893" s="16"/>
      <c r="G893" s="17"/>
      <c r="H893" s="17"/>
      <c r="I893" s="16"/>
      <c r="J893" s="17"/>
      <c r="K893" s="16"/>
    </row>
    <row r="894" spans="2:11" ht="15" customHeight="1" x14ac:dyDescent="0.25">
      <c r="B894" s="13"/>
      <c r="C894" s="14"/>
      <c r="D894" s="15"/>
      <c r="E894" s="15"/>
      <c r="F894" s="16"/>
      <c r="G894" s="17"/>
      <c r="H894" s="17"/>
      <c r="I894" s="16"/>
      <c r="J894" s="17"/>
      <c r="K894" s="16"/>
    </row>
    <row r="895" spans="2:11" ht="15" customHeight="1" x14ac:dyDescent="0.25">
      <c r="B895" s="13"/>
      <c r="C895" s="14"/>
      <c r="D895" s="15"/>
      <c r="E895" s="15"/>
      <c r="F895" s="16"/>
      <c r="G895" s="17"/>
      <c r="H895" s="17"/>
      <c r="I895" s="16"/>
      <c r="J895" s="17"/>
      <c r="K895" s="16"/>
    </row>
    <row r="896" spans="2:11" ht="15" customHeight="1" x14ac:dyDescent="0.25">
      <c r="B896" s="13"/>
      <c r="C896" s="14"/>
      <c r="D896" s="15"/>
      <c r="E896" s="15"/>
      <c r="F896" s="16"/>
      <c r="G896" s="17"/>
      <c r="H896" s="17"/>
      <c r="I896" s="16"/>
      <c r="J896" s="17"/>
      <c r="K896" s="16"/>
    </row>
    <row r="897" spans="2:11" ht="15" customHeight="1" x14ac:dyDescent="0.25">
      <c r="B897" s="13"/>
      <c r="C897" s="14"/>
      <c r="D897" s="15"/>
      <c r="E897" s="15"/>
      <c r="F897" s="16"/>
      <c r="G897" s="17"/>
      <c r="H897" s="17"/>
      <c r="I897" s="16"/>
      <c r="J897" s="17"/>
      <c r="K897" s="16"/>
    </row>
    <row r="898" spans="2:11" ht="15" customHeight="1" x14ac:dyDescent="0.25">
      <c r="B898" s="13"/>
      <c r="C898" s="14"/>
      <c r="D898" s="15"/>
      <c r="E898" s="15"/>
      <c r="F898" s="16"/>
      <c r="G898" s="17"/>
      <c r="H898" s="17"/>
      <c r="I898" s="16"/>
      <c r="J898" s="17"/>
      <c r="K898" s="16"/>
    </row>
    <row r="899" spans="2:11" ht="15" customHeight="1" x14ac:dyDescent="0.25">
      <c r="B899" s="13"/>
      <c r="C899" s="14"/>
      <c r="D899" s="15"/>
      <c r="E899" s="15"/>
      <c r="F899" s="16"/>
      <c r="G899" s="17"/>
      <c r="H899" s="17"/>
      <c r="I899" s="16"/>
      <c r="J899" s="17"/>
      <c r="K899" s="16"/>
    </row>
    <row r="900" spans="2:11" ht="15" customHeight="1" x14ac:dyDescent="0.25">
      <c r="B900" s="13"/>
      <c r="C900" s="14"/>
      <c r="D900" s="15"/>
      <c r="E900" s="15"/>
      <c r="F900" s="16"/>
      <c r="G900" s="17"/>
      <c r="H900" s="17"/>
      <c r="I900" s="16"/>
      <c r="J900" s="17"/>
      <c r="K900" s="16"/>
    </row>
    <row r="901" spans="2:11" ht="15" customHeight="1" x14ac:dyDescent="0.25">
      <c r="B901" s="13"/>
      <c r="C901" s="14"/>
      <c r="D901" s="15"/>
      <c r="E901" s="15"/>
      <c r="F901" s="16"/>
      <c r="G901" s="17"/>
      <c r="H901" s="17"/>
      <c r="I901" s="16"/>
      <c r="J901" s="17"/>
      <c r="K901" s="16"/>
    </row>
    <row r="902" spans="2:11" ht="15" customHeight="1" x14ac:dyDescent="0.25">
      <c r="B902" s="13"/>
      <c r="C902" s="14"/>
      <c r="D902" s="15"/>
      <c r="E902" s="15"/>
      <c r="F902" s="16"/>
      <c r="G902" s="17"/>
      <c r="H902" s="17"/>
      <c r="I902" s="16"/>
      <c r="J902" s="17"/>
      <c r="K902" s="16"/>
    </row>
    <row r="903" spans="2:11" ht="15" customHeight="1" x14ac:dyDescent="0.25">
      <c r="B903" s="13"/>
      <c r="C903" s="14"/>
      <c r="D903" s="15"/>
      <c r="E903" s="15"/>
      <c r="F903" s="16"/>
      <c r="G903" s="17"/>
      <c r="H903" s="17"/>
      <c r="I903" s="16"/>
      <c r="J903" s="17"/>
      <c r="K903" s="16"/>
    </row>
    <row r="904" spans="2:11" ht="15" customHeight="1" x14ac:dyDescent="0.25">
      <c r="B904" s="13"/>
      <c r="C904" s="14"/>
      <c r="D904" s="15"/>
      <c r="E904" s="15"/>
      <c r="F904" s="16"/>
      <c r="G904" s="17"/>
      <c r="H904" s="17"/>
      <c r="I904" s="16"/>
      <c r="J904" s="17"/>
      <c r="K904" s="16"/>
    </row>
    <row r="905" spans="2:11" ht="15" customHeight="1" x14ac:dyDescent="0.25">
      <c r="B905" s="13"/>
      <c r="C905" s="14"/>
      <c r="D905" s="15"/>
      <c r="E905" s="15"/>
      <c r="F905" s="16"/>
      <c r="G905" s="17"/>
      <c r="H905" s="17"/>
      <c r="I905" s="16"/>
      <c r="J905" s="17"/>
      <c r="K905" s="16"/>
    </row>
    <row r="906" spans="2:11" ht="15" customHeight="1" x14ac:dyDescent="0.25">
      <c r="B906" s="13"/>
      <c r="C906" s="14"/>
      <c r="D906" s="15"/>
      <c r="E906" s="15"/>
      <c r="F906" s="16"/>
      <c r="G906" s="17"/>
      <c r="H906" s="17"/>
      <c r="I906" s="16"/>
      <c r="J906" s="17"/>
      <c r="K906" s="16"/>
    </row>
    <row r="907" spans="2:11" ht="15" customHeight="1" x14ac:dyDescent="0.25">
      <c r="B907" s="13"/>
      <c r="C907" s="14"/>
      <c r="D907" s="15"/>
      <c r="E907" s="15"/>
      <c r="F907" s="16"/>
      <c r="G907" s="17"/>
      <c r="H907" s="17"/>
      <c r="I907" s="16"/>
      <c r="J907" s="17"/>
      <c r="K907" s="16"/>
    </row>
    <row r="908" spans="2:11" ht="15" customHeight="1" x14ac:dyDescent="0.25">
      <c r="B908" s="13"/>
      <c r="C908" s="14"/>
      <c r="D908" s="15"/>
      <c r="E908" s="15"/>
      <c r="F908" s="16"/>
      <c r="G908" s="17"/>
      <c r="H908" s="17"/>
      <c r="I908" s="16"/>
      <c r="J908" s="17"/>
      <c r="K908" s="16"/>
    </row>
    <row r="909" spans="2:11" ht="15" customHeight="1" x14ac:dyDescent="0.25">
      <c r="B909" s="13"/>
      <c r="C909" s="14"/>
      <c r="D909" s="15"/>
      <c r="E909" s="15"/>
      <c r="F909" s="16"/>
      <c r="G909" s="17"/>
      <c r="H909" s="17"/>
      <c r="I909" s="16"/>
      <c r="J909" s="17"/>
      <c r="K909" s="16"/>
    </row>
    <row r="910" spans="2:11" ht="15" customHeight="1" x14ac:dyDescent="0.25">
      <c r="B910" s="13"/>
      <c r="C910" s="14"/>
      <c r="D910" s="15"/>
      <c r="E910" s="15"/>
      <c r="F910" s="16"/>
      <c r="G910" s="17"/>
      <c r="H910" s="17"/>
      <c r="I910" s="16"/>
      <c r="J910" s="17"/>
      <c r="K910" s="16"/>
    </row>
    <row r="911" spans="2:11" ht="15" customHeight="1" x14ac:dyDescent="0.25">
      <c r="B911" s="13"/>
      <c r="C911" s="14"/>
      <c r="D911" s="15"/>
      <c r="E911" s="15"/>
      <c r="F911" s="16"/>
      <c r="G911" s="17"/>
      <c r="H911" s="17"/>
      <c r="I911" s="16"/>
      <c r="J911" s="17"/>
      <c r="K911" s="16"/>
    </row>
    <row r="912" spans="2:11" ht="15" customHeight="1" x14ac:dyDescent="0.25">
      <c r="B912" s="13"/>
      <c r="C912" s="14"/>
      <c r="D912" s="15"/>
      <c r="E912" s="15"/>
      <c r="F912" s="16"/>
      <c r="G912" s="17"/>
      <c r="H912" s="17"/>
      <c r="I912" s="16"/>
      <c r="J912" s="17"/>
      <c r="K912" s="16"/>
    </row>
    <row r="913" spans="2:11" ht="15" customHeight="1" x14ac:dyDescent="0.25">
      <c r="B913" s="13"/>
      <c r="C913" s="14"/>
      <c r="D913" s="15"/>
      <c r="E913" s="15"/>
      <c r="F913" s="16"/>
      <c r="G913" s="17"/>
      <c r="H913" s="17"/>
      <c r="I913" s="16"/>
      <c r="J913" s="17"/>
      <c r="K913" s="16"/>
    </row>
    <row r="914" spans="2:11" ht="15" customHeight="1" x14ac:dyDescent="0.25">
      <c r="B914" s="13"/>
      <c r="C914" s="14"/>
      <c r="D914" s="15"/>
      <c r="E914" s="15"/>
      <c r="F914" s="16"/>
      <c r="G914" s="17"/>
      <c r="H914" s="17"/>
      <c r="I914" s="16"/>
      <c r="J914" s="17"/>
      <c r="K914" s="16"/>
    </row>
    <row r="915" spans="2:11" ht="15" customHeight="1" x14ac:dyDescent="0.25">
      <c r="B915" s="13"/>
      <c r="C915" s="14"/>
      <c r="D915" s="15"/>
      <c r="E915" s="15"/>
      <c r="F915" s="16"/>
      <c r="G915" s="17"/>
      <c r="H915" s="17"/>
      <c r="I915" s="16"/>
      <c r="J915" s="17"/>
      <c r="K915" s="16"/>
    </row>
    <row r="916" spans="2:11" ht="15" customHeight="1" x14ac:dyDescent="0.25">
      <c r="B916" s="13"/>
      <c r="C916" s="14"/>
      <c r="D916" s="15"/>
      <c r="E916" s="15"/>
      <c r="F916" s="16"/>
      <c r="G916" s="17"/>
      <c r="H916" s="17"/>
      <c r="I916" s="16"/>
      <c r="J916" s="17"/>
      <c r="K916" s="16"/>
    </row>
    <row r="917" spans="2:11" ht="15" customHeight="1" x14ac:dyDescent="0.25">
      <c r="B917" s="13"/>
      <c r="C917" s="14"/>
      <c r="D917" s="15"/>
      <c r="E917" s="15"/>
      <c r="F917" s="16"/>
      <c r="G917" s="17"/>
      <c r="H917" s="17"/>
      <c r="I917" s="16"/>
      <c r="J917" s="17"/>
      <c r="K917" s="16"/>
    </row>
    <row r="918" spans="2:11" ht="15" customHeight="1" x14ac:dyDescent="0.25">
      <c r="B918" s="13"/>
      <c r="C918" s="14"/>
      <c r="D918" s="15"/>
      <c r="E918" s="15"/>
      <c r="F918" s="16"/>
      <c r="G918" s="17"/>
      <c r="H918" s="17"/>
      <c r="I918" s="16"/>
      <c r="J918" s="17"/>
      <c r="K918" s="16"/>
    </row>
    <row r="919" spans="2:11" ht="15" customHeight="1" x14ac:dyDescent="0.25">
      <c r="B919" s="13"/>
      <c r="C919" s="14"/>
      <c r="D919" s="15"/>
      <c r="E919" s="15"/>
      <c r="F919" s="16"/>
      <c r="G919" s="17"/>
      <c r="H919" s="17"/>
      <c r="I919" s="16"/>
      <c r="J919" s="17"/>
      <c r="K919" s="16"/>
    </row>
    <row r="920" spans="2:11" ht="15" customHeight="1" x14ac:dyDescent="0.25">
      <c r="B920" s="13"/>
      <c r="C920" s="14"/>
      <c r="D920" s="15"/>
      <c r="E920" s="15"/>
      <c r="F920" s="16"/>
      <c r="G920" s="17"/>
      <c r="H920" s="17"/>
      <c r="I920" s="16"/>
      <c r="J920" s="17"/>
      <c r="K920" s="16"/>
    </row>
    <row r="921" spans="2:11" ht="15" customHeight="1" x14ac:dyDescent="0.25">
      <c r="B921" s="13"/>
      <c r="C921" s="14"/>
      <c r="D921" s="15"/>
      <c r="E921" s="15"/>
      <c r="F921" s="16"/>
      <c r="G921" s="17"/>
      <c r="H921" s="17"/>
      <c r="I921" s="16"/>
      <c r="J921" s="17"/>
      <c r="K921" s="16"/>
    </row>
    <row r="922" spans="2:11" ht="15" customHeight="1" x14ac:dyDescent="0.25">
      <c r="B922" s="13"/>
      <c r="C922" s="14"/>
      <c r="D922" s="15"/>
      <c r="E922" s="15"/>
      <c r="F922" s="16"/>
      <c r="G922" s="17"/>
      <c r="H922" s="17"/>
      <c r="I922" s="16"/>
      <c r="J922" s="17"/>
      <c r="K922" s="16"/>
    </row>
    <row r="923" spans="2:11" ht="15" customHeight="1" x14ac:dyDescent="0.25">
      <c r="B923" s="13"/>
      <c r="C923" s="14"/>
      <c r="D923" s="15"/>
      <c r="E923" s="15"/>
      <c r="F923" s="16"/>
      <c r="G923" s="17"/>
      <c r="H923" s="17"/>
      <c r="I923" s="16"/>
      <c r="J923" s="17"/>
      <c r="K923" s="16"/>
    </row>
    <row r="924" spans="2:11" ht="15" customHeight="1" x14ac:dyDescent="0.25">
      <c r="B924" s="13"/>
      <c r="C924" s="14"/>
      <c r="D924" s="15"/>
      <c r="E924" s="15"/>
      <c r="F924" s="16"/>
      <c r="G924" s="17"/>
      <c r="H924" s="17"/>
      <c r="I924" s="16"/>
      <c r="J924" s="17"/>
      <c r="K924" s="16"/>
    </row>
    <row r="925" spans="2:11" ht="15" customHeight="1" x14ac:dyDescent="0.25">
      <c r="B925" s="13"/>
      <c r="C925" s="14"/>
      <c r="D925" s="15"/>
      <c r="E925" s="15"/>
      <c r="F925" s="16"/>
      <c r="G925" s="17"/>
      <c r="H925" s="17"/>
      <c r="I925" s="16"/>
      <c r="J925" s="17"/>
      <c r="K925" s="16"/>
    </row>
    <row r="926" spans="2:11" ht="15" customHeight="1" x14ac:dyDescent="0.25">
      <c r="B926" s="13"/>
      <c r="C926" s="14"/>
      <c r="D926" s="15"/>
      <c r="E926" s="15"/>
      <c r="F926" s="16"/>
      <c r="G926" s="17"/>
      <c r="H926" s="17"/>
      <c r="I926" s="16"/>
      <c r="J926" s="17"/>
      <c r="K926" s="16"/>
    </row>
    <row r="927" spans="2:11" ht="15" customHeight="1" x14ac:dyDescent="0.25">
      <c r="B927" s="13"/>
      <c r="C927" s="14"/>
      <c r="D927" s="15"/>
      <c r="E927" s="15"/>
      <c r="F927" s="16"/>
      <c r="G927" s="17"/>
      <c r="H927" s="17"/>
      <c r="I927" s="16"/>
      <c r="J927" s="17"/>
      <c r="K927" s="16"/>
    </row>
    <row r="928" spans="2:11" ht="15" customHeight="1" x14ac:dyDescent="0.25">
      <c r="B928" s="13"/>
      <c r="C928" s="14"/>
      <c r="D928" s="15"/>
      <c r="E928" s="15"/>
      <c r="F928" s="16"/>
      <c r="G928" s="17"/>
      <c r="H928" s="17"/>
      <c r="I928" s="16"/>
      <c r="J928" s="17"/>
      <c r="K928" s="16"/>
    </row>
    <row r="929" spans="2:11" ht="15" customHeight="1" x14ac:dyDescent="0.25">
      <c r="B929" s="13"/>
      <c r="C929" s="14"/>
      <c r="D929" s="15"/>
      <c r="E929" s="15"/>
      <c r="F929" s="16"/>
      <c r="G929" s="17"/>
      <c r="H929" s="17"/>
      <c r="I929" s="16"/>
      <c r="J929" s="17"/>
      <c r="K929" s="16"/>
    </row>
    <row r="930" spans="2:11" ht="15" customHeight="1" x14ac:dyDescent="0.25">
      <c r="B930" s="13"/>
      <c r="C930" s="14"/>
      <c r="D930" s="15"/>
      <c r="E930" s="15"/>
      <c r="F930" s="16"/>
      <c r="G930" s="17"/>
      <c r="H930" s="17"/>
      <c r="I930" s="16"/>
      <c r="J930" s="17"/>
      <c r="K930" s="16"/>
    </row>
    <row r="931" spans="2:11" ht="15" customHeight="1" x14ac:dyDescent="0.25">
      <c r="B931" s="13"/>
      <c r="C931" s="14"/>
      <c r="D931" s="15"/>
      <c r="E931" s="15"/>
      <c r="F931" s="16"/>
      <c r="G931" s="17"/>
      <c r="H931" s="17"/>
      <c r="I931" s="16"/>
      <c r="J931" s="17"/>
      <c r="K931" s="16"/>
    </row>
    <row r="932" spans="2:11" ht="15" customHeight="1" x14ac:dyDescent="0.25">
      <c r="B932" s="13"/>
      <c r="C932" s="14"/>
      <c r="D932" s="15"/>
      <c r="E932" s="15"/>
      <c r="F932" s="16"/>
      <c r="G932" s="17"/>
      <c r="H932" s="17"/>
      <c r="I932" s="16"/>
      <c r="J932" s="17"/>
      <c r="K932" s="16"/>
    </row>
    <row r="933" spans="2:11" ht="15" customHeight="1" x14ac:dyDescent="0.25">
      <c r="B933" s="13"/>
      <c r="C933" s="14"/>
      <c r="D933" s="15"/>
      <c r="E933" s="15"/>
      <c r="F933" s="16"/>
      <c r="G933" s="17"/>
      <c r="H933" s="17"/>
      <c r="I933" s="16"/>
      <c r="J933" s="17"/>
      <c r="K933" s="16"/>
    </row>
    <row r="934" spans="2:11" ht="15" customHeight="1" x14ac:dyDescent="0.25">
      <c r="B934" s="13"/>
      <c r="C934" s="14"/>
      <c r="D934" s="15"/>
      <c r="E934" s="15"/>
      <c r="F934" s="16"/>
      <c r="G934" s="17"/>
      <c r="H934" s="17"/>
      <c r="I934" s="16"/>
      <c r="J934" s="17"/>
      <c r="K934" s="16"/>
    </row>
    <row r="935" spans="2:11" ht="15" customHeight="1" x14ac:dyDescent="0.25">
      <c r="B935" s="13"/>
      <c r="C935" s="14"/>
      <c r="D935" s="15"/>
      <c r="E935" s="15"/>
      <c r="F935" s="16"/>
      <c r="G935" s="17"/>
      <c r="H935" s="17"/>
      <c r="I935" s="16"/>
      <c r="J935" s="17"/>
      <c r="K935" s="16"/>
    </row>
    <row r="936" spans="2:11" ht="15" customHeight="1" x14ac:dyDescent="0.25">
      <c r="B936" s="13"/>
      <c r="C936" s="14"/>
      <c r="D936" s="15"/>
      <c r="E936" s="15"/>
      <c r="F936" s="16"/>
      <c r="G936" s="17"/>
      <c r="H936" s="17"/>
      <c r="I936" s="16"/>
      <c r="J936" s="17"/>
      <c r="K936" s="16"/>
    </row>
    <row r="937" spans="2:11" ht="15" customHeight="1" x14ac:dyDescent="0.25">
      <c r="B937" s="13"/>
      <c r="C937" s="14"/>
      <c r="D937" s="15"/>
      <c r="E937" s="15"/>
      <c r="F937" s="16"/>
      <c r="G937" s="17"/>
      <c r="H937" s="17"/>
      <c r="I937" s="16"/>
      <c r="J937" s="17"/>
      <c r="K937" s="16"/>
    </row>
    <row r="938" spans="2:11" ht="15" customHeight="1" x14ac:dyDescent="0.25">
      <c r="B938" s="13"/>
      <c r="C938" s="14"/>
      <c r="D938" s="15"/>
      <c r="E938" s="15"/>
      <c r="F938" s="16"/>
      <c r="G938" s="17"/>
      <c r="H938" s="17"/>
      <c r="I938" s="16"/>
      <c r="J938" s="17"/>
      <c r="K938" s="16"/>
    </row>
    <row r="939" spans="2:11" ht="15" customHeight="1" x14ac:dyDescent="0.25">
      <c r="B939" s="13"/>
      <c r="C939" s="14"/>
      <c r="D939" s="15"/>
      <c r="E939" s="15"/>
      <c r="F939" s="16"/>
      <c r="G939" s="17"/>
      <c r="H939" s="17"/>
      <c r="I939" s="16"/>
      <c r="J939" s="17"/>
      <c r="K939" s="16"/>
    </row>
    <row r="940" spans="2:11" ht="15" customHeight="1" x14ac:dyDescent="0.25">
      <c r="B940" s="13"/>
      <c r="C940" s="14"/>
      <c r="D940" s="15"/>
      <c r="E940" s="15"/>
      <c r="F940" s="16"/>
      <c r="G940" s="17"/>
      <c r="H940" s="17"/>
      <c r="I940" s="16"/>
      <c r="J940" s="17"/>
      <c r="K940" s="16"/>
    </row>
    <row r="941" spans="2:11" ht="15" customHeight="1" x14ac:dyDescent="0.25">
      <c r="B941" s="13"/>
      <c r="C941" s="14"/>
      <c r="D941" s="15"/>
      <c r="E941" s="15"/>
      <c r="F941" s="16"/>
      <c r="G941" s="17"/>
      <c r="H941" s="17"/>
      <c r="I941" s="16"/>
      <c r="J941" s="17"/>
      <c r="K941" s="16"/>
    </row>
    <row r="942" spans="2:11" ht="15" customHeight="1" x14ac:dyDescent="0.25">
      <c r="B942" s="13"/>
      <c r="C942" s="14"/>
      <c r="D942" s="15"/>
      <c r="E942" s="15"/>
      <c r="F942" s="16"/>
      <c r="G942" s="17"/>
      <c r="H942" s="17"/>
      <c r="I942" s="16"/>
      <c r="J942" s="17"/>
      <c r="K942" s="16"/>
    </row>
    <row r="943" spans="2:11" ht="15" customHeight="1" x14ac:dyDescent="0.25">
      <c r="B943" s="13"/>
      <c r="C943" s="14"/>
      <c r="D943" s="15"/>
      <c r="E943" s="15"/>
      <c r="F943" s="16"/>
      <c r="G943" s="17"/>
      <c r="H943" s="17"/>
      <c r="I943" s="16"/>
      <c r="J943" s="17"/>
      <c r="K943" s="16"/>
    </row>
    <row r="944" spans="2:11" ht="15" customHeight="1" x14ac:dyDescent="0.25">
      <c r="B944" s="13"/>
      <c r="C944" s="14"/>
      <c r="D944" s="15"/>
      <c r="E944" s="15"/>
      <c r="F944" s="16"/>
      <c r="G944" s="17"/>
      <c r="H944" s="17"/>
      <c r="I944" s="16"/>
      <c r="J944" s="17"/>
      <c r="K944" s="16"/>
    </row>
    <row r="945" spans="2:11" ht="15" customHeight="1" x14ac:dyDescent="0.25">
      <c r="B945" s="13"/>
      <c r="C945" s="14"/>
      <c r="D945" s="15"/>
      <c r="E945" s="15"/>
      <c r="F945" s="16"/>
      <c r="G945" s="17"/>
      <c r="H945" s="17"/>
      <c r="I945" s="16"/>
      <c r="J945" s="17"/>
      <c r="K945" s="16"/>
    </row>
    <row r="946" spans="2:11" ht="15" customHeight="1" x14ac:dyDescent="0.25">
      <c r="B946" s="13"/>
      <c r="C946" s="14"/>
      <c r="D946" s="15"/>
      <c r="E946" s="15"/>
      <c r="F946" s="16"/>
      <c r="G946" s="17"/>
      <c r="H946" s="17"/>
      <c r="I946" s="16"/>
      <c r="J946" s="17"/>
      <c r="K946" s="16"/>
    </row>
    <row r="947" spans="2:11" ht="15" customHeight="1" x14ac:dyDescent="0.25">
      <c r="B947" s="13"/>
      <c r="C947" s="14"/>
      <c r="D947" s="15"/>
      <c r="E947" s="15"/>
      <c r="F947" s="16"/>
      <c r="G947" s="17"/>
      <c r="H947" s="17"/>
      <c r="I947" s="16"/>
      <c r="J947" s="17"/>
      <c r="K947" s="16"/>
    </row>
    <row r="948" spans="2:11" ht="15" customHeight="1" x14ac:dyDescent="0.25">
      <c r="B948" s="13"/>
      <c r="C948" s="14"/>
      <c r="D948" s="15"/>
      <c r="E948" s="15"/>
      <c r="F948" s="16"/>
      <c r="G948" s="17"/>
      <c r="H948" s="17"/>
      <c r="I948" s="16"/>
      <c r="J948" s="17"/>
      <c r="K948" s="16"/>
    </row>
    <row r="949" spans="2:11" ht="15" customHeight="1" x14ac:dyDescent="0.25">
      <c r="B949" s="13"/>
      <c r="C949" s="14"/>
      <c r="D949" s="15"/>
      <c r="E949" s="15"/>
      <c r="F949" s="16"/>
      <c r="G949" s="17"/>
      <c r="H949" s="17"/>
      <c r="I949" s="16"/>
      <c r="J949" s="17"/>
      <c r="K949" s="16"/>
    </row>
    <row r="950" spans="2:11" ht="15" customHeight="1" x14ac:dyDescent="0.25">
      <c r="B950" s="13"/>
      <c r="C950" s="14"/>
      <c r="D950" s="15"/>
      <c r="E950" s="15"/>
      <c r="F950" s="16"/>
      <c r="G950" s="17"/>
      <c r="H950" s="17"/>
      <c r="I950" s="16"/>
      <c r="J950" s="17"/>
      <c r="K950" s="16"/>
    </row>
    <row r="951" spans="2:11" ht="15" customHeight="1" x14ac:dyDescent="0.25">
      <c r="B951" s="13"/>
      <c r="C951" s="14"/>
      <c r="D951" s="15"/>
      <c r="E951" s="15"/>
      <c r="F951" s="16"/>
      <c r="G951" s="17"/>
      <c r="H951" s="17"/>
      <c r="I951" s="16"/>
      <c r="J951" s="17"/>
      <c r="K951" s="16"/>
    </row>
    <row r="952" spans="2:11" ht="15" customHeight="1" x14ac:dyDescent="0.25">
      <c r="B952" s="13"/>
      <c r="C952" s="14"/>
      <c r="D952" s="15"/>
      <c r="E952" s="15"/>
      <c r="F952" s="16"/>
      <c r="G952" s="17"/>
      <c r="H952" s="17"/>
      <c r="I952" s="16"/>
      <c r="J952" s="17"/>
      <c r="K952" s="16"/>
    </row>
    <row r="953" spans="2:11" ht="15" customHeight="1" x14ac:dyDescent="0.25">
      <c r="B953" s="13"/>
      <c r="C953" s="14"/>
      <c r="D953" s="15"/>
      <c r="E953" s="15"/>
      <c r="F953" s="16"/>
      <c r="G953" s="17"/>
      <c r="H953" s="17"/>
      <c r="I953" s="16"/>
      <c r="J953" s="17"/>
      <c r="K953" s="16"/>
    </row>
    <row r="954" spans="2:11" ht="15" customHeight="1" x14ac:dyDescent="0.25">
      <c r="B954" s="13"/>
      <c r="C954" s="14"/>
      <c r="D954" s="15"/>
      <c r="E954" s="15"/>
      <c r="F954" s="16"/>
      <c r="G954" s="17"/>
      <c r="H954" s="17"/>
      <c r="I954" s="16"/>
      <c r="J954" s="17"/>
      <c r="K954" s="16"/>
    </row>
    <row r="955" spans="2:11" ht="15" customHeight="1" x14ac:dyDescent="0.25">
      <c r="B955" s="13"/>
      <c r="C955" s="14"/>
      <c r="D955" s="15"/>
      <c r="E955" s="15"/>
      <c r="F955" s="16"/>
      <c r="G955" s="17"/>
      <c r="H955" s="17"/>
      <c r="I955" s="16"/>
      <c r="J955" s="17"/>
      <c r="K955" s="16"/>
    </row>
    <row r="956" spans="2:11" ht="15" customHeight="1" x14ac:dyDescent="0.25">
      <c r="B956" s="13"/>
      <c r="C956" s="14"/>
      <c r="D956" s="15"/>
      <c r="E956" s="15"/>
      <c r="F956" s="16"/>
      <c r="G956" s="17"/>
      <c r="H956" s="17"/>
      <c r="I956" s="16"/>
      <c r="J956" s="17"/>
      <c r="K956" s="16"/>
    </row>
    <row r="957" spans="2:11" ht="15" customHeight="1" x14ac:dyDescent="0.25">
      <c r="B957" s="13"/>
      <c r="C957" s="14"/>
      <c r="D957" s="15"/>
      <c r="E957" s="15"/>
      <c r="F957" s="16"/>
      <c r="G957" s="17"/>
      <c r="H957" s="17"/>
      <c r="I957" s="16"/>
      <c r="J957" s="17"/>
      <c r="K957" s="16"/>
    </row>
    <row r="958" spans="2:11" ht="15" customHeight="1" x14ac:dyDescent="0.25">
      <c r="B958" s="13"/>
      <c r="C958" s="14"/>
      <c r="D958" s="15"/>
      <c r="E958" s="15"/>
      <c r="F958" s="16"/>
      <c r="G958" s="17"/>
      <c r="H958" s="17"/>
      <c r="I958" s="16"/>
      <c r="J958" s="17"/>
      <c r="K958" s="16"/>
    </row>
    <row r="959" spans="2:11" ht="15" customHeight="1" x14ac:dyDescent="0.25">
      <c r="B959" s="13"/>
      <c r="C959" s="14"/>
      <c r="D959" s="15"/>
      <c r="E959" s="15"/>
      <c r="F959" s="16"/>
      <c r="G959" s="17"/>
      <c r="H959" s="17"/>
      <c r="I959" s="16"/>
      <c r="J959" s="17"/>
      <c r="K959" s="16"/>
    </row>
    <row r="960" spans="2:11" ht="15" customHeight="1" x14ac:dyDescent="0.25">
      <c r="B960" s="13"/>
      <c r="C960" s="14"/>
      <c r="D960" s="15"/>
      <c r="E960" s="15"/>
      <c r="F960" s="16"/>
      <c r="G960" s="17"/>
      <c r="H960" s="17"/>
      <c r="I960" s="16"/>
      <c r="J960" s="17"/>
      <c r="K960" s="16"/>
    </row>
    <row r="961" spans="2:11" ht="15" customHeight="1" x14ac:dyDescent="0.25">
      <c r="B961" s="13"/>
      <c r="C961" s="14"/>
      <c r="D961" s="15"/>
      <c r="E961" s="15"/>
      <c r="F961" s="16"/>
      <c r="G961" s="17"/>
      <c r="H961" s="17"/>
      <c r="I961" s="16"/>
      <c r="J961" s="17"/>
      <c r="K961" s="16"/>
    </row>
    <row r="962" spans="2:11" ht="15" customHeight="1" x14ac:dyDescent="0.25">
      <c r="B962" s="13"/>
      <c r="C962" s="14"/>
      <c r="D962" s="15"/>
      <c r="E962" s="15"/>
      <c r="F962" s="16"/>
      <c r="G962" s="17"/>
      <c r="H962" s="17"/>
      <c r="I962" s="16"/>
      <c r="J962" s="17"/>
      <c r="K962" s="16"/>
    </row>
    <row r="963" spans="2:11" ht="15" customHeight="1" x14ac:dyDescent="0.25">
      <c r="B963" s="13"/>
      <c r="C963" s="14"/>
      <c r="D963" s="15"/>
      <c r="E963" s="15"/>
      <c r="F963" s="16"/>
      <c r="G963" s="17"/>
      <c r="H963" s="17"/>
      <c r="I963" s="16"/>
      <c r="J963" s="17"/>
      <c r="K963" s="16"/>
    </row>
    <row r="964" spans="2:11" ht="15" customHeight="1" x14ac:dyDescent="0.25">
      <c r="B964" s="13"/>
      <c r="C964" s="14"/>
      <c r="D964" s="15"/>
      <c r="E964" s="15"/>
      <c r="F964" s="16"/>
      <c r="G964" s="17"/>
      <c r="H964" s="17"/>
      <c r="I964" s="16"/>
      <c r="J964" s="17"/>
      <c r="K964" s="16"/>
    </row>
    <row r="965" spans="2:11" ht="15" customHeight="1" x14ac:dyDescent="0.25">
      <c r="B965" s="13"/>
      <c r="C965" s="14"/>
      <c r="D965" s="15"/>
      <c r="E965" s="15"/>
      <c r="F965" s="16"/>
      <c r="G965" s="17"/>
      <c r="H965" s="17"/>
      <c r="I965" s="16"/>
      <c r="J965" s="17"/>
      <c r="K965" s="16"/>
    </row>
    <row r="966" spans="2:11" ht="15" customHeight="1" x14ac:dyDescent="0.25">
      <c r="B966" s="13"/>
      <c r="C966" s="14"/>
      <c r="D966" s="15"/>
      <c r="E966" s="15"/>
      <c r="F966" s="16"/>
      <c r="G966" s="17"/>
      <c r="H966" s="17"/>
      <c r="I966" s="16"/>
      <c r="J966" s="17"/>
      <c r="K966" s="16"/>
    </row>
    <row r="967" spans="2:11" ht="15" customHeight="1" x14ac:dyDescent="0.25">
      <c r="B967" s="13"/>
      <c r="C967" s="14"/>
      <c r="D967" s="15"/>
      <c r="E967" s="15"/>
      <c r="F967" s="16"/>
      <c r="G967" s="17"/>
      <c r="H967" s="17"/>
      <c r="I967" s="16"/>
      <c r="J967" s="17"/>
      <c r="K967" s="16"/>
    </row>
    <row r="968" spans="2:11" ht="15" customHeight="1" x14ac:dyDescent="0.25">
      <c r="B968" s="13"/>
      <c r="C968" s="14"/>
      <c r="D968" s="15"/>
      <c r="E968" s="15"/>
      <c r="F968" s="16"/>
      <c r="G968" s="17"/>
      <c r="H968" s="17"/>
      <c r="I968" s="16"/>
      <c r="J968" s="17"/>
      <c r="K968" s="16"/>
    </row>
    <row r="969" spans="2:11" ht="15" customHeight="1" x14ac:dyDescent="0.25">
      <c r="B969" s="13"/>
      <c r="C969" s="14"/>
      <c r="D969" s="15"/>
      <c r="E969" s="15"/>
      <c r="F969" s="16"/>
      <c r="G969" s="17"/>
      <c r="H969" s="17"/>
      <c r="I969" s="16"/>
      <c r="J969" s="17"/>
      <c r="K969" s="16"/>
    </row>
    <row r="970" spans="2:11" ht="15" customHeight="1" x14ac:dyDescent="0.25">
      <c r="B970" s="13"/>
      <c r="C970" s="14"/>
      <c r="D970" s="15"/>
      <c r="E970" s="15"/>
      <c r="F970" s="16"/>
      <c r="G970" s="17"/>
      <c r="H970" s="17"/>
      <c r="I970" s="16"/>
      <c r="J970" s="17"/>
      <c r="K970" s="16"/>
    </row>
    <row r="971" spans="2:11" ht="15" customHeight="1" x14ac:dyDescent="0.25">
      <c r="B971" s="13"/>
      <c r="C971" s="14"/>
      <c r="D971" s="15"/>
      <c r="E971" s="15"/>
      <c r="F971" s="16"/>
      <c r="G971" s="17"/>
      <c r="H971" s="17"/>
      <c r="I971" s="16"/>
      <c r="J971" s="17"/>
      <c r="K971" s="16"/>
    </row>
    <row r="972" spans="2:11" ht="15" customHeight="1" x14ac:dyDescent="0.25">
      <c r="B972" s="13"/>
      <c r="C972" s="14"/>
      <c r="D972" s="15"/>
      <c r="E972" s="15"/>
      <c r="F972" s="16"/>
      <c r="G972" s="17"/>
      <c r="H972" s="17"/>
      <c r="I972" s="16"/>
      <c r="J972" s="17"/>
      <c r="K972" s="16"/>
    </row>
    <row r="973" spans="2:11" ht="15" customHeight="1" x14ac:dyDescent="0.25">
      <c r="B973" s="13"/>
      <c r="C973" s="14"/>
      <c r="D973" s="15"/>
      <c r="E973" s="15"/>
      <c r="F973" s="16"/>
      <c r="G973" s="17"/>
      <c r="H973" s="17"/>
      <c r="I973" s="16"/>
      <c r="J973" s="17"/>
      <c r="K973" s="16"/>
    </row>
    <row r="974" spans="2:11" ht="15" customHeight="1" x14ac:dyDescent="0.25">
      <c r="B974" s="13"/>
      <c r="C974" s="14"/>
      <c r="D974" s="15"/>
      <c r="E974" s="15"/>
      <c r="F974" s="16"/>
      <c r="G974" s="17"/>
      <c r="H974" s="17"/>
      <c r="I974" s="16"/>
      <c r="J974" s="17"/>
      <c r="K974" s="16"/>
    </row>
    <row r="975" spans="2:11" ht="15" customHeight="1" x14ac:dyDescent="0.25">
      <c r="B975" s="13"/>
      <c r="C975" s="14"/>
      <c r="D975" s="15"/>
      <c r="E975" s="15"/>
      <c r="F975" s="16"/>
      <c r="G975" s="17"/>
      <c r="H975" s="17"/>
      <c r="I975" s="16"/>
      <c r="J975" s="17"/>
      <c r="K975" s="16"/>
    </row>
    <row r="976" spans="2:11" ht="15" customHeight="1" x14ac:dyDescent="0.25">
      <c r="B976" s="13"/>
      <c r="C976" s="14"/>
      <c r="D976" s="15"/>
      <c r="E976" s="15"/>
      <c r="F976" s="16"/>
      <c r="G976" s="17"/>
      <c r="H976" s="17"/>
      <c r="I976" s="16"/>
      <c r="J976" s="17"/>
      <c r="K976" s="16"/>
    </row>
    <row r="977" spans="2:11" ht="15" customHeight="1" x14ac:dyDescent="0.25">
      <c r="B977" s="13"/>
      <c r="C977" s="14"/>
      <c r="D977" s="15"/>
      <c r="E977" s="15"/>
      <c r="F977" s="16"/>
      <c r="G977" s="17"/>
      <c r="H977" s="17"/>
      <c r="I977" s="16"/>
      <c r="J977" s="17"/>
      <c r="K977" s="16"/>
    </row>
    <row r="978" spans="2:11" ht="15" customHeight="1" x14ac:dyDescent="0.25">
      <c r="B978" s="13"/>
      <c r="C978" s="14"/>
      <c r="D978" s="15"/>
      <c r="E978" s="15"/>
      <c r="F978" s="16"/>
      <c r="G978" s="17"/>
      <c r="H978" s="17"/>
      <c r="I978" s="16"/>
      <c r="J978" s="17"/>
      <c r="K978" s="16"/>
    </row>
    <row r="979" spans="2:11" ht="15" customHeight="1" x14ac:dyDescent="0.25">
      <c r="B979" s="13"/>
      <c r="C979" s="14"/>
      <c r="D979" s="15"/>
      <c r="E979" s="15"/>
      <c r="F979" s="16"/>
      <c r="G979" s="17"/>
      <c r="H979" s="17"/>
      <c r="I979" s="16"/>
      <c r="J979" s="17"/>
      <c r="K979" s="16"/>
    </row>
    <row r="980" spans="2:11" ht="15" customHeight="1" x14ac:dyDescent="0.25">
      <c r="B980" s="13"/>
      <c r="C980" s="14"/>
      <c r="D980" s="15"/>
      <c r="E980" s="15"/>
      <c r="F980" s="16"/>
      <c r="G980" s="17"/>
      <c r="H980" s="17"/>
      <c r="I980" s="16"/>
      <c r="J980" s="17"/>
      <c r="K980" s="16"/>
    </row>
    <row r="981" spans="2:11" ht="15" customHeight="1" x14ac:dyDescent="0.25">
      <c r="B981" s="13"/>
      <c r="C981" s="14"/>
      <c r="D981" s="15"/>
      <c r="E981" s="15"/>
      <c r="F981" s="16"/>
      <c r="G981" s="17"/>
      <c r="H981" s="17"/>
      <c r="I981" s="16"/>
      <c r="J981" s="17"/>
      <c r="K981" s="16"/>
    </row>
    <row r="982" spans="2:11" ht="15" customHeight="1" x14ac:dyDescent="0.25">
      <c r="B982" s="13"/>
      <c r="C982" s="14"/>
      <c r="D982" s="15"/>
      <c r="E982" s="15"/>
      <c r="F982" s="16"/>
      <c r="G982" s="17"/>
      <c r="H982" s="17"/>
      <c r="I982" s="16"/>
      <c r="J982" s="17"/>
      <c r="K982" s="16"/>
    </row>
    <row r="983" spans="2:11" ht="15" customHeight="1" x14ac:dyDescent="0.25">
      <c r="B983" s="13"/>
      <c r="C983" s="14"/>
      <c r="D983" s="15"/>
      <c r="E983" s="15"/>
      <c r="F983" s="16"/>
      <c r="G983" s="17"/>
      <c r="H983" s="17"/>
      <c r="I983" s="16"/>
      <c r="J983" s="17"/>
      <c r="K983" s="16"/>
    </row>
    <row r="984" spans="2:11" ht="15" customHeight="1" x14ac:dyDescent="0.25">
      <c r="B984" s="13"/>
      <c r="C984" s="14"/>
      <c r="D984" s="15"/>
      <c r="E984" s="15"/>
      <c r="F984" s="16"/>
      <c r="G984" s="17"/>
      <c r="H984" s="17"/>
      <c r="I984" s="16"/>
      <c r="J984" s="17"/>
      <c r="K984" s="16"/>
    </row>
    <row r="985" spans="2:11" ht="15" customHeight="1" x14ac:dyDescent="0.25">
      <c r="B985" s="13"/>
      <c r="C985" s="14"/>
      <c r="D985" s="15"/>
      <c r="E985" s="15"/>
      <c r="F985" s="16"/>
      <c r="G985" s="17"/>
      <c r="H985" s="17"/>
      <c r="I985" s="16"/>
      <c r="J985" s="17"/>
      <c r="K985" s="16"/>
    </row>
    <row r="986" spans="2:11" ht="15" customHeight="1" x14ac:dyDescent="0.25">
      <c r="B986" s="13"/>
      <c r="C986" s="14"/>
      <c r="D986" s="15"/>
      <c r="E986" s="15"/>
      <c r="F986" s="16"/>
      <c r="G986" s="17"/>
      <c r="H986" s="17"/>
      <c r="I986" s="16"/>
      <c r="J986" s="17"/>
      <c r="K986" s="16"/>
    </row>
    <row r="987" spans="2:11" ht="15" customHeight="1" x14ac:dyDescent="0.25">
      <c r="B987" s="13"/>
      <c r="C987" s="14"/>
      <c r="D987" s="15"/>
      <c r="E987" s="15"/>
      <c r="F987" s="16"/>
      <c r="G987" s="17"/>
      <c r="H987" s="17"/>
      <c r="I987" s="16"/>
      <c r="J987" s="17"/>
      <c r="K987" s="16"/>
    </row>
    <row r="988" spans="2:11" ht="15" customHeight="1" x14ac:dyDescent="0.25">
      <c r="B988" s="13"/>
      <c r="C988" s="14"/>
      <c r="D988" s="15"/>
      <c r="E988" s="15"/>
      <c r="F988" s="16"/>
      <c r="G988" s="17"/>
      <c r="H988" s="17"/>
      <c r="I988" s="16"/>
      <c r="J988" s="17"/>
      <c r="K988" s="16"/>
    </row>
    <row r="989" spans="2:11" ht="15" customHeight="1" x14ac:dyDescent="0.25">
      <c r="B989" s="13"/>
      <c r="C989" s="14"/>
      <c r="D989" s="15"/>
      <c r="E989" s="15"/>
      <c r="F989" s="16"/>
      <c r="G989" s="17"/>
      <c r="H989" s="17"/>
      <c r="I989" s="16"/>
      <c r="J989" s="17"/>
      <c r="K989" s="16"/>
    </row>
    <row r="990" spans="2:11" ht="15" customHeight="1" x14ac:dyDescent="0.25">
      <c r="B990" s="13"/>
      <c r="C990" s="14"/>
      <c r="D990" s="15"/>
      <c r="E990" s="15"/>
      <c r="F990" s="16"/>
      <c r="G990" s="17"/>
      <c r="H990" s="17"/>
      <c r="I990" s="16"/>
      <c r="J990" s="17"/>
      <c r="K990" s="16"/>
    </row>
    <row r="991" spans="2:11" ht="15" customHeight="1" x14ac:dyDescent="0.25">
      <c r="B991" s="13"/>
      <c r="C991" s="14"/>
      <c r="D991" s="15"/>
      <c r="E991" s="15"/>
      <c r="F991" s="16"/>
      <c r="G991" s="17"/>
      <c r="H991" s="17"/>
      <c r="I991" s="16"/>
      <c r="J991" s="17"/>
      <c r="K991" s="16"/>
    </row>
  </sheetData>
  <conditionalFormatting sqref="C1:C1048576">
    <cfRule type="containsText" dxfId="59" priority="44" operator="containsText" text="Chip normal">
      <formula>NOT(ISERROR(SEARCH("Chip normal",C1)))</formula>
    </cfRule>
    <cfRule type="containsText" dxfId="58" priority="45" operator="containsText" text="chip recarregado">
      <formula>NOT(ISERROR(SEARCH("chip recarregado",C1)))</formula>
    </cfRule>
    <cfRule type="expression" dxfId="57" priority="46">
      <formula>L1="Ainda não"</formula>
    </cfRule>
    <cfRule type="expression" dxfId="56" priority="47">
      <formula>L1="Transferido"</formula>
    </cfRule>
  </conditionalFormatting>
  <conditionalFormatting sqref="C847:C991">
    <cfRule type="expression" dxfId="55" priority="446">
      <formula>#REF!="Transferido"</formula>
    </cfRule>
    <cfRule type="expression" dxfId="54" priority="447">
      <formula>#REF!="Ainda não"</formula>
    </cfRule>
  </conditionalFormatting>
  <conditionalFormatting sqref="L1:L1048576">
    <cfRule type="expression" dxfId="53" priority="90">
      <formula>L1="Ainda não"</formula>
    </cfRule>
    <cfRule type="expression" dxfId="52" priority="91">
      <formula>L1="Transferido"</formula>
    </cfRule>
  </conditionalFormatting>
  <dataValidations count="2">
    <dataValidation type="list" allowBlank="1" showErrorMessage="1" sqref="F847:F991" xr:uid="{00000000-0002-0000-0000-000000000000}">
      <formula1>#REF!</formula1>
    </dataValidation>
    <dataValidation type="list" allowBlank="1" showErrorMessage="1" sqref="I847:I991" xr:uid="{00000000-0002-0000-0000-000001000000}">
      <formula1>"CPF,CNPJ"</formula1>
    </dataValidation>
  </dataValidations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EB48-3CB7-FAC8-3AE8-C625AB53CF78}">
  <dimension ref="A1:X922"/>
  <sheetViews>
    <sheetView showGridLines="0" topLeftCell="D1" workbookViewId="0">
      <selection activeCell="H3" sqref="H3"/>
    </sheetView>
  </sheetViews>
  <sheetFormatPr defaultColWidth="14.42578125" defaultRowHeight="15" customHeight="1" x14ac:dyDescent="0.25"/>
  <cols>
    <col min="1" max="1" width="10.140625" bestFit="1" customWidth="1"/>
    <col min="2" max="2" width="11" customWidth="1"/>
    <col min="3" max="3" width="59.42578125" bestFit="1" customWidth="1"/>
    <col min="4" max="4" width="8.85546875" customWidth="1"/>
    <col min="5" max="5" width="30.85546875" customWidth="1"/>
    <col min="6" max="6" width="12.5703125" customWidth="1"/>
    <col min="7" max="7" width="12.140625" customWidth="1"/>
    <col min="8" max="8" width="16.28515625" customWidth="1"/>
    <col min="9" max="9" width="15.28515625" customWidth="1"/>
    <col min="10" max="10" width="13.5703125" bestFit="1" customWidth="1"/>
    <col min="11" max="11" width="12.42578125" customWidth="1"/>
    <col min="12" max="12" width="16.140625" customWidth="1"/>
  </cols>
  <sheetData>
    <row r="1" spans="1:12" ht="4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</row>
    <row r="2" spans="1:12" ht="15.75" x14ac:dyDescent="0.3">
      <c r="A2" s="21">
        <v>1</v>
      </c>
      <c r="B2" s="25">
        <v>45659</v>
      </c>
      <c r="C2" s="29" t="s">
        <v>544</v>
      </c>
      <c r="D2" s="36">
        <v>1</v>
      </c>
      <c r="E2" s="41" t="s">
        <v>445</v>
      </c>
      <c r="F2" s="42">
        <v>10</v>
      </c>
      <c r="G2" s="9">
        <v>10</v>
      </c>
      <c r="H2" s="45">
        <v>15</v>
      </c>
      <c r="I2" s="9">
        <v>15</v>
      </c>
      <c r="J2" s="80" t="s">
        <v>338</v>
      </c>
      <c r="K2" s="43">
        <v>5</v>
      </c>
      <c r="L2" s="45" t="s">
        <v>15</v>
      </c>
    </row>
    <row r="3" spans="1:12" ht="15.75" customHeight="1" x14ac:dyDescent="0.3">
      <c r="A3" s="21">
        <v>1</v>
      </c>
      <c r="B3" s="25">
        <v>45659</v>
      </c>
      <c r="C3" s="29" t="s">
        <v>315</v>
      </c>
      <c r="D3" s="36">
        <v>1</v>
      </c>
      <c r="E3" s="41" t="s">
        <v>386</v>
      </c>
      <c r="F3" s="42">
        <v>7.0000000000000007E-2</v>
      </c>
      <c r="G3" s="9">
        <v>7.0000000000000007E-2</v>
      </c>
      <c r="H3" s="45">
        <v>1</v>
      </c>
      <c r="I3" s="9">
        <v>1</v>
      </c>
      <c r="J3" s="80" t="s">
        <v>338</v>
      </c>
      <c r="K3" s="43">
        <v>0.92999999999999994</v>
      </c>
      <c r="L3" s="45" t="s">
        <v>15</v>
      </c>
    </row>
    <row r="4" spans="1:12" ht="15.75" customHeight="1" x14ac:dyDescent="0.3">
      <c r="A4" s="21">
        <v>1</v>
      </c>
      <c r="B4" s="25">
        <v>45659</v>
      </c>
      <c r="C4" s="29" t="s">
        <v>267</v>
      </c>
      <c r="D4" s="36">
        <v>1</v>
      </c>
      <c r="E4" s="41" t="s">
        <v>20</v>
      </c>
      <c r="F4" s="42">
        <v>0</v>
      </c>
      <c r="G4" s="9">
        <v>0</v>
      </c>
      <c r="H4" s="45">
        <v>10</v>
      </c>
      <c r="I4" s="9">
        <v>10</v>
      </c>
      <c r="J4" s="80" t="s">
        <v>338</v>
      </c>
      <c r="K4" s="43">
        <v>10</v>
      </c>
      <c r="L4" s="45" t="s">
        <v>15</v>
      </c>
    </row>
    <row r="5" spans="1:12" ht="15.75" customHeight="1" x14ac:dyDescent="0.3">
      <c r="A5" s="21">
        <v>1</v>
      </c>
      <c r="B5" s="25">
        <v>45659</v>
      </c>
      <c r="C5" s="29" t="s">
        <v>546</v>
      </c>
      <c r="D5" s="36">
        <v>1</v>
      </c>
      <c r="E5" s="41" t="s">
        <v>547</v>
      </c>
      <c r="F5" s="42">
        <v>5</v>
      </c>
      <c r="G5" s="9">
        <v>5</v>
      </c>
      <c r="H5" s="45">
        <v>20</v>
      </c>
      <c r="I5" s="9">
        <v>20</v>
      </c>
      <c r="J5" s="80" t="s">
        <v>338</v>
      </c>
      <c r="K5" s="43">
        <v>15</v>
      </c>
      <c r="L5" s="45" t="s">
        <v>15</v>
      </c>
    </row>
    <row r="6" spans="1:12" ht="15.75" customHeight="1" x14ac:dyDescent="0.3">
      <c r="A6" s="21">
        <v>1</v>
      </c>
      <c r="B6" s="25">
        <v>45659</v>
      </c>
      <c r="C6" s="29" t="s">
        <v>548</v>
      </c>
      <c r="D6" s="36">
        <v>1</v>
      </c>
      <c r="E6" s="41" t="s">
        <v>547</v>
      </c>
      <c r="F6" s="42">
        <v>63</v>
      </c>
      <c r="G6" s="9">
        <v>63</v>
      </c>
      <c r="H6" s="45">
        <v>110</v>
      </c>
      <c r="I6" s="9">
        <v>110</v>
      </c>
      <c r="J6" s="80" t="s">
        <v>338</v>
      </c>
      <c r="K6" s="43">
        <v>47</v>
      </c>
      <c r="L6" s="45" t="s">
        <v>15</v>
      </c>
    </row>
    <row r="7" spans="1:12" ht="15.75" customHeight="1" x14ac:dyDescent="0.3">
      <c r="A7" s="21">
        <v>1</v>
      </c>
      <c r="B7" s="25">
        <v>45660</v>
      </c>
      <c r="C7" s="29" t="s">
        <v>315</v>
      </c>
      <c r="D7" s="36">
        <v>5</v>
      </c>
      <c r="E7" s="41" t="s">
        <v>20</v>
      </c>
      <c r="F7" s="42">
        <v>7.0000000000000007E-2</v>
      </c>
      <c r="G7" s="9">
        <v>0.35000000000000003</v>
      </c>
      <c r="H7" s="45">
        <v>1</v>
      </c>
      <c r="I7" s="9">
        <v>5</v>
      </c>
      <c r="J7" s="80" t="s">
        <v>338</v>
      </c>
      <c r="K7" s="43">
        <v>4.6500000000000004</v>
      </c>
      <c r="L7" s="45" t="s">
        <v>15</v>
      </c>
    </row>
    <row r="8" spans="1:12" ht="15.75" customHeight="1" x14ac:dyDescent="0.3">
      <c r="A8" s="21">
        <v>1</v>
      </c>
      <c r="B8" s="25">
        <v>45660</v>
      </c>
      <c r="C8" s="29" t="s">
        <v>313</v>
      </c>
      <c r="D8" s="36">
        <v>1</v>
      </c>
      <c r="E8" s="41" t="s">
        <v>20</v>
      </c>
      <c r="F8" s="42">
        <v>3</v>
      </c>
      <c r="G8" s="9">
        <v>3</v>
      </c>
      <c r="H8" s="45">
        <v>15</v>
      </c>
      <c r="I8" s="9">
        <v>15</v>
      </c>
      <c r="J8" s="80" t="s">
        <v>338</v>
      </c>
      <c r="K8" s="43">
        <v>12</v>
      </c>
      <c r="L8" s="45" t="s">
        <v>15</v>
      </c>
    </row>
    <row r="9" spans="1:12" ht="15.75" customHeight="1" x14ac:dyDescent="0.3">
      <c r="A9" s="21">
        <v>1</v>
      </c>
      <c r="B9" s="25">
        <v>45660</v>
      </c>
      <c r="C9" s="29" t="s">
        <v>267</v>
      </c>
      <c r="D9" s="36">
        <v>1</v>
      </c>
      <c r="E9" s="41" t="s">
        <v>20</v>
      </c>
      <c r="F9" s="42">
        <v>0</v>
      </c>
      <c r="G9" s="9">
        <v>0</v>
      </c>
      <c r="H9" s="45">
        <v>29</v>
      </c>
      <c r="I9" s="9">
        <v>29</v>
      </c>
      <c r="J9" s="80" t="s">
        <v>338</v>
      </c>
      <c r="K9" s="43">
        <v>29</v>
      </c>
      <c r="L9" s="45" t="s">
        <v>15</v>
      </c>
    </row>
    <row r="10" spans="1:12" ht="15.75" customHeight="1" x14ac:dyDescent="0.3">
      <c r="A10" s="21">
        <v>1</v>
      </c>
      <c r="B10" s="25">
        <v>45660</v>
      </c>
      <c r="C10" s="29" t="s">
        <v>313</v>
      </c>
      <c r="D10" s="36">
        <v>2</v>
      </c>
      <c r="E10" s="41" t="s">
        <v>20</v>
      </c>
      <c r="F10" s="42">
        <v>3</v>
      </c>
      <c r="G10" s="9">
        <v>6</v>
      </c>
      <c r="H10" s="45">
        <v>15</v>
      </c>
      <c r="I10" s="9">
        <v>30</v>
      </c>
      <c r="J10" s="80" t="s">
        <v>338</v>
      </c>
      <c r="K10" s="43">
        <v>24</v>
      </c>
      <c r="L10" s="45" t="s">
        <v>15</v>
      </c>
    </row>
    <row r="11" spans="1:12" ht="15.75" customHeight="1" x14ac:dyDescent="0.3">
      <c r="A11" s="21">
        <v>1</v>
      </c>
      <c r="B11" s="25">
        <v>45660</v>
      </c>
      <c r="C11" s="29" t="s">
        <v>479</v>
      </c>
      <c r="D11" s="36">
        <v>2</v>
      </c>
      <c r="E11" s="41" t="s">
        <v>20</v>
      </c>
      <c r="F11" s="42">
        <v>3</v>
      </c>
      <c r="G11" s="9">
        <v>6</v>
      </c>
      <c r="H11" s="45">
        <v>15</v>
      </c>
      <c r="I11" s="9">
        <v>30</v>
      </c>
      <c r="J11" s="80" t="s">
        <v>338</v>
      </c>
      <c r="K11" s="43">
        <v>24</v>
      </c>
      <c r="L11" s="45" t="s">
        <v>15</v>
      </c>
    </row>
    <row r="12" spans="1:12" ht="15.75" customHeight="1" x14ac:dyDescent="0.3">
      <c r="A12" s="21">
        <v>1</v>
      </c>
      <c r="B12" s="25">
        <v>45661</v>
      </c>
      <c r="C12" s="29" t="s">
        <v>549</v>
      </c>
      <c r="D12" s="36">
        <v>2</v>
      </c>
      <c r="E12" s="41" t="s">
        <v>20</v>
      </c>
      <c r="F12" s="42" t="s">
        <v>72</v>
      </c>
      <c r="G12" s="9">
        <v>0</v>
      </c>
      <c r="H12" s="45">
        <v>5</v>
      </c>
      <c r="I12" s="9">
        <v>10</v>
      </c>
      <c r="J12" s="80" t="s">
        <v>338</v>
      </c>
      <c r="K12" s="43">
        <v>10</v>
      </c>
      <c r="L12" s="45" t="s">
        <v>15</v>
      </c>
    </row>
    <row r="13" spans="1:12" ht="15.75" customHeight="1" x14ac:dyDescent="0.3">
      <c r="A13" s="21">
        <v>1</v>
      </c>
      <c r="B13" s="25">
        <v>45663</v>
      </c>
      <c r="C13" s="29" t="s">
        <v>315</v>
      </c>
      <c r="D13" s="36">
        <v>2</v>
      </c>
      <c r="E13" s="41" t="s">
        <v>550</v>
      </c>
      <c r="F13" s="42">
        <v>7.0000000000000007E-2</v>
      </c>
      <c r="G13" s="9">
        <v>0.14000000000000001</v>
      </c>
      <c r="H13" s="45">
        <v>1</v>
      </c>
      <c r="I13" s="9">
        <v>2</v>
      </c>
      <c r="J13" s="80" t="s">
        <v>338</v>
      </c>
      <c r="K13" s="43">
        <v>1.8599999999999999</v>
      </c>
      <c r="L13" s="45" t="s">
        <v>15</v>
      </c>
    </row>
    <row r="14" spans="1:12" ht="15.75" customHeight="1" x14ac:dyDescent="0.3">
      <c r="A14" s="21">
        <v>1</v>
      </c>
      <c r="B14" s="25">
        <v>45663</v>
      </c>
      <c r="C14" s="29" t="s">
        <v>216</v>
      </c>
      <c r="D14" s="36">
        <v>1</v>
      </c>
      <c r="E14" s="41" t="s">
        <v>551</v>
      </c>
      <c r="F14" s="42">
        <v>0</v>
      </c>
      <c r="G14" s="9">
        <v>0</v>
      </c>
      <c r="H14" s="45">
        <v>60</v>
      </c>
      <c r="I14" s="9">
        <v>60</v>
      </c>
      <c r="J14" s="80" t="s">
        <v>338</v>
      </c>
      <c r="K14" s="43">
        <v>60</v>
      </c>
      <c r="L14" s="45" t="s">
        <v>15</v>
      </c>
    </row>
    <row r="15" spans="1:12" ht="15.75" customHeight="1" x14ac:dyDescent="0.3">
      <c r="A15" s="21">
        <v>1</v>
      </c>
      <c r="B15" s="25">
        <v>45663</v>
      </c>
      <c r="C15" s="29" t="s">
        <v>315</v>
      </c>
      <c r="D15" s="36">
        <v>2</v>
      </c>
      <c r="E15" s="41" t="s">
        <v>509</v>
      </c>
      <c r="F15" s="42">
        <v>7.0000000000000007E-2</v>
      </c>
      <c r="G15" s="9">
        <v>0.14000000000000001</v>
      </c>
      <c r="H15" s="45">
        <v>1</v>
      </c>
      <c r="I15" s="9">
        <v>2</v>
      </c>
      <c r="J15" s="80" t="s">
        <v>338</v>
      </c>
      <c r="K15" s="43">
        <v>1.8599999999999999</v>
      </c>
      <c r="L15" s="45" t="s">
        <v>15</v>
      </c>
    </row>
    <row r="16" spans="1:12" ht="15.75" customHeight="1" x14ac:dyDescent="0.3">
      <c r="A16" s="21">
        <v>1</v>
      </c>
      <c r="B16" s="25">
        <v>45663</v>
      </c>
      <c r="C16" s="29" t="s">
        <v>267</v>
      </c>
      <c r="D16" s="36">
        <v>1</v>
      </c>
      <c r="E16" s="41" t="s">
        <v>20</v>
      </c>
      <c r="F16" s="42">
        <v>0</v>
      </c>
      <c r="G16" s="9">
        <v>0</v>
      </c>
      <c r="H16" s="45">
        <v>5</v>
      </c>
      <c r="I16" s="9">
        <v>5</v>
      </c>
      <c r="J16" s="80" t="s">
        <v>338</v>
      </c>
      <c r="K16" s="43">
        <v>5</v>
      </c>
      <c r="L16" s="45" t="s">
        <v>15</v>
      </c>
    </row>
    <row r="17" spans="1:12" ht="15.75" customHeight="1" x14ac:dyDescent="0.3">
      <c r="A17" s="21">
        <v>1</v>
      </c>
      <c r="B17" s="25">
        <v>45664</v>
      </c>
      <c r="C17" s="29" t="s">
        <v>315</v>
      </c>
      <c r="D17" s="36">
        <v>3</v>
      </c>
      <c r="E17" s="41" t="s">
        <v>20</v>
      </c>
      <c r="F17" s="42">
        <v>7.0000000000000007E-2</v>
      </c>
      <c r="G17" s="9">
        <v>0.21000000000000002</v>
      </c>
      <c r="H17" s="45">
        <v>1</v>
      </c>
      <c r="I17" s="9">
        <v>3</v>
      </c>
      <c r="J17" s="80" t="s">
        <v>338</v>
      </c>
      <c r="K17" s="43">
        <v>2.79</v>
      </c>
      <c r="L17" s="45" t="s">
        <v>15</v>
      </c>
    </row>
    <row r="18" spans="1:12" ht="15.75" customHeight="1" x14ac:dyDescent="0.3">
      <c r="A18" s="21">
        <v>1</v>
      </c>
      <c r="B18" s="25">
        <v>45664</v>
      </c>
      <c r="C18" s="29" t="s">
        <v>315</v>
      </c>
      <c r="D18" s="36">
        <v>1</v>
      </c>
      <c r="E18" s="41" t="s">
        <v>445</v>
      </c>
      <c r="F18" s="42">
        <v>7.0000000000000007E-2</v>
      </c>
      <c r="G18" s="9">
        <v>7.0000000000000007E-2</v>
      </c>
      <c r="H18" s="45">
        <v>1</v>
      </c>
      <c r="I18" s="9">
        <v>1</v>
      </c>
      <c r="J18" s="80" t="s">
        <v>338</v>
      </c>
      <c r="K18" s="43">
        <v>0.92999999999999994</v>
      </c>
      <c r="L18" s="45" t="s">
        <v>15</v>
      </c>
    </row>
    <row r="19" spans="1:12" ht="15.75" customHeight="1" x14ac:dyDescent="0.3">
      <c r="A19" s="21">
        <v>1</v>
      </c>
      <c r="B19" s="25">
        <v>45664</v>
      </c>
      <c r="C19" s="29" t="s">
        <v>552</v>
      </c>
      <c r="D19" s="36">
        <v>2</v>
      </c>
      <c r="E19" s="41" t="s">
        <v>20</v>
      </c>
      <c r="F19" s="42" t="s">
        <v>72</v>
      </c>
      <c r="G19" s="9">
        <v>0</v>
      </c>
      <c r="H19" s="45">
        <v>30</v>
      </c>
      <c r="I19" s="9">
        <v>60</v>
      </c>
      <c r="J19" s="80" t="s">
        <v>338</v>
      </c>
      <c r="K19" s="43">
        <v>60</v>
      </c>
      <c r="L19" s="45" t="s">
        <v>15</v>
      </c>
    </row>
    <row r="20" spans="1:12" ht="15.75" customHeight="1" x14ac:dyDescent="0.3">
      <c r="A20" s="21">
        <v>1</v>
      </c>
      <c r="B20" s="25">
        <v>45664</v>
      </c>
      <c r="C20" s="29" t="s">
        <v>553</v>
      </c>
      <c r="D20" s="36">
        <v>1</v>
      </c>
      <c r="E20" s="41" t="s">
        <v>20</v>
      </c>
      <c r="F20" s="42" t="s">
        <v>72</v>
      </c>
      <c r="G20" s="9">
        <v>0</v>
      </c>
      <c r="H20" s="45">
        <v>37.5</v>
      </c>
      <c r="I20" s="9">
        <v>37.5</v>
      </c>
      <c r="J20" s="80" t="s">
        <v>338</v>
      </c>
      <c r="K20" s="43">
        <v>37.5</v>
      </c>
      <c r="L20" s="45" t="s">
        <v>15</v>
      </c>
    </row>
    <row r="21" spans="1:12" ht="15.75" customHeight="1" x14ac:dyDescent="0.3">
      <c r="A21" s="21">
        <v>1</v>
      </c>
      <c r="B21" s="25">
        <v>45664</v>
      </c>
      <c r="C21" s="29" t="s">
        <v>267</v>
      </c>
      <c r="D21" s="36">
        <v>1</v>
      </c>
      <c r="E21" s="41" t="s">
        <v>20</v>
      </c>
      <c r="F21" s="42">
        <v>0</v>
      </c>
      <c r="G21" s="9">
        <v>0</v>
      </c>
      <c r="H21" s="45">
        <v>150</v>
      </c>
      <c r="I21" s="9">
        <v>150</v>
      </c>
      <c r="J21" s="80" t="s">
        <v>338</v>
      </c>
      <c r="K21" s="43">
        <v>150</v>
      </c>
      <c r="L21" s="45" t="s">
        <v>15</v>
      </c>
    </row>
    <row r="22" spans="1:12" ht="15.75" customHeight="1" x14ac:dyDescent="0.3">
      <c r="A22" s="21">
        <v>1</v>
      </c>
      <c r="B22" s="25">
        <v>45664</v>
      </c>
      <c r="C22" s="29" t="s">
        <v>520</v>
      </c>
      <c r="D22" s="36">
        <v>1</v>
      </c>
      <c r="E22" s="41" t="s">
        <v>314</v>
      </c>
      <c r="F22" s="42">
        <v>13</v>
      </c>
      <c r="G22" s="9">
        <v>13</v>
      </c>
      <c r="H22" s="45">
        <v>20</v>
      </c>
      <c r="I22" s="9">
        <v>20</v>
      </c>
      <c r="J22" s="80" t="s">
        <v>338</v>
      </c>
      <c r="K22" s="43">
        <v>7</v>
      </c>
      <c r="L22" s="45" t="s">
        <v>15</v>
      </c>
    </row>
    <row r="23" spans="1:12" ht="15.75" customHeight="1" x14ac:dyDescent="0.3">
      <c r="A23" s="21">
        <v>1</v>
      </c>
      <c r="B23" s="25">
        <v>45664</v>
      </c>
      <c r="C23" s="29" t="s">
        <v>554</v>
      </c>
      <c r="D23" s="36">
        <v>1</v>
      </c>
      <c r="E23" s="41" t="s">
        <v>20</v>
      </c>
      <c r="F23" s="42">
        <v>4</v>
      </c>
      <c r="G23" s="9">
        <v>4</v>
      </c>
      <c r="H23" s="45">
        <v>15</v>
      </c>
      <c r="I23" s="9">
        <v>15</v>
      </c>
      <c r="J23" s="80" t="s">
        <v>338</v>
      </c>
      <c r="K23" s="43">
        <v>11</v>
      </c>
      <c r="L23" s="45" t="s">
        <v>15</v>
      </c>
    </row>
    <row r="24" spans="1:12" ht="15.75" customHeight="1" x14ac:dyDescent="0.3">
      <c r="A24" s="21">
        <v>1</v>
      </c>
      <c r="B24" s="25">
        <v>45665</v>
      </c>
      <c r="C24" s="29" t="s">
        <v>315</v>
      </c>
      <c r="D24" s="36">
        <v>5</v>
      </c>
      <c r="E24" s="41" t="s">
        <v>445</v>
      </c>
      <c r="F24" s="42">
        <v>7.0000000000000007E-2</v>
      </c>
      <c r="G24" s="9">
        <v>0.35000000000000003</v>
      </c>
      <c r="H24" s="45">
        <v>1</v>
      </c>
      <c r="I24" s="9">
        <v>5</v>
      </c>
      <c r="J24" s="80" t="s">
        <v>338</v>
      </c>
      <c r="K24" s="43">
        <v>4.6500000000000004</v>
      </c>
      <c r="L24" s="45" t="s">
        <v>15</v>
      </c>
    </row>
    <row r="25" spans="1:12" ht="15.75" customHeight="1" x14ac:dyDescent="0.3">
      <c r="A25" s="21">
        <v>1</v>
      </c>
      <c r="B25" s="25">
        <v>45665</v>
      </c>
      <c r="C25" s="29" t="s">
        <v>313</v>
      </c>
      <c r="D25" s="36">
        <v>1</v>
      </c>
      <c r="E25" s="41" t="s">
        <v>20</v>
      </c>
      <c r="F25" s="42">
        <v>3</v>
      </c>
      <c r="G25" s="9">
        <v>3</v>
      </c>
      <c r="H25" s="45">
        <v>15</v>
      </c>
      <c r="I25" s="9">
        <v>15</v>
      </c>
      <c r="J25" s="80" t="s">
        <v>338</v>
      </c>
      <c r="K25" s="43">
        <v>12</v>
      </c>
      <c r="L25" s="45" t="s">
        <v>15</v>
      </c>
    </row>
    <row r="26" spans="1:12" ht="15.75" customHeight="1" x14ac:dyDescent="0.3">
      <c r="A26" s="21">
        <v>1</v>
      </c>
      <c r="B26" s="25">
        <v>45665</v>
      </c>
      <c r="C26" s="29" t="s">
        <v>555</v>
      </c>
      <c r="D26" s="36">
        <v>1</v>
      </c>
      <c r="E26" s="41" t="s">
        <v>556</v>
      </c>
      <c r="F26" s="42">
        <v>2.5</v>
      </c>
      <c r="G26" s="9">
        <v>2.5</v>
      </c>
      <c r="H26" s="45">
        <v>10</v>
      </c>
      <c r="I26" s="9">
        <v>10</v>
      </c>
      <c r="J26" s="80"/>
      <c r="K26" s="43">
        <v>7.5</v>
      </c>
      <c r="L26" s="45" t="s">
        <v>15</v>
      </c>
    </row>
    <row r="27" spans="1:12" ht="15.75" customHeight="1" x14ac:dyDescent="0.3">
      <c r="A27" s="21">
        <v>1</v>
      </c>
      <c r="B27" s="25">
        <v>45666</v>
      </c>
      <c r="C27" s="29" t="s">
        <v>315</v>
      </c>
      <c r="D27" s="36">
        <v>1</v>
      </c>
      <c r="E27" s="41" t="s">
        <v>557</v>
      </c>
      <c r="F27" s="42">
        <v>7.0000000000000007E-2</v>
      </c>
      <c r="G27" s="9">
        <v>7.0000000000000007E-2</v>
      </c>
      <c r="H27" s="45">
        <v>1</v>
      </c>
      <c r="I27" s="9">
        <v>1</v>
      </c>
      <c r="J27" s="80" t="s">
        <v>338</v>
      </c>
      <c r="K27" s="43">
        <v>0.92999999999999994</v>
      </c>
      <c r="L27" s="45" t="s">
        <v>15</v>
      </c>
    </row>
    <row r="28" spans="1:12" ht="15.75" customHeight="1" x14ac:dyDescent="0.3">
      <c r="A28" s="21">
        <v>1</v>
      </c>
      <c r="B28" s="25">
        <v>45666</v>
      </c>
      <c r="C28" s="29" t="s">
        <v>549</v>
      </c>
      <c r="D28" s="36">
        <v>2</v>
      </c>
      <c r="E28" s="41" t="s">
        <v>20</v>
      </c>
      <c r="F28" s="42" t="s">
        <v>72</v>
      </c>
      <c r="G28" s="9">
        <v>0</v>
      </c>
      <c r="H28" s="45">
        <v>5</v>
      </c>
      <c r="I28" s="9">
        <v>10</v>
      </c>
      <c r="J28" s="80" t="s">
        <v>338</v>
      </c>
      <c r="K28" s="43">
        <v>10</v>
      </c>
      <c r="L28" s="45" t="s">
        <v>15</v>
      </c>
    </row>
    <row r="29" spans="1:12" ht="15.75" customHeight="1" x14ac:dyDescent="0.3">
      <c r="A29" s="21">
        <v>1</v>
      </c>
      <c r="B29" s="25">
        <v>45667</v>
      </c>
      <c r="C29" s="29" t="s">
        <v>558</v>
      </c>
      <c r="D29" s="36">
        <v>1</v>
      </c>
      <c r="E29" s="41" t="s">
        <v>20</v>
      </c>
      <c r="F29" s="42">
        <v>10</v>
      </c>
      <c r="G29" s="9">
        <v>10</v>
      </c>
      <c r="H29" s="45">
        <v>30</v>
      </c>
      <c r="I29" s="9">
        <v>30</v>
      </c>
      <c r="J29" s="80" t="s">
        <v>338</v>
      </c>
      <c r="K29" s="43">
        <v>20</v>
      </c>
      <c r="L29" s="45" t="s">
        <v>15</v>
      </c>
    </row>
    <row r="30" spans="1:12" ht="15.75" customHeight="1" x14ac:dyDescent="0.3">
      <c r="A30" s="21">
        <v>1</v>
      </c>
      <c r="B30" s="25">
        <v>45668</v>
      </c>
      <c r="C30" s="29" t="s">
        <v>12</v>
      </c>
      <c r="D30" s="36">
        <v>1</v>
      </c>
      <c r="E30" s="41" t="s">
        <v>559</v>
      </c>
      <c r="F30" s="42">
        <v>7</v>
      </c>
      <c r="G30" s="9">
        <v>7</v>
      </c>
      <c r="H30" s="45">
        <v>20</v>
      </c>
      <c r="I30" s="9">
        <v>20</v>
      </c>
      <c r="J30" s="80" t="s">
        <v>338</v>
      </c>
      <c r="K30" s="43">
        <v>13</v>
      </c>
      <c r="L30" s="45" t="s">
        <v>15</v>
      </c>
    </row>
    <row r="31" spans="1:12" ht="15.75" customHeight="1" x14ac:dyDescent="0.3">
      <c r="A31" s="21">
        <v>1</v>
      </c>
      <c r="B31" s="25">
        <v>45671</v>
      </c>
      <c r="C31" s="29" t="s">
        <v>315</v>
      </c>
      <c r="D31" s="36">
        <v>5</v>
      </c>
      <c r="E31" s="41" t="s">
        <v>445</v>
      </c>
      <c r="F31" s="42">
        <v>7.0000000000000007E-2</v>
      </c>
      <c r="G31" s="9">
        <v>0.35000000000000003</v>
      </c>
      <c r="H31" s="45">
        <v>1</v>
      </c>
      <c r="I31" s="9">
        <v>5</v>
      </c>
      <c r="J31" s="80" t="s">
        <v>338</v>
      </c>
      <c r="K31" s="43">
        <v>4.6500000000000004</v>
      </c>
      <c r="L31" s="45" t="s">
        <v>15</v>
      </c>
    </row>
    <row r="32" spans="1:12" ht="15.75" customHeight="1" x14ac:dyDescent="0.3">
      <c r="A32" s="21">
        <v>1</v>
      </c>
      <c r="B32" s="25">
        <v>45671</v>
      </c>
      <c r="C32" s="29" t="s">
        <v>315</v>
      </c>
      <c r="D32" s="36">
        <v>1</v>
      </c>
      <c r="E32" s="41" t="s">
        <v>20</v>
      </c>
      <c r="F32" s="42">
        <v>7.0000000000000007E-2</v>
      </c>
      <c r="G32" s="9">
        <v>7.0000000000000007E-2</v>
      </c>
      <c r="H32" s="45">
        <v>1</v>
      </c>
      <c r="I32" s="9">
        <v>1</v>
      </c>
      <c r="J32" s="80" t="s">
        <v>338</v>
      </c>
      <c r="K32" s="43">
        <v>0.92999999999999994</v>
      </c>
      <c r="L32" s="45" t="s">
        <v>15</v>
      </c>
    </row>
    <row r="33" spans="1:12" ht="15.75" customHeight="1" x14ac:dyDescent="0.3">
      <c r="A33" s="21">
        <v>1</v>
      </c>
      <c r="B33" s="25">
        <v>45671</v>
      </c>
      <c r="C33" s="29" t="s">
        <v>439</v>
      </c>
      <c r="D33" s="36">
        <v>1</v>
      </c>
      <c r="E33" s="41" t="s">
        <v>20</v>
      </c>
      <c r="F33" s="42">
        <v>1</v>
      </c>
      <c r="G33" s="9">
        <v>1</v>
      </c>
      <c r="H33" s="45">
        <v>5</v>
      </c>
      <c r="I33" s="9">
        <v>5</v>
      </c>
      <c r="J33" s="80" t="s">
        <v>338</v>
      </c>
      <c r="K33" s="43">
        <v>4</v>
      </c>
      <c r="L33" s="45" t="s">
        <v>15</v>
      </c>
    </row>
    <row r="34" spans="1:12" ht="15.75" customHeight="1" x14ac:dyDescent="0.3">
      <c r="A34" s="21">
        <v>1</v>
      </c>
      <c r="B34" s="25">
        <v>45672</v>
      </c>
      <c r="C34" s="29" t="s">
        <v>315</v>
      </c>
      <c r="D34" s="36">
        <v>2</v>
      </c>
      <c r="E34" s="41" t="s">
        <v>20</v>
      </c>
      <c r="F34" s="42">
        <v>7.0000000000000007E-2</v>
      </c>
      <c r="G34" s="9">
        <v>0.14000000000000001</v>
      </c>
      <c r="H34" s="45">
        <v>1</v>
      </c>
      <c r="I34" s="9">
        <v>2</v>
      </c>
      <c r="J34" s="80" t="s">
        <v>338</v>
      </c>
      <c r="K34" s="43">
        <v>1.8599999999999999</v>
      </c>
      <c r="L34" s="45" t="s">
        <v>15</v>
      </c>
    </row>
    <row r="35" spans="1:12" ht="15.75" customHeight="1" x14ac:dyDescent="0.3">
      <c r="A35" s="21">
        <v>1</v>
      </c>
      <c r="B35" s="25">
        <v>45672</v>
      </c>
      <c r="C35" s="29" t="s">
        <v>315</v>
      </c>
      <c r="D35" s="36">
        <v>9</v>
      </c>
      <c r="E35" s="41" t="s">
        <v>20</v>
      </c>
      <c r="F35" s="42">
        <v>7.0000000000000007E-2</v>
      </c>
      <c r="G35" s="9">
        <v>0.63000000000000012</v>
      </c>
      <c r="H35" s="45">
        <v>1</v>
      </c>
      <c r="I35" s="9">
        <v>9</v>
      </c>
      <c r="J35" s="80" t="s">
        <v>338</v>
      </c>
      <c r="K35" s="43">
        <v>8.3699999999999992</v>
      </c>
      <c r="L35" s="45" t="s">
        <v>15</v>
      </c>
    </row>
    <row r="36" spans="1:12" ht="15.75" customHeight="1" x14ac:dyDescent="0.3">
      <c r="A36" s="21">
        <v>1</v>
      </c>
      <c r="B36" s="25">
        <v>45672</v>
      </c>
      <c r="C36" s="29" t="s">
        <v>560</v>
      </c>
      <c r="D36" s="36">
        <v>1</v>
      </c>
      <c r="E36" s="41" t="s">
        <v>561</v>
      </c>
      <c r="F36" s="42">
        <v>32</v>
      </c>
      <c r="G36" s="9">
        <v>32</v>
      </c>
      <c r="H36" s="45">
        <v>70</v>
      </c>
      <c r="I36" s="9">
        <v>70</v>
      </c>
      <c r="J36" s="80" t="s">
        <v>338</v>
      </c>
      <c r="K36" s="43">
        <v>38</v>
      </c>
      <c r="L36" s="45" t="s">
        <v>15</v>
      </c>
    </row>
    <row r="37" spans="1:12" ht="15.75" customHeight="1" x14ac:dyDescent="0.3">
      <c r="A37" s="21">
        <v>1</v>
      </c>
      <c r="B37" s="25">
        <v>45672</v>
      </c>
      <c r="C37" s="29" t="s">
        <v>389</v>
      </c>
      <c r="D37" s="36">
        <v>1</v>
      </c>
      <c r="E37" s="41" t="s">
        <v>20</v>
      </c>
      <c r="F37" s="42">
        <v>0.39549999999999996</v>
      </c>
      <c r="G37" s="9">
        <v>0.39549999999999996</v>
      </c>
      <c r="H37" s="45">
        <v>1</v>
      </c>
      <c r="I37" s="9">
        <v>1</v>
      </c>
      <c r="J37" s="80" t="s">
        <v>338</v>
      </c>
      <c r="K37" s="43">
        <v>0.60450000000000004</v>
      </c>
      <c r="L37" s="45" t="s">
        <v>15</v>
      </c>
    </row>
    <row r="38" spans="1:12" ht="15.75" customHeight="1" x14ac:dyDescent="0.3">
      <c r="A38" s="21">
        <v>1</v>
      </c>
      <c r="B38" s="25">
        <v>45672</v>
      </c>
      <c r="C38" s="29" t="s">
        <v>562</v>
      </c>
      <c r="D38" s="36">
        <v>2</v>
      </c>
      <c r="E38" s="41" t="s">
        <v>563</v>
      </c>
      <c r="F38" s="42">
        <v>25</v>
      </c>
      <c r="G38" s="9">
        <v>50</v>
      </c>
      <c r="H38" s="45">
        <v>50</v>
      </c>
      <c r="I38" s="9">
        <v>100</v>
      </c>
      <c r="J38" s="80" t="s">
        <v>338</v>
      </c>
      <c r="K38" s="43">
        <v>50</v>
      </c>
      <c r="L38" s="45" t="s">
        <v>15</v>
      </c>
    </row>
    <row r="39" spans="1:12" ht="15.75" customHeight="1" x14ac:dyDescent="0.3">
      <c r="A39" s="21">
        <v>1</v>
      </c>
      <c r="B39" s="25">
        <v>45672</v>
      </c>
      <c r="C39" s="29" t="s">
        <v>553</v>
      </c>
      <c r="D39" s="36">
        <v>1</v>
      </c>
      <c r="E39" s="41" t="s">
        <v>561</v>
      </c>
      <c r="F39" s="42" t="s">
        <v>72</v>
      </c>
      <c r="G39" s="9">
        <v>0</v>
      </c>
      <c r="H39" s="45">
        <v>50</v>
      </c>
      <c r="I39" s="9">
        <v>50</v>
      </c>
      <c r="J39" s="80" t="s">
        <v>338</v>
      </c>
      <c r="K39" s="43">
        <v>50</v>
      </c>
      <c r="L39" s="45" t="s">
        <v>15</v>
      </c>
    </row>
    <row r="40" spans="1:12" ht="15.75" customHeight="1" x14ac:dyDescent="0.3">
      <c r="A40" s="21">
        <v>1</v>
      </c>
      <c r="B40" s="25">
        <v>45672</v>
      </c>
      <c r="C40" s="29" t="s">
        <v>564</v>
      </c>
      <c r="D40" s="36">
        <v>1</v>
      </c>
      <c r="E40" s="41" t="s">
        <v>20</v>
      </c>
      <c r="F40" s="42">
        <v>16</v>
      </c>
      <c r="G40" s="9">
        <v>16</v>
      </c>
      <c r="H40" s="45">
        <v>35</v>
      </c>
      <c r="I40" s="9">
        <v>35</v>
      </c>
      <c r="J40" s="80" t="s">
        <v>338</v>
      </c>
      <c r="K40" s="43">
        <v>19</v>
      </c>
      <c r="L40" s="45" t="s">
        <v>15</v>
      </c>
    </row>
    <row r="41" spans="1:12" ht="15.75" customHeight="1" x14ac:dyDescent="0.3">
      <c r="A41" s="21">
        <v>1</v>
      </c>
      <c r="B41" s="25">
        <v>45672</v>
      </c>
      <c r="C41" s="29" t="s">
        <v>267</v>
      </c>
      <c r="D41" s="36">
        <v>1</v>
      </c>
      <c r="E41" s="41" t="s">
        <v>20</v>
      </c>
      <c r="F41" s="42">
        <v>0</v>
      </c>
      <c r="G41" s="9">
        <v>0</v>
      </c>
      <c r="H41" s="45">
        <v>57.5</v>
      </c>
      <c r="I41" s="9">
        <v>57.5</v>
      </c>
      <c r="J41" s="80" t="s">
        <v>338</v>
      </c>
      <c r="K41" s="43">
        <v>57.5</v>
      </c>
      <c r="L41" s="45" t="s">
        <v>15</v>
      </c>
    </row>
    <row r="42" spans="1:12" ht="15.75" customHeight="1" x14ac:dyDescent="0.3">
      <c r="A42" s="21">
        <v>1</v>
      </c>
      <c r="B42" s="25">
        <v>45674</v>
      </c>
      <c r="C42" s="29" t="s">
        <v>565</v>
      </c>
      <c r="D42" s="36">
        <v>1</v>
      </c>
      <c r="E42" s="41" t="s">
        <v>566</v>
      </c>
      <c r="F42" s="42">
        <v>5.5</v>
      </c>
      <c r="G42" s="9">
        <v>5.5</v>
      </c>
      <c r="H42" s="45">
        <v>15</v>
      </c>
      <c r="I42" s="9">
        <v>15</v>
      </c>
      <c r="J42" s="80" t="s">
        <v>338</v>
      </c>
      <c r="K42" s="43">
        <v>9.5</v>
      </c>
      <c r="L42" s="45" t="s">
        <v>15</v>
      </c>
    </row>
    <row r="43" spans="1:12" ht="15.75" customHeight="1" x14ac:dyDescent="0.3">
      <c r="A43" s="21">
        <v>1</v>
      </c>
      <c r="B43" s="25">
        <v>45674</v>
      </c>
      <c r="C43" s="29" t="s">
        <v>216</v>
      </c>
      <c r="D43" s="36">
        <v>1</v>
      </c>
      <c r="E43" s="41" t="s">
        <v>566</v>
      </c>
      <c r="F43" s="42">
        <v>0</v>
      </c>
      <c r="G43" s="9">
        <v>0</v>
      </c>
      <c r="H43" s="45">
        <v>50</v>
      </c>
      <c r="I43" s="9">
        <v>50</v>
      </c>
      <c r="J43" s="80" t="s">
        <v>338</v>
      </c>
      <c r="K43" s="43">
        <v>50</v>
      </c>
      <c r="L43" s="45" t="s">
        <v>15</v>
      </c>
    </row>
    <row r="44" spans="1:12" ht="15.75" customHeight="1" x14ac:dyDescent="0.3">
      <c r="A44" s="21">
        <v>1</v>
      </c>
      <c r="B44" s="25">
        <v>45674</v>
      </c>
      <c r="C44" s="29" t="s">
        <v>195</v>
      </c>
      <c r="D44" s="36">
        <v>1</v>
      </c>
      <c r="E44" s="41" t="s">
        <v>535</v>
      </c>
      <c r="F44" s="42">
        <v>10</v>
      </c>
      <c r="G44" s="9">
        <v>10</v>
      </c>
      <c r="H44" s="45">
        <v>20</v>
      </c>
      <c r="I44" s="9">
        <v>20</v>
      </c>
      <c r="J44" s="80" t="s">
        <v>338</v>
      </c>
      <c r="K44" s="43">
        <v>10</v>
      </c>
      <c r="L44" s="45" t="s">
        <v>15</v>
      </c>
    </row>
    <row r="45" spans="1:12" ht="15.75" customHeight="1" x14ac:dyDescent="0.3">
      <c r="A45" s="21">
        <v>1</v>
      </c>
      <c r="B45" s="25">
        <v>45674</v>
      </c>
      <c r="C45" s="29" t="s">
        <v>567</v>
      </c>
      <c r="D45" s="36">
        <v>1</v>
      </c>
      <c r="E45" s="41" t="s">
        <v>232</v>
      </c>
      <c r="F45" s="42">
        <v>19</v>
      </c>
      <c r="G45" s="9">
        <v>19</v>
      </c>
      <c r="H45" s="45">
        <v>25</v>
      </c>
      <c r="I45" s="9">
        <v>25</v>
      </c>
      <c r="J45" s="80" t="s">
        <v>338</v>
      </c>
      <c r="K45" s="43">
        <v>6</v>
      </c>
      <c r="L45" s="45" t="s">
        <v>15</v>
      </c>
    </row>
    <row r="46" spans="1:12" ht="15.75" customHeight="1" x14ac:dyDescent="0.3">
      <c r="A46" s="21">
        <v>1</v>
      </c>
      <c r="B46" s="25">
        <v>45674</v>
      </c>
      <c r="C46" s="29" t="s">
        <v>568</v>
      </c>
      <c r="D46" s="36">
        <v>1</v>
      </c>
      <c r="E46" s="41" t="s">
        <v>569</v>
      </c>
      <c r="F46" s="42">
        <v>60</v>
      </c>
      <c r="G46" s="9">
        <v>60</v>
      </c>
      <c r="H46" s="45">
        <v>90</v>
      </c>
      <c r="I46" s="9">
        <v>90</v>
      </c>
      <c r="J46" s="80" t="s">
        <v>338</v>
      </c>
      <c r="K46" s="43">
        <v>30</v>
      </c>
      <c r="L46" s="45" t="s">
        <v>15</v>
      </c>
    </row>
    <row r="47" spans="1:12" ht="15.75" customHeight="1" x14ac:dyDescent="0.3">
      <c r="A47" s="21">
        <v>1</v>
      </c>
      <c r="B47" s="25">
        <v>45675</v>
      </c>
      <c r="C47" s="29" t="s">
        <v>570</v>
      </c>
      <c r="D47" s="36">
        <v>1</v>
      </c>
      <c r="E47" s="41" t="s">
        <v>132</v>
      </c>
      <c r="F47" s="42">
        <v>2.5</v>
      </c>
      <c r="G47" s="9">
        <v>2.5</v>
      </c>
      <c r="H47" s="45">
        <v>10</v>
      </c>
      <c r="I47" s="9">
        <v>10</v>
      </c>
      <c r="J47" s="80" t="s">
        <v>338</v>
      </c>
      <c r="K47" s="43">
        <v>7.5</v>
      </c>
      <c r="L47" s="45" t="s">
        <v>15</v>
      </c>
    </row>
    <row r="48" spans="1:12" ht="15.75" customHeight="1" x14ac:dyDescent="0.3">
      <c r="A48" s="21">
        <v>1</v>
      </c>
      <c r="B48" s="25">
        <v>45675</v>
      </c>
      <c r="C48" s="29" t="s">
        <v>540</v>
      </c>
      <c r="D48" s="36">
        <v>1</v>
      </c>
      <c r="E48" s="41" t="s">
        <v>132</v>
      </c>
      <c r="F48" s="42">
        <v>19</v>
      </c>
      <c r="G48" s="9">
        <v>19</v>
      </c>
      <c r="H48" s="45">
        <v>30</v>
      </c>
      <c r="I48" s="9">
        <v>30</v>
      </c>
      <c r="J48" s="80" t="s">
        <v>338</v>
      </c>
      <c r="K48" s="43">
        <v>11</v>
      </c>
      <c r="L48" s="45" t="s">
        <v>15</v>
      </c>
    </row>
    <row r="49" spans="1:12" ht="15.75" customHeight="1" x14ac:dyDescent="0.3">
      <c r="A49" s="21">
        <v>1</v>
      </c>
      <c r="B49" s="25">
        <v>45675</v>
      </c>
      <c r="C49" s="29" t="s">
        <v>571</v>
      </c>
      <c r="D49" s="36">
        <v>1</v>
      </c>
      <c r="E49" s="41" t="s">
        <v>20</v>
      </c>
      <c r="F49" s="42">
        <v>10</v>
      </c>
      <c r="G49" s="9">
        <v>10</v>
      </c>
      <c r="H49" s="45">
        <v>25</v>
      </c>
      <c r="I49" s="9">
        <v>25</v>
      </c>
      <c r="J49" s="80" t="s">
        <v>338</v>
      </c>
      <c r="K49" s="43">
        <v>15</v>
      </c>
      <c r="L49" s="45" t="s">
        <v>15</v>
      </c>
    </row>
    <row r="50" spans="1:12" ht="15.75" customHeight="1" x14ac:dyDescent="0.3">
      <c r="A50" s="21">
        <v>1</v>
      </c>
      <c r="B50" s="25">
        <v>45675</v>
      </c>
      <c r="C50" s="29" t="s">
        <v>553</v>
      </c>
      <c r="D50" s="36">
        <v>1</v>
      </c>
      <c r="E50" s="41" t="s">
        <v>132</v>
      </c>
      <c r="F50" s="42" t="s">
        <v>72</v>
      </c>
      <c r="G50" s="9">
        <v>0</v>
      </c>
      <c r="H50" s="45">
        <v>37</v>
      </c>
      <c r="I50" s="9">
        <v>37</v>
      </c>
      <c r="J50" s="80" t="s">
        <v>338</v>
      </c>
      <c r="K50" s="43">
        <v>37</v>
      </c>
      <c r="L50" s="45" t="s">
        <v>15</v>
      </c>
    </row>
    <row r="51" spans="1:12" ht="15.75" customHeight="1" x14ac:dyDescent="0.3">
      <c r="A51" s="21">
        <v>1</v>
      </c>
      <c r="B51" s="25">
        <v>45675</v>
      </c>
      <c r="C51" s="29" t="s">
        <v>572</v>
      </c>
      <c r="D51" s="36">
        <v>1</v>
      </c>
      <c r="E51" s="41" t="s">
        <v>573</v>
      </c>
      <c r="F51" s="42">
        <v>15</v>
      </c>
      <c r="G51" s="9">
        <v>15</v>
      </c>
      <c r="H51" s="45">
        <v>50</v>
      </c>
      <c r="I51" s="9">
        <v>50</v>
      </c>
      <c r="J51" s="80" t="s">
        <v>338</v>
      </c>
      <c r="K51" s="43">
        <v>35</v>
      </c>
      <c r="L51" s="45" t="s">
        <v>15</v>
      </c>
    </row>
    <row r="52" spans="1:12" ht="15.75" customHeight="1" x14ac:dyDescent="0.3">
      <c r="A52" s="21">
        <v>1</v>
      </c>
      <c r="B52" s="25">
        <v>45675</v>
      </c>
      <c r="C52" s="29" t="s">
        <v>263</v>
      </c>
      <c r="D52" s="36">
        <v>1</v>
      </c>
      <c r="E52" s="41" t="s">
        <v>573</v>
      </c>
      <c r="F52" s="42">
        <v>4.5</v>
      </c>
      <c r="G52" s="9">
        <v>4.5</v>
      </c>
      <c r="H52" s="45">
        <v>15</v>
      </c>
      <c r="I52" s="9">
        <v>15</v>
      </c>
      <c r="J52" s="80" t="s">
        <v>338</v>
      </c>
      <c r="K52" s="43">
        <v>10.5</v>
      </c>
      <c r="L52" s="45" t="s">
        <v>15</v>
      </c>
    </row>
    <row r="53" spans="1:12" ht="15.75" customHeight="1" x14ac:dyDescent="0.3">
      <c r="A53" s="21">
        <v>1</v>
      </c>
      <c r="B53" s="25">
        <v>45677</v>
      </c>
      <c r="C53" s="29" t="s">
        <v>313</v>
      </c>
      <c r="D53" s="36">
        <v>1</v>
      </c>
      <c r="E53" s="41" t="s">
        <v>20</v>
      </c>
      <c r="F53" s="42">
        <v>3</v>
      </c>
      <c r="G53" s="9">
        <v>3</v>
      </c>
      <c r="H53" s="45">
        <v>15</v>
      </c>
      <c r="I53" s="9">
        <v>15</v>
      </c>
      <c r="J53" s="80" t="s">
        <v>338</v>
      </c>
      <c r="K53" s="43">
        <v>12</v>
      </c>
      <c r="L53" s="45" t="s">
        <v>15</v>
      </c>
    </row>
    <row r="54" spans="1:12" ht="15.75" customHeight="1" x14ac:dyDescent="0.3">
      <c r="A54" s="21">
        <v>1</v>
      </c>
      <c r="B54" s="25">
        <v>45678</v>
      </c>
      <c r="C54" s="29" t="s">
        <v>315</v>
      </c>
      <c r="D54" s="36">
        <v>2</v>
      </c>
      <c r="E54" s="41" t="s">
        <v>20</v>
      </c>
      <c r="F54" s="42">
        <v>7.0000000000000007E-2</v>
      </c>
      <c r="G54" s="9">
        <v>0.14000000000000001</v>
      </c>
      <c r="H54" s="45">
        <v>1</v>
      </c>
      <c r="I54" s="9">
        <v>2</v>
      </c>
      <c r="J54" s="80" t="s">
        <v>338</v>
      </c>
      <c r="K54" s="43">
        <v>1.8599999999999999</v>
      </c>
      <c r="L54" s="45" t="s">
        <v>15</v>
      </c>
    </row>
    <row r="55" spans="1:12" ht="15.75" customHeight="1" x14ac:dyDescent="0.3">
      <c r="A55" s="21">
        <v>1</v>
      </c>
      <c r="B55" s="25">
        <v>45680</v>
      </c>
      <c r="C55" s="29" t="s">
        <v>315</v>
      </c>
      <c r="D55" s="36">
        <v>12</v>
      </c>
      <c r="E55" s="41" t="s">
        <v>20</v>
      </c>
      <c r="F55" s="42">
        <v>7.0000000000000007E-2</v>
      </c>
      <c r="G55" s="9">
        <v>0.84000000000000008</v>
      </c>
      <c r="H55" s="45">
        <v>1</v>
      </c>
      <c r="I55" s="9">
        <v>12</v>
      </c>
      <c r="J55" s="80" t="s">
        <v>338</v>
      </c>
      <c r="K55" s="43">
        <v>11.16</v>
      </c>
      <c r="L55" s="45" t="s">
        <v>15</v>
      </c>
    </row>
    <row r="56" spans="1:12" ht="15.75" customHeight="1" x14ac:dyDescent="0.3">
      <c r="A56" s="21">
        <v>1</v>
      </c>
      <c r="B56" s="25">
        <v>45680</v>
      </c>
      <c r="C56" s="29" t="s">
        <v>389</v>
      </c>
      <c r="D56" s="36">
        <v>1</v>
      </c>
      <c r="E56" s="41" t="s">
        <v>20</v>
      </c>
      <c r="F56" s="42">
        <v>0.39549999999999996</v>
      </c>
      <c r="G56" s="9">
        <v>0.39549999999999996</v>
      </c>
      <c r="H56" s="45">
        <v>2</v>
      </c>
      <c r="I56" s="9">
        <v>2</v>
      </c>
      <c r="J56" s="80" t="s">
        <v>338</v>
      </c>
      <c r="K56" s="43">
        <v>1.6045</v>
      </c>
      <c r="L56" s="45" t="s">
        <v>15</v>
      </c>
    </row>
    <row r="57" spans="1:12" ht="15.75" customHeight="1" x14ac:dyDescent="0.3">
      <c r="A57" s="21">
        <v>1</v>
      </c>
      <c r="B57" s="25">
        <v>45680</v>
      </c>
      <c r="C57" s="29" t="s">
        <v>574</v>
      </c>
      <c r="D57" s="36">
        <v>1</v>
      </c>
      <c r="E57" s="41" t="s">
        <v>20</v>
      </c>
      <c r="F57" s="42" t="s">
        <v>72</v>
      </c>
      <c r="G57" s="9">
        <v>0</v>
      </c>
      <c r="H57" s="45">
        <v>61.75</v>
      </c>
      <c r="I57" s="9">
        <v>61.75</v>
      </c>
      <c r="J57" s="80" t="s">
        <v>338</v>
      </c>
      <c r="K57" s="43">
        <v>61.75</v>
      </c>
      <c r="L57" s="45" t="s">
        <v>15</v>
      </c>
    </row>
    <row r="58" spans="1:12" ht="15.75" customHeight="1" x14ac:dyDescent="0.3">
      <c r="A58" s="21">
        <v>1</v>
      </c>
      <c r="B58" s="25">
        <v>45680</v>
      </c>
      <c r="C58" s="29" t="s">
        <v>574</v>
      </c>
      <c r="D58" s="36">
        <v>1</v>
      </c>
      <c r="E58" s="41" t="s">
        <v>20</v>
      </c>
      <c r="F58" s="42" t="s">
        <v>72</v>
      </c>
      <c r="G58" s="9">
        <v>0</v>
      </c>
      <c r="H58" s="45">
        <v>20</v>
      </c>
      <c r="I58" s="9">
        <v>20</v>
      </c>
      <c r="J58" s="80" t="s">
        <v>338</v>
      </c>
      <c r="K58" s="43">
        <v>20</v>
      </c>
      <c r="L58" s="45" t="s">
        <v>15</v>
      </c>
    </row>
    <row r="59" spans="1:12" ht="15.75" customHeight="1" x14ac:dyDescent="0.3">
      <c r="A59" s="21">
        <v>1</v>
      </c>
      <c r="B59" s="25">
        <v>45680</v>
      </c>
      <c r="C59" s="29" t="s">
        <v>399</v>
      </c>
      <c r="D59" s="36">
        <v>1</v>
      </c>
      <c r="E59" s="41" t="s">
        <v>20</v>
      </c>
      <c r="F59" s="42">
        <v>11</v>
      </c>
      <c r="G59" s="9">
        <v>11</v>
      </c>
      <c r="H59" s="45">
        <v>30</v>
      </c>
      <c r="I59" s="9">
        <v>30</v>
      </c>
      <c r="J59" s="80" t="s">
        <v>338</v>
      </c>
      <c r="K59" s="43">
        <v>19</v>
      </c>
      <c r="L59" s="45" t="s">
        <v>15</v>
      </c>
    </row>
    <row r="60" spans="1:12" ht="15.75" customHeight="1" x14ac:dyDescent="0.3">
      <c r="A60" s="21">
        <v>1</v>
      </c>
      <c r="B60" s="25">
        <v>45680</v>
      </c>
      <c r="C60" s="29" t="s">
        <v>275</v>
      </c>
      <c r="D60" s="36">
        <v>1</v>
      </c>
      <c r="E60" s="41" t="s">
        <v>445</v>
      </c>
      <c r="F60" s="42">
        <v>18</v>
      </c>
      <c r="G60" s="9">
        <v>18</v>
      </c>
      <c r="H60" s="45">
        <v>20</v>
      </c>
      <c r="I60" s="9">
        <v>20</v>
      </c>
      <c r="J60" s="80" t="s">
        <v>338</v>
      </c>
      <c r="K60" s="43">
        <v>2</v>
      </c>
      <c r="L60" s="45" t="s">
        <v>15</v>
      </c>
    </row>
    <row r="61" spans="1:12" ht="15.75" customHeight="1" x14ac:dyDescent="0.3">
      <c r="A61" s="21">
        <v>1</v>
      </c>
      <c r="B61" s="25">
        <v>45680</v>
      </c>
      <c r="C61" s="29" t="s">
        <v>231</v>
      </c>
      <c r="D61" s="36">
        <v>1</v>
      </c>
      <c r="E61" s="41" t="s">
        <v>20</v>
      </c>
      <c r="F61" s="42">
        <v>7</v>
      </c>
      <c r="G61" s="9">
        <v>7</v>
      </c>
      <c r="H61" s="45">
        <v>25</v>
      </c>
      <c r="I61" s="9">
        <v>25</v>
      </c>
      <c r="J61" s="80" t="s">
        <v>338</v>
      </c>
      <c r="K61" s="43">
        <v>18</v>
      </c>
      <c r="L61" s="45" t="s">
        <v>15</v>
      </c>
    </row>
    <row r="62" spans="1:12" ht="15.75" customHeight="1" x14ac:dyDescent="0.3">
      <c r="A62" s="21">
        <v>1</v>
      </c>
      <c r="B62" s="25">
        <v>45681</v>
      </c>
      <c r="C62" s="29" t="s">
        <v>552</v>
      </c>
      <c r="D62" s="36">
        <v>1</v>
      </c>
      <c r="E62" s="41" t="s">
        <v>20</v>
      </c>
      <c r="F62" s="42">
        <v>18</v>
      </c>
      <c r="G62" s="9">
        <v>18</v>
      </c>
      <c r="H62" s="45">
        <v>30</v>
      </c>
      <c r="I62" s="9">
        <v>30</v>
      </c>
      <c r="J62" s="80" t="s">
        <v>338</v>
      </c>
      <c r="K62" s="43">
        <v>12</v>
      </c>
      <c r="L62" s="45" t="s">
        <v>15</v>
      </c>
    </row>
    <row r="63" spans="1:12" ht="15.75" customHeight="1" x14ac:dyDescent="0.3">
      <c r="A63" s="21">
        <v>1</v>
      </c>
      <c r="B63" s="25">
        <v>45681</v>
      </c>
      <c r="C63" s="29" t="s">
        <v>315</v>
      </c>
      <c r="D63" s="36">
        <v>1</v>
      </c>
      <c r="E63" s="41" t="s">
        <v>20</v>
      </c>
      <c r="F63" s="42">
        <v>7.0000000000000007E-2</v>
      </c>
      <c r="G63" s="9">
        <v>7.0000000000000007E-2</v>
      </c>
      <c r="H63" s="45">
        <v>1</v>
      </c>
      <c r="I63" s="9">
        <v>1</v>
      </c>
      <c r="J63" s="80" t="s">
        <v>338</v>
      </c>
      <c r="K63" s="43">
        <v>0.92999999999999994</v>
      </c>
      <c r="L63" s="45" t="s">
        <v>15</v>
      </c>
    </row>
    <row r="64" spans="1:12" ht="15.75" customHeight="1" x14ac:dyDescent="0.3">
      <c r="A64" s="21">
        <v>1</v>
      </c>
      <c r="B64" s="25">
        <v>45681</v>
      </c>
      <c r="C64" s="29" t="s">
        <v>552</v>
      </c>
      <c r="D64" s="36">
        <v>1</v>
      </c>
      <c r="E64" s="41" t="s">
        <v>483</v>
      </c>
      <c r="F64" s="42">
        <v>18</v>
      </c>
      <c r="G64" s="9">
        <v>18</v>
      </c>
      <c r="H64" s="45">
        <v>30</v>
      </c>
      <c r="I64" s="9">
        <v>30</v>
      </c>
      <c r="J64" s="80" t="s">
        <v>338</v>
      </c>
      <c r="K64" s="43">
        <v>12</v>
      </c>
      <c r="L64" s="45" t="s">
        <v>15</v>
      </c>
    </row>
    <row r="65" spans="1:24" ht="15.75" customHeight="1" x14ac:dyDescent="0.3">
      <c r="A65" s="21">
        <v>1</v>
      </c>
      <c r="B65" s="25">
        <v>45682</v>
      </c>
      <c r="C65" s="29" t="s">
        <v>553</v>
      </c>
      <c r="D65" s="36">
        <v>1</v>
      </c>
      <c r="E65" s="41" t="s">
        <v>20</v>
      </c>
      <c r="F65" s="42" t="s">
        <v>72</v>
      </c>
      <c r="G65" s="9">
        <v>0</v>
      </c>
      <c r="H65" s="45">
        <v>35</v>
      </c>
      <c r="I65" s="9">
        <v>35</v>
      </c>
      <c r="J65" s="80" t="s">
        <v>338</v>
      </c>
      <c r="K65" s="43">
        <v>35</v>
      </c>
      <c r="L65" s="45" t="s">
        <v>15</v>
      </c>
    </row>
    <row r="66" spans="1:24" ht="15.75" customHeight="1" x14ac:dyDescent="0.3">
      <c r="A66" s="21">
        <v>1</v>
      </c>
      <c r="B66" s="25">
        <v>45684</v>
      </c>
      <c r="C66" s="29" t="s">
        <v>315</v>
      </c>
      <c r="D66" s="36">
        <v>15</v>
      </c>
      <c r="E66" s="41" t="s">
        <v>20</v>
      </c>
      <c r="F66" s="42">
        <v>7.0000000000000007E-2</v>
      </c>
      <c r="G66" s="9">
        <v>1.05</v>
      </c>
      <c r="H66" s="45">
        <v>1</v>
      </c>
      <c r="I66" s="9">
        <v>15</v>
      </c>
      <c r="J66" s="80" t="s">
        <v>338</v>
      </c>
      <c r="K66" s="43">
        <v>13.95</v>
      </c>
      <c r="L66" s="45" t="s">
        <v>15</v>
      </c>
    </row>
    <row r="67" spans="1:24" ht="15.75" customHeight="1" x14ac:dyDescent="0.3">
      <c r="A67" s="21">
        <v>1</v>
      </c>
      <c r="B67" s="25">
        <v>45684</v>
      </c>
      <c r="C67" s="29" t="s">
        <v>339</v>
      </c>
      <c r="D67" s="36">
        <v>1</v>
      </c>
      <c r="E67" s="41" t="s">
        <v>573</v>
      </c>
      <c r="F67" s="42">
        <v>50</v>
      </c>
      <c r="G67" s="9">
        <v>50</v>
      </c>
      <c r="H67" s="45">
        <v>70</v>
      </c>
      <c r="I67" s="9">
        <v>70</v>
      </c>
      <c r="J67" s="80" t="s">
        <v>338</v>
      </c>
      <c r="K67" s="43">
        <v>20</v>
      </c>
      <c r="L67" s="45" t="s">
        <v>15</v>
      </c>
    </row>
    <row r="68" spans="1:24" ht="15.75" customHeight="1" x14ac:dyDescent="0.3">
      <c r="A68" s="21">
        <v>1</v>
      </c>
      <c r="B68" s="25">
        <v>45684</v>
      </c>
      <c r="C68" s="29" t="s">
        <v>415</v>
      </c>
      <c r="D68" s="36">
        <v>1</v>
      </c>
      <c r="E68" s="41" t="s">
        <v>573</v>
      </c>
      <c r="F68" s="42">
        <v>6</v>
      </c>
      <c r="G68" s="9">
        <v>6</v>
      </c>
      <c r="H68" s="45">
        <v>15</v>
      </c>
      <c r="I68" s="9">
        <v>15</v>
      </c>
      <c r="J68" s="80" t="s">
        <v>338</v>
      </c>
      <c r="K68" s="43">
        <v>9</v>
      </c>
      <c r="L68" s="45" t="s">
        <v>15</v>
      </c>
    </row>
    <row r="69" spans="1:24" ht="15.75" customHeight="1" x14ac:dyDescent="0.3">
      <c r="A69" s="21">
        <v>1</v>
      </c>
      <c r="B69" s="25">
        <v>45684</v>
      </c>
      <c r="C69" s="29" t="s">
        <v>315</v>
      </c>
      <c r="D69" s="36">
        <v>15</v>
      </c>
      <c r="E69" s="41" t="s">
        <v>20</v>
      </c>
      <c r="F69" s="42">
        <v>7.0000000000000007E-2</v>
      </c>
      <c r="G69" s="9">
        <v>1.05</v>
      </c>
      <c r="H69" s="45">
        <v>1</v>
      </c>
      <c r="I69" s="9">
        <v>15</v>
      </c>
      <c r="J69" s="80" t="s">
        <v>338</v>
      </c>
      <c r="K69" s="43">
        <v>13.95</v>
      </c>
      <c r="L69" s="45" t="s">
        <v>15</v>
      </c>
    </row>
    <row r="70" spans="1:24" ht="15.75" customHeight="1" x14ac:dyDescent="0.3">
      <c r="A70" s="21">
        <v>1</v>
      </c>
      <c r="B70" s="25">
        <v>45684</v>
      </c>
      <c r="C70" s="29" t="s">
        <v>520</v>
      </c>
      <c r="D70" s="36">
        <v>1</v>
      </c>
      <c r="E70" s="41" t="s">
        <v>20</v>
      </c>
      <c r="F70" s="42">
        <v>13</v>
      </c>
      <c r="G70" s="9">
        <v>13</v>
      </c>
      <c r="H70" s="45">
        <v>30</v>
      </c>
      <c r="I70" s="9">
        <v>30</v>
      </c>
      <c r="J70" s="80" t="s">
        <v>338</v>
      </c>
      <c r="K70" s="43">
        <v>17</v>
      </c>
      <c r="L70" s="45" t="s">
        <v>15</v>
      </c>
    </row>
    <row r="71" spans="1:24" ht="15.75" customHeight="1" x14ac:dyDescent="0.3">
      <c r="A71" s="21">
        <v>1</v>
      </c>
      <c r="B71" s="25">
        <v>45684</v>
      </c>
      <c r="C71" s="29" t="s">
        <v>267</v>
      </c>
      <c r="D71" s="36">
        <v>1</v>
      </c>
      <c r="E71" s="41" t="s">
        <v>20</v>
      </c>
      <c r="F71" s="42">
        <v>0</v>
      </c>
      <c r="G71" s="9">
        <v>0</v>
      </c>
      <c r="H71" s="45">
        <v>10</v>
      </c>
      <c r="I71" s="9">
        <v>10</v>
      </c>
      <c r="J71" s="80" t="s">
        <v>338</v>
      </c>
      <c r="K71" s="43">
        <v>10</v>
      </c>
      <c r="L71" s="45" t="s">
        <v>15</v>
      </c>
    </row>
    <row r="72" spans="1:24" ht="15.75" customHeight="1" x14ac:dyDescent="0.3">
      <c r="A72" s="21">
        <v>1</v>
      </c>
      <c r="B72" s="25">
        <v>45684</v>
      </c>
      <c r="C72" s="29" t="s">
        <v>575</v>
      </c>
      <c r="D72" s="36">
        <v>1</v>
      </c>
      <c r="E72" s="41" t="s">
        <v>20</v>
      </c>
      <c r="F72" s="42">
        <v>11</v>
      </c>
      <c r="G72" s="9">
        <v>11</v>
      </c>
      <c r="H72" s="45">
        <v>30</v>
      </c>
      <c r="I72" s="9">
        <v>30</v>
      </c>
      <c r="J72" s="80" t="s">
        <v>338</v>
      </c>
      <c r="K72" s="43">
        <v>19</v>
      </c>
      <c r="L72" s="45" t="s">
        <v>15</v>
      </c>
    </row>
    <row r="73" spans="1:24" ht="15.75" customHeight="1" x14ac:dyDescent="0.3">
      <c r="A73" s="21">
        <v>1</v>
      </c>
      <c r="B73" s="25">
        <v>45684</v>
      </c>
      <c r="C73" s="29" t="s">
        <v>381</v>
      </c>
      <c r="D73" s="36">
        <v>1</v>
      </c>
      <c r="E73" s="41" t="s">
        <v>20</v>
      </c>
      <c r="F73" s="42">
        <v>0</v>
      </c>
      <c r="G73" s="9">
        <v>0</v>
      </c>
      <c r="H73" s="45">
        <v>600</v>
      </c>
      <c r="I73" s="9">
        <v>600</v>
      </c>
      <c r="J73" s="80" t="s">
        <v>338</v>
      </c>
      <c r="K73" s="43">
        <v>600</v>
      </c>
      <c r="L73" s="45" t="s">
        <v>15</v>
      </c>
    </row>
    <row r="74" spans="1:24" ht="15.75" customHeight="1" x14ac:dyDescent="0.3">
      <c r="A74" s="21">
        <v>1</v>
      </c>
      <c r="B74" s="25">
        <v>45685</v>
      </c>
      <c r="C74" s="29" t="s">
        <v>552</v>
      </c>
      <c r="D74" s="36">
        <v>1</v>
      </c>
      <c r="E74" s="41" t="s">
        <v>556</v>
      </c>
      <c r="F74" s="42">
        <v>18</v>
      </c>
      <c r="G74" s="9">
        <v>18</v>
      </c>
      <c r="H74" s="45">
        <v>25</v>
      </c>
      <c r="I74" s="9">
        <v>25</v>
      </c>
      <c r="J74" s="80" t="s">
        <v>338</v>
      </c>
      <c r="K74" s="43">
        <v>7</v>
      </c>
      <c r="L74" s="45" t="s">
        <v>15</v>
      </c>
      <c r="W74" s="50"/>
      <c r="X74" s="9"/>
    </row>
    <row r="75" spans="1:24" ht="15.75" customHeight="1" x14ac:dyDescent="0.3">
      <c r="A75" s="21">
        <v>1</v>
      </c>
      <c r="B75" s="25">
        <v>45686</v>
      </c>
      <c r="C75" s="29" t="s">
        <v>576</v>
      </c>
      <c r="D75" s="36">
        <v>1</v>
      </c>
      <c r="E75" s="41" t="s">
        <v>577</v>
      </c>
      <c r="F75" s="42">
        <v>20</v>
      </c>
      <c r="G75" s="9">
        <v>20</v>
      </c>
      <c r="H75" s="45">
        <v>60</v>
      </c>
      <c r="I75" s="9">
        <v>60</v>
      </c>
      <c r="J75" s="80" t="s">
        <v>338</v>
      </c>
      <c r="K75" s="43">
        <v>40</v>
      </c>
      <c r="L75" s="45" t="s">
        <v>578</v>
      </c>
      <c r="W75" s="50"/>
      <c r="X75" s="9"/>
    </row>
    <row r="76" spans="1:24" ht="15.75" customHeight="1" x14ac:dyDescent="0.3">
      <c r="A76" s="21">
        <v>1</v>
      </c>
      <c r="B76" s="25">
        <v>45686</v>
      </c>
      <c r="C76" s="29" t="s">
        <v>216</v>
      </c>
      <c r="D76" s="36">
        <v>1</v>
      </c>
      <c r="E76" s="41" t="s">
        <v>577</v>
      </c>
      <c r="F76" s="42">
        <v>0</v>
      </c>
      <c r="G76" s="9">
        <v>0</v>
      </c>
      <c r="H76" s="45">
        <v>55</v>
      </c>
      <c r="I76" s="9">
        <v>55</v>
      </c>
      <c r="J76" s="80" t="s">
        <v>338</v>
      </c>
      <c r="K76" s="43">
        <v>55</v>
      </c>
      <c r="L76" s="45" t="s">
        <v>578</v>
      </c>
      <c r="W76" s="50"/>
      <c r="X76" s="9"/>
    </row>
    <row r="77" spans="1:24" ht="15.75" customHeight="1" x14ac:dyDescent="0.3">
      <c r="A77" s="21">
        <v>1</v>
      </c>
      <c r="B77" s="25">
        <v>45686</v>
      </c>
      <c r="C77" s="29" t="s">
        <v>579</v>
      </c>
      <c r="D77" s="36">
        <v>1</v>
      </c>
      <c r="E77" s="41" t="s">
        <v>577</v>
      </c>
      <c r="F77" s="42">
        <v>0</v>
      </c>
      <c r="G77" s="9">
        <v>0</v>
      </c>
      <c r="H77" s="45">
        <v>50</v>
      </c>
      <c r="I77" s="9">
        <v>50</v>
      </c>
      <c r="J77" s="80" t="s">
        <v>338</v>
      </c>
      <c r="K77" s="43">
        <v>50</v>
      </c>
      <c r="L77" s="45" t="s">
        <v>578</v>
      </c>
      <c r="W77" s="51"/>
      <c r="X77" s="52"/>
    </row>
    <row r="78" spans="1:24" ht="15.75" customHeight="1" x14ac:dyDescent="0.3">
      <c r="A78" s="21">
        <v>1</v>
      </c>
      <c r="B78" s="25">
        <v>45687</v>
      </c>
      <c r="C78" s="29" t="s">
        <v>315</v>
      </c>
      <c r="D78" s="36">
        <v>1</v>
      </c>
      <c r="E78" s="41" t="s">
        <v>580</v>
      </c>
      <c r="F78" s="42">
        <v>7.0000000000000007E-2</v>
      </c>
      <c r="G78" s="9">
        <v>7.0000000000000007E-2</v>
      </c>
      <c r="H78" s="45">
        <v>1</v>
      </c>
      <c r="I78" s="9">
        <v>1</v>
      </c>
      <c r="J78" s="80" t="s">
        <v>338</v>
      </c>
      <c r="K78" s="43">
        <v>0.92999999999999994</v>
      </c>
      <c r="L78" s="45" t="s">
        <v>15</v>
      </c>
      <c r="W78" s="51"/>
      <c r="X78" s="52"/>
    </row>
    <row r="79" spans="1:24" ht="15.75" customHeight="1" x14ac:dyDescent="0.3">
      <c r="A79" s="21">
        <v>1</v>
      </c>
      <c r="B79" s="25">
        <v>45687</v>
      </c>
      <c r="C79" s="29" t="s">
        <v>267</v>
      </c>
      <c r="D79" s="36">
        <v>1</v>
      </c>
      <c r="E79" s="41" t="s">
        <v>581</v>
      </c>
      <c r="F79" s="42">
        <v>0</v>
      </c>
      <c r="G79" s="9">
        <v>0</v>
      </c>
      <c r="H79" s="45">
        <v>5</v>
      </c>
      <c r="I79" s="9">
        <v>5</v>
      </c>
      <c r="J79" s="80" t="s">
        <v>338</v>
      </c>
      <c r="K79" s="43">
        <v>5</v>
      </c>
      <c r="L79" s="45" t="s">
        <v>15</v>
      </c>
      <c r="W79" s="51"/>
      <c r="X79" s="52"/>
    </row>
    <row r="80" spans="1:24" ht="15.75" customHeight="1" x14ac:dyDescent="0.3">
      <c r="A80" s="21">
        <v>1</v>
      </c>
      <c r="B80" s="25">
        <v>45687</v>
      </c>
      <c r="C80" s="29" t="s">
        <v>582</v>
      </c>
      <c r="D80" s="36">
        <v>1</v>
      </c>
      <c r="E80" s="41" t="s">
        <v>573</v>
      </c>
      <c r="F80" s="42">
        <v>5</v>
      </c>
      <c r="G80" s="9">
        <v>5</v>
      </c>
      <c r="H80" s="45">
        <v>10</v>
      </c>
      <c r="I80" s="9">
        <v>10</v>
      </c>
      <c r="J80" s="80" t="s">
        <v>338</v>
      </c>
      <c r="K80" s="43">
        <v>5</v>
      </c>
      <c r="L80" s="45" t="s">
        <v>15</v>
      </c>
      <c r="W80" s="51"/>
      <c r="X80" s="52"/>
    </row>
    <row r="81" spans="1:12" ht="15.75" customHeight="1" x14ac:dyDescent="0.3">
      <c r="A81" s="21">
        <v>1</v>
      </c>
      <c r="B81" s="25">
        <v>45688</v>
      </c>
      <c r="C81" s="29" t="s">
        <v>315</v>
      </c>
      <c r="D81" s="36">
        <v>1</v>
      </c>
      <c r="E81" s="41" t="s">
        <v>583</v>
      </c>
      <c r="F81" s="42">
        <v>7.0000000000000007E-2</v>
      </c>
      <c r="G81" s="9">
        <v>7.0000000000000007E-2</v>
      </c>
      <c r="H81" s="45">
        <v>1</v>
      </c>
      <c r="I81" s="9">
        <v>1</v>
      </c>
      <c r="J81" s="80" t="s">
        <v>338</v>
      </c>
      <c r="K81" s="43">
        <v>0.92999999999999994</v>
      </c>
      <c r="L81" s="45" t="s">
        <v>15</v>
      </c>
    </row>
    <row r="82" spans="1:12" ht="15.75" customHeight="1" x14ac:dyDescent="0.3">
      <c r="A82" s="21">
        <v>1</v>
      </c>
      <c r="B82" s="25">
        <v>45688</v>
      </c>
      <c r="C82" s="29" t="s">
        <v>553</v>
      </c>
      <c r="D82" s="36">
        <v>1</v>
      </c>
      <c r="E82" s="41" t="s">
        <v>20</v>
      </c>
      <c r="F82" s="42" t="s">
        <v>72</v>
      </c>
      <c r="G82" s="9">
        <v>0</v>
      </c>
      <c r="H82" s="45">
        <v>50</v>
      </c>
      <c r="I82" s="9">
        <v>50</v>
      </c>
      <c r="J82" s="80" t="s">
        <v>338</v>
      </c>
      <c r="K82" s="43">
        <v>50</v>
      </c>
      <c r="L82" s="45" t="s">
        <v>15</v>
      </c>
    </row>
    <row r="83" spans="1:12" ht="15.75" customHeight="1" x14ac:dyDescent="0.3">
      <c r="A83" s="21">
        <v>1</v>
      </c>
      <c r="B83" s="25">
        <v>45688</v>
      </c>
      <c r="C83" s="29" t="s">
        <v>170</v>
      </c>
      <c r="D83" s="36">
        <v>1</v>
      </c>
      <c r="E83" s="41" t="s">
        <v>20</v>
      </c>
      <c r="F83" s="42">
        <v>8</v>
      </c>
      <c r="G83" s="9">
        <v>8</v>
      </c>
      <c r="H83" s="45">
        <v>25</v>
      </c>
      <c r="I83" s="9">
        <v>25</v>
      </c>
      <c r="J83" s="80" t="s">
        <v>338</v>
      </c>
      <c r="K83" s="43">
        <v>17</v>
      </c>
      <c r="L83" s="45" t="s">
        <v>15</v>
      </c>
    </row>
    <row r="84" spans="1:12" ht="15.75" customHeight="1" x14ac:dyDescent="0.3">
      <c r="A84" s="21">
        <v>1</v>
      </c>
      <c r="B84" s="25">
        <v>45688</v>
      </c>
      <c r="C84" s="29" t="s">
        <v>549</v>
      </c>
      <c r="D84" s="36">
        <v>4</v>
      </c>
      <c r="E84" s="41" t="s">
        <v>20</v>
      </c>
      <c r="F84" s="42" t="s">
        <v>72</v>
      </c>
      <c r="G84" s="9">
        <v>0</v>
      </c>
      <c r="H84" s="45">
        <v>5</v>
      </c>
      <c r="I84" s="9">
        <v>20</v>
      </c>
      <c r="J84" s="80" t="s">
        <v>338</v>
      </c>
      <c r="K84" s="43">
        <v>20</v>
      </c>
      <c r="L84" s="45" t="s">
        <v>15</v>
      </c>
    </row>
    <row r="85" spans="1:12" ht="15.75" customHeight="1" x14ac:dyDescent="0.3">
      <c r="A85" s="21">
        <v>2</v>
      </c>
      <c r="B85" s="25">
        <v>45691</v>
      </c>
      <c r="C85" s="29" t="s">
        <v>207</v>
      </c>
      <c r="D85" s="36">
        <v>1</v>
      </c>
      <c r="E85" s="41" t="s">
        <v>20</v>
      </c>
      <c r="F85" s="42">
        <v>7</v>
      </c>
      <c r="G85" s="9">
        <v>7</v>
      </c>
      <c r="H85" s="45">
        <v>20</v>
      </c>
      <c r="I85" s="9">
        <v>20</v>
      </c>
      <c r="J85" s="80" t="s">
        <v>338</v>
      </c>
      <c r="K85" s="43">
        <v>13</v>
      </c>
      <c r="L85" s="45" t="s">
        <v>15</v>
      </c>
    </row>
    <row r="86" spans="1:12" ht="15.75" customHeight="1" x14ac:dyDescent="0.3">
      <c r="A86" s="57">
        <v>2</v>
      </c>
      <c r="B86" s="60">
        <v>45691</v>
      </c>
      <c r="C86" s="63" t="s">
        <v>223</v>
      </c>
      <c r="D86" s="68">
        <v>1</v>
      </c>
      <c r="E86" s="71" t="s">
        <v>584</v>
      </c>
      <c r="F86" s="74">
        <v>11</v>
      </c>
      <c r="G86" s="53">
        <v>11</v>
      </c>
      <c r="H86" s="76">
        <v>30</v>
      </c>
      <c r="I86" s="53">
        <v>30</v>
      </c>
      <c r="J86" s="48" t="s">
        <v>338</v>
      </c>
      <c r="K86" s="43">
        <v>19</v>
      </c>
      <c r="L86" s="76" t="s">
        <v>15</v>
      </c>
    </row>
    <row r="87" spans="1:12" ht="15.75" customHeight="1" x14ac:dyDescent="0.3">
      <c r="A87" s="21">
        <v>2</v>
      </c>
      <c r="B87" s="25">
        <v>45691</v>
      </c>
      <c r="C87" s="29" t="s">
        <v>585</v>
      </c>
      <c r="D87" s="36">
        <v>1</v>
      </c>
      <c r="E87" s="41" t="s">
        <v>20</v>
      </c>
      <c r="F87" s="42" t="s">
        <v>72</v>
      </c>
      <c r="G87" s="9">
        <v>0</v>
      </c>
      <c r="H87" s="45">
        <v>5</v>
      </c>
      <c r="I87" s="9">
        <v>5</v>
      </c>
      <c r="J87" s="48" t="s">
        <v>338</v>
      </c>
      <c r="K87" s="43">
        <v>5</v>
      </c>
      <c r="L87" s="45" t="s">
        <v>15</v>
      </c>
    </row>
    <row r="88" spans="1:12" ht="15.75" customHeight="1" x14ac:dyDescent="0.3">
      <c r="A88" s="21">
        <v>2</v>
      </c>
      <c r="B88" s="25">
        <v>45691</v>
      </c>
      <c r="C88" s="29" t="s">
        <v>560</v>
      </c>
      <c r="D88" s="36">
        <v>1</v>
      </c>
      <c r="E88" s="41" t="s">
        <v>586</v>
      </c>
      <c r="F88" s="42">
        <v>30</v>
      </c>
      <c r="G88" s="9">
        <v>30</v>
      </c>
      <c r="H88" s="45">
        <v>70</v>
      </c>
      <c r="I88" s="9">
        <v>70</v>
      </c>
      <c r="J88" s="48" t="s">
        <v>338</v>
      </c>
      <c r="K88" s="43">
        <v>40</v>
      </c>
      <c r="L88" s="45" t="s">
        <v>15</v>
      </c>
    </row>
    <row r="89" spans="1:12" ht="15.75" customHeight="1" x14ac:dyDescent="0.3">
      <c r="A89" s="21">
        <v>2</v>
      </c>
      <c r="B89" s="25">
        <v>45691</v>
      </c>
      <c r="C89" s="29" t="s">
        <v>267</v>
      </c>
      <c r="D89" s="36">
        <v>1</v>
      </c>
      <c r="E89" s="41" t="s">
        <v>586</v>
      </c>
      <c r="F89" s="42">
        <v>0</v>
      </c>
      <c r="G89" s="9">
        <v>0</v>
      </c>
      <c r="H89" s="45">
        <v>50</v>
      </c>
      <c r="I89" s="9">
        <v>50</v>
      </c>
      <c r="J89" s="48" t="s">
        <v>338</v>
      </c>
      <c r="K89" s="43">
        <v>50</v>
      </c>
      <c r="L89" s="45" t="s">
        <v>15</v>
      </c>
    </row>
    <row r="90" spans="1:12" ht="15.75" customHeight="1" x14ac:dyDescent="0.3">
      <c r="A90" s="21">
        <v>2</v>
      </c>
      <c r="B90" s="25">
        <v>45691</v>
      </c>
      <c r="C90" s="29" t="s">
        <v>553</v>
      </c>
      <c r="D90" s="36">
        <v>1</v>
      </c>
      <c r="E90" s="41" t="s">
        <v>20</v>
      </c>
      <c r="F90" s="42" t="s">
        <v>72</v>
      </c>
      <c r="G90" s="9">
        <v>0</v>
      </c>
      <c r="H90" s="45">
        <v>45</v>
      </c>
      <c r="I90" s="9">
        <v>45</v>
      </c>
      <c r="J90" s="48" t="s">
        <v>338</v>
      </c>
      <c r="K90" s="43">
        <v>45</v>
      </c>
      <c r="L90" s="45" t="s">
        <v>15</v>
      </c>
    </row>
    <row r="91" spans="1:12" ht="15.75" customHeight="1" x14ac:dyDescent="0.3">
      <c r="A91" s="21">
        <v>2</v>
      </c>
      <c r="B91" s="25">
        <v>45691</v>
      </c>
      <c r="C91" s="29" t="s">
        <v>511</v>
      </c>
      <c r="D91" s="36">
        <v>1</v>
      </c>
      <c r="E91" s="41" t="s">
        <v>586</v>
      </c>
      <c r="F91" s="42" t="s">
        <v>72</v>
      </c>
      <c r="G91" s="9">
        <v>0</v>
      </c>
      <c r="H91" s="45">
        <v>250</v>
      </c>
      <c r="I91" s="9">
        <v>250</v>
      </c>
      <c r="J91" s="48" t="s">
        <v>338</v>
      </c>
      <c r="K91" s="43">
        <v>250</v>
      </c>
      <c r="L91" s="45" t="s">
        <v>15</v>
      </c>
    </row>
    <row r="92" spans="1:12" ht="15.75" customHeight="1" x14ac:dyDescent="0.3">
      <c r="A92" s="21">
        <v>2</v>
      </c>
      <c r="B92" s="25">
        <v>45692</v>
      </c>
      <c r="C92" s="29" t="s">
        <v>560</v>
      </c>
      <c r="D92" s="36">
        <v>1</v>
      </c>
      <c r="E92" s="41" t="s">
        <v>20</v>
      </c>
      <c r="F92" s="42">
        <v>38</v>
      </c>
      <c r="G92" s="9">
        <v>38</v>
      </c>
      <c r="H92" s="45">
        <v>68</v>
      </c>
      <c r="I92" s="9">
        <v>68</v>
      </c>
      <c r="J92" s="48" t="s">
        <v>338</v>
      </c>
      <c r="K92" s="43">
        <v>30</v>
      </c>
      <c r="L92" s="45" t="s">
        <v>15</v>
      </c>
    </row>
    <row r="93" spans="1:12" ht="15.75" customHeight="1" x14ac:dyDescent="0.3">
      <c r="A93" s="21">
        <v>2</v>
      </c>
      <c r="B93" s="25">
        <v>45692</v>
      </c>
      <c r="C93" s="29" t="s">
        <v>381</v>
      </c>
      <c r="D93" s="36">
        <v>1</v>
      </c>
      <c r="E93" s="41" t="s">
        <v>512</v>
      </c>
      <c r="F93" s="42">
        <v>0</v>
      </c>
      <c r="G93" s="9">
        <v>0</v>
      </c>
      <c r="H93" s="45">
        <v>140</v>
      </c>
      <c r="I93" s="9">
        <v>140</v>
      </c>
      <c r="J93" s="48" t="s">
        <v>338</v>
      </c>
      <c r="K93" s="43">
        <v>140</v>
      </c>
      <c r="L93" s="45" t="s">
        <v>15</v>
      </c>
    </row>
    <row r="94" spans="1:12" ht="15.75" customHeight="1" x14ac:dyDescent="0.3">
      <c r="A94" s="21">
        <v>2</v>
      </c>
      <c r="B94" s="25">
        <v>45692</v>
      </c>
      <c r="C94" s="29" t="s">
        <v>378</v>
      </c>
      <c r="D94" s="36">
        <v>1</v>
      </c>
      <c r="E94" s="41" t="s">
        <v>573</v>
      </c>
      <c r="F94" s="42">
        <v>18.5</v>
      </c>
      <c r="G94" s="9">
        <v>18.5</v>
      </c>
      <c r="H94" s="45">
        <v>30</v>
      </c>
      <c r="I94" s="9">
        <v>30</v>
      </c>
      <c r="J94" s="48" t="s">
        <v>338</v>
      </c>
      <c r="K94" s="43">
        <v>11.5</v>
      </c>
      <c r="L94" s="45" t="s">
        <v>128</v>
      </c>
    </row>
    <row r="95" spans="1:12" ht="15.75" customHeight="1" x14ac:dyDescent="0.3">
      <c r="A95" s="21">
        <v>2</v>
      </c>
      <c r="B95" s="25">
        <v>45693</v>
      </c>
      <c r="C95" s="29" t="s">
        <v>378</v>
      </c>
      <c r="D95" s="36">
        <v>1</v>
      </c>
      <c r="E95" s="41" t="s">
        <v>20</v>
      </c>
      <c r="F95" s="42">
        <v>18.5</v>
      </c>
      <c r="G95" s="9">
        <v>18.5</v>
      </c>
      <c r="H95" s="45">
        <v>30</v>
      </c>
      <c r="I95" s="9">
        <v>30</v>
      </c>
      <c r="J95" s="48" t="s">
        <v>338</v>
      </c>
      <c r="K95" s="43">
        <v>11.5</v>
      </c>
      <c r="L95" s="45" t="s">
        <v>15</v>
      </c>
    </row>
    <row r="96" spans="1:12" ht="15.75" customHeight="1" x14ac:dyDescent="0.3">
      <c r="A96" s="21">
        <v>2</v>
      </c>
      <c r="B96" s="25">
        <v>45693</v>
      </c>
      <c r="C96" s="29" t="s">
        <v>369</v>
      </c>
      <c r="D96" s="36">
        <v>1</v>
      </c>
      <c r="E96" s="41" t="s">
        <v>20</v>
      </c>
      <c r="F96" s="42">
        <v>18</v>
      </c>
      <c r="G96" s="9">
        <v>18</v>
      </c>
      <c r="H96" s="45">
        <v>20</v>
      </c>
      <c r="I96" s="9">
        <v>20</v>
      </c>
      <c r="J96" s="48" t="s">
        <v>338</v>
      </c>
      <c r="K96" s="43">
        <v>2</v>
      </c>
      <c r="L96" s="45" t="s">
        <v>15</v>
      </c>
    </row>
    <row r="97" spans="1:12" ht="15.75" customHeight="1" x14ac:dyDescent="0.3">
      <c r="A97" s="21">
        <v>2</v>
      </c>
      <c r="B97" s="25">
        <v>45693</v>
      </c>
      <c r="C97" s="29" t="s">
        <v>246</v>
      </c>
      <c r="D97" s="36">
        <v>1</v>
      </c>
      <c r="E97" s="41" t="s">
        <v>20</v>
      </c>
      <c r="F97" s="42">
        <v>3.5</v>
      </c>
      <c r="G97" s="9">
        <v>3.5</v>
      </c>
      <c r="H97" s="45">
        <v>45</v>
      </c>
      <c r="I97" s="9">
        <v>45</v>
      </c>
      <c r="J97" s="48" t="s">
        <v>338</v>
      </c>
      <c r="K97" s="43">
        <v>41.5</v>
      </c>
      <c r="L97" s="45" t="s">
        <v>15</v>
      </c>
    </row>
    <row r="98" spans="1:12" ht="15.75" customHeight="1" x14ac:dyDescent="0.3">
      <c r="A98" s="21">
        <v>2</v>
      </c>
      <c r="B98" s="25">
        <v>45694</v>
      </c>
      <c r="C98" s="29" t="s">
        <v>479</v>
      </c>
      <c r="D98" s="36">
        <v>3</v>
      </c>
      <c r="E98" s="41" t="s">
        <v>293</v>
      </c>
      <c r="F98" s="42">
        <v>6</v>
      </c>
      <c r="G98" s="9">
        <v>18</v>
      </c>
      <c r="H98" s="45">
        <v>15</v>
      </c>
      <c r="I98" s="9">
        <v>45</v>
      </c>
      <c r="J98" s="48" t="s">
        <v>338</v>
      </c>
      <c r="K98" s="43">
        <v>27</v>
      </c>
      <c r="L98" s="45" t="s">
        <v>15</v>
      </c>
    </row>
    <row r="99" spans="1:12" ht="15.75" customHeight="1" x14ac:dyDescent="0.3">
      <c r="A99" s="21">
        <v>2</v>
      </c>
      <c r="B99" s="25">
        <v>45694</v>
      </c>
      <c r="C99" s="29" t="s">
        <v>12</v>
      </c>
      <c r="D99" s="36">
        <v>1</v>
      </c>
      <c r="E99" s="41" t="s">
        <v>293</v>
      </c>
      <c r="F99" s="42">
        <v>7</v>
      </c>
      <c r="G99" s="9">
        <v>7</v>
      </c>
      <c r="H99" s="45">
        <v>15</v>
      </c>
      <c r="I99" s="9">
        <v>15</v>
      </c>
      <c r="J99" s="48" t="s">
        <v>338</v>
      </c>
      <c r="K99" s="43">
        <v>8</v>
      </c>
      <c r="L99" s="45" t="s">
        <v>15</v>
      </c>
    </row>
    <row r="100" spans="1:12" ht="15.75" customHeight="1" x14ac:dyDescent="0.3">
      <c r="A100" s="21">
        <v>2</v>
      </c>
      <c r="B100" s="25">
        <v>45694</v>
      </c>
      <c r="C100" s="29" t="s">
        <v>587</v>
      </c>
      <c r="D100" s="36">
        <v>1</v>
      </c>
      <c r="E100" s="41" t="s">
        <v>20</v>
      </c>
      <c r="F100" s="42">
        <v>60</v>
      </c>
      <c r="G100" s="9">
        <v>60</v>
      </c>
      <c r="H100" s="45">
        <v>110</v>
      </c>
      <c r="I100" s="9">
        <v>110</v>
      </c>
      <c r="J100" s="48" t="s">
        <v>338</v>
      </c>
      <c r="K100" s="43">
        <v>50</v>
      </c>
      <c r="L100" s="45" t="s">
        <v>15</v>
      </c>
    </row>
    <row r="101" spans="1:12" ht="15.75" customHeight="1" x14ac:dyDescent="0.3">
      <c r="A101" s="21">
        <v>2</v>
      </c>
      <c r="B101" s="25">
        <v>45694</v>
      </c>
      <c r="C101" s="29" t="s">
        <v>588</v>
      </c>
      <c r="D101" s="36">
        <v>1</v>
      </c>
      <c r="E101" s="41" t="s">
        <v>20</v>
      </c>
      <c r="F101" s="42">
        <v>38</v>
      </c>
      <c r="G101" s="9">
        <v>38</v>
      </c>
      <c r="H101" s="45">
        <v>70</v>
      </c>
      <c r="I101" s="9">
        <v>70</v>
      </c>
      <c r="J101" s="48" t="s">
        <v>338</v>
      </c>
      <c r="K101" s="43">
        <v>32</v>
      </c>
      <c r="L101" s="45" t="s">
        <v>15</v>
      </c>
    </row>
    <row r="102" spans="1:12" ht="15.75" customHeight="1" x14ac:dyDescent="0.3">
      <c r="A102" s="21">
        <v>2</v>
      </c>
      <c r="B102" s="25">
        <v>45694</v>
      </c>
      <c r="C102" s="29" t="s">
        <v>574</v>
      </c>
      <c r="D102" s="36">
        <v>1</v>
      </c>
      <c r="E102" s="41" t="s">
        <v>20</v>
      </c>
      <c r="F102" s="42" t="s">
        <v>72</v>
      </c>
      <c r="G102" s="9">
        <v>0</v>
      </c>
      <c r="H102" s="45">
        <v>50</v>
      </c>
      <c r="I102" s="9">
        <v>50</v>
      </c>
      <c r="J102" s="48" t="s">
        <v>338</v>
      </c>
      <c r="K102" s="43">
        <v>50</v>
      </c>
      <c r="L102" s="45" t="s">
        <v>15</v>
      </c>
    </row>
    <row r="103" spans="1:12" ht="15.75" customHeight="1" x14ac:dyDescent="0.3">
      <c r="A103" s="21">
        <v>2</v>
      </c>
      <c r="B103" s="25">
        <v>45695</v>
      </c>
      <c r="C103" s="29" t="s">
        <v>315</v>
      </c>
      <c r="D103" s="36">
        <v>3</v>
      </c>
      <c r="E103" s="41" t="s">
        <v>509</v>
      </c>
      <c r="F103" s="42">
        <v>7.0000000000000007E-2</v>
      </c>
      <c r="G103" s="9">
        <v>0.21000000000000002</v>
      </c>
      <c r="H103" s="45">
        <v>1</v>
      </c>
      <c r="I103" s="9">
        <v>3</v>
      </c>
      <c r="J103" s="48" t="s">
        <v>338</v>
      </c>
      <c r="K103" s="43">
        <v>2.79</v>
      </c>
      <c r="L103" s="45" t="s">
        <v>15</v>
      </c>
    </row>
    <row r="104" spans="1:12" ht="15.75" customHeight="1" x14ac:dyDescent="0.3">
      <c r="A104" s="21">
        <v>2</v>
      </c>
      <c r="B104" s="25">
        <v>45695</v>
      </c>
      <c r="C104" s="29" t="s">
        <v>252</v>
      </c>
      <c r="D104" s="36">
        <v>1</v>
      </c>
      <c r="E104" s="41" t="s">
        <v>293</v>
      </c>
      <c r="F104" s="42">
        <v>6</v>
      </c>
      <c r="G104" s="9">
        <v>6</v>
      </c>
      <c r="H104" s="45">
        <v>15</v>
      </c>
      <c r="I104" s="9">
        <v>15</v>
      </c>
      <c r="J104" s="48" t="s">
        <v>338</v>
      </c>
      <c r="K104" s="43">
        <v>9</v>
      </c>
      <c r="L104" s="45" t="s">
        <v>15</v>
      </c>
    </row>
    <row r="105" spans="1:12" ht="15.75" customHeight="1" x14ac:dyDescent="0.3">
      <c r="A105" s="21">
        <v>2</v>
      </c>
      <c r="B105" s="25">
        <v>45695</v>
      </c>
      <c r="C105" s="29" t="s">
        <v>315</v>
      </c>
      <c r="D105" s="36">
        <v>5</v>
      </c>
      <c r="E105" s="41" t="s">
        <v>573</v>
      </c>
      <c r="F105" s="42">
        <v>7.0000000000000007E-2</v>
      </c>
      <c r="G105" s="9">
        <v>0.35000000000000003</v>
      </c>
      <c r="H105" s="45">
        <v>1</v>
      </c>
      <c r="I105" s="9">
        <v>5</v>
      </c>
      <c r="J105" s="48" t="s">
        <v>338</v>
      </c>
      <c r="K105" s="43">
        <v>4.6500000000000004</v>
      </c>
      <c r="L105" s="45" t="s">
        <v>15</v>
      </c>
    </row>
    <row r="106" spans="1:12" ht="15.75" customHeight="1" x14ac:dyDescent="0.3">
      <c r="A106" s="21">
        <v>2</v>
      </c>
      <c r="B106" s="25">
        <v>45695</v>
      </c>
      <c r="C106" s="29" t="s">
        <v>589</v>
      </c>
      <c r="D106" s="36">
        <v>1</v>
      </c>
      <c r="E106" s="41" t="s">
        <v>430</v>
      </c>
      <c r="F106" s="42">
        <v>12</v>
      </c>
      <c r="G106" s="9">
        <v>12</v>
      </c>
      <c r="H106" s="45">
        <v>15</v>
      </c>
      <c r="I106" s="9">
        <v>15</v>
      </c>
      <c r="J106" s="48" t="s">
        <v>338</v>
      </c>
      <c r="K106" s="43">
        <v>3</v>
      </c>
      <c r="L106" s="45" t="s">
        <v>15</v>
      </c>
    </row>
    <row r="107" spans="1:12" ht="15.75" customHeight="1" x14ac:dyDescent="0.3">
      <c r="A107" s="21">
        <v>2</v>
      </c>
      <c r="B107" s="25">
        <v>45695</v>
      </c>
      <c r="C107" s="29" t="s">
        <v>590</v>
      </c>
      <c r="D107" s="36">
        <v>1</v>
      </c>
      <c r="E107" s="41" t="s">
        <v>430</v>
      </c>
      <c r="F107" s="42">
        <v>2.5</v>
      </c>
      <c r="G107" s="9">
        <v>2.5</v>
      </c>
      <c r="H107" s="45">
        <v>5</v>
      </c>
      <c r="I107" s="9">
        <v>5</v>
      </c>
      <c r="J107" s="48" t="s">
        <v>338</v>
      </c>
      <c r="K107" s="43">
        <v>2.5</v>
      </c>
      <c r="L107" s="45" t="s">
        <v>15</v>
      </c>
    </row>
    <row r="108" spans="1:12" ht="15.75" customHeight="1" x14ac:dyDescent="0.3">
      <c r="A108" s="21">
        <v>2</v>
      </c>
      <c r="B108" s="25">
        <v>45696</v>
      </c>
      <c r="C108" s="29" t="s">
        <v>392</v>
      </c>
      <c r="D108" s="36">
        <v>1</v>
      </c>
      <c r="E108" s="41" t="s">
        <v>20</v>
      </c>
      <c r="F108" s="42">
        <v>10</v>
      </c>
      <c r="G108" s="9">
        <v>10</v>
      </c>
      <c r="H108" s="45">
        <v>20</v>
      </c>
      <c r="I108" s="9">
        <v>20</v>
      </c>
      <c r="J108" s="48" t="s">
        <v>338</v>
      </c>
      <c r="K108" s="43">
        <v>10</v>
      </c>
      <c r="L108" s="45" t="s">
        <v>15</v>
      </c>
    </row>
    <row r="109" spans="1:12" ht="15.75" customHeight="1" x14ac:dyDescent="0.3">
      <c r="A109" s="21">
        <v>2</v>
      </c>
      <c r="B109" s="25">
        <v>45698</v>
      </c>
      <c r="C109" s="29" t="s">
        <v>313</v>
      </c>
      <c r="D109" s="36">
        <v>1</v>
      </c>
      <c r="E109" s="41" t="s">
        <v>20</v>
      </c>
      <c r="F109" s="42">
        <v>3</v>
      </c>
      <c r="G109" s="9">
        <v>3</v>
      </c>
      <c r="H109" s="45">
        <v>15</v>
      </c>
      <c r="I109" s="9">
        <v>15</v>
      </c>
      <c r="J109" s="48" t="s">
        <v>338</v>
      </c>
      <c r="K109" s="43">
        <v>12</v>
      </c>
      <c r="L109" s="45" t="s">
        <v>15</v>
      </c>
    </row>
    <row r="110" spans="1:12" ht="15.75" customHeight="1" x14ac:dyDescent="0.3">
      <c r="A110" s="21">
        <v>2</v>
      </c>
      <c r="B110" s="25">
        <v>45698</v>
      </c>
      <c r="C110" s="29" t="s">
        <v>356</v>
      </c>
      <c r="D110" s="36">
        <v>1</v>
      </c>
      <c r="E110" s="41" t="s">
        <v>445</v>
      </c>
      <c r="F110" s="42">
        <v>6</v>
      </c>
      <c r="G110" s="9">
        <v>6</v>
      </c>
      <c r="H110" s="45">
        <v>15</v>
      </c>
      <c r="I110" s="9">
        <v>15</v>
      </c>
      <c r="J110" s="48" t="s">
        <v>338</v>
      </c>
      <c r="K110" s="43">
        <v>9</v>
      </c>
      <c r="L110" s="45" t="s">
        <v>15</v>
      </c>
    </row>
    <row r="111" spans="1:12" ht="15.75" customHeight="1" x14ac:dyDescent="0.3">
      <c r="A111" s="21">
        <v>2</v>
      </c>
      <c r="B111" s="25">
        <v>45698</v>
      </c>
      <c r="C111" s="29" t="s">
        <v>315</v>
      </c>
      <c r="D111" s="36">
        <v>2</v>
      </c>
      <c r="E111" s="41" t="s">
        <v>386</v>
      </c>
      <c r="F111" s="42">
        <v>7.0000000000000007E-2</v>
      </c>
      <c r="G111" s="9">
        <v>0.14000000000000001</v>
      </c>
      <c r="H111" s="45">
        <v>1</v>
      </c>
      <c r="I111" s="9">
        <v>2</v>
      </c>
      <c r="J111" s="48" t="s">
        <v>338</v>
      </c>
      <c r="K111" s="43">
        <v>1.8599999999999999</v>
      </c>
      <c r="L111" s="45" t="s">
        <v>15</v>
      </c>
    </row>
    <row r="112" spans="1:12" ht="15.75" customHeight="1" x14ac:dyDescent="0.3">
      <c r="A112" s="21">
        <v>2</v>
      </c>
      <c r="B112" s="25">
        <v>45698</v>
      </c>
      <c r="C112" s="29" t="s">
        <v>585</v>
      </c>
      <c r="D112" s="36">
        <v>1</v>
      </c>
      <c r="E112" s="41" t="s">
        <v>20</v>
      </c>
      <c r="F112" s="42" t="s">
        <v>72</v>
      </c>
      <c r="G112" s="9">
        <v>0</v>
      </c>
      <c r="H112" s="45">
        <v>10</v>
      </c>
      <c r="I112" s="9">
        <v>10</v>
      </c>
      <c r="J112" s="48" t="s">
        <v>338</v>
      </c>
      <c r="K112" s="43">
        <v>10</v>
      </c>
      <c r="L112" s="45" t="s">
        <v>15</v>
      </c>
    </row>
    <row r="113" spans="1:12" ht="15.75" customHeight="1" x14ac:dyDescent="0.3">
      <c r="A113" s="21">
        <v>2</v>
      </c>
      <c r="B113" s="25">
        <v>45698</v>
      </c>
      <c r="C113" s="29" t="s">
        <v>392</v>
      </c>
      <c r="D113" s="36">
        <v>1</v>
      </c>
      <c r="E113" s="41" t="s">
        <v>20</v>
      </c>
      <c r="F113" s="42">
        <v>10</v>
      </c>
      <c r="G113" s="9">
        <v>10</v>
      </c>
      <c r="H113" s="45">
        <v>20</v>
      </c>
      <c r="I113" s="9">
        <v>20</v>
      </c>
      <c r="J113" s="48" t="s">
        <v>338</v>
      </c>
      <c r="K113" s="43">
        <v>10</v>
      </c>
      <c r="L113" s="45" t="s">
        <v>15</v>
      </c>
    </row>
    <row r="114" spans="1:12" ht="15.75" customHeight="1" x14ac:dyDescent="0.3">
      <c r="A114" s="21">
        <v>2</v>
      </c>
      <c r="B114" s="25">
        <v>45699</v>
      </c>
      <c r="C114" s="29" t="s">
        <v>431</v>
      </c>
      <c r="D114" s="36">
        <v>1</v>
      </c>
      <c r="E114" s="41" t="s">
        <v>20</v>
      </c>
      <c r="F114" s="42">
        <v>0</v>
      </c>
      <c r="G114" s="9">
        <v>0</v>
      </c>
      <c r="H114" s="45">
        <v>15</v>
      </c>
      <c r="I114" s="9">
        <v>15</v>
      </c>
      <c r="J114" s="48" t="s">
        <v>338</v>
      </c>
      <c r="K114" s="43">
        <v>15</v>
      </c>
      <c r="L114" s="45" t="s">
        <v>15</v>
      </c>
    </row>
    <row r="115" spans="1:12" ht="15.75" customHeight="1" x14ac:dyDescent="0.3">
      <c r="A115" s="21">
        <v>2</v>
      </c>
      <c r="B115" s="25">
        <v>45699</v>
      </c>
      <c r="C115" s="29" t="s">
        <v>315</v>
      </c>
      <c r="D115" s="36">
        <v>15</v>
      </c>
      <c r="E115" s="41" t="s">
        <v>20</v>
      </c>
      <c r="F115" s="42">
        <v>7.0000000000000007E-2</v>
      </c>
      <c r="G115" s="9">
        <v>1.05</v>
      </c>
      <c r="H115" s="45">
        <v>1</v>
      </c>
      <c r="I115" s="9">
        <v>15</v>
      </c>
      <c r="J115" s="48" t="s">
        <v>338</v>
      </c>
      <c r="K115" s="43">
        <v>13.95</v>
      </c>
      <c r="L115" s="45" t="s">
        <v>15</v>
      </c>
    </row>
    <row r="116" spans="1:12" ht="15.75" customHeight="1" x14ac:dyDescent="0.3">
      <c r="A116" s="21">
        <v>2</v>
      </c>
      <c r="B116" s="25">
        <v>45699</v>
      </c>
      <c r="C116" s="29" t="s">
        <v>511</v>
      </c>
      <c r="D116" s="36">
        <v>1</v>
      </c>
      <c r="E116" s="41" t="s">
        <v>591</v>
      </c>
      <c r="F116" s="42">
        <v>145</v>
      </c>
      <c r="G116" s="9">
        <v>145</v>
      </c>
      <c r="H116" s="45">
        <v>260</v>
      </c>
      <c r="I116" s="9">
        <v>260</v>
      </c>
      <c r="J116" s="48" t="s">
        <v>338</v>
      </c>
      <c r="K116" s="43">
        <v>115</v>
      </c>
      <c r="L116" s="45" t="s">
        <v>15</v>
      </c>
    </row>
    <row r="117" spans="1:12" ht="15.75" customHeight="1" x14ac:dyDescent="0.3">
      <c r="A117" s="21">
        <v>2</v>
      </c>
      <c r="B117" s="25">
        <v>45699</v>
      </c>
      <c r="C117" s="29" t="s">
        <v>592</v>
      </c>
      <c r="D117" s="36">
        <v>1</v>
      </c>
      <c r="E117" s="41" t="s">
        <v>591</v>
      </c>
      <c r="F117" s="42">
        <v>11</v>
      </c>
      <c r="G117" s="9">
        <v>11</v>
      </c>
      <c r="H117" s="45">
        <v>30</v>
      </c>
      <c r="I117" s="9">
        <v>30</v>
      </c>
      <c r="J117" s="48" t="s">
        <v>338</v>
      </c>
      <c r="K117" s="43">
        <v>19</v>
      </c>
      <c r="L117" s="45" t="s">
        <v>15</v>
      </c>
    </row>
    <row r="118" spans="1:12" ht="15.75" customHeight="1" x14ac:dyDescent="0.3">
      <c r="A118" s="21">
        <v>2</v>
      </c>
      <c r="B118" s="25">
        <v>45699</v>
      </c>
      <c r="C118" s="29" t="s">
        <v>197</v>
      </c>
      <c r="D118" s="36">
        <v>1</v>
      </c>
      <c r="E118" s="41" t="s">
        <v>20</v>
      </c>
      <c r="F118" s="42">
        <v>6</v>
      </c>
      <c r="G118" s="9">
        <v>6</v>
      </c>
      <c r="H118" s="45">
        <v>10</v>
      </c>
      <c r="I118" s="9">
        <v>10</v>
      </c>
      <c r="J118" s="48" t="s">
        <v>338</v>
      </c>
      <c r="K118" s="43">
        <v>4</v>
      </c>
      <c r="L118" s="45" t="s">
        <v>15</v>
      </c>
    </row>
    <row r="119" spans="1:12" ht="15.75" customHeight="1" x14ac:dyDescent="0.3">
      <c r="A119" s="21">
        <v>2</v>
      </c>
      <c r="B119" s="25">
        <v>45701</v>
      </c>
      <c r="C119" s="29" t="s">
        <v>553</v>
      </c>
      <c r="D119" s="36">
        <v>1</v>
      </c>
      <c r="E119" s="41" t="s">
        <v>35</v>
      </c>
      <c r="F119" s="42" t="s">
        <v>72</v>
      </c>
      <c r="G119" s="9">
        <v>0</v>
      </c>
      <c r="H119" s="45">
        <v>125</v>
      </c>
      <c r="I119" s="9">
        <v>125</v>
      </c>
      <c r="J119" s="48" t="s">
        <v>338</v>
      </c>
      <c r="K119" s="43">
        <v>125</v>
      </c>
      <c r="L119" s="45" t="s">
        <v>15</v>
      </c>
    </row>
    <row r="120" spans="1:12" ht="15.75" customHeight="1" x14ac:dyDescent="0.3">
      <c r="A120" s="21">
        <v>2</v>
      </c>
      <c r="B120" s="25">
        <v>45701</v>
      </c>
      <c r="C120" s="29" t="s">
        <v>553</v>
      </c>
      <c r="D120" s="36">
        <v>1</v>
      </c>
      <c r="E120" s="41" t="s">
        <v>593</v>
      </c>
      <c r="F120" s="42" t="s">
        <v>72</v>
      </c>
      <c r="G120" s="9">
        <v>0</v>
      </c>
      <c r="H120" s="45">
        <v>66</v>
      </c>
      <c r="I120" s="9">
        <v>66</v>
      </c>
      <c r="J120" s="48" t="s">
        <v>338</v>
      </c>
      <c r="K120" s="43">
        <v>66</v>
      </c>
      <c r="L120" s="45" t="s">
        <v>15</v>
      </c>
    </row>
    <row r="121" spans="1:12" ht="15.75" customHeight="1" x14ac:dyDescent="0.3">
      <c r="A121" s="21">
        <v>2</v>
      </c>
      <c r="B121" s="25">
        <v>45701</v>
      </c>
      <c r="C121" s="29" t="s">
        <v>315</v>
      </c>
      <c r="D121" s="36">
        <v>4</v>
      </c>
      <c r="E121" s="41" t="s">
        <v>594</v>
      </c>
      <c r="F121" s="42">
        <v>7.0000000000000007E-2</v>
      </c>
      <c r="G121" s="9">
        <v>0.28000000000000003</v>
      </c>
      <c r="H121" s="45">
        <v>1</v>
      </c>
      <c r="I121" s="9">
        <v>4</v>
      </c>
      <c r="J121" s="48" t="s">
        <v>338</v>
      </c>
      <c r="K121" s="43">
        <v>3.7199999999999998</v>
      </c>
      <c r="L121" s="45" t="s">
        <v>15</v>
      </c>
    </row>
    <row r="122" spans="1:12" ht="15.75" customHeight="1" x14ac:dyDescent="0.3">
      <c r="A122" s="21">
        <v>2</v>
      </c>
      <c r="B122" s="25">
        <v>45702</v>
      </c>
      <c r="C122" s="29" t="s">
        <v>315</v>
      </c>
      <c r="D122" s="36">
        <v>1</v>
      </c>
      <c r="E122" s="41" t="s">
        <v>340</v>
      </c>
      <c r="F122" s="42">
        <v>7.0000000000000007E-2</v>
      </c>
      <c r="G122" s="9">
        <v>7.0000000000000007E-2</v>
      </c>
      <c r="H122" s="45">
        <v>1</v>
      </c>
      <c r="I122" s="9">
        <v>1</v>
      </c>
      <c r="J122" s="48" t="s">
        <v>338</v>
      </c>
      <c r="K122" s="43">
        <v>0.92999999999999994</v>
      </c>
      <c r="L122" s="45" t="s">
        <v>15</v>
      </c>
    </row>
    <row r="123" spans="1:12" ht="15.75" customHeight="1" x14ac:dyDescent="0.3">
      <c r="A123" s="21">
        <v>2</v>
      </c>
      <c r="B123" s="25">
        <v>45702</v>
      </c>
      <c r="C123" s="29" t="s">
        <v>313</v>
      </c>
      <c r="D123" s="36">
        <v>1</v>
      </c>
      <c r="E123" s="41" t="s">
        <v>20</v>
      </c>
      <c r="F123" s="42">
        <v>3</v>
      </c>
      <c r="G123" s="9">
        <v>3</v>
      </c>
      <c r="H123" s="45">
        <v>15</v>
      </c>
      <c r="I123" s="9">
        <v>15</v>
      </c>
      <c r="J123" s="48" t="s">
        <v>338</v>
      </c>
      <c r="K123" s="43">
        <v>12</v>
      </c>
      <c r="L123" s="45" t="s">
        <v>15</v>
      </c>
    </row>
    <row r="124" spans="1:12" ht="15.75" customHeight="1" x14ac:dyDescent="0.3">
      <c r="A124" s="21">
        <v>2</v>
      </c>
      <c r="B124" s="25">
        <v>45705</v>
      </c>
      <c r="C124" s="29" t="s">
        <v>315</v>
      </c>
      <c r="D124" s="36">
        <v>4</v>
      </c>
      <c r="E124" s="41" t="s">
        <v>20</v>
      </c>
      <c r="F124" s="42">
        <v>7.0000000000000007E-2</v>
      </c>
      <c r="G124" s="9">
        <v>0.28000000000000003</v>
      </c>
      <c r="H124" s="45">
        <v>1</v>
      </c>
      <c r="I124" s="9">
        <v>4</v>
      </c>
      <c r="J124" s="48" t="s">
        <v>338</v>
      </c>
      <c r="K124" s="43">
        <v>3.7199999999999998</v>
      </c>
      <c r="L124" s="45" t="s">
        <v>15</v>
      </c>
    </row>
    <row r="125" spans="1:12" ht="15.75" customHeight="1" x14ac:dyDescent="0.3">
      <c r="A125" s="21">
        <v>2</v>
      </c>
      <c r="B125" s="25">
        <v>45705</v>
      </c>
      <c r="C125" s="29" t="s">
        <v>417</v>
      </c>
      <c r="D125" s="36">
        <v>1</v>
      </c>
      <c r="E125" s="41" t="s">
        <v>20</v>
      </c>
      <c r="F125" s="42">
        <v>17</v>
      </c>
      <c r="G125" s="9">
        <v>17</v>
      </c>
      <c r="H125" s="45">
        <v>50</v>
      </c>
      <c r="I125" s="9">
        <v>50</v>
      </c>
      <c r="J125" s="48" t="s">
        <v>338</v>
      </c>
      <c r="K125" s="43">
        <v>33</v>
      </c>
      <c r="L125" s="45" t="s">
        <v>15</v>
      </c>
    </row>
    <row r="126" spans="1:12" ht="15.75" customHeight="1" x14ac:dyDescent="0.3">
      <c r="A126" s="21">
        <v>2</v>
      </c>
      <c r="B126" s="25">
        <v>45706</v>
      </c>
      <c r="C126" s="29" t="s">
        <v>216</v>
      </c>
      <c r="D126" s="36">
        <v>1</v>
      </c>
      <c r="E126" s="41" t="s">
        <v>595</v>
      </c>
      <c r="F126" s="42">
        <v>0</v>
      </c>
      <c r="G126" s="9">
        <v>0</v>
      </c>
      <c r="H126" s="45">
        <v>50</v>
      </c>
      <c r="I126" s="9">
        <v>50</v>
      </c>
      <c r="J126" s="48" t="s">
        <v>338</v>
      </c>
      <c r="K126" s="43">
        <v>50</v>
      </c>
      <c r="L126" s="45" t="s">
        <v>15</v>
      </c>
    </row>
    <row r="127" spans="1:12" ht="15.75" customHeight="1" x14ac:dyDescent="0.3">
      <c r="A127" s="21">
        <v>2</v>
      </c>
      <c r="B127" s="25">
        <v>45706</v>
      </c>
      <c r="C127" s="29" t="s">
        <v>579</v>
      </c>
      <c r="D127" s="36">
        <v>1</v>
      </c>
      <c r="E127" s="41" t="s">
        <v>595</v>
      </c>
      <c r="F127" s="42">
        <v>0</v>
      </c>
      <c r="G127" s="9">
        <v>0</v>
      </c>
      <c r="H127" s="45">
        <v>150</v>
      </c>
      <c r="I127" s="9">
        <v>150</v>
      </c>
      <c r="J127" s="48" t="s">
        <v>338</v>
      </c>
      <c r="K127" s="43">
        <v>150</v>
      </c>
      <c r="L127" s="45" t="s">
        <v>15</v>
      </c>
    </row>
    <row r="128" spans="1:12" ht="15.75" customHeight="1" x14ac:dyDescent="0.3">
      <c r="A128" s="21">
        <v>2</v>
      </c>
      <c r="B128" s="25">
        <v>45706</v>
      </c>
      <c r="C128" s="29" t="s">
        <v>431</v>
      </c>
      <c r="D128" s="36">
        <v>1</v>
      </c>
      <c r="E128" s="41" t="s">
        <v>20</v>
      </c>
      <c r="F128" s="42">
        <v>0</v>
      </c>
      <c r="G128" s="9">
        <v>0</v>
      </c>
      <c r="H128" s="45">
        <v>15</v>
      </c>
      <c r="I128" s="9">
        <v>15</v>
      </c>
      <c r="J128" s="48" t="s">
        <v>338</v>
      </c>
      <c r="K128" s="43">
        <v>15</v>
      </c>
      <c r="L128" s="45" t="s">
        <v>15</v>
      </c>
    </row>
    <row r="129" spans="1:12" ht="15.75" customHeight="1" x14ac:dyDescent="0.3">
      <c r="A129" s="21">
        <v>2</v>
      </c>
      <c r="B129" s="25">
        <v>45706</v>
      </c>
      <c r="C129" s="29" t="s">
        <v>431</v>
      </c>
      <c r="D129" s="36">
        <v>1</v>
      </c>
      <c r="E129" s="41" t="s">
        <v>20</v>
      </c>
      <c r="F129" s="42">
        <v>0</v>
      </c>
      <c r="G129" s="9">
        <v>0</v>
      </c>
      <c r="H129" s="45">
        <v>15</v>
      </c>
      <c r="I129" s="9">
        <v>15</v>
      </c>
      <c r="J129" s="48" t="s">
        <v>338</v>
      </c>
      <c r="K129" s="43">
        <v>15</v>
      </c>
      <c r="L129" s="45" t="s">
        <v>15</v>
      </c>
    </row>
    <row r="130" spans="1:12" ht="15.75" customHeight="1" x14ac:dyDescent="0.3">
      <c r="A130" s="21">
        <v>2</v>
      </c>
      <c r="B130" s="25">
        <v>45706</v>
      </c>
      <c r="C130" s="29" t="s">
        <v>596</v>
      </c>
      <c r="D130" s="36">
        <v>1</v>
      </c>
      <c r="E130" s="41" t="s">
        <v>20</v>
      </c>
      <c r="F130" s="42">
        <v>14</v>
      </c>
      <c r="G130" s="9">
        <v>14</v>
      </c>
      <c r="H130" s="45">
        <v>25</v>
      </c>
      <c r="I130" s="9">
        <v>25</v>
      </c>
      <c r="J130" s="48" t="s">
        <v>338</v>
      </c>
      <c r="K130" s="43">
        <v>11</v>
      </c>
      <c r="L130" s="45" t="s">
        <v>15</v>
      </c>
    </row>
    <row r="131" spans="1:12" ht="15.75" customHeight="1" x14ac:dyDescent="0.3">
      <c r="A131" s="21">
        <v>2</v>
      </c>
      <c r="B131" s="25">
        <v>45707</v>
      </c>
      <c r="C131" s="29" t="s">
        <v>326</v>
      </c>
      <c r="D131" s="36">
        <v>1</v>
      </c>
      <c r="E131" s="41" t="s">
        <v>20</v>
      </c>
      <c r="F131" s="42">
        <v>0.05</v>
      </c>
      <c r="G131" s="9">
        <v>0.05</v>
      </c>
      <c r="H131" s="45">
        <v>0.5</v>
      </c>
      <c r="I131" s="9">
        <v>0.5</v>
      </c>
      <c r="J131" s="48" t="s">
        <v>338</v>
      </c>
      <c r="K131" s="43">
        <v>0.45</v>
      </c>
      <c r="L131" s="45" t="s">
        <v>15</v>
      </c>
    </row>
    <row r="132" spans="1:12" ht="15.75" customHeight="1" x14ac:dyDescent="0.3">
      <c r="A132" s="21">
        <v>2</v>
      </c>
      <c r="B132" s="25">
        <v>45707</v>
      </c>
      <c r="C132" s="29" t="s">
        <v>315</v>
      </c>
      <c r="D132" s="36">
        <v>1</v>
      </c>
      <c r="E132" s="41" t="s">
        <v>20</v>
      </c>
      <c r="F132" s="42">
        <v>7.0000000000000007E-2</v>
      </c>
      <c r="G132" s="9">
        <v>7.0000000000000007E-2</v>
      </c>
      <c r="H132" s="45">
        <v>1</v>
      </c>
      <c r="I132" s="9">
        <v>1</v>
      </c>
      <c r="J132" s="48" t="s">
        <v>338</v>
      </c>
      <c r="K132" s="43">
        <v>0.92999999999999994</v>
      </c>
      <c r="L132" s="45" t="s">
        <v>15</v>
      </c>
    </row>
    <row r="133" spans="1:12" ht="15.75" customHeight="1" x14ac:dyDescent="0.3">
      <c r="A133" s="21">
        <v>2</v>
      </c>
      <c r="B133" s="25">
        <v>45708</v>
      </c>
      <c r="C133" s="29" t="s">
        <v>431</v>
      </c>
      <c r="D133" s="36">
        <v>1</v>
      </c>
      <c r="E133" s="41" t="s">
        <v>20</v>
      </c>
      <c r="F133" s="42">
        <v>0</v>
      </c>
      <c r="G133" s="9">
        <v>0</v>
      </c>
      <c r="H133" s="45">
        <v>15</v>
      </c>
      <c r="I133" s="9">
        <v>15</v>
      </c>
      <c r="J133" s="48" t="s">
        <v>338</v>
      </c>
      <c r="K133" s="43">
        <v>15</v>
      </c>
      <c r="L133" s="45" t="s">
        <v>15</v>
      </c>
    </row>
    <row r="134" spans="1:12" ht="15.75" customHeight="1" x14ac:dyDescent="0.3">
      <c r="A134" s="21">
        <v>2</v>
      </c>
      <c r="B134" s="25">
        <v>45708</v>
      </c>
      <c r="C134" s="29" t="s">
        <v>431</v>
      </c>
      <c r="D134" s="36">
        <v>1</v>
      </c>
      <c r="E134" s="41" t="s">
        <v>20</v>
      </c>
      <c r="F134" s="42">
        <v>0</v>
      </c>
      <c r="G134" s="9">
        <v>0</v>
      </c>
      <c r="H134" s="45">
        <v>15</v>
      </c>
      <c r="I134" s="9">
        <v>15</v>
      </c>
      <c r="J134" s="48" t="s">
        <v>338</v>
      </c>
      <c r="K134" s="43">
        <v>15</v>
      </c>
      <c r="L134" s="45" t="s">
        <v>15</v>
      </c>
    </row>
    <row r="135" spans="1:12" ht="15.75" customHeight="1" x14ac:dyDescent="0.3">
      <c r="A135" s="21">
        <v>2</v>
      </c>
      <c r="B135" s="25">
        <v>45708</v>
      </c>
      <c r="C135" s="29" t="s">
        <v>267</v>
      </c>
      <c r="D135" s="36">
        <v>1</v>
      </c>
      <c r="E135" s="41" t="s">
        <v>20</v>
      </c>
      <c r="F135" s="42">
        <v>0</v>
      </c>
      <c r="G135" s="9">
        <v>0</v>
      </c>
      <c r="H135" s="45">
        <v>20</v>
      </c>
      <c r="I135" s="9">
        <v>20</v>
      </c>
      <c r="J135" s="48" t="s">
        <v>338</v>
      </c>
      <c r="K135" s="43">
        <v>20</v>
      </c>
      <c r="L135" s="45" t="s">
        <v>15</v>
      </c>
    </row>
    <row r="136" spans="1:12" ht="15.75" customHeight="1" x14ac:dyDescent="0.3">
      <c r="A136" s="21">
        <v>2</v>
      </c>
      <c r="B136" s="25">
        <v>45709</v>
      </c>
      <c r="C136" s="29" t="s">
        <v>315</v>
      </c>
      <c r="D136" s="36">
        <v>1</v>
      </c>
      <c r="E136" s="41" t="s">
        <v>20</v>
      </c>
      <c r="F136" s="42">
        <v>7.0000000000000007E-2</v>
      </c>
      <c r="G136" s="9">
        <v>7.0000000000000007E-2</v>
      </c>
      <c r="H136" s="45">
        <v>1</v>
      </c>
      <c r="I136" s="9">
        <v>1</v>
      </c>
      <c r="J136" s="48" t="s">
        <v>338</v>
      </c>
      <c r="K136" s="43">
        <v>0.92999999999999994</v>
      </c>
      <c r="L136" s="45" t="s">
        <v>15</v>
      </c>
    </row>
    <row r="137" spans="1:12" ht="15.75" customHeight="1" x14ac:dyDescent="0.3">
      <c r="A137" s="21">
        <v>2</v>
      </c>
      <c r="B137" s="25">
        <v>45709</v>
      </c>
      <c r="C137" s="29" t="s">
        <v>315</v>
      </c>
      <c r="D137" s="36">
        <v>4</v>
      </c>
      <c r="E137" s="41" t="s">
        <v>20</v>
      </c>
      <c r="F137" s="42">
        <v>7.0000000000000007E-2</v>
      </c>
      <c r="G137" s="9">
        <v>0.28000000000000003</v>
      </c>
      <c r="H137" s="45">
        <v>1</v>
      </c>
      <c r="I137" s="9">
        <v>4</v>
      </c>
      <c r="J137" s="48" t="s">
        <v>338</v>
      </c>
      <c r="K137" s="43">
        <v>3.7199999999999998</v>
      </c>
      <c r="L137" s="45" t="s">
        <v>15</v>
      </c>
    </row>
    <row r="138" spans="1:12" ht="15.75" customHeight="1" x14ac:dyDescent="0.3">
      <c r="A138" s="21">
        <v>2</v>
      </c>
      <c r="B138" s="25">
        <v>45709</v>
      </c>
      <c r="C138" s="29" t="s">
        <v>389</v>
      </c>
      <c r="D138" s="36">
        <v>1</v>
      </c>
      <c r="E138" s="41" t="s">
        <v>20</v>
      </c>
      <c r="F138" s="42">
        <v>0.39549999999999996</v>
      </c>
      <c r="G138" s="9">
        <v>0.39549999999999996</v>
      </c>
      <c r="H138" s="45">
        <v>2</v>
      </c>
      <c r="I138" s="9">
        <v>2</v>
      </c>
      <c r="J138" s="48" t="s">
        <v>338</v>
      </c>
      <c r="K138" s="43">
        <v>1.6045</v>
      </c>
      <c r="L138" s="45" t="s">
        <v>15</v>
      </c>
    </row>
    <row r="139" spans="1:12" ht="15.75" customHeight="1" x14ac:dyDescent="0.3">
      <c r="A139" s="21">
        <v>2</v>
      </c>
      <c r="B139" s="25">
        <v>45710</v>
      </c>
      <c r="C139" s="29" t="s">
        <v>313</v>
      </c>
      <c r="D139" s="36">
        <v>1</v>
      </c>
      <c r="E139" s="41" t="s">
        <v>20</v>
      </c>
      <c r="F139" s="42">
        <v>3</v>
      </c>
      <c r="G139" s="9">
        <v>3</v>
      </c>
      <c r="H139" s="45">
        <v>15</v>
      </c>
      <c r="I139" s="9">
        <v>15</v>
      </c>
      <c r="J139" s="48" t="s">
        <v>338</v>
      </c>
      <c r="K139" s="43">
        <v>12</v>
      </c>
      <c r="L139" s="45" t="s">
        <v>15</v>
      </c>
    </row>
    <row r="140" spans="1:12" ht="15.75" customHeight="1" x14ac:dyDescent="0.3">
      <c r="A140" s="21">
        <v>2</v>
      </c>
      <c r="B140" s="25">
        <v>45710</v>
      </c>
      <c r="C140" s="29" t="s">
        <v>229</v>
      </c>
      <c r="D140" s="36">
        <v>1</v>
      </c>
      <c r="E140" s="41" t="s">
        <v>20</v>
      </c>
      <c r="F140" s="42">
        <v>20</v>
      </c>
      <c r="G140" s="9">
        <v>20</v>
      </c>
      <c r="H140" s="45">
        <v>25</v>
      </c>
      <c r="I140" s="9">
        <v>25</v>
      </c>
      <c r="J140" s="48" t="s">
        <v>338</v>
      </c>
      <c r="K140" s="43">
        <v>5</v>
      </c>
      <c r="L140" s="45" t="s">
        <v>15</v>
      </c>
    </row>
    <row r="141" spans="1:12" ht="15.75" customHeight="1" x14ac:dyDescent="0.3">
      <c r="A141" s="21">
        <v>2</v>
      </c>
      <c r="B141" s="25">
        <v>45710</v>
      </c>
      <c r="C141" s="29" t="s">
        <v>597</v>
      </c>
      <c r="D141" s="36">
        <v>1</v>
      </c>
      <c r="E141" s="41" t="s">
        <v>20</v>
      </c>
      <c r="F141" s="42">
        <v>10</v>
      </c>
      <c r="G141" s="9">
        <v>10</v>
      </c>
      <c r="H141" s="45">
        <v>30</v>
      </c>
      <c r="I141" s="9">
        <v>30</v>
      </c>
      <c r="J141" s="48" t="s">
        <v>338</v>
      </c>
      <c r="K141" s="43">
        <v>20</v>
      </c>
      <c r="L141" s="45" t="s">
        <v>15</v>
      </c>
    </row>
    <row r="142" spans="1:12" ht="15.75" customHeight="1" x14ac:dyDescent="0.3">
      <c r="A142" s="21">
        <v>2</v>
      </c>
      <c r="B142" s="25">
        <v>45710</v>
      </c>
      <c r="C142" s="29" t="s">
        <v>495</v>
      </c>
      <c r="D142" s="36">
        <v>6</v>
      </c>
      <c r="E142" s="41" t="s">
        <v>20</v>
      </c>
      <c r="F142" s="42">
        <v>0.29425000000000001</v>
      </c>
      <c r="G142" s="9">
        <v>1.7655000000000001</v>
      </c>
      <c r="H142" s="45">
        <v>5</v>
      </c>
      <c r="I142" s="9">
        <v>30</v>
      </c>
      <c r="J142" s="48" t="s">
        <v>338</v>
      </c>
      <c r="K142" s="43">
        <v>28.234500000000001</v>
      </c>
      <c r="L142" s="45" t="s">
        <v>15</v>
      </c>
    </row>
    <row r="143" spans="1:12" ht="15.75" customHeight="1" x14ac:dyDescent="0.3">
      <c r="A143" s="21">
        <v>2</v>
      </c>
      <c r="B143" s="25">
        <v>45710</v>
      </c>
      <c r="C143" s="29" t="s">
        <v>522</v>
      </c>
      <c r="D143" s="36">
        <v>1</v>
      </c>
      <c r="E143" s="41" t="s">
        <v>573</v>
      </c>
      <c r="F143" s="42">
        <v>1.5</v>
      </c>
      <c r="G143" s="9">
        <v>1.5</v>
      </c>
      <c r="H143" s="45">
        <v>5</v>
      </c>
      <c r="I143" s="9">
        <v>5</v>
      </c>
      <c r="J143" s="48" t="s">
        <v>338</v>
      </c>
      <c r="K143" s="43">
        <v>3.5</v>
      </c>
      <c r="L143" s="45" t="s">
        <v>15</v>
      </c>
    </row>
    <row r="144" spans="1:12" ht="15.75" customHeight="1" x14ac:dyDescent="0.3">
      <c r="A144" s="21">
        <v>2</v>
      </c>
      <c r="B144" s="25">
        <v>45710</v>
      </c>
      <c r="C144" s="29" t="s">
        <v>313</v>
      </c>
      <c r="D144" s="36">
        <v>1</v>
      </c>
      <c r="E144" s="41" t="s">
        <v>20</v>
      </c>
      <c r="F144" s="42">
        <v>3</v>
      </c>
      <c r="G144" s="9">
        <v>3</v>
      </c>
      <c r="H144" s="45">
        <v>15</v>
      </c>
      <c r="I144" s="9">
        <v>15</v>
      </c>
      <c r="J144" s="48" t="s">
        <v>338</v>
      </c>
      <c r="K144" s="43">
        <v>12</v>
      </c>
      <c r="L144" s="45" t="s">
        <v>15</v>
      </c>
    </row>
    <row r="145" spans="1:12" ht="15.75" customHeight="1" x14ac:dyDescent="0.3">
      <c r="A145" s="21">
        <v>2</v>
      </c>
      <c r="B145" s="25">
        <v>45710</v>
      </c>
      <c r="C145" s="29" t="s">
        <v>315</v>
      </c>
      <c r="D145" s="36">
        <v>5</v>
      </c>
      <c r="E145" s="41" t="s">
        <v>20</v>
      </c>
      <c r="F145" s="42">
        <v>7.0000000000000007E-2</v>
      </c>
      <c r="G145" s="9">
        <v>0.35000000000000003</v>
      </c>
      <c r="H145" s="45">
        <v>1</v>
      </c>
      <c r="I145" s="9">
        <v>5</v>
      </c>
      <c r="J145" s="48" t="s">
        <v>338</v>
      </c>
      <c r="K145" s="43">
        <v>4.6500000000000004</v>
      </c>
      <c r="L145" s="45" t="s">
        <v>15</v>
      </c>
    </row>
    <row r="146" spans="1:12" ht="15.75" customHeight="1" x14ac:dyDescent="0.3">
      <c r="A146" s="21">
        <v>2</v>
      </c>
      <c r="B146" s="25">
        <v>45712</v>
      </c>
      <c r="C146" s="29" t="s">
        <v>431</v>
      </c>
      <c r="D146" s="36">
        <v>2</v>
      </c>
      <c r="E146" s="41" t="s">
        <v>20</v>
      </c>
      <c r="F146" s="42">
        <v>0</v>
      </c>
      <c r="G146" s="9">
        <v>0</v>
      </c>
      <c r="H146" s="45">
        <v>15</v>
      </c>
      <c r="I146" s="9">
        <v>30</v>
      </c>
      <c r="J146" s="48" t="s">
        <v>338</v>
      </c>
      <c r="K146" s="43">
        <v>30</v>
      </c>
      <c r="L146" s="45" t="s">
        <v>15</v>
      </c>
    </row>
    <row r="147" spans="1:12" ht="15.75" customHeight="1" x14ac:dyDescent="0.3">
      <c r="A147" s="21">
        <v>2</v>
      </c>
      <c r="B147" s="25">
        <v>45713</v>
      </c>
      <c r="C147" s="29" t="s">
        <v>315</v>
      </c>
      <c r="D147" s="36">
        <v>1</v>
      </c>
      <c r="E147" s="41" t="s">
        <v>20</v>
      </c>
      <c r="F147" s="42">
        <v>7.0000000000000007E-2</v>
      </c>
      <c r="G147" s="9">
        <v>7.0000000000000007E-2</v>
      </c>
      <c r="H147" s="45">
        <v>1</v>
      </c>
      <c r="I147" s="9">
        <v>1</v>
      </c>
      <c r="J147" s="48" t="s">
        <v>338</v>
      </c>
      <c r="K147" s="43">
        <v>0.92999999999999994</v>
      </c>
      <c r="L147" s="45" t="s">
        <v>15</v>
      </c>
    </row>
    <row r="148" spans="1:12" ht="15.75" customHeight="1" x14ac:dyDescent="0.3">
      <c r="A148" s="21">
        <v>2</v>
      </c>
      <c r="B148" s="25">
        <v>45714</v>
      </c>
      <c r="C148" s="29" t="s">
        <v>466</v>
      </c>
      <c r="D148" s="36">
        <v>1</v>
      </c>
      <c r="E148" s="41" t="s">
        <v>573</v>
      </c>
      <c r="F148" s="42">
        <v>9</v>
      </c>
      <c r="G148" s="9">
        <v>9</v>
      </c>
      <c r="H148" s="45">
        <v>30</v>
      </c>
      <c r="I148" s="9">
        <v>30</v>
      </c>
      <c r="J148" s="48" t="s">
        <v>338</v>
      </c>
      <c r="K148" s="43">
        <v>21</v>
      </c>
      <c r="L148" s="45" t="s">
        <v>15</v>
      </c>
    </row>
    <row r="149" spans="1:12" ht="15.75" customHeight="1" x14ac:dyDescent="0.3">
      <c r="A149" s="21">
        <v>2</v>
      </c>
      <c r="B149" s="25">
        <v>45715</v>
      </c>
      <c r="C149" s="29" t="s">
        <v>315</v>
      </c>
      <c r="D149" s="36">
        <v>3</v>
      </c>
      <c r="E149" s="41" t="s">
        <v>20</v>
      </c>
      <c r="F149" s="42">
        <v>7.0000000000000007E-2</v>
      </c>
      <c r="G149" s="9">
        <v>0.21000000000000002</v>
      </c>
      <c r="H149" s="45">
        <v>1</v>
      </c>
      <c r="I149" s="9">
        <v>3</v>
      </c>
      <c r="J149" s="48" t="s">
        <v>338</v>
      </c>
      <c r="K149" s="43">
        <v>2.79</v>
      </c>
      <c r="L149" s="45" t="s">
        <v>15</v>
      </c>
    </row>
    <row r="150" spans="1:12" ht="15.75" customHeight="1" x14ac:dyDescent="0.3">
      <c r="A150" s="21">
        <v>2</v>
      </c>
      <c r="B150" s="25">
        <v>45708</v>
      </c>
      <c r="C150" s="29" t="s">
        <v>318</v>
      </c>
      <c r="D150" s="36">
        <v>1</v>
      </c>
      <c r="E150" s="41" t="s">
        <v>573</v>
      </c>
      <c r="F150" s="42">
        <v>13.5</v>
      </c>
      <c r="G150" s="9">
        <v>13.5</v>
      </c>
      <c r="H150" s="45">
        <v>25</v>
      </c>
      <c r="I150" s="9">
        <v>25</v>
      </c>
      <c r="J150" s="48" t="s">
        <v>338</v>
      </c>
      <c r="K150" s="43">
        <v>11.5</v>
      </c>
      <c r="L150" s="45" t="s">
        <v>128</v>
      </c>
    </row>
    <row r="151" spans="1:12" ht="15.75" customHeight="1" x14ac:dyDescent="0.3">
      <c r="A151" s="21">
        <v>2</v>
      </c>
      <c r="B151" s="25">
        <v>45716</v>
      </c>
      <c r="C151" s="29" t="s">
        <v>326</v>
      </c>
      <c r="D151" s="36">
        <v>2</v>
      </c>
      <c r="E151" s="41" t="s">
        <v>20</v>
      </c>
      <c r="F151" s="42">
        <v>0.05</v>
      </c>
      <c r="G151" s="9">
        <v>0.1</v>
      </c>
      <c r="H151" s="45">
        <v>0.5</v>
      </c>
      <c r="I151" s="9">
        <v>1</v>
      </c>
      <c r="J151" s="48" t="s">
        <v>338</v>
      </c>
      <c r="K151" s="43">
        <v>0.9</v>
      </c>
      <c r="L151" s="45" t="s">
        <v>15</v>
      </c>
    </row>
    <row r="152" spans="1:12" ht="15.75" customHeight="1" x14ac:dyDescent="0.3">
      <c r="A152" s="21">
        <v>2</v>
      </c>
      <c r="B152" s="25">
        <v>45716</v>
      </c>
      <c r="C152" s="29" t="s">
        <v>315</v>
      </c>
      <c r="D152" s="36">
        <v>1</v>
      </c>
      <c r="E152" s="41" t="s">
        <v>445</v>
      </c>
      <c r="F152" s="42">
        <v>7.0000000000000007E-2</v>
      </c>
      <c r="G152" s="9">
        <v>7.0000000000000007E-2</v>
      </c>
      <c r="H152" s="45">
        <v>1</v>
      </c>
      <c r="I152" s="9">
        <v>1</v>
      </c>
      <c r="J152" s="48" t="s">
        <v>338</v>
      </c>
      <c r="K152" s="43">
        <v>0.92999999999999994</v>
      </c>
      <c r="L152" s="45" t="s">
        <v>15</v>
      </c>
    </row>
    <row r="153" spans="1:12" ht="24.75" customHeight="1" x14ac:dyDescent="0.3">
      <c r="A153" s="58">
        <v>2</v>
      </c>
      <c r="B153" s="61">
        <v>45716</v>
      </c>
      <c r="C153" s="64" t="s">
        <v>220</v>
      </c>
      <c r="D153" s="69">
        <v>1</v>
      </c>
      <c r="E153" s="72" t="s">
        <v>20</v>
      </c>
      <c r="F153" s="75">
        <v>50</v>
      </c>
      <c r="G153" s="54">
        <v>50</v>
      </c>
      <c r="H153" s="77">
        <v>75</v>
      </c>
      <c r="I153" s="54">
        <v>75</v>
      </c>
      <c r="J153" s="48" t="s">
        <v>338</v>
      </c>
      <c r="K153" s="43">
        <v>25</v>
      </c>
      <c r="L153" s="77" t="s">
        <v>15</v>
      </c>
    </row>
    <row r="154" spans="1:12" ht="15.75" customHeight="1" collapsed="1" x14ac:dyDescent="0.3">
      <c r="A154" s="21">
        <v>3</v>
      </c>
      <c r="B154" s="25">
        <v>45717</v>
      </c>
      <c r="C154" s="29" t="s">
        <v>598</v>
      </c>
      <c r="D154" s="36">
        <v>1</v>
      </c>
      <c r="E154" s="41" t="s">
        <v>599</v>
      </c>
      <c r="F154" s="42" t="s">
        <v>72</v>
      </c>
      <c r="G154" s="9">
        <v>0</v>
      </c>
      <c r="H154" s="45">
        <v>40</v>
      </c>
      <c r="I154" s="9">
        <v>40</v>
      </c>
      <c r="J154" s="80" t="s">
        <v>338</v>
      </c>
      <c r="K154" s="43">
        <v>40</v>
      </c>
      <c r="L154" s="45" t="s">
        <v>15</v>
      </c>
    </row>
    <row r="155" spans="1:12" ht="15.75" customHeight="1" x14ac:dyDescent="0.3">
      <c r="A155" s="57">
        <v>3</v>
      </c>
      <c r="B155" s="60">
        <v>45721</v>
      </c>
      <c r="C155" s="63" t="s">
        <v>267</v>
      </c>
      <c r="D155" s="68">
        <v>1</v>
      </c>
      <c r="E155" s="71" t="s">
        <v>20</v>
      </c>
      <c r="F155" s="74">
        <v>0</v>
      </c>
      <c r="G155" s="9">
        <v>0</v>
      </c>
      <c r="H155" s="76">
        <v>5</v>
      </c>
      <c r="I155" s="53">
        <v>5</v>
      </c>
      <c r="J155" s="48" t="s">
        <v>338</v>
      </c>
      <c r="K155" s="43">
        <v>5</v>
      </c>
      <c r="L155" s="76" t="s">
        <v>15</v>
      </c>
    </row>
    <row r="156" spans="1:12" ht="15.75" customHeight="1" x14ac:dyDescent="0.3">
      <c r="A156" s="21">
        <v>3</v>
      </c>
      <c r="B156" s="25">
        <v>45721</v>
      </c>
      <c r="C156" s="29" t="s">
        <v>315</v>
      </c>
      <c r="D156" s="36">
        <v>1</v>
      </c>
      <c r="E156" s="41" t="s">
        <v>20</v>
      </c>
      <c r="F156" s="42">
        <v>7.0000000000000007E-2</v>
      </c>
      <c r="G156" s="9">
        <v>7.0000000000000007E-2</v>
      </c>
      <c r="H156" s="45">
        <v>1</v>
      </c>
      <c r="I156" s="9">
        <v>1</v>
      </c>
      <c r="J156" s="48" t="s">
        <v>338</v>
      </c>
      <c r="K156" s="43">
        <v>0.92999999999999994</v>
      </c>
      <c r="L156" s="45" t="s">
        <v>15</v>
      </c>
    </row>
    <row r="157" spans="1:12" ht="15.75" customHeight="1" x14ac:dyDescent="0.3">
      <c r="A157" s="21">
        <v>3</v>
      </c>
      <c r="B157" s="25">
        <v>45721</v>
      </c>
      <c r="C157" s="29" t="s">
        <v>600</v>
      </c>
      <c r="D157" s="36">
        <v>1</v>
      </c>
      <c r="E157" s="41" t="s">
        <v>20</v>
      </c>
      <c r="F157" s="42">
        <v>8.5</v>
      </c>
      <c r="G157" s="9">
        <v>8.5</v>
      </c>
      <c r="H157" s="45">
        <v>20</v>
      </c>
      <c r="I157" s="9">
        <v>20</v>
      </c>
      <c r="J157" s="48" t="s">
        <v>338</v>
      </c>
      <c r="K157" s="43">
        <v>11.5</v>
      </c>
      <c r="L157" s="45" t="s">
        <v>15</v>
      </c>
    </row>
    <row r="158" spans="1:12" ht="15.75" customHeight="1" x14ac:dyDescent="0.3">
      <c r="A158" s="21">
        <v>3</v>
      </c>
      <c r="B158" s="25">
        <v>45722</v>
      </c>
      <c r="C158" s="29" t="s">
        <v>516</v>
      </c>
      <c r="D158" s="36">
        <v>1</v>
      </c>
      <c r="E158" s="41" t="s">
        <v>601</v>
      </c>
      <c r="F158" s="42">
        <v>95</v>
      </c>
      <c r="G158" s="9">
        <v>95</v>
      </c>
      <c r="H158" s="45">
        <v>200</v>
      </c>
      <c r="I158" s="9">
        <v>200</v>
      </c>
      <c r="J158" s="48" t="s">
        <v>338</v>
      </c>
      <c r="K158" s="43">
        <v>105</v>
      </c>
      <c r="L158" s="45" t="s">
        <v>15</v>
      </c>
    </row>
    <row r="159" spans="1:12" ht="15.75" customHeight="1" x14ac:dyDescent="0.3">
      <c r="A159" s="21">
        <v>3</v>
      </c>
      <c r="B159" s="25">
        <v>45722</v>
      </c>
      <c r="C159" s="29" t="s">
        <v>381</v>
      </c>
      <c r="D159" s="36">
        <v>1</v>
      </c>
      <c r="E159" s="41" t="s">
        <v>601</v>
      </c>
      <c r="F159" s="42">
        <v>0</v>
      </c>
      <c r="G159" s="9">
        <v>0</v>
      </c>
      <c r="H159" s="45">
        <v>220</v>
      </c>
      <c r="I159" s="9">
        <v>220</v>
      </c>
      <c r="J159" s="48" t="s">
        <v>338</v>
      </c>
      <c r="K159" s="43">
        <v>220</v>
      </c>
      <c r="L159" s="45" t="s">
        <v>15</v>
      </c>
    </row>
    <row r="160" spans="1:12" ht="15.75" customHeight="1" x14ac:dyDescent="0.3">
      <c r="A160" s="21">
        <v>3</v>
      </c>
      <c r="B160" s="25">
        <v>45722</v>
      </c>
      <c r="C160" s="29" t="s">
        <v>575</v>
      </c>
      <c r="D160" s="36">
        <v>1</v>
      </c>
      <c r="E160" s="41" t="s">
        <v>601</v>
      </c>
      <c r="F160" s="42">
        <v>11</v>
      </c>
      <c r="G160" s="9">
        <v>11</v>
      </c>
      <c r="H160" s="45">
        <v>20</v>
      </c>
      <c r="I160" s="9">
        <v>20</v>
      </c>
      <c r="J160" s="48" t="s">
        <v>338</v>
      </c>
      <c r="K160" s="43">
        <v>9</v>
      </c>
      <c r="L160" s="45" t="s">
        <v>15</v>
      </c>
    </row>
    <row r="161" spans="1:12" ht="15.75" customHeight="1" x14ac:dyDescent="0.3">
      <c r="A161" s="21">
        <v>3</v>
      </c>
      <c r="B161" s="25">
        <v>45723</v>
      </c>
      <c r="C161" s="29" t="s">
        <v>431</v>
      </c>
      <c r="D161" s="36">
        <v>1</v>
      </c>
      <c r="E161" s="41" t="s">
        <v>20</v>
      </c>
      <c r="F161" s="42">
        <v>0</v>
      </c>
      <c r="G161" s="9">
        <v>0</v>
      </c>
      <c r="H161" s="45">
        <v>14</v>
      </c>
      <c r="I161" s="9">
        <v>14</v>
      </c>
      <c r="J161" s="48" t="s">
        <v>338</v>
      </c>
      <c r="K161" s="43">
        <v>14</v>
      </c>
      <c r="L161" s="45" t="s">
        <v>15</v>
      </c>
    </row>
    <row r="162" spans="1:12" ht="15.75" customHeight="1" x14ac:dyDescent="0.3">
      <c r="A162" s="21">
        <v>3</v>
      </c>
      <c r="B162" s="25">
        <v>45722</v>
      </c>
      <c r="C162" s="29" t="s">
        <v>597</v>
      </c>
      <c r="D162" s="36">
        <v>1</v>
      </c>
      <c r="E162" s="41" t="s">
        <v>20</v>
      </c>
      <c r="F162" s="42">
        <v>10</v>
      </c>
      <c r="G162" s="9">
        <v>10</v>
      </c>
      <c r="H162" s="45">
        <v>30</v>
      </c>
      <c r="I162" s="9">
        <v>30</v>
      </c>
      <c r="J162" s="48" t="s">
        <v>338</v>
      </c>
      <c r="K162" s="43">
        <v>20</v>
      </c>
      <c r="L162" s="45" t="s">
        <v>15</v>
      </c>
    </row>
    <row r="163" spans="1:12" ht="15.75" customHeight="1" x14ac:dyDescent="0.3">
      <c r="A163" s="21">
        <v>3</v>
      </c>
      <c r="B163" s="25">
        <v>45722</v>
      </c>
      <c r="C163" s="29" t="s">
        <v>602</v>
      </c>
      <c r="D163" s="36">
        <v>1</v>
      </c>
      <c r="E163" s="41" t="s">
        <v>603</v>
      </c>
      <c r="F163" s="42">
        <v>115</v>
      </c>
      <c r="G163" s="9">
        <v>115</v>
      </c>
      <c r="H163" s="45">
        <v>165</v>
      </c>
      <c r="I163" s="9">
        <v>165</v>
      </c>
      <c r="J163" s="48" t="s">
        <v>338</v>
      </c>
      <c r="K163" s="43">
        <v>50</v>
      </c>
      <c r="L163" s="45" t="s">
        <v>15</v>
      </c>
    </row>
    <row r="164" spans="1:12" ht="15.75" customHeight="1" x14ac:dyDescent="0.3">
      <c r="A164" s="21">
        <v>3</v>
      </c>
      <c r="B164" s="25">
        <v>45722</v>
      </c>
      <c r="C164" s="29" t="s">
        <v>313</v>
      </c>
      <c r="D164" s="36">
        <v>1</v>
      </c>
      <c r="E164" s="41" t="s">
        <v>485</v>
      </c>
      <c r="F164" s="42">
        <v>3</v>
      </c>
      <c r="G164" s="9">
        <v>3</v>
      </c>
      <c r="H164" s="45">
        <v>10</v>
      </c>
      <c r="I164" s="9">
        <v>10</v>
      </c>
      <c r="J164" s="48" t="s">
        <v>338</v>
      </c>
      <c r="K164" s="43">
        <v>7</v>
      </c>
      <c r="L164" s="45" t="s">
        <v>15</v>
      </c>
    </row>
    <row r="165" spans="1:12" ht="15.75" customHeight="1" x14ac:dyDescent="0.3">
      <c r="A165" s="21">
        <v>3</v>
      </c>
      <c r="B165" s="25">
        <v>45722</v>
      </c>
      <c r="C165" s="29" t="s">
        <v>315</v>
      </c>
      <c r="D165" s="36">
        <v>1</v>
      </c>
      <c r="E165" s="41" t="s">
        <v>509</v>
      </c>
      <c r="F165" s="42">
        <v>7.0000000000000007E-2</v>
      </c>
      <c r="G165" s="9">
        <v>7.0000000000000007E-2</v>
      </c>
      <c r="H165" s="45">
        <v>2</v>
      </c>
      <c r="I165" s="9">
        <v>2</v>
      </c>
      <c r="J165" s="48" t="s">
        <v>338</v>
      </c>
      <c r="K165" s="43">
        <v>1.93</v>
      </c>
      <c r="L165" s="45" t="s">
        <v>15</v>
      </c>
    </row>
    <row r="166" spans="1:12" ht="15.75" customHeight="1" x14ac:dyDescent="0.3">
      <c r="A166" s="21">
        <v>3</v>
      </c>
      <c r="B166" s="25">
        <v>45726</v>
      </c>
      <c r="C166" s="29" t="s">
        <v>267</v>
      </c>
      <c r="D166" s="36">
        <v>1</v>
      </c>
      <c r="E166" s="41" t="s">
        <v>20</v>
      </c>
      <c r="F166" s="42">
        <v>0</v>
      </c>
      <c r="G166" s="9">
        <v>0</v>
      </c>
      <c r="H166" s="45">
        <v>10</v>
      </c>
      <c r="I166" s="9">
        <v>10</v>
      </c>
      <c r="J166" s="48" t="s">
        <v>338</v>
      </c>
      <c r="K166" s="43">
        <v>10</v>
      </c>
      <c r="L166" s="45" t="s">
        <v>15</v>
      </c>
    </row>
    <row r="167" spans="1:12" ht="15.75" customHeight="1" x14ac:dyDescent="0.3">
      <c r="A167" s="21">
        <v>3</v>
      </c>
      <c r="B167" s="25">
        <v>45726</v>
      </c>
      <c r="C167" s="29" t="s">
        <v>315</v>
      </c>
      <c r="D167" s="36">
        <v>1</v>
      </c>
      <c r="E167" s="41" t="s">
        <v>20</v>
      </c>
      <c r="F167" s="42">
        <v>7.0000000000000007E-2</v>
      </c>
      <c r="G167" s="9">
        <v>7.0000000000000007E-2</v>
      </c>
      <c r="H167" s="45">
        <v>1</v>
      </c>
      <c r="I167" s="9">
        <v>1</v>
      </c>
      <c r="J167" s="48" t="s">
        <v>338</v>
      </c>
      <c r="K167" s="43">
        <v>0.92999999999999994</v>
      </c>
      <c r="L167" s="45" t="s">
        <v>15</v>
      </c>
    </row>
    <row r="168" spans="1:12" ht="15.75" customHeight="1" x14ac:dyDescent="0.3">
      <c r="A168" s="21">
        <v>3</v>
      </c>
      <c r="B168" s="25">
        <v>45726</v>
      </c>
      <c r="C168" s="29" t="s">
        <v>378</v>
      </c>
      <c r="D168" s="36">
        <v>1</v>
      </c>
      <c r="E168" s="41" t="s">
        <v>20</v>
      </c>
      <c r="F168" s="42">
        <v>18</v>
      </c>
      <c r="G168" s="9">
        <v>18</v>
      </c>
      <c r="H168" s="45">
        <v>30</v>
      </c>
      <c r="I168" s="9">
        <v>30</v>
      </c>
      <c r="J168" s="48" t="s">
        <v>338</v>
      </c>
      <c r="K168" s="43">
        <v>12</v>
      </c>
      <c r="L168" s="45" t="s">
        <v>15</v>
      </c>
    </row>
    <row r="169" spans="1:12" ht="15.75" customHeight="1" x14ac:dyDescent="0.3">
      <c r="A169" s="21">
        <v>3</v>
      </c>
      <c r="B169" s="25">
        <v>45726</v>
      </c>
      <c r="C169" s="29" t="s">
        <v>170</v>
      </c>
      <c r="D169" s="36">
        <v>1</v>
      </c>
      <c r="E169" s="41" t="s">
        <v>20</v>
      </c>
      <c r="F169" s="42">
        <v>8</v>
      </c>
      <c r="G169" s="9">
        <v>8</v>
      </c>
      <c r="H169" s="45">
        <v>20</v>
      </c>
      <c r="I169" s="9">
        <v>20</v>
      </c>
      <c r="J169" s="48" t="s">
        <v>338</v>
      </c>
      <c r="K169" s="43">
        <v>12</v>
      </c>
      <c r="L169" s="45" t="s">
        <v>15</v>
      </c>
    </row>
    <row r="170" spans="1:12" ht="15.75" customHeight="1" x14ac:dyDescent="0.3">
      <c r="A170" s="21">
        <v>3</v>
      </c>
      <c r="B170" s="25">
        <v>45726</v>
      </c>
      <c r="C170" s="29" t="s">
        <v>380</v>
      </c>
      <c r="D170" s="36">
        <v>1</v>
      </c>
      <c r="E170" s="41" t="s">
        <v>20</v>
      </c>
      <c r="F170" s="42">
        <v>8</v>
      </c>
      <c r="G170" s="9">
        <v>8</v>
      </c>
      <c r="H170" s="45">
        <v>20</v>
      </c>
      <c r="I170" s="9">
        <v>20</v>
      </c>
      <c r="J170" s="48" t="s">
        <v>338</v>
      </c>
      <c r="K170" s="43">
        <v>12</v>
      </c>
      <c r="L170" s="45" t="s">
        <v>15</v>
      </c>
    </row>
    <row r="171" spans="1:12" ht="15.75" customHeight="1" x14ac:dyDescent="0.3">
      <c r="A171" s="21">
        <v>3</v>
      </c>
      <c r="B171" s="25">
        <v>45726</v>
      </c>
      <c r="C171" s="29" t="s">
        <v>604</v>
      </c>
      <c r="D171" s="36">
        <v>1</v>
      </c>
      <c r="E171" s="41" t="s">
        <v>20</v>
      </c>
      <c r="F171" s="42">
        <v>2</v>
      </c>
      <c r="G171" s="9">
        <v>2</v>
      </c>
      <c r="H171" s="45">
        <v>5</v>
      </c>
      <c r="I171" s="9">
        <v>5</v>
      </c>
      <c r="J171" s="48" t="s">
        <v>338</v>
      </c>
      <c r="K171" s="43">
        <v>3</v>
      </c>
      <c r="L171" s="45" t="s">
        <v>15</v>
      </c>
    </row>
    <row r="172" spans="1:12" ht="15.75" customHeight="1" x14ac:dyDescent="0.3">
      <c r="A172" s="21">
        <v>3</v>
      </c>
      <c r="B172" s="25">
        <v>45726</v>
      </c>
      <c r="C172" s="29" t="s">
        <v>604</v>
      </c>
      <c r="D172" s="36">
        <v>1</v>
      </c>
      <c r="E172" s="41" t="s">
        <v>20</v>
      </c>
      <c r="F172" s="42">
        <v>2</v>
      </c>
      <c r="G172" s="9">
        <v>2</v>
      </c>
      <c r="H172" s="45">
        <v>5</v>
      </c>
      <c r="I172" s="9">
        <v>5</v>
      </c>
      <c r="J172" s="48" t="s">
        <v>338</v>
      </c>
      <c r="K172" s="43">
        <v>3</v>
      </c>
      <c r="L172" s="45" t="s">
        <v>15</v>
      </c>
    </row>
    <row r="173" spans="1:12" ht="15.75" customHeight="1" x14ac:dyDescent="0.3">
      <c r="A173" s="21">
        <v>3</v>
      </c>
      <c r="B173" s="25">
        <v>45726</v>
      </c>
      <c r="C173" s="29" t="s">
        <v>605</v>
      </c>
      <c r="D173" s="36">
        <v>6</v>
      </c>
      <c r="E173" s="41" t="s">
        <v>20</v>
      </c>
      <c r="F173" s="42" t="s">
        <v>72</v>
      </c>
      <c r="G173" s="9">
        <v>0</v>
      </c>
      <c r="H173" s="45">
        <v>4</v>
      </c>
      <c r="I173" s="9">
        <v>24</v>
      </c>
      <c r="J173" s="48" t="s">
        <v>338</v>
      </c>
      <c r="K173" s="43">
        <v>24</v>
      </c>
      <c r="L173" s="45" t="s">
        <v>15</v>
      </c>
    </row>
    <row r="174" spans="1:12" ht="15.75" customHeight="1" x14ac:dyDescent="0.3">
      <c r="A174" s="21">
        <v>3</v>
      </c>
      <c r="B174" s="25">
        <v>45726</v>
      </c>
      <c r="C174" s="29" t="s">
        <v>606</v>
      </c>
      <c r="D174" s="36">
        <v>1</v>
      </c>
      <c r="E174" s="41" t="s">
        <v>483</v>
      </c>
      <c r="F174" s="42">
        <v>105</v>
      </c>
      <c r="G174" s="9">
        <v>105</v>
      </c>
      <c r="H174" s="45">
        <v>165</v>
      </c>
      <c r="I174" s="9">
        <v>165</v>
      </c>
      <c r="J174" s="48" t="s">
        <v>338</v>
      </c>
      <c r="K174" s="43">
        <v>60</v>
      </c>
      <c r="L174" s="45" t="s">
        <v>15</v>
      </c>
    </row>
    <row r="175" spans="1:12" ht="15.75" customHeight="1" x14ac:dyDescent="0.3">
      <c r="A175" s="21">
        <v>3</v>
      </c>
      <c r="B175" s="25">
        <v>45727</v>
      </c>
      <c r="C175" s="29" t="s">
        <v>607</v>
      </c>
      <c r="D175" s="36">
        <v>1</v>
      </c>
      <c r="E175" s="41" t="s">
        <v>535</v>
      </c>
      <c r="F175" s="42">
        <v>11</v>
      </c>
      <c r="G175" s="9">
        <v>11</v>
      </c>
      <c r="H175" s="45">
        <v>20</v>
      </c>
      <c r="I175" s="9">
        <v>20</v>
      </c>
      <c r="J175" s="48" t="s">
        <v>338</v>
      </c>
      <c r="K175" s="43">
        <v>9</v>
      </c>
      <c r="L175" s="45" t="s">
        <v>15</v>
      </c>
    </row>
    <row r="176" spans="1:12" ht="15.75" customHeight="1" x14ac:dyDescent="0.3">
      <c r="A176" s="21">
        <v>3</v>
      </c>
      <c r="B176" s="25">
        <v>45727</v>
      </c>
      <c r="C176" s="29" t="s">
        <v>608</v>
      </c>
      <c r="D176" s="36">
        <v>1</v>
      </c>
      <c r="E176" s="41" t="s">
        <v>20</v>
      </c>
      <c r="F176" s="42">
        <v>40</v>
      </c>
      <c r="G176" s="9">
        <v>40</v>
      </c>
      <c r="H176" s="45">
        <v>85</v>
      </c>
      <c r="I176" s="9">
        <v>85</v>
      </c>
      <c r="J176" s="48" t="s">
        <v>338</v>
      </c>
      <c r="K176" s="43">
        <v>45</v>
      </c>
      <c r="L176" s="45" t="s">
        <v>15</v>
      </c>
    </row>
    <row r="177" spans="1:12" ht="15.75" customHeight="1" x14ac:dyDescent="0.3">
      <c r="A177" s="21">
        <v>3</v>
      </c>
      <c r="B177" s="25">
        <v>45727</v>
      </c>
      <c r="C177" s="29" t="s">
        <v>609</v>
      </c>
      <c r="D177" s="36">
        <v>1</v>
      </c>
      <c r="E177" s="41" t="s">
        <v>485</v>
      </c>
      <c r="F177" s="42">
        <v>3.5</v>
      </c>
      <c r="G177" s="9">
        <v>3.5</v>
      </c>
      <c r="H177" s="45">
        <v>5</v>
      </c>
      <c r="I177" s="9">
        <v>5</v>
      </c>
      <c r="J177" s="48" t="s">
        <v>338</v>
      </c>
      <c r="K177" s="43">
        <v>1.5</v>
      </c>
      <c r="L177" s="45" t="s">
        <v>15</v>
      </c>
    </row>
    <row r="178" spans="1:12" ht="15.75" customHeight="1" x14ac:dyDescent="0.3">
      <c r="A178" s="21">
        <v>3</v>
      </c>
      <c r="B178" s="25">
        <v>45728</v>
      </c>
      <c r="C178" s="29" t="s">
        <v>315</v>
      </c>
      <c r="D178" s="36">
        <v>2</v>
      </c>
      <c r="E178" s="41" t="s">
        <v>51</v>
      </c>
      <c r="F178" s="42">
        <v>7.0000000000000007E-2</v>
      </c>
      <c r="G178" s="9">
        <v>0.14000000000000001</v>
      </c>
      <c r="H178" s="45">
        <v>1</v>
      </c>
      <c r="I178" s="9">
        <v>2</v>
      </c>
      <c r="J178" s="48" t="s">
        <v>338</v>
      </c>
      <c r="K178" s="43">
        <v>1.8599999999999999</v>
      </c>
      <c r="L178" s="45" t="s">
        <v>15</v>
      </c>
    </row>
    <row r="179" spans="1:12" ht="15.75" customHeight="1" x14ac:dyDescent="0.3">
      <c r="A179" s="21">
        <v>3</v>
      </c>
      <c r="B179" s="25">
        <v>45729</v>
      </c>
      <c r="C179" s="29" t="s">
        <v>495</v>
      </c>
      <c r="D179" s="36">
        <v>2</v>
      </c>
      <c r="E179" s="41" t="s">
        <v>20</v>
      </c>
      <c r="F179" s="42">
        <v>0.29425000000000001</v>
      </c>
      <c r="G179" s="9">
        <v>0.58850000000000002</v>
      </c>
      <c r="H179" s="45">
        <v>5</v>
      </c>
      <c r="I179" s="9">
        <v>10</v>
      </c>
      <c r="J179" s="48" t="s">
        <v>338</v>
      </c>
      <c r="K179" s="43">
        <v>9.4115000000000002</v>
      </c>
      <c r="L179" s="45" t="s">
        <v>15</v>
      </c>
    </row>
    <row r="180" spans="1:12" ht="15.75" customHeight="1" x14ac:dyDescent="0.3">
      <c r="A180" s="21">
        <v>3</v>
      </c>
      <c r="B180" s="25">
        <v>45729</v>
      </c>
      <c r="C180" s="29" t="s">
        <v>326</v>
      </c>
      <c r="D180" s="36">
        <v>2</v>
      </c>
      <c r="E180" s="41" t="s">
        <v>610</v>
      </c>
      <c r="F180" s="42">
        <v>0.05</v>
      </c>
      <c r="G180" s="9">
        <v>0.1</v>
      </c>
      <c r="H180" s="45">
        <v>0.5</v>
      </c>
      <c r="I180" s="9">
        <v>1</v>
      </c>
      <c r="J180" s="48" t="s">
        <v>338</v>
      </c>
      <c r="K180" s="43">
        <v>0.9</v>
      </c>
      <c r="L180" s="45" t="s">
        <v>15</v>
      </c>
    </row>
    <row r="181" spans="1:12" ht="15.75" customHeight="1" x14ac:dyDescent="0.3">
      <c r="A181" s="21">
        <v>3</v>
      </c>
      <c r="B181" s="25">
        <v>45729</v>
      </c>
      <c r="C181" s="29" t="s">
        <v>315</v>
      </c>
      <c r="D181" s="36">
        <v>5</v>
      </c>
      <c r="E181" s="41" t="s">
        <v>20</v>
      </c>
      <c r="F181" s="42">
        <v>7.0000000000000007E-2</v>
      </c>
      <c r="G181" s="9">
        <v>0.35000000000000003</v>
      </c>
      <c r="H181" s="45">
        <v>1</v>
      </c>
      <c r="I181" s="9">
        <v>5</v>
      </c>
      <c r="J181" s="48" t="s">
        <v>338</v>
      </c>
      <c r="K181" s="43">
        <v>4.6500000000000004</v>
      </c>
      <c r="L181" s="45" t="s">
        <v>15</v>
      </c>
    </row>
    <row r="182" spans="1:12" ht="15.75" customHeight="1" x14ac:dyDescent="0.3">
      <c r="A182" s="21">
        <v>3</v>
      </c>
      <c r="B182" s="25">
        <v>45730</v>
      </c>
      <c r="C182" s="29" t="s">
        <v>611</v>
      </c>
      <c r="D182" s="36">
        <v>1</v>
      </c>
      <c r="E182" s="41" t="s">
        <v>573</v>
      </c>
      <c r="F182" s="42">
        <v>10</v>
      </c>
      <c r="G182" s="9">
        <v>10</v>
      </c>
      <c r="H182" s="45">
        <v>25</v>
      </c>
      <c r="I182" s="9">
        <v>25</v>
      </c>
      <c r="J182" s="48" t="s">
        <v>338</v>
      </c>
      <c r="K182" s="43">
        <v>15</v>
      </c>
      <c r="L182" s="45" t="s">
        <v>15</v>
      </c>
    </row>
    <row r="183" spans="1:12" ht="15.75" customHeight="1" x14ac:dyDescent="0.3">
      <c r="A183" s="21">
        <v>3</v>
      </c>
      <c r="B183" s="25">
        <v>45730</v>
      </c>
      <c r="C183" s="29" t="s">
        <v>612</v>
      </c>
      <c r="D183" s="36">
        <v>1</v>
      </c>
      <c r="E183" s="41" t="s">
        <v>610</v>
      </c>
      <c r="F183" s="42">
        <v>58</v>
      </c>
      <c r="G183" s="9">
        <v>58</v>
      </c>
      <c r="H183" s="45">
        <v>100</v>
      </c>
      <c r="I183" s="9">
        <v>100</v>
      </c>
      <c r="J183" s="48" t="s">
        <v>338</v>
      </c>
      <c r="K183" s="43">
        <v>42</v>
      </c>
      <c r="L183" s="45" t="s">
        <v>15</v>
      </c>
    </row>
    <row r="184" spans="1:12" ht="15.75" customHeight="1" x14ac:dyDescent="0.3">
      <c r="A184" s="21">
        <v>3</v>
      </c>
      <c r="B184" s="25">
        <v>45731</v>
      </c>
      <c r="C184" s="29" t="s">
        <v>609</v>
      </c>
      <c r="D184" s="36">
        <v>1</v>
      </c>
      <c r="E184" s="41" t="s">
        <v>20</v>
      </c>
      <c r="F184" s="42">
        <v>3.5</v>
      </c>
      <c r="G184" s="9">
        <v>3.5</v>
      </c>
      <c r="H184" s="45">
        <v>10</v>
      </c>
      <c r="I184" s="9">
        <v>10</v>
      </c>
      <c r="J184" s="48" t="s">
        <v>613</v>
      </c>
      <c r="K184" s="43">
        <v>6.5</v>
      </c>
      <c r="L184" s="45" t="s">
        <v>15</v>
      </c>
    </row>
    <row r="185" spans="1:12" ht="15.75" customHeight="1" x14ac:dyDescent="0.3">
      <c r="A185" s="21">
        <v>3</v>
      </c>
      <c r="B185" s="25">
        <v>45731</v>
      </c>
      <c r="C185" s="29" t="s">
        <v>495</v>
      </c>
      <c r="D185" s="36">
        <v>2</v>
      </c>
      <c r="E185" s="41" t="s">
        <v>20</v>
      </c>
      <c r="F185" s="42">
        <v>0.29425000000000001</v>
      </c>
      <c r="G185" s="9">
        <v>0.58850000000000002</v>
      </c>
      <c r="H185" s="45">
        <v>7.5</v>
      </c>
      <c r="I185" s="9">
        <v>15</v>
      </c>
      <c r="J185" s="48" t="s">
        <v>338</v>
      </c>
      <c r="K185" s="43">
        <v>14.4115</v>
      </c>
      <c r="L185" s="45" t="s">
        <v>15</v>
      </c>
    </row>
    <row r="186" spans="1:12" ht="15.75" customHeight="1" x14ac:dyDescent="0.3">
      <c r="A186" s="21">
        <v>3</v>
      </c>
      <c r="B186" s="25">
        <v>45731</v>
      </c>
      <c r="C186" s="29" t="s">
        <v>614</v>
      </c>
      <c r="D186" s="36">
        <v>1</v>
      </c>
      <c r="E186" s="41" t="s">
        <v>533</v>
      </c>
      <c r="F186" s="42">
        <v>250</v>
      </c>
      <c r="G186" s="9">
        <v>250</v>
      </c>
      <c r="H186" s="45">
        <v>315</v>
      </c>
      <c r="I186" s="9">
        <v>315</v>
      </c>
      <c r="J186" s="48" t="s">
        <v>338</v>
      </c>
      <c r="K186" s="43">
        <v>65</v>
      </c>
      <c r="L186" s="45" t="s">
        <v>15</v>
      </c>
    </row>
    <row r="187" spans="1:12" ht="15.75" customHeight="1" x14ac:dyDescent="0.3">
      <c r="A187" s="21">
        <v>3</v>
      </c>
      <c r="B187" s="25">
        <v>45731</v>
      </c>
      <c r="C187" s="29" t="s">
        <v>267</v>
      </c>
      <c r="D187" s="36">
        <v>1</v>
      </c>
      <c r="E187" s="41" t="s">
        <v>615</v>
      </c>
      <c r="F187" s="42">
        <v>0</v>
      </c>
      <c r="G187" s="9">
        <v>0</v>
      </c>
      <c r="H187" s="45">
        <v>25</v>
      </c>
      <c r="I187" s="9">
        <v>25</v>
      </c>
      <c r="J187" s="48" t="s">
        <v>338</v>
      </c>
      <c r="K187" s="43">
        <v>25</v>
      </c>
      <c r="L187" s="45" t="s">
        <v>15</v>
      </c>
    </row>
    <row r="188" spans="1:12" ht="15.75" customHeight="1" x14ac:dyDescent="0.3">
      <c r="A188" s="21">
        <v>3</v>
      </c>
      <c r="B188" s="25">
        <v>45731</v>
      </c>
      <c r="C188" s="29" t="s">
        <v>313</v>
      </c>
      <c r="D188" s="36">
        <v>1</v>
      </c>
      <c r="E188" s="41" t="s">
        <v>20</v>
      </c>
      <c r="F188" s="42">
        <v>3</v>
      </c>
      <c r="G188" s="9">
        <v>3</v>
      </c>
      <c r="H188" s="45">
        <v>15</v>
      </c>
      <c r="I188" s="9">
        <v>15</v>
      </c>
      <c r="J188" s="48" t="s">
        <v>338</v>
      </c>
      <c r="K188" s="43">
        <v>12</v>
      </c>
      <c r="L188" s="45" t="s">
        <v>15</v>
      </c>
    </row>
    <row r="189" spans="1:12" ht="15.75" customHeight="1" x14ac:dyDescent="0.3">
      <c r="A189" s="21">
        <v>3</v>
      </c>
      <c r="B189" s="25">
        <v>45731</v>
      </c>
      <c r="C189" s="29" t="s">
        <v>378</v>
      </c>
      <c r="D189" s="36">
        <v>1</v>
      </c>
      <c r="E189" s="41" t="s">
        <v>20</v>
      </c>
      <c r="F189" s="42">
        <v>18</v>
      </c>
      <c r="G189" s="9">
        <v>18</v>
      </c>
      <c r="H189" s="45">
        <v>30</v>
      </c>
      <c r="I189" s="9">
        <v>30</v>
      </c>
      <c r="J189" s="48" t="s">
        <v>338</v>
      </c>
      <c r="K189" s="43">
        <v>12</v>
      </c>
      <c r="L189" s="45" t="s">
        <v>15</v>
      </c>
    </row>
    <row r="190" spans="1:12" ht="15.75" customHeight="1" x14ac:dyDescent="0.3">
      <c r="A190" s="21">
        <v>3</v>
      </c>
      <c r="B190" s="25">
        <v>45731</v>
      </c>
      <c r="C190" s="29" t="s">
        <v>369</v>
      </c>
      <c r="D190" s="36">
        <v>1</v>
      </c>
      <c r="E190" s="41" t="s">
        <v>20</v>
      </c>
      <c r="F190" s="42">
        <v>18</v>
      </c>
      <c r="G190" s="9">
        <v>18</v>
      </c>
      <c r="H190" s="45">
        <v>40</v>
      </c>
      <c r="I190" s="9">
        <v>40</v>
      </c>
      <c r="J190" s="48" t="s">
        <v>338</v>
      </c>
      <c r="K190" s="43">
        <v>22</v>
      </c>
      <c r="L190" s="45" t="s">
        <v>15</v>
      </c>
    </row>
    <row r="191" spans="1:12" ht="15.75" customHeight="1" x14ac:dyDescent="0.3">
      <c r="A191" s="21">
        <v>3</v>
      </c>
      <c r="B191" s="25">
        <v>45733</v>
      </c>
      <c r="C191" s="29" t="s">
        <v>616</v>
      </c>
      <c r="D191" s="36">
        <v>1</v>
      </c>
      <c r="E191" s="41" t="s">
        <v>20</v>
      </c>
      <c r="F191" s="42">
        <v>20</v>
      </c>
      <c r="G191" s="9">
        <v>20</v>
      </c>
      <c r="H191" s="45">
        <v>30</v>
      </c>
      <c r="I191" s="9">
        <v>30</v>
      </c>
      <c r="J191" s="48" t="s">
        <v>338</v>
      </c>
      <c r="K191" s="43">
        <v>10</v>
      </c>
      <c r="L191" s="45" t="s">
        <v>15</v>
      </c>
    </row>
    <row r="192" spans="1:12" ht="15.75" customHeight="1" x14ac:dyDescent="0.3">
      <c r="A192" s="21">
        <v>3</v>
      </c>
      <c r="B192" s="25">
        <v>45734</v>
      </c>
      <c r="C192" s="29" t="s">
        <v>315</v>
      </c>
      <c r="D192" s="36">
        <v>2</v>
      </c>
      <c r="E192" s="41" t="s">
        <v>51</v>
      </c>
      <c r="F192" s="42">
        <v>7.0000000000000007E-2</v>
      </c>
      <c r="G192" s="9">
        <v>0.14000000000000001</v>
      </c>
      <c r="H192" s="45">
        <v>1</v>
      </c>
      <c r="I192" s="9">
        <v>2</v>
      </c>
      <c r="J192" s="48" t="s">
        <v>338</v>
      </c>
      <c r="K192" s="43">
        <v>1.8599999999999999</v>
      </c>
      <c r="L192" s="45" t="s">
        <v>15</v>
      </c>
    </row>
    <row r="193" spans="1:12" ht="15.75" customHeight="1" x14ac:dyDescent="0.3">
      <c r="A193" s="21">
        <v>3</v>
      </c>
      <c r="B193" s="25">
        <v>45734</v>
      </c>
      <c r="C193" s="29" t="s">
        <v>267</v>
      </c>
      <c r="D193" s="36">
        <v>1</v>
      </c>
      <c r="E193" s="41" t="s">
        <v>610</v>
      </c>
      <c r="F193" s="42">
        <v>0</v>
      </c>
      <c r="G193" s="9">
        <v>0</v>
      </c>
      <c r="H193" s="45">
        <v>27.67</v>
      </c>
      <c r="I193" s="9">
        <v>27.67</v>
      </c>
      <c r="J193" s="48" t="s">
        <v>338</v>
      </c>
      <c r="K193" s="43">
        <v>27.67</v>
      </c>
      <c r="L193" s="45" t="s">
        <v>15</v>
      </c>
    </row>
    <row r="194" spans="1:12" ht="15.75" customHeight="1" x14ac:dyDescent="0.3">
      <c r="A194" s="21">
        <v>3</v>
      </c>
      <c r="B194" s="25">
        <v>45735</v>
      </c>
      <c r="C194" s="29" t="s">
        <v>326</v>
      </c>
      <c r="D194" s="36">
        <v>2</v>
      </c>
      <c r="E194" s="41" t="s">
        <v>20</v>
      </c>
      <c r="F194" s="42">
        <v>0.05</v>
      </c>
      <c r="G194" s="9">
        <v>0.1</v>
      </c>
      <c r="H194" s="45">
        <v>0.5</v>
      </c>
      <c r="I194" s="9">
        <v>1</v>
      </c>
      <c r="J194" s="48" t="s">
        <v>338</v>
      </c>
      <c r="K194" s="43">
        <v>0.9</v>
      </c>
      <c r="L194" s="45" t="s">
        <v>15</v>
      </c>
    </row>
    <row r="195" spans="1:12" ht="15.75" customHeight="1" x14ac:dyDescent="0.3">
      <c r="A195" s="21">
        <v>3</v>
      </c>
      <c r="B195" s="25">
        <v>45736</v>
      </c>
      <c r="C195" s="29" t="s">
        <v>313</v>
      </c>
      <c r="D195" s="36">
        <v>1</v>
      </c>
      <c r="E195" s="41" t="s">
        <v>617</v>
      </c>
      <c r="F195" s="42">
        <v>3</v>
      </c>
      <c r="G195" s="9">
        <v>3</v>
      </c>
      <c r="H195" s="45">
        <v>10</v>
      </c>
      <c r="I195" s="9">
        <v>10</v>
      </c>
      <c r="J195" s="48" t="s">
        <v>338</v>
      </c>
      <c r="K195" s="43">
        <v>7</v>
      </c>
      <c r="L195" s="45" t="s">
        <v>15</v>
      </c>
    </row>
    <row r="196" spans="1:12" ht="15.75" customHeight="1" x14ac:dyDescent="0.3">
      <c r="A196" s="21">
        <v>3</v>
      </c>
      <c r="B196" s="25">
        <v>45736</v>
      </c>
      <c r="C196" s="29" t="s">
        <v>326</v>
      </c>
      <c r="D196" s="36">
        <v>2</v>
      </c>
      <c r="E196" s="41" t="s">
        <v>20</v>
      </c>
      <c r="F196" s="42">
        <v>0.05</v>
      </c>
      <c r="G196" s="9">
        <v>0.1</v>
      </c>
      <c r="H196" s="45">
        <v>0.5</v>
      </c>
      <c r="I196" s="9">
        <v>1</v>
      </c>
      <c r="J196" s="48" t="s">
        <v>338</v>
      </c>
      <c r="K196" s="43">
        <v>0.9</v>
      </c>
      <c r="L196" s="45" t="s">
        <v>15</v>
      </c>
    </row>
    <row r="197" spans="1:12" ht="15.75" customHeight="1" x14ac:dyDescent="0.3">
      <c r="A197" s="21">
        <v>3</v>
      </c>
      <c r="B197" s="25">
        <v>45736</v>
      </c>
      <c r="C197" s="29" t="s">
        <v>246</v>
      </c>
      <c r="D197" s="36">
        <v>1</v>
      </c>
      <c r="E197" s="41" t="s">
        <v>617</v>
      </c>
      <c r="F197" s="42">
        <v>3.5</v>
      </c>
      <c r="G197" s="9">
        <v>3.5</v>
      </c>
      <c r="H197" s="45">
        <v>10</v>
      </c>
      <c r="I197" s="9">
        <v>10</v>
      </c>
      <c r="J197" s="48" t="s">
        <v>338</v>
      </c>
      <c r="K197" s="43">
        <v>6.5</v>
      </c>
      <c r="L197" s="45" t="s">
        <v>15</v>
      </c>
    </row>
    <row r="198" spans="1:12" ht="15.75" customHeight="1" x14ac:dyDescent="0.3">
      <c r="A198" s="21">
        <v>3</v>
      </c>
      <c r="B198" s="25">
        <v>45736</v>
      </c>
      <c r="C198" s="29" t="s">
        <v>618</v>
      </c>
      <c r="D198" s="36">
        <v>1</v>
      </c>
      <c r="E198" s="41" t="s">
        <v>293</v>
      </c>
      <c r="F198" s="42">
        <v>18.48</v>
      </c>
      <c r="G198" s="9">
        <v>18.48</v>
      </c>
      <c r="H198" s="45">
        <v>30</v>
      </c>
      <c r="I198" s="9">
        <v>30</v>
      </c>
      <c r="J198" s="48" t="s">
        <v>338</v>
      </c>
      <c r="K198" s="43">
        <v>11.52</v>
      </c>
      <c r="L198" s="45" t="s">
        <v>15</v>
      </c>
    </row>
    <row r="199" spans="1:12" ht="15.75" customHeight="1" x14ac:dyDescent="0.3">
      <c r="A199" s="21">
        <v>3</v>
      </c>
      <c r="B199" s="25">
        <v>45736</v>
      </c>
      <c r="C199" s="29" t="s">
        <v>226</v>
      </c>
      <c r="D199" s="36">
        <v>1</v>
      </c>
      <c r="E199" s="41" t="s">
        <v>293</v>
      </c>
      <c r="F199" s="42">
        <v>5</v>
      </c>
      <c r="G199" s="9">
        <v>5</v>
      </c>
      <c r="H199" s="45">
        <v>10</v>
      </c>
      <c r="I199" s="9">
        <v>10</v>
      </c>
      <c r="J199" s="48" t="s">
        <v>338</v>
      </c>
      <c r="K199" s="43">
        <v>5</v>
      </c>
      <c r="L199" s="45" t="s">
        <v>15</v>
      </c>
    </row>
    <row r="200" spans="1:12" ht="15.75" customHeight="1" x14ac:dyDescent="0.3">
      <c r="A200" s="21">
        <v>3</v>
      </c>
      <c r="B200" s="25">
        <v>45736</v>
      </c>
      <c r="C200" s="29" t="s">
        <v>619</v>
      </c>
      <c r="D200" s="36">
        <v>1</v>
      </c>
      <c r="E200" s="41" t="s">
        <v>293</v>
      </c>
      <c r="F200" s="42">
        <v>11.5</v>
      </c>
      <c r="G200" s="9">
        <v>11.5</v>
      </c>
      <c r="H200" s="45">
        <v>15</v>
      </c>
      <c r="I200" s="9">
        <v>15</v>
      </c>
      <c r="J200" s="48" t="s">
        <v>338</v>
      </c>
      <c r="K200" s="43">
        <v>3.5</v>
      </c>
      <c r="L200" s="45" t="s">
        <v>15</v>
      </c>
    </row>
    <row r="201" spans="1:12" ht="15.75" customHeight="1" x14ac:dyDescent="0.3">
      <c r="A201" s="21">
        <v>3</v>
      </c>
      <c r="B201" s="25">
        <v>45736</v>
      </c>
      <c r="C201" s="29" t="s">
        <v>417</v>
      </c>
      <c r="D201" s="36">
        <v>1</v>
      </c>
      <c r="E201" s="41" t="s">
        <v>620</v>
      </c>
      <c r="F201" s="42">
        <v>17</v>
      </c>
      <c r="G201" s="9">
        <v>17</v>
      </c>
      <c r="H201" s="45">
        <v>35</v>
      </c>
      <c r="I201" s="9">
        <v>35</v>
      </c>
      <c r="J201" s="48" t="s">
        <v>338</v>
      </c>
      <c r="K201" s="43">
        <v>18</v>
      </c>
      <c r="L201" s="45" t="s">
        <v>15</v>
      </c>
    </row>
    <row r="202" spans="1:12" ht="15.75" customHeight="1" x14ac:dyDescent="0.3">
      <c r="A202" s="21">
        <v>3</v>
      </c>
      <c r="B202" s="25">
        <v>45736</v>
      </c>
      <c r="C202" s="29" t="s">
        <v>621</v>
      </c>
      <c r="D202" s="36">
        <v>1</v>
      </c>
      <c r="E202" s="41" t="s">
        <v>620</v>
      </c>
      <c r="F202" s="42">
        <v>23</v>
      </c>
      <c r="G202" s="9">
        <v>23</v>
      </c>
      <c r="H202" s="45">
        <v>35</v>
      </c>
      <c r="I202" s="9">
        <v>35</v>
      </c>
      <c r="J202" s="48" t="s">
        <v>338</v>
      </c>
      <c r="K202" s="43">
        <v>12</v>
      </c>
      <c r="L202" s="45" t="s">
        <v>15</v>
      </c>
    </row>
    <row r="203" spans="1:12" ht="15.75" customHeight="1" x14ac:dyDescent="0.3">
      <c r="A203" s="21">
        <v>3</v>
      </c>
      <c r="B203" s="25">
        <v>45736</v>
      </c>
      <c r="C203" s="29" t="s">
        <v>622</v>
      </c>
      <c r="D203" s="36">
        <v>1</v>
      </c>
      <c r="E203" s="41" t="s">
        <v>620</v>
      </c>
      <c r="F203" s="42">
        <v>12</v>
      </c>
      <c r="G203" s="9">
        <v>12</v>
      </c>
      <c r="H203" s="45">
        <v>25</v>
      </c>
      <c r="I203" s="9">
        <v>25</v>
      </c>
      <c r="J203" s="48" t="s">
        <v>338</v>
      </c>
      <c r="K203" s="43">
        <v>13</v>
      </c>
      <c r="L203" s="45" t="s">
        <v>15</v>
      </c>
    </row>
    <row r="204" spans="1:12" ht="15.75" customHeight="1" x14ac:dyDescent="0.3">
      <c r="A204" s="21">
        <v>3</v>
      </c>
      <c r="B204" s="25">
        <v>45737</v>
      </c>
      <c r="C204" s="29" t="s">
        <v>315</v>
      </c>
      <c r="D204" s="36">
        <v>1</v>
      </c>
      <c r="E204" s="41" t="s">
        <v>535</v>
      </c>
      <c r="F204" s="42">
        <v>7.0000000000000007E-2</v>
      </c>
      <c r="G204" s="9">
        <v>7.0000000000000007E-2</v>
      </c>
      <c r="H204" s="45">
        <v>1</v>
      </c>
      <c r="I204" s="9">
        <v>1</v>
      </c>
      <c r="J204" s="48" t="s">
        <v>338</v>
      </c>
      <c r="K204" s="43">
        <v>0.92999999999999994</v>
      </c>
      <c r="L204" s="45" t="s">
        <v>15</v>
      </c>
    </row>
    <row r="205" spans="1:12" ht="15.75" customHeight="1" x14ac:dyDescent="0.3">
      <c r="A205" s="21">
        <v>3</v>
      </c>
      <c r="B205" s="25">
        <v>45738</v>
      </c>
      <c r="C205" s="29" t="s">
        <v>623</v>
      </c>
      <c r="D205" s="36">
        <v>2</v>
      </c>
      <c r="E205" s="41" t="s">
        <v>620</v>
      </c>
      <c r="F205" s="42">
        <v>50</v>
      </c>
      <c r="G205" s="9">
        <v>100</v>
      </c>
      <c r="H205" s="45">
        <v>100</v>
      </c>
      <c r="I205" s="9">
        <v>200</v>
      </c>
      <c r="J205" s="48" t="s">
        <v>338</v>
      </c>
      <c r="K205" s="43">
        <v>100</v>
      </c>
      <c r="L205" s="45" t="s">
        <v>15</v>
      </c>
    </row>
    <row r="206" spans="1:12" ht="15.75" customHeight="1" x14ac:dyDescent="0.3">
      <c r="A206" s="21">
        <v>3</v>
      </c>
      <c r="B206" s="25">
        <v>45738</v>
      </c>
      <c r="C206" s="29" t="s">
        <v>560</v>
      </c>
      <c r="D206" s="36">
        <v>1</v>
      </c>
      <c r="E206" s="41" t="s">
        <v>624</v>
      </c>
      <c r="F206" s="42">
        <v>32</v>
      </c>
      <c r="G206" s="9">
        <v>32</v>
      </c>
      <c r="H206" s="45">
        <v>49</v>
      </c>
      <c r="I206" s="9">
        <v>49</v>
      </c>
      <c r="J206" s="48" t="s">
        <v>338</v>
      </c>
      <c r="K206" s="43">
        <v>17</v>
      </c>
      <c r="L206" s="45" t="s">
        <v>15</v>
      </c>
    </row>
    <row r="207" spans="1:12" ht="15.75" customHeight="1" x14ac:dyDescent="0.3">
      <c r="A207" s="21">
        <v>3</v>
      </c>
      <c r="B207" s="25">
        <v>45740</v>
      </c>
      <c r="C207" s="29" t="s">
        <v>326</v>
      </c>
      <c r="D207" s="36">
        <v>2</v>
      </c>
      <c r="E207" s="41" t="s">
        <v>20</v>
      </c>
      <c r="F207" s="42">
        <v>0.05</v>
      </c>
      <c r="G207" s="9">
        <v>0.1</v>
      </c>
      <c r="H207" s="45">
        <v>0.5</v>
      </c>
      <c r="I207" s="9">
        <v>1</v>
      </c>
      <c r="J207" s="48" t="s">
        <v>338</v>
      </c>
      <c r="K207" s="43">
        <v>0.9</v>
      </c>
      <c r="L207" s="45" t="s">
        <v>15</v>
      </c>
    </row>
    <row r="208" spans="1:12" ht="15.75" customHeight="1" x14ac:dyDescent="0.3">
      <c r="A208" s="21">
        <v>3</v>
      </c>
      <c r="B208" s="25">
        <v>45740</v>
      </c>
      <c r="C208" s="29" t="s">
        <v>315</v>
      </c>
      <c r="D208" s="36">
        <v>1</v>
      </c>
      <c r="E208" s="41" t="s">
        <v>20</v>
      </c>
      <c r="F208" s="42">
        <v>7.0000000000000007E-2</v>
      </c>
      <c r="G208" s="9">
        <v>7.0000000000000007E-2</v>
      </c>
      <c r="H208" s="45">
        <v>1</v>
      </c>
      <c r="I208" s="9">
        <v>1</v>
      </c>
      <c r="J208" s="48" t="s">
        <v>338</v>
      </c>
      <c r="K208" s="43">
        <v>0.92999999999999994</v>
      </c>
      <c r="L208" s="45" t="s">
        <v>15</v>
      </c>
    </row>
    <row r="209" spans="1:12" ht="15.75" customHeight="1" x14ac:dyDescent="0.3">
      <c r="A209" s="21">
        <v>3</v>
      </c>
      <c r="B209" s="25">
        <v>45741</v>
      </c>
      <c r="C209" s="29" t="s">
        <v>315</v>
      </c>
      <c r="D209" s="36">
        <v>2</v>
      </c>
      <c r="E209" s="41" t="s">
        <v>535</v>
      </c>
      <c r="F209" s="42">
        <v>7.0000000000000007E-2</v>
      </c>
      <c r="G209" s="9">
        <v>0.14000000000000001</v>
      </c>
      <c r="H209" s="45">
        <v>1</v>
      </c>
      <c r="I209" s="9">
        <v>2</v>
      </c>
      <c r="J209" s="48" t="s">
        <v>338</v>
      </c>
      <c r="K209" s="43">
        <v>1.8599999999999999</v>
      </c>
      <c r="L209" s="45" t="s">
        <v>15</v>
      </c>
    </row>
    <row r="210" spans="1:12" ht="15.75" customHeight="1" x14ac:dyDescent="0.3">
      <c r="A210" s="21">
        <v>3</v>
      </c>
      <c r="B210" s="25">
        <v>45741</v>
      </c>
      <c r="C210" s="29" t="s">
        <v>389</v>
      </c>
      <c r="D210" s="36">
        <v>1</v>
      </c>
      <c r="E210" s="41" t="s">
        <v>535</v>
      </c>
      <c r="F210" s="42">
        <v>0.39549999999999996</v>
      </c>
      <c r="G210" s="9">
        <v>0.39549999999999996</v>
      </c>
      <c r="H210" s="45">
        <v>2</v>
      </c>
      <c r="I210" s="9">
        <v>2</v>
      </c>
      <c r="J210" s="48" t="s">
        <v>338</v>
      </c>
      <c r="K210" s="43">
        <v>1.6045</v>
      </c>
      <c r="L210" s="45" t="s">
        <v>15</v>
      </c>
    </row>
    <row r="211" spans="1:12" ht="15.75" customHeight="1" x14ac:dyDescent="0.3">
      <c r="A211" s="21">
        <v>3</v>
      </c>
      <c r="B211" s="25">
        <v>45742</v>
      </c>
      <c r="C211" s="29" t="s">
        <v>315</v>
      </c>
      <c r="D211" s="36">
        <v>6</v>
      </c>
      <c r="E211" s="41" t="s">
        <v>20</v>
      </c>
      <c r="F211" s="42">
        <v>7.0000000000000007E-2</v>
      </c>
      <c r="G211" s="9">
        <v>0.42000000000000004</v>
      </c>
      <c r="H211" s="45">
        <v>1</v>
      </c>
      <c r="I211" s="9">
        <v>6</v>
      </c>
      <c r="J211" s="48" t="s">
        <v>338</v>
      </c>
      <c r="K211" s="43">
        <v>5.58</v>
      </c>
      <c r="L211" s="45" t="s">
        <v>15</v>
      </c>
    </row>
    <row r="212" spans="1:12" ht="15.75" customHeight="1" x14ac:dyDescent="0.3">
      <c r="A212" s="21">
        <v>3</v>
      </c>
      <c r="B212" s="25">
        <v>45743</v>
      </c>
      <c r="C212" s="29" t="s">
        <v>315</v>
      </c>
      <c r="D212" s="36">
        <v>5</v>
      </c>
      <c r="E212" s="41" t="s">
        <v>20</v>
      </c>
      <c r="F212" s="42">
        <v>7.0000000000000007E-2</v>
      </c>
      <c r="G212" s="9">
        <v>0.35000000000000003</v>
      </c>
      <c r="H212" s="45">
        <v>1</v>
      </c>
      <c r="I212" s="9">
        <v>5</v>
      </c>
      <c r="J212" s="48" t="s">
        <v>338</v>
      </c>
      <c r="K212" s="43">
        <v>4.6500000000000004</v>
      </c>
      <c r="L212" s="45" t="s">
        <v>15</v>
      </c>
    </row>
    <row r="213" spans="1:12" ht="15.75" customHeight="1" x14ac:dyDescent="0.3">
      <c r="A213" s="21">
        <v>3</v>
      </c>
      <c r="B213" s="25">
        <v>45743</v>
      </c>
      <c r="C213" s="29" t="s">
        <v>315</v>
      </c>
      <c r="D213" s="36">
        <v>1</v>
      </c>
      <c r="E213" s="41" t="s">
        <v>625</v>
      </c>
      <c r="F213" s="42">
        <v>7.0000000000000007E-2</v>
      </c>
      <c r="G213" s="9">
        <v>7.0000000000000007E-2</v>
      </c>
      <c r="H213" s="45">
        <v>1</v>
      </c>
      <c r="I213" s="9">
        <v>1</v>
      </c>
      <c r="J213" s="48" t="s">
        <v>338</v>
      </c>
      <c r="K213" s="43">
        <v>0.92999999999999994</v>
      </c>
      <c r="L213" s="45" t="s">
        <v>15</v>
      </c>
    </row>
    <row r="214" spans="1:12" ht="15.75" customHeight="1" x14ac:dyDescent="0.3">
      <c r="A214" s="21">
        <v>3</v>
      </c>
      <c r="B214" s="25">
        <v>45744</v>
      </c>
      <c r="C214" s="29" t="s">
        <v>626</v>
      </c>
      <c r="D214" s="36">
        <v>1</v>
      </c>
      <c r="E214" s="41" t="s">
        <v>512</v>
      </c>
      <c r="F214" s="42">
        <v>66.23</v>
      </c>
      <c r="G214" s="9">
        <v>66.23</v>
      </c>
      <c r="H214" s="45">
        <v>100</v>
      </c>
      <c r="I214" s="9">
        <v>100</v>
      </c>
      <c r="J214" s="48" t="s">
        <v>338</v>
      </c>
      <c r="K214" s="43">
        <v>33.769999999999996</v>
      </c>
      <c r="L214" s="45" t="s">
        <v>15</v>
      </c>
    </row>
    <row r="215" spans="1:12" ht="15.75" customHeight="1" x14ac:dyDescent="0.3">
      <c r="A215" s="21">
        <v>3</v>
      </c>
      <c r="B215" s="25">
        <v>45744</v>
      </c>
      <c r="C215" s="29" t="s">
        <v>326</v>
      </c>
      <c r="D215" s="36">
        <v>1</v>
      </c>
      <c r="E215" s="41" t="s">
        <v>20</v>
      </c>
      <c r="F215" s="42">
        <v>0.05</v>
      </c>
      <c r="G215" s="9">
        <v>0.05</v>
      </c>
      <c r="H215" s="45">
        <v>0.5</v>
      </c>
      <c r="I215" s="9">
        <v>0.5</v>
      </c>
      <c r="J215" s="48" t="s">
        <v>338</v>
      </c>
      <c r="K215" s="43">
        <v>0.45</v>
      </c>
      <c r="L215" s="45" t="s">
        <v>15</v>
      </c>
    </row>
    <row r="216" spans="1:12" ht="15.75" customHeight="1" x14ac:dyDescent="0.3">
      <c r="A216" s="21">
        <v>3</v>
      </c>
      <c r="B216" s="25">
        <v>45744</v>
      </c>
      <c r="C216" s="29" t="s">
        <v>326</v>
      </c>
      <c r="D216" s="36">
        <v>1</v>
      </c>
      <c r="E216" s="41" t="s">
        <v>627</v>
      </c>
      <c r="F216" s="42">
        <v>0.05</v>
      </c>
      <c r="G216" s="9">
        <v>0.05</v>
      </c>
      <c r="H216" s="45">
        <v>0.5</v>
      </c>
      <c r="I216" s="9">
        <v>0.5</v>
      </c>
      <c r="J216" s="48" t="s">
        <v>338</v>
      </c>
      <c r="K216" s="43">
        <v>0.45</v>
      </c>
      <c r="L216" s="45" t="s">
        <v>15</v>
      </c>
    </row>
    <row r="217" spans="1:12" ht="15.75" customHeight="1" x14ac:dyDescent="0.3">
      <c r="A217" s="21">
        <v>3</v>
      </c>
      <c r="B217" s="25">
        <v>45744</v>
      </c>
      <c r="C217" s="29" t="s">
        <v>491</v>
      </c>
      <c r="D217" s="36">
        <v>1</v>
      </c>
      <c r="E217" s="41" t="s">
        <v>627</v>
      </c>
      <c r="F217" s="42">
        <v>0.8</v>
      </c>
      <c r="G217" s="9">
        <v>0.8</v>
      </c>
      <c r="H217" s="45">
        <v>4</v>
      </c>
      <c r="I217" s="9">
        <v>4</v>
      </c>
      <c r="J217" s="48" t="s">
        <v>338</v>
      </c>
      <c r="K217" s="43">
        <v>3.2</v>
      </c>
      <c r="L217" s="45" t="s">
        <v>15</v>
      </c>
    </row>
    <row r="218" spans="1:12" ht="15.75" customHeight="1" x14ac:dyDescent="0.3">
      <c r="A218" s="21">
        <v>3</v>
      </c>
      <c r="B218" s="25">
        <v>45744</v>
      </c>
      <c r="C218" s="29" t="s">
        <v>267</v>
      </c>
      <c r="D218" s="36">
        <v>1</v>
      </c>
      <c r="E218" s="41" t="s">
        <v>20</v>
      </c>
      <c r="F218" s="42">
        <v>0</v>
      </c>
      <c r="G218" s="9">
        <v>0</v>
      </c>
      <c r="H218" s="45">
        <v>10</v>
      </c>
      <c r="I218" s="9">
        <v>10</v>
      </c>
      <c r="J218" s="48" t="s">
        <v>338</v>
      </c>
      <c r="K218" s="43">
        <v>10</v>
      </c>
      <c r="L218" s="45" t="s">
        <v>15</v>
      </c>
    </row>
    <row r="219" spans="1:12" ht="15.75" customHeight="1" x14ac:dyDescent="0.3">
      <c r="A219" s="21">
        <v>3</v>
      </c>
      <c r="B219" s="25">
        <v>45744</v>
      </c>
      <c r="C219" s="29" t="s">
        <v>628</v>
      </c>
      <c r="D219" s="36">
        <v>1</v>
      </c>
      <c r="E219" s="41" t="s">
        <v>20</v>
      </c>
      <c r="F219" s="42">
        <v>15.9</v>
      </c>
      <c r="G219" s="9">
        <v>15.9</v>
      </c>
      <c r="H219" s="45">
        <v>30</v>
      </c>
      <c r="I219" s="9">
        <v>30</v>
      </c>
      <c r="J219" s="48" t="s">
        <v>338</v>
      </c>
      <c r="K219" s="43">
        <v>14.1</v>
      </c>
      <c r="L219" s="45" t="s">
        <v>15</v>
      </c>
    </row>
    <row r="220" spans="1:12" ht="15.75" customHeight="1" x14ac:dyDescent="0.3">
      <c r="A220" s="21">
        <v>3</v>
      </c>
      <c r="B220" s="25">
        <v>45744</v>
      </c>
      <c r="C220" s="29" t="s">
        <v>378</v>
      </c>
      <c r="D220" s="36">
        <v>1</v>
      </c>
      <c r="E220" s="41" t="s">
        <v>20</v>
      </c>
      <c r="F220" s="42">
        <v>18</v>
      </c>
      <c r="G220" s="9">
        <v>18</v>
      </c>
      <c r="H220" s="45">
        <v>25</v>
      </c>
      <c r="I220" s="9">
        <v>25</v>
      </c>
      <c r="J220" s="48" t="s">
        <v>338</v>
      </c>
      <c r="K220" s="43">
        <v>7</v>
      </c>
      <c r="L220" s="45" t="s">
        <v>15</v>
      </c>
    </row>
    <row r="221" spans="1:12" ht="15.75" customHeight="1" x14ac:dyDescent="0.3">
      <c r="A221" s="21">
        <v>3</v>
      </c>
      <c r="B221" s="25">
        <v>45744</v>
      </c>
      <c r="C221" s="29" t="s">
        <v>629</v>
      </c>
      <c r="D221" s="36">
        <v>2</v>
      </c>
      <c r="E221" s="41" t="s">
        <v>630</v>
      </c>
      <c r="F221" s="42" t="s">
        <v>72</v>
      </c>
      <c r="G221" s="9">
        <v>0</v>
      </c>
      <c r="H221" s="45">
        <v>5</v>
      </c>
      <c r="I221" s="9">
        <v>10</v>
      </c>
      <c r="J221" s="48" t="s">
        <v>338</v>
      </c>
      <c r="K221" s="43">
        <v>10</v>
      </c>
      <c r="L221" s="45" t="s">
        <v>15</v>
      </c>
    </row>
    <row r="222" spans="1:12" ht="15.75" customHeight="1" x14ac:dyDescent="0.3">
      <c r="A222" s="21">
        <v>3</v>
      </c>
      <c r="B222" s="25">
        <v>45745</v>
      </c>
      <c r="C222" s="29" t="s">
        <v>631</v>
      </c>
      <c r="D222" s="36">
        <v>1</v>
      </c>
      <c r="E222" s="41" t="s">
        <v>20</v>
      </c>
      <c r="F222" s="42" t="s">
        <v>72</v>
      </c>
      <c r="G222" s="9">
        <v>0</v>
      </c>
      <c r="H222" s="45">
        <v>10</v>
      </c>
      <c r="I222" s="9">
        <v>10</v>
      </c>
      <c r="J222" s="48" t="s">
        <v>338</v>
      </c>
      <c r="K222" s="43">
        <v>10</v>
      </c>
      <c r="L222" s="45" t="s">
        <v>15</v>
      </c>
    </row>
    <row r="223" spans="1:12" ht="15.75" customHeight="1" x14ac:dyDescent="0.3">
      <c r="A223" s="21">
        <v>3</v>
      </c>
      <c r="B223" s="25">
        <v>45745</v>
      </c>
      <c r="C223" s="29" t="s">
        <v>267</v>
      </c>
      <c r="D223" s="36">
        <v>1</v>
      </c>
      <c r="E223" s="41" t="s">
        <v>632</v>
      </c>
      <c r="F223" s="42">
        <v>0</v>
      </c>
      <c r="G223" s="9">
        <v>0</v>
      </c>
      <c r="H223" s="45">
        <v>15</v>
      </c>
      <c r="I223" s="9">
        <v>15</v>
      </c>
      <c r="J223" s="48" t="s">
        <v>338</v>
      </c>
      <c r="K223" s="43">
        <v>15</v>
      </c>
      <c r="L223" s="45" t="s">
        <v>15</v>
      </c>
    </row>
    <row r="224" spans="1:12" ht="15.75" customHeight="1" x14ac:dyDescent="0.3">
      <c r="A224" s="21">
        <v>3</v>
      </c>
      <c r="B224" s="25">
        <v>45745</v>
      </c>
      <c r="C224" s="29" t="s">
        <v>389</v>
      </c>
      <c r="D224" s="36">
        <v>1</v>
      </c>
      <c r="E224" s="41" t="s">
        <v>632</v>
      </c>
      <c r="F224" s="42">
        <v>0.39549999999999996</v>
      </c>
      <c r="G224" s="9">
        <v>0.39549999999999996</v>
      </c>
      <c r="H224" s="45">
        <v>2</v>
      </c>
      <c r="I224" s="9">
        <v>2</v>
      </c>
      <c r="J224" s="48" t="s">
        <v>338</v>
      </c>
      <c r="K224" s="43">
        <v>1.6045</v>
      </c>
      <c r="L224" s="45" t="s">
        <v>15</v>
      </c>
    </row>
    <row r="225" spans="1:12" ht="15.75" customHeight="1" x14ac:dyDescent="0.3">
      <c r="A225" s="21">
        <v>3</v>
      </c>
      <c r="B225" s="25">
        <v>45745</v>
      </c>
      <c r="C225" s="29" t="s">
        <v>315</v>
      </c>
      <c r="D225" s="36">
        <v>3</v>
      </c>
      <c r="E225" s="41" t="s">
        <v>632</v>
      </c>
      <c r="F225" s="42">
        <v>7.0000000000000007E-2</v>
      </c>
      <c r="G225" s="9">
        <v>0.21000000000000002</v>
      </c>
      <c r="H225" s="45">
        <v>1</v>
      </c>
      <c r="I225" s="9">
        <v>3</v>
      </c>
      <c r="J225" s="48" t="s">
        <v>338</v>
      </c>
      <c r="K225" s="43">
        <v>2.79</v>
      </c>
      <c r="L225" s="45" t="s">
        <v>15</v>
      </c>
    </row>
    <row r="226" spans="1:12" ht="17.25" customHeight="1" x14ac:dyDescent="0.3">
      <c r="A226" s="21">
        <v>3</v>
      </c>
      <c r="B226" s="25">
        <v>45745</v>
      </c>
      <c r="C226" s="29" t="s">
        <v>609</v>
      </c>
      <c r="D226" s="36">
        <v>1</v>
      </c>
      <c r="E226" s="41" t="s">
        <v>20</v>
      </c>
      <c r="F226" s="42">
        <v>3.5</v>
      </c>
      <c r="G226" s="9">
        <v>3.5</v>
      </c>
      <c r="H226" s="45">
        <v>10</v>
      </c>
      <c r="I226" s="9">
        <v>10</v>
      </c>
      <c r="J226" s="48" t="s">
        <v>338</v>
      </c>
      <c r="K226" s="43">
        <v>6.5</v>
      </c>
      <c r="L226" s="45" t="s">
        <v>15</v>
      </c>
    </row>
    <row r="227" spans="1:12" ht="17.25" customHeight="1" x14ac:dyDescent="0.3">
      <c r="A227" s="21">
        <v>3</v>
      </c>
      <c r="B227" s="25">
        <v>45745</v>
      </c>
      <c r="C227" s="29" t="s">
        <v>315</v>
      </c>
      <c r="D227" s="36">
        <v>2</v>
      </c>
      <c r="E227" s="41" t="s">
        <v>20</v>
      </c>
      <c r="F227" s="42">
        <v>7.0000000000000007E-2</v>
      </c>
      <c r="G227" s="9">
        <v>0.14000000000000001</v>
      </c>
      <c r="H227" s="45">
        <v>1</v>
      </c>
      <c r="I227" s="9">
        <v>2</v>
      </c>
      <c r="J227" s="48" t="s">
        <v>338</v>
      </c>
      <c r="K227" s="43">
        <v>1.8599999999999999</v>
      </c>
      <c r="L227" s="45" t="s">
        <v>15</v>
      </c>
    </row>
    <row r="228" spans="1:12" ht="17.25" customHeight="1" x14ac:dyDescent="0.3">
      <c r="A228" s="21">
        <v>3</v>
      </c>
      <c r="B228" s="25">
        <v>45747</v>
      </c>
      <c r="C228" s="29" t="s">
        <v>326</v>
      </c>
      <c r="D228" s="36">
        <v>1</v>
      </c>
      <c r="E228" s="41" t="s">
        <v>20</v>
      </c>
      <c r="F228" s="42">
        <v>0.05</v>
      </c>
      <c r="G228" s="9">
        <v>0.05</v>
      </c>
      <c r="H228" s="45">
        <v>0.5</v>
      </c>
      <c r="I228" s="9">
        <v>0.5</v>
      </c>
      <c r="J228" s="48" t="s">
        <v>338</v>
      </c>
      <c r="K228" s="43">
        <v>0.45</v>
      </c>
      <c r="L228" s="45" t="s">
        <v>15</v>
      </c>
    </row>
    <row r="229" spans="1:12" ht="17.25" customHeight="1" x14ac:dyDescent="0.3">
      <c r="A229" s="21">
        <v>3</v>
      </c>
      <c r="B229" s="25">
        <v>45747</v>
      </c>
      <c r="C229" s="29" t="s">
        <v>313</v>
      </c>
      <c r="D229" s="36">
        <v>1</v>
      </c>
      <c r="E229" s="41" t="s">
        <v>20</v>
      </c>
      <c r="F229" s="42">
        <v>3</v>
      </c>
      <c r="G229" s="9">
        <v>3</v>
      </c>
      <c r="H229" s="45">
        <v>15</v>
      </c>
      <c r="I229" s="9">
        <v>15</v>
      </c>
      <c r="J229" s="48" t="s">
        <v>338</v>
      </c>
      <c r="K229" s="43">
        <v>12</v>
      </c>
      <c r="L229" s="45" t="s">
        <v>15</v>
      </c>
    </row>
    <row r="230" spans="1:12" ht="17.25" customHeight="1" x14ac:dyDescent="0.3">
      <c r="A230" s="21">
        <v>3</v>
      </c>
      <c r="B230" s="25">
        <v>45747</v>
      </c>
      <c r="C230" s="29" t="s">
        <v>267</v>
      </c>
      <c r="D230" s="36">
        <v>1</v>
      </c>
      <c r="E230" s="41" t="s">
        <v>20</v>
      </c>
      <c r="F230" s="42">
        <v>0</v>
      </c>
      <c r="G230" s="9">
        <v>0</v>
      </c>
      <c r="H230" s="45">
        <v>10</v>
      </c>
      <c r="I230" s="9">
        <v>10</v>
      </c>
      <c r="J230" s="48" t="s">
        <v>338</v>
      </c>
      <c r="K230" s="43">
        <v>10</v>
      </c>
      <c r="L230" s="45" t="s">
        <v>15</v>
      </c>
    </row>
    <row r="231" spans="1:12" ht="17.25" customHeight="1" x14ac:dyDescent="0.3">
      <c r="A231" s="21">
        <v>3</v>
      </c>
      <c r="B231" s="25">
        <v>45747</v>
      </c>
      <c r="C231" s="29" t="s">
        <v>315</v>
      </c>
      <c r="D231" s="36">
        <v>5</v>
      </c>
      <c r="E231" s="41" t="s">
        <v>20</v>
      </c>
      <c r="F231" s="42">
        <v>7.0000000000000007E-2</v>
      </c>
      <c r="G231" s="9">
        <v>0.35000000000000003</v>
      </c>
      <c r="H231" s="45">
        <v>1</v>
      </c>
      <c r="I231" s="9">
        <v>5</v>
      </c>
      <c r="J231" s="48" t="s">
        <v>338</v>
      </c>
      <c r="K231" s="43">
        <v>4.6500000000000004</v>
      </c>
      <c r="L231" s="45" t="s">
        <v>15</v>
      </c>
    </row>
    <row r="232" spans="1:12" ht="15.75" customHeight="1" x14ac:dyDescent="0.3">
      <c r="A232" s="21">
        <v>3</v>
      </c>
      <c r="B232" s="25">
        <v>45747</v>
      </c>
      <c r="C232" s="29" t="s">
        <v>326</v>
      </c>
      <c r="D232" s="36">
        <v>10</v>
      </c>
      <c r="E232" s="41" t="s">
        <v>20</v>
      </c>
      <c r="F232" s="42">
        <v>0.05</v>
      </c>
      <c r="G232" s="9">
        <v>0.5</v>
      </c>
      <c r="H232" s="45">
        <v>0.5</v>
      </c>
      <c r="I232" s="9">
        <v>5</v>
      </c>
      <c r="J232" s="48" t="s">
        <v>338</v>
      </c>
      <c r="K232" s="43">
        <v>4.5</v>
      </c>
      <c r="L232" s="45" t="s">
        <v>15</v>
      </c>
    </row>
    <row r="233" spans="1:12" ht="15.75" customHeight="1" x14ac:dyDescent="0.3">
      <c r="A233" s="21">
        <v>3</v>
      </c>
      <c r="B233" s="25">
        <v>45747</v>
      </c>
      <c r="C233" s="29" t="s">
        <v>326</v>
      </c>
      <c r="D233" s="36">
        <v>1</v>
      </c>
      <c r="E233" s="41" t="s">
        <v>20</v>
      </c>
      <c r="F233" s="42">
        <v>0.05</v>
      </c>
      <c r="G233" s="9">
        <v>0.05</v>
      </c>
      <c r="H233" s="45">
        <v>0.5</v>
      </c>
      <c r="I233" s="9">
        <v>0.5</v>
      </c>
      <c r="J233" s="48" t="s">
        <v>338</v>
      </c>
      <c r="K233" s="43">
        <v>0.45</v>
      </c>
      <c r="L233" s="45" t="s">
        <v>15</v>
      </c>
    </row>
    <row r="234" spans="1:12" ht="15.75" customHeight="1" x14ac:dyDescent="0.3">
      <c r="A234" s="58">
        <v>3</v>
      </c>
      <c r="B234" s="61">
        <v>45747</v>
      </c>
      <c r="C234" s="64" t="s">
        <v>381</v>
      </c>
      <c r="D234" s="69">
        <v>1</v>
      </c>
      <c r="E234" s="72" t="s">
        <v>20</v>
      </c>
      <c r="F234" s="42">
        <v>0</v>
      </c>
      <c r="G234" s="9">
        <v>0</v>
      </c>
      <c r="H234" s="77">
        <v>130</v>
      </c>
      <c r="I234" s="54">
        <v>130</v>
      </c>
      <c r="J234" s="48" t="s">
        <v>338</v>
      </c>
      <c r="K234" s="43">
        <v>130</v>
      </c>
      <c r="L234" s="77" t="s">
        <v>15</v>
      </c>
    </row>
    <row r="235" spans="1:12" ht="15.75" customHeight="1" collapsed="1" x14ac:dyDescent="0.3">
      <c r="A235" s="21">
        <v>4</v>
      </c>
      <c r="B235" s="25">
        <v>45748</v>
      </c>
      <c r="C235" s="29" t="s">
        <v>633</v>
      </c>
      <c r="D235" s="36">
        <v>1</v>
      </c>
      <c r="E235" s="41" t="s">
        <v>625</v>
      </c>
      <c r="F235" s="42">
        <v>42</v>
      </c>
      <c r="G235" s="9">
        <v>42</v>
      </c>
      <c r="H235" s="45">
        <v>70</v>
      </c>
      <c r="I235" s="9">
        <v>70</v>
      </c>
      <c r="J235" s="80" t="s">
        <v>338</v>
      </c>
      <c r="K235" s="43">
        <v>28</v>
      </c>
      <c r="L235" s="45" t="s">
        <v>15</v>
      </c>
    </row>
    <row r="236" spans="1:12" ht="15.75" customHeight="1" x14ac:dyDescent="0.3">
      <c r="A236" s="21">
        <v>4</v>
      </c>
      <c r="B236" s="25">
        <v>45748</v>
      </c>
      <c r="C236" s="29" t="s">
        <v>552</v>
      </c>
      <c r="D236" s="36">
        <v>1</v>
      </c>
      <c r="E236" s="41" t="s">
        <v>634</v>
      </c>
      <c r="F236" s="42" t="s">
        <v>72</v>
      </c>
      <c r="G236" s="9">
        <v>0</v>
      </c>
      <c r="H236" s="45">
        <v>25</v>
      </c>
      <c r="I236" s="9">
        <v>25</v>
      </c>
      <c r="J236" s="80" t="s">
        <v>338</v>
      </c>
      <c r="K236" s="43">
        <v>25</v>
      </c>
      <c r="L236" s="45" t="s">
        <v>15</v>
      </c>
    </row>
    <row r="237" spans="1:12" ht="15.75" customHeight="1" x14ac:dyDescent="0.3">
      <c r="A237" s="21">
        <v>4</v>
      </c>
      <c r="B237" s="25">
        <v>45748</v>
      </c>
      <c r="C237" s="29" t="s">
        <v>313</v>
      </c>
      <c r="D237" s="36">
        <v>1</v>
      </c>
      <c r="E237" s="41" t="s">
        <v>20</v>
      </c>
      <c r="F237" s="42">
        <v>3</v>
      </c>
      <c r="G237" s="9">
        <v>3</v>
      </c>
      <c r="H237" s="45">
        <v>15</v>
      </c>
      <c r="I237" s="9">
        <v>15</v>
      </c>
      <c r="J237" s="80" t="s">
        <v>338</v>
      </c>
      <c r="K237" s="43">
        <v>12</v>
      </c>
      <c r="L237" s="45" t="s">
        <v>15</v>
      </c>
    </row>
    <row r="238" spans="1:12" ht="15.75" customHeight="1" x14ac:dyDescent="0.3">
      <c r="A238" s="21">
        <v>4</v>
      </c>
      <c r="B238" s="25">
        <v>45748</v>
      </c>
      <c r="C238" s="29" t="s">
        <v>315</v>
      </c>
      <c r="D238" s="36">
        <v>2</v>
      </c>
      <c r="E238" s="41" t="s">
        <v>20</v>
      </c>
      <c r="F238" s="42">
        <v>7.0000000000000007E-2</v>
      </c>
      <c r="G238" s="9">
        <v>0.14000000000000001</v>
      </c>
      <c r="H238" s="45">
        <v>1</v>
      </c>
      <c r="I238" s="9">
        <v>2</v>
      </c>
      <c r="J238" s="80" t="s">
        <v>338</v>
      </c>
      <c r="K238" s="43">
        <v>1.8599999999999999</v>
      </c>
      <c r="L238" s="45" t="s">
        <v>15</v>
      </c>
    </row>
    <row r="239" spans="1:12" ht="15.75" customHeight="1" x14ac:dyDescent="0.3">
      <c r="A239" s="21">
        <v>4</v>
      </c>
      <c r="B239" s="25">
        <v>45750</v>
      </c>
      <c r="C239" s="29" t="s">
        <v>597</v>
      </c>
      <c r="D239" s="36">
        <v>1</v>
      </c>
      <c r="E239" s="41" t="s">
        <v>635</v>
      </c>
      <c r="F239" s="42">
        <v>10</v>
      </c>
      <c r="G239" s="9">
        <v>10</v>
      </c>
      <c r="H239" s="45">
        <v>20</v>
      </c>
      <c r="I239" s="9">
        <v>20</v>
      </c>
      <c r="J239" s="80" t="s">
        <v>338</v>
      </c>
      <c r="K239" s="43">
        <v>10</v>
      </c>
      <c r="L239" s="45" t="s">
        <v>15</v>
      </c>
    </row>
    <row r="240" spans="1:12" ht="15.75" customHeight="1" x14ac:dyDescent="0.3">
      <c r="A240" s="21">
        <v>4</v>
      </c>
      <c r="B240" s="25">
        <v>45750</v>
      </c>
      <c r="C240" s="29" t="s">
        <v>636</v>
      </c>
      <c r="D240" s="36">
        <v>1</v>
      </c>
      <c r="E240" s="41" t="s">
        <v>635</v>
      </c>
      <c r="F240" s="42" t="s">
        <v>72</v>
      </c>
      <c r="G240" s="9">
        <v>0</v>
      </c>
      <c r="H240" s="45">
        <v>10</v>
      </c>
      <c r="I240" s="9">
        <v>10</v>
      </c>
      <c r="J240" s="80" t="s">
        <v>338</v>
      </c>
      <c r="K240" s="43">
        <v>10</v>
      </c>
      <c r="L240" s="45" t="s">
        <v>15</v>
      </c>
    </row>
    <row r="241" spans="1:12" ht="15.75" customHeight="1" x14ac:dyDescent="0.3">
      <c r="A241" s="21">
        <v>4</v>
      </c>
      <c r="B241" s="25">
        <v>45750</v>
      </c>
      <c r="C241" s="29" t="s">
        <v>549</v>
      </c>
      <c r="D241" s="36">
        <v>4</v>
      </c>
      <c r="E241" s="41" t="s">
        <v>637</v>
      </c>
      <c r="F241" s="42" t="s">
        <v>72</v>
      </c>
      <c r="G241" s="9">
        <v>0</v>
      </c>
      <c r="H241" s="45">
        <v>5</v>
      </c>
      <c r="I241" s="9">
        <v>20</v>
      </c>
      <c r="J241" s="80" t="s">
        <v>338</v>
      </c>
      <c r="K241" s="43">
        <v>20</v>
      </c>
      <c r="L241" s="45" t="s">
        <v>15</v>
      </c>
    </row>
    <row r="242" spans="1:12" ht="15.75" customHeight="1" x14ac:dyDescent="0.3">
      <c r="A242" s="21">
        <v>4</v>
      </c>
      <c r="B242" s="25">
        <v>45750</v>
      </c>
      <c r="C242" s="29" t="s">
        <v>638</v>
      </c>
      <c r="D242" s="36">
        <v>1</v>
      </c>
      <c r="E242" s="41" t="s">
        <v>639</v>
      </c>
      <c r="F242" s="42">
        <v>9</v>
      </c>
      <c r="G242" s="9">
        <v>9</v>
      </c>
      <c r="H242" s="45">
        <v>26</v>
      </c>
      <c r="I242" s="9">
        <v>26</v>
      </c>
      <c r="J242" s="80" t="s">
        <v>338</v>
      </c>
      <c r="K242" s="43">
        <v>17</v>
      </c>
      <c r="L242" s="45" t="s">
        <v>15</v>
      </c>
    </row>
    <row r="243" spans="1:12" ht="15.75" customHeight="1" x14ac:dyDescent="0.3">
      <c r="A243" s="21">
        <v>4</v>
      </c>
      <c r="B243" s="25">
        <v>45750</v>
      </c>
      <c r="C243" s="29" t="s">
        <v>326</v>
      </c>
      <c r="D243" s="36">
        <v>3</v>
      </c>
      <c r="E243" s="41" t="s">
        <v>20</v>
      </c>
      <c r="F243" s="42">
        <v>0.05</v>
      </c>
      <c r="G243" s="9">
        <v>0.15000000000000002</v>
      </c>
      <c r="H243" s="45">
        <v>1</v>
      </c>
      <c r="I243" s="9">
        <v>3</v>
      </c>
      <c r="J243" s="80" t="s">
        <v>338</v>
      </c>
      <c r="K243" s="43">
        <v>2.85</v>
      </c>
      <c r="L243" s="45" t="s">
        <v>15</v>
      </c>
    </row>
    <row r="244" spans="1:12" ht="15.75" customHeight="1" x14ac:dyDescent="0.3">
      <c r="A244" s="21">
        <v>4</v>
      </c>
      <c r="B244" s="25">
        <v>45750</v>
      </c>
      <c r="C244" s="29" t="s">
        <v>326</v>
      </c>
      <c r="D244" s="36">
        <v>1</v>
      </c>
      <c r="E244" s="41" t="s">
        <v>640</v>
      </c>
      <c r="F244" s="42">
        <v>0.05</v>
      </c>
      <c r="G244" s="9">
        <v>0.05</v>
      </c>
      <c r="H244" s="45">
        <v>1</v>
      </c>
      <c r="I244" s="9">
        <v>1</v>
      </c>
      <c r="J244" s="80" t="s">
        <v>338</v>
      </c>
      <c r="K244" s="43">
        <v>0.95</v>
      </c>
      <c r="L244" s="45" t="s">
        <v>15</v>
      </c>
    </row>
    <row r="245" spans="1:12" ht="15.75" customHeight="1" x14ac:dyDescent="0.3">
      <c r="A245" s="21">
        <v>4</v>
      </c>
      <c r="B245" s="25">
        <v>45751</v>
      </c>
      <c r="C245" s="29" t="s">
        <v>413</v>
      </c>
      <c r="D245" s="36">
        <v>1</v>
      </c>
      <c r="E245" s="41" t="s">
        <v>20</v>
      </c>
      <c r="F245" s="42">
        <v>15</v>
      </c>
      <c r="G245" s="9">
        <v>15</v>
      </c>
      <c r="H245" s="45">
        <v>15</v>
      </c>
      <c r="I245" s="9">
        <v>15</v>
      </c>
      <c r="J245" s="80" t="s">
        <v>338</v>
      </c>
      <c r="K245" s="43">
        <v>0</v>
      </c>
      <c r="L245" s="45" t="s">
        <v>15</v>
      </c>
    </row>
    <row r="246" spans="1:12" ht="15.75" customHeight="1" x14ac:dyDescent="0.3">
      <c r="A246" s="21">
        <v>4</v>
      </c>
      <c r="B246" s="25">
        <v>45751</v>
      </c>
      <c r="C246" s="29" t="s">
        <v>641</v>
      </c>
      <c r="D246" s="36">
        <v>1</v>
      </c>
      <c r="E246" s="41" t="s">
        <v>20</v>
      </c>
      <c r="F246" s="42">
        <v>23</v>
      </c>
      <c r="G246" s="9">
        <v>23</v>
      </c>
      <c r="H246" s="45">
        <v>40</v>
      </c>
      <c r="I246" s="9">
        <v>40</v>
      </c>
      <c r="J246" s="80" t="s">
        <v>338</v>
      </c>
      <c r="K246" s="43">
        <v>17</v>
      </c>
      <c r="L246" s="45" t="s">
        <v>15</v>
      </c>
    </row>
    <row r="247" spans="1:12" ht="15.75" customHeight="1" x14ac:dyDescent="0.3">
      <c r="A247" s="21">
        <v>4</v>
      </c>
      <c r="B247" s="25">
        <v>45751</v>
      </c>
      <c r="C247" s="29" t="s">
        <v>315</v>
      </c>
      <c r="D247" s="36">
        <v>4</v>
      </c>
      <c r="E247" s="41" t="s">
        <v>20</v>
      </c>
      <c r="F247" s="42">
        <v>7.0000000000000007E-2</v>
      </c>
      <c r="G247" s="9">
        <v>0.28000000000000003</v>
      </c>
      <c r="H247" s="45">
        <v>1</v>
      </c>
      <c r="I247" s="9">
        <v>4</v>
      </c>
      <c r="J247" s="80" t="s">
        <v>338</v>
      </c>
      <c r="K247" s="43">
        <v>3.7199999999999998</v>
      </c>
      <c r="L247" s="45" t="s">
        <v>15</v>
      </c>
    </row>
    <row r="248" spans="1:12" ht="15.75" customHeight="1" x14ac:dyDescent="0.3">
      <c r="A248" s="21">
        <v>4</v>
      </c>
      <c r="B248" s="25">
        <v>45751</v>
      </c>
      <c r="C248" s="29" t="s">
        <v>315</v>
      </c>
      <c r="D248" s="36">
        <v>2</v>
      </c>
      <c r="E248" s="41" t="s">
        <v>20</v>
      </c>
      <c r="F248" s="42">
        <v>7.0000000000000007E-2</v>
      </c>
      <c r="G248" s="9">
        <v>0.14000000000000001</v>
      </c>
      <c r="H248" s="45">
        <v>1</v>
      </c>
      <c r="I248" s="9">
        <v>2</v>
      </c>
      <c r="J248" s="80" t="s">
        <v>338</v>
      </c>
      <c r="K248" s="43">
        <v>1.8599999999999999</v>
      </c>
      <c r="L248" s="45" t="s">
        <v>15</v>
      </c>
    </row>
    <row r="249" spans="1:12" ht="15.75" customHeight="1" x14ac:dyDescent="0.3">
      <c r="A249" s="21">
        <v>4</v>
      </c>
      <c r="B249" s="25">
        <v>45751</v>
      </c>
      <c r="C249" s="29" t="s">
        <v>326</v>
      </c>
      <c r="D249" s="36">
        <v>1</v>
      </c>
      <c r="E249" s="41" t="s">
        <v>640</v>
      </c>
      <c r="F249" s="42">
        <v>0.05</v>
      </c>
      <c r="G249" s="9">
        <v>0.05</v>
      </c>
      <c r="H249" s="45">
        <v>1</v>
      </c>
      <c r="I249" s="9">
        <v>1</v>
      </c>
      <c r="J249" s="80" t="s">
        <v>338</v>
      </c>
      <c r="K249" s="43">
        <v>0.95</v>
      </c>
      <c r="L249" s="45" t="s">
        <v>15</v>
      </c>
    </row>
    <row r="250" spans="1:12" ht="15.75" customHeight="1" x14ac:dyDescent="0.3">
      <c r="A250" s="21">
        <v>4</v>
      </c>
      <c r="B250" s="25">
        <v>45751</v>
      </c>
      <c r="C250" s="29" t="s">
        <v>642</v>
      </c>
      <c r="D250" s="36">
        <v>1</v>
      </c>
      <c r="E250" s="41" t="s">
        <v>20</v>
      </c>
      <c r="F250" s="42">
        <v>4</v>
      </c>
      <c r="G250" s="9">
        <v>4</v>
      </c>
      <c r="H250" s="45">
        <v>10</v>
      </c>
      <c r="I250" s="9">
        <v>10</v>
      </c>
      <c r="J250" s="80" t="s">
        <v>338</v>
      </c>
      <c r="K250" s="43">
        <v>6</v>
      </c>
      <c r="L250" s="45" t="s">
        <v>15</v>
      </c>
    </row>
    <row r="251" spans="1:12" ht="15.75" customHeight="1" x14ac:dyDescent="0.3">
      <c r="A251" s="21">
        <v>4</v>
      </c>
      <c r="B251" s="25">
        <v>45751</v>
      </c>
      <c r="C251" s="29" t="s">
        <v>369</v>
      </c>
      <c r="D251" s="36">
        <v>1</v>
      </c>
      <c r="E251" s="41" t="s">
        <v>20</v>
      </c>
      <c r="F251" s="42">
        <v>18</v>
      </c>
      <c r="G251" s="9">
        <v>18</v>
      </c>
      <c r="H251" s="45">
        <v>40</v>
      </c>
      <c r="I251" s="9">
        <v>40</v>
      </c>
      <c r="J251" s="80" t="s">
        <v>338</v>
      </c>
      <c r="K251" s="43">
        <v>22</v>
      </c>
      <c r="L251" s="45" t="s">
        <v>15</v>
      </c>
    </row>
    <row r="252" spans="1:12" ht="15.75" customHeight="1" x14ac:dyDescent="0.3">
      <c r="A252" s="21">
        <v>4</v>
      </c>
      <c r="B252" s="25">
        <v>45752</v>
      </c>
      <c r="C252" s="29" t="s">
        <v>425</v>
      </c>
      <c r="D252" s="36">
        <v>1</v>
      </c>
      <c r="E252" s="41" t="s">
        <v>20</v>
      </c>
      <c r="F252" s="42">
        <v>13</v>
      </c>
      <c r="G252" s="9">
        <v>13</v>
      </c>
      <c r="H252" s="45">
        <v>20</v>
      </c>
      <c r="I252" s="9">
        <v>20</v>
      </c>
      <c r="J252" s="80" t="s">
        <v>338</v>
      </c>
      <c r="K252" s="43">
        <v>7</v>
      </c>
      <c r="L252" s="45" t="s">
        <v>15</v>
      </c>
    </row>
    <row r="253" spans="1:12" ht="15.75" customHeight="1" x14ac:dyDescent="0.3">
      <c r="A253" s="21">
        <v>4</v>
      </c>
      <c r="B253" s="25">
        <v>45752</v>
      </c>
      <c r="C253" s="29" t="s">
        <v>643</v>
      </c>
      <c r="D253" s="36">
        <v>1</v>
      </c>
      <c r="E253" s="41" t="s">
        <v>20</v>
      </c>
      <c r="F253" s="42">
        <v>2</v>
      </c>
      <c r="G253" s="9">
        <v>2</v>
      </c>
      <c r="H253" s="45">
        <v>7</v>
      </c>
      <c r="I253" s="9">
        <v>7</v>
      </c>
      <c r="J253" s="80" t="s">
        <v>338</v>
      </c>
      <c r="K253" s="43">
        <v>5</v>
      </c>
      <c r="L253" s="45" t="s">
        <v>15</v>
      </c>
    </row>
    <row r="254" spans="1:12" ht="15.75" customHeight="1" x14ac:dyDescent="0.3">
      <c r="A254" s="21">
        <v>4</v>
      </c>
      <c r="B254" s="25">
        <v>45752</v>
      </c>
      <c r="C254" s="29" t="s">
        <v>644</v>
      </c>
      <c r="D254" s="36">
        <v>1</v>
      </c>
      <c r="E254" s="41" t="s">
        <v>20</v>
      </c>
      <c r="F254" s="42">
        <v>5.5</v>
      </c>
      <c r="G254" s="9">
        <v>5.5</v>
      </c>
      <c r="H254" s="45">
        <v>8</v>
      </c>
      <c r="I254" s="9">
        <v>8</v>
      </c>
      <c r="J254" s="80" t="s">
        <v>338</v>
      </c>
      <c r="K254" s="43">
        <v>2.5</v>
      </c>
      <c r="L254" s="45" t="s">
        <v>15</v>
      </c>
    </row>
    <row r="255" spans="1:12" ht="15.75" customHeight="1" x14ac:dyDescent="0.3">
      <c r="A255" s="21">
        <v>4</v>
      </c>
      <c r="B255" s="25">
        <v>45754</v>
      </c>
      <c r="C255" s="29" t="s">
        <v>315</v>
      </c>
      <c r="D255" s="36">
        <v>1</v>
      </c>
      <c r="E255" s="41" t="s">
        <v>20</v>
      </c>
      <c r="F255" s="42">
        <v>7.0000000000000007E-2</v>
      </c>
      <c r="G255" s="9">
        <v>7.0000000000000007E-2</v>
      </c>
      <c r="H255" s="45">
        <v>1</v>
      </c>
      <c r="I255" s="9">
        <v>1</v>
      </c>
      <c r="J255" s="80" t="s">
        <v>338</v>
      </c>
      <c r="K255" s="43">
        <v>0.92999999999999994</v>
      </c>
      <c r="L255" s="45" t="s">
        <v>15</v>
      </c>
    </row>
    <row r="256" spans="1:12" ht="15.75" customHeight="1" x14ac:dyDescent="0.3">
      <c r="A256" s="21">
        <v>4</v>
      </c>
      <c r="B256" s="25">
        <v>45754</v>
      </c>
      <c r="C256" s="29" t="s">
        <v>267</v>
      </c>
      <c r="D256" s="36">
        <v>3</v>
      </c>
      <c r="E256" s="41" t="s">
        <v>20</v>
      </c>
      <c r="F256" s="42">
        <v>0</v>
      </c>
      <c r="G256" s="9">
        <v>0</v>
      </c>
      <c r="H256" s="45">
        <v>10</v>
      </c>
      <c r="I256" s="9">
        <v>30</v>
      </c>
      <c r="J256" s="80" t="s">
        <v>338</v>
      </c>
      <c r="K256" s="43">
        <v>30</v>
      </c>
      <c r="L256" s="45" t="s">
        <v>15</v>
      </c>
    </row>
    <row r="257" spans="1:12" ht="15.75" customHeight="1" x14ac:dyDescent="0.3">
      <c r="A257" s="21">
        <v>4</v>
      </c>
      <c r="B257" s="25">
        <v>45756</v>
      </c>
      <c r="C257" s="29" t="s">
        <v>315</v>
      </c>
      <c r="D257" s="36">
        <v>12</v>
      </c>
      <c r="E257" s="41" t="s">
        <v>20</v>
      </c>
      <c r="F257" s="42">
        <v>7.0000000000000007E-2</v>
      </c>
      <c r="G257" s="9">
        <v>0.84000000000000008</v>
      </c>
      <c r="H257" s="45">
        <v>1</v>
      </c>
      <c r="I257" s="9">
        <v>12</v>
      </c>
      <c r="J257" s="80" t="s">
        <v>338</v>
      </c>
      <c r="K257" s="43">
        <v>11.16</v>
      </c>
      <c r="L257" s="45" t="s">
        <v>15</v>
      </c>
    </row>
    <row r="258" spans="1:12" ht="15.75" customHeight="1" x14ac:dyDescent="0.3">
      <c r="A258" s="21">
        <v>4</v>
      </c>
      <c r="B258" s="25">
        <v>45756</v>
      </c>
      <c r="C258" s="29" t="s">
        <v>645</v>
      </c>
      <c r="D258" s="36">
        <v>1</v>
      </c>
      <c r="E258" s="41" t="s">
        <v>610</v>
      </c>
      <c r="F258" s="42">
        <v>45</v>
      </c>
      <c r="G258" s="9">
        <v>45</v>
      </c>
      <c r="H258" s="45">
        <v>65</v>
      </c>
      <c r="I258" s="9">
        <v>65</v>
      </c>
      <c r="J258" s="80" t="s">
        <v>338</v>
      </c>
      <c r="K258" s="43">
        <v>20</v>
      </c>
      <c r="L258" s="45" t="s">
        <v>15</v>
      </c>
    </row>
    <row r="259" spans="1:12" ht="15.75" customHeight="1" x14ac:dyDescent="0.3">
      <c r="A259" s="21">
        <v>4</v>
      </c>
      <c r="B259" s="25">
        <v>45756</v>
      </c>
      <c r="C259" s="29" t="s">
        <v>105</v>
      </c>
      <c r="D259" s="36">
        <v>1</v>
      </c>
      <c r="E259" s="41" t="s">
        <v>646</v>
      </c>
      <c r="F259" s="42">
        <v>12</v>
      </c>
      <c r="G259" s="9">
        <v>12</v>
      </c>
      <c r="H259" s="45">
        <v>30</v>
      </c>
      <c r="I259" s="9">
        <v>30</v>
      </c>
      <c r="J259" s="80" t="s">
        <v>338</v>
      </c>
      <c r="K259" s="43">
        <v>18</v>
      </c>
      <c r="L259" s="45" t="s">
        <v>15</v>
      </c>
    </row>
    <row r="260" spans="1:12" ht="15.75" customHeight="1" x14ac:dyDescent="0.3">
      <c r="A260" s="21">
        <v>4</v>
      </c>
      <c r="B260" s="25">
        <v>45756</v>
      </c>
      <c r="C260" s="29" t="s">
        <v>647</v>
      </c>
      <c r="D260" s="36">
        <v>1</v>
      </c>
      <c r="E260" s="41" t="s">
        <v>646</v>
      </c>
      <c r="F260" s="42" t="s">
        <v>72</v>
      </c>
      <c r="G260" s="9">
        <v>0</v>
      </c>
      <c r="H260" s="45">
        <v>10</v>
      </c>
      <c r="I260" s="9">
        <v>10</v>
      </c>
      <c r="J260" s="80" t="s">
        <v>338</v>
      </c>
      <c r="K260" s="43">
        <v>10</v>
      </c>
      <c r="L260" s="45" t="s">
        <v>15</v>
      </c>
    </row>
    <row r="261" spans="1:12" ht="15.75" customHeight="1" x14ac:dyDescent="0.3">
      <c r="A261" s="21">
        <v>4</v>
      </c>
      <c r="B261" s="25">
        <v>45757</v>
      </c>
      <c r="C261" s="29" t="s">
        <v>313</v>
      </c>
      <c r="D261" s="36">
        <v>1</v>
      </c>
      <c r="E261" s="41" t="s">
        <v>648</v>
      </c>
      <c r="F261" s="42">
        <v>3</v>
      </c>
      <c r="G261" s="9">
        <v>3</v>
      </c>
      <c r="H261" s="45">
        <v>10</v>
      </c>
      <c r="I261" s="9">
        <v>10</v>
      </c>
      <c r="J261" s="80" t="s">
        <v>338</v>
      </c>
      <c r="K261" s="43">
        <v>7</v>
      </c>
      <c r="L261" s="45" t="s">
        <v>15</v>
      </c>
    </row>
    <row r="262" spans="1:12" ht="15.75" customHeight="1" x14ac:dyDescent="0.3">
      <c r="A262" s="21">
        <v>4</v>
      </c>
      <c r="B262" s="25">
        <v>45757</v>
      </c>
      <c r="C262" s="29" t="s">
        <v>267</v>
      </c>
      <c r="D262" s="36">
        <v>1</v>
      </c>
      <c r="E262" s="41" t="s">
        <v>20</v>
      </c>
      <c r="F262" s="42">
        <v>0</v>
      </c>
      <c r="G262" s="9">
        <v>0</v>
      </c>
      <c r="H262" s="45">
        <v>60</v>
      </c>
      <c r="I262" s="9">
        <v>60</v>
      </c>
      <c r="J262" s="80" t="s">
        <v>338</v>
      </c>
      <c r="K262" s="43">
        <v>60</v>
      </c>
      <c r="L262" s="45" t="s">
        <v>15</v>
      </c>
    </row>
    <row r="263" spans="1:12" ht="15.75" customHeight="1" x14ac:dyDescent="0.3">
      <c r="A263" s="21">
        <v>4</v>
      </c>
      <c r="B263" s="25">
        <v>45757</v>
      </c>
      <c r="C263" s="29" t="s">
        <v>315</v>
      </c>
      <c r="D263" s="36">
        <v>2</v>
      </c>
      <c r="E263" s="41" t="s">
        <v>20</v>
      </c>
      <c r="F263" s="42">
        <v>7.0000000000000007E-2</v>
      </c>
      <c r="G263" s="9">
        <v>0.14000000000000001</v>
      </c>
      <c r="H263" s="45">
        <v>1</v>
      </c>
      <c r="I263" s="9">
        <v>2</v>
      </c>
      <c r="J263" s="80" t="s">
        <v>338</v>
      </c>
      <c r="K263" s="43">
        <v>1.8599999999999999</v>
      </c>
      <c r="L263" s="45" t="s">
        <v>15</v>
      </c>
    </row>
    <row r="264" spans="1:12" ht="15.75" customHeight="1" x14ac:dyDescent="0.3">
      <c r="A264" s="21">
        <v>4</v>
      </c>
      <c r="B264" s="25">
        <v>45757</v>
      </c>
      <c r="C264" s="29" t="s">
        <v>649</v>
      </c>
      <c r="D264" s="36">
        <v>1</v>
      </c>
      <c r="E264" s="41" t="s">
        <v>485</v>
      </c>
      <c r="F264" s="42">
        <v>8</v>
      </c>
      <c r="G264" s="9">
        <v>8</v>
      </c>
      <c r="H264" s="45">
        <v>15</v>
      </c>
      <c r="I264" s="9">
        <v>15</v>
      </c>
      <c r="J264" s="80" t="s">
        <v>338</v>
      </c>
      <c r="K264" s="43">
        <v>7</v>
      </c>
      <c r="L264" s="45" t="s">
        <v>15</v>
      </c>
    </row>
    <row r="265" spans="1:12" ht="15.75" customHeight="1" x14ac:dyDescent="0.3">
      <c r="A265" s="21">
        <v>4</v>
      </c>
      <c r="B265" s="25">
        <v>45757</v>
      </c>
      <c r="C265" s="29" t="s">
        <v>650</v>
      </c>
      <c r="D265" s="36">
        <v>1</v>
      </c>
      <c r="E265" s="41" t="s">
        <v>651</v>
      </c>
      <c r="F265" s="42" t="s">
        <v>72</v>
      </c>
      <c r="G265" s="9">
        <v>0</v>
      </c>
      <c r="H265" s="45">
        <v>150</v>
      </c>
      <c r="I265" s="9">
        <v>150</v>
      </c>
      <c r="J265" s="80" t="s">
        <v>338</v>
      </c>
      <c r="K265" s="43">
        <v>150</v>
      </c>
      <c r="L265" s="45" t="s">
        <v>15</v>
      </c>
    </row>
    <row r="266" spans="1:12" ht="15.75" customHeight="1" x14ac:dyDescent="0.3">
      <c r="A266" s="21">
        <v>4</v>
      </c>
      <c r="B266" s="25">
        <v>45757</v>
      </c>
      <c r="C266" s="29" t="s">
        <v>643</v>
      </c>
      <c r="D266" s="36">
        <v>2</v>
      </c>
      <c r="E266" s="41" t="s">
        <v>652</v>
      </c>
      <c r="F266" s="42">
        <v>2</v>
      </c>
      <c r="G266" s="9">
        <v>4</v>
      </c>
      <c r="H266" s="45">
        <v>5</v>
      </c>
      <c r="I266" s="9">
        <v>10</v>
      </c>
      <c r="J266" s="80" t="s">
        <v>338</v>
      </c>
      <c r="K266" s="43">
        <v>6</v>
      </c>
      <c r="L266" s="45" t="s">
        <v>15</v>
      </c>
    </row>
    <row r="267" spans="1:12" ht="15.75" customHeight="1" x14ac:dyDescent="0.3">
      <c r="A267" s="21">
        <v>4</v>
      </c>
      <c r="B267" s="25">
        <v>45757</v>
      </c>
      <c r="C267" s="29" t="s">
        <v>653</v>
      </c>
      <c r="D267" s="36">
        <v>1</v>
      </c>
      <c r="E267" s="41" t="s">
        <v>654</v>
      </c>
      <c r="F267" s="42" t="s">
        <v>72</v>
      </c>
      <c r="G267" s="9">
        <v>0</v>
      </c>
      <c r="H267" s="45">
        <v>300</v>
      </c>
      <c r="I267" s="9">
        <v>300</v>
      </c>
      <c r="J267" s="80" t="s">
        <v>338</v>
      </c>
      <c r="K267" s="43">
        <v>300</v>
      </c>
      <c r="L267" s="45" t="s">
        <v>15</v>
      </c>
    </row>
    <row r="268" spans="1:12" ht="15.75" customHeight="1" x14ac:dyDescent="0.3">
      <c r="A268" s="21">
        <v>4</v>
      </c>
      <c r="B268" s="25">
        <v>45758</v>
      </c>
      <c r="C268" s="29" t="s">
        <v>315</v>
      </c>
      <c r="D268" s="36">
        <v>1</v>
      </c>
      <c r="E268" s="41" t="s">
        <v>51</v>
      </c>
      <c r="F268" s="42">
        <v>7.0000000000000007E-2</v>
      </c>
      <c r="G268" s="9">
        <v>7.0000000000000007E-2</v>
      </c>
      <c r="H268" s="45">
        <v>1</v>
      </c>
      <c r="I268" s="9">
        <v>1</v>
      </c>
      <c r="J268" s="80" t="s">
        <v>338</v>
      </c>
      <c r="K268" s="43">
        <v>0.92999999999999994</v>
      </c>
      <c r="L268" s="45" t="s">
        <v>15</v>
      </c>
    </row>
    <row r="269" spans="1:12" ht="15.75" customHeight="1" x14ac:dyDescent="0.3">
      <c r="A269" s="21">
        <v>4</v>
      </c>
      <c r="B269" s="25">
        <v>45758</v>
      </c>
      <c r="C269" s="29" t="s">
        <v>313</v>
      </c>
      <c r="D269" s="36">
        <v>1</v>
      </c>
      <c r="E269" s="41" t="s">
        <v>573</v>
      </c>
      <c r="F269" s="42">
        <v>3</v>
      </c>
      <c r="G269" s="9">
        <v>3</v>
      </c>
      <c r="H269" s="45">
        <v>15</v>
      </c>
      <c r="I269" s="9">
        <v>15</v>
      </c>
      <c r="J269" s="80" t="s">
        <v>338</v>
      </c>
      <c r="K269" s="43">
        <v>12</v>
      </c>
      <c r="L269" s="45" t="s">
        <v>15</v>
      </c>
    </row>
    <row r="270" spans="1:12" ht="15.75" customHeight="1" x14ac:dyDescent="0.3">
      <c r="A270" s="21">
        <v>4</v>
      </c>
      <c r="B270" s="25">
        <v>45758</v>
      </c>
      <c r="C270" s="29" t="s">
        <v>549</v>
      </c>
      <c r="D270" s="36">
        <v>4</v>
      </c>
      <c r="E270" s="41" t="s">
        <v>20</v>
      </c>
      <c r="F270" s="42" t="s">
        <v>72</v>
      </c>
      <c r="G270" s="9">
        <v>0</v>
      </c>
      <c r="H270" s="45">
        <v>5</v>
      </c>
      <c r="I270" s="9">
        <v>20</v>
      </c>
      <c r="J270" s="80" t="s">
        <v>338</v>
      </c>
      <c r="K270" s="43">
        <v>20</v>
      </c>
      <c r="L270" s="45" t="s">
        <v>15</v>
      </c>
    </row>
    <row r="271" spans="1:12" ht="15.75" customHeight="1" x14ac:dyDescent="0.3">
      <c r="A271" s="21">
        <v>4</v>
      </c>
      <c r="B271" s="25">
        <v>45758</v>
      </c>
      <c r="C271" s="29" t="s">
        <v>491</v>
      </c>
      <c r="D271" s="36">
        <v>1</v>
      </c>
      <c r="E271" s="41" t="s">
        <v>20</v>
      </c>
      <c r="F271" s="42">
        <v>0.8</v>
      </c>
      <c r="G271" s="9">
        <v>0.8</v>
      </c>
      <c r="H271" s="45">
        <v>5</v>
      </c>
      <c r="I271" s="9">
        <v>5</v>
      </c>
      <c r="J271" s="80" t="s">
        <v>338</v>
      </c>
      <c r="K271" s="43">
        <v>4.2</v>
      </c>
      <c r="L271" s="45" t="s">
        <v>15</v>
      </c>
    </row>
    <row r="272" spans="1:12" ht="15.75" customHeight="1" x14ac:dyDescent="0.3">
      <c r="A272" s="21">
        <v>4</v>
      </c>
      <c r="B272" s="25">
        <v>45758</v>
      </c>
      <c r="C272" s="29" t="s">
        <v>655</v>
      </c>
      <c r="D272" s="36">
        <v>1</v>
      </c>
      <c r="E272" s="41" t="s">
        <v>232</v>
      </c>
      <c r="F272" s="42">
        <v>10</v>
      </c>
      <c r="G272" s="9">
        <v>10</v>
      </c>
      <c r="H272" s="45">
        <v>25</v>
      </c>
      <c r="I272" s="9">
        <v>25</v>
      </c>
      <c r="J272" s="80" t="s">
        <v>338</v>
      </c>
      <c r="K272" s="43">
        <v>15</v>
      </c>
      <c r="L272" s="45" t="s">
        <v>15</v>
      </c>
    </row>
    <row r="273" spans="1:12" ht="15.75" customHeight="1" x14ac:dyDescent="0.3">
      <c r="A273" s="21">
        <v>4</v>
      </c>
      <c r="B273" s="25">
        <v>45758</v>
      </c>
      <c r="C273" s="29" t="s">
        <v>656</v>
      </c>
      <c r="D273" s="36">
        <v>1</v>
      </c>
      <c r="E273" s="41" t="s">
        <v>652</v>
      </c>
      <c r="F273" s="42" t="s">
        <v>72</v>
      </c>
      <c r="G273" s="9">
        <v>0</v>
      </c>
      <c r="H273" s="45">
        <v>10</v>
      </c>
      <c r="I273" s="9">
        <v>10</v>
      </c>
      <c r="J273" s="80" t="s">
        <v>338</v>
      </c>
      <c r="K273" s="43">
        <v>10</v>
      </c>
      <c r="L273" s="45" t="s">
        <v>15</v>
      </c>
    </row>
    <row r="274" spans="1:12" ht="15.75" customHeight="1" x14ac:dyDescent="0.3">
      <c r="A274" s="21">
        <v>4</v>
      </c>
      <c r="B274" s="25">
        <v>45759</v>
      </c>
      <c r="C274" s="29" t="s">
        <v>657</v>
      </c>
      <c r="D274" s="36">
        <v>1</v>
      </c>
      <c r="E274" s="41" t="s">
        <v>535</v>
      </c>
      <c r="F274" s="42">
        <v>35</v>
      </c>
      <c r="G274" s="9">
        <v>35</v>
      </c>
      <c r="H274" s="45">
        <v>65</v>
      </c>
      <c r="I274" s="9">
        <v>65</v>
      </c>
      <c r="J274" s="80" t="s">
        <v>338</v>
      </c>
      <c r="K274" s="43">
        <v>30</v>
      </c>
      <c r="L274" s="45" t="s">
        <v>15</v>
      </c>
    </row>
    <row r="275" spans="1:12" ht="15.75" customHeight="1" x14ac:dyDescent="0.3">
      <c r="A275" s="21">
        <v>4</v>
      </c>
      <c r="B275" s="25">
        <v>45759</v>
      </c>
      <c r="C275" s="29" t="s">
        <v>315</v>
      </c>
      <c r="D275" s="36">
        <v>4</v>
      </c>
      <c r="E275" s="41" t="s">
        <v>20</v>
      </c>
      <c r="F275" s="42">
        <v>7.0000000000000007E-2</v>
      </c>
      <c r="G275" s="9">
        <v>0.28000000000000003</v>
      </c>
      <c r="H275" s="45">
        <v>1</v>
      </c>
      <c r="I275" s="9">
        <v>4</v>
      </c>
      <c r="J275" s="80" t="s">
        <v>338</v>
      </c>
      <c r="K275" s="43">
        <v>3.7199999999999998</v>
      </c>
      <c r="L275" s="45" t="s">
        <v>15</v>
      </c>
    </row>
    <row r="276" spans="1:12" ht="15.75" customHeight="1" x14ac:dyDescent="0.3">
      <c r="A276" s="21">
        <v>4</v>
      </c>
      <c r="B276" s="25">
        <v>45761</v>
      </c>
      <c r="C276" s="29" t="s">
        <v>315</v>
      </c>
      <c r="D276" s="36">
        <v>7</v>
      </c>
      <c r="E276" s="41" t="s">
        <v>20</v>
      </c>
      <c r="F276" s="42">
        <v>7.0000000000000007E-2</v>
      </c>
      <c r="G276" s="9">
        <v>0.49000000000000005</v>
      </c>
      <c r="H276" s="45">
        <v>1</v>
      </c>
      <c r="I276" s="9">
        <v>7</v>
      </c>
      <c r="J276" s="80" t="s">
        <v>338</v>
      </c>
      <c r="K276" s="43">
        <v>6.51</v>
      </c>
      <c r="L276" s="45" t="s">
        <v>15</v>
      </c>
    </row>
    <row r="277" spans="1:12" ht="15.75" customHeight="1" x14ac:dyDescent="0.3">
      <c r="A277" s="21">
        <v>4</v>
      </c>
      <c r="B277" s="25">
        <v>45762</v>
      </c>
      <c r="C277" s="29" t="s">
        <v>326</v>
      </c>
      <c r="D277" s="36">
        <v>1</v>
      </c>
      <c r="E277" s="41" t="s">
        <v>20</v>
      </c>
      <c r="F277" s="42">
        <v>0.05</v>
      </c>
      <c r="G277" s="9">
        <v>0.05</v>
      </c>
      <c r="H277" s="45">
        <v>1</v>
      </c>
      <c r="I277" s="9">
        <v>1</v>
      </c>
      <c r="J277" s="80" t="s">
        <v>338</v>
      </c>
      <c r="K277" s="43">
        <v>0.95</v>
      </c>
      <c r="L277" s="45" t="s">
        <v>15</v>
      </c>
    </row>
    <row r="278" spans="1:12" ht="15" customHeight="1" x14ac:dyDescent="0.3">
      <c r="A278" s="21">
        <v>4</v>
      </c>
      <c r="B278" s="25">
        <v>45762</v>
      </c>
      <c r="C278" s="29" t="s">
        <v>658</v>
      </c>
      <c r="D278" s="36">
        <v>1</v>
      </c>
      <c r="E278" s="41" t="s">
        <v>659</v>
      </c>
      <c r="F278" s="42" t="s">
        <v>72</v>
      </c>
      <c r="G278" s="9">
        <v>0</v>
      </c>
      <c r="H278" s="45">
        <v>200</v>
      </c>
      <c r="I278" s="9">
        <v>200</v>
      </c>
      <c r="J278" s="80" t="s">
        <v>338</v>
      </c>
      <c r="K278" s="43">
        <v>200</v>
      </c>
      <c r="L278" s="45" t="s">
        <v>15</v>
      </c>
    </row>
    <row r="279" spans="1:12" ht="15" customHeight="1" x14ac:dyDescent="0.3">
      <c r="A279" s="21">
        <v>4</v>
      </c>
      <c r="B279" s="25">
        <v>45763</v>
      </c>
      <c r="C279" s="29" t="s">
        <v>660</v>
      </c>
      <c r="D279" s="36">
        <v>4</v>
      </c>
      <c r="E279" s="41" t="s">
        <v>20</v>
      </c>
      <c r="F279" s="42">
        <v>10</v>
      </c>
      <c r="G279" s="9">
        <v>40</v>
      </c>
      <c r="H279" s="45">
        <v>10</v>
      </c>
      <c r="I279" s="9">
        <v>40</v>
      </c>
      <c r="J279" s="80" t="s">
        <v>338</v>
      </c>
      <c r="K279" s="43">
        <v>0</v>
      </c>
      <c r="L279" s="45" t="s">
        <v>15</v>
      </c>
    </row>
    <row r="280" spans="1:12" ht="15" customHeight="1" x14ac:dyDescent="0.3">
      <c r="A280" s="21">
        <v>4</v>
      </c>
      <c r="B280" s="25">
        <v>45763</v>
      </c>
      <c r="C280" s="29" t="s">
        <v>661</v>
      </c>
      <c r="D280" s="36">
        <v>3</v>
      </c>
      <c r="E280" s="41" t="s">
        <v>485</v>
      </c>
      <c r="F280" s="42" t="s">
        <v>72</v>
      </c>
      <c r="G280" s="9">
        <v>0</v>
      </c>
      <c r="H280" s="45">
        <v>5</v>
      </c>
      <c r="I280" s="9">
        <v>15</v>
      </c>
      <c r="J280" s="80" t="s">
        <v>338</v>
      </c>
      <c r="K280" s="43">
        <v>15</v>
      </c>
      <c r="L280" s="45" t="s">
        <v>15</v>
      </c>
    </row>
    <row r="281" spans="1:12" ht="15" customHeight="1" x14ac:dyDescent="0.3">
      <c r="A281" s="21">
        <v>4</v>
      </c>
      <c r="B281" s="25">
        <v>45763</v>
      </c>
      <c r="C281" s="29" t="s">
        <v>597</v>
      </c>
      <c r="D281" s="36">
        <v>1</v>
      </c>
      <c r="E281" s="41" t="s">
        <v>640</v>
      </c>
      <c r="F281" s="42">
        <v>10</v>
      </c>
      <c r="G281" s="9">
        <v>10</v>
      </c>
      <c r="H281" s="45">
        <v>30</v>
      </c>
      <c r="I281" s="9">
        <v>30</v>
      </c>
      <c r="J281" s="80" t="s">
        <v>338</v>
      </c>
      <c r="K281" s="43">
        <v>20</v>
      </c>
      <c r="L281" s="45" t="s">
        <v>15</v>
      </c>
    </row>
    <row r="282" spans="1:12" ht="15" customHeight="1" x14ac:dyDescent="0.3">
      <c r="A282" s="21">
        <v>4</v>
      </c>
      <c r="B282" s="25">
        <v>45763</v>
      </c>
      <c r="C282" s="29" t="s">
        <v>315</v>
      </c>
      <c r="D282" s="36">
        <v>11</v>
      </c>
      <c r="E282" s="41" t="s">
        <v>20</v>
      </c>
      <c r="F282" s="42">
        <v>7.0000000000000007E-2</v>
      </c>
      <c r="G282" s="9">
        <v>0.77</v>
      </c>
      <c r="H282" s="45">
        <v>1</v>
      </c>
      <c r="I282" s="9">
        <v>11</v>
      </c>
      <c r="J282" s="80" t="s">
        <v>338</v>
      </c>
      <c r="K282" s="43">
        <v>10.23</v>
      </c>
      <c r="L282" s="45" t="s">
        <v>15</v>
      </c>
    </row>
    <row r="283" spans="1:12" ht="15" customHeight="1" x14ac:dyDescent="0.3">
      <c r="A283" s="21">
        <v>4</v>
      </c>
      <c r="B283" s="25">
        <v>45763</v>
      </c>
      <c r="C283" s="29" t="s">
        <v>315</v>
      </c>
      <c r="D283" s="36">
        <v>2</v>
      </c>
      <c r="E283" s="41" t="s">
        <v>51</v>
      </c>
      <c r="F283" s="42">
        <v>7.0000000000000007E-2</v>
      </c>
      <c r="G283" s="9">
        <v>0.14000000000000001</v>
      </c>
      <c r="H283" s="45">
        <v>1</v>
      </c>
      <c r="I283" s="9">
        <v>2</v>
      </c>
      <c r="J283" s="80" t="s">
        <v>338</v>
      </c>
      <c r="K283" s="43">
        <v>1.8599999999999999</v>
      </c>
      <c r="L283" s="45" t="s">
        <v>15</v>
      </c>
    </row>
    <row r="284" spans="1:12" ht="15" customHeight="1" x14ac:dyDescent="0.3">
      <c r="A284" s="21">
        <v>4</v>
      </c>
      <c r="B284" s="25">
        <v>45763</v>
      </c>
      <c r="C284" s="29" t="s">
        <v>660</v>
      </c>
      <c r="D284" s="36">
        <v>1</v>
      </c>
      <c r="E284" s="41" t="s">
        <v>20</v>
      </c>
      <c r="F284" s="42">
        <v>10</v>
      </c>
      <c r="G284" s="9">
        <v>10</v>
      </c>
      <c r="H284" s="45">
        <v>10</v>
      </c>
      <c r="I284" s="9">
        <v>10</v>
      </c>
      <c r="J284" s="80" t="s">
        <v>338</v>
      </c>
      <c r="K284" s="43">
        <v>0</v>
      </c>
      <c r="L284" s="45" t="s">
        <v>15</v>
      </c>
    </row>
    <row r="285" spans="1:12" ht="15" customHeight="1" x14ac:dyDescent="0.3">
      <c r="A285" s="21">
        <v>4</v>
      </c>
      <c r="B285" s="25">
        <v>45764</v>
      </c>
      <c r="C285" s="29" t="s">
        <v>662</v>
      </c>
      <c r="D285" s="36">
        <v>1</v>
      </c>
      <c r="E285" s="41" t="s">
        <v>20</v>
      </c>
      <c r="F285" s="42">
        <v>5.5</v>
      </c>
      <c r="G285" s="9">
        <v>5.5</v>
      </c>
      <c r="H285" s="45">
        <v>10</v>
      </c>
      <c r="I285" s="9">
        <v>10</v>
      </c>
      <c r="J285" s="80" t="s">
        <v>338</v>
      </c>
      <c r="K285" s="43">
        <v>4.5</v>
      </c>
      <c r="L285" s="45" t="s">
        <v>15</v>
      </c>
    </row>
    <row r="286" spans="1:12" ht="15" customHeight="1" x14ac:dyDescent="0.3">
      <c r="A286" s="21">
        <v>4</v>
      </c>
      <c r="B286" s="25">
        <v>45764</v>
      </c>
      <c r="C286" s="29" t="s">
        <v>560</v>
      </c>
      <c r="D286" s="36">
        <v>1</v>
      </c>
      <c r="E286" s="41" t="s">
        <v>20</v>
      </c>
      <c r="F286" s="42">
        <v>32</v>
      </c>
      <c r="G286" s="9">
        <v>32</v>
      </c>
      <c r="H286" s="45">
        <v>65</v>
      </c>
      <c r="I286" s="9">
        <v>65</v>
      </c>
      <c r="J286" s="80" t="s">
        <v>338</v>
      </c>
      <c r="K286" s="43">
        <v>33</v>
      </c>
      <c r="L286" s="45" t="s">
        <v>15</v>
      </c>
    </row>
    <row r="287" spans="1:12" ht="15" customHeight="1" x14ac:dyDescent="0.3">
      <c r="A287" s="21">
        <v>4</v>
      </c>
      <c r="B287" s="25">
        <v>45764</v>
      </c>
      <c r="C287" s="29" t="s">
        <v>315</v>
      </c>
      <c r="D287" s="36">
        <v>2</v>
      </c>
      <c r="E287" s="41" t="s">
        <v>610</v>
      </c>
      <c r="F287" s="42">
        <v>7.0000000000000007E-2</v>
      </c>
      <c r="G287" s="9">
        <v>0.14000000000000001</v>
      </c>
      <c r="H287" s="45">
        <v>1</v>
      </c>
      <c r="I287" s="9">
        <v>2</v>
      </c>
      <c r="J287" s="80" t="s">
        <v>338</v>
      </c>
      <c r="K287" s="43">
        <v>1.8599999999999999</v>
      </c>
      <c r="L287" s="45" t="s">
        <v>15</v>
      </c>
    </row>
    <row r="288" spans="1:12" ht="15" customHeight="1" x14ac:dyDescent="0.3">
      <c r="A288" s="21">
        <v>4</v>
      </c>
      <c r="B288" s="25">
        <v>45764</v>
      </c>
      <c r="C288" s="29" t="s">
        <v>663</v>
      </c>
      <c r="D288" s="36">
        <v>1</v>
      </c>
      <c r="E288" s="41" t="s">
        <v>610</v>
      </c>
      <c r="F288" s="42">
        <v>10</v>
      </c>
      <c r="G288" s="9">
        <v>10</v>
      </c>
      <c r="H288" s="45">
        <v>20</v>
      </c>
      <c r="I288" s="9">
        <v>20</v>
      </c>
      <c r="J288" s="80" t="s">
        <v>338</v>
      </c>
      <c r="K288" s="43">
        <v>10</v>
      </c>
      <c r="L288" s="45" t="s">
        <v>15</v>
      </c>
    </row>
    <row r="289" spans="1:12" ht="15" customHeight="1" x14ac:dyDescent="0.3">
      <c r="A289" s="21">
        <v>4</v>
      </c>
      <c r="B289" s="25">
        <v>45766</v>
      </c>
      <c r="C289" s="29" t="s">
        <v>326</v>
      </c>
      <c r="D289" s="36">
        <v>1</v>
      </c>
      <c r="E289" s="41" t="s">
        <v>20</v>
      </c>
      <c r="F289" s="42">
        <v>0.05</v>
      </c>
      <c r="G289" s="9">
        <v>0.05</v>
      </c>
      <c r="H289" s="45">
        <v>1</v>
      </c>
      <c r="I289" s="9">
        <v>1</v>
      </c>
      <c r="J289" s="80" t="s">
        <v>338</v>
      </c>
      <c r="K289" s="43">
        <v>0.95</v>
      </c>
      <c r="L289" s="45" t="s">
        <v>15</v>
      </c>
    </row>
    <row r="290" spans="1:12" ht="15" customHeight="1" x14ac:dyDescent="0.3">
      <c r="A290" s="21">
        <v>4</v>
      </c>
      <c r="B290" s="25">
        <v>45766</v>
      </c>
      <c r="C290" s="29" t="s">
        <v>643</v>
      </c>
      <c r="D290" s="36">
        <v>4</v>
      </c>
      <c r="E290" s="41" t="s">
        <v>664</v>
      </c>
      <c r="F290" s="42">
        <v>2</v>
      </c>
      <c r="G290" s="9">
        <v>8</v>
      </c>
      <c r="H290" s="45">
        <v>5</v>
      </c>
      <c r="I290" s="9">
        <v>20</v>
      </c>
      <c r="J290" s="80" t="s">
        <v>338</v>
      </c>
      <c r="K290" s="43">
        <v>12</v>
      </c>
      <c r="L290" s="45" t="s">
        <v>15</v>
      </c>
    </row>
    <row r="291" spans="1:12" ht="15" customHeight="1" x14ac:dyDescent="0.3">
      <c r="A291" s="21">
        <v>4</v>
      </c>
      <c r="B291" s="25">
        <v>45766</v>
      </c>
      <c r="C291" s="29" t="s">
        <v>315</v>
      </c>
      <c r="D291" s="36">
        <v>44</v>
      </c>
      <c r="E291" s="41" t="s">
        <v>664</v>
      </c>
      <c r="F291" s="42">
        <v>7.0000000000000007E-2</v>
      </c>
      <c r="G291" s="9">
        <v>3.08</v>
      </c>
      <c r="H291" s="45">
        <v>0.5</v>
      </c>
      <c r="I291" s="9">
        <v>22</v>
      </c>
      <c r="J291" s="80" t="s">
        <v>338</v>
      </c>
      <c r="K291" s="43">
        <v>18.920000000000002</v>
      </c>
      <c r="L291" s="45" t="s">
        <v>15</v>
      </c>
    </row>
    <row r="292" spans="1:12" ht="15" customHeight="1" x14ac:dyDescent="0.3">
      <c r="A292" s="21">
        <v>4</v>
      </c>
      <c r="B292" s="25">
        <v>45766</v>
      </c>
      <c r="C292" s="29" t="s">
        <v>275</v>
      </c>
      <c r="D292" s="36">
        <v>1</v>
      </c>
      <c r="E292" s="41" t="s">
        <v>665</v>
      </c>
      <c r="F292" s="42">
        <v>18</v>
      </c>
      <c r="G292" s="9">
        <v>18</v>
      </c>
      <c r="H292" s="45">
        <v>30</v>
      </c>
      <c r="I292" s="9">
        <v>30</v>
      </c>
      <c r="J292" s="80" t="s">
        <v>338</v>
      </c>
      <c r="K292" s="43">
        <v>12</v>
      </c>
      <c r="L292" s="45" t="s">
        <v>15</v>
      </c>
    </row>
    <row r="293" spans="1:12" ht="15" customHeight="1" x14ac:dyDescent="0.3">
      <c r="A293" s="21">
        <v>4</v>
      </c>
      <c r="B293" s="25">
        <v>45766</v>
      </c>
      <c r="C293" s="29" t="s">
        <v>315</v>
      </c>
      <c r="D293" s="36">
        <v>1</v>
      </c>
      <c r="E293" s="41" t="s">
        <v>386</v>
      </c>
      <c r="F293" s="42">
        <v>7.0000000000000007E-2</v>
      </c>
      <c r="G293" s="9">
        <v>7.0000000000000007E-2</v>
      </c>
      <c r="H293" s="45">
        <v>1</v>
      </c>
      <c r="I293" s="9">
        <v>1</v>
      </c>
      <c r="J293" s="80" t="s">
        <v>338</v>
      </c>
      <c r="K293" s="43">
        <v>0.92999999999999994</v>
      </c>
      <c r="L293" s="45" t="s">
        <v>15</v>
      </c>
    </row>
    <row r="294" spans="1:12" ht="15" customHeight="1" x14ac:dyDescent="0.3">
      <c r="A294" s="21">
        <v>4</v>
      </c>
      <c r="B294" s="25">
        <v>45766</v>
      </c>
      <c r="C294" s="29" t="s">
        <v>660</v>
      </c>
      <c r="D294" s="36">
        <v>3</v>
      </c>
      <c r="E294" s="41" t="s">
        <v>485</v>
      </c>
      <c r="F294" s="42">
        <v>10</v>
      </c>
      <c r="G294" s="9">
        <v>30</v>
      </c>
      <c r="H294" s="45">
        <v>10</v>
      </c>
      <c r="I294" s="9">
        <v>30</v>
      </c>
      <c r="J294" s="80" t="s">
        <v>338</v>
      </c>
      <c r="K294" s="43">
        <v>0</v>
      </c>
      <c r="L294" s="45" t="s">
        <v>15</v>
      </c>
    </row>
    <row r="295" spans="1:12" ht="15" customHeight="1" x14ac:dyDescent="0.3">
      <c r="A295" s="21">
        <v>4</v>
      </c>
      <c r="B295" s="25">
        <v>45769</v>
      </c>
      <c r="C295" s="29" t="s">
        <v>666</v>
      </c>
      <c r="D295" s="36">
        <v>1</v>
      </c>
      <c r="E295" s="41" t="s">
        <v>232</v>
      </c>
      <c r="F295" s="42">
        <v>5</v>
      </c>
      <c r="G295" s="9">
        <v>5</v>
      </c>
      <c r="H295" s="45">
        <v>5</v>
      </c>
      <c r="I295" s="9">
        <v>5</v>
      </c>
      <c r="J295" s="80" t="s">
        <v>338</v>
      </c>
      <c r="K295" s="43">
        <v>0</v>
      </c>
      <c r="L295" s="45" t="s">
        <v>15</v>
      </c>
    </row>
    <row r="296" spans="1:12" ht="15" customHeight="1" x14ac:dyDescent="0.3">
      <c r="A296" s="21">
        <v>4</v>
      </c>
      <c r="B296" s="25">
        <v>45769</v>
      </c>
      <c r="C296" s="29" t="s">
        <v>350</v>
      </c>
      <c r="D296" s="36">
        <v>1</v>
      </c>
      <c r="E296" s="41" t="s">
        <v>610</v>
      </c>
      <c r="F296" s="42">
        <v>10</v>
      </c>
      <c r="G296" s="9">
        <v>10</v>
      </c>
      <c r="H296" s="45">
        <v>20</v>
      </c>
      <c r="I296" s="9">
        <v>20</v>
      </c>
      <c r="J296" s="80" t="s">
        <v>338</v>
      </c>
      <c r="K296" s="43">
        <v>10</v>
      </c>
      <c r="L296" s="45" t="s">
        <v>15</v>
      </c>
    </row>
    <row r="297" spans="1:12" ht="15" customHeight="1" x14ac:dyDescent="0.3">
      <c r="A297" s="21">
        <v>4</v>
      </c>
      <c r="B297" s="25">
        <v>45769</v>
      </c>
      <c r="C297" s="29" t="s">
        <v>660</v>
      </c>
      <c r="D297" s="36">
        <v>1</v>
      </c>
      <c r="E297" s="41" t="s">
        <v>610</v>
      </c>
      <c r="F297" s="42">
        <v>10</v>
      </c>
      <c r="G297" s="9">
        <v>10</v>
      </c>
      <c r="H297" s="45">
        <v>10</v>
      </c>
      <c r="I297" s="9">
        <v>10</v>
      </c>
      <c r="J297" s="80" t="s">
        <v>338</v>
      </c>
      <c r="K297" s="43">
        <v>0</v>
      </c>
      <c r="L297" s="45" t="s">
        <v>15</v>
      </c>
    </row>
    <row r="298" spans="1:12" ht="15" customHeight="1" x14ac:dyDescent="0.3">
      <c r="A298" s="21">
        <v>4</v>
      </c>
      <c r="B298" s="25">
        <v>45769</v>
      </c>
      <c r="C298" s="29" t="s">
        <v>660</v>
      </c>
      <c r="D298" s="36">
        <v>1</v>
      </c>
      <c r="E298" s="41" t="s">
        <v>535</v>
      </c>
      <c r="F298" s="42">
        <v>10</v>
      </c>
      <c r="G298" s="9">
        <v>10</v>
      </c>
      <c r="H298" s="45">
        <v>10</v>
      </c>
      <c r="I298" s="9">
        <v>10</v>
      </c>
      <c r="J298" s="80" t="s">
        <v>338</v>
      </c>
      <c r="K298" s="43">
        <v>0</v>
      </c>
      <c r="L298" s="45" t="s">
        <v>15</v>
      </c>
    </row>
    <row r="299" spans="1:12" ht="15" customHeight="1" x14ac:dyDescent="0.3">
      <c r="A299" s="21">
        <v>4</v>
      </c>
      <c r="B299" s="25">
        <v>45769</v>
      </c>
      <c r="C299" s="29" t="s">
        <v>660</v>
      </c>
      <c r="D299" s="36">
        <v>1</v>
      </c>
      <c r="E299" s="41" t="s">
        <v>340</v>
      </c>
      <c r="F299" s="42">
        <v>10</v>
      </c>
      <c r="G299" s="9">
        <v>10</v>
      </c>
      <c r="H299" s="45">
        <v>10</v>
      </c>
      <c r="I299" s="9">
        <v>10</v>
      </c>
      <c r="J299" s="80" t="s">
        <v>338</v>
      </c>
      <c r="K299" s="43">
        <v>0</v>
      </c>
      <c r="L299" s="45" t="s">
        <v>15</v>
      </c>
    </row>
    <row r="300" spans="1:12" ht="15" customHeight="1" x14ac:dyDescent="0.3">
      <c r="A300" s="21">
        <v>4</v>
      </c>
      <c r="B300" s="25">
        <v>45769</v>
      </c>
      <c r="C300" s="29" t="s">
        <v>666</v>
      </c>
      <c r="D300" s="36">
        <v>1</v>
      </c>
      <c r="E300" s="41" t="s">
        <v>340</v>
      </c>
      <c r="F300" s="42">
        <v>5</v>
      </c>
      <c r="G300" s="9">
        <v>5</v>
      </c>
      <c r="H300" s="45">
        <v>5</v>
      </c>
      <c r="I300" s="9">
        <v>5</v>
      </c>
      <c r="J300" s="80" t="s">
        <v>338</v>
      </c>
      <c r="K300" s="43">
        <v>0</v>
      </c>
      <c r="L300" s="45" t="s">
        <v>15</v>
      </c>
    </row>
    <row r="301" spans="1:12" ht="15" customHeight="1" x14ac:dyDescent="0.3">
      <c r="A301" s="21">
        <v>4</v>
      </c>
      <c r="B301" s="25">
        <v>45769</v>
      </c>
      <c r="C301" s="29" t="s">
        <v>660</v>
      </c>
      <c r="D301" s="36">
        <v>1</v>
      </c>
      <c r="E301" s="41" t="s">
        <v>331</v>
      </c>
      <c r="F301" s="42">
        <v>10</v>
      </c>
      <c r="G301" s="9">
        <v>10</v>
      </c>
      <c r="H301" s="45">
        <v>10</v>
      </c>
      <c r="I301" s="9">
        <v>10</v>
      </c>
      <c r="J301" s="80" t="s">
        <v>338</v>
      </c>
      <c r="K301" s="43">
        <v>0</v>
      </c>
      <c r="L301" s="45" t="s">
        <v>15</v>
      </c>
    </row>
    <row r="302" spans="1:12" ht="15" customHeight="1" x14ac:dyDescent="0.3">
      <c r="A302" s="21">
        <v>4</v>
      </c>
      <c r="B302" s="25">
        <v>45770</v>
      </c>
      <c r="C302" s="29" t="s">
        <v>313</v>
      </c>
      <c r="D302" s="36">
        <v>1</v>
      </c>
      <c r="E302" s="41" t="s">
        <v>20</v>
      </c>
      <c r="F302" s="42">
        <v>3</v>
      </c>
      <c r="G302" s="9">
        <v>3</v>
      </c>
      <c r="H302" s="45">
        <v>15</v>
      </c>
      <c r="I302" s="9">
        <v>15</v>
      </c>
      <c r="J302" s="80" t="s">
        <v>338</v>
      </c>
      <c r="K302" s="43">
        <v>12</v>
      </c>
      <c r="L302" s="45" t="s">
        <v>15</v>
      </c>
    </row>
    <row r="303" spans="1:12" ht="15" customHeight="1" x14ac:dyDescent="0.3">
      <c r="A303" s="21">
        <v>4</v>
      </c>
      <c r="B303" s="25">
        <v>45770</v>
      </c>
      <c r="C303" s="29" t="s">
        <v>379</v>
      </c>
      <c r="D303" s="36">
        <v>3</v>
      </c>
      <c r="E303" s="41" t="s">
        <v>20</v>
      </c>
      <c r="F303" s="42">
        <v>2.5</v>
      </c>
      <c r="G303" s="9">
        <v>7.5</v>
      </c>
      <c r="H303" s="45">
        <v>5</v>
      </c>
      <c r="I303" s="9">
        <v>15</v>
      </c>
      <c r="J303" s="80" t="s">
        <v>338</v>
      </c>
      <c r="K303" s="43">
        <v>7.5</v>
      </c>
      <c r="L303" s="45" t="s">
        <v>15</v>
      </c>
    </row>
    <row r="304" spans="1:12" ht="15" customHeight="1" x14ac:dyDescent="0.3">
      <c r="A304" s="21">
        <v>4</v>
      </c>
      <c r="B304" s="25">
        <v>45770</v>
      </c>
      <c r="C304" s="29" t="s">
        <v>392</v>
      </c>
      <c r="D304" s="36">
        <v>1</v>
      </c>
      <c r="E304" s="41" t="s">
        <v>20</v>
      </c>
      <c r="F304" s="42">
        <v>10</v>
      </c>
      <c r="G304" s="9">
        <v>10</v>
      </c>
      <c r="H304" s="45">
        <v>15</v>
      </c>
      <c r="I304" s="9">
        <v>15</v>
      </c>
      <c r="J304" s="80" t="s">
        <v>338</v>
      </c>
      <c r="K304" s="43">
        <v>5</v>
      </c>
      <c r="L304" s="45" t="s">
        <v>15</v>
      </c>
    </row>
    <row r="305" spans="1:12" ht="15" customHeight="1" x14ac:dyDescent="0.3">
      <c r="A305" s="21">
        <v>4</v>
      </c>
      <c r="B305" s="25">
        <v>45770</v>
      </c>
      <c r="C305" s="29" t="s">
        <v>326</v>
      </c>
      <c r="D305" s="36">
        <v>1</v>
      </c>
      <c r="E305" s="41" t="s">
        <v>20</v>
      </c>
      <c r="F305" s="42">
        <v>0.05</v>
      </c>
      <c r="G305" s="9">
        <v>0.05</v>
      </c>
      <c r="H305" s="45">
        <v>1</v>
      </c>
      <c r="I305" s="9">
        <v>1</v>
      </c>
      <c r="J305" s="80" t="s">
        <v>338</v>
      </c>
      <c r="K305" s="43">
        <v>0.95</v>
      </c>
      <c r="L305" s="45" t="s">
        <v>15</v>
      </c>
    </row>
    <row r="306" spans="1:12" ht="15" customHeight="1" x14ac:dyDescent="0.3">
      <c r="A306" s="21">
        <v>4</v>
      </c>
      <c r="B306" s="25">
        <v>45770</v>
      </c>
      <c r="C306" s="29" t="s">
        <v>315</v>
      </c>
      <c r="D306" s="36">
        <v>97</v>
      </c>
      <c r="E306" s="41" t="s">
        <v>20</v>
      </c>
      <c r="F306" s="42">
        <v>7.0000000000000007E-2</v>
      </c>
      <c r="G306" s="9">
        <v>6.7900000000000009</v>
      </c>
      <c r="H306" s="45">
        <v>0.5</v>
      </c>
      <c r="I306" s="9">
        <v>48.5</v>
      </c>
      <c r="J306" s="80" t="s">
        <v>338</v>
      </c>
      <c r="K306" s="43">
        <v>41.71</v>
      </c>
      <c r="L306" s="45" t="s">
        <v>15</v>
      </c>
    </row>
    <row r="307" spans="1:12" ht="15" customHeight="1" x14ac:dyDescent="0.3">
      <c r="A307" s="21">
        <v>4</v>
      </c>
      <c r="B307" s="25">
        <v>45770</v>
      </c>
      <c r="C307" s="29" t="s">
        <v>431</v>
      </c>
      <c r="D307" s="36">
        <v>1</v>
      </c>
      <c r="E307" s="41" t="s">
        <v>20</v>
      </c>
      <c r="F307" s="42">
        <v>0</v>
      </c>
      <c r="G307" s="9">
        <v>0</v>
      </c>
      <c r="H307" s="45">
        <v>10</v>
      </c>
      <c r="I307" s="9">
        <v>10</v>
      </c>
      <c r="J307" s="80" t="s">
        <v>338</v>
      </c>
      <c r="K307" s="43">
        <v>10</v>
      </c>
      <c r="L307" s="45" t="s">
        <v>15</v>
      </c>
    </row>
    <row r="308" spans="1:12" ht="15" customHeight="1" x14ac:dyDescent="0.3">
      <c r="A308" s="21">
        <v>4</v>
      </c>
      <c r="B308" s="25">
        <v>45770</v>
      </c>
      <c r="C308" s="29" t="s">
        <v>170</v>
      </c>
      <c r="D308" s="36">
        <v>1</v>
      </c>
      <c r="E308" s="41" t="s">
        <v>20</v>
      </c>
      <c r="F308" s="42">
        <v>8</v>
      </c>
      <c r="G308" s="9">
        <v>8</v>
      </c>
      <c r="H308" s="45">
        <v>20</v>
      </c>
      <c r="I308" s="9">
        <v>20</v>
      </c>
      <c r="J308" s="80" t="s">
        <v>338</v>
      </c>
      <c r="K308" s="43">
        <v>12</v>
      </c>
      <c r="L308" s="45" t="s">
        <v>15</v>
      </c>
    </row>
    <row r="309" spans="1:12" s="55" customFormat="1" ht="15" customHeight="1" x14ac:dyDescent="0.3">
      <c r="A309" s="59">
        <v>4</v>
      </c>
      <c r="B309" s="62">
        <v>45770</v>
      </c>
      <c r="C309" s="65" t="s">
        <v>553</v>
      </c>
      <c r="D309" s="70">
        <v>1</v>
      </c>
      <c r="E309" s="73" t="s">
        <v>667</v>
      </c>
      <c r="F309" s="42" t="s">
        <v>72</v>
      </c>
      <c r="G309" s="9">
        <v>0</v>
      </c>
      <c r="H309" s="78">
        <v>2020</v>
      </c>
      <c r="I309" s="9">
        <v>2020</v>
      </c>
      <c r="J309" s="81" t="s">
        <v>338</v>
      </c>
      <c r="K309" s="43">
        <v>2020</v>
      </c>
      <c r="L309" s="78" t="s">
        <v>15</v>
      </c>
    </row>
    <row r="310" spans="1:12" ht="15" customHeight="1" x14ac:dyDescent="0.3">
      <c r="A310" s="21">
        <v>4</v>
      </c>
      <c r="B310" s="25">
        <v>45770</v>
      </c>
      <c r="C310" s="29" t="s">
        <v>660</v>
      </c>
      <c r="D310" s="36">
        <v>2</v>
      </c>
      <c r="E310" s="41" t="s">
        <v>485</v>
      </c>
      <c r="F310" s="42">
        <v>10</v>
      </c>
      <c r="G310" s="9">
        <v>20</v>
      </c>
      <c r="H310" s="45">
        <v>10</v>
      </c>
      <c r="I310" s="9">
        <v>20</v>
      </c>
      <c r="J310" s="80" t="s">
        <v>338</v>
      </c>
      <c r="K310" s="43">
        <v>0</v>
      </c>
      <c r="L310" s="45" t="s">
        <v>15</v>
      </c>
    </row>
    <row r="311" spans="1:12" ht="15" customHeight="1" x14ac:dyDescent="0.3">
      <c r="A311" s="21">
        <v>4</v>
      </c>
      <c r="B311" s="25">
        <v>45770</v>
      </c>
      <c r="C311" s="29" t="s">
        <v>660</v>
      </c>
      <c r="D311" s="36">
        <v>1</v>
      </c>
      <c r="E311" s="41" t="s">
        <v>640</v>
      </c>
      <c r="F311" s="42">
        <v>10</v>
      </c>
      <c r="G311" s="9">
        <v>10</v>
      </c>
      <c r="H311" s="45">
        <v>10</v>
      </c>
      <c r="I311" s="9">
        <v>10</v>
      </c>
      <c r="J311" s="80" t="s">
        <v>338</v>
      </c>
      <c r="K311" s="43">
        <v>0</v>
      </c>
      <c r="L311" s="45" t="s">
        <v>15</v>
      </c>
    </row>
    <row r="312" spans="1:12" ht="15" customHeight="1" x14ac:dyDescent="0.3">
      <c r="A312" s="21">
        <v>4</v>
      </c>
      <c r="B312" s="25">
        <v>45770</v>
      </c>
      <c r="C312" s="29" t="s">
        <v>315</v>
      </c>
      <c r="D312" s="36">
        <v>1</v>
      </c>
      <c r="E312" s="41" t="s">
        <v>20</v>
      </c>
      <c r="F312" s="42">
        <v>7.0000000000000007E-2</v>
      </c>
      <c r="G312" s="9">
        <v>7.0000000000000007E-2</v>
      </c>
      <c r="H312" s="45">
        <v>1</v>
      </c>
      <c r="I312" s="9">
        <v>1</v>
      </c>
      <c r="J312" s="80" t="s">
        <v>338</v>
      </c>
      <c r="K312" s="43">
        <v>0.92999999999999994</v>
      </c>
      <c r="L312" s="45" t="s">
        <v>15</v>
      </c>
    </row>
    <row r="313" spans="1:12" ht="15" customHeight="1" x14ac:dyDescent="0.3">
      <c r="A313" s="21">
        <v>4</v>
      </c>
      <c r="B313" s="25">
        <v>45770</v>
      </c>
      <c r="C313" s="29" t="s">
        <v>668</v>
      </c>
      <c r="D313" s="36">
        <v>1</v>
      </c>
      <c r="E313" s="41" t="s">
        <v>20</v>
      </c>
      <c r="F313" s="42">
        <v>270</v>
      </c>
      <c r="G313" s="9">
        <v>270</v>
      </c>
      <c r="H313" s="45">
        <v>400</v>
      </c>
      <c r="I313" s="9">
        <v>400</v>
      </c>
      <c r="J313" s="80" t="s">
        <v>338</v>
      </c>
      <c r="K313" s="43">
        <v>130</v>
      </c>
      <c r="L313" s="45" t="s">
        <v>15</v>
      </c>
    </row>
    <row r="314" spans="1:12" ht="15" customHeight="1" x14ac:dyDescent="0.3">
      <c r="A314" s="21">
        <v>4</v>
      </c>
      <c r="B314" s="25">
        <v>45770</v>
      </c>
      <c r="C314" s="29" t="s">
        <v>660</v>
      </c>
      <c r="D314" s="36">
        <v>2</v>
      </c>
      <c r="E314" s="41" t="s">
        <v>669</v>
      </c>
      <c r="F314" s="42">
        <v>10</v>
      </c>
      <c r="G314" s="9">
        <v>20</v>
      </c>
      <c r="H314" s="79">
        <v>7.5</v>
      </c>
      <c r="I314" s="9">
        <v>15</v>
      </c>
      <c r="J314" s="80" t="s">
        <v>338</v>
      </c>
      <c r="K314" s="43">
        <v>10</v>
      </c>
      <c r="L314" s="45" t="s">
        <v>15</v>
      </c>
    </row>
    <row r="315" spans="1:12" ht="15" customHeight="1" x14ac:dyDescent="0.3">
      <c r="A315" s="21">
        <v>4</v>
      </c>
      <c r="B315" s="25">
        <v>45770</v>
      </c>
      <c r="C315" s="29" t="s">
        <v>666</v>
      </c>
      <c r="D315" s="36">
        <v>1</v>
      </c>
      <c r="E315" s="41" t="s">
        <v>669</v>
      </c>
      <c r="F315" s="42">
        <v>5</v>
      </c>
      <c r="G315" s="9">
        <v>5</v>
      </c>
      <c r="H315" s="45">
        <v>3</v>
      </c>
      <c r="I315" s="9">
        <v>3</v>
      </c>
      <c r="J315" s="80" t="s">
        <v>338</v>
      </c>
      <c r="K315" s="43">
        <v>5</v>
      </c>
      <c r="L315" s="45" t="s">
        <v>15</v>
      </c>
    </row>
    <row r="316" spans="1:12" ht="15" customHeight="1" x14ac:dyDescent="0.3">
      <c r="A316" s="21">
        <v>4</v>
      </c>
      <c r="B316" s="25">
        <v>45770</v>
      </c>
      <c r="C316" s="29" t="s">
        <v>470</v>
      </c>
      <c r="D316" s="36">
        <v>2</v>
      </c>
      <c r="E316" s="41" t="s">
        <v>670</v>
      </c>
      <c r="F316" s="42">
        <v>30</v>
      </c>
      <c r="G316" s="9">
        <v>60</v>
      </c>
      <c r="H316" s="45">
        <v>55</v>
      </c>
      <c r="I316" s="9">
        <v>110</v>
      </c>
      <c r="J316" s="80" t="s">
        <v>338</v>
      </c>
      <c r="K316" s="43">
        <v>50</v>
      </c>
      <c r="L316" s="45" t="s">
        <v>15</v>
      </c>
    </row>
    <row r="317" spans="1:12" ht="15" customHeight="1" x14ac:dyDescent="0.3">
      <c r="A317" s="21">
        <v>4</v>
      </c>
      <c r="B317" s="25">
        <v>45770</v>
      </c>
      <c r="C317" s="29" t="s">
        <v>315</v>
      </c>
      <c r="D317" s="36">
        <v>4</v>
      </c>
      <c r="E317" s="41" t="s">
        <v>20</v>
      </c>
      <c r="F317" s="42">
        <v>7.0000000000000007E-2</v>
      </c>
      <c r="G317" s="9">
        <v>0.28000000000000003</v>
      </c>
      <c r="H317" s="45">
        <v>1</v>
      </c>
      <c r="I317" s="9">
        <v>4</v>
      </c>
      <c r="J317" s="80" t="s">
        <v>338</v>
      </c>
      <c r="K317" s="43">
        <v>3.7199999999999998</v>
      </c>
      <c r="L317" s="45" t="s">
        <v>15</v>
      </c>
    </row>
    <row r="318" spans="1:12" ht="15" customHeight="1" x14ac:dyDescent="0.3">
      <c r="A318" s="21">
        <v>4</v>
      </c>
      <c r="B318" s="25">
        <v>45773</v>
      </c>
      <c r="C318" s="29" t="s">
        <v>671</v>
      </c>
      <c r="D318" s="36">
        <v>1</v>
      </c>
      <c r="E318" s="41" t="s">
        <v>20</v>
      </c>
      <c r="F318" s="42" t="s">
        <v>72</v>
      </c>
      <c r="G318" s="9">
        <v>0</v>
      </c>
      <c r="H318" s="45">
        <v>80</v>
      </c>
      <c r="I318" s="9">
        <v>80</v>
      </c>
      <c r="J318" s="80" t="s">
        <v>338</v>
      </c>
      <c r="K318" s="43">
        <v>80</v>
      </c>
      <c r="L318" s="45" t="s">
        <v>15</v>
      </c>
    </row>
    <row r="319" spans="1:12" ht="15" customHeight="1" x14ac:dyDescent="0.3">
      <c r="A319" s="21">
        <v>4</v>
      </c>
      <c r="B319" s="25">
        <v>45773</v>
      </c>
      <c r="C319" s="29" t="s">
        <v>672</v>
      </c>
      <c r="D319" s="36">
        <v>1</v>
      </c>
      <c r="E319" s="41" t="s">
        <v>20</v>
      </c>
      <c r="F319" s="42" t="s">
        <v>72</v>
      </c>
      <c r="G319" s="9">
        <v>0</v>
      </c>
      <c r="H319" s="45">
        <v>10</v>
      </c>
      <c r="I319" s="9">
        <v>10</v>
      </c>
      <c r="J319" s="80" t="s">
        <v>338</v>
      </c>
      <c r="K319" s="43">
        <v>10</v>
      </c>
      <c r="L319" s="45" t="s">
        <v>15</v>
      </c>
    </row>
    <row r="320" spans="1:12" ht="15" customHeight="1" x14ac:dyDescent="0.3">
      <c r="A320" s="21">
        <v>4</v>
      </c>
      <c r="B320" s="25">
        <v>45775</v>
      </c>
      <c r="C320" s="29" t="s">
        <v>315</v>
      </c>
      <c r="D320" s="36">
        <v>1</v>
      </c>
      <c r="E320" s="41" t="s">
        <v>20</v>
      </c>
      <c r="F320" s="42">
        <v>7.0000000000000007E-2</v>
      </c>
      <c r="G320" s="9">
        <v>7.0000000000000007E-2</v>
      </c>
      <c r="H320" s="45">
        <v>1</v>
      </c>
      <c r="I320" s="9">
        <v>1</v>
      </c>
      <c r="J320" s="80" t="s">
        <v>338</v>
      </c>
      <c r="K320" s="43">
        <v>0.92999999999999994</v>
      </c>
      <c r="L320" s="45" t="s">
        <v>15</v>
      </c>
    </row>
    <row r="321" spans="1:12" ht="15" customHeight="1" x14ac:dyDescent="0.3">
      <c r="A321" s="21">
        <v>4</v>
      </c>
      <c r="B321" s="25">
        <v>45775</v>
      </c>
      <c r="C321" s="29" t="s">
        <v>673</v>
      </c>
      <c r="D321" s="36">
        <v>3</v>
      </c>
      <c r="E321" s="41" t="s">
        <v>674</v>
      </c>
      <c r="F321" s="42">
        <v>17</v>
      </c>
      <c r="G321" s="9">
        <v>51</v>
      </c>
      <c r="H321" s="45">
        <v>20</v>
      </c>
      <c r="I321" s="9">
        <v>60</v>
      </c>
      <c r="J321" s="80" t="s">
        <v>338</v>
      </c>
      <c r="K321" s="43">
        <v>9</v>
      </c>
      <c r="L321" s="45" t="s">
        <v>15</v>
      </c>
    </row>
    <row r="322" spans="1:12" ht="15" customHeight="1" x14ac:dyDescent="0.3">
      <c r="A322" s="21">
        <v>4</v>
      </c>
      <c r="B322" s="25">
        <v>45775</v>
      </c>
      <c r="C322" s="29" t="s">
        <v>553</v>
      </c>
      <c r="D322" s="36">
        <v>1</v>
      </c>
      <c r="E322" s="41" t="s">
        <v>674</v>
      </c>
      <c r="F322" s="42" t="s">
        <v>72</v>
      </c>
      <c r="G322" s="9">
        <v>0</v>
      </c>
      <c r="H322" s="45">
        <v>50</v>
      </c>
      <c r="I322" s="9">
        <v>50</v>
      </c>
      <c r="J322" s="80" t="s">
        <v>338</v>
      </c>
      <c r="K322" s="43">
        <v>50</v>
      </c>
      <c r="L322" s="45" t="s">
        <v>15</v>
      </c>
    </row>
    <row r="323" spans="1:12" ht="15" customHeight="1" x14ac:dyDescent="0.3">
      <c r="A323" s="21">
        <v>4</v>
      </c>
      <c r="B323" s="25">
        <v>45775</v>
      </c>
      <c r="C323" s="29" t="s">
        <v>315</v>
      </c>
      <c r="D323" s="36">
        <v>2</v>
      </c>
      <c r="E323" s="41" t="s">
        <v>20</v>
      </c>
      <c r="F323" s="42">
        <v>7.0000000000000007E-2</v>
      </c>
      <c r="G323" s="9">
        <v>0.14000000000000001</v>
      </c>
      <c r="H323" s="45">
        <v>1</v>
      </c>
      <c r="I323" s="9">
        <v>2</v>
      </c>
      <c r="J323" s="80" t="s">
        <v>338</v>
      </c>
      <c r="K323" s="43">
        <v>1.8599999999999999</v>
      </c>
      <c r="L323" s="45" t="s">
        <v>15</v>
      </c>
    </row>
    <row r="324" spans="1:12" ht="15" customHeight="1" x14ac:dyDescent="0.3">
      <c r="A324" s="21">
        <v>4</v>
      </c>
      <c r="B324" s="25">
        <v>45775</v>
      </c>
      <c r="C324" s="29" t="s">
        <v>491</v>
      </c>
      <c r="D324" s="36">
        <v>1</v>
      </c>
      <c r="E324" s="41" t="s">
        <v>20</v>
      </c>
      <c r="F324" s="42">
        <v>0.8</v>
      </c>
      <c r="G324" s="9">
        <v>0.8</v>
      </c>
      <c r="H324" s="45">
        <v>5</v>
      </c>
      <c r="I324" s="9">
        <v>5</v>
      </c>
      <c r="J324" s="80" t="s">
        <v>338</v>
      </c>
      <c r="K324" s="43">
        <v>4.2</v>
      </c>
      <c r="L324" s="45" t="s">
        <v>15</v>
      </c>
    </row>
    <row r="325" spans="1:12" ht="15" customHeight="1" x14ac:dyDescent="0.3">
      <c r="A325" s="21">
        <v>4</v>
      </c>
      <c r="B325" s="25">
        <v>45776</v>
      </c>
      <c r="C325" s="29" t="s">
        <v>267</v>
      </c>
      <c r="D325" s="36">
        <v>1</v>
      </c>
      <c r="E325" s="41" t="s">
        <v>20</v>
      </c>
      <c r="F325" s="42">
        <v>0</v>
      </c>
      <c r="G325" s="9">
        <v>0</v>
      </c>
      <c r="H325" s="45">
        <v>5</v>
      </c>
      <c r="I325" s="9">
        <v>5</v>
      </c>
      <c r="J325" s="80" t="s">
        <v>338</v>
      </c>
      <c r="K325" s="43">
        <v>5</v>
      </c>
      <c r="L325" s="45" t="s">
        <v>15</v>
      </c>
    </row>
    <row r="326" spans="1:12" ht="15" customHeight="1" x14ac:dyDescent="0.3">
      <c r="A326" s="21">
        <v>4</v>
      </c>
      <c r="B326" s="25">
        <v>45776</v>
      </c>
      <c r="C326" s="29" t="s">
        <v>675</v>
      </c>
      <c r="D326" s="36">
        <v>1</v>
      </c>
      <c r="E326" s="41" t="s">
        <v>20</v>
      </c>
      <c r="F326" s="42" t="s">
        <v>72</v>
      </c>
      <c r="G326" s="9">
        <v>0</v>
      </c>
      <c r="H326" s="45">
        <v>15</v>
      </c>
      <c r="I326" s="9">
        <v>15</v>
      </c>
      <c r="J326" s="80" t="s">
        <v>338</v>
      </c>
      <c r="K326" s="43">
        <v>15</v>
      </c>
      <c r="L326" s="45" t="s">
        <v>15</v>
      </c>
    </row>
    <row r="327" spans="1:12" ht="15" customHeight="1" x14ac:dyDescent="0.3">
      <c r="A327" s="21">
        <v>4</v>
      </c>
      <c r="B327" s="25">
        <v>45776</v>
      </c>
      <c r="C327" s="29" t="s">
        <v>315</v>
      </c>
      <c r="D327" s="36">
        <v>6</v>
      </c>
      <c r="E327" s="41" t="s">
        <v>20</v>
      </c>
      <c r="F327" s="42">
        <v>7.0000000000000007E-2</v>
      </c>
      <c r="G327" s="9">
        <v>0.42000000000000004</v>
      </c>
      <c r="H327" s="45">
        <v>1</v>
      </c>
      <c r="I327" s="9">
        <v>6</v>
      </c>
      <c r="J327" s="80" t="s">
        <v>338</v>
      </c>
      <c r="K327" s="43">
        <v>5.58</v>
      </c>
      <c r="L327" s="45" t="s">
        <v>15</v>
      </c>
    </row>
    <row r="328" spans="1:12" ht="15" customHeight="1" x14ac:dyDescent="0.3">
      <c r="A328" s="21">
        <v>4</v>
      </c>
      <c r="B328" s="25">
        <v>45776</v>
      </c>
      <c r="C328" s="29" t="s">
        <v>267</v>
      </c>
      <c r="D328" s="36">
        <v>1</v>
      </c>
      <c r="E328" s="41" t="s">
        <v>20</v>
      </c>
      <c r="F328" s="42">
        <v>0</v>
      </c>
      <c r="G328" s="9">
        <v>0</v>
      </c>
      <c r="H328" s="45">
        <v>7</v>
      </c>
      <c r="I328" s="9">
        <v>7</v>
      </c>
      <c r="J328" s="80" t="s">
        <v>338</v>
      </c>
      <c r="K328" s="43">
        <v>7</v>
      </c>
      <c r="L328" s="45" t="s">
        <v>15</v>
      </c>
    </row>
    <row r="329" spans="1:12" ht="15" customHeight="1" x14ac:dyDescent="0.3">
      <c r="A329" s="21">
        <v>4</v>
      </c>
      <c r="B329" s="25">
        <v>45776</v>
      </c>
      <c r="C329" s="29" t="s">
        <v>676</v>
      </c>
      <c r="D329" s="36">
        <v>4</v>
      </c>
      <c r="E329" s="41" t="s">
        <v>20</v>
      </c>
      <c r="F329" s="42">
        <v>3.5</v>
      </c>
      <c r="G329" s="9">
        <v>14</v>
      </c>
      <c r="H329" s="45">
        <v>7.5</v>
      </c>
      <c r="I329" s="9">
        <v>30</v>
      </c>
      <c r="J329" s="80" t="s">
        <v>338</v>
      </c>
      <c r="K329" s="43">
        <v>16</v>
      </c>
      <c r="L329" s="45" t="s">
        <v>15</v>
      </c>
    </row>
    <row r="330" spans="1:12" ht="15" customHeight="1" x14ac:dyDescent="0.3">
      <c r="A330" s="21">
        <v>4</v>
      </c>
      <c r="B330" s="25">
        <v>45776</v>
      </c>
      <c r="C330" s="29" t="s">
        <v>677</v>
      </c>
      <c r="D330" s="36">
        <v>1</v>
      </c>
      <c r="E330" s="41" t="s">
        <v>20</v>
      </c>
      <c r="F330" s="42" t="s">
        <v>72</v>
      </c>
      <c r="G330" s="9">
        <v>0</v>
      </c>
      <c r="H330" s="45">
        <v>25</v>
      </c>
      <c r="I330" s="9">
        <v>25</v>
      </c>
      <c r="J330" s="80" t="s">
        <v>338</v>
      </c>
      <c r="K330" s="43">
        <v>25</v>
      </c>
      <c r="L330" s="45" t="s">
        <v>15</v>
      </c>
    </row>
    <row r="331" spans="1:12" ht="15" customHeight="1" x14ac:dyDescent="0.3">
      <c r="A331" s="21">
        <v>4</v>
      </c>
      <c r="B331" s="25">
        <v>45776</v>
      </c>
      <c r="C331" s="29" t="s">
        <v>186</v>
      </c>
      <c r="D331" s="36">
        <v>1</v>
      </c>
      <c r="E331" s="41" t="s">
        <v>20</v>
      </c>
      <c r="F331" s="42">
        <v>11</v>
      </c>
      <c r="G331" s="9">
        <v>11</v>
      </c>
      <c r="H331" s="45">
        <v>20</v>
      </c>
      <c r="I331" s="9">
        <v>20</v>
      </c>
      <c r="J331" s="80" t="s">
        <v>338</v>
      </c>
      <c r="K331" s="43">
        <v>9</v>
      </c>
      <c r="L331" s="45" t="s">
        <v>15</v>
      </c>
    </row>
    <row r="332" spans="1:12" ht="15" customHeight="1" x14ac:dyDescent="0.3">
      <c r="A332" s="21">
        <v>4</v>
      </c>
      <c r="B332" s="25">
        <v>45777</v>
      </c>
      <c r="C332" s="29" t="s">
        <v>326</v>
      </c>
      <c r="D332" s="36">
        <v>1</v>
      </c>
      <c r="E332" s="41" t="s">
        <v>20</v>
      </c>
      <c r="F332" s="42">
        <v>0.05</v>
      </c>
      <c r="G332" s="9">
        <v>0.05</v>
      </c>
      <c r="H332" s="45">
        <v>1</v>
      </c>
      <c r="I332" s="9">
        <v>1</v>
      </c>
      <c r="J332" s="80" t="s">
        <v>338</v>
      </c>
      <c r="K332" s="43">
        <v>0.95</v>
      </c>
      <c r="L332" s="45" t="s">
        <v>15</v>
      </c>
    </row>
    <row r="333" spans="1:12" ht="15" customHeight="1" x14ac:dyDescent="0.3">
      <c r="A333" s="21">
        <v>4</v>
      </c>
      <c r="B333" s="25">
        <v>45777</v>
      </c>
      <c r="C333" s="29" t="s">
        <v>315</v>
      </c>
      <c r="D333" s="36">
        <v>4</v>
      </c>
      <c r="E333" s="41" t="s">
        <v>20</v>
      </c>
      <c r="F333" s="42">
        <v>7.0000000000000007E-2</v>
      </c>
      <c r="G333" s="9">
        <v>0.28000000000000003</v>
      </c>
      <c r="H333" s="45">
        <v>1</v>
      </c>
      <c r="I333" s="9">
        <v>4</v>
      </c>
      <c r="J333" s="80" t="s">
        <v>338</v>
      </c>
      <c r="K333" s="43">
        <v>3.7199999999999998</v>
      </c>
      <c r="L333" s="45" t="s">
        <v>15</v>
      </c>
    </row>
    <row r="334" spans="1:12" ht="15" customHeight="1" x14ac:dyDescent="0.3">
      <c r="A334" s="21">
        <v>4</v>
      </c>
      <c r="B334" s="25">
        <v>45777</v>
      </c>
      <c r="C334" s="29" t="s">
        <v>676</v>
      </c>
      <c r="D334" s="36">
        <v>2</v>
      </c>
      <c r="E334" s="41" t="s">
        <v>20</v>
      </c>
      <c r="F334" s="42">
        <v>3.5</v>
      </c>
      <c r="G334" s="9">
        <v>7</v>
      </c>
      <c r="H334" s="45">
        <v>7.5</v>
      </c>
      <c r="I334" s="9">
        <v>15</v>
      </c>
      <c r="J334" s="80" t="s">
        <v>338</v>
      </c>
      <c r="K334" s="43">
        <v>8</v>
      </c>
      <c r="L334" s="45" t="s">
        <v>15</v>
      </c>
    </row>
    <row r="335" spans="1:12" ht="15" customHeight="1" x14ac:dyDescent="0.3">
      <c r="A335" s="21">
        <v>4</v>
      </c>
      <c r="B335" s="25">
        <v>45777</v>
      </c>
      <c r="C335" s="29" t="s">
        <v>643</v>
      </c>
      <c r="D335" s="36">
        <v>4</v>
      </c>
      <c r="E335" s="41" t="s">
        <v>20</v>
      </c>
      <c r="F335" s="42">
        <v>2</v>
      </c>
      <c r="G335" s="9">
        <v>8</v>
      </c>
      <c r="H335" s="45">
        <v>5</v>
      </c>
      <c r="I335" s="9">
        <v>20</v>
      </c>
      <c r="J335" s="80" t="s">
        <v>338</v>
      </c>
      <c r="K335" s="43">
        <v>12</v>
      </c>
      <c r="L335" s="45" t="s">
        <v>15</v>
      </c>
    </row>
    <row r="336" spans="1:12" ht="15" customHeight="1" x14ac:dyDescent="0.3">
      <c r="A336" s="21">
        <v>4</v>
      </c>
      <c r="B336" s="25">
        <v>45777</v>
      </c>
      <c r="C336" s="29" t="s">
        <v>678</v>
      </c>
      <c r="D336" s="36">
        <v>1</v>
      </c>
      <c r="E336" s="41" t="s">
        <v>20</v>
      </c>
      <c r="F336" s="42">
        <v>5</v>
      </c>
      <c r="G336" s="9">
        <v>5</v>
      </c>
      <c r="H336" s="45">
        <v>10</v>
      </c>
      <c r="I336" s="9">
        <v>10</v>
      </c>
      <c r="J336" s="80" t="s">
        <v>338</v>
      </c>
      <c r="K336" s="43">
        <v>5</v>
      </c>
      <c r="L336" s="45" t="s">
        <v>15</v>
      </c>
    </row>
    <row r="337" spans="1:12" ht="15" customHeight="1" x14ac:dyDescent="0.3">
      <c r="A337" s="21">
        <v>4</v>
      </c>
      <c r="B337" s="25">
        <v>45777</v>
      </c>
      <c r="C337" s="29" t="s">
        <v>313</v>
      </c>
      <c r="D337" s="36">
        <v>1</v>
      </c>
      <c r="E337" s="41" t="s">
        <v>20</v>
      </c>
      <c r="F337" s="42">
        <v>3</v>
      </c>
      <c r="G337" s="9">
        <v>3</v>
      </c>
      <c r="H337" s="45">
        <v>15</v>
      </c>
      <c r="I337" s="9">
        <v>15</v>
      </c>
      <c r="J337" s="80" t="s">
        <v>338</v>
      </c>
      <c r="K337" s="43">
        <v>12</v>
      </c>
      <c r="L337" s="45" t="s">
        <v>15</v>
      </c>
    </row>
    <row r="338" spans="1:12" ht="15" customHeight="1" x14ac:dyDescent="0.3">
      <c r="A338" s="21">
        <v>5</v>
      </c>
      <c r="B338" s="25">
        <v>45779</v>
      </c>
      <c r="C338" s="29" t="s">
        <v>656</v>
      </c>
      <c r="D338" s="36">
        <v>1</v>
      </c>
      <c r="E338" s="41" t="s">
        <v>20</v>
      </c>
      <c r="F338" s="42" t="s">
        <v>72</v>
      </c>
      <c r="G338" s="9">
        <v>0</v>
      </c>
      <c r="H338" s="45">
        <v>15</v>
      </c>
      <c r="I338" s="9">
        <v>15</v>
      </c>
      <c r="J338" s="80" t="s">
        <v>338</v>
      </c>
      <c r="K338" s="43">
        <v>15</v>
      </c>
      <c r="L338" s="45" t="s">
        <v>15</v>
      </c>
    </row>
    <row r="339" spans="1:12" ht="15" customHeight="1" x14ac:dyDescent="0.3">
      <c r="A339" s="21">
        <v>5</v>
      </c>
      <c r="B339" s="25">
        <v>45779</v>
      </c>
      <c r="C339" s="29" t="s">
        <v>552</v>
      </c>
      <c r="D339" s="36">
        <v>1</v>
      </c>
      <c r="E339" s="41" t="s">
        <v>20</v>
      </c>
      <c r="F339" s="42" t="s">
        <v>72</v>
      </c>
      <c r="G339" s="9">
        <v>0</v>
      </c>
      <c r="H339" s="45">
        <v>30</v>
      </c>
      <c r="I339" s="9">
        <v>30</v>
      </c>
      <c r="J339" s="80" t="s">
        <v>338</v>
      </c>
      <c r="K339" s="43">
        <v>30</v>
      </c>
      <c r="L339" s="45" t="s">
        <v>15</v>
      </c>
    </row>
    <row r="340" spans="1:12" ht="15" customHeight="1" x14ac:dyDescent="0.3">
      <c r="A340" s="21">
        <v>5</v>
      </c>
      <c r="B340" s="25">
        <v>45779</v>
      </c>
      <c r="C340" s="29" t="s">
        <v>313</v>
      </c>
      <c r="D340" s="36">
        <v>1</v>
      </c>
      <c r="E340" s="41" t="s">
        <v>20</v>
      </c>
      <c r="F340" s="42">
        <v>3</v>
      </c>
      <c r="G340" s="9">
        <v>3</v>
      </c>
      <c r="H340" s="45">
        <v>15</v>
      </c>
      <c r="I340" s="9">
        <v>15</v>
      </c>
      <c r="J340" s="80" t="s">
        <v>338</v>
      </c>
      <c r="K340" s="43">
        <v>12</v>
      </c>
      <c r="L340" s="45" t="s">
        <v>15</v>
      </c>
    </row>
    <row r="341" spans="1:12" ht="15" customHeight="1" x14ac:dyDescent="0.3">
      <c r="A341" s="21">
        <v>5</v>
      </c>
      <c r="B341" s="25">
        <v>45779</v>
      </c>
      <c r="C341" s="29" t="s">
        <v>315</v>
      </c>
      <c r="D341" s="36">
        <v>13</v>
      </c>
      <c r="E341" s="41" t="s">
        <v>20</v>
      </c>
      <c r="F341" s="42">
        <v>7.0000000000000007E-2</v>
      </c>
      <c r="G341" s="9">
        <v>0.91000000000000014</v>
      </c>
      <c r="H341" s="45">
        <v>1</v>
      </c>
      <c r="I341" s="9">
        <v>13</v>
      </c>
      <c r="J341" s="80" t="s">
        <v>338</v>
      </c>
      <c r="K341" s="43">
        <v>12.09</v>
      </c>
      <c r="L341" s="45" t="s">
        <v>15</v>
      </c>
    </row>
    <row r="342" spans="1:12" ht="15" customHeight="1" x14ac:dyDescent="0.3">
      <c r="A342" s="21">
        <v>5</v>
      </c>
      <c r="B342" s="25">
        <v>45779</v>
      </c>
      <c r="C342" s="29" t="s">
        <v>643</v>
      </c>
      <c r="D342" s="36">
        <v>6</v>
      </c>
      <c r="E342" s="41" t="s">
        <v>20</v>
      </c>
      <c r="F342" s="42">
        <v>2</v>
      </c>
      <c r="G342" s="9">
        <v>12</v>
      </c>
      <c r="H342" s="45">
        <v>5</v>
      </c>
      <c r="I342" s="9">
        <v>30</v>
      </c>
      <c r="J342" s="80" t="s">
        <v>338</v>
      </c>
      <c r="K342" s="43">
        <v>18</v>
      </c>
      <c r="L342" s="45" t="s">
        <v>15</v>
      </c>
    </row>
    <row r="343" spans="1:12" ht="15" customHeight="1" x14ac:dyDescent="0.3">
      <c r="A343" s="21">
        <v>5</v>
      </c>
      <c r="B343" s="25">
        <v>45779</v>
      </c>
      <c r="C343" s="29" t="s">
        <v>267</v>
      </c>
      <c r="D343" s="36">
        <v>1</v>
      </c>
      <c r="E343" s="41" t="s">
        <v>20</v>
      </c>
      <c r="F343" s="42">
        <v>0</v>
      </c>
      <c r="G343" s="9">
        <v>0</v>
      </c>
      <c r="H343" s="45">
        <v>25</v>
      </c>
      <c r="I343" s="9">
        <v>25</v>
      </c>
      <c r="J343" s="80" t="s">
        <v>338</v>
      </c>
      <c r="K343" s="43">
        <v>25</v>
      </c>
      <c r="L343" s="45" t="s">
        <v>15</v>
      </c>
    </row>
    <row r="344" spans="1:12" ht="15" customHeight="1" x14ac:dyDescent="0.3">
      <c r="A344" s="21">
        <v>5</v>
      </c>
      <c r="B344" s="25">
        <v>45779</v>
      </c>
      <c r="C344" s="29" t="s">
        <v>267</v>
      </c>
      <c r="D344" s="36">
        <v>1</v>
      </c>
      <c r="E344" s="41" t="s">
        <v>20</v>
      </c>
      <c r="F344" s="42">
        <v>0</v>
      </c>
      <c r="G344" s="9">
        <v>0</v>
      </c>
      <c r="H344" s="45">
        <v>10</v>
      </c>
      <c r="I344" s="9">
        <v>10</v>
      </c>
      <c r="J344" s="80" t="s">
        <v>338</v>
      </c>
      <c r="K344" s="43">
        <v>10</v>
      </c>
      <c r="L344" s="45" t="s">
        <v>15</v>
      </c>
    </row>
    <row r="345" spans="1:12" ht="15" customHeight="1" x14ac:dyDescent="0.3">
      <c r="A345" s="21">
        <v>5</v>
      </c>
      <c r="B345" s="25">
        <v>45779</v>
      </c>
      <c r="C345" s="29" t="s">
        <v>448</v>
      </c>
      <c r="D345" s="36">
        <v>1</v>
      </c>
      <c r="E345" s="41" t="s">
        <v>20</v>
      </c>
      <c r="F345" s="42">
        <v>0.5</v>
      </c>
      <c r="G345" s="9">
        <v>0.5</v>
      </c>
      <c r="H345" s="45">
        <v>2</v>
      </c>
      <c r="I345" s="9">
        <v>2</v>
      </c>
      <c r="J345" s="80" t="s">
        <v>338</v>
      </c>
      <c r="K345" s="43">
        <v>1.5</v>
      </c>
      <c r="L345" s="45" t="s">
        <v>15</v>
      </c>
    </row>
    <row r="346" spans="1:12" ht="15" customHeight="1" x14ac:dyDescent="0.3">
      <c r="A346" s="21">
        <v>5</v>
      </c>
      <c r="B346" s="25">
        <v>45779</v>
      </c>
      <c r="C346" s="29" t="s">
        <v>676</v>
      </c>
      <c r="D346" s="36">
        <v>2</v>
      </c>
      <c r="E346" s="41" t="s">
        <v>20</v>
      </c>
      <c r="F346" s="42">
        <v>3.5</v>
      </c>
      <c r="G346" s="9">
        <v>7</v>
      </c>
      <c r="H346" s="45">
        <v>5</v>
      </c>
      <c r="I346" s="9">
        <v>10</v>
      </c>
      <c r="J346" s="80" t="s">
        <v>338</v>
      </c>
      <c r="K346" s="43">
        <v>3</v>
      </c>
      <c r="L346" s="45" t="s">
        <v>15</v>
      </c>
    </row>
    <row r="347" spans="1:12" ht="15" customHeight="1" x14ac:dyDescent="0.3">
      <c r="A347" s="21">
        <v>5</v>
      </c>
      <c r="B347" s="25">
        <v>45779</v>
      </c>
      <c r="C347" s="29" t="s">
        <v>679</v>
      </c>
      <c r="D347" s="36">
        <v>1</v>
      </c>
      <c r="E347" s="41" t="s">
        <v>20</v>
      </c>
      <c r="F347" s="42" t="s">
        <v>72</v>
      </c>
      <c r="G347" s="9">
        <v>0</v>
      </c>
      <c r="H347" s="45">
        <v>10</v>
      </c>
      <c r="I347" s="9">
        <v>10</v>
      </c>
      <c r="J347" s="80" t="s">
        <v>338</v>
      </c>
      <c r="K347" s="43">
        <v>10</v>
      </c>
      <c r="L347" s="45" t="s">
        <v>15</v>
      </c>
    </row>
    <row r="348" spans="1:12" ht="15" customHeight="1" x14ac:dyDescent="0.3">
      <c r="A348" s="21">
        <v>5</v>
      </c>
      <c r="B348" s="25">
        <v>45779</v>
      </c>
      <c r="C348" s="29" t="s">
        <v>381</v>
      </c>
      <c r="D348" s="36">
        <v>1</v>
      </c>
      <c r="E348" s="41" t="s">
        <v>20</v>
      </c>
      <c r="F348" s="42">
        <v>0</v>
      </c>
      <c r="G348" s="9">
        <v>0</v>
      </c>
      <c r="H348" s="45">
        <v>100</v>
      </c>
      <c r="I348" s="9">
        <v>100</v>
      </c>
      <c r="J348" s="80" t="s">
        <v>338</v>
      </c>
      <c r="K348" s="43">
        <v>100</v>
      </c>
      <c r="L348" s="45" t="s">
        <v>15</v>
      </c>
    </row>
    <row r="349" spans="1:12" ht="15" customHeight="1" x14ac:dyDescent="0.3">
      <c r="A349" s="21">
        <v>5</v>
      </c>
      <c r="B349" s="25">
        <v>45782</v>
      </c>
      <c r="C349" s="29" t="s">
        <v>680</v>
      </c>
      <c r="D349" s="36">
        <v>1</v>
      </c>
      <c r="E349" s="41" t="s">
        <v>20</v>
      </c>
      <c r="F349" s="42" t="s">
        <v>72</v>
      </c>
      <c r="G349" s="9">
        <v>0</v>
      </c>
      <c r="H349" s="45">
        <v>35</v>
      </c>
      <c r="I349" s="9">
        <v>35</v>
      </c>
      <c r="J349" s="80" t="s">
        <v>338</v>
      </c>
      <c r="K349" s="43">
        <v>35</v>
      </c>
      <c r="L349" s="45" t="s">
        <v>15</v>
      </c>
    </row>
    <row r="350" spans="1:12" ht="15" customHeight="1" x14ac:dyDescent="0.3">
      <c r="A350" s="21">
        <v>5</v>
      </c>
      <c r="B350" s="25">
        <v>45782</v>
      </c>
      <c r="C350" s="29" t="s">
        <v>676</v>
      </c>
      <c r="D350" s="36">
        <v>3</v>
      </c>
      <c r="E350" s="41" t="s">
        <v>20</v>
      </c>
      <c r="F350" s="42">
        <v>3.5</v>
      </c>
      <c r="G350" s="9">
        <v>10.5</v>
      </c>
      <c r="H350" s="45">
        <v>5</v>
      </c>
      <c r="I350" s="9">
        <v>15</v>
      </c>
      <c r="J350" s="80" t="s">
        <v>338</v>
      </c>
      <c r="K350" s="43">
        <v>4.5</v>
      </c>
      <c r="L350" s="45" t="s">
        <v>15</v>
      </c>
    </row>
    <row r="351" spans="1:12" ht="15" customHeight="1" x14ac:dyDescent="0.3">
      <c r="A351" s="21">
        <v>5</v>
      </c>
      <c r="B351" s="25">
        <v>45782</v>
      </c>
      <c r="C351" s="29" t="s">
        <v>313</v>
      </c>
      <c r="D351" s="36">
        <v>5</v>
      </c>
      <c r="E351" s="41" t="s">
        <v>20</v>
      </c>
      <c r="F351" s="42">
        <v>3</v>
      </c>
      <c r="G351" s="9">
        <v>15</v>
      </c>
      <c r="H351" s="45">
        <v>15</v>
      </c>
      <c r="I351" s="9">
        <v>75</v>
      </c>
      <c r="J351" s="80" t="s">
        <v>338</v>
      </c>
      <c r="K351" s="43">
        <v>60</v>
      </c>
      <c r="L351" s="45" t="s">
        <v>15</v>
      </c>
    </row>
    <row r="352" spans="1:12" ht="15" customHeight="1" x14ac:dyDescent="0.3">
      <c r="A352" s="21">
        <v>5</v>
      </c>
      <c r="B352" s="25">
        <v>45782</v>
      </c>
      <c r="C352" s="29" t="s">
        <v>379</v>
      </c>
      <c r="D352" s="36">
        <v>1</v>
      </c>
      <c r="E352" s="41" t="s">
        <v>20</v>
      </c>
      <c r="F352" s="42">
        <v>2.5</v>
      </c>
      <c r="G352" s="9">
        <v>2.5</v>
      </c>
      <c r="H352" s="45">
        <v>5</v>
      </c>
      <c r="I352" s="9">
        <v>5</v>
      </c>
      <c r="J352" s="80" t="s">
        <v>338</v>
      </c>
      <c r="K352" s="43">
        <v>2.5</v>
      </c>
      <c r="L352" s="45" t="s">
        <v>15</v>
      </c>
    </row>
    <row r="353" spans="1:12" ht="15" customHeight="1" x14ac:dyDescent="0.3">
      <c r="A353" s="21">
        <v>5</v>
      </c>
      <c r="B353" s="25">
        <v>45782</v>
      </c>
      <c r="C353" s="29" t="s">
        <v>552</v>
      </c>
      <c r="D353" s="36">
        <v>1</v>
      </c>
      <c r="E353" s="41" t="s">
        <v>20</v>
      </c>
      <c r="F353" s="42" t="s">
        <v>72</v>
      </c>
      <c r="G353" s="9">
        <v>0</v>
      </c>
      <c r="H353" s="45">
        <v>30</v>
      </c>
      <c r="I353" s="9">
        <v>30</v>
      </c>
      <c r="J353" s="80" t="s">
        <v>338</v>
      </c>
      <c r="K353" s="43">
        <v>30</v>
      </c>
      <c r="L353" s="45" t="s">
        <v>15</v>
      </c>
    </row>
    <row r="354" spans="1:12" ht="15" customHeight="1" x14ac:dyDescent="0.3">
      <c r="A354" s="21">
        <v>5</v>
      </c>
      <c r="B354" s="25">
        <v>45782</v>
      </c>
      <c r="C354" s="29" t="s">
        <v>315</v>
      </c>
      <c r="D354" s="36">
        <v>20</v>
      </c>
      <c r="E354" s="41" t="s">
        <v>20</v>
      </c>
      <c r="F354" s="42">
        <v>7.0000000000000007E-2</v>
      </c>
      <c r="G354" s="9">
        <v>1.4000000000000001</v>
      </c>
      <c r="H354" s="45">
        <v>1</v>
      </c>
      <c r="I354" s="9">
        <v>20</v>
      </c>
      <c r="J354" s="80" t="s">
        <v>338</v>
      </c>
      <c r="K354" s="43">
        <v>18.600000000000001</v>
      </c>
      <c r="L354" s="45" t="s">
        <v>15</v>
      </c>
    </row>
    <row r="355" spans="1:12" ht="15" customHeight="1" x14ac:dyDescent="0.3">
      <c r="A355" s="21">
        <v>5</v>
      </c>
      <c r="B355" s="25">
        <v>45782</v>
      </c>
      <c r="C355" s="29" t="s">
        <v>448</v>
      </c>
      <c r="D355" s="36">
        <v>1</v>
      </c>
      <c r="E355" s="41" t="s">
        <v>20</v>
      </c>
      <c r="F355" s="42">
        <v>0.5</v>
      </c>
      <c r="G355" s="9">
        <v>0.5</v>
      </c>
      <c r="H355" s="45">
        <v>2</v>
      </c>
      <c r="I355" s="9">
        <v>2</v>
      </c>
      <c r="J355" s="80" t="s">
        <v>338</v>
      </c>
      <c r="K355" s="43">
        <v>1.5</v>
      </c>
      <c r="L355" s="45" t="s">
        <v>15</v>
      </c>
    </row>
    <row r="356" spans="1:12" ht="15" customHeight="1" x14ac:dyDescent="0.3">
      <c r="A356" s="21">
        <v>5</v>
      </c>
      <c r="B356" s="25">
        <v>45782</v>
      </c>
      <c r="C356" s="29" t="s">
        <v>597</v>
      </c>
      <c r="D356" s="36">
        <v>1</v>
      </c>
      <c r="E356" s="41" t="s">
        <v>20</v>
      </c>
      <c r="F356" s="42">
        <v>10</v>
      </c>
      <c r="G356" s="9">
        <v>10</v>
      </c>
      <c r="H356" s="45">
        <v>30</v>
      </c>
      <c r="I356" s="9">
        <v>30</v>
      </c>
      <c r="J356" s="80" t="s">
        <v>338</v>
      </c>
      <c r="K356" s="43">
        <v>20</v>
      </c>
      <c r="L356" s="45" t="s">
        <v>15</v>
      </c>
    </row>
    <row r="357" spans="1:12" ht="15" customHeight="1" x14ac:dyDescent="0.3">
      <c r="A357" s="21">
        <v>5</v>
      </c>
      <c r="B357" s="25">
        <v>45782</v>
      </c>
      <c r="C357" s="29" t="s">
        <v>48</v>
      </c>
      <c r="D357" s="36">
        <v>1</v>
      </c>
      <c r="E357" s="41" t="s">
        <v>20</v>
      </c>
      <c r="F357" s="42">
        <v>3</v>
      </c>
      <c r="G357" s="9">
        <v>3</v>
      </c>
      <c r="H357" s="45">
        <v>10</v>
      </c>
      <c r="I357" s="9">
        <v>10</v>
      </c>
      <c r="J357" s="80" t="s">
        <v>338</v>
      </c>
      <c r="K357" s="43">
        <v>7</v>
      </c>
      <c r="L357" s="45" t="s">
        <v>15</v>
      </c>
    </row>
    <row r="358" spans="1:12" ht="15" customHeight="1" x14ac:dyDescent="0.3">
      <c r="A358" s="21">
        <v>5</v>
      </c>
      <c r="B358" s="25">
        <v>45782</v>
      </c>
      <c r="C358" s="29" t="s">
        <v>681</v>
      </c>
      <c r="D358" s="36">
        <v>1</v>
      </c>
      <c r="E358" s="41" t="s">
        <v>20</v>
      </c>
      <c r="F358" s="42" t="s">
        <v>72</v>
      </c>
      <c r="G358" s="9">
        <v>0</v>
      </c>
      <c r="H358" s="45">
        <v>30</v>
      </c>
      <c r="I358" s="9">
        <v>30</v>
      </c>
      <c r="J358" s="80" t="s">
        <v>338</v>
      </c>
      <c r="K358" s="43">
        <v>30</v>
      </c>
      <c r="L358" s="45" t="s">
        <v>15</v>
      </c>
    </row>
    <row r="359" spans="1:12" ht="15" customHeight="1" x14ac:dyDescent="0.3">
      <c r="A359" s="21">
        <v>5</v>
      </c>
      <c r="B359" s="25">
        <v>45785</v>
      </c>
      <c r="C359" s="29" t="s">
        <v>520</v>
      </c>
      <c r="D359" s="36">
        <v>1</v>
      </c>
      <c r="E359" s="41" t="s">
        <v>20</v>
      </c>
      <c r="F359" s="42">
        <v>13</v>
      </c>
      <c r="G359" s="9">
        <v>13</v>
      </c>
      <c r="H359" s="45">
        <v>30</v>
      </c>
      <c r="I359" s="9">
        <v>30</v>
      </c>
      <c r="J359" s="80" t="s">
        <v>338</v>
      </c>
      <c r="K359" s="43">
        <v>17</v>
      </c>
      <c r="L359" s="45" t="s">
        <v>15</v>
      </c>
    </row>
    <row r="360" spans="1:12" ht="15" customHeight="1" x14ac:dyDescent="0.3">
      <c r="A360" s="21">
        <v>5</v>
      </c>
      <c r="B360" s="25">
        <v>45785</v>
      </c>
      <c r="C360" s="29" t="s">
        <v>643</v>
      </c>
      <c r="D360" s="36">
        <v>7</v>
      </c>
      <c r="E360" s="41" t="s">
        <v>20</v>
      </c>
      <c r="F360" s="42">
        <v>2</v>
      </c>
      <c r="G360" s="9">
        <v>14</v>
      </c>
      <c r="H360" s="45">
        <v>5</v>
      </c>
      <c r="I360" s="9">
        <v>35</v>
      </c>
      <c r="J360" s="80" t="s">
        <v>338</v>
      </c>
      <c r="K360" s="43">
        <v>21</v>
      </c>
      <c r="L360" s="45" t="s">
        <v>15</v>
      </c>
    </row>
    <row r="361" spans="1:12" ht="15" customHeight="1" x14ac:dyDescent="0.3">
      <c r="A361" s="21">
        <v>5</v>
      </c>
      <c r="B361" s="25">
        <v>45785</v>
      </c>
      <c r="C361" s="29" t="s">
        <v>315</v>
      </c>
      <c r="D361" s="36">
        <v>5</v>
      </c>
      <c r="E361" s="41" t="s">
        <v>20</v>
      </c>
      <c r="F361" s="42">
        <v>7.0000000000000007E-2</v>
      </c>
      <c r="G361" s="9">
        <v>0.35000000000000003</v>
      </c>
      <c r="H361" s="45">
        <v>1</v>
      </c>
      <c r="I361" s="9">
        <v>5</v>
      </c>
      <c r="J361" s="80" t="s">
        <v>338</v>
      </c>
      <c r="K361" s="43">
        <v>4.6500000000000004</v>
      </c>
      <c r="L361" s="45" t="s">
        <v>15</v>
      </c>
    </row>
    <row r="362" spans="1:12" ht="15" customHeight="1" x14ac:dyDescent="0.3">
      <c r="A362" s="21">
        <v>5</v>
      </c>
      <c r="B362" s="25">
        <v>45785</v>
      </c>
      <c r="C362" s="29" t="s">
        <v>520</v>
      </c>
      <c r="D362" s="36">
        <v>3</v>
      </c>
      <c r="E362" s="41" t="s">
        <v>20</v>
      </c>
      <c r="F362" s="42">
        <v>13</v>
      </c>
      <c r="G362" s="9">
        <v>39</v>
      </c>
      <c r="H362" s="45">
        <v>30</v>
      </c>
      <c r="I362" s="9">
        <v>90</v>
      </c>
      <c r="J362" s="80" t="s">
        <v>338</v>
      </c>
      <c r="K362" s="43">
        <v>51</v>
      </c>
      <c r="L362" s="45" t="s">
        <v>15</v>
      </c>
    </row>
    <row r="363" spans="1:12" ht="15" customHeight="1" x14ac:dyDescent="0.3">
      <c r="A363" s="21">
        <v>5</v>
      </c>
      <c r="B363" s="25">
        <v>45785</v>
      </c>
      <c r="C363" s="29" t="s">
        <v>676</v>
      </c>
      <c r="D363" s="36">
        <v>5</v>
      </c>
      <c r="E363" s="41" t="s">
        <v>20</v>
      </c>
      <c r="F363" s="42">
        <v>3.5</v>
      </c>
      <c r="G363" s="9">
        <v>17.5</v>
      </c>
      <c r="H363" s="45">
        <v>5</v>
      </c>
      <c r="I363" s="9">
        <v>25</v>
      </c>
      <c r="J363" s="80" t="s">
        <v>338</v>
      </c>
      <c r="K363" s="43">
        <v>7.5</v>
      </c>
      <c r="L363" s="45" t="s">
        <v>15</v>
      </c>
    </row>
    <row r="364" spans="1:12" ht="15" customHeight="1" x14ac:dyDescent="0.3">
      <c r="A364" s="21">
        <v>5</v>
      </c>
      <c r="B364" s="25">
        <v>45785</v>
      </c>
      <c r="C364" s="29" t="s">
        <v>682</v>
      </c>
      <c r="D364" s="36">
        <v>2</v>
      </c>
      <c r="E364" s="41" t="s">
        <v>20</v>
      </c>
      <c r="F364" s="42">
        <v>2.5</v>
      </c>
      <c r="G364" s="9">
        <v>5</v>
      </c>
      <c r="H364" s="45">
        <v>5</v>
      </c>
      <c r="I364" s="9">
        <v>10</v>
      </c>
      <c r="J364" s="80" t="s">
        <v>338</v>
      </c>
      <c r="K364" s="43">
        <v>5</v>
      </c>
      <c r="L364" s="45" t="s">
        <v>15</v>
      </c>
    </row>
    <row r="365" spans="1:12" ht="15" customHeight="1" x14ac:dyDescent="0.3">
      <c r="A365" s="21">
        <v>5</v>
      </c>
      <c r="B365" s="25">
        <v>45785</v>
      </c>
      <c r="C365" s="29" t="s">
        <v>683</v>
      </c>
      <c r="D365" s="36">
        <v>1</v>
      </c>
      <c r="E365" s="41" t="s">
        <v>20</v>
      </c>
      <c r="F365" s="42">
        <v>12</v>
      </c>
      <c r="G365" s="9">
        <v>12</v>
      </c>
      <c r="H365" s="45">
        <v>15</v>
      </c>
      <c r="I365" s="9">
        <v>15</v>
      </c>
      <c r="J365" s="80" t="s">
        <v>338</v>
      </c>
      <c r="K365" s="43">
        <v>3</v>
      </c>
      <c r="L365" s="45" t="s">
        <v>15</v>
      </c>
    </row>
    <row r="366" spans="1:12" ht="15" customHeight="1" x14ac:dyDescent="0.3">
      <c r="A366" s="21">
        <v>5</v>
      </c>
      <c r="B366" s="25">
        <v>45785</v>
      </c>
      <c r="C366" s="29" t="s">
        <v>655</v>
      </c>
      <c r="D366" s="36">
        <v>2</v>
      </c>
      <c r="E366" s="41" t="s">
        <v>20</v>
      </c>
      <c r="F366" s="42">
        <v>10</v>
      </c>
      <c r="G366" s="9">
        <v>20</v>
      </c>
      <c r="H366" s="45">
        <v>30</v>
      </c>
      <c r="I366" s="9">
        <v>60</v>
      </c>
      <c r="J366" s="80" t="s">
        <v>338</v>
      </c>
      <c r="K366" s="43">
        <v>40</v>
      </c>
      <c r="L366" s="45" t="s">
        <v>15</v>
      </c>
    </row>
    <row r="367" spans="1:12" ht="15" customHeight="1" x14ac:dyDescent="0.3">
      <c r="A367" s="21">
        <v>5</v>
      </c>
      <c r="B367" s="25">
        <v>45785</v>
      </c>
      <c r="C367" s="29" t="s">
        <v>267</v>
      </c>
      <c r="D367" s="36">
        <v>3</v>
      </c>
      <c r="E367" s="41" t="s">
        <v>20</v>
      </c>
      <c r="F367" s="42">
        <v>0</v>
      </c>
      <c r="G367" s="9">
        <v>0</v>
      </c>
      <c r="H367" s="45">
        <v>15</v>
      </c>
      <c r="I367" s="9">
        <v>45</v>
      </c>
      <c r="J367" s="80" t="s">
        <v>338</v>
      </c>
      <c r="K367" s="43">
        <v>45</v>
      </c>
      <c r="L367" s="45" t="s">
        <v>15</v>
      </c>
    </row>
    <row r="368" spans="1:12" ht="15" customHeight="1" x14ac:dyDescent="0.3">
      <c r="A368" s="21">
        <v>5</v>
      </c>
      <c r="B368" s="25">
        <v>45785</v>
      </c>
      <c r="C368" s="29" t="s">
        <v>684</v>
      </c>
      <c r="D368" s="36">
        <v>1</v>
      </c>
      <c r="E368" s="41" t="s">
        <v>20</v>
      </c>
      <c r="F368" s="42" t="s">
        <v>72</v>
      </c>
      <c r="G368" s="9">
        <v>0</v>
      </c>
      <c r="H368" s="45">
        <v>5</v>
      </c>
      <c r="I368" s="9">
        <v>5</v>
      </c>
      <c r="J368" s="80" t="s">
        <v>338</v>
      </c>
      <c r="K368" s="43">
        <v>5</v>
      </c>
      <c r="L368" s="45" t="s">
        <v>15</v>
      </c>
    </row>
    <row r="369" spans="1:12" ht="15" customHeight="1" x14ac:dyDescent="0.3">
      <c r="A369" s="21">
        <v>5</v>
      </c>
      <c r="B369" s="25">
        <v>45785</v>
      </c>
      <c r="C369" s="29" t="s">
        <v>685</v>
      </c>
      <c r="D369" s="36">
        <v>1</v>
      </c>
      <c r="E369" s="41" t="s">
        <v>20</v>
      </c>
      <c r="F369" s="42" t="s">
        <v>72</v>
      </c>
      <c r="G369" s="9">
        <v>0</v>
      </c>
      <c r="H369" s="45">
        <v>90</v>
      </c>
      <c r="I369" s="9">
        <v>90</v>
      </c>
      <c r="J369" s="80" t="s">
        <v>338</v>
      </c>
      <c r="K369" s="43">
        <v>90</v>
      </c>
      <c r="L369" s="45" t="s">
        <v>15</v>
      </c>
    </row>
    <row r="370" spans="1:12" ht="15" customHeight="1" x14ac:dyDescent="0.3">
      <c r="A370" s="21">
        <v>5</v>
      </c>
      <c r="B370" s="25">
        <v>45787</v>
      </c>
      <c r="C370" s="29" t="s">
        <v>224</v>
      </c>
      <c r="D370" s="36">
        <v>1</v>
      </c>
      <c r="E370" s="41" t="s">
        <v>20</v>
      </c>
      <c r="F370" s="42">
        <v>18</v>
      </c>
      <c r="G370" s="9">
        <v>18</v>
      </c>
      <c r="H370" s="45">
        <v>45</v>
      </c>
      <c r="I370" s="9">
        <v>45</v>
      </c>
      <c r="J370" s="80" t="s">
        <v>338</v>
      </c>
      <c r="K370" s="43">
        <v>27</v>
      </c>
      <c r="L370" s="45" t="s">
        <v>15</v>
      </c>
    </row>
    <row r="371" spans="1:12" ht="15" customHeight="1" x14ac:dyDescent="0.3">
      <c r="A371" s="21">
        <v>5</v>
      </c>
      <c r="B371" s="25">
        <v>45787</v>
      </c>
      <c r="C371" s="29" t="s">
        <v>552</v>
      </c>
      <c r="D371" s="36">
        <v>1</v>
      </c>
      <c r="E371" s="41" t="s">
        <v>20</v>
      </c>
      <c r="F371" s="42" t="s">
        <v>72</v>
      </c>
      <c r="G371" s="9">
        <v>0</v>
      </c>
      <c r="H371" s="45">
        <v>30</v>
      </c>
      <c r="I371" s="9">
        <v>30</v>
      </c>
      <c r="J371" s="80" t="s">
        <v>338</v>
      </c>
      <c r="K371" s="43">
        <v>30</v>
      </c>
      <c r="L371" s="45" t="s">
        <v>15</v>
      </c>
    </row>
    <row r="372" spans="1:12" ht="15" customHeight="1" x14ac:dyDescent="0.3">
      <c r="A372" s="21">
        <v>5</v>
      </c>
      <c r="B372" s="25">
        <v>45787</v>
      </c>
      <c r="C372" s="29" t="s">
        <v>686</v>
      </c>
      <c r="D372" s="36">
        <v>1</v>
      </c>
      <c r="E372" s="41" t="s">
        <v>20</v>
      </c>
      <c r="F372" s="42" t="s">
        <v>72</v>
      </c>
      <c r="G372" s="9">
        <v>0</v>
      </c>
      <c r="H372" s="45">
        <v>100</v>
      </c>
      <c r="I372" s="9">
        <v>100</v>
      </c>
      <c r="J372" s="80" t="s">
        <v>338</v>
      </c>
      <c r="K372" s="43">
        <v>100</v>
      </c>
      <c r="L372" s="45" t="s">
        <v>15</v>
      </c>
    </row>
    <row r="373" spans="1:12" ht="15" customHeight="1" x14ac:dyDescent="0.3">
      <c r="A373" s="21">
        <v>5</v>
      </c>
      <c r="B373" s="25">
        <v>45787</v>
      </c>
      <c r="C373" s="29" t="s">
        <v>687</v>
      </c>
      <c r="D373" s="36">
        <v>1</v>
      </c>
      <c r="E373" s="41" t="s">
        <v>20</v>
      </c>
      <c r="F373" s="42" t="s">
        <v>72</v>
      </c>
      <c r="G373" s="9">
        <v>0</v>
      </c>
      <c r="H373" s="45">
        <v>25</v>
      </c>
      <c r="I373" s="9">
        <v>25</v>
      </c>
      <c r="J373" s="80" t="s">
        <v>338</v>
      </c>
      <c r="K373" s="43">
        <v>25</v>
      </c>
      <c r="L373" s="45" t="s">
        <v>15</v>
      </c>
    </row>
    <row r="374" spans="1:12" ht="15" customHeight="1" x14ac:dyDescent="0.3">
      <c r="A374" s="21">
        <v>5</v>
      </c>
      <c r="B374" s="25">
        <v>45787</v>
      </c>
      <c r="C374" s="29" t="s">
        <v>48</v>
      </c>
      <c r="D374" s="36">
        <v>1</v>
      </c>
      <c r="E374" s="41" t="s">
        <v>20</v>
      </c>
      <c r="F374" s="42">
        <v>3</v>
      </c>
      <c r="G374" s="9">
        <v>3</v>
      </c>
      <c r="H374" s="45">
        <v>30</v>
      </c>
      <c r="I374" s="9">
        <v>30</v>
      </c>
      <c r="J374" s="80" t="s">
        <v>338</v>
      </c>
      <c r="K374" s="43">
        <v>27</v>
      </c>
      <c r="L374" s="45" t="s">
        <v>15</v>
      </c>
    </row>
    <row r="375" spans="1:12" ht="15" customHeight="1" x14ac:dyDescent="0.3">
      <c r="A375" s="21">
        <v>5</v>
      </c>
      <c r="B375" s="25">
        <v>45787</v>
      </c>
      <c r="C375" s="29" t="s">
        <v>448</v>
      </c>
      <c r="D375" s="36">
        <v>1</v>
      </c>
      <c r="E375" s="41" t="s">
        <v>20</v>
      </c>
      <c r="F375" s="42">
        <v>0.5</v>
      </c>
      <c r="G375" s="9">
        <v>0.5</v>
      </c>
      <c r="H375" s="45">
        <v>2.5</v>
      </c>
      <c r="I375" s="9">
        <v>2.5</v>
      </c>
      <c r="J375" s="80" t="s">
        <v>338</v>
      </c>
      <c r="K375" s="43">
        <v>2</v>
      </c>
      <c r="L375" s="45" t="s">
        <v>15</v>
      </c>
    </row>
    <row r="376" spans="1:12" ht="15" customHeight="1" x14ac:dyDescent="0.3">
      <c r="A376" s="21">
        <v>5</v>
      </c>
      <c r="B376" s="25">
        <v>45787</v>
      </c>
      <c r="C376" s="29" t="s">
        <v>688</v>
      </c>
      <c r="D376" s="36">
        <v>1</v>
      </c>
      <c r="E376" s="41" t="s">
        <v>20</v>
      </c>
      <c r="F376" s="42" t="s">
        <v>72</v>
      </c>
      <c r="G376" s="9">
        <v>0</v>
      </c>
      <c r="H376" s="45">
        <v>15</v>
      </c>
      <c r="I376" s="9">
        <v>15</v>
      </c>
      <c r="J376" s="80" t="s">
        <v>338</v>
      </c>
      <c r="K376" s="43">
        <v>15</v>
      </c>
      <c r="L376" s="45" t="s">
        <v>15</v>
      </c>
    </row>
    <row r="377" spans="1:12" ht="15" customHeight="1" x14ac:dyDescent="0.3">
      <c r="A377" s="21">
        <v>5</v>
      </c>
      <c r="B377" s="25">
        <v>45787</v>
      </c>
      <c r="C377" s="29" t="s">
        <v>597</v>
      </c>
      <c r="D377" s="36">
        <v>2</v>
      </c>
      <c r="E377" s="41" t="s">
        <v>20</v>
      </c>
      <c r="F377" s="42">
        <v>10</v>
      </c>
      <c r="G377" s="9">
        <v>20</v>
      </c>
      <c r="H377" s="45">
        <v>30</v>
      </c>
      <c r="I377" s="9">
        <v>60</v>
      </c>
      <c r="J377" s="80" t="s">
        <v>338</v>
      </c>
      <c r="K377" s="43">
        <v>40</v>
      </c>
      <c r="L377" s="45" t="s">
        <v>15</v>
      </c>
    </row>
    <row r="378" spans="1:12" ht="15" customHeight="1" x14ac:dyDescent="0.3">
      <c r="A378" s="21">
        <v>5</v>
      </c>
      <c r="B378" s="25">
        <v>45787</v>
      </c>
      <c r="C378" s="29" t="s">
        <v>689</v>
      </c>
      <c r="D378" s="36">
        <v>1</v>
      </c>
      <c r="E378" s="41" t="s">
        <v>20</v>
      </c>
      <c r="F378" s="42">
        <v>57</v>
      </c>
      <c r="G378" s="9">
        <v>57</v>
      </c>
      <c r="H378" s="45">
        <v>90</v>
      </c>
      <c r="I378" s="9">
        <v>90</v>
      </c>
      <c r="J378" s="80" t="s">
        <v>338</v>
      </c>
      <c r="K378" s="43">
        <v>33</v>
      </c>
      <c r="L378" s="45" t="s">
        <v>15</v>
      </c>
    </row>
    <row r="379" spans="1:12" ht="15" customHeight="1" x14ac:dyDescent="0.3">
      <c r="A379" s="21">
        <v>5</v>
      </c>
      <c r="B379" s="25">
        <v>45787</v>
      </c>
      <c r="C379" s="29" t="s">
        <v>690</v>
      </c>
      <c r="D379" s="36">
        <v>1</v>
      </c>
      <c r="E379" s="41" t="s">
        <v>20</v>
      </c>
      <c r="F379" s="42">
        <v>2.5</v>
      </c>
      <c r="G379" s="9">
        <v>2.5</v>
      </c>
      <c r="H379" s="45">
        <v>5</v>
      </c>
      <c r="I379" s="9">
        <v>5</v>
      </c>
      <c r="J379" s="80" t="s">
        <v>338</v>
      </c>
      <c r="K379" s="43">
        <v>2.5</v>
      </c>
      <c r="L379" s="45" t="s">
        <v>15</v>
      </c>
    </row>
    <row r="380" spans="1:12" ht="15" customHeight="1" x14ac:dyDescent="0.3">
      <c r="A380" s="21">
        <v>5</v>
      </c>
      <c r="B380" s="25">
        <v>45787</v>
      </c>
      <c r="C380" s="29" t="s">
        <v>691</v>
      </c>
      <c r="D380" s="36">
        <v>1</v>
      </c>
      <c r="E380" s="41" t="s">
        <v>20</v>
      </c>
      <c r="F380" s="42" t="s">
        <v>72</v>
      </c>
      <c r="G380" s="9">
        <v>0</v>
      </c>
      <c r="H380" s="45">
        <v>15</v>
      </c>
      <c r="I380" s="9">
        <v>15</v>
      </c>
      <c r="J380" s="80" t="s">
        <v>338</v>
      </c>
      <c r="K380" s="43">
        <v>15</v>
      </c>
      <c r="L380" s="45" t="s">
        <v>15</v>
      </c>
    </row>
    <row r="381" spans="1:12" ht="15" customHeight="1" x14ac:dyDescent="0.3">
      <c r="A381" s="21">
        <v>5</v>
      </c>
      <c r="B381" s="25">
        <v>45789</v>
      </c>
      <c r="C381" s="29" t="s">
        <v>692</v>
      </c>
      <c r="D381" s="36">
        <v>1</v>
      </c>
      <c r="E381" s="41" t="s">
        <v>20</v>
      </c>
      <c r="F381" s="42" t="s">
        <v>72</v>
      </c>
      <c r="G381" s="9">
        <v>0</v>
      </c>
      <c r="H381" s="45">
        <v>40</v>
      </c>
      <c r="I381" s="9">
        <v>40</v>
      </c>
      <c r="J381" s="80" t="s">
        <v>338</v>
      </c>
      <c r="K381" s="43">
        <v>40</v>
      </c>
      <c r="L381" s="45" t="s">
        <v>15</v>
      </c>
    </row>
    <row r="382" spans="1:12" ht="15" customHeight="1" x14ac:dyDescent="0.3">
      <c r="A382" s="21">
        <v>5</v>
      </c>
      <c r="B382" s="25">
        <v>45789</v>
      </c>
      <c r="C382" s="29" t="s">
        <v>693</v>
      </c>
      <c r="D382" s="36">
        <v>1</v>
      </c>
      <c r="E382" s="41" t="s">
        <v>20</v>
      </c>
      <c r="F382" s="42" t="s">
        <v>72</v>
      </c>
      <c r="G382" s="9">
        <v>0</v>
      </c>
      <c r="H382" s="45">
        <v>30</v>
      </c>
      <c r="I382" s="9">
        <v>30</v>
      </c>
      <c r="J382" s="80" t="s">
        <v>338</v>
      </c>
      <c r="K382" s="43">
        <v>30</v>
      </c>
      <c r="L382" s="45" t="s">
        <v>15</v>
      </c>
    </row>
    <row r="383" spans="1:12" ht="15" customHeight="1" x14ac:dyDescent="0.3">
      <c r="A383" s="21">
        <v>6</v>
      </c>
      <c r="B383" s="25">
        <v>45810</v>
      </c>
      <c r="C383" s="29" t="s">
        <v>685</v>
      </c>
      <c r="D383" s="36">
        <v>1</v>
      </c>
      <c r="E383" s="41" t="s">
        <v>20</v>
      </c>
      <c r="F383" s="42" t="s">
        <v>72</v>
      </c>
      <c r="G383" s="9">
        <v>0</v>
      </c>
      <c r="H383" s="45">
        <v>120</v>
      </c>
      <c r="I383" s="9">
        <v>120</v>
      </c>
      <c r="J383" s="80" t="s">
        <v>338</v>
      </c>
      <c r="K383" s="43">
        <v>120</v>
      </c>
      <c r="L383" s="45" t="s">
        <v>15</v>
      </c>
    </row>
    <row r="384" spans="1:12" ht="15" customHeight="1" x14ac:dyDescent="0.3">
      <c r="A384" s="21">
        <v>6</v>
      </c>
      <c r="B384" s="25">
        <v>45810</v>
      </c>
      <c r="C384" s="29" t="s">
        <v>671</v>
      </c>
      <c r="D384" s="36">
        <v>1</v>
      </c>
      <c r="E384" s="41" t="s">
        <v>20</v>
      </c>
      <c r="F384" s="42" t="s">
        <v>72</v>
      </c>
      <c r="G384" s="9">
        <v>0</v>
      </c>
      <c r="H384" s="45">
        <v>80</v>
      </c>
      <c r="I384" s="9">
        <v>80</v>
      </c>
      <c r="J384" s="80" t="s">
        <v>338</v>
      </c>
      <c r="K384" s="43">
        <v>80</v>
      </c>
      <c r="L384" s="45" t="s">
        <v>15</v>
      </c>
    </row>
    <row r="385" spans="1:12" ht="15" customHeight="1" x14ac:dyDescent="0.3">
      <c r="A385" s="21">
        <v>6</v>
      </c>
      <c r="B385" s="25">
        <v>45810</v>
      </c>
      <c r="C385" s="29" t="s">
        <v>315</v>
      </c>
      <c r="D385" s="36">
        <v>40</v>
      </c>
      <c r="E385" s="41" t="s">
        <v>20</v>
      </c>
      <c r="F385" s="42">
        <v>7.0000000000000007E-2</v>
      </c>
      <c r="G385" s="9">
        <v>2.8000000000000003</v>
      </c>
      <c r="H385" s="45">
        <v>1</v>
      </c>
      <c r="I385" s="9">
        <v>40</v>
      </c>
      <c r="J385" s="80" t="s">
        <v>338</v>
      </c>
      <c r="K385" s="43">
        <v>37.200000000000003</v>
      </c>
      <c r="L385" s="45" t="s">
        <v>15</v>
      </c>
    </row>
    <row r="386" spans="1:12" ht="15" customHeight="1" x14ac:dyDescent="0.3">
      <c r="A386" s="21">
        <v>6</v>
      </c>
      <c r="B386" s="25">
        <v>45810</v>
      </c>
      <c r="C386" s="29" t="s">
        <v>690</v>
      </c>
      <c r="D386" s="36">
        <v>2</v>
      </c>
      <c r="E386" s="41" t="s">
        <v>20</v>
      </c>
      <c r="F386" s="42">
        <v>2.5</v>
      </c>
      <c r="G386" s="9">
        <v>5</v>
      </c>
      <c r="H386" s="45">
        <v>5</v>
      </c>
      <c r="I386" s="9">
        <v>10</v>
      </c>
      <c r="J386" s="80" t="s">
        <v>338</v>
      </c>
      <c r="K386" s="43">
        <v>5</v>
      </c>
      <c r="L386" s="45" t="s">
        <v>15</v>
      </c>
    </row>
    <row r="387" spans="1:12" ht="15" customHeight="1" x14ac:dyDescent="0.3">
      <c r="A387" s="21">
        <v>6</v>
      </c>
      <c r="B387" s="25">
        <v>45810</v>
      </c>
      <c r="C387" s="29" t="s">
        <v>694</v>
      </c>
      <c r="D387" s="36">
        <v>1</v>
      </c>
      <c r="E387" s="41" t="s">
        <v>20</v>
      </c>
      <c r="F387" s="42" t="s">
        <v>72</v>
      </c>
      <c r="G387" s="9">
        <v>0</v>
      </c>
      <c r="H387" s="45">
        <v>40</v>
      </c>
      <c r="I387" s="9">
        <v>40</v>
      </c>
      <c r="J387" s="80" t="s">
        <v>338</v>
      </c>
      <c r="K387" s="43">
        <v>40</v>
      </c>
      <c r="L387" s="45" t="s">
        <v>15</v>
      </c>
    </row>
    <row r="388" spans="1:12" ht="15" customHeight="1" x14ac:dyDescent="0.3">
      <c r="A388" s="21">
        <v>6</v>
      </c>
      <c r="B388" s="25">
        <v>45813</v>
      </c>
      <c r="C388" s="29" t="s">
        <v>676</v>
      </c>
      <c r="D388" s="36">
        <v>4</v>
      </c>
      <c r="E388" s="41" t="s">
        <v>20</v>
      </c>
      <c r="F388" s="42">
        <v>3.5</v>
      </c>
      <c r="G388" s="9">
        <v>14</v>
      </c>
      <c r="H388" s="45">
        <v>5</v>
      </c>
      <c r="I388" s="9">
        <v>20</v>
      </c>
      <c r="J388" s="80" t="s">
        <v>338</v>
      </c>
      <c r="K388" s="43">
        <v>6</v>
      </c>
      <c r="L388" s="45" t="s">
        <v>15</v>
      </c>
    </row>
    <row r="389" spans="1:12" ht="15" customHeight="1" x14ac:dyDescent="0.3">
      <c r="A389" s="21">
        <v>6</v>
      </c>
      <c r="B389" s="25">
        <v>45813</v>
      </c>
      <c r="C389" s="29" t="s">
        <v>695</v>
      </c>
      <c r="D389" s="36">
        <v>1</v>
      </c>
      <c r="E389" s="41" t="s">
        <v>20</v>
      </c>
      <c r="F389" s="42">
        <v>14</v>
      </c>
      <c r="G389" s="9">
        <v>14</v>
      </c>
      <c r="H389" s="45">
        <v>25</v>
      </c>
      <c r="I389" s="9">
        <v>25</v>
      </c>
      <c r="J389" s="80" t="s">
        <v>338</v>
      </c>
      <c r="K389" s="43">
        <v>11</v>
      </c>
      <c r="L389" s="45" t="s">
        <v>15</v>
      </c>
    </row>
    <row r="390" spans="1:12" ht="15" customHeight="1" x14ac:dyDescent="0.3">
      <c r="A390" s="21">
        <v>6</v>
      </c>
      <c r="B390" s="25">
        <v>45813</v>
      </c>
      <c r="C390" s="29" t="s">
        <v>431</v>
      </c>
      <c r="D390" s="36">
        <v>1</v>
      </c>
      <c r="E390" s="41" t="s">
        <v>20</v>
      </c>
      <c r="F390" s="42">
        <v>0</v>
      </c>
      <c r="G390" s="9">
        <v>0</v>
      </c>
      <c r="H390" s="45">
        <v>15</v>
      </c>
      <c r="I390" s="9">
        <v>15</v>
      </c>
      <c r="J390" s="80" t="s">
        <v>338</v>
      </c>
      <c r="K390" s="43">
        <v>15</v>
      </c>
      <c r="L390" s="45" t="s">
        <v>15</v>
      </c>
    </row>
    <row r="391" spans="1:12" ht="15" customHeight="1" x14ac:dyDescent="0.3">
      <c r="A391" s="21">
        <v>6</v>
      </c>
      <c r="B391" s="25">
        <v>45813</v>
      </c>
      <c r="C391" s="29" t="s">
        <v>696</v>
      </c>
      <c r="D391" s="36">
        <v>2</v>
      </c>
      <c r="E391" s="41" t="s">
        <v>20</v>
      </c>
      <c r="F391" s="42">
        <v>17</v>
      </c>
      <c r="G391" s="9">
        <v>34</v>
      </c>
      <c r="H391" s="45">
        <v>50</v>
      </c>
      <c r="I391" s="9">
        <v>100</v>
      </c>
      <c r="J391" s="80" t="s">
        <v>338</v>
      </c>
      <c r="K391" s="43">
        <v>66</v>
      </c>
      <c r="L391" s="45" t="s">
        <v>15</v>
      </c>
    </row>
    <row r="392" spans="1:12" ht="15" customHeight="1" x14ac:dyDescent="0.3">
      <c r="A392" s="21">
        <v>6</v>
      </c>
      <c r="B392" s="25">
        <v>45813</v>
      </c>
      <c r="C392" s="29" t="s">
        <v>697</v>
      </c>
      <c r="D392" s="36">
        <v>2</v>
      </c>
      <c r="E392" s="41" t="s">
        <v>20</v>
      </c>
      <c r="F392" s="42">
        <v>16</v>
      </c>
      <c r="G392" s="9">
        <v>32</v>
      </c>
      <c r="H392" s="45">
        <v>45</v>
      </c>
      <c r="I392" s="9">
        <v>90</v>
      </c>
      <c r="J392" s="80" t="s">
        <v>338</v>
      </c>
      <c r="K392" s="43">
        <v>58</v>
      </c>
      <c r="L392" s="45" t="s">
        <v>15</v>
      </c>
    </row>
    <row r="393" spans="1:12" ht="15" customHeight="1" x14ac:dyDescent="0.3">
      <c r="A393" s="21">
        <v>6</v>
      </c>
      <c r="B393" s="25">
        <v>45813</v>
      </c>
      <c r="C393" s="29" t="s">
        <v>448</v>
      </c>
      <c r="D393" s="36">
        <v>1</v>
      </c>
      <c r="E393" s="41" t="s">
        <v>20</v>
      </c>
      <c r="F393" s="42">
        <v>0.5</v>
      </c>
      <c r="G393" s="9">
        <v>0.5</v>
      </c>
      <c r="H393" s="45">
        <v>2.5</v>
      </c>
      <c r="I393" s="9">
        <v>2.5</v>
      </c>
      <c r="J393" s="80" t="s">
        <v>338</v>
      </c>
      <c r="K393" s="43">
        <v>2</v>
      </c>
      <c r="L393" s="45" t="s">
        <v>15</v>
      </c>
    </row>
    <row r="394" spans="1:12" ht="15" customHeight="1" x14ac:dyDescent="0.3">
      <c r="A394" s="21">
        <v>6</v>
      </c>
      <c r="B394" s="25">
        <v>45813</v>
      </c>
      <c r="C394" s="29" t="s">
        <v>698</v>
      </c>
      <c r="D394" s="36">
        <v>1</v>
      </c>
      <c r="E394" s="41" t="s">
        <v>20</v>
      </c>
      <c r="F394" s="42">
        <v>25</v>
      </c>
      <c r="G394" s="9">
        <v>25</v>
      </c>
      <c r="H394" s="45">
        <v>30</v>
      </c>
      <c r="I394" s="9">
        <v>30</v>
      </c>
      <c r="J394" s="80" t="s">
        <v>338</v>
      </c>
      <c r="K394" s="43">
        <v>5</v>
      </c>
      <c r="L394" s="45" t="s">
        <v>15</v>
      </c>
    </row>
    <row r="395" spans="1:12" ht="15" customHeight="1" x14ac:dyDescent="0.3">
      <c r="A395" s="21">
        <v>6</v>
      </c>
      <c r="B395" s="25">
        <v>45816</v>
      </c>
      <c r="C395" s="29" t="s">
        <v>699</v>
      </c>
      <c r="D395" s="36">
        <v>1</v>
      </c>
      <c r="E395" s="41" t="s">
        <v>20</v>
      </c>
      <c r="F395" s="42">
        <v>37</v>
      </c>
      <c r="G395" s="9">
        <v>37</v>
      </c>
      <c r="H395" s="45">
        <v>60</v>
      </c>
      <c r="I395" s="9">
        <v>60</v>
      </c>
      <c r="J395" s="80" t="s">
        <v>338</v>
      </c>
      <c r="K395" s="43">
        <v>23</v>
      </c>
      <c r="L395" s="45" t="s">
        <v>15</v>
      </c>
    </row>
    <row r="396" spans="1:12" ht="15" customHeight="1" x14ac:dyDescent="0.3">
      <c r="A396" s="21">
        <v>6</v>
      </c>
      <c r="B396" s="25">
        <v>45816</v>
      </c>
      <c r="C396" s="29" t="s">
        <v>700</v>
      </c>
      <c r="D396" s="36">
        <v>2</v>
      </c>
      <c r="E396" s="41" t="s">
        <v>20</v>
      </c>
      <c r="F396" s="42">
        <v>10</v>
      </c>
      <c r="G396" s="9">
        <v>20</v>
      </c>
      <c r="H396" s="45">
        <v>20</v>
      </c>
      <c r="I396" s="9">
        <v>40</v>
      </c>
      <c r="J396" s="80" t="s">
        <v>338</v>
      </c>
      <c r="K396" s="43">
        <v>20</v>
      </c>
      <c r="L396" s="45" t="s">
        <v>15</v>
      </c>
    </row>
    <row r="397" spans="1:12" ht="15" customHeight="1" x14ac:dyDescent="0.3">
      <c r="A397" s="21">
        <v>6</v>
      </c>
      <c r="B397" s="25">
        <v>45816</v>
      </c>
      <c r="C397" s="29" t="s">
        <v>379</v>
      </c>
      <c r="D397" s="36">
        <v>5</v>
      </c>
      <c r="E397" s="41" t="s">
        <v>20</v>
      </c>
      <c r="F397" s="42">
        <v>2.5</v>
      </c>
      <c r="G397" s="9">
        <v>12.5</v>
      </c>
      <c r="H397" s="45">
        <v>5</v>
      </c>
      <c r="I397" s="9">
        <v>25</v>
      </c>
      <c r="J397" s="80" t="s">
        <v>338</v>
      </c>
      <c r="K397" s="43">
        <v>12.5</v>
      </c>
      <c r="L397" s="45" t="s">
        <v>15</v>
      </c>
    </row>
    <row r="398" spans="1:12" ht="15" customHeight="1" x14ac:dyDescent="0.3">
      <c r="A398" s="21">
        <v>6</v>
      </c>
      <c r="B398" s="25">
        <v>45816</v>
      </c>
      <c r="C398" s="29" t="s">
        <v>643</v>
      </c>
      <c r="D398" s="36">
        <v>15</v>
      </c>
      <c r="E398" s="41" t="s">
        <v>20</v>
      </c>
      <c r="F398" s="42">
        <v>2</v>
      </c>
      <c r="G398" s="9">
        <v>30</v>
      </c>
      <c r="H398" s="45">
        <v>5</v>
      </c>
      <c r="I398" s="9">
        <v>75</v>
      </c>
      <c r="J398" s="80" t="s">
        <v>338</v>
      </c>
      <c r="K398" s="43">
        <v>45</v>
      </c>
      <c r="L398" s="45" t="s">
        <v>15</v>
      </c>
    </row>
    <row r="399" spans="1:12" ht="15" customHeight="1" x14ac:dyDescent="0.3">
      <c r="A399" s="21">
        <v>6</v>
      </c>
      <c r="B399" s="25">
        <v>45816</v>
      </c>
      <c r="C399" s="29" t="s">
        <v>313</v>
      </c>
      <c r="D399" s="36">
        <v>4</v>
      </c>
      <c r="E399" s="41" t="s">
        <v>20</v>
      </c>
      <c r="F399" s="42">
        <v>3</v>
      </c>
      <c r="G399" s="9">
        <v>12</v>
      </c>
      <c r="H399" s="45">
        <v>15</v>
      </c>
      <c r="I399" s="9">
        <v>60</v>
      </c>
      <c r="J399" s="80" t="s">
        <v>338</v>
      </c>
      <c r="K399" s="43">
        <v>48</v>
      </c>
      <c r="L399" s="45" t="s">
        <v>15</v>
      </c>
    </row>
    <row r="400" spans="1:12" ht="15" customHeight="1" x14ac:dyDescent="0.3">
      <c r="A400" s="21">
        <v>6</v>
      </c>
      <c r="B400" s="25">
        <v>45816</v>
      </c>
      <c r="C400" s="29" t="s">
        <v>687</v>
      </c>
      <c r="D400" s="36">
        <v>1</v>
      </c>
      <c r="E400" s="41" t="s">
        <v>20</v>
      </c>
      <c r="F400" s="42" t="s">
        <v>72</v>
      </c>
      <c r="G400" s="9">
        <v>0</v>
      </c>
      <c r="H400" s="45">
        <v>15</v>
      </c>
      <c r="I400" s="9">
        <v>15</v>
      </c>
      <c r="J400" s="80" t="s">
        <v>338</v>
      </c>
      <c r="K400" s="43">
        <v>15</v>
      </c>
      <c r="L400" s="45" t="s">
        <v>15</v>
      </c>
    </row>
    <row r="401" spans="1:12" ht="15" customHeight="1" x14ac:dyDescent="0.3">
      <c r="A401" s="21">
        <v>6</v>
      </c>
      <c r="B401" s="25">
        <v>45816</v>
      </c>
      <c r="C401" s="29" t="s">
        <v>692</v>
      </c>
      <c r="D401" s="36">
        <v>1</v>
      </c>
      <c r="E401" s="41" t="s">
        <v>20</v>
      </c>
      <c r="F401" s="42" t="s">
        <v>72</v>
      </c>
      <c r="G401" s="9">
        <v>0</v>
      </c>
      <c r="H401" s="45">
        <v>50</v>
      </c>
      <c r="I401" s="9">
        <v>50</v>
      </c>
      <c r="J401" s="80" t="s">
        <v>338</v>
      </c>
      <c r="K401" s="43">
        <v>50</v>
      </c>
      <c r="L401" s="45" t="s">
        <v>15</v>
      </c>
    </row>
    <row r="402" spans="1:12" ht="15" customHeight="1" x14ac:dyDescent="0.3">
      <c r="A402" s="21">
        <v>6</v>
      </c>
      <c r="B402" s="25">
        <v>45816</v>
      </c>
      <c r="C402" s="29" t="s">
        <v>701</v>
      </c>
      <c r="D402" s="36">
        <v>1</v>
      </c>
      <c r="E402" s="41" t="s">
        <v>20</v>
      </c>
      <c r="F402" s="42" t="s">
        <v>72</v>
      </c>
      <c r="G402" s="9">
        <v>0</v>
      </c>
      <c r="H402" s="45">
        <v>15</v>
      </c>
      <c r="I402" s="9">
        <v>15</v>
      </c>
      <c r="J402" s="80" t="s">
        <v>338</v>
      </c>
      <c r="K402" s="43">
        <v>15</v>
      </c>
      <c r="L402" s="45" t="s">
        <v>15</v>
      </c>
    </row>
    <row r="403" spans="1:12" ht="15" customHeight="1" x14ac:dyDescent="0.3">
      <c r="A403" s="21">
        <v>6</v>
      </c>
      <c r="B403" s="25">
        <v>45816</v>
      </c>
      <c r="C403" s="29" t="s">
        <v>702</v>
      </c>
      <c r="D403" s="36">
        <v>1</v>
      </c>
      <c r="E403" s="41" t="s">
        <v>20</v>
      </c>
      <c r="F403" s="42" t="s">
        <v>72</v>
      </c>
      <c r="G403" s="9">
        <v>0</v>
      </c>
      <c r="H403" s="45">
        <v>1100</v>
      </c>
      <c r="I403" s="9">
        <v>1100</v>
      </c>
      <c r="J403" s="80" t="s">
        <v>338</v>
      </c>
      <c r="K403" s="43">
        <v>1100</v>
      </c>
      <c r="L403" s="45" t="s">
        <v>15</v>
      </c>
    </row>
    <row r="404" spans="1:12" ht="15" customHeight="1" x14ac:dyDescent="0.3">
      <c r="A404" s="21">
        <v>6</v>
      </c>
      <c r="B404" s="25">
        <v>45816</v>
      </c>
      <c r="C404" s="29" t="s">
        <v>703</v>
      </c>
      <c r="D404" s="36">
        <v>1</v>
      </c>
      <c r="E404" s="41" t="s">
        <v>20</v>
      </c>
      <c r="F404" s="42" t="s">
        <v>72</v>
      </c>
      <c r="G404" s="9">
        <v>0</v>
      </c>
      <c r="H404" s="45">
        <v>70</v>
      </c>
      <c r="I404" s="9">
        <v>70</v>
      </c>
      <c r="J404" s="80" t="s">
        <v>338</v>
      </c>
      <c r="K404" s="43">
        <v>70</v>
      </c>
      <c r="L404" s="45" t="s">
        <v>15</v>
      </c>
    </row>
    <row r="405" spans="1:12" ht="15" customHeight="1" x14ac:dyDescent="0.3">
      <c r="A405" s="21">
        <v>6</v>
      </c>
      <c r="B405" s="25">
        <v>45820</v>
      </c>
      <c r="C405" s="29" t="s">
        <v>704</v>
      </c>
      <c r="D405" s="36">
        <v>2</v>
      </c>
      <c r="E405" s="41" t="s">
        <v>20</v>
      </c>
      <c r="F405" s="42" t="s">
        <v>72</v>
      </c>
      <c r="G405" s="9">
        <v>0</v>
      </c>
      <c r="H405" s="45">
        <v>45</v>
      </c>
      <c r="I405" s="9">
        <v>90</v>
      </c>
      <c r="J405" s="80" t="s">
        <v>338</v>
      </c>
      <c r="K405" s="43">
        <v>90</v>
      </c>
      <c r="L405" s="45" t="s">
        <v>15</v>
      </c>
    </row>
    <row r="406" spans="1:12" ht="15" customHeight="1" x14ac:dyDescent="0.3">
      <c r="A406" s="21">
        <v>6</v>
      </c>
      <c r="B406" s="25">
        <v>45820</v>
      </c>
      <c r="C406" s="29" t="s">
        <v>48</v>
      </c>
      <c r="D406" s="36">
        <v>1</v>
      </c>
      <c r="E406" s="41" t="s">
        <v>20</v>
      </c>
      <c r="F406" s="42">
        <v>3</v>
      </c>
      <c r="G406" s="9">
        <v>3</v>
      </c>
      <c r="H406" s="45">
        <v>20</v>
      </c>
      <c r="I406" s="9">
        <v>20</v>
      </c>
      <c r="J406" s="80" t="s">
        <v>338</v>
      </c>
      <c r="K406" s="43">
        <v>17</v>
      </c>
      <c r="L406" s="45" t="s">
        <v>15</v>
      </c>
    </row>
    <row r="407" spans="1:12" ht="15" customHeight="1" x14ac:dyDescent="0.3">
      <c r="A407" s="21">
        <v>6</v>
      </c>
      <c r="B407" s="25">
        <v>45820</v>
      </c>
      <c r="C407" s="29" t="s">
        <v>350</v>
      </c>
      <c r="D407" s="36">
        <v>1</v>
      </c>
      <c r="E407" s="41" t="s">
        <v>20</v>
      </c>
      <c r="F407" s="42">
        <v>10</v>
      </c>
      <c r="G407" s="9">
        <v>10</v>
      </c>
      <c r="H407" s="45">
        <v>30</v>
      </c>
      <c r="I407" s="9">
        <v>30</v>
      </c>
      <c r="J407" s="80" t="s">
        <v>338</v>
      </c>
      <c r="K407" s="43">
        <v>20</v>
      </c>
      <c r="L407" s="45" t="s">
        <v>15</v>
      </c>
    </row>
    <row r="408" spans="1:12" ht="15" customHeight="1" x14ac:dyDescent="0.3">
      <c r="A408" s="21">
        <v>6</v>
      </c>
      <c r="B408" s="25">
        <v>45820</v>
      </c>
      <c r="C408" s="29" t="s">
        <v>705</v>
      </c>
      <c r="D408" s="36">
        <v>1</v>
      </c>
      <c r="E408" s="41" t="s">
        <v>20</v>
      </c>
      <c r="F408" s="42" t="s">
        <v>72</v>
      </c>
      <c r="G408" s="9">
        <v>0</v>
      </c>
      <c r="H408" s="45">
        <v>10</v>
      </c>
      <c r="I408" s="9">
        <v>10</v>
      </c>
      <c r="J408" s="80" t="s">
        <v>338</v>
      </c>
      <c r="K408" s="43">
        <v>10</v>
      </c>
      <c r="L408" s="45" t="s">
        <v>15</v>
      </c>
    </row>
    <row r="409" spans="1:12" ht="15" customHeight="1" x14ac:dyDescent="0.3">
      <c r="A409" s="21">
        <v>6</v>
      </c>
      <c r="B409" s="25">
        <v>45820</v>
      </c>
      <c r="C409" s="29" t="s">
        <v>267</v>
      </c>
      <c r="D409" s="36">
        <v>1</v>
      </c>
      <c r="E409" s="41" t="s">
        <v>20</v>
      </c>
      <c r="F409" s="42">
        <v>0</v>
      </c>
      <c r="G409" s="9">
        <v>0</v>
      </c>
      <c r="H409" s="45">
        <v>70</v>
      </c>
      <c r="I409" s="9">
        <v>70</v>
      </c>
      <c r="J409" s="80" t="s">
        <v>338</v>
      </c>
      <c r="K409" s="43">
        <v>70</v>
      </c>
      <c r="L409" s="45" t="s">
        <v>15</v>
      </c>
    </row>
    <row r="410" spans="1:12" ht="15" customHeight="1" x14ac:dyDescent="0.3">
      <c r="A410" s="21">
        <v>6</v>
      </c>
      <c r="B410" s="25">
        <v>45820</v>
      </c>
      <c r="C410" s="29" t="s">
        <v>706</v>
      </c>
      <c r="D410" s="36">
        <v>2</v>
      </c>
      <c r="E410" s="41" t="s">
        <v>20</v>
      </c>
      <c r="F410" s="42" t="s">
        <v>72</v>
      </c>
      <c r="G410" s="9">
        <v>0</v>
      </c>
      <c r="H410" s="45">
        <v>30</v>
      </c>
      <c r="I410" s="9">
        <v>60</v>
      </c>
      <c r="J410" s="80" t="s">
        <v>338</v>
      </c>
      <c r="K410" s="43">
        <v>60</v>
      </c>
      <c r="L410" s="45" t="s">
        <v>15</v>
      </c>
    </row>
    <row r="411" spans="1:12" ht="15" customHeight="1" x14ac:dyDescent="0.3">
      <c r="A411" s="21">
        <v>6</v>
      </c>
      <c r="B411" s="25">
        <v>45820</v>
      </c>
      <c r="C411" s="29" t="s">
        <v>707</v>
      </c>
      <c r="D411" s="36">
        <v>1</v>
      </c>
      <c r="E411" s="41" t="s">
        <v>20</v>
      </c>
      <c r="F411" s="42" t="s">
        <v>72</v>
      </c>
      <c r="G411" s="9">
        <v>0</v>
      </c>
      <c r="H411" s="45">
        <v>5</v>
      </c>
      <c r="I411" s="9">
        <v>5</v>
      </c>
      <c r="J411" s="80" t="s">
        <v>338</v>
      </c>
      <c r="K411" s="43">
        <v>5</v>
      </c>
      <c r="L411" s="45" t="s">
        <v>15</v>
      </c>
    </row>
    <row r="412" spans="1:12" ht="15" customHeight="1" x14ac:dyDescent="0.3">
      <c r="A412" s="21">
        <v>7</v>
      </c>
      <c r="B412" s="25">
        <v>45839</v>
      </c>
      <c r="C412" s="29" t="s">
        <v>708</v>
      </c>
      <c r="D412" s="36">
        <v>1</v>
      </c>
      <c r="E412" s="41" t="s">
        <v>20</v>
      </c>
      <c r="F412" s="42" t="s">
        <v>72</v>
      </c>
      <c r="G412" s="9">
        <v>0</v>
      </c>
      <c r="H412" s="45">
        <v>30</v>
      </c>
      <c r="I412" s="9">
        <v>30</v>
      </c>
      <c r="J412" s="80" t="s">
        <v>338</v>
      </c>
      <c r="K412" s="43">
        <v>30</v>
      </c>
      <c r="L412" s="45" t="s">
        <v>15</v>
      </c>
    </row>
    <row r="413" spans="1:12" ht="15" customHeight="1" x14ac:dyDescent="0.3">
      <c r="A413" s="21">
        <v>7</v>
      </c>
      <c r="B413" s="25">
        <v>45839</v>
      </c>
      <c r="C413" s="29" t="s">
        <v>709</v>
      </c>
      <c r="D413" s="36">
        <v>1</v>
      </c>
      <c r="E413" s="41" t="s">
        <v>710</v>
      </c>
      <c r="F413" s="42" t="s">
        <v>72</v>
      </c>
      <c r="G413" s="9">
        <v>0</v>
      </c>
      <c r="H413" s="45">
        <v>85</v>
      </c>
      <c r="I413" s="9">
        <v>85</v>
      </c>
      <c r="J413" s="80" t="s">
        <v>338</v>
      </c>
      <c r="K413" s="43">
        <v>85</v>
      </c>
      <c r="L413" s="45" t="s">
        <v>15</v>
      </c>
    </row>
    <row r="414" spans="1:12" ht="15" customHeight="1" x14ac:dyDescent="0.3">
      <c r="A414" s="21">
        <v>7</v>
      </c>
      <c r="B414" s="25">
        <v>45839</v>
      </c>
      <c r="C414" s="29" t="s">
        <v>649</v>
      </c>
      <c r="D414" s="36">
        <v>1</v>
      </c>
      <c r="E414" s="41" t="s">
        <v>340</v>
      </c>
      <c r="F414" s="42">
        <v>8</v>
      </c>
      <c r="G414" s="9">
        <v>8</v>
      </c>
      <c r="H414" s="45">
        <v>25</v>
      </c>
      <c r="I414" s="9">
        <v>25</v>
      </c>
      <c r="J414" s="80" t="s">
        <v>338</v>
      </c>
      <c r="K414" s="43">
        <v>17</v>
      </c>
      <c r="L414" s="45" t="s">
        <v>15</v>
      </c>
    </row>
    <row r="415" spans="1:12" ht="15" customHeight="1" x14ac:dyDescent="0.3">
      <c r="A415" s="21">
        <v>7</v>
      </c>
      <c r="B415" s="25">
        <v>45840</v>
      </c>
      <c r="C415" s="29" t="s">
        <v>315</v>
      </c>
      <c r="D415" s="36">
        <v>2</v>
      </c>
      <c r="E415" s="41" t="s">
        <v>711</v>
      </c>
      <c r="F415" s="42">
        <v>7.0000000000000007E-2</v>
      </c>
      <c r="G415" s="9">
        <v>0.14000000000000001</v>
      </c>
      <c r="H415" s="45">
        <v>1</v>
      </c>
      <c r="I415" s="9">
        <v>2</v>
      </c>
      <c r="J415" s="80" t="s">
        <v>338</v>
      </c>
      <c r="K415" s="43">
        <v>1.8599999999999999</v>
      </c>
      <c r="L415" s="45" t="s">
        <v>15</v>
      </c>
    </row>
    <row r="416" spans="1:12" ht="15" customHeight="1" x14ac:dyDescent="0.3">
      <c r="A416" s="21">
        <v>7</v>
      </c>
      <c r="B416" s="25">
        <v>45840</v>
      </c>
      <c r="C416" s="29" t="s">
        <v>692</v>
      </c>
      <c r="D416" s="36">
        <v>1</v>
      </c>
      <c r="E416" s="41" t="s">
        <v>712</v>
      </c>
      <c r="F416" s="42" t="s">
        <v>72</v>
      </c>
      <c r="G416" s="9">
        <v>0</v>
      </c>
      <c r="H416" s="45">
        <v>45</v>
      </c>
      <c r="I416" s="9">
        <v>45</v>
      </c>
      <c r="J416" s="80" t="s">
        <v>338</v>
      </c>
      <c r="K416" s="43">
        <v>45</v>
      </c>
      <c r="L416" s="45" t="s">
        <v>15</v>
      </c>
    </row>
    <row r="417" spans="1:12" ht="15" customHeight="1" x14ac:dyDescent="0.3">
      <c r="A417" s="21">
        <v>7</v>
      </c>
      <c r="B417" s="25">
        <v>45842</v>
      </c>
      <c r="C417" s="29" t="s">
        <v>315</v>
      </c>
      <c r="D417" s="36">
        <v>1</v>
      </c>
      <c r="E417" s="41" t="s">
        <v>20</v>
      </c>
      <c r="F417" s="42">
        <v>7.0000000000000007E-2</v>
      </c>
      <c r="G417" s="9">
        <v>7.0000000000000007E-2</v>
      </c>
      <c r="H417" s="45">
        <v>1</v>
      </c>
      <c r="I417" s="9">
        <v>1</v>
      </c>
      <c r="J417" s="80" t="s">
        <v>338</v>
      </c>
      <c r="K417" s="43">
        <v>0.92999999999999994</v>
      </c>
      <c r="L417" s="45" t="s">
        <v>15</v>
      </c>
    </row>
    <row r="418" spans="1:12" ht="15" customHeight="1" x14ac:dyDescent="0.3">
      <c r="A418" s="21">
        <v>7</v>
      </c>
      <c r="B418" s="25">
        <v>45842</v>
      </c>
      <c r="C418" s="29" t="s">
        <v>713</v>
      </c>
      <c r="D418" s="36">
        <v>1</v>
      </c>
      <c r="E418" s="41" t="s">
        <v>20</v>
      </c>
      <c r="F418" s="42">
        <v>12</v>
      </c>
      <c r="G418" s="9">
        <v>12</v>
      </c>
      <c r="H418" s="45">
        <v>25</v>
      </c>
      <c r="I418" s="9">
        <v>25</v>
      </c>
      <c r="J418" s="80" t="s">
        <v>338</v>
      </c>
      <c r="K418" s="43">
        <v>13</v>
      </c>
      <c r="L418" s="45" t="s">
        <v>15</v>
      </c>
    </row>
    <row r="419" spans="1:12" ht="15" customHeight="1" x14ac:dyDescent="0.3">
      <c r="A419" s="21">
        <v>7</v>
      </c>
      <c r="B419" s="25">
        <v>45843</v>
      </c>
      <c r="C419" s="29" t="s">
        <v>714</v>
      </c>
      <c r="D419" s="36">
        <v>8</v>
      </c>
      <c r="E419" s="41" t="s">
        <v>20</v>
      </c>
      <c r="F419" s="42">
        <v>1</v>
      </c>
      <c r="G419" s="9">
        <v>8</v>
      </c>
      <c r="H419" s="45">
        <v>2</v>
      </c>
      <c r="I419" s="9">
        <v>16</v>
      </c>
      <c r="J419" s="80" t="s">
        <v>338</v>
      </c>
      <c r="K419" s="43">
        <v>8</v>
      </c>
      <c r="L419" s="45" t="s">
        <v>15</v>
      </c>
    </row>
    <row r="420" spans="1:12" ht="15" customHeight="1" x14ac:dyDescent="0.3">
      <c r="A420" s="21">
        <v>7</v>
      </c>
      <c r="B420" s="25">
        <v>45843</v>
      </c>
      <c r="C420" s="29" t="s">
        <v>313</v>
      </c>
      <c r="D420" s="36">
        <v>2</v>
      </c>
      <c r="E420" s="41" t="s">
        <v>20</v>
      </c>
      <c r="F420" s="42">
        <v>3</v>
      </c>
      <c r="G420" s="9">
        <v>6</v>
      </c>
      <c r="H420" s="45">
        <v>15</v>
      </c>
      <c r="I420" s="9">
        <v>30</v>
      </c>
      <c r="J420" s="80" t="s">
        <v>338</v>
      </c>
      <c r="K420" s="43">
        <v>24</v>
      </c>
      <c r="L420" s="45" t="s">
        <v>15</v>
      </c>
    </row>
    <row r="421" spans="1:12" ht="15" customHeight="1" x14ac:dyDescent="0.3">
      <c r="A421" s="21">
        <v>7</v>
      </c>
      <c r="B421" s="25">
        <v>45843</v>
      </c>
      <c r="C421" s="29" t="s">
        <v>479</v>
      </c>
      <c r="D421" s="36">
        <v>1</v>
      </c>
      <c r="E421" s="41" t="s">
        <v>20</v>
      </c>
      <c r="F421" s="42">
        <v>3</v>
      </c>
      <c r="G421" s="9">
        <v>3</v>
      </c>
      <c r="H421" s="45">
        <v>15</v>
      </c>
      <c r="I421" s="9">
        <v>15</v>
      </c>
      <c r="J421" s="80" t="s">
        <v>338</v>
      </c>
      <c r="K421" s="43">
        <v>12</v>
      </c>
      <c r="L421" s="45" t="s">
        <v>15</v>
      </c>
    </row>
    <row r="422" spans="1:12" ht="15" customHeight="1" x14ac:dyDescent="0.3">
      <c r="A422" s="21">
        <v>7</v>
      </c>
      <c r="B422" s="25">
        <v>45843</v>
      </c>
      <c r="C422" s="29" t="s">
        <v>315</v>
      </c>
      <c r="D422" s="36">
        <v>1</v>
      </c>
      <c r="E422" s="41" t="s">
        <v>20</v>
      </c>
      <c r="F422" s="42">
        <v>7.0000000000000007E-2</v>
      </c>
      <c r="G422" s="9">
        <v>7.0000000000000007E-2</v>
      </c>
      <c r="H422" s="45">
        <v>5</v>
      </c>
      <c r="I422" s="9">
        <v>5</v>
      </c>
      <c r="J422" s="80" t="s">
        <v>338</v>
      </c>
      <c r="K422" s="43">
        <v>4.93</v>
      </c>
      <c r="L422" s="45" t="s">
        <v>15</v>
      </c>
    </row>
    <row r="423" spans="1:12" ht="15" customHeight="1" x14ac:dyDescent="0.3">
      <c r="A423" s="21">
        <v>7</v>
      </c>
      <c r="B423" s="25">
        <v>45845</v>
      </c>
      <c r="C423" s="29" t="s">
        <v>315</v>
      </c>
      <c r="D423" s="36">
        <v>1</v>
      </c>
      <c r="E423" s="41" t="s">
        <v>20</v>
      </c>
      <c r="F423" s="42">
        <v>7.0000000000000007E-2</v>
      </c>
      <c r="G423" s="9">
        <v>7.0000000000000007E-2</v>
      </c>
      <c r="H423" s="45">
        <v>1</v>
      </c>
      <c r="I423" s="9">
        <v>1</v>
      </c>
      <c r="J423" s="80" t="s">
        <v>338</v>
      </c>
      <c r="K423" s="43">
        <v>0.92999999999999994</v>
      </c>
      <c r="L423" s="45" t="s">
        <v>15</v>
      </c>
    </row>
    <row r="424" spans="1:12" ht="15" customHeight="1" x14ac:dyDescent="0.3">
      <c r="A424" s="21">
        <v>7</v>
      </c>
      <c r="B424" s="25">
        <v>45845</v>
      </c>
      <c r="C424" s="29" t="s">
        <v>714</v>
      </c>
      <c r="D424" s="36">
        <v>2</v>
      </c>
      <c r="E424" s="41" t="s">
        <v>20</v>
      </c>
      <c r="F424" s="42">
        <v>1</v>
      </c>
      <c r="G424" s="9">
        <v>2</v>
      </c>
      <c r="H424" s="45">
        <v>2</v>
      </c>
      <c r="I424" s="9">
        <v>4</v>
      </c>
      <c r="J424" s="80" t="s">
        <v>338</v>
      </c>
      <c r="K424" s="43">
        <v>2</v>
      </c>
      <c r="L424" s="45" t="s">
        <v>15</v>
      </c>
    </row>
    <row r="425" spans="1:12" ht="15" customHeight="1" x14ac:dyDescent="0.3">
      <c r="A425" s="21">
        <v>7</v>
      </c>
      <c r="B425" s="25">
        <v>45848</v>
      </c>
      <c r="C425" s="29" t="s">
        <v>715</v>
      </c>
      <c r="D425" s="36">
        <v>2</v>
      </c>
      <c r="E425" s="41" t="s">
        <v>20</v>
      </c>
      <c r="F425" s="42">
        <v>5</v>
      </c>
      <c r="G425" s="9">
        <v>10</v>
      </c>
      <c r="H425" s="45">
        <v>10</v>
      </c>
      <c r="I425" s="9">
        <v>20</v>
      </c>
      <c r="J425" s="80" t="s">
        <v>338</v>
      </c>
      <c r="K425" s="43">
        <v>10</v>
      </c>
      <c r="L425" s="45" t="s">
        <v>15</v>
      </c>
    </row>
    <row r="426" spans="1:12" ht="15" customHeight="1" x14ac:dyDescent="0.3">
      <c r="A426" s="21">
        <v>7</v>
      </c>
      <c r="B426" s="25">
        <v>45848</v>
      </c>
      <c r="C426" s="29" t="s">
        <v>315</v>
      </c>
      <c r="D426" s="36">
        <v>1</v>
      </c>
      <c r="E426" s="41" t="s">
        <v>20</v>
      </c>
      <c r="F426" s="42">
        <v>7.0000000000000007E-2</v>
      </c>
      <c r="G426" s="9">
        <v>7.0000000000000007E-2</v>
      </c>
      <c r="H426" s="45">
        <v>5</v>
      </c>
      <c r="I426" s="9">
        <v>5</v>
      </c>
      <c r="J426" s="80" t="s">
        <v>338</v>
      </c>
      <c r="K426" s="43">
        <v>4.93</v>
      </c>
      <c r="L426" s="45" t="s">
        <v>15</v>
      </c>
    </row>
    <row r="427" spans="1:12" ht="15" customHeight="1" x14ac:dyDescent="0.3">
      <c r="A427" s="21">
        <v>7</v>
      </c>
      <c r="B427" s="25">
        <v>45848</v>
      </c>
      <c r="C427" s="29" t="s">
        <v>716</v>
      </c>
      <c r="D427" s="36">
        <v>2</v>
      </c>
      <c r="E427" s="41" t="s">
        <v>20</v>
      </c>
      <c r="F427" s="42" t="s">
        <v>72</v>
      </c>
      <c r="G427" s="9">
        <v>0</v>
      </c>
      <c r="H427" s="45">
        <v>5</v>
      </c>
      <c r="I427" s="9">
        <v>10</v>
      </c>
      <c r="J427" s="80" t="s">
        <v>338</v>
      </c>
      <c r="K427" s="43">
        <v>10</v>
      </c>
      <c r="L427" s="45" t="s">
        <v>15</v>
      </c>
    </row>
    <row r="428" spans="1:12" ht="15" customHeight="1" x14ac:dyDescent="0.3">
      <c r="A428" s="21">
        <v>7</v>
      </c>
      <c r="B428" s="25">
        <v>45848</v>
      </c>
      <c r="C428" s="29" t="s">
        <v>717</v>
      </c>
      <c r="D428" s="36">
        <v>1</v>
      </c>
      <c r="E428" s="41" t="s">
        <v>20</v>
      </c>
      <c r="F428" s="42" t="s">
        <v>72</v>
      </c>
      <c r="G428" s="9">
        <v>0</v>
      </c>
      <c r="H428" s="45">
        <v>5</v>
      </c>
      <c r="I428" s="9">
        <v>5</v>
      </c>
      <c r="J428" s="80" t="s">
        <v>338</v>
      </c>
      <c r="K428" s="43">
        <v>5</v>
      </c>
      <c r="L428" s="45" t="s">
        <v>15</v>
      </c>
    </row>
    <row r="429" spans="1:12" ht="15" customHeight="1" x14ac:dyDescent="0.3">
      <c r="A429" s="21">
        <v>7</v>
      </c>
      <c r="B429" s="25">
        <v>45848</v>
      </c>
      <c r="C429" s="29" t="s">
        <v>525</v>
      </c>
      <c r="D429" s="36">
        <v>1</v>
      </c>
      <c r="E429" s="41" t="s">
        <v>20</v>
      </c>
      <c r="F429" s="42">
        <v>6.5</v>
      </c>
      <c r="G429" s="9">
        <v>6.5</v>
      </c>
      <c r="H429" s="45">
        <v>10</v>
      </c>
      <c r="I429" s="9">
        <v>10</v>
      </c>
      <c r="J429" s="80" t="s">
        <v>338</v>
      </c>
      <c r="K429" s="43">
        <v>3.5</v>
      </c>
      <c r="L429" s="45" t="s">
        <v>15</v>
      </c>
    </row>
    <row r="430" spans="1:12" ht="15" customHeight="1" x14ac:dyDescent="0.3">
      <c r="A430" s="21">
        <v>7</v>
      </c>
      <c r="B430" s="25">
        <v>45848</v>
      </c>
      <c r="C430" s="29" t="s">
        <v>714</v>
      </c>
      <c r="D430" s="36">
        <v>8</v>
      </c>
      <c r="E430" s="41" t="s">
        <v>20</v>
      </c>
      <c r="F430" s="42">
        <v>1</v>
      </c>
      <c r="G430" s="9">
        <v>8</v>
      </c>
      <c r="H430" s="45">
        <v>2</v>
      </c>
      <c r="I430" s="9">
        <v>16</v>
      </c>
      <c r="J430" s="80" t="s">
        <v>338</v>
      </c>
      <c r="K430" s="43">
        <v>8</v>
      </c>
      <c r="L430" s="45" t="s">
        <v>15</v>
      </c>
    </row>
    <row r="431" spans="1:12" ht="15" customHeight="1" x14ac:dyDescent="0.3">
      <c r="A431" s="21">
        <v>7</v>
      </c>
      <c r="B431" s="25">
        <v>45848</v>
      </c>
      <c r="C431" s="29" t="s">
        <v>692</v>
      </c>
      <c r="D431" s="36">
        <v>1</v>
      </c>
      <c r="E431" s="41" t="s">
        <v>718</v>
      </c>
      <c r="F431" s="42" t="s">
        <v>72</v>
      </c>
      <c r="G431" s="9">
        <v>0</v>
      </c>
      <c r="H431" s="45">
        <v>40</v>
      </c>
      <c r="I431" s="9">
        <v>40</v>
      </c>
      <c r="J431" s="80" t="s">
        <v>338</v>
      </c>
      <c r="K431" s="43">
        <v>40</v>
      </c>
      <c r="L431" s="45" t="s">
        <v>15</v>
      </c>
    </row>
    <row r="432" spans="1:12" ht="15" customHeight="1" x14ac:dyDescent="0.3">
      <c r="A432" s="21">
        <v>7</v>
      </c>
      <c r="B432" s="25">
        <v>45848</v>
      </c>
      <c r="C432" s="29" t="s">
        <v>275</v>
      </c>
      <c r="D432" s="36">
        <v>1</v>
      </c>
      <c r="E432" s="41" t="s">
        <v>712</v>
      </c>
      <c r="F432" s="42">
        <v>18</v>
      </c>
      <c r="G432" s="9">
        <v>18</v>
      </c>
      <c r="H432" s="45">
        <v>20</v>
      </c>
      <c r="I432" s="9">
        <v>20</v>
      </c>
      <c r="J432" s="80" t="s">
        <v>338</v>
      </c>
      <c r="K432" s="43">
        <v>2</v>
      </c>
      <c r="L432" s="45" t="s">
        <v>15</v>
      </c>
    </row>
    <row r="433" spans="1:12" ht="15" customHeight="1" x14ac:dyDescent="0.3">
      <c r="A433" s="21">
        <v>7</v>
      </c>
      <c r="B433" s="25">
        <v>45848</v>
      </c>
      <c r="C433" s="29" t="s">
        <v>714</v>
      </c>
      <c r="D433" s="36">
        <v>4</v>
      </c>
      <c r="E433" s="41" t="s">
        <v>20</v>
      </c>
      <c r="F433" s="42">
        <v>1</v>
      </c>
      <c r="G433" s="9">
        <v>4</v>
      </c>
      <c r="H433" s="45">
        <v>2</v>
      </c>
      <c r="I433" s="9">
        <v>8</v>
      </c>
      <c r="J433" s="80" t="s">
        <v>338</v>
      </c>
      <c r="K433" s="43">
        <v>4</v>
      </c>
      <c r="L433" s="45" t="s">
        <v>15</v>
      </c>
    </row>
    <row r="434" spans="1:12" ht="15" customHeight="1" x14ac:dyDescent="0.3">
      <c r="A434" s="21">
        <v>7</v>
      </c>
      <c r="B434" s="25">
        <v>45848</v>
      </c>
      <c r="C434" s="29" t="s">
        <v>719</v>
      </c>
      <c r="D434" s="36">
        <v>1</v>
      </c>
      <c r="E434" s="41" t="s">
        <v>20</v>
      </c>
      <c r="F434" s="42" t="s">
        <v>72</v>
      </c>
      <c r="G434" s="9">
        <v>0</v>
      </c>
      <c r="H434" s="45">
        <v>30</v>
      </c>
      <c r="I434" s="9">
        <v>30</v>
      </c>
      <c r="J434" s="80" t="s">
        <v>338</v>
      </c>
      <c r="K434" s="43">
        <v>30</v>
      </c>
      <c r="L434" s="45" t="s">
        <v>15</v>
      </c>
    </row>
    <row r="435" spans="1:12" ht="15" customHeight="1" x14ac:dyDescent="0.3">
      <c r="A435" s="21">
        <v>7</v>
      </c>
      <c r="B435" s="25">
        <v>45848</v>
      </c>
      <c r="C435" s="29" t="s">
        <v>315</v>
      </c>
      <c r="D435" s="36">
        <v>5</v>
      </c>
      <c r="E435" s="41" t="s">
        <v>20</v>
      </c>
      <c r="F435" s="42">
        <v>7.0000000000000007E-2</v>
      </c>
      <c r="G435" s="9">
        <v>0.35000000000000003</v>
      </c>
      <c r="H435" s="45">
        <v>1</v>
      </c>
      <c r="I435" s="9">
        <v>5</v>
      </c>
      <c r="J435" s="80" t="s">
        <v>338</v>
      </c>
      <c r="K435" s="43">
        <v>4.6500000000000004</v>
      </c>
      <c r="L435" s="45" t="s">
        <v>15</v>
      </c>
    </row>
    <row r="436" spans="1:12" ht="15" customHeight="1" x14ac:dyDescent="0.3">
      <c r="A436" s="21">
        <v>7</v>
      </c>
      <c r="B436" s="25">
        <v>45850</v>
      </c>
      <c r="C436" s="29" t="s">
        <v>720</v>
      </c>
      <c r="D436" s="36">
        <v>1</v>
      </c>
      <c r="E436" s="41" t="s">
        <v>20</v>
      </c>
      <c r="F436" s="42" t="s">
        <v>72</v>
      </c>
      <c r="G436" s="9">
        <v>0</v>
      </c>
      <c r="H436" s="45">
        <v>15</v>
      </c>
      <c r="I436" s="9">
        <v>15</v>
      </c>
      <c r="J436" s="80" t="s">
        <v>338</v>
      </c>
      <c r="K436" s="43">
        <v>15</v>
      </c>
      <c r="L436" s="45" t="s">
        <v>15</v>
      </c>
    </row>
    <row r="437" spans="1:12" ht="15" customHeight="1" x14ac:dyDescent="0.3">
      <c r="A437" s="21">
        <v>7</v>
      </c>
      <c r="B437" s="25">
        <v>45850</v>
      </c>
      <c r="C437" s="29" t="s">
        <v>715</v>
      </c>
      <c r="D437" s="36">
        <v>3</v>
      </c>
      <c r="E437" s="41" t="s">
        <v>20</v>
      </c>
      <c r="F437" s="42">
        <v>5</v>
      </c>
      <c r="G437" s="9">
        <v>15</v>
      </c>
      <c r="H437" s="45">
        <v>10</v>
      </c>
      <c r="I437" s="9">
        <v>30</v>
      </c>
      <c r="J437" s="80" t="s">
        <v>338</v>
      </c>
      <c r="K437" s="43">
        <v>15</v>
      </c>
      <c r="L437" s="45" t="s">
        <v>15</v>
      </c>
    </row>
    <row r="438" spans="1:12" ht="15" customHeight="1" x14ac:dyDescent="0.3">
      <c r="A438" s="21">
        <v>7</v>
      </c>
      <c r="B438" s="25">
        <v>45850</v>
      </c>
      <c r="C438" s="29" t="s">
        <v>721</v>
      </c>
      <c r="D438" s="36">
        <v>1</v>
      </c>
      <c r="E438" s="41" t="s">
        <v>20</v>
      </c>
      <c r="F438" s="42" t="s">
        <v>72</v>
      </c>
      <c r="G438" s="9">
        <v>0</v>
      </c>
      <c r="H438" s="45">
        <v>10</v>
      </c>
      <c r="I438" s="9">
        <v>10</v>
      </c>
      <c r="J438" s="80" t="s">
        <v>338</v>
      </c>
      <c r="K438" s="43">
        <v>10</v>
      </c>
      <c r="L438" s="45" t="s">
        <v>15</v>
      </c>
    </row>
    <row r="439" spans="1:12" ht="15" customHeight="1" x14ac:dyDescent="0.3">
      <c r="A439" s="21">
        <v>7</v>
      </c>
      <c r="B439" s="25">
        <v>45850</v>
      </c>
      <c r="C439" s="29" t="s">
        <v>722</v>
      </c>
      <c r="D439" s="36">
        <v>1</v>
      </c>
      <c r="E439" s="41" t="s">
        <v>20</v>
      </c>
      <c r="F439" s="42">
        <v>28</v>
      </c>
      <c r="G439" s="9">
        <v>28</v>
      </c>
      <c r="H439" s="45">
        <v>40</v>
      </c>
      <c r="I439" s="9">
        <v>40</v>
      </c>
      <c r="J439" s="80" t="s">
        <v>338</v>
      </c>
      <c r="K439" s="43">
        <v>12</v>
      </c>
      <c r="L439" s="45" t="s">
        <v>15</v>
      </c>
    </row>
    <row r="440" spans="1:12" ht="15" customHeight="1" x14ac:dyDescent="0.3">
      <c r="A440" s="21">
        <v>7</v>
      </c>
      <c r="B440" s="25">
        <v>45850</v>
      </c>
      <c r="C440" s="29" t="s">
        <v>251</v>
      </c>
      <c r="D440" s="36">
        <v>1</v>
      </c>
      <c r="E440" s="41" t="s">
        <v>20</v>
      </c>
      <c r="F440" s="42">
        <v>11</v>
      </c>
      <c r="G440" s="9">
        <v>11</v>
      </c>
      <c r="H440" s="45">
        <v>20</v>
      </c>
      <c r="I440" s="9">
        <v>20</v>
      </c>
      <c r="J440" s="80" t="s">
        <v>338</v>
      </c>
      <c r="K440" s="43">
        <v>9</v>
      </c>
      <c r="L440" s="45" t="s">
        <v>15</v>
      </c>
    </row>
    <row r="441" spans="1:12" ht="15" customHeight="1" x14ac:dyDescent="0.3">
      <c r="A441" s="21">
        <v>7</v>
      </c>
      <c r="B441" s="25">
        <v>45850</v>
      </c>
      <c r="C441" s="29" t="s">
        <v>431</v>
      </c>
      <c r="D441" s="36">
        <v>1</v>
      </c>
      <c r="E441" s="41" t="s">
        <v>20</v>
      </c>
      <c r="F441" s="42">
        <v>0</v>
      </c>
      <c r="G441" s="9">
        <v>0</v>
      </c>
      <c r="H441" s="45">
        <v>20</v>
      </c>
      <c r="I441" s="9">
        <v>20</v>
      </c>
      <c r="J441" s="80" t="s">
        <v>338</v>
      </c>
      <c r="K441" s="43">
        <v>20</v>
      </c>
      <c r="L441" s="45" t="s">
        <v>15</v>
      </c>
    </row>
    <row r="442" spans="1:12" ht="15" customHeight="1" x14ac:dyDescent="0.3">
      <c r="A442" s="21">
        <v>7</v>
      </c>
      <c r="B442" s="25">
        <v>45850</v>
      </c>
      <c r="C442" s="29" t="s">
        <v>723</v>
      </c>
      <c r="D442" s="36">
        <v>1</v>
      </c>
      <c r="E442" s="41" t="s">
        <v>20</v>
      </c>
      <c r="F442" s="42" t="s">
        <v>72</v>
      </c>
      <c r="G442" s="9">
        <v>0</v>
      </c>
      <c r="H442" s="45">
        <v>80</v>
      </c>
      <c r="I442" s="9">
        <v>80</v>
      </c>
      <c r="J442" s="80" t="s">
        <v>338</v>
      </c>
      <c r="K442" s="43">
        <v>80</v>
      </c>
      <c r="L442" s="45" t="s">
        <v>15</v>
      </c>
    </row>
    <row r="443" spans="1:12" ht="15" customHeight="1" x14ac:dyDescent="0.3">
      <c r="A443" s="21">
        <v>7</v>
      </c>
      <c r="B443" s="25">
        <v>45852</v>
      </c>
      <c r="C443" s="29" t="s">
        <v>315</v>
      </c>
      <c r="D443" s="36">
        <v>1</v>
      </c>
      <c r="E443" s="41" t="s">
        <v>51</v>
      </c>
      <c r="F443" s="42">
        <v>7.0000000000000007E-2</v>
      </c>
      <c r="G443" s="9">
        <v>7.0000000000000007E-2</v>
      </c>
      <c r="H443" s="45">
        <v>1</v>
      </c>
      <c r="I443" s="9">
        <v>1</v>
      </c>
      <c r="J443" s="80" t="s">
        <v>338</v>
      </c>
      <c r="K443" s="43">
        <v>0.92999999999999994</v>
      </c>
      <c r="L443" s="45" t="s">
        <v>15</v>
      </c>
    </row>
    <row r="444" spans="1:12" ht="15" customHeight="1" x14ac:dyDescent="0.3">
      <c r="A444" s="21">
        <v>7</v>
      </c>
      <c r="B444" s="25">
        <v>45852</v>
      </c>
      <c r="C444" s="29" t="s">
        <v>216</v>
      </c>
      <c r="D444" s="36">
        <v>1</v>
      </c>
      <c r="E444" s="41" t="s">
        <v>724</v>
      </c>
      <c r="F444" s="42">
        <v>0</v>
      </c>
      <c r="G444" s="9">
        <v>0</v>
      </c>
      <c r="H444" s="45">
        <v>60</v>
      </c>
      <c r="I444" s="9">
        <v>60</v>
      </c>
      <c r="J444" s="80" t="s">
        <v>338</v>
      </c>
      <c r="K444" s="43">
        <v>60</v>
      </c>
      <c r="L444" s="45" t="s">
        <v>15</v>
      </c>
    </row>
    <row r="445" spans="1:12" ht="15" customHeight="1" x14ac:dyDescent="0.3">
      <c r="A445" s="21">
        <v>7</v>
      </c>
      <c r="B445" s="25">
        <v>45852</v>
      </c>
      <c r="C445" s="29" t="s">
        <v>560</v>
      </c>
      <c r="D445" s="36">
        <v>1</v>
      </c>
      <c r="E445" s="41" t="s">
        <v>724</v>
      </c>
      <c r="F445" s="42">
        <v>32</v>
      </c>
      <c r="G445" s="9">
        <v>32</v>
      </c>
      <c r="H445" s="45">
        <v>80</v>
      </c>
      <c r="I445" s="9">
        <v>80</v>
      </c>
      <c r="J445" s="80" t="s">
        <v>338</v>
      </c>
      <c r="K445" s="43">
        <v>48</v>
      </c>
      <c r="L445" s="45" t="s">
        <v>15</v>
      </c>
    </row>
    <row r="446" spans="1:12" ht="15" customHeight="1" x14ac:dyDescent="0.3">
      <c r="A446" s="21">
        <v>7</v>
      </c>
      <c r="B446" s="25">
        <v>45852</v>
      </c>
      <c r="C446" s="29" t="s">
        <v>643</v>
      </c>
      <c r="D446" s="36">
        <v>2</v>
      </c>
      <c r="E446" s="41" t="s">
        <v>20</v>
      </c>
      <c r="F446" s="42">
        <v>2</v>
      </c>
      <c r="G446" s="9">
        <v>4</v>
      </c>
      <c r="H446" s="45">
        <v>5</v>
      </c>
      <c r="I446" s="9">
        <v>10</v>
      </c>
      <c r="J446" s="80" t="s">
        <v>338</v>
      </c>
      <c r="K446" s="43">
        <v>6</v>
      </c>
      <c r="L446" s="45" t="s">
        <v>15</v>
      </c>
    </row>
    <row r="447" spans="1:12" ht="15" customHeight="1" x14ac:dyDescent="0.3">
      <c r="A447" s="21">
        <v>7</v>
      </c>
      <c r="B447" s="25">
        <v>45852</v>
      </c>
      <c r="C447" s="29" t="s">
        <v>725</v>
      </c>
      <c r="D447" s="36">
        <v>2</v>
      </c>
      <c r="E447" s="41" t="s">
        <v>20</v>
      </c>
      <c r="F447" s="42" t="s">
        <v>72</v>
      </c>
      <c r="G447" s="9">
        <v>0</v>
      </c>
      <c r="H447" s="45">
        <v>5</v>
      </c>
      <c r="I447" s="9">
        <v>10</v>
      </c>
      <c r="J447" s="80" t="s">
        <v>338</v>
      </c>
      <c r="K447" s="43">
        <v>10</v>
      </c>
      <c r="L447" s="45" t="s">
        <v>15</v>
      </c>
    </row>
    <row r="448" spans="1:12" ht="15" customHeight="1" x14ac:dyDescent="0.3">
      <c r="A448" s="21">
        <v>7</v>
      </c>
      <c r="B448" s="25">
        <v>45852</v>
      </c>
      <c r="C448" s="29" t="s">
        <v>315</v>
      </c>
      <c r="D448" s="36">
        <v>45</v>
      </c>
      <c r="E448" s="41" t="s">
        <v>20</v>
      </c>
      <c r="F448" s="42">
        <v>7.0000000000000007E-2</v>
      </c>
      <c r="G448" s="9">
        <v>3.1500000000000004</v>
      </c>
      <c r="H448" s="45">
        <v>0.9</v>
      </c>
      <c r="I448" s="9">
        <v>40.5</v>
      </c>
      <c r="J448" s="80" t="s">
        <v>338</v>
      </c>
      <c r="K448" s="43">
        <v>37.35</v>
      </c>
      <c r="L448" s="45" t="s">
        <v>15</v>
      </c>
    </row>
    <row r="449" spans="1:12" ht="15" customHeight="1" x14ac:dyDescent="0.3">
      <c r="A449" s="21">
        <v>7</v>
      </c>
      <c r="B449" s="25">
        <v>45854</v>
      </c>
      <c r="C449" s="29" t="s">
        <v>726</v>
      </c>
      <c r="D449" s="36">
        <v>1</v>
      </c>
      <c r="E449" s="41" t="s">
        <v>20</v>
      </c>
      <c r="F449" s="42" t="s">
        <v>72</v>
      </c>
      <c r="G449" s="9">
        <v>0</v>
      </c>
      <c r="H449" s="45">
        <v>30</v>
      </c>
      <c r="I449" s="9">
        <v>30</v>
      </c>
      <c r="J449" s="80" t="s">
        <v>338</v>
      </c>
      <c r="K449" s="43">
        <v>30</v>
      </c>
      <c r="L449" s="45" t="s">
        <v>15</v>
      </c>
    </row>
    <row r="450" spans="1:12" ht="15" customHeight="1" x14ac:dyDescent="0.3">
      <c r="A450" s="21">
        <v>7</v>
      </c>
      <c r="B450" s="25">
        <v>45854</v>
      </c>
      <c r="C450" s="29" t="s">
        <v>315</v>
      </c>
      <c r="D450" s="36">
        <v>4</v>
      </c>
      <c r="E450" s="41" t="s">
        <v>20</v>
      </c>
      <c r="F450" s="42">
        <v>7.0000000000000007E-2</v>
      </c>
      <c r="G450" s="9">
        <v>0.28000000000000003</v>
      </c>
      <c r="H450" s="45">
        <v>1</v>
      </c>
      <c r="I450" s="9">
        <v>4</v>
      </c>
      <c r="J450" s="80" t="s">
        <v>338</v>
      </c>
      <c r="K450" s="43">
        <v>3.7199999999999998</v>
      </c>
      <c r="L450" s="45" t="s">
        <v>15</v>
      </c>
    </row>
    <row r="451" spans="1:12" ht="15" customHeight="1" x14ac:dyDescent="0.3">
      <c r="A451" s="21">
        <v>7</v>
      </c>
      <c r="B451" s="25">
        <v>45854</v>
      </c>
      <c r="C451" s="29" t="s">
        <v>326</v>
      </c>
      <c r="D451" s="36">
        <v>1</v>
      </c>
      <c r="E451" s="41" t="s">
        <v>20</v>
      </c>
      <c r="F451" s="42">
        <v>0.05</v>
      </c>
      <c r="G451" s="9">
        <v>0.05</v>
      </c>
      <c r="H451" s="45">
        <v>1</v>
      </c>
      <c r="I451" s="9">
        <v>1</v>
      </c>
      <c r="J451" s="80" t="s">
        <v>338</v>
      </c>
      <c r="K451" s="43">
        <v>0.95</v>
      </c>
      <c r="L451" s="45" t="s">
        <v>15</v>
      </c>
    </row>
    <row r="452" spans="1:12" ht="15" customHeight="1" x14ac:dyDescent="0.3">
      <c r="A452" s="21">
        <v>7</v>
      </c>
      <c r="B452" s="25">
        <v>45854</v>
      </c>
      <c r="C452" s="29" t="s">
        <v>727</v>
      </c>
      <c r="D452" s="36">
        <v>1</v>
      </c>
      <c r="E452" s="41" t="s">
        <v>232</v>
      </c>
      <c r="F452" s="42" t="s">
        <v>72</v>
      </c>
      <c r="G452" s="9">
        <v>0</v>
      </c>
      <c r="H452" s="45">
        <v>30</v>
      </c>
      <c r="I452" s="9">
        <v>30</v>
      </c>
      <c r="J452" s="80" t="s">
        <v>338</v>
      </c>
      <c r="K452" s="43">
        <v>30</v>
      </c>
      <c r="L452" s="45" t="s">
        <v>15</v>
      </c>
    </row>
    <row r="453" spans="1:12" ht="15" customHeight="1" x14ac:dyDescent="0.3">
      <c r="A453" s="21">
        <v>7</v>
      </c>
      <c r="B453" s="25">
        <v>45855</v>
      </c>
      <c r="C453" s="29" t="s">
        <v>326</v>
      </c>
      <c r="D453" s="36">
        <v>1</v>
      </c>
      <c r="E453" s="41" t="s">
        <v>20</v>
      </c>
      <c r="F453" s="42">
        <v>0.05</v>
      </c>
      <c r="G453" s="9">
        <v>0.05</v>
      </c>
      <c r="H453" s="45">
        <v>10</v>
      </c>
      <c r="I453" s="9">
        <v>10</v>
      </c>
      <c r="J453" s="80" t="s">
        <v>338</v>
      </c>
      <c r="K453" s="43">
        <v>9.9499999999999993</v>
      </c>
      <c r="L453" s="45" t="s">
        <v>15</v>
      </c>
    </row>
    <row r="454" spans="1:12" ht="15" customHeight="1" x14ac:dyDescent="0.3">
      <c r="A454" s="21">
        <v>7</v>
      </c>
      <c r="B454" s="25">
        <v>45855</v>
      </c>
      <c r="C454" s="29" t="s">
        <v>728</v>
      </c>
      <c r="D454" s="36">
        <v>6</v>
      </c>
      <c r="E454" s="41" t="s">
        <v>20</v>
      </c>
      <c r="F454" s="42">
        <v>0.4</v>
      </c>
      <c r="G454" s="9">
        <v>2.4000000000000004</v>
      </c>
      <c r="H454" s="45">
        <v>6</v>
      </c>
      <c r="I454" s="9">
        <v>36</v>
      </c>
      <c r="J454" s="80" t="s">
        <v>338</v>
      </c>
      <c r="K454" s="43">
        <v>33.6</v>
      </c>
      <c r="L454" s="45" t="s">
        <v>15</v>
      </c>
    </row>
    <row r="455" spans="1:12" ht="15" customHeight="1" x14ac:dyDescent="0.3">
      <c r="A455" s="21">
        <v>7</v>
      </c>
      <c r="B455" s="25">
        <v>45855</v>
      </c>
      <c r="C455" s="29" t="s">
        <v>729</v>
      </c>
      <c r="D455" s="36">
        <v>1</v>
      </c>
      <c r="E455" s="41" t="s">
        <v>20</v>
      </c>
      <c r="F455" s="42">
        <v>2.5</v>
      </c>
      <c r="G455" s="9">
        <v>2.5</v>
      </c>
      <c r="H455" s="45">
        <v>5</v>
      </c>
      <c r="I455" s="9">
        <v>5</v>
      </c>
      <c r="J455" s="80" t="s">
        <v>338</v>
      </c>
      <c r="K455" s="43">
        <v>2.5</v>
      </c>
      <c r="L455" s="45" t="s">
        <v>15</v>
      </c>
    </row>
    <row r="456" spans="1:12" ht="15" customHeight="1" x14ac:dyDescent="0.3">
      <c r="A456" s="21">
        <v>7</v>
      </c>
      <c r="B456" s="25">
        <v>45855</v>
      </c>
      <c r="C456" s="29" t="s">
        <v>730</v>
      </c>
      <c r="D456" s="36">
        <v>1</v>
      </c>
      <c r="E456" s="41" t="s">
        <v>20</v>
      </c>
      <c r="F456" s="42" t="s">
        <v>72</v>
      </c>
      <c r="G456" s="9">
        <v>0</v>
      </c>
      <c r="H456" s="45">
        <v>30</v>
      </c>
      <c r="I456" s="9">
        <v>30</v>
      </c>
      <c r="J456" s="80" t="s">
        <v>338</v>
      </c>
      <c r="K456" s="43">
        <v>30</v>
      </c>
      <c r="L456" s="45" t="s">
        <v>15</v>
      </c>
    </row>
    <row r="457" spans="1:12" ht="15" customHeight="1" x14ac:dyDescent="0.3">
      <c r="A457" s="21">
        <v>7</v>
      </c>
      <c r="B457" s="25">
        <v>45855</v>
      </c>
      <c r="C457" s="29" t="s">
        <v>315</v>
      </c>
      <c r="D457" s="36">
        <v>1</v>
      </c>
      <c r="E457" s="41" t="s">
        <v>20</v>
      </c>
      <c r="F457" s="42">
        <v>7.0000000000000007E-2</v>
      </c>
      <c r="G457" s="9">
        <v>7.0000000000000007E-2</v>
      </c>
      <c r="H457" s="45">
        <v>1</v>
      </c>
      <c r="I457" s="9">
        <v>1</v>
      </c>
      <c r="J457" s="80" t="s">
        <v>338</v>
      </c>
      <c r="K457" s="43">
        <v>0.92999999999999994</v>
      </c>
      <c r="L457" s="45" t="s">
        <v>15</v>
      </c>
    </row>
    <row r="458" spans="1:12" ht="15" customHeight="1" x14ac:dyDescent="0.3">
      <c r="A458" s="21">
        <v>7</v>
      </c>
      <c r="B458" s="25">
        <v>45855</v>
      </c>
      <c r="C458" s="29" t="s">
        <v>313</v>
      </c>
      <c r="D458" s="36">
        <v>1</v>
      </c>
      <c r="E458" s="41" t="s">
        <v>20</v>
      </c>
      <c r="F458" s="42">
        <v>3</v>
      </c>
      <c r="G458" s="9">
        <v>3</v>
      </c>
      <c r="H458" s="45">
        <v>15</v>
      </c>
      <c r="I458" s="9">
        <v>15</v>
      </c>
      <c r="J458" s="80" t="s">
        <v>338</v>
      </c>
      <c r="K458" s="43">
        <v>12</v>
      </c>
      <c r="L458" s="45" t="s">
        <v>15</v>
      </c>
    </row>
    <row r="459" spans="1:12" ht="15" customHeight="1" x14ac:dyDescent="0.3">
      <c r="A459" s="21">
        <v>7</v>
      </c>
      <c r="B459" s="25">
        <v>45855</v>
      </c>
      <c r="C459" s="29" t="s">
        <v>728</v>
      </c>
      <c r="D459" s="36">
        <v>1</v>
      </c>
      <c r="E459" s="41" t="s">
        <v>20</v>
      </c>
      <c r="F459" s="42">
        <v>0.4</v>
      </c>
      <c r="G459" s="9">
        <v>0.4</v>
      </c>
      <c r="H459" s="45">
        <v>2</v>
      </c>
      <c r="I459" s="9">
        <v>2</v>
      </c>
      <c r="J459" s="80" t="s">
        <v>338</v>
      </c>
      <c r="K459" s="43">
        <v>1.6</v>
      </c>
      <c r="L459" s="45" t="s">
        <v>15</v>
      </c>
    </row>
    <row r="460" spans="1:12" ht="15" customHeight="1" x14ac:dyDescent="0.3">
      <c r="A460" s="21">
        <v>7</v>
      </c>
      <c r="B460" s="25">
        <v>45856</v>
      </c>
      <c r="C460" s="29" t="s">
        <v>170</v>
      </c>
      <c r="D460" s="36">
        <v>1</v>
      </c>
      <c r="E460" s="41" t="s">
        <v>20</v>
      </c>
      <c r="F460" s="42">
        <v>8</v>
      </c>
      <c r="G460" s="9">
        <v>8</v>
      </c>
      <c r="H460" s="45">
        <v>25</v>
      </c>
      <c r="I460" s="9">
        <v>25</v>
      </c>
      <c r="J460" s="80" t="s">
        <v>338</v>
      </c>
      <c r="K460" s="43">
        <v>17</v>
      </c>
      <c r="L460" s="45" t="s">
        <v>15</v>
      </c>
    </row>
    <row r="461" spans="1:12" ht="15" customHeight="1" x14ac:dyDescent="0.3">
      <c r="A461" s="21">
        <v>7</v>
      </c>
      <c r="B461" s="25">
        <v>45856</v>
      </c>
      <c r="C461" s="29" t="s">
        <v>729</v>
      </c>
      <c r="D461" s="36">
        <v>1</v>
      </c>
      <c r="E461" s="41" t="s">
        <v>20</v>
      </c>
      <c r="F461" s="42">
        <v>2.5</v>
      </c>
      <c r="G461" s="9">
        <v>2.5</v>
      </c>
      <c r="H461" s="45">
        <v>5</v>
      </c>
      <c r="I461" s="9">
        <v>5</v>
      </c>
      <c r="J461" s="80" t="s">
        <v>338</v>
      </c>
      <c r="K461" s="43">
        <v>2.5</v>
      </c>
      <c r="L461" s="45" t="s">
        <v>15</v>
      </c>
    </row>
    <row r="462" spans="1:12" ht="15" customHeight="1" x14ac:dyDescent="0.3">
      <c r="A462" s="21">
        <v>7</v>
      </c>
      <c r="B462" s="25">
        <v>45856</v>
      </c>
      <c r="C462" s="29" t="s">
        <v>731</v>
      </c>
      <c r="D462" s="36">
        <v>1</v>
      </c>
      <c r="E462" s="41" t="s">
        <v>20</v>
      </c>
      <c r="F462" s="42">
        <v>13</v>
      </c>
      <c r="G462" s="9">
        <v>13</v>
      </c>
      <c r="H462" s="45">
        <v>25</v>
      </c>
      <c r="I462" s="9">
        <v>25</v>
      </c>
      <c r="J462" s="80" t="s">
        <v>338</v>
      </c>
      <c r="K462" s="43">
        <v>12</v>
      </c>
      <c r="L462" s="45" t="s">
        <v>15</v>
      </c>
    </row>
    <row r="463" spans="1:12" ht="15" customHeight="1" x14ac:dyDescent="0.3">
      <c r="A463" s="21">
        <v>7</v>
      </c>
      <c r="B463" s="25">
        <v>45859</v>
      </c>
      <c r="C463" s="29" t="s">
        <v>728</v>
      </c>
      <c r="D463" s="36">
        <v>1</v>
      </c>
      <c r="E463" s="41" t="s">
        <v>20</v>
      </c>
      <c r="F463" s="42">
        <v>0.4</v>
      </c>
      <c r="G463" s="9">
        <v>0.4</v>
      </c>
      <c r="H463" s="45">
        <v>2</v>
      </c>
      <c r="I463" s="9">
        <v>2</v>
      </c>
      <c r="J463" s="80" t="s">
        <v>338</v>
      </c>
      <c r="K463" s="43">
        <v>1.6</v>
      </c>
      <c r="L463" s="45" t="s">
        <v>15</v>
      </c>
    </row>
    <row r="464" spans="1:12" ht="15" customHeight="1" x14ac:dyDescent="0.3">
      <c r="A464" s="21">
        <v>7</v>
      </c>
      <c r="B464" s="25">
        <v>45859</v>
      </c>
      <c r="C464" s="29" t="s">
        <v>728</v>
      </c>
      <c r="D464" s="36">
        <v>1</v>
      </c>
      <c r="E464" s="41" t="s">
        <v>20</v>
      </c>
      <c r="F464" s="42">
        <v>0.4</v>
      </c>
      <c r="G464" s="9">
        <v>0.4</v>
      </c>
      <c r="H464" s="45">
        <v>2</v>
      </c>
      <c r="I464" s="9">
        <v>2</v>
      </c>
      <c r="J464" s="80" t="s">
        <v>338</v>
      </c>
      <c r="K464" s="43">
        <v>1.6</v>
      </c>
      <c r="L464" s="45" t="s">
        <v>15</v>
      </c>
    </row>
    <row r="465" spans="1:12" ht="15" customHeight="1" x14ac:dyDescent="0.3">
      <c r="A465" s="21">
        <v>7</v>
      </c>
      <c r="B465" s="25">
        <v>45859</v>
      </c>
      <c r="C465" s="29" t="s">
        <v>431</v>
      </c>
      <c r="D465" s="36">
        <v>1</v>
      </c>
      <c r="E465" s="41" t="s">
        <v>20</v>
      </c>
      <c r="F465" s="42">
        <v>0</v>
      </c>
      <c r="G465" s="9">
        <v>0</v>
      </c>
      <c r="H465" s="45">
        <v>15</v>
      </c>
      <c r="I465" s="9">
        <v>15</v>
      </c>
      <c r="J465" s="80" t="s">
        <v>338</v>
      </c>
      <c r="K465" s="43">
        <v>15</v>
      </c>
      <c r="L465" s="45" t="s">
        <v>15</v>
      </c>
    </row>
    <row r="466" spans="1:12" ht="15" customHeight="1" x14ac:dyDescent="0.3">
      <c r="A466" s="21">
        <v>7</v>
      </c>
      <c r="B466" s="25">
        <v>45859</v>
      </c>
      <c r="C466" s="29" t="s">
        <v>729</v>
      </c>
      <c r="D466" s="36">
        <v>1</v>
      </c>
      <c r="E466" s="41" t="s">
        <v>20</v>
      </c>
      <c r="F466" s="42">
        <v>2.5</v>
      </c>
      <c r="G466" s="9">
        <v>2.5</v>
      </c>
      <c r="H466" s="45">
        <v>5</v>
      </c>
      <c r="I466" s="9">
        <v>5</v>
      </c>
      <c r="J466" s="80" t="s">
        <v>338</v>
      </c>
      <c r="K466" s="43">
        <v>2.5</v>
      </c>
      <c r="L466" s="45" t="s">
        <v>15</v>
      </c>
    </row>
    <row r="467" spans="1:12" ht="15" customHeight="1" x14ac:dyDescent="0.3">
      <c r="A467" s="21">
        <v>7</v>
      </c>
      <c r="B467" s="25">
        <v>45859</v>
      </c>
      <c r="C467" s="29" t="s">
        <v>313</v>
      </c>
      <c r="D467" s="36">
        <v>1</v>
      </c>
      <c r="E467" s="41" t="s">
        <v>718</v>
      </c>
      <c r="F467" s="42">
        <v>3</v>
      </c>
      <c r="G467" s="9">
        <v>3</v>
      </c>
      <c r="H467" s="45">
        <v>15</v>
      </c>
      <c r="I467" s="9">
        <v>15</v>
      </c>
      <c r="J467" s="80" t="s">
        <v>338</v>
      </c>
      <c r="K467" s="43">
        <v>12</v>
      </c>
      <c r="L467" s="45" t="s">
        <v>15</v>
      </c>
    </row>
    <row r="468" spans="1:12" ht="15" customHeight="1" x14ac:dyDescent="0.3">
      <c r="A468" s="21">
        <v>7</v>
      </c>
      <c r="B468" s="25">
        <v>45859</v>
      </c>
      <c r="C468" s="29" t="s">
        <v>315</v>
      </c>
      <c r="D468" s="36">
        <v>2</v>
      </c>
      <c r="E468" s="41" t="s">
        <v>20</v>
      </c>
      <c r="F468" s="42">
        <v>7.0000000000000007E-2</v>
      </c>
      <c r="G468" s="9">
        <v>0.14000000000000001</v>
      </c>
      <c r="H468" s="45">
        <v>1</v>
      </c>
      <c r="I468" s="9">
        <v>2</v>
      </c>
      <c r="J468" s="80" t="s">
        <v>338</v>
      </c>
      <c r="K468" s="43">
        <v>1.8599999999999999</v>
      </c>
      <c r="L468" s="45" t="s">
        <v>15</v>
      </c>
    </row>
    <row r="469" spans="1:12" ht="15" customHeight="1" x14ac:dyDescent="0.3">
      <c r="A469" s="21">
        <v>7</v>
      </c>
      <c r="B469" s="25">
        <v>45860</v>
      </c>
      <c r="C469" s="29" t="s">
        <v>732</v>
      </c>
      <c r="D469" s="36">
        <v>1</v>
      </c>
      <c r="E469" s="41" t="s">
        <v>20</v>
      </c>
      <c r="F469" s="42">
        <v>5</v>
      </c>
      <c r="G469" s="9">
        <v>5</v>
      </c>
      <c r="H469" s="45">
        <v>20</v>
      </c>
      <c r="I469" s="9">
        <v>20</v>
      </c>
      <c r="J469" s="80" t="s">
        <v>338</v>
      </c>
      <c r="K469" s="43">
        <v>15</v>
      </c>
      <c r="L469" s="45" t="s">
        <v>15</v>
      </c>
    </row>
    <row r="470" spans="1:12" ht="15" customHeight="1" x14ac:dyDescent="0.3">
      <c r="A470" s="21">
        <v>7</v>
      </c>
      <c r="B470" s="25">
        <v>45860</v>
      </c>
      <c r="C470" s="29" t="s">
        <v>729</v>
      </c>
      <c r="D470" s="36">
        <v>1</v>
      </c>
      <c r="E470" s="41" t="s">
        <v>20</v>
      </c>
      <c r="F470" s="42">
        <v>2.5</v>
      </c>
      <c r="G470" s="9">
        <v>2.5</v>
      </c>
      <c r="H470" s="45">
        <v>5</v>
      </c>
      <c r="I470" s="9">
        <v>5</v>
      </c>
      <c r="J470" s="80" t="s">
        <v>338</v>
      </c>
      <c r="K470" s="43">
        <v>2.5</v>
      </c>
      <c r="L470" s="45" t="s">
        <v>15</v>
      </c>
    </row>
    <row r="471" spans="1:12" ht="15" customHeight="1" x14ac:dyDescent="0.3">
      <c r="A471" s="21">
        <v>7</v>
      </c>
      <c r="B471" s="25">
        <v>45860</v>
      </c>
      <c r="C471" s="29" t="s">
        <v>690</v>
      </c>
      <c r="D471" s="36">
        <v>1</v>
      </c>
      <c r="E471" s="41" t="s">
        <v>391</v>
      </c>
      <c r="F471" s="42">
        <v>2.5</v>
      </c>
      <c r="G471" s="9">
        <v>2.5</v>
      </c>
      <c r="H471" s="45">
        <v>5</v>
      </c>
      <c r="I471" s="9">
        <v>5</v>
      </c>
      <c r="J471" s="80" t="s">
        <v>338</v>
      </c>
      <c r="K471" s="43">
        <v>2.5</v>
      </c>
      <c r="L471" s="45" t="s">
        <v>15</v>
      </c>
    </row>
    <row r="472" spans="1:12" ht="15" customHeight="1" x14ac:dyDescent="0.3">
      <c r="A472" s="21">
        <v>7</v>
      </c>
      <c r="B472" s="25">
        <v>45861</v>
      </c>
      <c r="C472" s="29" t="s">
        <v>315</v>
      </c>
      <c r="D472" s="36">
        <v>1</v>
      </c>
      <c r="E472" s="41" t="s">
        <v>51</v>
      </c>
      <c r="F472" s="42">
        <v>7.0000000000000007E-2</v>
      </c>
      <c r="G472" s="9">
        <v>7.0000000000000007E-2</v>
      </c>
      <c r="H472" s="45">
        <v>1</v>
      </c>
      <c r="I472" s="9">
        <v>1</v>
      </c>
      <c r="J472" s="80" t="s">
        <v>338</v>
      </c>
      <c r="K472" s="43">
        <v>0.92999999999999994</v>
      </c>
      <c r="L472" s="45" t="s">
        <v>15</v>
      </c>
    </row>
    <row r="473" spans="1:12" ht="15" customHeight="1" x14ac:dyDescent="0.3">
      <c r="A473" s="21">
        <v>7</v>
      </c>
      <c r="B473" s="25">
        <v>45861</v>
      </c>
      <c r="C473" s="29" t="s">
        <v>729</v>
      </c>
      <c r="D473" s="36">
        <v>1</v>
      </c>
      <c r="E473" s="41" t="s">
        <v>625</v>
      </c>
      <c r="F473" s="42">
        <v>2.5</v>
      </c>
      <c r="G473" s="9">
        <v>2.5</v>
      </c>
      <c r="H473" s="45">
        <v>5</v>
      </c>
      <c r="I473" s="9">
        <v>5</v>
      </c>
      <c r="J473" s="80" t="s">
        <v>338</v>
      </c>
      <c r="K473" s="43">
        <v>2.5</v>
      </c>
      <c r="L473" s="45" t="s">
        <v>15</v>
      </c>
    </row>
    <row r="474" spans="1:12" ht="15" customHeight="1" x14ac:dyDescent="0.3">
      <c r="A474" s="21">
        <v>7</v>
      </c>
      <c r="B474" s="25">
        <v>45861</v>
      </c>
      <c r="C474" s="29" t="s">
        <v>733</v>
      </c>
      <c r="D474" s="36">
        <v>1</v>
      </c>
      <c r="E474" s="41" t="s">
        <v>625</v>
      </c>
      <c r="F474" s="42">
        <v>2</v>
      </c>
      <c r="G474" s="9">
        <v>2</v>
      </c>
      <c r="H474" s="45">
        <v>5</v>
      </c>
      <c r="I474" s="9">
        <v>5</v>
      </c>
      <c r="J474" s="80" t="s">
        <v>338</v>
      </c>
      <c r="K474" s="43">
        <v>3</v>
      </c>
      <c r="L474" s="45" t="s">
        <v>15</v>
      </c>
    </row>
    <row r="475" spans="1:12" ht="15" customHeight="1" x14ac:dyDescent="0.3">
      <c r="A475" s="21">
        <v>7</v>
      </c>
      <c r="B475" s="25">
        <v>45861</v>
      </c>
      <c r="C475" s="29" t="s">
        <v>728</v>
      </c>
      <c r="D475" s="36">
        <v>1</v>
      </c>
      <c r="E475" s="41" t="s">
        <v>20</v>
      </c>
      <c r="F475" s="42">
        <v>0.4</v>
      </c>
      <c r="G475" s="9">
        <v>0.4</v>
      </c>
      <c r="H475" s="45">
        <v>2</v>
      </c>
      <c r="I475" s="9">
        <v>2</v>
      </c>
      <c r="J475" s="80" t="s">
        <v>338</v>
      </c>
      <c r="K475" s="43">
        <v>1.6</v>
      </c>
      <c r="L475" s="45" t="s">
        <v>15</v>
      </c>
    </row>
    <row r="476" spans="1:12" ht="15" customHeight="1" x14ac:dyDescent="0.3">
      <c r="A476" s="21">
        <v>7</v>
      </c>
      <c r="B476" s="25">
        <v>45861</v>
      </c>
      <c r="C476" s="29" t="s">
        <v>734</v>
      </c>
      <c r="D476" s="36">
        <v>1</v>
      </c>
      <c r="E476" s="41" t="s">
        <v>735</v>
      </c>
      <c r="F476" s="42">
        <v>100</v>
      </c>
      <c r="G476" s="9">
        <v>100</v>
      </c>
      <c r="H476" s="45">
        <v>255</v>
      </c>
      <c r="I476" s="9">
        <v>255</v>
      </c>
      <c r="J476" s="80" t="s">
        <v>338</v>
      </c>
      <c r="K476" s="43">
        <v>155</v>
      </c>
      <c r="L476" s="45" t="s">
        <v>15</v>
      </c>
    </row>
    <row r="477" spans="1:12" ht="15" customHeight="1" x14ac:dyDescent="0.3">
      <c r="A477" s="21">
        <v>7</v>
      </c>
      <c r="B477" s="25">
        <v>45861</v>
      </c>
      <c r="C477" s="29" t="s">
        <v>736</v>
      </c>
      <c r="D477" s="36">
        <v>1</v>
      </c>
      <c r="E477" s="41" t="s">
        <v>737</v>
      </c>
      <c r="F477" s="42">
        <v>140</v>
      </c>
      <c r="G477" s="9">
        <v>140</v>
      </c>
      <c r="H477" s="45">
        <v>220</v>
      </c>
      <c r="I477" s="9">
        <v>220</v>
      </c>
      <c r="J477" s="80" t="s">
        <v>338</v>
      </c>
      <c r="K477" s="43">
        <v>80</v>
      </c>
      <c r="L477" s="45" t="s">
        <v>15</v>
      </c>
    </row>
    <row r="478" spans="1:12" ht="15" customHeight="1" x14ac:dyDescent="0.3">
      <c r="A478" s="21">
        <v>7</v>
      </c>
      <c r="B478" s="25">
        <v>45862</v>
      </c>
      <c r="C478" s="29" t="s">
        <v>729</v>
      </c>
      <c r="D478" s="36">
        <v>3</v>
      </c>
      <c r="E478" s="41" t="s">
        <v>20</v>
      </c>
      <c r="F478" s="42">
        <v>2.5</v>
      </c>
      <c r="G478" s="9">
        <v>7.5</v>
      </c>
      <c r="H478" s="45">
        <v>5</v>
      </c>
      <c r="I478" s="9">
        <v>15</v>
      </c>
      <c r="J478" s="80" t="s">
        <v>338</v>
      </c>
      <c r="K478" s="43">
        <v>7.5</v>
      </c>
      <c r="L478" s="45" t="s">
        <v>15</v>
      </c>
    </row>
    <row r="479" spans="1:12" ht="15" customHeight="1" x14ac:dyDescent="0.3">
      <c r="A479" s="21">
        <v>7</v>
      </c>
      <c r="B479" s="25">
        <v>45862</v>
      </c>
      <c r="C479" s="29" t="s">
        <v>728</v>
      </c>
      <c r="D479" s="36">
        <v>1</v>
      </c>
      <c r="E479" s="41" t="s">
        <v>20</v>
      </c>
      <c r="F479" s="42">
        <v>0.4</v>
      </c>
      <c r="G479" s="9">
        <v>0.4</v>
      </c>
      <c r="H479" s="45">
        <v>2</v>
      </c>
      <c r="I479" s="9">
        <v>2</v>
      </c>
      <c r="J479" s="80" t="s">
        <v>338</v>
      </c>
      <c r="K479" s="43">
        <v>1.6</v>
      </c>
      <c r="L479" s="45" t="s">
        <v>15</v>
      </c>
    </row>
    <row r="480" spans="1:12" ht="15" customHeight="1" x14ac:dyDescent="0.3">
      <c r="A480" s="21">
        <v>7</v>
      </c>
      <c r="B480" s="25">
        <v>45862</v>
      </c>
      <c r="C480" s="29" t="s">
        <v>262</v>
      </c>
      <c r="D480" s="36">
        <v>1</v>
      </c>
      <c r="E480" s="41" t="s">
        <v>738</v>
      </c>
      <c r="F480" s="42">
        <v>18</v>
      </c>
      <c r="G480" s="9">
        <v>18</v>
      </c>
      <c r="H480" s="45">
        <v>30</v>
      </c>
      <c r="I480" s="9">
        <v>30</v>
      </c>
      <c r="J480" s="80" t="s">
        <v>338</v>
      </c>
      <c r="K480" s="43">
        <v>12</v>
      </c>
      <c r="L480" s="45" t="s">
        <v>15</v>
      </c>
    </row>
    <row r="481" spans="1:12" ht="15" customHeight="1" x14ac:dyDescent="0.3">
      <c r="A481" s="21">
        <v>7</v>
      </c>
      <c r="B481" s="25">
        <v>45862</v>
      </c>
      <c r="C481" s="29" t="s">
        <v>315</v>
      </c>
      <c r="D481" s="36">
        <v>1</v>
      </c>
      <c r="E481" s="41" t="s">
        <v>739</v>
      </c>
      <c r="F481" s="42">
        <v>7.0000000000000007E-2</v>
      </c>
      <c r="G481" s="9">
        <v>7.0000000000000007E-2</v>
      </c>
      <c r="H481" s="45">
        <v>5</v>
      </c>
      <c r="I481" s="9">
        <v>5</v>
      </c>
      <c r="J481" s="80" t="s">
        <v>338</v>
      </c>
      <c r="K481" s="43">
        <v>4.93</v>
      </c>
      <c r="L481" s="45" t="s">
        <v>15</v>
      </c>
    </row>
    <row r="482" spans="1:12" ht="15" customHeight="1" x14ac:dyDescent="0.3">
      <c r="A482" s="21">
        <v>7</v>
      </c>
      <c r="B482" s="25">
        <v>45862</v>
      </c>
      <c r="C482" s="29" t="s">
        <v>696</v>
      </c>
      <c r="D482" s="36">
        <v>1</v>
      </c>
      <c r="E482" s="41" t="s">
        <v>737</v>
      </c>
      <c r="F482" s="42">
        <v>17</v>
      </c>
      <c r="G482" s="9">
        <v>17</v>
      </c>
      <c r="H482" s="45">
        <v>30</v>
      </c>
      <c r="I482" s="9">
        <v>30</v>
      </c>
      <c r="J482" s="80" t="s">
        <v>338</v>
      </c>
      <c r="K482" s="43">
        <v>13</v>
      </c>
      <c r="L482" s="45" t="s">
        <v>15</v>
      </c>
    </row>
    <row r="483" spans="1:12" ht="15" customHeight="1" x14ac:dyDescent="0.3">
      <c r="A483" s="21">
        <v>7</v>
      </c>
      <c r="B483" s="25">
        <v>45863</v>
      </c>
      <c r="C483" s="29" t="s">
        <v>315</v>
      </c>
      <c r="D483" s="36">
        <v>4</v>
      </c>
      <c r="E483" s="41" t="s">
        <v>20</v>
      </c>
      <c r="F483" s="42">
        <v>7.0000000000000007E-2</v>
      </c>
      <c r="G483" s="9">
        <v>0.28000000000000003</v>
      </c>
      <c r="H483" s="45">
        <v>1</v>
      </c>
      <c r="I483" s="9">
        <v>4</v>
      </c>
      <c r="J483" s="80" t="s">
        <v>338</v>
      </c>
      <c r="K483" s="43">
        <v>3.7199999999999998</v>
      </c>
      <c r="L483" s="45" t="s">
        <v>15</v>
      </c>
    </row>
    <row r="484" spans="1:12" ht="15" customHeight="1" x14ac:dyDescent="0.3">
      <c r="A484" s="21">
        <v>7</v>
      </c>
      <c r="B484" s="25">
        <v>45866</v>
      </c>
      <c r="C484" s="29" t="s">
        <v>729</v>
      </c>
      <c r="D484" s="36">
        <v>1</v>
      </c>
      <c r="E484" s="41" t="s">
        <v>20</v>
      </c>
      <c r="F484" s="42">
        <v>2.5</v>
      </c>
      <c r="G484" s="9">
        <v>2.5</v>
      </c>
      <c r="H484" s="45">
        <v>5</v>
      </c>
      <c r="I484" s="9">
        <v>5</v>
      </c>
      <c r="J484" s="80" t="s">
        <v>338</v>
      </c>
      <c r="K484" s="43">
        <v>2.5</v>
      </c>
      <c r="L484" s="45" t="s">
        <v>15</v>
      </c>
    </row>
    <row r="485" spans="1:12" ht="15" customHeight="1" x14ac:dyDescent="0.3">
      <c r="A485" s="21">
        <v>7</v>
      </c>
      <c r="B485" s="25">
        <v>45866</v>
      </c>
      <c r="C485" s="29" t="s">
        <v>715</v>
      </c>
      <c r="D485" s="36">
        <v>5</v>
      </c>
      <c r="E485" s="41" t="s">
        <v>20</v>
      </c>
      <c r="F485" s="42">
        <v>5</v>
      </c>
      <c r="G485" s="9">
        <v>25</v>
      </c>
      <c r="H485" s="45">
        <v>10</v>
      </c>
      <c r="I485" s="9">
        <v>50</v>
      </c>
      <c r="J485" s="80" t="s">
        <v>338</v>
      </c>
      <c r="K485" s="43">
        <v>25</v>
      </c>
      <c r="L485" s="45" t="s">
        <v>15</v>
      </c>
    </row>
    <row r="486" spans="1:12" ht="15" customHeight="1" x14ac:dyDescent="0.3">
      <c r="A486" s="21">
        <v>7</v>
      </c>
      <c r="B486" s="25">
        <v>45866</v>
      </c>
      <c r="C486" s="29" t="s">
        <v>267</v>
      </c>
      <c r="D486" s="36">
        <v>1</v>
      </c>
      <c r="E486" s="41" t="s">
        <v>20</v>
      </c>
      <c r="F486" s="42">
        <v>0</v>
      </c>
      <c r="G486" s="9">
        <v>0</v>
      </c>
      <c r="H486" s="45">
        <v>5</v>
      </c>
      <c r="I486" s="9">
        <v>5</v>
      </c>
      <c r="J486" s="80" t="s">
        <v>338</v>
      </c>
      <c r="K486" s="43">
        <v>5</v>
      </c>
      <c r="L486" s="45" t="s">
        <v>15</v>
      </c>
    </row>
    <row r="487" spans="1:12" ht="15" customHeight="1" x14ac:dyDescent="0.3">
      <c r="A487" s="21">
        <v>7</v>
      </c>
      <c r="B487" s="25">
        <v>45866</v>
      </c>
      <c r="C487" s="29" t="s">
        <v>315</v>
      </c>
      <c r="D487" s="36">
        <v>1</v>
      </c>
      <c r="E487" s="41" t="s">
        <v>20</v>
      </c>
      <c r="F487" s="42">
        <v>7.0000000000000007E-2</v>
      </c>
      <c r="G487" s="9">
        <v>7.0000000000000007E-2</v>
      </c>
      <c r="H487" s="45">
        <v>1</v>
      </c>
      <c r="I487" s="9">
        <v>1</v>
      </c>
      <c r="J487" s="80" t="s">
        <v>338</v>
      </c>
      <c r="K487" s="43">
        <v>0.92999999999999994</v>
      </c>
      <c r="L487" s="45" t="s">
        <v>15</v>
      </c>
    </row>
    <row r="488" spans="1:12" ht="15" customHeight="1" x14ac:dyDescent="0.3">
      <c r="A488" s="21">
        <v>7</v>
      </c>
      <c r="B488" s="25">
        <v>45866</v>
      </c>
      <c r="C488" s="29" t="s">
        <v>262</v>
      </c>
      <c r="D488" s="36">
        <v>1</v>
      </c>
      <c r="E488" s="41" t="s">
        <v>738</v>
      </c>
      <c r="F488" s="42">
        <v>18</v>
      </c>
      <c r="G488" s="9">
        <v>18</v>
      </c>
      <c r="H488" s="45">
        <v>30</v>
      </c>
      <c r="I488" s="9">
        <v>30</v>
      </c>
      <c r="J488" s="80" t="s">
        <v>338</v>
      </c>
      <c r="K488" s="43">
        <v>12</v>
      </c>
      <c r="L488" s="45" t="s">
        <v>15</v>
      </c>
    </row>
    <row r="489" spans="1:12" ht="15" customHeight="1" x14ac:dyDescent="0.3">
      <c r="A489" s="21">
        <v>7</v>
      </c>
      <c r="B489" s="25">
        <v>45867</v>
      </c>
      <c r="C489" s="29" t="s">
        <v>315</v>
      </c>
      <c r="D489" s="36">
        <v>1</v>
      </c>
      <c r="E489" s="41" t="s">
        <v>20</v>
      </c>
      <c r="F489" s="42">
        <v>7.0000000000000007E-2</v>
      </c>
      <c r="G489" s="9">
        <v>7.0000000000000007E-2</v>
      </c>
      <c r="H489" s="45">
        <v>1</v>
      </c>
      <c r="I489" s="9">
        <v>1</v>
      </c>
      <c r="J489" s="80" t="s">
        <v>338</v>
      </c>
      <c r="K489" s="43">
        <v>0.92999999999999994</v>
      </c>
      <c r="L489" s="45" t="s">
        <v>15</v>
      </c>
    </row>
    <row r="490" spans="1:12" ht="15" customHeight="1" x14ac:dyDescent="0.3">
      <c r="A490" s="21">
        <v>7</v>
      </c>
      <c r="B490" s="25">
        <v>45867</v>
      </c>
      <c r="C490" s="29" t="s">
        <v>216</v>
      </c>
      <c r="D490" s="36">
        <v>1</v>
      </c>
      <c r="E490" s="41" t="s">
        <v>740</v>
      </c>
      <c r="F490" s="42">
        <v>0</v>
      </c>
      <c r="G490" s="9">
        <v>0</v>
      </c>
      <c r="H490" s="45">
        <v>50</v>
      </c>
      <c r="I490" s="9">
        <v>50</v>
      </c>
      <c r="J490" s="80" t="s">
        <v>338</v>
      </c>
      <c r="K490" s="43">
        <v>50</v>
      </c>
      <c r="L490" s="45" t="s">
        <v>15</v>
      </c>
    </row>
    <row r="491" spans="1:12" ht="15" customHeight="1" x14ac:dyDescent="0.3">
      <c r="A491" s="21">
        <v>7</v>
      </c>
      <c r="B491" s="25">
        <v>45867</v>
      </c>
      <c r="C491" s="29" t="s">
        <v>741</v>
      </c>
      <c r="D491" s="36">
        <v>1</v>
      </c>
      <c r="E491" s="41" t="s">
        <v>740</v>
      </c>
      <c r="F491" s="42">
        <v>10</v>
      </c>
      <c r="G491" s="9">
        <v>10</v>
      </c>
      <c r="H491" s="45">
        <v>35</v>
      </c>
      <c r="I491" s="9">
        <v>35</v>
      </c>
      <c r="J491" s="80" t="s">
        <v>338</v>
      </c>
      <c r="K491" s="43">
        <v>25</v>
      </c>
      <c r="L491" s="45" t="s">
        <v>15</v>
      </c>
    </row>
    <row r="492" spans="1:12" ht="15" customHeight="1" x14ac:dyDescent="0.3">
      <c r="A492" s="21">
        <v>7</v>
      </c>
      <c r="B492" s="25">
        <v>45868</v>
      </c>
      <c r="C492" s="29" t="s">
        <v>721</v>
      </c>
      <c r="D492" s="36">
        <v>1</v>
      </c>
      <c r="E492" s="41" t="s">
        <v>20</v>
      </c>
      <c r="F492" s="42">
        <v>5</v>
      </c>
      <c r="G492" s="9">
        <v>5</v>
      </c>
      <c r="H492" s="45">
        <v>10</v>
      </c>
      <c r="I492" s="9">
        <v>10</v>
      </c>
      <c r="J492" s="80" t="s">
        <v>338</v>
      </c>
      <c r="K492" s="43">
        <v>5</v>
      </c>
      <c r="L492" s="45" t="s">
        <v>15</v>
      </c>
    </row>
    <row r="493" spans="1:12" ht="15" customHeight="1" x14ac:dyDescent="0.3">
      <c r="A493" s="21">
        <v>7</v>
      </c>
      <c r="B493" s="25">
        <v>45868</v>
      </c>
      <c r="C493" s="29" t="s">
        <v>379</v>
      </c>
      <c r="D493" s="36">
        <v>3</v>
      </c>
      <c r="E493" s="41" t="s">
        <v>20</v>
      </c>
      <c r="F493" s="42">
        <v>2.5</v>
      </c>
      <c r="G493" s="9">
        <v>7.5</v>
      </c>
      <c r="H493" s="45">
        <v>5</v>
      </c>
      <c r="I493" s="9">
        <v>15</v>
      </c>
      <c r="J493" s="80" t="s">
        <v>338</v>
      </c>
      <c r="K493" s="43">
        <v>7.5</v>
      </c>
      <c r="L493" s="45" t="s">
        <v>15</v>
      </c>
    </row>
    <row r="494" spans="1:12" ht="15" customHeight="1" x14ac:dyDescent="0.3">
      <c r="A494" s="21">
        <v>7</v>
      </c>
      <c r="B494" s="25">
        <v>45868</v>
      </c>
      <c r="C494" s="29" t="s">
        <v>742</v>
      </c>
      <c r="D494" s="36">
        <v>1</v>
      </c>
      <c r="E494" s="41" t="s">
        <v>20</v>
      </c>
      <c r="F494" s="42">
        <v>5</v>
      </c>
      <c r="G494" s="9">
        <v>5</v>
      </c>
      <c r="H494" s="45">
        <v>20</v>
      </c>
      <c r="I494" s="9">
        <v>20</v>
      </c>
      <c r="J494" s="80" t="s">
        <v>338</v>
      </c>
      <c r="K494" s="43">
        <v>15</v>
      </c>
      <c r="L494" s="45" t="s">
        <v>15</v>
      </c>
    </row>
    <row r="495" spans="1:12" ht="15" customHeight="1" x14ac:dyDescent="0.3">
      <c r="A495" s="57">
        <v>7</v>
      </c>
      <c r="B495" s="60">
        <v>45868</v>
      </c>
      <c r="C495" s="63" t="s">
        <v>315</v>
      </c>
      <c r="D495" s="68">
        <v>2</v>
      </c>
      <c r="E495" s="71" t="s">
        <v>20</v>
      </c>
      <c r="F495" s="74">
        <v>7.0000000000000007E-2</v>
      </c>
      <c r="G495" s="9">
        <v>0.14000000000000001</v>
      </c>
      <c r="H495" s="76">
        <v>1</v>
      </c>
      <c r="I495" s="53">
        <v>2</v>
      </c>
      <c r="J495" s="48" t="s">
        <v>338</v>
      </c>
      <c r="K495" s="43">
        <v>1.8599999999999999</v>
      </c>
      <c r="L495" s="76" t="s">
        <v>15</v>
      </c>
    </row>
    <row r="496" spans="1:12" ht="15" customHeight="1" x14ac:dyDescent="0.3">
      <c r="A496" s="21">
        <v>7</v>
      </c>
      <c r="B496" s="25">
        <v>45869</v>
      </c>
      <c r="C496" s="64" t="s">
        <v>743</v>
      </c>
      <c r="D496" s="69">
        <v>2</v>
      </c>
      <c r="E496" s="72" t="s">
        <v>20</v>
      </c>
      <c r="F496" s="75">
        <v>5</v>
      </c>
      <c r="G496" s="9">
        <v>10</v>
      </c>
      <c r="H496" s="77">
        <v>10</v>
      </c>
      <c r="I496" s="54">
        <v>20</v>
      </c>
      <c r="J496" s="48" t="s">
        <v>338</v>
      </c>
      <c r="K496" s="43">
        <v>10</v>
      </c>
      <c r="L496" s="77" t="s">
        <v>15</v>
      </c>
    </row>
    <row r="497" spans="1:12" ht="15" customHeight="1" x14ac:dyDescent="0.3">
      <c r="A497" s="21">
        <v>7</v>
      </c>
      <c r="B497" s="25">
        <v>45869</v>
      </c>
      <c r="C497" s="29" t="s">
        <v>315</v>
      </c>
      <c r="D497" s="36">
        <v>2</v>
      </c>
      <c r="E497" s="41" t="s">
        <v>20</v>
      </c>
      <c r="F497" s="42">
        <v>7.0000000000000007E-2</v>
      </c>
      <c r="G497" s="9">
        <v>0.14000000000000001</v>
      </c>
      <c r="H497" s="45">
        <v>1</v>
      </c>
      <c r="I497" s="9">
        <v>2</v>
      </c>
      <c r="J497" s="48" t="s">
        <v>338</v>
      </c>
      <c r="K497" s="43">
        <v>1.8599999999999999</v>
      </c>
      <c r="L497" s="45" t="s">
        <v>15</v>
      </c>
    </row>
    <row r="498" spans="1:12" ht="15" customHeight="1" x14ac:dyDescent="0.3">
      <c r="A498" s="21">
        <v>7</v>
      </c>
      <c r="B498" s="25">
        <v>45869</v>
      </c>
      <c r="C498" s="29" t="s">
        <v>744</v>
      </c>
      <c r="D498" s="36">
        <v>2</v>
      </c>
      <c r="E498" s="41" t="s">
        <v>20</v>
      </c>
      <c r="F498" s="42">
        <v>28</v>
      </c>
      <c r="G498" s="9">
        <v>56</v>
      </c>
      <c r="H498" s="45">
        <v>50</v>
      </c>
      <c r="I498" s="9">
        <v>100</v>
      </c>
      <c r="J498" s="48" t="s">
        <v>338</v>
      </c>
      <c r="K498" s="43">
        <v>44</v>
      </c>
      <c r="L498" s="45" t="s">
        <v>15</v>
      </c>
    </row>
    <row r="499" spans="1:12" ht="15" customHeight="1" x14ac:dyDescent="0.3">
      <c r="A499" s="21">
        <v>7</v>
      </c>
      <c r="B499" s="25">
        <v>45869</v>
      </c>
      <c r="C499" s="29" t="s">
        <v>745</v>
      </c>
      <c r="D499" s="36">
        <v>1</v>
      </c>
      <c r="E499" s="41" t="s">
        <v>746</v>
      </c>
      <c r="F499" s="42">
        <v>23</v>
      </c>
      <c r="G499" s="9">
        <v>23</v>
      </c>
      <c r="H499" s="45">
        <v>35</v>
      </c>
      <c r="I499" s="9">
        <v>35</v>
      </c>
      <c r="J499" s="48" t="s">
        <v>338</v>
      </c>
      <c r="K499" s="43">
        <v>12</v>
      </c>
      <c r="L499" s="45" t="s">
        <v>15</v>
      </c>
    </row>
    <row r="500" spans="1:12" ht="15" customHeight="1" x14ac:dyDescent="0.3">
      <c r="A500" s="21">
        <v>7</v>
      </c>
      <c r="B500" s="25">
        <v>45869</v>
      </c>
      <c r="C500" s="29" t="s">
        <v>747</v>
      </c>
      <c r="D500" s="36">
        <v>1</v>
      </c>
      <c r="E500" s="41" t="s">
        <v>746</v>
      </c>
      <c r="F500" s="42">
        <v>2.5</v>
      </c>
      <c r="G500" s="9">
        <v>2.5</v>
      </c>
      <c r="H500" s="45">
        <v>10</v>
      </c>
      <c r="I500" s="9">
        <v>10</v>
      </c>
      <c r="J500" s="48" t="s">
        <v>338</v>
      </c>
      <c r="K500" s="43">
        <v>7.5</v>
      </c>
      <c r="L500" s="45" t="s">
        <v>15</v>
      </c>
    </row>
    <row r="501" spans="1:12" ht="15" customHeight="1" x14ac:dyDescent="0.3">
      <c r="A501" s="21">
        <v>8</v>
      </c>
      <c r="B501" s="25">
        <v>45871</v>
      </c>
      <c r="C501" s="29" t="s">
        <v>748</v>
      </c>
      <c r="D501" s="36">
        <v>5</v>
      </c>
      <c r="E501" s="41" t="s">
        <v>20</v>
      </c>
      <c r="F501" s="42">
        <v>2.5</v>
      </c>
      <c r="G501" s="9">
        <v>12.5</v>
      </c>
      <c r="H501" s="45">
        <v>5</v>
      </c>
      <c r="I501" s="9">
        <v>25</v>
      </c>
      <c r="J501" s="48" t="s">
        <v>338</v>
      </c>
      <c r="K501" s="43">
        <v>12.5</v>
      </c>
      <c r="L501" s="45" t="s">
        <v>15</v>
      </c>
    </row>
    <row r="502" spans="1:12" ht="15" customHeight="1" x14ac:dyDescent="0.3">
      <c r="A502" s="21">
        <v>8</v>
      </c>
      <c r="B502" s="25">
        <v>45871</v>
      </c>
      <c r="C502" s="29" t="s">
        <v>731</v>
      </c>
      <c r="D502" s="36">
        <v>1</v>
      </c>
      <c r="E502" s="41" t="s">
        <v>20</v>
      </c>
      <c r="F502" s="42">
        <v>13</v>
      </c>
      <c r="G502" s="9">
        <v>13</v>
      </c>
      <c r="H502" s="45">
        <v>20</v>
      </c>
      <c r="I502" s="9">
        <v>20</v>
      </c>
      <c r="J502" s="48" t="s">
        <v>338</v>
      </c>
      <c r="K502" s="43">
        <v>7</v>
      </c>
      <c r="L502" s="45" t="s">
        <v>15</v>
      </c>
    </row>
    <row r="503" spans="1:12" ht="15" customHeight="1" x14ac:dyDescent="0.3">
      <c r="A503" s="58">
        <v>8</v>
      </c>
      <c r="B503" s="61">
        <v>45871</v>
      </c>
      <c r="C503" s="64" t="s">
        <v>749</v>
      </c>
      <c r="D503" s="69">
        <v>1</v>
      </c>
      <c r="E503" s="72" t="s">
        <v>20</v>
      </c>
      <c r="F503" s="75">
        <v>5</v>
      </c>
      <c r="G503" s="9">
        <v>5</v>
      </c>
      <c r="H503" s="77">
        <v>10</v>
      </c>
      <c r="I503" s="54">
        <v>10</v>
      </c>
      <c r="J503" s="48" t="s">
        <v>338</v>
      </c>
      <c r="K503" s="43">
        <v>5</v>
      </c>
      <c r="L503" s="77" t="s">
        <v>15</v>
      </c>
    </row>
    <row r="504" spans="1:12" ht="15" customHeight="1" x14ac:dyDescent="0.3">
      <c r="A504" s="21">
        <v>8</v>
      </c>
      <c r="B504" s="25">
        <v>45871</v>
      </c>
      <c r="C504" s="29" t="s">
        <v>313</v>
      </c>
      <c r="D504" s="36">
        <v>1</v>
      </c>
      <c r="E504" s="41" t="s">
        <v>20</v>
      </c>
      <c r="F504" s="42">
        <v>3</v>
      </c>
      <c r="G504" s="9">
        <v>3</v>
      </c>
      <c r="H504" s="45">
        <v>10</v>
      </c>
      <c r="I504" s="9">
        <v>10</v>
      </c>
      <c r="J504" s="48" t="s">
        <v>338</v>
      </c>
      <c r="K504" s="43">
        <v>7</v>
      </c>
      <c r="L504" s="45" t="s">
        <v>15</v>
      </c>
    </row>
    <row r="505" spans="1:12" ht="15" customHeight="1" x14ac:dyDescent="0.3">
      <c r="A505" s="21">
        <v>8</v>
      </c>
      <c r="B505" s="25">
        <v>45871</v>
      </c>
      <c r="C505" s="29" t="s">
        <v>750</v>
      </c>
      <c r="D505" s="36">
        <v>1</v>
      </c>
      <c r="E505" s="41" t="s">
        <v>20</v>
      </c>
      <c r="F505" s="42">
        <v>4</v>
      </c>
      <c r="G505" s="9">
        <v>4</v>
      </c>
      <c r="H505" s="45">
        <v>10</v>
      </c>
      <c r="I505" s="9">
        <v>10</v>
      </c>
      <c r="J505" s="48" t="s">
        <v>338</v>
      </c>
      <c r="K505" s="43">
        <v>6</v>
      </c>
      <c r="L505" s="45" t="s">
        <v>15</v>
      </c>
    </row>
    <row r="506" spans="1:12" ht="15" customHeight="1" x14ac:dyDescent="0.3">
      <c r="A506" s="21">
        <v>8</v>
      </c>
      <c r="B506" s="25">
        <v>45871</v>
      </c>
      <c r="C506" s="29" t="s">
        <v>715</v>
      </c>
      <c r="D506" s="36">
        <v>1</v>
      </c>
      <c r="E506" s="41" t="s">
        <v>20</v>
      </c>
      <c r="F506" s="42">
        <v>5</v>
      </c>
      <c r="G506" s="9">
        <v>5</v>
      </c>
      <c r="H506" s="45">
        <v>10</v>
      </c>
      <c r="I506" s="9">
        <v>10</v>
      </c>
      <c r="J506" s="48" t="s">
        <v>338</v>
      </c>
      <c r="K506" s="43">
        <v>5</v>
      </c>
      <c r="L506" s="45" t="s">
        <v>15</v>
      </c>
    </row>
    <row r="507" spans="1:12" ht="15" customHeight="1" x14ac:dyDescent="0.3">
      <c r="A507" s="21">
        <v>8</v>
      </c>
      <c r="B507" s="25">
        <v>45871</v>
      </c>
      <c r="C507" s="29" t="s">
        <v>315</v>
      </c>
      <c r="D507" s="36">
        <v>1</v>
      </c>
      <c r="E507" s="41" t="s">
        <v>20</v>
      </c>
      <c r="F507" s="42">
        <v>7.0000000000000007E-2</v>
      </c>
      <c r="G507" s="9">
        <v>7.0000000000000007E-2</v>
      </c>
      <c r="H507" s="45">
        <v>1</v>
      </c>
      <c r="I507" s="9">
        <v>1</v>
      </c>
      <c r="J507" s="48" t="s">
        <v>338</v>
      </c>
      <c r="K507" s="43">
        <v>0.92999999999999994</v>
      </c>
      <c r="L507" s="45" t="s">
        <v>15</v>
      </c>
    </row>
    <row r="508" spans="1:12" ht="15" customHeight="1" x14ac:dyDescent="0.3">
      <c r="A508" s="21">
        <v>8</v>
      </c>
      <c r="B508" s="25">
        <v>45873</v>
      </c>
      <c r="C508" s="29" t="s">
        <v>728</v>
      </c>
      <c r="D508" s="36">
        <v>1</v>
      </c>
      <c r="E508" s="41" t="s">
        <v>20</v>
      </c>
      <c r="F508" s="42">
        <v>0.4</v>
      </c>
      <c r="G508" s="9">
        <v>0.4</v>
      </c>
      <c r="H508" s="45">
        <v>2</v>
      </c>
      <c r="I508" s="9">
        <v>2</v>
      </c>
      <c r="J508" s="48" t="s">
        <v>338</v>
      </c>
      <c r="K508" s="43">
        <v>1.6</v>
      </c>
      <c r="L508" s="45" t="s">
        <v>15</v>
      </c>
    </row>
    <row r="509" spans="1:12" ht="15" customHeight="1" x14ac:dyDescent="0.3">
      <c r="A509" s="21">
        <v>8</v>
      </c>
      <c r="B509" s="25">
        <v>45873</v>
      </c>
      <c r="C509" s="29" t="s">
        <v>315</v>
      </c>
      <c r="D509" s="36">
        <v>2</v>
      </c>
      <c r="E509" s="41" t="s">
        <v>20</v>
      </c>
      <c r="F509" s="42">
        <v>7.0000000000000007E-2</v>
      </c>
      <c r="G509" s="9">
        <v>0.14000000000000001</v>
      </c>
      <c r="H509" s="45">
        <v>1</v>
      </c>
      <c r="I509" s="9">
        <v>2</v>
      </c>
      <c r="J509" s="48" t="s">
        <v>338</v>
      </c>
      <c r="K509" s="43">
        <v>1.8599999999999999</v>
      </c>
      <c r="L509" s="45" t="s">
        <v>15</v>
      </c>
    </row>
    <row r="510" spans="1:12" ht="15" customHeight="1" x14ac:dyDescent="0.3">
      <c r="A510" s="58">
        <v>8</v>
      </c>
      <c r="B510" s="61">
        <v>45874</v>
      </c>
      <c r="C510" s="64" t="s">
        <v>313</v>
      </c>
      <c r="D510" s="69">
        <v>2</v>
      </c>
      <c r="E510" s="72" t="s">
        <v>35</v>
      </c>
      <c r="F510" s="75">
        <v>3</v>
      </c>
      <c r="G510" s="9">
        <v>6</v>
      </c>
      <c r="H510" s="77">
        <v>10</v>
      </c>
      <c r="I510" s="54">
        <v>20</v>
      </c>
      <c r="J510" s="48" t="s">
        <v>338</v>
      </c>
      <c r="K510" s="43">
        <v>14</v>
      </c>
      <c r="L510" s="77" t="s">
        <v>15</v>
      </c>
    </row>
    <row r="511" spans="1:12" ht="15" customHeight="1" x14ac:dyDescent="0.3">
      <c r="A511" s="21">
        <v>8</v>
      </c>
      <c r="B511" s="25">
        <v>45876</v>
      </c>
      <c r="C511" s="29" t="s">
        <v>715</v>
      </c>
      <c r="D511" s="36">
        <v>1</v>
      </c>
      <c r="E511" s="41" t="s">
        <v>20</v>
      </c>
      <c r="F511" s="42">
        <v>10</v>
      </c>
      <c r="G511" s="9">
        <v>10</v>
      </c>
      <c r="H511" s="45">
        <v>20</v>
      </c>
      <c r="I511" s="9">
        <v>20</v>
      </c>
      <c r="J511" s="48" t="s">
        <v>338</v>
      </c>
      <c r="K511" s="43">
        <v>10</v>
      </c>
      <c r="L511" s="45" t="s">
        <v>578</v>
      </c>
    </row>
    <row r="512" spans="1:12" ht="15" customHeight="1" x14ac:dyDescent="0.3">
      <c r="A512" s="21">
        <v>8</v>
      </c>
      <c r="B512" s="25">
        <v>45876</v>
      </c>
      <c r="C512" s="29" t="s">
        <v>431</v>
      </c>
      <c r="D512" s="36">
        <v>1</v>
      </c>
      <c r="E512" s="41" t="s">
        <v>20</v>
      </c>
      <c r="F512" s="42">
        <v>0</v>
      </c>
      <c r="G512" s="9">
        <v>0</v>
      </c>
      <c r="H512" s="45">
        <v>15</v>
      </c>
      <c r="I512" s="9">
        <v>15</v>
      </c>
      <c r="J512" s="48" t="s">
        <v>338</v>
      </c>
      <c r="K512" s="43">
        <v>15</v>
      </c>
      <c r="L512" s="45" t="s">
        <v>15</v>
      </c>
    </row>
    <row r="513" spans="1:12" ht="15" customHeight="1" x14ac:dyDescent="0.3">
      <c r="A513" s="21">
        <v>8</v>
      </c>
      <c r="B513" s="25">
        <v>45878</v>
      </c>
      <c r="C513" s="29" t="s">
        <v>751</v>
      </c>
      <c r="D513" s="36">
        <v>1</v>
      </c>
      <c r="E513" s="41" t="s">
        <v>266</v>
      </c>
      <c r="F513" s="42" t="s">
        <v>72</v>
      </c>
      <c r="G513" s="9">
        <v>0</v>
      </c>
      <c r="H513" s="45">
        <v>70</v>
      </c>
      <c r="I513" s="9">
        <v>70</v>
      </c>
      <c r="J513" s="48" t="s">
        <v>338</v>
      </c>
      <c r="K513" s="43">
        <v>70</v>
      </c>
      <c r="L513" s="45" t="s">
        <v>15</v>
      </c>
    </row>
    <row r="514" spans="1:12" ht="15" customHeight="1" x14ac:dyDescent="0.3">
      <c r="A514" s="58">
        <v>8</v>
      </c>
      <c r="B514" s="61">
        <v>45878</v>
      </c>
      <c r="C514" s="64" t="s">
        <v>751</v>
      </c>
      <c r="D514" s="69">
        <v>1</v>
      </c>
      <c r="E514" s="72" t="s">
        <v>266</v>
      </c>
      <c r="F514" s="42" t="s">
        <v>72</v>
      </c>
      <c r="G514" s="9">
        <v>0</v>
      </c>
      <c r="H514" s="77">
        <v>70</v>
      </c>
      <c r="I514" s="54">
        <v>70</v>
      </c>
      <c r="J514" s="48" t="s">
        <v>338</v>
      </c>
      <c r="K514" s="43">
        <v>70</v>
      </c>
      <c r="L514" s="77" t="s">
        <v>15</v>
      </c>
    </row>
    <row r="515" spans="1:12" ht="15" customHeight="1" x14ac:dyDescent="0.3">
      <c r="A515" s="21">
        <v>8</v>
      </c>
      <c r="B515" s="25">
        <v>45880</v>
      </c>
      <c r="C515" s="29" t="s">
        <v>715</v>
      </c>
      <c r="D515" s="36">
        <v>1</v>
      </c>
      <c r="E515" s="41" t="s">
        <v>20</v>
      </c>
      <c r="F515" s="42">
        <v>10</v>
      </c>
      <c r="G515" s="9">
        <v>10</v>
      </c>
      <c r="H515" s="45">
        <v>20</v>
      </c>
      <c r="I515" s="9">
        <v>20</v>
      </c>
      <c r="J515" s="48" t="s">
        <v>338</v>
      </c>
      <c r="K515" s="43">
        <v>10</v>
      </c>
      <c r="L515" s="45" t="s">
        <v>15</v>
      </c>
    </row>
    <row r="516" spans="1:12" ht="15" customHeight="1" x14ac:dyDescent="0.3">
      <c r="A516" s="21">
        <v>8</v>
      </c>
      <c r="B516" s="25">
        <v>45881</v>
      </c>
      <c r="C516" s="29" t="s">
        <v>752</v>
      </c>
      <c r="D516" s="36">
        <v>1</v>
      </c>
      <c r="E516" s="41" t="s">
        <v>20</v>
      </c>
      <c r="F516" s="42">
        <v>3.5</v>
      </c>
      <c r="G516" s="9">
        <v>3.5</v>
      </c>
      <c r="H516" s="45">
        <v>8</v>
      </c>
      <c r="I516" s="9">
        <v>8</v>
      </c>
      <c r="J516" s="48" t="s">
        <v>338</v>
      </c>
      <c r="K516" s="43">
        <v>4.5</v>
      </c>
      <c r="L516" s="45" t="s">
        <v>15</v>
      </c>
    </row>
    <row r="517" spans="1:12" ht="15" customHeight="1" x14ac:dyDescent="0.3">
      <c r="A517" s="21">
        <v>8</v>
      </c>
      <c r="B517" s="25">
        <v>45881</v>
      </c>
      <c r="C517" s="29" t="s">
        <v>753</v>
      </c>
      <c r="D517" s="36">
        <v>1</v>
      </c>
      <c r="E517" s="41" t="s">
        <v>20</v>
      </c>
      <c r="F517" s="42">
        <v>5</v>
      </c>
      <c r="G517" s="9">
        <v>5</v>
      </c>
      <c r="H517" s="45">
        <v>10</v>
      </c>
      <c r="I517" s="9">
        <v>10</v>
      </c>
      <c r="J517" s="48" t="s">
        <v>338</v>
      </c>
      <c r="K517" s="43">
        <v>5</v>
      </c>
      <c r="L517" s="45" t="s">
        <v>15</v>
      </c>
    </row>
    <row r="518" spans="1:12" ht="15" customHeight="1" x14ac:dyDescent="0.3">
      <c r="A518" s="21">
        <v>8</v>
      </c>
      <c r="B518" s="25">
        <v>45882</v>
      </c>
      <c r="C518" s="29" t="s">
        <v>715</v>
      </c>
      <c r="D518" s="36">
        <v>7</v>
      </c>
      <c r="E518" s="41" t="s">
        <v>20</v>
      </c>
      <c r="F518" s="42">
        <v>10</v>
      </c>
      <c r="G518" s="9">
        <v>70</v>
      </c>
      <c r="H518" s="45">
        <v>20</v>
      </c>
      <c r="I518" s="9">
        <v>140</v>
      </c>
      <c r="J518" s="48" t="s">
        <v>338</v>
      </c>
      <c r="K518" s="43">
        <v>70</v>
      </c>
      <c r="L518" s="45" t="s">
        <v>15</v>
      </c>
    </row>
    <row r="519" spans="1:12" ht="15" customHeight="1" x14ac:dyDescent="0.3">
      <c r="A519" s="21">
        <v>8</v>
      </c>
      <c r="B519" s="25">
        <v>45882</v>
      </c>
      <c r="C519" s="29" t="s">
        <v>754</v>
      </c>
      <c r="D519" s="36">
        <v>2</v>
      </c>
      <c r="E519" s="41" t="s">
        <v>20</v>
      </c>
      <c r="F519" s="42">
        <v>2.4166666666666665</v>
      </c>
      <c r="G519" s="9">
        <v>4.833333333333333</v>
      </c>
      <c r="H519" s="45">
        <v>5</v>
      </c>
      <c r="I519" s="9">
        <v>10</v>
      </c>
      <c r="J519" s="48" t="s">
        <v>338</v>
      </c>
      <c r="K519" s="43">
        <v>5.166666666666667</v>
      </c>
      <c r="L519" s="45" t="s">
        <v>15</v>
      </c>
    </row>
    <row r="520" spans="1:12" ht="15" customHeight="1" x14ac:dyDescent="0.3">
      <c r="A520" s="21">
        <v>8</v>
      </c>
      <c r="B520" s="25">
        <v>45882</v>
      </c>
      <c r="C520" s="29" t="s">
        <v>326</v>
      </c>
      <c r="D520" s="36">
        <v>5</v>
      </c>
      <c r="E520" s="41" t="s">
        <v>737</v>
      </c>
      <c r="F520" s="42">
        <v>0.05</v>
      </c>
      <c r="G520" s="9">
        <v>0.25</v>
      </c>
      <c r="H520" s="45">
        <v>1</v>
      </c>
      <c r="I520" s="9">
        <v>5</v>
      </c>
      <c r="J520" s="48" t="s">
        <v>338</v>
      </c>
      <c r="K520" s="43">
        <v>4.75</v>
      </c>
      <c r="L520" s="45" t="s">
        <v>15</v>
      </c>
    </row>
    <row r="521" spans="1:12" ht="15" customHeight="1" x14ac:dyDescent="0.3">
      <c r="A521" s="58">
        <v>8</v>
      </c>
      <c r="B521" s="61">
        <v>45883</v>
      </c>
      <c r="C521" s="64" t="s">
        <v>690</v>
      </c>
      <c r="D521" s="69">
        <v>1</v>
      </c>
      <c r="E521" s="72" t="s">
        <v>391</v>
      </c>
      <c r="F521" s="75">
        <v>2.5</v>
      </c>
      <c r="G521" s="9">
        <v>2.5</v>
      </c>
      <c r="H521" s="77">
        <v>5</v>
      </c>
      <c r="I521" s="54">
        <v>5</v>
      </c>
      <c r="J521" s="48" t="s">
        <v>338</v>
      </c>
      <c r="K521" s="43">
        <v>2.5</v>
      </c>
      <c r="L521" s="77" t="s">
        <v>15</v>
      </c>
    </row>
    <row r="522" spans="1:12" ht="15" customHeight="1" x14ac:dyDescent="0.3">
      <c r="A522" s="21">
        <v>8</v>
      </c>
      <c r="B522" s="25">
        <v>45883</v>
      </c>
      <c r="C522" s="29" t="s">
        <v>687</v>
      </c>
      <c r="D522" s="36">
        <v>1</v>
      </c>
      <c r="E522" s="41" t="s">
        <v>755</v>
      </c>
      <c r="F522" s="42" t="s">
        <v>72</v>
      </c>
      <c r="G522" s="9">
        <v>0</v>
      </c>
      <c r="H522" s="45">
        <v>20</v>
      </c>
      <c r="I522" s="9">
        <v>20</v>
      </c>
      <c r="J522" s="48" t="s">
        <v>338</v>
      </c>
      <c r="K522" s="43">
        <v>20</v>
      </c>
      <c r="L522" s="45" t="s">
        <v>15</v>
      </c>
    </row>
    <row r="523" spans="1:12" ht="15" customHeight="1" x14ac:dyDescent="0.3">
      <c r="A523" s="21">
        <v>8</v>
      </c>
      <c r="B523" s="25">
        <v>45883</v>
      </c>
      <c r="C523" s="29" t="s">
        <v>315</v>
      </c>
      <c r="D523" s="36">
        <v>2</v>
      </c>
      <c r="E523" s="41" t="s">
        <v>755</v>
      </c>
      <c r="F523" s="42">
        <v>7.0000000000000007E-2</v>
      </c>
      <c r="G523" s="9">
        <v>0.14000000000000001</v>
      </c>
      <c r="H523" s="45">
        <v>1</v>
      </c>
      <c r="I523" s="9">
        <v>2</v>
      </c>
      <c r="J523" s="48" t="s">
        <v>338</v>
      </c>
      <c r="K523" s="43">
        <v>1.8599999999999999</v>
      </c>
      <c r="L523" s="45" t="s">
        <v>15</v>
      </c>
    </row>
    <row r="524" spans="1:12" ht="15" customHeight="1" x14ac:dyDescent="0.3">
      <c r="A524" s="21">
        <v>8</v>
      </c>
      <c r="B524" s="25">
        <v>45883</v>
      </c>
      <c r="C524" s="29" t="s">
        <v>754</v>
      </c>
      <c r="D524" s="36">
        <v>2</v>
      </c>
      <c r="E524" s="41" t="s">
        <v>652</v>
      </c>
      <c r="F524" s="42">
        <v>2.4166666666666665</v>
      </c>
      <c r="G524" s="9">
        <v>4.833333333333333</v>
      </c>
      <c r="H524" s="45">
        <v>5</v>
      </c>
      <c r="I524" s="9">
        <v>10</v>
      </c>
      <c r="J524" s="48" t="s">
        <v>338</v>
      </c>
      <c r="K524" s="43">
        <v>5.166666666666667</v>
      </c>
      <c r="L524" s="45" t="s">
        <v>15</v>
      </c>
    </row>
    <row r="525" spans="1:12" ht="15" customHeight="1" x14ac:dyDescent="0.3">
      <c r="A525" s="21">
        <v>8</v>
      </c>
      <c r="B525" s="25">
        <v>45883</v>
      </c>
      <c r="C525" s="29" t="s">
        <v>754</v>
      </c>
      <c r="D525" s="36">
        <v>1</v>
      </c>
      <c r="E525" s="41"/>
      <c r="F525" s="42">
        <v>2.4166666666666665</v>
      </c>
      <c r="G525" s="9">
        <v>2.4166666666666665</v>
      </c>
      <c r="H525" s="45">
        <v>5</v>
      </c>
      <c r="I525" s="9">
        <v>5</v>
      </c>
      <c r="J525" s="48" t="s">
        <v>338</v>
      </c>
      <c r="K525" s="43">
        <v>2.5833333333333335</v>
      </c>
      <c r="L525" s="45" t="s">
        <v>15</v>
      </c>
    </row>
    <row r="526" spans="1:12" ht="15" customHeight="1" x14ac:dyDescent="0.3">
      <c r="A526" s="21">
        <v>8</v>
      </c>
      <c r="B526" s="25">
        <v>45883</v>
      </c>
      <c r="C526" s="29" t="s">
        <v>315</v>
      </c>
      <c r="D526" s="36">
        <v>10</v>
      </c>
      <c r="E526" s="41" t="s">
        <v>20</v>
      </c>
      <c r="F526" s="42">
        <v>7.0000000000000007E-2</v>
      </c>
      <c r="G526" s="9">
        <v>0.70000000000000007</v>
      </c>
      <c r="H526" s="45">
        <v>1</v>
      </c>
      <c r="I526" s="9">
        <v>10</v>
      </c>
      <c r="J526" s="48" t="s">
        <v>338</v>
      </c>
      <c r="K526" s="43">
        <v>9.3000000000000007</v>
      </c>
      <c r="L526" s="45" t="s">
        <v>15</v>
      </c>
    </row>
    <row r="527" spans="1:12" ht="15" customHeight="1" x14ac:dyDescent="0.3">
      <c r="A527" s="21">
        <v>8</v>
      </c>
      <c r="B527" s="25">
        <v>45884</v>
      </c>
      <c r="C527" s="29" t="s">
        <v>754</v>
      </c>
      <c r="D527" s="36">
        <v>1</v>
      </c>
      <c r="E527" s="41" t="s">
        <v>640</v>
      </c>
      <c r="F527" s="42">
        <v>2.4166666666666665</v>
      </c>
      <c r="G527" s="9">
        <v>2.4166666666666665</v>
      </c>
      <c r="H527" s="45">
        <v>5</v>
      </c>
      <c r="I527" s="9">
        <v>5</v>
      </c>
      <c r="J527" s="48" t="s">
        <v>338</v>
      </c>
      <c r="K527" s="43">
        <v>2.5833333333333335</v>
      </c>
      <c r="L527" s="45" t="s">
        <v>15</v>
      </c>
    </row>
    <row r="528" spans="1:12" ht="15" customHeight="1" x14ac:dyDescent="0.3">
      <c r="A528" s="58">
        <v>8</v>
      </c>
      <c r="B528" s="61">
        <v>45884</v>
      </c>
      <c r="C528" s="64" t="s">
        <v>756</v>
      </c>
      <c r="D528" s="69">
        <v>3</v>
      </c>
      <c r="E528" s="72" t="s">
        <v>757</v>
      </c>
      <c r="F528" s="75">
        <v>2.5</v>
      </c>
      <c r="G528" s="9">
        <v>7.5</v>
      </c>
      <c r="H528" s="77">
        <v>5</v>
      </c>
      <c r="I528" s="54">
        <v>15</v>
      </c>
      <c r="J528" s="48" t="s">
        <v>338</v>
      </c>
      <c r="K528" s="43">
        <v>7.5</v>
      </c>
      <c r="L528" s="77" t="s">
        <v>15</v>
      </c>
    </row>
    <row r="529" spans="1:12" ht="15" customHeight="1" x14ac:dyDescent="0.3">
      <c r="A529" s="21">
        <v>8</v>
      </c>
      <c r="B529" s="25">
        <v>45884</v>
      </c>
      <c r="C529" s="29" t="s">
        <v>754</v>
      </c>
      <c r="D529" s="36">
        <v>1</v>
      </c>
      <c r="E529" s="41" t="s">
        <v>640</v>
      </c>
      <c r="F529" s="42">
        <v>2.4166666666666665</v>
      </c>
      <c r="G529" s="9">
        <v>2.4166666666666665</v>
      </c>
      <c r="H529" s="45">
        <v>5</v>
      </c>
      <c r="I529" s="9">
        <v>5</v>
      </c>
      <c r="J529" s="48" t="s">
        <v>338</v>
      </c>
      <c r="K529" s="43">
        <v>2.5833333333333335</v>
      </c>
      <c r="L529" s="45" t="s">
        <v>15</v>
      </c>
    </row>
    <row r="530" spans="1:12" ht="15" customHeight="1" x14ac:dyDescent="0.3">
      <c r="A530" s="21">
        <v>8</v>
      </c>
      <c r="B530" s="25">
        <v>45884</v>
      </c>
      <c r="C530" s="29" t="s">
        <v>313</v>
      </c>
      <c r="D530" s="36">
        <v>1</v>
      </c>
      <c r="E530" s="41" t="s">
        <v>20</v>
      </c>
      <c r="F530" s="42">
        <v>3</v>
      </c>
      <c r="G530" s="9">
        <v>3</v>
      </c>
      <c r="H530" s="45">
        <v>15</v>
      </c>
      <c r="I530" s="9">
        <v>15</v>
      </c>
      <c r="J530" s="48" t="s">
        <v>338</v>
      </c>
      <c r="K530" s="43">
        <v>12</v>
      </c>
      <c r="L530" s="45" t="s">
        <v>15</v>
      </c>
    </row>
    <row r="531" spans="1:12" ht="15" customHeight="1" x14ac:dyDescent="0.3">
      <c r="A531" s="21">
        <v>8</v>
      </c>
      <c r="B531" s="25">
        <v>45884</v>
      </c>
      <c r="C531" s="29" t="s">
        <v>313</v>
      </c>
      <c r="D531" s="36">
        <v>1</v>
      </c>
      <c r="E531" s="41" t="s">
        <v>737</v>
      </c>
      <c r="F531" s="42">
        <v>3</v>
      </c>
      <c r="G531" s="9">
        <v>3</v>
      </c>
      <c r="H531" s="45">
        <v>15</v>
      </c>
      <c r="I531" s="9">
        <v>15</v>
      </c>
      <c r="J531" s="48" t="s">
        <v>338</v>
      </c>
      <c r="K531" s="43">
        <v>12</v>
      </c>
      <c r="L531" s="45" t="s">
        <v>15</v>
      </c>
    </row>
    <row r="532" spans="1:12" ht="15" customHeight="1" x14ac:dyDescent="0.3">
      <c r="A532" s="21">
        <v>8</v>
      </c>
      <c r="B532" s="25">
        <v>45884</v>
      </c>
      <c r="C532" s="29" t="s">
        <v>758</v>
      </c>
      <c r="D532" s="36">
        <v>1</v>
      </c>
      <c r="E532" s="41" t="s">
        <v>232</v>
      </c>
      <c r="F532" s="42">
        <v>10</v>
      </c>
      <c r="G532" s="9">
        <v>10</v>
      </c>
      <c r="H532" s="45">
        <v>15</v>
      </c>
      <c r="I532" s="9">
        <v>15</v>
      </c>
      <c r="J532" s="48" t="s">
        <v>338</v>
      </c>
      <c r="K532" s="43">
        <v>5</v>
      </c>
      <c r="L532" s="45" t="s">
        <v>15</v>
      </c>
    </row>
    <row r="533" spans="1:12" ht="15" customHeight="1" x14ac:dyDescent="0.3">
      <c r="A533" s="21">
        <v>8</v>
      </c>
      <c r="B533" s="25">
        <v>45885</v>
      </c>
      <c r="C533" s="29" t="s">
        <v>379</v>
      </c>
      <c r="D533" s="36">
        <v>4</v>
      </c>
      <c r="E533" s="41" t="s">
        <v>20</v>
      </c>
      <c r="F533" s="42">
        <v>2.5</v>
      </c>
      <c r="G533" s="9">
        <v>10</v>
      </c>
      <c r="H533" s="45">
        <v>5</v>
      </c>
      <c r="I533" s="9">
        <v>20</v>
      </c>
      <c r="J533" s="48" t="s">
        <v>338</v>
      </c>
      <c r="K533" s="43">
        <v>10</v>
      </c>
      <c r="L533" s="45" t="s">
        <v>15</v>
      </c>
    </row>
    <row r="534" spans="1:12" ht="15" customHeight="1" x14ac:dyDescent="0.3">
      <c r="A534" s="21">
        <v>8</v>
      </c>
      <c r="B534" s="25">
        <v>45885</v>
      </c>
      <c r="C534" s="29" t="s">
        <v>754</v>
      </c>
      <c r="D534" s="36">
        <v>1</v>
      </c>
      <c r="E534" s="41" t="s">
        <v>759</v>
      </c>
      <c r="F534" s="42">
        <v>2.4166666666666665</v>
      </c>
      <c r="G534" s="9">
        <v>2.4166666666666665</v>
      </c>
      <c r="H534" s="45">
        <v>4</v>
      </c>
      <c r="I534" s="9">
        <v>4</v>
      </c>
      <c r="J534" s="48" t="s">
        <v>338</v>
      </c>
      <c r="K534" s="43">
        <v>1.5833333333333335</v>
      </c>
      <c r="L534" s="45" t="s">
        <v>15</v>
      </c>
    </row>
    <row r="535" spans="1:12" ht="15" customHeight="1" x14ac:dyDescent="0.3">
      <c r="A535" s="58">
        <v>8</v>
      </c>
      <c r="B535" s="61">
        <v>45885</v>
      </c>
      <c r="C535" s="64" t="s">
        <v>754</v>
      </c>
      <c r="D535" s="69">
        <v>2</v>
      </c>
      <c r="E535" s="72" t="s">
        <v>640</v>
      </c>
      <c r="F535" s="75">
        <v>2.4166666666666665</v>
      </c>
      <c r="G535" s="9">
        <v>4.833333333333333</v>
      </c>
      <c r="H535" s="77">
        <v>5</v>
      </c>
      <c r="I535" s="54">
        <v>10</v>
      </c>
      <c r="J535" s="48" t="s">
        <v>338</v>
      </c>
      <c r="K535" s="43">
        <v>5.166666666666667</v>
      </c>
      <c r="L535" s="77" t="s">
        <v>15</v>
      </c>
    </row>
    <row r="536" spans="1:12" ht="15" customHeight="1" x14ac:dyDescent="0.3">
      <c r="A536" s="21">
        <v>8</v>
      </c>
      <c r="B536" s="25">
        <v>45885</v>
      </c>
      <c r="C536" s="29" t="s">
        <v>754</v>
      </c>
      <c r="D536" s="36">
        <v>1</v>
      </c>
      <c r="E536" s="41" t="s">
        <v>20</v>
      </c>
      <c r="F536" s="42">
        <v>2.4166666666666665</v>
      </c>
      <c r="G536" s="9">
        <v>2.4166666666666665</v>
      </c>
      <c r="H536" s="45">
        <v>7</v>
      </c>
      <c r="I536" s="9">
        <v>7</v>
      </c>
      <c r="J536" s="48" t="s">
        <v>338</v>
      </c>
      <c r="K536" s="43">
        <v>4.5833333333333339</v>
      </c>
      <c r="L536" s="45" t="s">
        <v>15</v>
      </c>
    </row>
    <row r="537" spans="1:12" ht="15" customHeight="1" x14ac:dyDescent="0.3">
      <c r="A537" s="21">
        <v>8</v>
      </c>
      <c r="B537" s="25">
        <v>45885</v>
      </c>
      <c r="C537" s="29" t="s">
        <v>313</v>
      </c>
      <c r="D537" s="36">
        <v>1</v>
      </c>
      <c r="E537" s="41" t="s">
        <v>760</v>
      </c>
      <c r="F537" s="42">
        <v>3</v>
      </c>
      <c r="G537" s="9">
        <v>3</v>
      </c>
      <c r="H537" s="45">
        <v>10</v>
      </c>
      <c r="I537" s="9">
        <v>10</v>
      </c>
      <c r="J537" s="48" t="s">
        <v>338</v>
      </c>
      <c r="K537" s="43">
        <v>7</v>
      </c>
      <c r="L537" s="45" t="s">
        <v>15</v>
      </c>
    </row>
    <row r="538" spans="1:12" ht="15" customHeight="1" x14ac:dyDescent="0.3">
      <c r="A538" s="21">
        <v>8</v>
      </c>
      <c r="B538" s="25">
        <v>45888</v>
      </c>
      <c r="C538" s="29" t="s">
        <v>262</v>
      </c>
      <c r="D538" s="36">
        <v>1</v>
      </c>
      <c r="E538" s="41" t="s">
        <v>20</v>
      </c>
      <c r="F538" s="42">
        <v>18</v>
      </c>
      <c r="G538" s="9">
        <v>18</v>
      </c>
      <c r="H538" s="45">
        <v>35</v>
      </c>
      <c r="I538" s="9">
        <v>35</v>
      </c>
      <c r="J538" s="48" t="s">
        <v>338</v>
      </c>
      <c r="K538" s="43">
        <v>17</v>
      </c>
      <c r="L538" s="45" t="s">
        <v>15</v>
      </c>
    </row>
    <row r="539" spans="1:12" ht="15" customHeight="1" x14ac:dyDescent="0.3">
      <c r="A539" s="21">
        <v>8</v>
      </c>
      <c r="B539" s="25">
        <v>45888</v>
      </c>
      <c r="C539" s="29" t="s">
        <v>728</v>
      </c>
      <c r="D539" s="36">
        <v>1</v>
      </c>
      <c r="E539" s="41" t="s">
        <v>20</v>
      </c>
      <c r="F539" s="42">
        <v>0.4</v>
      </c>
      <c r="G539" s="9">
        <v>0.4</v>
      </c>
      <c r="H539" s="45">
        <v>2</v>
      </c>
      <c r="I539" s="9">
        <v>2</v>
      </c>
      <c r="J539" s="48" t="s">
        <v>338</v>
      </c>
      <c r="K539" s="43">
        <v>1.6</v>
      </c>
      <c r="L539" s="45" t="s">
        <v>15</v>
      </c>
    </row>
    <row r="540" spans="1:12" ht="15" customHeight="1" x14ac:dyDescent="0.3">
      <c r="A540" s="21">
        <v>8</v>
      </c>
      <c r="B540" s="25">
        <v>45888</v>
      </c>
      <c r="C540" s="29" t="s">
        <v>315</v>
      </c>
      <c r="D540" s="36">
        <v>10</v>
      </c>
      <c r="E540" s="41" t="s">
        <v>20</v>
      </c>
      <c r="F540" s="42">
        <v>7.0000000000000007E-2</v>
      </c>
      <c r="G540" s="9">
        <v>0.70000000000000007</v>
      </c>
      <c r="H540" s="45">
        <v>1</v>
      </c>
      <c r="I540" s="9">
        <v>10</v>
      </c>
      <c r="J540" s="48" t="s">
        <v>338</v>
      </c>
      <c r="K540" s="43">
        <v>9.3000000000000007</v>
      </c>
      <c r="L540" s="45" t="s">
        <v>15</v>
      </c>
    </row>
    <row r="541" spans="1:12" ht="15" customHeight="1" x14ac:dyDescent="0.3">
      <c r="A541" s="21">
        <v>8</v>
      </c>
      <c r="B541" s="25">
        <v>45889</v>
      </c>
      <c r="C541" s="29" t="s">
        <v>315</v>
      </c>
      <c r="D541" s="36">
        <v>2</v>
      </c>
      <c r="E541" s="41" t="s">
        <v>20</v>
      </c>
      <c r="F541" s="42">
        <v>7.0000000000000007E-2</v>
      </c>
      <c r="G541" s="9">
        <v>0.14000000000000001</v>
      </c>
      <c r="H541" s="45">
        <v>1</v>
      </c>
      <c r="I541" s="9">
        <v>2</v>
      </c>
      <c r="J541" s="48" t="s">
        <v>338</v>
      </c>
      <c r="K541" s="43">
        <v>1.8599999999999999</v>
      </c>
      <c r="L541" s="45" t="s">
        <v>15</v>
      </c>
    </row>
    <row r="542" spans="1:12" ht="15" customHeight="1" x14ac:dyDescent="0.3">
      <c r="A542" s="58">
        <v>8</v>
      </c>
      <c r="B542" s="61">
        <v>45889</v>
      </c>
      <c r="C542" s="64" t="s">
        <v>728</v>
      </c>
      <c r="D542" s="69">
        <v>3</v>
      </c>
      <c r="E542" s="72" t="s">
        <v>20</v>
      </c>
      <c r="F542" s="75">
        <v>0.4</v>
      </c>
      <c r="G542" s="9">
        <v>1.2000000000000002</v>
      </c>
      <c r="H542" s="77">
        <v>2</v>
      </c>
      <c r="I542" s="54">
        <v>6</v>
      </c>
      <c r="J542" s="48" t="s">
        <v>338</v>
      </c>
      <c r="K542" s="43">
        <v>4.8</v>
      </c>
      <c r="L542" s="77" t="s">
        <v>15</v>
      </c>
    </row>
    <row r="543" spans="1:12" ht="15" customHeight="1" x14ac:dyDescent="0.3">
      <c r="A543" s="21">
        <v>8</v>
      </c>
      <c r="B543" s="25">
        <v>45889</v>
      </c>
      <c r="C543" s="29" t="s">
        <v>729</v>
      </c>
      <c r="D543" s="36">
        <v>1</v>
      </c>
      <c r="E543" s="41" t="s">
        <v>20</v>
      </c>
      <c r="F543" s="42">
        <v>2.5</v>
      </c>
      <c r="G543" s="9">
        <v>2.5</v>
      </c>
      <c r="H543" s="45">
        <v>5</v>
      </c>
      <c r="I543" s="9">
        <v>5</v>
      </c>
      <c r="J543" s="48" t="s">
        <v>338</v>
      </c>
      <c r="K543" s="43">
        <v>2.5</v>
      </c>
      <c r="L543" s="45" t="s">
        <v>15</v>
      </c>
    </row>
    <row r="544" spans="1:12" ht="15" customHeight="1" x14ac:dyDescent="0.3">
      <c r="A544" s="21">
        <v>8</v>
      </c>
      <c r="B544" s="25">
        <v>45889</v>
      </c>
      <c r="C544" s="29" t="s">
        <v>729</v>
      </c>
      <c r="D544" s="36">
        <v>1</v>
      </c>
      <c r="E544" s="41" t="s">
        <v>20</v>
      </c>
      <c r="F544" s="42">
        <v>2.5</v>
      </c>
      <c r="G544" s="9">
        <v>2.5</v>
      </c>
      <c r="H544" s="45">
        <v>5</v>
      </c>
      <c r="I544" s="9">
        <v>5</v>
      </c>
      <c r="J544" s="48" t="s">
        <v>338</v>
      </c>
      <c r="K544" s="43">
        <v>2.5</v>
      </c>
      <c r="L544" s="45" t="s">
        <v>15</v>
      </c>
    </row>
    <row r="545" spans="1:12" ht="15" customHeight="1" x14ac:dyDescent="0.3">
      <c r="A545" s="21">
        <v>8</v>
      </c>
      <c r="B545" s="25">
        <v>45889</v>
      </c>
      <c r="C545" s="29" t="s">
        <v>326</v>
      </c>
      <c r="D545" s="36">
        <v>3</v>
      </c>
      <c r="E545" s="41" t="s">
        <v>20</v>
      </c>
      <c r="F545" s="42">
        <v>0.05</v>
      </c>
      <c r="G545" s="9">
        <v>0.15000000000000002</v>
      </c>
      <c r="H545" s="45">
        <v>0.5</v>
      </c>
      <c r="I545" s="9">
        <v>1.5</v>
      </c>
      <c r="J545" s="48" t="s">
        <v>338</v>
      </c>
      <c r="K545" s="43">
        <v>1.35</v>
      </c>
      <c r="L545" s="45" t="s">
        <v>15</v>
      </c>
    </row>
    <row r="546" spans="1:12" ht="15" customHeight="1" x14ac:dyDescent="0.3">
      <c r="A546" s="58">
        <v>8</v>
      </c>
      <c r="B546" s="61">
        <v>45890</v>
      </c>
      <c r="C546" s="64" t="s">
        <v>326</v>
      </c>
      <c r="D546" s="69">
        <v>2</v>
      </c>
      <c r="E546" s="72" t="s">
        <v>20</v>
      </c>
      <c r="F546" s="75">
        <v>0.05</v>
      </c>
      <c r="G546" s="9">
        <v>0.1</v>
      </c>
      <c r="H546" s="77">
        <v>0.5</v>
      </c>
      <c r="I546" s="54">
        <v>1</v>
      </c>
      <c r="J546" s="48" t="s">
        <v>338</v>
      </c>
      <c r="K546" s="43">
        <v>0.9</v>
      </c>
      <c r="L546" s="77" t="s">
        <v>15</v>
      </c>
    </row>
    <row r="547" spans="1:12" ht="15" customHeight="1" x14ac:dyDescent="0.3">
      <c r="A547" s="21">
        <v>8</v>
      </c>
      <c r="B547" s="25">
        <v>45890</v>
      </c>
      <c r="C547" s="29" t="s">
        <v>761</v>
      </c>
      <c r="D547" s="36">
        <v>1</v>
      </c>
      <c r="E547" s="41" t="s">
        <v>524</v>
      </c>
      <c r="F547" s="42">
        <v>5</v>
      </c>
      <c r="G547" s="9">
        <v>5</v>
      </c>
      <c r="H547" s="45">
        <v>15</v>
      </c>
      <c r="I547" s="9">
        <v>15</v>
      </c>
      <c r="J547" s="48" t="s">
        <v>338</v>
      </c>
      <c r="K547" s="43">
        <v>10</v>
      </c>
      <c r="L547" s="45" t="s">
        <v>15</v>
      </c>
    </row>
    <row r="548" spans="1:12" ht="15" customHeight="1" x14ac:dyDescent="0.3">
      <c r="A548" s="21">
        <v>8</v>
      </c>
      <c r="B548" s="25">
        <v>45890</v>
      </c>
      <c r="C548" s="29" t="s">
        <v>754</v>
      </c>
      <c r="D548" s="36">
        <v>1</v>
      </c>
      <c r="E548" s="41" t="s">
        <v>20</v>
      </c>
      <c r="F548" s="42">
        <v>2.4166666666666665</v>
      </c>
      <c r="G548" s="9">
        <v>2.4166666666666665</v>
      </c>
      <c r="H548" s="45">
        <v>7</v>
      </c>
      <c r="I548" s="9">
        <v>7</v>
      </c>
      <c r="J548" s="48" t="s">
        <v>338</v>
      </c>
      <c r="K548" s="43">
        <v>4.5833333333333339</v>
      </c>
      <c r="L548" s="45" t="s">
        <v>15</v>
      </c>
    </row>
    <row r="549" spans="1:12" ht="15" customHeight="1" x14ac:dyDescent="0.3">
      <c r="A549" s="21">
        <v>8</v>
      </c>
      <c r="B549" s="25">
        <v>45890</v>
      </c>
      <c r="C549" s="29" t="s">
        <v>313</v>
      </c>
      <c r="D549" s="36">
        <v>1</v>
      </c>
      <c r="E549" s="41" t="s">
        <v>20</v>
      </c>
      <c r="F549" s="42">
        <v>3</v>
      </c>
      <c r="G549" s="9">
        <v>3</v>
      </c>
      <c r="H549" s="45">
        <v>15</v>
      </c>
      <c r="I549" s="9">
        <v>15</v>
      </c>
      <c r="J549" s="48" t="s">
        <v>338</v>
      </c>
      <c r="K549" s="43">
        <v>12</v>
      </c>
      <c r="L549" s="45" t="s">
        <v>15</v>
      </c>
    </row>
    <row r="550" spans="1:12" ht="15" customHeight="1" x14ac:dyDescent="0.3">
      <c r="A550" s="21">
        <v>8</v>
      </c>
      <c r="B550" s="25">
        <v>45890</v>
      </c>
      <c r="C550" s="29" t="s">
        <v>750</v>
      </c>
      <c r="D550" s="36">
        <v>1</v>
      </c>
      <c r="E550" s="41" t="s">
        <v>20</v>
      </c>
      <c r="F550" s="42">
        <v>4</v>
      </c>
      <c r="G550" s="9">
        <v>4</v>
      </c>
      <c r="H550" s="45">
        <v>15</v>
      </c>
      <c r="I550" s="9">
        <v>15</v>
      </c>
      <c r="J550" s="48" t="s">
        <v>338</v>
      </c>
      <c r="K550" s="43">
        <v>11</v>
      </c>
      <c r="L550" s="45" t="s">
        <v>15</v>
      </c>
    </row>
    <row r="551" spans="1:12" ht="15" customHeight="1" x14ac:dyDescent="0.3">
      <c r="A551" s="21">
        <v>8</v>
      </c>
      <c r="B551" s="25">
        <v>45891</v>
      </c>
      <c r="C551" s="29" t="s">
        <v>728</v>
      </c>
      <c r="D551" s="36">
        <v>3</v>
      </c>
      <c r="E551" s="41" t="s">
        <v>762</v>
      </c>
      <c r="F551" s="42">
        <v>0.4</v>
      </c>
      <c r="G551" s="9">
        <v>1.2000000000000002</v>
      </c>
      <c r="H551" s="45">
        <v>2</v>
      </c>
      <c r="I551" s="9">
        <v>6</v>
      </c>
      <c r="J551" s="48" t="s">
        <v>338</v>
      </c>
      <c r="K551" s="43">
        <v>4.8</v>
      </c>
      <c r="L551" s="45" t="s">
        <v>15</v>
      </c>
    </row>
    <row r="552" spans="1:12" ht="15" customHeight="1" x14ac:dyDescent="0.3">
      <c r="A552" s="21">
        <v>8</v>
      </c>
      <c r="B552" s="25">
        <v>45891</v>
      </c>
      <c r="C552" s="29" t="s">
        <v>754</v>
      </c>
      <c r="D552" s="36">
        <v>2</v>
      </c>
      <c r="E552" s="41" t="s">
        <v>763</v>
      </c>
      <c r="F552" s="42">
        <v>2.4166666666666665</v>
      </c>
      <c r="G552" s="9">
        <v>4.833333333333333</v>
      </c>
      <c r="H552" s="45">
        <v>5</v>
      </c>
      <c r="I552" s="9">
        <v>10</v>
      </c>
      <c r="J552" s="48" t="s">
        <v>338</v>
      </c>
      <c r="K552" s="43">
        <v>5.166666666666667</v>
      </c>
      <c r="L552" s="45" t="s">
        <v>15</v>
      </c>
    </row>
    <row r="553" spans="1:12" ht="15" customHeight="1" x14ac:dyDescent="0.3">
      <c r="A553" s="58">
        <v>8</v>
      </c>
      <c r="B553" s="61">
        <v>45891</v>
      </c>
      <c r="C553" s="64" t="s">
        <v>732</v>
      </c>
      <c r="D553" s="69">
        <v>1</v>
      </c>
      <c r="E553" s="72" t="s">
        <v>759</v>
      </c>
      <c r="F553" s="75">
        <v>5</v>
      </c>
      <c r="G553" s="9">
        <v>5</v>
      </c>
      <c r="H553" s="77">
        <v>15</v>
      </c>
      <c r="I553" s="54">
        <v>15</v>
      </c>
      <c r="J553" s="48" t="s">
        <v>338</v>
      </c>
      <c r="K553" s="43">
        <v>10</v>
      </c>
      <c r="L553" s="77" t="s">
        <v>15</v>
      </c>
    </row>
    <row r="554" spans="1:12" ht="15" customHeight="1" x14ac:dyDescent="0.3">
      <c r="A554" s="21">
        <v>8</v>
      </c>
      <c r="B554" s="25">
        <v>45892</v>
      </c>
      <c r="C554" s="29" t="s">
        <v>754</v>
      </c>
      <c r="D554" s="36">
        <v>1</v>
      </c>
      <c r="E554" s="41" t="s">
        <v>764</v>
      </c>
      <c r="F554" s="42">
        <v>2.4166666666666665</v>
      </c>
      <c r="G554" s="9">
        <v>2.4166666666666665</v>
      </c>
      <c r="H554" s="45">
        <v>5</v>
      </c>
      <c r="I554" s="9">
        <v>5</v>
      </c>
      <c r="J554" s="48" t="s">
        <v>338</v>
      </c>
      <c r="K554" s="43">
        <v>2.5833333333333335</v>
      </c>
      <c r="L554" s="45" t="s">
        <v>15</v>
      </c>
    </row>
    <row r="555" spans="1:12" ht="15" customHeight="1" x14ac:dyDescent="0.3">
      <c r="A555" s="21">
        <v>8</v>
      </c>
      <c r="B555" s="25">
        <v>45892</v>
      </c>
      <c r="C555" s="29" t="s">
        <v>765</v>
      </c>
      <c r="D555" s="36">
        <v>1</v>
      </c>
      <c r="E555" s="41" t="s">
        <v>766</v>
      </c>
      <c r="F555" s="42">
        <v>5</v>
      </c>
      <c r="G555" s="9">
        <v>5</v>
      </c>
      <c r="H555" s="45">
        <v>10</v>
      </c>
      <c r="I555" s="9">
        <v>10</v>
      </c>
      <c r="J555" s="48" t="s">
        <v>338</v>
      </c>
      <c r="K555" s="43">
        <v>5</v>
      </c>
      <c r="L555" s="45" t="s">
        <v>15</v>
      </c>
    </row>
    <row r="556" spans="1:12" ht="15" customHeight="1" x14ac:dyDescent="0.3">
      <c r="A556" s="21">
        <v>8</v>
      </c>
      <c r="B556" s="25">
        <v>45892</v>
      </c>
      <c r="C556" s="29" t="s">
        <v>715</v>
      </c>
      <c r="D556" s="36">
        <v>3</v>
      </c>
      <c r="E556" s="41" t="s">
        <v>20</v>
      </c>
      <c r="F556" s="42">
        <v>5</v>
      </c>
      <c r="G556" s="9">
        <v>15</v>
      </c>
      <c r="H556" s="45">
        <v>10</v>
      </c>
      <c r="I556" s="9">
        <v>30</v>
      </c>
      <c r="J556" s="48" t="s">
        <v>338</v>
      </c>
      <c r="K556" s="43">
        <v>15</v>
      </c>
      <c r="L556" s="45" t="s">
        <v>15</v>
      </c>
    </row>
    <row r="557" spans="1:12" ht="15" customHeight="1" x14ac:dyDescent="0.3">
      <c r="A557" s="21">
        <v>8</v>
      </c>
      <c r="B557" s="25">
        <v>45892</v>
      </c>
      <c r="C557" s="29" t="s">
        <v>754</v>
      </c>
      <c r="D557" s="36">
        <v>2</v>
      </c>
      <c r="E557" s="41" t="s">
        <v>763</v>
      </c>
      <c r="F557" s="42">
        <v>2.4166666666666665</v>
      </c>
      <c r="G557" s="9">
        <v>4.833333333333333</v>
      </c>
      <c r="H557" s="45">
        <v>5</v>
      </c>
      <c r="I557" s="9">
        <v>10</v>
      </c>
      <c r="J557" s="48" t="s">
        <v>338</v>
      </c>
      <c r="K557" s="43">
        <v>5.166666666666667</v>
      </c>
      <c r="L557" s="45" t="s">
        <v>15</v>
      </c>
    </row>
    <row r="558" spans="1:12" ht="15" customHeight="1" x14ac:dyDescent="0.3">
      <c r="A558" s="21">
        <v>8</v>
      </c>
      <c r="B558" s="25">
        <v>45892</v>
      </c>
      <c r="C558" s="29" t="s">
        <v>765</v>
      </c>
      <c r="D558" s="36">
        <v>1</v>
      </c>
      <c r="E558" s="41" t="s">
        <v>766</v>
      </c>
      <c r="F558" s="42">
        <v>5</v>
      </c>
      <c r="G558" s="9">
        <v>5</v>
      </c>
      <c r="H558" s="45">
        <v>10</v>
      </c>
      <c r="I558" s="9">
        <v>10</v>
      </c>
      <c r="J558" s="48" t="s">
        <v>338</v>
      </c>
      <c r="K558" s="43">
        <v>5</v>
      </c>
      <c r="L558" s="45" t="s">
        <v>15</v>
      </c>
    </row>
    <row r="559" spans="1:12" ht="15" customHeight="1" x14ac:dyDescent="0.3">
      <c r="A559" s="21">
        <v>8</v>
      </c>
      <c r="B559" s="25">
        <v>45894</v>
      </c>
      <c r="C559" s="29" t="s">
        <v>313</v>
      </c>
      <c r="D559" s="36">
        <v>1</v>
      </c>
      <c r="E559" s="41" t="s">
        <v>20</v>
      </c>
      <c r="F559" s="42">
        <v>3</v>
      </c>
      <c r="G559" s="9">
        <v>3</v>
      </c>
      <c r="H559" s="45">
        <v>10</v>
      </c>
      <c r="I559" s="9">
        <v>10</v>
      </c>
      <c r="J559" s="48" t="s">
        <v>338</v>
      </c>
      <c r="K559" s="43">
        <v>7</v>
      </c>
      <c r="L559" s="45" t="s">
        <v>15</v>
      </c>
    </row>
    <row r="560" spans="1:12" ht="15" customHeight="1" x14ac:dyDescent="0.3">
      <c r="A560" s="58">
        <v>8</v>
      </c>
      <c r="B560" s="61">
        <v>45894</v>
      </c>
      <c r="C560" s="64" t="s">
        <v>207</v>
      </c>
      <c r="D560" s="69">
        <v>1</v>
      </c>
      <c r="E560" s="72" t="s">
        <v>20</v>
      </c>
      <c r="F560" s="75">
        <v>7</v>
      </c>
      <c r="G560" s="9">
        <v>7</v>
      </c>
      <c r="H560" s="77">
        <v>15</v>
      </c>
      <c r="I560" s="54">
        <v>15</v>
      </c>
      <c r="J560" s="48" t="s">
        <v>338</v>
      </c>
      <c r="K560" s="43">
        <v>8</v>
      </c>
      <c r="L560" s="77" t="s">
        <v>15</v>
      </c>
    </row>
    <row r="561" spans="1:12" ht="15" customHeight="1" x14ac:dyDescent="0.3">
      <c r="A561" s="21">
        <v>8</v>
      </c>
      <c r="B561" s="25">
        <v>45894</v>
      </c>
      <c r="C561" s="29" t="s">
        <v>315</v>
      </c>
      <c r="D561" s="36">
        <v>40</v>
      </c>
      <c r="E561" s="41" t="s">
        <v>20</v>
      </c>
      <c r="F561" s="42">
        <v>7.0000000000000007E-2</v>
      </c>
      <c r="G561" s="9">
        <v>2.8000000000000003</v>
      </c>
      <c r="H561" s="45">
        <v>1</v>
      </c>
      <c r="I561" s="9">
        <v>40</v>
      </c>
      <c r="J561" s="48" t="s">
        <v>338</v>
      </c>
      <c r="K561" s="43">
        <v>37.200000000000003</v>
      </c>
      <c r="L561" s="45" t="s">
        <v>15</v>
      </c>
    </row>
    <row r="562" spans="1:12" ht="15" customHeight="1" x14ac:dyDescent="0.3">
      <c r="A562" s="21">
        <v>8</v>
      </c>
      <c r="B562" s="25">
        <v>45894</v>
      </c>
      <c r="C562" s="29" t="s">
        <v>315</v>
      </c>
      <c r="D562" s="36">
        <v>1</v>
      </c>
      <c r="E562" s="41" t="s">
        <v>763</v>
      </c>
      <c r="F562" s="42">
        <v>7.0000000000000007E-2</v>
      </c>
      <c r="G562" s="9">
        <v>7.0000000000000007E-2</v>
      </c>
      <c r="H562" s="45">
        <v>1</v>
      </c>
      <c r="I562" s="9">
        <v>1</v>
      </c>
      <c r="J562" s="48" t="s">
        <v>338</v>
      </c>
      <c r="K562" s="43">
        <v>0.92999999999999994</v>
      </c>
      <c r="L562" s="45" t="s">
        <v>15</v>
      </c>
    </row>
    <row r="563" spans="1:12" ht="15" customHeight="1" x14ac:dyDescent="0.3">
      <c r="A563" s="21">
        <v>8</v>
      </c>
      <c r="B563" s="25">
        <v>45894</v>
      </c>
      <c r="C563" s="29" t="s">
        <v>754</v>
      </c>
      <c r="D563" s="36">
        <v>1</v>
      </c>
      <c r="E563" s="41" t="s">
        <v>763</v>
      </c>
      <c r="F563" s="42">
        <v>2.4166666666666665</v>
      </c>
      <c r="G563" s="9">
        <v>2.4166666666666665</v>
      </c>
      <c r="H563" s="45">
        <v>5</v>
      </c>
      <c r="I563" s="9">
        <v>5</v>
      </c>
      <c r="J563" s="48" t="s">
        <v>338</v>
      </c>
      <c r="K563" s="43">
        <v>2.5833333333333335</v>
      </c>
      <c r="L563" s="45" t="s">
        <v>15</v>
      </c>
    </row>
    <row r="564" spans="1:12" ht="15" customHeight="1" x14ac:dyDescent="0.3">
      <c r="A564" s="21">
        <v>8</v>
      </c>
      <c r="B564" s="25">
        <v>45895</v>
      </c>
      <c r="C564" s="29" t="s">
        <v>767</v>
      </c>
      <c r="D564" s="36">
        <v>1</v>
      </c>
      <c r="E564" s="41" t="s">
        <v>768</v>
      </c>
      <c r="F564" s="42">
        <v>69.63</v>
      </c>
      <c r="G564" s="9">
        <v>69.63</v>
      </c>
      <c r="H564" s="45">
        <v>234</v>
      </c>
      <c r="I564" s="9">
        <v>234</v>
      </c>
      <c r="J564" s="48" t="s">
        <v>338</v>
      </c>
      <c r="K564" s="43">
        <v>164.37</v>
      </c>
      <c r="L564" s="45" t="s">
        <v>15</v>
      </c>
    </row>
    <row r="565" spans="1:12" ht="15" customHeight="1" x14ac:dyDescent="0.3">
      <c r="A565" s="21">
        <v>8</v>
      </c>
      <c r="B565" s="25">
        <v>45896</v>
      </c>
      <c r="C565" s="29" t="s">
        <v>769</v>
      </c>
      <c r="D565" s="36">
        <v>1</v>
      </c>
      <c r="E565" s="41" t="s">
        <v>20</v>
      </c>
      <c r="F565" s="42">
        <v>250</v>
      </c>
      <c r="G565" s="9">
        <v>250</v>
      </c>
      <c r="H565" s="45">
        <v>600</v>
      </c>
      <c r="I565" s="9">
        <v>600</v>
      </c>
      <c r="J565" s="48" t="s">
        <v>338</v>
      </c>
      <c r="K565" s="43">
        <v>350</v>
      </c>
      <c r="L565" s="45" t="s">
        <v>15</v>
      </c>
    </row>
    <row r="566" spans="1:12" ht="15" customHeight="1" x14ac:dyDescent="0.3">
      <c r="A566" s="21">
        <v>8</v>
      </c>
      <c r="B566" s="25">
        <v>45897</v>
      </c>
      <c r="C566" s="29" t="s">
        <v>313</v>
      </c>
      <c r="D566" s="36">
        <v>1</v>
      </c>
      <c r="E566" s="41" t="s">
        <v>20</v>
      </c>
      <c r="F566" s="42">
        <v>3</v>
      </c>
      <c r="G566" s="9">
        <v>3</v>
      </c>
      <c r="H566" s="45">
        <v>10</v>
      </c>
      <c r="I566" s="9">
        <v>10</v>
      </c>
      <c r="J566" s="48" t="s">
        <v>338</v>
      </c>
      <c r="K566" s="43">
        <v>7</v>
      </c>
      <c r="L566" s="45" t="s">
        <v>15</v>
      </c>
    </row>
    <row r="567" spans="1:12" ht="15" customHeight="1" x14ac:dyDescent="0.3">
      <c r="A567" s="58">
        <v>8</v>
      </c>
      <c r="B567" s="61">
        <v>45897</v>
      </c>
      <c r="C567" s="64" t="s">
        <v>756</v>
      </c>
      <c r="D567" s="69">
        <v>5</v>
      </c>
      <c r="E567" s="72" t="s">
        <v>20</v>
      </c>
      <c r="F567" s="75">
        <v>2.5</v>
      </c>
      <c r="G567" s="9">
        <v>12.5</v>
      </c>
      <c r="H567" s="77">
        <v>5</v>
      </c>
      <c r="I567" s="54">
        <v>25</v>
      </c>
      <c r="J567" s="48" t="s">
        <v>338</v>
      </c>
      <c r="K567" s="43">
        <v>12.5</v>
      </c>
      <c r="L567" s="77" t="s">
        <v>15</v>
      </c>
    </row>
    <row r="568" spans="1:12" ht="15" customHeight="1" x14ac:dyDescent="0.3">
      <c r="A568" s="21">
        <v>8</v>
      </c>
      <c r="B568" s="25">
        <v>45897</v>
      </c>
      <c r="C568" s="29" t="s">
        <v>754</v>
      </c>
      <c r="D568" s="36">
        <v>2</v>
      </c>
      <c r="E568" s="41" t="s">
        <v>20</v>
      </c>
      <c r="F568" s="42">
        <v>2.4166666666666665</v>
      </c>
      <c r="G568" s="9">
        <v>4.833333333333333</v>
      </c>
      <c r="H568" s="45">
        <v>5</v>
      </c>
      <c r="I568" s="9">
        <v>10</v>
      </c>
      <c r="J568" s="48" t="s">
        <v>338</v>
      </c>
      <c r="K568" s="43">
        <v>5.166666666666667</v>
      </c>
      <c r="L568" s="45" t="s">
        <v>15</v>
      </c>
    </row>
    <row r="569" spans="1:12" ht="15" customHeight="1" x14ac:dyDescent="0.3">
      <c r="A569" s="21">
        <v>8</v>
      </c>
      <c r="B569" s="25">
        <v>45897</v>
      </c>
      <c r="C569" s="29" t="s">
        <v>770</v>
      </c>
      <c r="D569" s="36">
        <v>1</v>
      </c>
      <c r="E569" s="41" t="s">
        <v>20</v>
      </c>
      <c r="F569" s="42">
        <v>10</v>
      </c>
      <c r="G569" s="9">
        <v>10</v>
      </c>
      <c r="H569" s="45">
        <v>15</v>
      </c>
      <c r="I569" s="9">
        <v>15</v>
      </c>
      <c r="J569" s="48" t="s">
        <v>338</v>
      </c>
      <c r="K569" s="43">
        <v>5</v>
      </c>
      <c r="L569" s="45" t="s">
        <v>15</v>
      </c>
    </row>
    <row r="570" spans="1:12" ht="15" customHeight="1" x14ac:dyDescent="0.3">
      <c r="A570" s="21">
        <v>8</v>
      </c>
      <c r="B570" s="25">
        <v>45898</v>
      </c>
      <c r="C570" s="29" t="s">
        <v>315</v>
      </c>
      <c r="D570" s="36">
        <v>1</v>
      </c>
      <c r="E570" s="41" t="s">
        <v>20</v>
      </c>
      <c r="F570" s="42">
        <v>7.0000000000000007E-2</v>
      </c>
      <c r="G570" s="9">
        <v>7.0000000000000007E-2</v>
      </c>
      <c r="H570" s="45">
        <v>1</v>
      </c>
      <c r="I570" s="9">
        <v>1</v>
      </c>
      <c r="J570" s="48" t="s">
        <v>338</v>
      </c>
      <c r="K570" s="43">
        <v>0.92999999999999994</v>
      </c>
      <c r="L570" s="45" t="s">
        <v>15</v>
      </c>
    </row>
    <row r="571" spans="1:12" ht="15" customHeight="1" x14ac:dyDescent="0.3">
      <c r="A571" s="21">
        <v>8</v>
      </c>
      <c r="B571" s="25">
        <v>45898</v>
      </c>
      <c r="C571" s="29" t="s">
        <v>771</v>
      </c>
      <c r="D571" s="36">
        <v>3</v>
      </c>
      <c r="E571" s="41" t="s">
        <v>20</v>
      </c>
      <c r="F571" s="42">
        <v>0.4</v>
      </c>
      <c r="G571" s="9">
        <v>1.2000000000000002</v>
      </c>
      <c r="H571" s="45">
        <v>2</v>
      </c>
      <c r="I571" s="9">
        <v>6</v>
      </c>
      <c r="J571" s="48" t="s">
        <v>338</v>
      </c>
      <c r="K571" s="43">
        <v>4.8</v>
      </c>
      <c r="L571" s="45" t="s">
        <v>15</v>
      </c>
    </row>
    <row r="572" spans="1:12" ht="15" customHeight="1" x14ac:dyDescent="0.3">
      <c r="A572" s="21">
        <v>8</v>
      </c>
      <c r="B572" s="25">
        <v>45898</v>
      </c>
      <c r="C572" s="29" t="s">
        <v>346</v>
      </c>
      <c r="D572" s="36">
        <v>1</v>
      </c>
      <c r="E572" s="41" t="s">
        <v>746</v>
      </c>
      <c r="F572" s="42">
        <v>3.5</v>
      </c>
      <c r="G572" s="9">
        <v>3.5</v>
      </c>
      <c r="H572" s="45">
        <v>10</v>
      </c>
      <c r="I572" s="9">
        <v>10</v>
      </c>
      <c r="J572" s="48" t="s">
        <v>338</v>
      </c>
      <c r="K572" s="43">
        <v>6.5</v>
      </c>
      <c r="L572" s="45" t="s">
        <v>15</v>
      </c>
    </row>
    <row r="573" spans="1:12" ht="15" customHeight="1" x14ac:dyDescent="0.3">
      <c r="A573" s="21">
        <v>8</v>
      </c>
      <c r="B573" s="25">
        <v>45899</v>
      </c>
      <c r="C573" s="29" t="s">
        <v>715</v>
      </c>
      <c r="D573" s="36">
        <v>4</v>
      </c>
      <c r="E573" s="41" t="s">
        <v>20</v>
      </c>
      <c r="F573" s="42">
        <v>7.5</v>
      </c>
      <c r="G573" s="9">
        <v>30</v>
      </c>
      <c r="H573" s="45">
        <v>10</v>
      </c>
      <c r="I573" s="9">
        <v>40</v>
      </c>
      <c r="J573" s="48" t="s">
        <v>338</v>
      </c>
      <c r="K573" s="43">
        <v>10</v>
      </c>
      <c r="L573" s="45" t="s">
        <v>15</v>
      </c>
    </row>
    <row r="574" spans="1:12" ht="15" customHeight="1" x14ac:dyDescent="0.3">
      <c r="A574" s="58">
        <v>8</v>
      </c>
      <c r="B574" s="61">
        <v>45899</v>
      </c>
      <c r="C574" s="64" t="s">
        <v>761</v>
      </c>
      <c r="D574" s="69">
        <v>2</v>
      </c>
      <c r="E574" s="72" t="s">
        <v>20</v>
      </c>
      <c r="F574" s="75">
        <v>10</v>
      </c>
      <c r="G574" s="9">
        <v>20</v>
      </c>
      <c r="H574" s="77">
        <v>15</v>
      </c>
      <c r="I574" s="54">
        <v>30</v>
      </c>
      <c r="J574" s="48" t="s">
        <v>338</v>
      </c>
      <c r="K574" s="43">
        <v>10</v>
      </c>
      <c r="L574" s="77" t="s">
        <v>15</v>
      </c>
    </row>
    <row r="575" spans="1:12" ht="15" customHeight="1" x14ac:dyDescent="0.3">
      <c r="A575" s="21">
        <v>9</v>
      </c>
      <c r="B575" s="25">
        <v>45901</v>
      </c>
      <c r="C575" s="29" t="s">
        <v>315</v>
      </c>
      <c r="D575" s="36">
        <v>1</v>
      </c>
      <c r="E575" s="41" t="s">
        <v>20</v>
      </c>
      <c r="F575" s="42">
        <v>7.0000000000000007E-2</v>
      </c>
      <c r="G575" s="9">
        <v>7.0000000000000007E-2</v>
      </c>
      <c r="H575" s="45">
        <v>1</v>
      </c>
      <c r="I575" s="9">
        <v>1</v>
      </c>
      <c r="J575" s="48" t="s">
        <v>338</v>
      </c>
      <c r="K575" s="43">
        <v>0.92999999999999994</v>
      </c>
      <c r="L575" s="45" t="s">
        <v>15</v>
      </c>
    </row>
    <row r="576" spans="1:12" ht="15" customHeight="1" x14ac:dyDescent="0.3">
      <c r="A576" s="21">
        <v>9</v>
      </c>
      <c r="B576" s="25">
        <v>45901</v>
      </c>
      <c r="C576" s="29" t="s">
        <v>715</v>
      </c>
      <c r="D576" s="36">
        <v>2</v>
      </c>
      <c r="E576" s="41" t="s">
        <v>20</v>
      </c>
      <c r="F576" s="42">
        <v>5</v>
      </c>
      <c r="G576" s="9">
        <v>10</v>
      </c>
      <c r="H576" s="45">
        <v>10</v>
      </c>
      <c r="I576" s="9">
        <v>20</v>
      </c>
      <c r="J576" s="48" t="s">
        <v>338</v>
      </c>
      <c r="K576" s="43">
        <v>10</v>
      </c>
      <c r="L576" s="45" t="s">
        <v>15</v>
      </c>
    </row>
    <row r="577" spans="1:12" ht="15" customHeight="1" x14ac:dyDescent="0.3">
      <c r="A577" s="21">
        <v>9</v>
      </c>
      <c r="B577" s="25">
        <v>45902</v>
      </c>
      <c r="C577" s="29" t="s">
        <v>772</v>
      </c>
      <c r="D577" s="36">
        <v>1</v>
      </c>
      <c r="E577" s="41" t="s">
        <v>773</v>
      </c>
      <c r="F577" s="42">
        <v>2.5</v>
      </c>
      <c r="G577" s="9">
        <v>2.5</v>
      </c>
      <c r="H577" s="45">
        <v>5</v>
      </c>
      <c r="I577" s="9">
        <v>5</v>
      </c>
      <c r="J577" s="48" t="s">
        <v>338</v>
      </c>
      <c r="K577" s="43">
        <v>2.5</v>
      </c>
      <c r="L577" s="45" t="s">
        <v>15</v>
      </c>
    </row>
    <row r="578" spans="1:12" ht="15" customHeight="1" x14ac:dyDescent="0.3">
      <c r="A578" s="58">
        <v>9</v>
      </c>
      <c r="B578" s="61">
        <v>45903</v>
      </c>
      <c r="C578" s="64" t="s">
        <v>774</v>
      </c>
      <c r="D578" s="69">
        <v>1</v>
      </c>
      <c r="E578" s="72" t="s">
        <v>20</v>
      </c>
      <c r="F578" s="75">
        <v>6</v>
      </c>
      <c r="G578" s="9">
        <v>6</v>
      </c>
      <c r="H578" s="77">
        <v>20</v>
      </c>
      <c r="I578" s="54">
        <v>20</v>
      </c>
      <c r="J578" s="48" t="s">
        <v>338</v>
      </c>
      <c r="K578" s="43">
        <v>14</v>
      </c>
      <c r="L578" s="77" t="s">
        <v>15</v>
      </c>
    </row>
    <row r="579" spans="1:12" ht="15" customHeight="1" x14ac:dyDescent="0.3">
      <c r="A579" s="21">
        <v>9</v>
      </c>
      <c r="B579" s="25">
        <v>45903</v>
      </c>
      <c r="C579" s="29" t="s">
        <v>775</v>
      </c>
      <c r="D579" s="36">
        <v>1</v>
      </c>
      <c r="E579" s="41" t="s">
        <v>20</v>
      </c>
      <c r="F579" s="42">
        <v>5</v>
      </c>
      <c r="G579" s="9">
        <v>5</v>
      </c>
      <c r="H579" s="45">
        <v>10</v>
      </c>
      <c r="I579" s="9">
        <v>10</v>
      </c>
      <c r="J579" s="48" t="s">
        <v>338</v>
      </c>
      <c r="K579" s="43">
        <v>5</v>
      </c>
      <c r="L579" s="45" t="s">
        <v>15</v>
      </c>
    </row>
    <row r="580" spans="1:12" ht="15" customHeight="1" x14ac:dyDescent="0.3">
      <c r="A580" s="21">
        <v>9</v>
      </c>
      <c r="B580" s="25">
        <v>45904</v>
      </c>
      <c r="C580" s="29" t="s">
        <v>776</v>
      </c>
      <c r="D580" s="36">
        <v>1</v>
      </c>
      <c r="E580" s="41" t="s">
        <v>20</v>
      </c>
      <c r="F580" s="42">
        <v>7</v>
      </c>
      <c r="G580" s="9">
        <v>7</v>
      </c>
      <c r="H580" s="45">
        <v>15</v>
      </c>
      <c r="I580" s="9">
        <v>15</v>
      </c>
      <c r="J580" s="48" t="s">
        <v>338</v>
      </c>
      <c r="K580" s="43">
        <v>8</v>
      </c>
      <c r="L580" s="45" t="s">
        <v>15</v>
      </c>
    </row>
    <row r="581" spans="1:12" ht="15" customHeight="1" x14ac:dyDescent="0.3">
      <c r="A581" s="21">
        <v>9</v>
      </c>
      <c r="B581" s="25">
        <v>45904</v>
      </c>
      <c r="C581" s="29" t="s">
        <v>315</v>
      </c>
      <c r="D581" s="36">
        <v>1</v>
      </c>
      <c r="E581" s="41" t="s">
        <v>739</v>
      </c>
      <c r="F581" s="42">
        <v>7.0000000000000007E-2</v>
      </c>
      <c r="G581" s="9">
        <v>7.0000000000000007E-2</v>
      </c>
      <c r="H581" s="45">
        <v>5</v>
      </c>
      <c r="I581" s="9">
        <v>5</v>
      </c>
      <c r="J581" s="48" t="s">
        <v>338</v>
      </c>
      <c r="K581" s="43">
        <v>4.93</v>
      </c>
      <c r="L581" s="45" t="s">
        <v>15</v>
      </c>
    </row>
    <row r="582" spans="1:12" ht="15" customHeight="1" x14ac:dyDescent="0.3">
      <c r="A582" s="21">
        <v>9</v>
      </c>
      <c r="B582" s="25">
        <v>45905</v>
      </c>
      <c r="C582" s="29" t="s">
        <v>715</v>
      </c>
      <c r="D582" s="36">
        <v>1</v>
      </c>
      <c r="E582" s="41" t="s">
        <v>20</v>
      </c>
      <c r="F582" s="42">
        <v>7.5</v>
      </c>
      <c r="G582" s="9">
        <v>7.5</v>
      </c>
      <c r="H582" s="45">
        <v>10</v>
      </c>
      <c r="I582" s="9">
        <v>10</v>
      </c>
      <c r="J582" s="48" t="s">
        <v>338</v>
      </c>
      <c r="K582" s="43">
        <v>2.5</v>
      </c>
      <c r="L582" s="45" t="s">
        <v>15</v>
      </c>
    </row>
    <row r="583" spans="1:12" ht="15" customHeight="1" x14ac:dyDescent="0.3">
      <c r="A583" s="21">
        <v>9</v>
      </c>
      <c r="B583" s="25">
        <v>45905</v>
      </c>
      <c r="C583" s="29" t="s">
        <v>552</v>
      </c>
      <c r="D583" s="36">
        <v>1</v>
      </c>
      <c r="E583" s="41" t="s">
        <v>20</v>
      </c>
      <c r="F583" s="42">
        <v>18.5</v>
      </c>
      <c r="G583" s="9">
        <v>18.5</v>
      </c>
      <c r="H583" s="45">
        <v>30</v>
      </c>
      <c r="I583" s="9">
        <v>30</v>
      </c>
      <c r="J583" s="48" t="s">
        <v>338</v>
      </c>
      <c r="K583" s="43">
        <v>11.5</v>
      </c>
      <c r="L583" s="45" t="s">
        <v>15</v>
      </c>
    </row>
    <row r="584" spans="1:12" ht="15" customHeight="1" x14ac:dyDescent="0.3">
      <c r="A584" s="21">
        <v>9</v>
      </c>
      <c r="B584" s="25">
        <v>45906</v>
      </c>
      <c r="C584" s="29" t="s">
        <v>715</v>
      </c>
      <c r="D584" s="36">
        <v>2</v>
      </c>
      <c r="E584" s="41" t="s">
        <v>20</v>
      </c>
      <c r="F584" s="42">
        <v>7.5</v>
      </c>
      <c r="G584" s="9">
        <v>15</v>
      </c>
      <c r="H584" s="45">
        <v>10</v>
      </c>
      <c r="I584" s="9">
        <v>20</v>
      </c>
      <c r="J584" s="48" t="s">
        <v>338</v>
      </c>
      <c r="K584" s="43">
        <v>5</v>
      </c>
      <c r="L584" s="45" t="s">
        <v>15</v>
      </c>
    </row>
    <row r="585" spans="1:12" ht="15" customHeight="1" x14ac:dyDescent="0.3">
      <c r="A585" s="58">
        <v>9</v>
      </c>
      <c r="B585" s="61">
        <v>45906</v>
      </c>
      <c r="C585" s="64" t="s">
        <v>777</v>
      </c>
      <c r="D585" s="69">
        <v>1</v>
      </c>
      <c r="E585" s="72" t="s">
        <v>20</v>
      </c>
      <c r="F585" s="75">
        <v>1</v>
      </c>
      <c r="G585" s="9">
        <v>1</v>
      </c>
      <c r="H585" s="77">
        <v>2</v>
      </c>
      <c r="I585" s="54">
        <v>2</v>
      </c>
      <c r="J585" s="48" t="s">
        <v>338</v>
      </c>
      <c r="K585" s="43">
        <v>1</v>
      </c>
      <c r="L585" s="77" t="s">
        <v>15</v>
      </c>
    </row>
    <row r="586" spans="1:12" ht="15" customHeight="1" x14ac:dyDescent="0.3">
      <c r="A586" s="21">
        <v>9</v>
      </c>
      <c r="B586" s="25">
        <v>45906</v>
      </c>
      <c r="C586" s="29" t="s">
        <v>193</v>
      </c>
      <c r="D586" s="36">
        <v>1</v>
      </c>
      <c r="E586" s="41" t="s">
        <v>20</v>
      </c>
      <c r="F586" s="42">
        <v>0</v>
      </c>
      <c r="G586" s="9">
        <v>0</v>
      </c>
      <c r="H586" s="45">
        <v>50</v>
      </c>
      <c r="I586" s="9">
        <v>50</v>
      </c>
      <c r="J586" s="48" t="s">
        <v>338</v>
      </c>
      <c r="K586" s="43">
        <v>50</v>
      </c>
      <c r="L586" s="45" t="s">
        <v>15</v>
      </c>
    </row>
    <row r="587" spans="1:12" ht="15" customHeight="1" x14ac:dyDescent="0.3">
      <c r="A587" s="21">
        <v>9</v>
      </c>
      <c r="B587" s="25">
        <v>45906</v>
      </c>
      <c r="C587" s="29" t="s">
        <v>778</v>
      </c>
      <c r="D587" s="36">
        <v>1</v>
      </c>
      <c r="E587" s="41" t="s">
        <v>20</v>
      </c>
      <c r="F587" s="42">
        <v>38</v>
      </c>
      <c r="G587" s="9">
        <v>38</v>
      </c>
      <c r="H587" s="45">
        <v>70</v>
      </c>
      <c r="I587" s="9">
        <v>70</v>
      </c>
      <c r="J587" s="48" t="s">
        <v>338</v>
      </c>
      <c r="K587" s="43">
        <v>32</v>
      </c>
      <c r="L587" s="45" t="s">
        <v>15</v>
      </c>
    </row>
    <row r="588" spans="1:12" ht="15" customHeight="1" x14ac:dyDescent="0.3">
      <c r="A588" s="21">
        <v>9</v>
      </c>
      <c r="B588" s="25">
        <v>45906</v>
      </c>
      <c r="C588" s="29" t="s">
        <v>193</v>
      </c>
      <c r="D588" s="36">
        <v>1</v>
      </c>
      <c r="E588" s="41" t="s">
        <v>20</v>
      </c>
      <c r="F588" s="42">
        <v>0</v>
      </c>
      <c r="G588" s="9">
        <v>0</v>
      </c>
      <c r="H588" s="45">
        <v>50</v>
      </c>
      <c r="I588" s="9">
        <v>50</v>
      </c>
      <c r="J588" s="48" t="s">
        <v>338</v>
      </c>
      <c r="K588" s="43">
        <v>50</v>
      </c>
      <c r="L588" s="45" t="s">
        <v>15</v>
      </c>
    </row>
    <row r="589" spans="1:12" ht="15" customHeight="1" x14ac:dyDescent="0.3">
      <c r="A589" s="21">
        <v>9</v>
      </c>
      <c r="B589" s="25">
        <v>45906</v>
      </c>
      <c r="C589" s="29" t="s">
        <v>779</v>
      </c>
      <c r="D589" s="36">
        <v>1</v>
      </c>
      <c r="E589" s="41" t="s">
        <v>20</v>
      </c>
      <c r="F589" s="42">
        <v>104</v>
      </c>
      <c r="G589" s="9">
        <v>104</v>
      </c>
      <c r="H589" s="45">
        <v>200</v>
      </c>
      <c r="I589" s="9">
        <v>200</v>
      </c>
      <c r="J589" s="48" t="s">
        <v>338</v>
      </c>
      <c r="K589" s="43">
        <v>96</v>
      </c>
      <c r="L589" s="45" t="s">
        <v>15</v>
      </c>
    </row>
    <row r="590" spans="1:12" ht="15" customHeight="1" x14ac:dyDescent="0.3">
      <c r="A590" s="21">
        <v>9</v>
      </c>
      <c r="B590" s="25">
        <v>45906</v>
      </c>
      <c r="C590" s="29" t="s">
        <v>780</v>
      </c>
      <c r="D590" s="36">
        <v>1</v>
      </c>
      <c r="E590" s="41" t="s">
        <v>20</v>
      </c>
      <c r="F590" s="42">
        <v>10</v>
      </c>
      <c r="G590" s="9">
        <v>10</v>
      </c>
      <c r="H590" s="45">
        <v>30</v>
      </c>
      <c r="I590" s="9">
        <v>30</v>
      </c>
      <c r="J590" s="48" t="s">
        <v>338</v>
      </c>
      <c r="K590" s="43">
        <v>20</v>
      </c>
      <c r="L590" s="45" t="s">
        <v>15</v>
      </c>
    </row>
    <row r="591" spans="1:12" ht="15" customHeight="1" x14ac:dyDescent="0.3">
      <c r="A591" s="21">
        <v>9</v>
      </c>
      <c r="B591" s="25">
        <v>45906</v>
      </c>
      <c r="C591" s="29" t="s">
        <v>731</v>
      </c>
      <c r="D591" s="36">
        <v>1</v>
      </c>
      <c r="E591" s="41" t="s">
        <v>762</v>
      </c>
      <c r="F591" s="42">
        <v>16</v>
      </c>
      <c r="G591" s="9">
        <v>16</v>
      </c>
      <c r="H591" s="45">
        <v>20</v>
      </c>
      <c r="I591" s="9">
        <v>20</v>
      </c>
      <c r="J591" s="48" t="s">
        <v>338</v>
      </c>
      <c r="K591" s="43">
        <v>4</v>
      </c>
      <c r="L591" s="45" t="s">
        <v>15</v>
      </c>
    </row>
    <row r="592" spans="1:12" ht="15" customHeight="1" x14ac:dyDescent="0.3">
      <c r="A592" s="58">
        <v>9</v>
      </c>
      <c r="B592" s="61">
        <v>45908</v>
      </c>
      <c r="C592" s="64" t="s">
        <v>313</v>
      </c>
      <c r="D592" s="69">
        <v>2</v>
      </c>
      <c r="E592" s="72" t="s">
        <v>648</v>
      </c>
      <c r="F592" s="75">
        <v>3</v>
      </c>
      <c r="G592" s="9">
        <v>6</v>
      </c>
      <c r="H592" s="77">
        <v>10</v>
      </c>
      <c r="I592" s="54">
        <v>20</v>
      </c>
      <c r="J592" s="48" t="s">
        <v>338</v>
      </c>
      <c r="K592" s="43">
        <v>14</v>
      </c>
      <c r="L592" s="77" t="s">
        <v>15</v>
      </c>
    </row>
    <row r="593" spans="1:12" ht="15" customHeight="1" x14ac:dyDescent="0.3">
      <c r="A593" s="21">
        <v>9</v>
      </c>
      <c r="B593" s="25">
        <v>45909</v>
      </c>
      <c r="C593" s="29" t="s">
        <v>315</v>
      </c>
      <c r="D593" s="36">
        <v>2</v>
      </c>
      <c r="E593" s="41" t="s">
        <v>20</v>
      </c>
      <c r="F593" s="42">
        <v>7.0000000000000007E-2</v>
      </c>
      <c r="G593" s="9">
        <v>0.14000000000000001</v>
      </c>
      <c r="H593" s="45">
        <v>1</v>
      </c>
      <c r="I593" s="9">
        <v>2</v>
      </c>
      <c r="J593" s="48" t="s">
        <v>338</v>
      </c>
      <c r="K593" s="43">
        <v>1.8599999999999999</v>
      </c>
      <c r="L593" s="45" t="s">
        <v>15</v>
      </c>
    </row>
    <row r="594" spans="1:12" ht="15" customHeight="1" x14ac:dyDescent="0.3">
      <c r="A594" s="21">
        <v>9</v>
      </c>
      <c r="B594" s="25">
        <v>45909</v>
      </c>
      <c r="C594" s="29" t="s">
        <v>728</v>
      </c>
      <c r="D594" s="36">
        <v>1</v>
      </c>
      <c r="E594" s="41" t="s">
        <v>20</v>
      </c>
      <c r="F594" s="42">
        <v>0.4</v>
      </c>
      <c r="G594" s="9">
        <v>0.4</v>
      </c>
      <c r="H594" s="45">
        <v>2</v>
      </c>
      <c r="I594" s="9">
        <v>2</v>
      </c>
      <c r="J594" s="48" t="s">
        <v>338</v>
      </c>
      <c r="K594" s="43">
        <v>1.6</v>
      </c>
      <c r="L594" s="45" t="s">
        <v>15</v>
      </c>
    </row>
    <row r="595" spans="1:12" ht="15" customHeight="1" x14ac:dyDescent="0.3">
      <c r="A595" s="21">
        <v>9</v>
      </c>
      <c r="B595" s="25">
        <v>45910</v>
      </c>
      <c r="C595" s="29" t="s">
        <v>781</v>
      </c>
      <c r="D595" s="36">
        <v>1</v>
      </c>
      <c r="E595" s="41" t="s">
        <v>20</v>
      </c>
      <c r="F595" s="42">
        <v>12</v>
      </c>
      <c r="G595" s="9">
        <v>12</v>
      </c>
      <c r="H595" s="45">
        <v>25</v>
      </c>
      <c r="I595" s="9">
        <v>25</v>
      </c>
      <c r="J595" s="48" t="s">
        <v>338</v>
      </c>
      <c r="K595" s="43">
        <v>13</v>
      </c>
      <c r="L595" s="45" t="s">
        <v>15</v>
      </c>
    </row>
    <row r="596" spans="1:12" ht="15" customHeight="1" x14ac:dyDescent="0.3">
      <c r="A596" s="21">
        <v>9</v>
      </c>
      <c r="B596" s="25">
        <v>45910</v>
      </c>
      <c r="C596" s="29" t="s">
        <v>431</v>
      </c>
      <c r="D596" s="36">
        <v>1</v>
      </c>
      <c r="E596" s="41" t="s">
        <v>20</v>
      </c>
      <c r="F596" s="42">
        <v>0</v>
      </c>
      <c r="G596" s="9">
        <v>0</v>
      </c>
      <c r="H596" s="45">
        <v>10</v>
      </c>
      <c r="I596" s="9">
        <v>10</v>
      </c>
      <c r="J596" s="48" t="s">
        <v>338</v>
      </c>
      <c r="K596" s="43">
        <v>10</v>
      </c>
      <c r="L596" s="45" t="s">
        <v>15</v>
      </c>
    </row>
    <row r="597" spans="1:12" ht="15" customHeight="1" x14ac:dyDescent="0.3">
      <c r="A597" s="21">
        <v>9</v>
      </c>
      <c r="B597" s="25">
        <v>45910</v>
      </c>
      <c r="C597" s="29" t="s">
        <v>729</v>
      </c>
      <c r="D597" s="36">
        <v>1</v>
      </c>
      <c r="E597" s="41" t="s">
        <v>20</v>
      </c>
      <c r="F597" s="42">
        <v>2.5</v>
      </c>
      <c r="G597" s="9">
        <v>2.5</v>
      </c>
      <c r="H597" s="45">
        <v>5</v>
      </c>
      <c r="I597" s="9">
        <v>5</v>
      </c>
      <c r="J597" s="48" t="s">
        <v>338</v>
      </c>
      <c r="K597" s="43">
        <v>2.5</v>
      </c>
      <c r="L597" s="45" t="s">
        <v>15</v>
      </c>
    </row>
    <row r="598" spans="1:12" ht="15" customHeight="1" x14ac:dyDescent="0.3">
      <c r="A598" s="21">
        <v>9</v>
      </c>
      <c r="B598" s="25">
        <v>45911</v>
      </c>
      <c r="C598" s="29" t="s">
        <v>782</v>
      </c>
      <c r="D598" s="36">
        <v>1</v>
      </c>
      <c r="E598" s="41" t="s">
        <v>20</v>
      </c>
      <c r="F598" s="42">
        <v>15</v>
      </c>
      <c r="G598" s="9">
        <v>15</v>
      </c>
      <c r="H598" s="45">
        <v>30</v>
      </c>
      <c r="I598" s="9">
        <v>30</v>
      </c>
      <c r="J598" s="48" t="s">
        <v>338</v>
      </c>
      <c r="K598" s="43">
        <v>15</v>
      </c>
      <c r="L598" s="45" t="s">
        <v>15</v>
      </c>
    </row>
    <row r="599" spans="1:12" ht="15" customHeight="1" x14ac:dyDescent="0.3">
      <c r="A599" s="58">
        <v>9</v>
      </c>
      <c r="B599" s="61">
        <v>45911</v>
      </c>
      <c r="C599" s="64" t="s">
        <v>783</v>
      </c>
      <c r="D599" s="69">
        <v>1</v>
      </c>
      <c r="E599" s="72" t="s">
        <v>20</v>
      </c>
      <c r="F599" s="75">
        <v>5</v>
      </c>
      <c r="G599" s="9">
        <v>5</v>
      </c>
      <c r="H599" s="77">
        <v>15</v>
      </c>
      <c r="I599" s="54">
        <v>15</v>
      </c>
      <c r="J599" s="48" t="s">
        <v>338</v>
      </c>
      <c r="K599" s="43">
        <v>10</v>
      </c>
      <c r="L599" s="77" t="s">
        <v>15</v>
      </c>
    </row>
    <row r="600" spans="1:12" ht="15" customHeight="1" x14ac:dyDescent="0.3">
      <c r="A600" s="21">
        <v>9</v>
      </c>
      <c r="B600" s="25">
        <v>45913</v>
      </c>
      <c r="C600" s="29" t="s">
        <v>715</v>
      </c>
      <c r="D600" s="36">
        <v>4</v>
      </c>
      <c r="E600" s="41" t="s">
        <v>20</v>
      </c>
      <c r="F600" s="42">
        <v>7.5</v>
      </c>
      <c r="G600" s="9">
        <v>30</v>
      </c>
      <c r="H600" s="45">
        <v>10</v>
      </c>
      <c r="I600" s="9">
        <v>40</v>
      </c>
      <c r="J600" s="48" t="s">
        <v>338</v>
      </c>
      <c r="K600" s="43">
        <v>10</v>
      </c>
      <c r="L600" s="45" t="s">
        <v>15</v>
      </c>
    </row>
    <row r="601" spans="1:12" ht="15" customHeight="1" x14ac:dyDescent="0.3">
      <c r="A601" s="21">
        <v>9</v>
      </c>
      <c r="B601" s="25">
        <v>45915</v>
      </c>
      <c r="C601" s="29" t="s">
        <v>784</v>
      </c>
      <c r="D601" s="36">
        <v>1</v>
      </c>
      <c r="E601" s="41" t="s">
        <v>20</v>
      </c>
      <c r="F601" s="42">
        <v>5</v>
      </c>
      <c r="G601" s="9">
        <v>5</v>
      </c>
      <c r="H601" s="45">
        <v>10</v>
      </c>
      <c r="I601" s="9">
        <v>10</v>
      </c>
      <c r="J601" s="48" t="s">
        <v>338</v>
      </c>
      <c r="K601" s="43">
        <v>5</v>
      </c>
      <c r="L601" s="45" t="s">
        <v>15</v>
      </c>
    </row>
    <row r="602" spans="1:12" ht="15" customHeight="1" x14ac:dyDescent="0.3">
      <c r="A602" s="21">
        <v>9</v>
      </c>
      <c r="B602" s="25">
        <v>45917</v>
      </c>
      <c r="C602" s="29" t="s">
        <v>785</v>
      </c>
      <c r="D602" s="36">
        <v>1</v>
      </c>
      <c r="E602" s="41" t="s">
        <v>20</v>
      </c>
      <c r="F602" s="42">
        <v>9</v>
      </c>
      <c r="G602" s="9">
        <v>9</v>
      </c>
      <c r="H602" s="45">
        <v>30</v>
      </c>
      <c r="I602" s="9">
        <v>30</v>
      </c>
      <c r="J602" s="48" t="s">
        <v>338</v>
      </c>
      <c r="K602" s="43">
        <v>21</v>
      </c>
      <c r="L602" s="45" t="s">
        <v>15</v>
      </c>
    </row>
    <row r="603" spans="1:12" ht="15" customHeight="1" x14ac:dyDescent="0.3">
      <c r="A603" s="21">
        <v>9</v>
      </c>
      <c r="B603" s="25">
        <v>45917</v>
      </c>
      <c r="C603" s="29" t="s">
        <v>193</v>
      </c>
      <c r="D603" s="36">
        <v>1</v>
      </c>
      <c r="E603" s="41" t="s">
        <v>20</v>
      </c>
      <c r="F603" s="42">
        <v>0</v>
      </c>
      <c r="G603" s="9">
        <v>0</v>
      </c>
      <c r="H603" s="45">
        <v>50</v>
      </c>
      <c r="I603" s="9">
        <v>50</v>
      </c>
      <c r="J603" s="48" t="s">
        <v>338</v>
      </c>
      <c r="K603" s="43">
        <v>50</v>
      </c>
      <c r="L603" s="45" t="s">
        <v>15</v>
      </c>
    </row>
    <row r="604" spans="1:12" ht="15" customHeight="1" x14ac:dyDescent="0.3">
      <c r="A604" s="21">
        <v>9</v>
      </c>
      <c r="B604" s="25">
        <v>45917</v>
      </c>
      <c r="C604" s="29" t="s">
        <v>744</v>
      </c>
      <c r="D604" s="36">
        <v>1</v>
      </c>
      <c r="E604" s="41" t="s">
        <v>786</v>
      </c>
      <c r="F604" s="42">
        <v>23</v>
      </c>
      <c r="G604" s="9">
        <v>23</v>
      </c>
      <c r="H604" s="45">
        <v>35</v>
      </c>
      <c r="I604" s="9">
        <v>35</v>
      </c>
      <c r="J604" s="48" t="s">
        <v>338</v>
      </c>
      <c r="K604" s="43">
        <v>12</v>
      </c>
      <c r="L604" s="45" t="s">
        <v>15</v>
      </c>
    </row>
    <row r="605" spans="1:12" ht="15" customHeight="1" x14ac:dyDescent="0.3">
      <c r="A605" s="21">
        <v>9</v>
      </c>
      <c r="B605" s="25">
        <v>45918</v>
      </c>
      <c r="C605" s="29" t="s">
        <v>552</v>
      </c>
      <c r="D605" s="36">
        <v>1</v>
      </c>
      <c r="E605" s="41" t="s">
        <v>20</v>
      </c>
      <c r="F605" s="42">
        <v>18.5</v>
      </c>
      <c r="G605" s="9">
        <v>18.5</v>
      </c>
      <c r="H605" s="45">
        <v>30</v>
      </c>
      <c r="I605" s="9">
        <v>30</v>
      </c>
      <c r="J605" s="48" t="s">
        <v>338</v>
      </c>
      <c r="K605" s="43">
        <v>11.5</v>
      </c>
      <c r="L605" s="45" t="s">
        <v>15</v>
      </c>
    </row>
    <row r="606" spans="1:12" ht="15" customHeight="1" x14ac:dyDescent="0.3">
      <c r="A606" s="58">
        <v>9</v>
      </c>
      <c r="B606" s="61">
        <v>45918</v>
      </c>
      <c r="C606" s="64" t="s">
        <v>787</v>
      </c>
      <c r="D606" s="69">
        <v>1</v>
      </c>
      <c r="E606" s="72" t="s">
        <v>788</v>
      </c>
      <c r="F606" s="75">
        <v>2.5</v>
      </c>
      <c r="G606" s="9">
        <v>2.5</v>
      </c>
      <c r="H606" s="77">
        <v>5</v>
      </c>
      <c r="I606" s="54">
        <v>5</v>
      </c>
      <c r="J606" s="48" t="s">
        <v>338</v>
      </c>
      <c r="K606" s="43">
        <v>2.5</v>
      </c>
      <c r="L606" s="77" t="s">
        <v>15</v>
      </c>
    </row>
    <row r="607" spans="1:12" ht="15" customHeight="1" x14ac:dyDescent="0.3">
      <c r="A607" s="21">
        <v>9</v>
      </c>
      <c r="B607" s="25">
        <v>45918</v>
      </c>
      <c r="C607" s="29" t="s">
        <v>787</v>
      </c>
      <c r="D607" s="36">
        <v>3</v>
      </c>
      <c r="E607" s="41" t="s">
        <v>20</v>
      </c>
      <c r="F607" s="42">
        <v>2.5</v>
      </c>
      <c r="G607" s="9">
        <v>7.5</v>
      </c>
      <c r="H607" s="45">
        <v>5</v>
      </c>
      <c r="I607" s="9">
        <v>15</v>
      </c>
      <c r="J607" s="48" t="s">
        <v>338</v>
      </c>
      <c r="K607" s="43">
        <v>7.5</v>
      </c>
      <c r="L607" s="45" t="s">
        <v>15</v>
      </c>
    </row>
    <row r="608" spans="1:12" ht="15" customHeight="1" x14ac:dyDescent="0.3">
      <c r="A608" s="21">
        <v>9</v>
      </c>
      <c r="B608" s="25">
        <v>45918</v>
      </c>
      <c r="C608" s="29" t="s">
        <v>728</v>
      </c>
      <c r="D608" s="36">
        <v>2</v>
      </c>
      <c r="E608" s="41" t="s">
        <v>20</v>
      </c>
      <c r="F608" s="42">
        <v>0.4</v>
      </c>
      <c r="G608" s="9">
        <v>0.8</v>
      </c>
      <c r="H608" s="45">
        <v>5</v>
      </c>
      <c r="I608" s="9">
        <v>10</v>
      </c>
      <c r="J608" s="48" t="s">
        <v>338</v>
      </c>
      <c r="K608" s="43">
        <v>9.1999999999999993</v>
      </c>
      <c r="L608" s="45" t="s">
        <v>15</v>
      </c>
    </row>
    <row r="609" spans="1:12" ht="15" customHeight="1" x14ac:dyDescent="0.3">
      <c r="A609" s="21">
        <v>9</v>
      </c>
      <c r="B609" s="25">
        <v>45918</v>
      </c>
      <c r="C609" s="29" t="s">
        <v>313</v>
      </c>
      <c r="D609" s="36">
        <v>1</v>
      </c>
      <c r="E609" s="41" t="s">
        <v>789</v>
      </c>
      <c r="F609" s="42">
        <v>3</v>
      </c>
      <c r="G609" s="9">
        <v>3</v>
      </c>
      <c r="H609" s="45">
        <v>15</v>
      </c>
      <c r="I609" s="9">
        <v>15</v>
      </c>
      <c r="J609" s="48" t="s">
        <v>338</v>
      </c>
      <c r="K609" s="43">
        <v>12</v>
      </c>
      <c r="L609" s="45" t="s">
        <v>15</v>
      </c>
    </row>
    <row r="610" spans="1:12" ht="15" customHeight="1" x14ac:dyDescent="0.3">
      <c r="A610" s="58">
        <v>9</v>
      </c>
      <c r="B610" s="61">
        <v>45918</v>
      </c>
      <c r="C610" s="64" t="s">
        <v>790</v>
      </c>
      <c r="D610" s="69">
        <v>1</v>
      </c>
      <c r="E610" s="72" t="s">
        <v>789</v>
      </c>
      <c r="F610" s="75">
        <v>20</v>
      </c>
      <c r="G610" s="9">
        <v>20</v>
      </c>
      <c r="H610" s="77">
        <v>30</v>
      </c>
      <c r="I610" s="54">
        <v>30</v>
      </c>
      <c r="J610" s="48" t="s">
        <v>338</v>
      </c>
      <c r="K610" s="43">
        <v>10</v>
      </c>
      <c r="L610" s="77" t="s">
        <v>15</v>
      </c>
    </row>
    <row r="611" spans="1:12" ht="15" customHeight="1" x14ac:dyDescent="0.3">
      <c r="A611" s="21">
        <v>9</v>
      </c>
      <c r="B611" s="25">
        <v>45918</v>
      </c>
      <c r="C611" s="29" t="s">
        <v>431</v>
      </c>
      <c r="D611" s="36">
        <v>1</v>
      </c>
      <c r="E611" s="41" t="s">
        <v>789</v>
      </c>
      <c r="F611" s="42">
        <v>0</v>
      </c>
      <c r="G611" s="9">
        <v>0</v>
      </c>
      <c r="H611" s="45">
        <v>15</v>
      </c>
      <c r="I611" s="9">
        <v>15</v>
      </c>
      <c r="J611" s="48" t="s">
        <v>338</v>
      </c>
      <c r="K611" s="43">
        <v>15</v>
      </c>
      <c r="L611" s="45" t="s">
        <v>15</v>
      </c>
    </row>
    <row r="612" spans="1:12" ht="15" customHeight="1" x14ac:dyDescent="0.3">
      <c r="A612" s="21">
        <v>9</v>
      </c>
      <c r="B612" s="25">
        <v>45918</v>
      </c>
      <c r="C612" s="29" t="s">
        <v>315</v>
      </c>
      <c r="D612" s="36">
        <v>1</v>
      </c>
      <c r="E612" s="41" t="s">
        <v>20</v>
      </c>
      <c r="F612" s="42">
        <v>7.0000000000000007E-2</v>
      </c>
      <c r="G612" s="9">
        <v>7.0000000000000007E-2</v>
      </c>
      <c r="H612" s="45">
        <v>5</v>
      </c>
      <c r="I612" s="9">
        <v>5</v>
      </c>
      <c r="J612" s="48" t="s">
        <v>338</v>
      </c>
      <c r="K612" s="43">
        <v>4.93</v>
      </c>
      <c r="L612" s="45" t="s">
        <v>15</v>
      </c>
    </row>
    <row r="613" spans="1:12" ht="15" customHeight="1" x14ac:dyDescent="0.3">
      <c r="A613" s="21">
        <v>9</v>
      </c>
      <c r="B613" s="25">
        <v>45919</v>
      </c>
      <c r="C613" s="29" t="s">
        <v>787</v>
      </c>
      <c r="D613" s="36">
        <v>2</v>
      </c>
      <c r="E613" s="41" t="s">
        <v>791</v>
      </c>
      <c r="F613" s="42">
        <v>2.5</v>
      </c>
      <c r="G613" s="9">
        <v>5</v>
      </c>
      <c r="H613" s="45">
        <v>5</v>
      </c>
      <c r="I613" s="9">
        <v>10</v>
      </c>
      <c r="J613" s="48" t="s">
        <v>338</v>
      </c>
      <c r="K613" s="43">
        <v>5</v>
      </c>
      <c r="L613" s="45" t="s">
        <v>15</v>
      </c>
    </row>
    <row r="614" spans="1:12" ht="15" customHeight="1" x14ac:dyDescent="0.3">
      <c r="A614" s="21">
        <v>9</v>
      </c>
      <c r="B614" s="25">
        <v>45919</v>
      </c>
      <c r="C614" s="29" t="s">
        <v>787</v>
      </c>
      <c r="D614" s="36">
        <v>1</v>
      </c>
      <c r="E614" s="41" t="s">
        <v>763</v>
      </c>
      <c r="F614" s="42">
        <v>2.5</v>
      </c>
      <c r="G614" s="9">
        <v>2.5</v>
      </c>
      <c r="H614" s="45">
        <v>5</v>
      </c>
      <c r="I614" s="9">
        <v>5</v>
      </c>
      <c r="J614" s="48" t="s">
        <v>338</v>
      </c>
      <c r="K614" s="43">
        <v>2.5</v>
      </c>
      <c r="L614" s="45" t="s">
        <v>15</v>
      </c>
    </row>
    <row r="615" spans="1:12" ht="15" customHeight="1" x14ac:dyDescent="0.3">
      <c r="A615" s="21">
        <v>9</v>
      </c>
      <c r="B615" s="25">
        <v>45919</v>
      </c>
      <c r="C615" s="29" t="s">
        <v>787</v>
      </c>
      <c r="D615" s="36">
        <v>1</v>
      </c>
      <c r="E615" s="41" t="s">
        <v>766</v>
      </c>
      <c r="F615" s="42">
        <v>2.5</v>
      </c>
      <c r="G615" s="9">
        <v>2.5</v>
      </c>
      <c r="H615" s="45">
        <v>5</v>
      </c>
      <c r="I615" s="9">
        <v>5</v>
      </c>
      <c r="J615" s="48" t="s">
        <v>338</v>
      </c>
      <c r="K615" s="43">
        <v>2.5</v>
      </c>
      <c r="L615" s="45" t="s">
        <v>15</v>
      </c>
    </row>
    <row r="616" spans="1:12" ht="15" customHeight="1" x14ac:dyDescent="0.3">
      <c r="A616" s="21">
        <v>9</v>
      </c>
      <c r="B616" s="25">
        <v>45920</v>
      </c>
      <c r="C616" s="29" t="s">
        <v>787</v>
      </c>
      <c r="D616" s="36">
        <v>5</v>
      </c>
      <c r="E616" s="41" t="s">
        <v>20</v>
      </c>
      <c r="F616" s="42">
        <v>2.5</v>
      </c>
      <c r="G616" s="9">
        <v>12.5</v>
      </c>
      <c r="H616" s="45">
        <v>5</v>
      </c>
      <c r="I616" s="9">
        <v>25</v>
      </c>
      <c r="J616" s="48" t="s">
        <v>338</v>
      </c>
      <c r="K616" s="43">
        <v>12.5</v>
      </c>
      <c r="L616" s="45" t="s">
        <v>15</v>
      </c>
    </row>
    <row r="617" spans="1:12" ht="15" customHeight="1" x14ac:dyDescent="0.3">
      <c r="A617" s="58">
        <v>9</v>
      </c>
      <c r="B617" s="61">
        <v>45920</v>
      </c>
      <c r="C617" s="64" t="s">
        <v>772</v>
      </c>
      <c r="D617" s="69">
        <v>1</v>
      </c>
      <c r="E617" s="72" t="s">
        <v>792</v>
      </c>
      <c r="F617" s="75">
        <v>2.5</v>
      </c>
      <c r="G617" s="9">
        <v>2.5</v>
      </c>
      <c r="H617" s="77">
        <v>5</v>
      </c>
      <c r="I617" s="54">
        <v>5</v>
      </c>
      <c r="J617" s="48" t="s">
        <v>338</v>
      </c>
      <c r="K617" s="43">
        <v>2.5</v>
      </c>
      <c r="L617" s="77" t="s">
        <v>15</v>
      </c>
    </row>
    <row r="618" spans="1:12" ht="15" customHeight="1" x14ac:dyDescent="0.3">
      <c r="A618" s="21">
        <v>9</v>
      </c>
      <c r="B618" s="25">
        <v>45920</v>
      </c>
      <c r="C618" s="29" t="s">
        <v>787</v>
      </c>
      <c r="D618" s="36">
        <v>1</v>
      </c>
      <c r="E618" s="41" t="s">
        <v>766</v>
      </c>
      <c r="F618" s="42">
        <v>2.5</v>
      </c>
      <c r="G618" s="9">
        <v>2.5</v>
      </c>
      <c r="H618" s="45">
        <v>5</v>
      </c>
      <c r="I618" s="9">
        <v>5</v>
      </c>
      <c r="J618" s="48" t="s">
        <v>338</v>
      </c>
      <c r="K618" s="43">
        <v>2.5</v>
      </c>
      <c r="L618" s="45" t="s">
        <v>15</v>
      </c>
    </row>
    <row r="619" spans="1:12" ht="15" customHeight="1" x14ac:dyDescent="0.3">
      <c r="A619" s="21">
        <v>9</v>
      </c>
      <c r="B619" s="25">
        <v>45921</v>
      </c>
      <c r="C619" s="29" t="s">
        <v>70</v>
      </c>
      <c r="D619" s="36">
        <v>1</v>
      </c>
      <c r="E619" s="41" t="s">
        <v>793</v>
      </c>
      <c r="F619" s="42">
        <v>15</v>
      </c>
      <c r="G619" s="9">
        <v>15</v>
      </c>
      <c r="H619" s="45">
        <v>50</v>
      </c>
      <c r="I619" s="9">
        <v>50</v>
      </c>
      <c r="J619" s="48" t="s">
        <v>338</v>
      </c>
      <c r="K619" s="43">
        <v>35</v>
      </c>
      <c r="L619" s="45" t="s">
        <v>15</v>
      </c>
    </row>
    <row r="620" spans="1:12" ht="15" customHeight="1" x14ac:dyDescent="0.3">
      <c r="A620" s="21">
        <v>9</v>
      </c>
      <c r="B620" s="25">
        <v>45922</v>
      </c>
      <c r="C620" s="29" t="s">
        <v>787</v>
      </c>
      <c r="D620" s="36">
        <v>2</v>
      </c>
      <c r="E620" s="41" t="s">
        <v>763</v>
      </c>
      <c r="F620" s="42">
        <v>2.5</v>
      </c>
      <c r="G620" s="9">
        <v>5</v>
      </c>
      <c r="H620" s="45">
        <v>5</v>
      </c>
      <c r="I620" s="9">
        <v>10</v>
      </c>
      <c r="J620" s="48" t="s">
        <v>338</v>
      </c>
      <c r="K620" s="43">
        <v>5</v>
      </c>
      <c r="L620" s="45" t="s">
        <v>15</v>
      </c>
    </row>
    <row r="621" spans="1:12" ht="15" customHeight="1" x14ac:dyDescent="0.3">
      <c r="A621" s="21">
        <v>9</v>
      </c>
      <c r="B621" s="25">
        <v>45922</v>
      </c>
      <c r="C621" s="29" t="s">
        <v>193</v>
      </c>
      <c r="D621" s="36">
        <v>1</v>
      </c>
      <c r="E621" s="41" t="s">
        <v>794</v>
      </c>
      <c r="F621" s="42">
        <v>0</v>
      </c>
      <c r="G621" s="9">
        <v>0</v>
      </c>
      <c r="H621" s="45">
        <v>50</v>
      </c>
      <c r="I621" s="9">
        <v>50</v>
      </c>
      <c r="J621" s="48" t="s">
        <v>338</v>
      </c>
      <c r="K621" s="43">
        <v>50</v>
      </c>
      <c r="L621" s="45" t="s">
        <v>15</v>
      </c>
    </row>
    <row r="622" spans="1:12" ht="15" customHeight="1" x14ac:dyDescent="0.3">
      <c r="A622" s="21">
        <v>9</v>
      </c>
      <c r="B622" s="25">
        <v>45922</v>
      </c>
      <c r="C622" s="29" t="s">
        <v>795</v>
      </c>
      <c r="D622" s="36">
        <v>1</v>
      </c>
      <c r="E622" s="41" t="s">
        <v>794</v>
      </c>
      <c r="F622" s="42">
        <v>97.55</v>
      </c>
      <c r="G622" s="9">
        <v>97.55</v>
      </c>
      <c r="H622" s="45">
        <v>200</v>
      </c>
      <c r="I622" s="9">
        <v>200</v>
      </c>
      <c r="J622" s="48" t="s">
        <v>338</v>
      </c>
      <c r="K622" s="43">
        <v>102.45</v>
      </c>
      <c r="L622" s="45" t="s">
        <v>15</v>
      </c>
    </row>
    <row r="623" spans="1:12" ht="15" customHeight="1" x14ac:dyDescent="0.3">
      <c r="A623" s="21">
        <v>9</v>
      </c>
      <c r="B623" s="25">
        <v>45922</v>
      </c>
      <c r="C623" s="29" t="s">
        <v>796</v>
      </c>
      <c r="D623" s="36">
        <v>1</v>
      </c>
      <c r="E623" s="41" t="s">
        <v>794</v>
      </c>
      <c r="F623" s="42">
        <v>46.2</v>
      </c>
      <c r="G623" s="9">
        <v>46.2</v>
      </c>
      <c r="H623" s="45">
        <v>100</v>
      </c>
      <c r="I623" s="9">
        <v>100</v>
      </c>
      <c r="J623" s="48" t="s">
        <v>338</v>
      </c>
      <c r="K623" s="43">
        <v>53.8</v>
      </c>
      <c r="L623" s="45" t="s">
        <v>15</v>
      </c>
    </row>
    <row r="624" spans="1:12" ht="15" customHeight="1" x14ac:dyDescent="0.3">
      <c r="A624" s="58">
        <v>9</v>
      </c>
      <c r="B624" s="61">
        <v>45922</v>
      </c>
      <c r="C624" s="64" t="s">
        <v>797</v>
      </c>
      <c r="D624" s="69">
        <v>1</v>
      </c>
      <c r="E624" s="72" t="s">
        <v>794</v>
      </c>
      <c r="F624" s="75">
        <v>35</v>
      </c>
      <c r="G624" s="9">
        <v>35</v>
      </c>
      <c r="H624" s="77">
        <v>75</v>
      </c>
      <c r="I624" s="54">
        <v>75</v>
      </c>
      <c r="J624" s="48" t="s">
        <v>338</v>
      </c>
      <c r="K624" s="43">
        <v>40</v>
      </c>
      <c r="L624" s="77" t="s">
        <v>15</v>
      </c>
    </row>
    <row r="625" spans="1:12" ht="15" customHeight="1" x14ac:dyDescent="0.3">
      <c r="A625" s="21">
        <v>9</v>
      </c>
      <c r="B625" s="25">
        <v>45922</v>
      </c>
      <c r="C625" s="29" t="s">
        <v>798</v>
      </c>
      <c r="D625" s="36">
        <v>1</v>
      </c>
      <c r="E625" s="41" t="s">
        <v>786</v>
      </c>
      <c r="F625" s="42">
        <v>20</v>
      </c>
      <c r="G625" s="9">
        <v>20</v>
      </c>
      <c r="H625" s="45">
        <v>30</v>
      </c>
      <c r="I625" s="9">
        <v>30</v>
      </c>
      <c r="J625" s="48" t="s">
        <v>338</v>
      </c>
      <c r="K625" s="43">
        <v>10</v>
      </c>
      <c r="L625" s="45" t="s">
        <v>15</v>
      </c>
    </row>
    <row r="626" spans="1:12" ht="15" customHeight="1" x14ac:dyDescent="0.3">
      <c r="A626" s="21">
        <v>9</v>
      </c>
      <c r="B626" s="25">
        <v>45922</v>
      </c>
      <c r="C626" s="29" t="s">
        <v>799</v>
      </c>
      <c r="D626" s="36">
        <v>1</v>
      </c>
      <c r="E626" s="41" t="s">
        <v>786</v>
      </c>
      <c r="F626" s="42">
        <v>5</v>
      </c>
      <c r="G626" s="9">
        <v>5</v>
      </c>
      <c r="H626" s="45">
        <v>10</v>
      </c>
      <c r="I626" s="9">
        <v>10</v>
      </c>
      <c r="J626" s="48" t="s">
        <v>338</v>
      </c>
      <c r="K626" s="43">
        <v>5</v>
      </c>
      <c r="L626" s="45" t="s">
        <v>15</v>
      </c>
    </row>
    <row r="627" spans="1:12" ht="15" customHeight="1" x14ac:dyDescent="0.3">
      <c r="A627" s="21">
        <v>9</v>
      </c>
      <c r="B627" s="25">
        <v>45923</v>
      </c>
      <c r="C627" s="29" t="s">
        <v>800</v>
      </c>
      <c r="D627" s="36">
        <v>1</v>
      </c>
      <c r="E627" s="41" t="s">
        <v>266</v>
      </c>
      <c r="F627" s="42">
        <v>40</v>
      </c>
      <c r="G627" s="9">
        <v>40</v>
      </c>
      <c r="H627" s="45">
        <v>150</v>
      </c>
      <c r="I627" s="9">
        <v>150</v>
      </c>
      <c r="J627" s="48" t="s">
        <v>338</v>
      </c>
      <c r="K627" s="43">
        <v>110</v>
      </c>
      <c r="L627" s="45" t="s">
        <v>15</v>
      </c>
    </row>
    <row r="628" spans="1:12" ht="15" customHeight="1" x14ac:dyDescent="0.3">
      <c r="A628" s="21">
        <v>9</v>
      </c>
      <c r="B628" s="25">
        <v>45923</v>
      </c>
      <c r="C628" s="29" t="s">
        <v>801</v>
      </c>
      <c r="D628" s="36">
        <v>1</v>
      </c>
      <c r="E628" s="41" t="s">
        <v>802</v>
      </c>
      <c r="F628" s="42">
        <v>5</v>
      </c>
      <c r="G628" s="9">
        <v>5</v>
      </c>
      <c r="H628" s="45">
        <v>15</v>
      </c>
      <c r="I628" s="9">
        <v>15</v>
      </c>
      <c r="J628" s="48" t="s">
        <v>338</v>
      </c>
      <c r="K628" s="43">
        <v>10</v>
      </c>
      <c r="L628" s="45" t="s">
        <v>15</v>
      </c>
    </row>
    <row r="629" spans="1:12" ht="15" customHeight="1" x14ac:dyDescent="0.3">
      <c r="A629" s="21">
        <v>9</v>
      </c>
      <c r="B629" s="25">
        <v>45923</v>
      </c>
      <c r="C629" s="29" t="s">
        <v>197</v>
      </c>
      <c r="D629" s="36">
        <v>1</v>
      </c>
      <c r="E629" s="41" t="s">
        <v>802</v>
      </c>
      <c r="F629" s="42">
        <v>10</v>
      </c>
      <c r="G629" s="9">
        <v>10</v>
      </c>
      <c r="H629" s="45">
        <v>20</v>
      </c>
      <c r="I629" s="9">
        <v>20</v>
      </c>
      <c r="J629" s="48" t="s">
        <v>338</v>
      </c>
      <c r="K629" s="43">
        <v>10</v>
      </c>
      <c r="L629" s="45" t="s">
        <v>15</v>
      </c>
    </row>
    <row r="630" spans="1:12" ht="15" customHeight="1" x14ac:dyDescent="0.3">
      <c r="A630" s="21">
        <v>9</v>
      </c>
      <c r="B630" s="25">
        <v>45923</v>
      </c>
      <c r="C630" s="29" t="s">
        <v>315</v>
      </c>
      <c r="D630" s="36">
        <v>11</v>
      </c>
      <c r="E630" s="41" t="s">
        <v>625</v>
      </c>
      <c r="F630" s="42">
        <v>7.0000000000000007E-2</v>
      </c>
      <c r="G630" s="9">
        <v>0.77</v>
      </c>
      <c r="H630" s="45">
        <v>1</v>
      </c>
      <c r="I630" s="9">
        <v>11</v>
      </c>
      <c r="J630" s="48" t="s">
        <v>338</v>
      </c>
      <c r="K630" s="43">
        <v>10.23</v>
      </c>
      <c r="L630" s="45" t="s">
        <v>15</v>
      </c>
    </row>
    <row r="631" spans="1:12" ht="15" customHeight="1" x14ac:dyDescent="0.3">
      <c r="A631" s="58">
        <v>9</v>
      </c>
      <c r="B631" s="61">
        <v>45923</v>
      </c>
      <c r="C631" s="64" t="s">
        <v>315</v>
      </c>
      <c r="D631" s="69">
        <v>8</v>
      </c>
      <c r="E631" s="72" t="s">
        <v>20</v>
      </c>
      <c r="F631" s="75">
        <v>7.0000000000000007E-2</v>
      </c>
      <c r="G631" s="9">
        <v>0.56000000000000005</v>
      </c>
      <c r="H631" s="77">
        <v>1</v>
      </c>
      <c r="I631" s="54">
        <v>8</v>
      </c>
      <c r="J631" s="48" t="s">
        <v>338</v>
      </c>
      <c r="K631" s="43">
        <v>7.4399999999999995</v>
      </c>
      <c r="L631" s="77" t="s">
        <v>15</v>
      </c>
    </row>
    <row r="632" spans="1:12" ht="15" customHeight="1" x14ac:dyDescent="0.3">
      <c r="A632" s="21">
        <v>9</v>
      </c>
      <c r="B632" s="25">
        <v>45924</v>
      </c>
      <c r="C632" s="29" t="s">
        <v>803</v>
      </c>
      <c r="D632" s="36">
        <v>1</v>
      </c>
      <c r="E632" s="41" t="s">
        <v>804</v>
      </c>
      <c r="F632" s="42">
        <v>16</v>
      </c>
      <c r="G632" s="9">
        <v>16</v>
      </c>
      <c r="H632" s="45">
        <v>30</v>
      </c>
      <c r="I632" s="9">
        <v>30</v>
      </c>
      <c r="J632" s="48" t="s">
        <v>338</v>
      </c>
      <c r="K632" s="43">
        <v>14</v>
      </c>
      <c r="L632" s="45" t="s">
        <v>15</v>
      </c>
    </row>
    <row r="633" spans="1:12" ht="15" customHeight="1" x14ac:dyDescent="0.3">
      <c r="A633" s="21">
        <v>9</v>
      </c>
      <c r="B633" s="25">
        <v>45925</v>
      </c>
      <c r="C633" s="29" t="s">
        <v>315</v>
      </c>
      <c r="D633" s="36">
        <v>1</v>
      </c>
      <c r="E633" s="41" t="s">
        <v>51</v>
      </c>
      <c r="F633" s="42">
        <v>7.0000000000000007E-2</v>
      </c>
      <c r="G633" s="9">
        <v>7.0000000000000007E-2</v>
      </c>
      <c r="H633" s="45">
        <v>1</v>
      </c>
      <c r="I633" s="9">
        <v>1</v>
      </c>
      <c r="J633" s="48" t="s">
        <v>338</v>
      </c>
      <c r="K633" s="43">
        <v>0.92999999999999994</v>
      </c>
      <c r="L633" s="45" t="s">
        <v>15</v>
      </c>
    </row>
    <row r="634" spans="1:12" ht="15" customHeight="1" x14ac:dyDescent="0.3">
      <c r="A634" s="21">
        <v>9</v>
      </c>
      <c r="B634" s="25">
        <v>45925</v>
      </c>
      <c r="C634" s="29" t="s">
        <v>725</v>
      </c>
      <c r="D634" s="36">
        <v>1</v>
      </c>
      <c r="E634" s="41" t="s">
        <v>20</v>
      </c>
      <c r="F634" s="42" t="s">
        <v>72</v>
      </c>
      <c r="G634" s="9">
        <v>0</v>
      </c>
      <c r="H634" s="45">
        <v>3</v>
      </c>
      <c r="I634" s="9">
        <v>3</v>
      </c>
      <c r="J634" s="48" t="s">
        <v>338</v>
      </c>
      <c r="K634" s="43">
        <v>3</v>
      </c>
      <c r="L634" s="45" t="s">
        <v>15</v>
      </c>
    </row>
    <row r="635" spans="1:12" ht="15" customHeight="1" x14ac:dyDescent="0.3">
      <c r="A635" s="21">
        <v>9</v>
      </c>
      <c r="B635" s="25">
        <v>45925</v>
      </c>
      <c r="C635" s="29" t="s">
        <v>672</v>
      </c>
      <c r="D635" s="36">
        <v>1</v>
      </c>
      <c r="E635" s="41" t="s">
        <v>20</v>
      </c>
      <c r="F635" s="42">
        <v>4</v>
      </c>
      <c r="G635" s="9">
        <v>4</v>
      </c>
      <c r="H635" s="45">
        <v>15</v>
      </c>
      <c r="I635" s="9">
        <v>15</v>
      </c>
      <c r="J635" s="48" t="s">
        <v>338</v>
      </c>
      <c r="K635" s="43">
        <v>11</v>
      </c>
      <c r="L635" s="45" t="s">
        <v>15</v>
      </c>
    </row>
    <row r="636" spans="1:12" ht="15" customHeight="1" x14ac:dyDescent="0.3">
      <c r="A636" s="21">
        <v>9</v>
      </c>
      <c r="B636" s="25">
        <v>45925</v>
      </c>
      <c r="C636" s="29" t="s">
        <v>787</v>
      </c>
      <c r="D636" s="36">
        <v>1</v>
      </c>
      <c r="E636" s="41" t="s">
        <v>20</v>
      </c>
      <c r="F636" s="42">
        <v>2.5</v>
      </c>
      <c r="G636" s="9">
        <v>2.5</v>
      </c>
      <c r="H636" s="45">
        <v>5</v>
      </c>
      <c r="I636" s="9">
        <v>5</v>
      </c>
      <c r="J636" s="48" t="s">
        <v>338</v>
      </c>
      <c r="K636" s="43">
        <v>2.5</v>
      </c>
      <c r="L636" s="45" t="s">
        <v>15</v>
      </c>
    </row>
    <row r="637" spans="1:12" ht="15" customHeight="1" x14ac:dyDescent="0.3">
      <c r="A637" s="21">
        <v>9</v>
      </c>
      <c r="B637" s="25">
        <v>45926</v>
      </c>
      <c r="C637" s="66" t="s">
        <v>315</v>
      </c>
      <c r="D637" s="36">
        <v>5</v>
      </c>
      <c r="E637" s="41" t="s">
        <v>20</v>
      </c>
      <c r="F637" s="42">
        <v>7.0000000000000007E-2</v>
      </c>
      <c r="G637" s="9">
        <v>0.35000000000000003</v>
      </c>
      <c r="H637" s="45">
        <v>1</v>
      </c>
      <c r="I637" s="9">
        <v>5</v>
      </c>
      <c r="J637" s="48" t="s">
        <v>338</v>
      </c>
      <c r="K637" s="43">
        <v>4.6500000000000004</v>
      </c>
      <c r="L637" s="45" t="s">
        <v>15</v>
      </c>
    </row>
    <row r="638" spans="1:12" ht="15" customHeight="1" x14ac:dyDescent="0.3">
      <c r="A638" s="58">
        <v>9</v>
      </c>
      <c r="B638" s="61">
        <v>45926</v>
      </c>
      <c r="C638" s="64" t="s">
        <v>787</v>
      </c>
      <c r="D638" s="69">
        <v>2</v>
      </c>
      <c r="E638" s="72" t="s">
        <v>20</v>
      </c>
      <c r="F638" s="75">
        <v>2.5</v>
      </c>
      <c r="G638" s="9">
        <v>5</v>
      </c>
      <c r="H638" s="77">
        <v>5</v>
      </c>
      <c r="I638" s="54">
        <v>10</v>
      </c>
      <c r="J638" s="48" t="s">
        <v>338</v>
      </c>
      <c r="K638" s="43">
        <v>5</v>
      </c>
      <c r="L638" s="77" t="s">
        <v>15</v>
      </c>
    </row>
    <row r="639" spans="1:12" ht="15" customHeight="1" x14ac:dyDescent="0.3">
      <c r="A639" s="21">
        <v>9</v>
      </c>
      <c r="B639" s="25">
        <v>45927</v>
      </c>
      <c r="C639" s="29" t="s">
        <v>787</v>
      </c>
      <c r="D639" s="36">
        <v>2</v>
      </c>
      <c r="E639" s="41" t="s">
        <v>805</v>
      </c>
      <c r="F639" s="42">
        <v>2.5</v>
      </c>
      <c r="G639" s="9">
        <v>5</v>
      </c>
      <c r="H639" s="45">
        <v>5</v>
      </c>
      <c r="I639" s="9">
        <v>10</v>
      </c>
      <c r="J639" s="80" t="s">
        <v>338</v>
      </c>
      <c r="K639" s="43">
        <v>5</v>
      </c>
      <c r="L639" s="45" t="s">
        <v>15</v>
      </c>
    </row>
    <row r="640" spans="1:12" ht="15" customHeight="1" x14ac:dyDescent="0.3">
      <c r="A640" s="21">
        <v>9</v>
      </c>
      <c r="B640" s="25">
        <v>45927</v>
      </c>
      <c r="C640" s="29" t="s">
        <v>787</v>
      </c>
      <c r="D640" s="36">
        <v>1</v>
      </c>
      <c r="E640" s="41" t="s">
        <v>766</v>
      </c>
      <c r="F640" s="42">
        <v>2.5</v>
      </c>
      <c r="G640" s="9">
        <v>2.5</v>
      </c>
      <c r="H640" s="45">
        <v>5</v>
      </c>
      <c r="I640" s="9">
        <v>5</v>
      </c>
      <c r="J640" s="80" t="s">
        <v>338</v>
      </c>
      <c r="K640" s="43">
        <v>2.5</v>
      </c>
      <c r="L640" s="45" t="s">
        <v>15</v>
      </c>
    </row>
    <row r="641" spans="1:12" ht="15" customHeight="1" x14ac:dyDescent="0.3">
      <c r="A641" s="21">
        <v>9</v>
      </c>
      <c r="B641" s="25">
        <v>45927</v>
      </c>
      <c r="C641" s="29" t="s">
        <v>315</v>
      </c>
      <c r="D641" s="36">
        <v>1</v>
      </c>
      <c r="E641" s="41" t="s">
        <v>20</v>
      </c>
      <c r="F641" s="42">
        <v>7.0000000000000007E-2</v>
      </c>
      <c r="G641" s="9">
        <v>7.0000000000000007E-2</v>
      </c>
      <c r="H641" s="45">
        <v>1</v>
      </c>
      <c r="I641" s="9">
        <v>1</v>
      </c>
      <c r="J641" s="80" t="s">
        <v>338</v>
      </c>
      <c r="K641" s="43">
        <v>0.92999999999999994</v>
      </c>
      <c r="L641" s="45" t="s">
        <v>15</v>
      </c>
    </row>
    <row r="642" spans="1:12" ht="15" customHeight="1" x14ac:dyDescent="0.3">
      <c r="A642" s="21">
        <v>9</v>
      </c>
      <c r="B642" s="25">
        <v>45927</v>
      </c>
      <c r="C642" s="29" t="s">
        <v>806</v>
      </c>
      <c r="D642" s="36">
        <v>2</v>
      </c>
      <c r="E642" s="41" t="s">
        <v>391</v>
      </c>
      <c r="F642" s="42">
        <v>2.5</v>
      </c>
      <c r="G642" s="9">
        <v>5</v>
      </c>
      <c r="H642" s="45">
        <v>5</v>
      </c>
      <c r="I642" s="9">
        <v>10</v>
      </c>
      <c r="J642" s="80" t="s">
        <v>338</v>
      </c>
      <c r="K642" s="43">
        <v>5</v>
      </c>
      <c r="L642" s="45" t="s">
        <v>15</v>
      </c>
    </row>
    <row r="643" spans="1:12" ht="15" customHeight="1" x14ac:dyDescent="0.3">
      <c r="A643" s="21">
        <v>9</v>
      </c>
      <c r="B643" s="25">
        <v>45929</v>
      </c>
      <c r="C643" s="29" t="s">
        <v>315</v>
      </c>
      <c r="D643" s="36">
        <v>1</v>
      </c>
      <c r="E643" s="41" t="s">
        <v>20</v>
      </c>
      <c r="F643" s="42">
        <v>7.0000000000000007E-2</v>
      </c>
      <c r="G643" s="9">
        <v>7.0000000000000007E-2</v>
      </c>
      <c r="H643" s="45">
        <v>1</v>
      </c>
      <c r="I643" s="9">
        <v>1</v>
      </c>
      <c r="J643" s="80" t="s">
        <v>338</v>
      </c>
      <c r="K643" s="43">
        <v>0.92999999999999994</v>
      </c>
      <c r="L643" s="45" t="s">
        <v>15</v>
      </c>
    </row>
    <row r="644" spans="1:12" ht="15" customHeight="1" x14ac:dyDescent="0.3">
      <c r="A644" s="21">
        <v>9</v>
      </c>
      <c r="B644" s="25">
        <v>45929</v>
      </c>
      <c r="C644" s="29" t="s">
        <v>715</v>
      </c>
      <c r="D644" s="36">
        <v>4</v>
      </c>
      <c r="E644" s="41" t="s">
        <v>20</v>
      </c>
      <c r="F644" s="42">
        <v>5</v>
      </c>
      <c r="G644" s="9">
        <v>20</v>
      </c>
      <c r="H644" s="45">
        <v>10</v>
      </c>
      <c r="I644" s="9">
        <v>40</v>
      </c>
      <c r="J644" s="80" t="s">
        <v>338</v>
      </c>
      <c r="K644" s="43">
        <v>20</v>
      </c>
      <c r="L644" s="45" t="s">
        <v>15</v>
      </c>
    </row>
    <row r="645" spans="1:12" ht="15" customHeight="1" x14ac:dyDescent="0.3">
      <c r="A645" s="21">
        <v>9</v>
      </c>
      <c r="B645" s="25">
        <v>45929</v>
      </c>
      <c r="C645" s="29" t="s">
        <v>807</v>
      </c>
      <c r="D645" s="36">
        <v>1</v>
      </c>
      <c r="E645" s="41" t="s">
        <v>20</v>
      </c>
      <c r="F645" s="42">
        <v>9</v>
      </c>
      <c r="G645" s="9">
        <v>9</v>
      </c>
      <c r="H645" s="45">
        <v>20</v>
      </c>
      <c r="I645" s="9">
        <v>20</v>
      </c>
      <c r="J645" s="80" t="s">
        <v>338</v>
      </c>
      <c r="K645" s="43">
        <v>11</v>
      </c>
      <c r="L645" s="45" t="s">
        <v>15</v>
      </c>
    </row>
    <row r="646" spans="1:12" ht="15" customHeight="1" x14ac:dyDescent="0.3">
      <c r="A646" s="21">
        <v>9</v>
      </c>
      <c r="B646" s="25">
        <v>45929</v>
      </c>
      <c r="C646" s="29" t="s">
        <v>808</v>
      </c>
      <c r="D646" s="36">
        <v>1</v>
      </c>
      <c r="E646" s="41" t="s">
        <v>20</v>
      </c>
      <c r="F646" s="42">
        <v>10</v>
      </c>
      <c r="G646" s="9">
        <v>10</v>
      </c>
      <c r="H646" s="45">
        <v>15</v>
      </c>
      <c r="I646" s="9">
        <v>15</v>
      </c>
      <c r="J646" s="80" t="s">
        <v>338</v>
      </c>
      <c r="K646" s="43">
        <v>5</v>
      </c>
      <c r="L646" s="45" t="s">
        <v>15</v>
      </c>
    </row>
    <row r="647" spans="1:12" ht="15" customHeight="1" x14ac:dyDescent="0.3">
      <c r="A647" s="21">
        <v>9</v>
      </c>
      <c r="B647" s="25">
        <v>45930</v>
      </c>
      <c r="C647" s="29" t="s">
        <v>315</v>
      </c>
      <c r="D647" s="36">
        <v>4</v>
      </c>
      <c r="E647" s="41" t="s">
        <v>20</v>
      </c>
      <c r="F647" s="42">
        <v>7.0000000000000007E-2</v>
      </c>
      <c r="G647" s="9">
        <v>0.28000000000000003</v>
      </c>
      <c r="H647" s="45">
        <v>1</v>
      </c>
      <c r="I647" s="9">
        <v>4</v>
      </c>
      <c r="J647" s="80" t="s">
        <v>338</v>
      </c>
      <c r="K647" s="43">
        <v>3.7199999999999998</v>
      </c>
      <c r="L647" s="45" t="s">
        <v>15</v>
      </c>
    </row>
    <row r="648" spans="1:12" ht="15" customHeight="1" x14ac:dyDescent="0.3">
      <c r="A648" s="21">
        <v>10</v>
      </c>
      <c r="B648" s="25">
        <v>45932</v>
      </c>
      <c r="C648" s="29" t="s">
        <v>313</v>
      </c>
      <c r="D648" s="36">
        <v>1</v>
      </c>
      <c r="E648" s="41" t="s">
        <v>20</v>
      </c>
      <c r="F648" s="42">
        <v>3</v>
      </c>
      <c r="G648" s="9">
        <v>3</v>
      </c>
      <c r="H648" s="45">
        <v>15</v>
      </c>
      <c r="I648" s="9">
        <v>15</v>
      </c>
      <c r="J648" s="80" t="s">
        <v>338</v>
      </c>
      <c r="K648" s="43">
        <v>12</v>
      </c>
      <c r="L648" s="45" t="s">
        <v>15</v>
      </c>
    </row>
    <row r="649" spans="1:12" ht="15" customHeight="1" x14ac:dyDescent="0.3">
      <c r="A649" s="21">
        <v>10</v>
      </c>
      <c r="B649" s="25">
        <v>45932</v>
      </c>
      <c r="C649" s="29" t="s">
        <v>750</v>
      </c>
      <c r="D649" s="36">
        <v>1</v>
      </c>
      <c r="E649" s="41" t="s">
        <v>20</v>
      </c>
      <c r="F649" s="42" t="s">
        <v>72</v>
      </c>
      <c r="G649" s="9">
        <v>0</v>
      </c>
      <c r="H649" s="45">
        <v>15</v>
      </c>
      <c r="I649" s="9">
        <v>15</v>
      </c>
      <c r="J649" s="80" t="s">
        <v>338</v>
      </c>
      <c r="K649" s="43">
        <v>15</v>
      </c>
      <c r="L649" s="45" t="s">
        <v>15</v>
      </c>
    </row>
    <row r="650" spans="1:12" ht="15" customHeight="1" x14ac:dyDescent="0.3">
      <c r="A650" s="21">
        <v>10</v>
      </c>
      <c r="B650" s="25">
        <v>45932</v>
      </c>
      <c r="C650" s="29" t="s">
        <v>809</v>
      </c>
      <c r="D650" s="36">
        <v>1</v>
      </c>
      <c r="E650" s="41" t="s">
        <v>20</v>
      </c>
      <c r="F650" s="42">
        <v>10</v>
      </c>
      <c r="G650" s="9">
        <v>10</v>
      </c>
      <c r="H650" s="45">
        <v>15</v>
      </c>
      <c r="I650" s="9">
        <v>15</v>
      </c>
      <c r="J650" s="80" t="s">
        <v>338</v>
      </c>
      <c r="K650" s="43">
        <v>5</v>
      </c>
      <c r="L650" s="45" t="s">
        <v>15</v>
      </c>
    </row>
    <row r="651" spans="1:12" ht="15" customHeight="1" x14ac:dyDescent="0.3">
      <c r="A651" s="21">
        <v>10</v>
      </c>
      <c r="B651" s="25">
        <v>45932</v>
      </c>
      <c r="C651" s="29" t="s">
        <v>672</v>
      </c>
      <c r="D651" s="36">
        <v>1</v>
      </c>
      <c r="E651" s="41" t="s">
        <v>20</v>
      </c>
      <c r="F651" s="42">
        <v>5</v>
      </c>
      <c r="G651" s="9">
        <v>5</v>
      </c>
      <c r="H651" s="45">
        <v>15</v>
      </c>
      <c r="I651" s="9">
        <v>15</v>
      </c>
      <c r="J651" s="80" t="s">
        <v>338</v>
      </c>
      <c r="K651" s="43">
        <v>10</v>
      </c>
      <c r="L651" s="45" t="s">
        <v>15</v>
      </c>
    </row>
    <row r="652" spans="1:12" ht="15" customHeight="1" x14ac:dyDescent="0.3">
      <c r="A652" s="21">
        <v>10</v>
      </c>
      <c r="B652" s="25">
        <v>45932</v>
      </c>
      <c r="C652" s="29" t="s">
        <v>787</v>
      </c>
      <c r="D652" s="36">
        <v>3</v>
      </c>
      <c r="E652" s="41" t="s">
        <v>791</v>
      </c>
      <c r="F652" s="42">
        <v>2.5</v>
      </c>
      <c r="G652" s="9">
        <v>7.5</v>
      </c>
      <c r="H652" s="45">
        <v>5</v>
      </c>
      <c r="I652" s="9">
        <v>15</v>
      </c>
      <c r="J652" s="80" t="s">
        <v>338</v>
      </c>
      <c r="K652" s="43">
        <v>7.5</v>
      </c>
      <c r="L652" s="45" t="s">
        <v>15</v>
      </c>
    </row>
    <row r="653" spans="1:12" ht="15" customHeight="1" x14ac:dyDescent="0.3">
      <c r="A653" s="21">
        <v>10</v>
      </c>
      <c r="B653" s="25">
        <v>45933</v>
      </c>
      <c r="C653" s="29" t="s">
        <v>810</v>
      </c>
      <c r="D653" s="36">
        <v>2</v>
      </c>
      <c r="E653" s="41" t="s">
        <v>811</v>
      </c>
      <c r="F653" s="42">
        <v>5</v>
      </c>
      <c r="G653" s="9">
        <v>10</v>
      </c>
      <c r="H653" s="45">
        <v>15</v>
      </c>
      <c r="I653" s="9">
        <v>30</v>
      </c>
      <c r="J653" s="80" t="s">
        <v>338</v>
      </c>
      <c r="K653" s="43">
        <v>20</v>
      </c>
      <c r="L653" s="45" t="s">
        <v>15</v>
      </c>
    </row>
    <row r="654" spans="1:12" ht="15" customHeight="1" x14ac:dyDescent="0.3">
      <c r="A654" s="21">
        <v>10</v>
      </c>
      <c r="B654" s="25">
        <v>45933</v>
      </c>
      <c r="C654" s="29" t="s">
        <v>787</v>
      </c>
      <c r="D654" s="36">
        <v>2</v>
      </c>
      <c r="E654" s="41" t="s">
        <v>791</v>
      </c>
      <c r="F654" s="42">
        <v>2.5</v>
      </c>
      <c r="G654" s="9">
        <v>5</v>
      </c>
      <c r="H654" s="45">
        <v>5</v>
      </c>
      <c r="I654" s="9">
        <v>10</v>
      </c>
      <c r="J654" s="80" t="s">
        <v>338</v>
      </c>
      <c r="K654" s="43">
        <v>5</v>
      </c>
      <c r="L654" s="45" t="s">
        <v>15</v>
      </c>
    </row>
    <row r="655" spans="1:12" ht="15" customHeight="1" x14ac:dyDescent="0.3">
      <c r="A655" s="21">
        <v>10</v>
      </c>
      <c r="B655" s="25">
        <v>45933</v>
      </c>
      <c r="C655" s="29" t="s">
        <v>315</v>
      </c>
      <c r="D655" s="36">
        <v>26</v>
      </c>
      <c r="E655" s="41" t="s">
        <v>739</v>
      </c>
      <c r="F655" s="42">
        <v>7.0000000000000007E-2</v>
      </c>
      <c r="G655" s="9">
        <v>1.8200000000000003</v>
      </c>
      <c r="H655" s="45">
        <v>1</v>
      </c>
      <c r="I655" s="9">
        <v>26</v>
      </c>
      <c r="J655" s="80" t="s">
        <v>338</v>
      </c>
      <c r="K655" s="43">
        <v>24.18</v>
      </c>
      <c r="L655" s="45" t="s">
        <v>578</v>
      </c>
    </row>
    <row r="656" spans="1:12" ht="15" customHeight="1" x14ac:dyDescent="0.3">
      <c r="A656" s="21">
        <v>10</v>
      </c>
      <c r="B656" s="25">
        <v>45934</v>
      </c>
      <c r="C656" s="29" t="s">
        <v>552</v>
      </c>
      <c r="D656" s="36">
        <v>1</v>
      </c>
      <c r="E656" s="41" t="s">
        <v>20</v>
      </c>
      <c r="F656" s="42">
        <v>18.5</v>
      </c>
      <c r="G656" s="9">
        <v>18.5</v>
      </c>
      <c r="H656" s="45">
        <v>30</v>
      </c>
      <c r="I656" s="9">
        <v>30</v>
      </c>
      <c r="J656" s="80" t="s">
        <v>338</v>
      </c>
      <c r="K656" s="43">
        <v>11.5</v>
      </c>
      <c r="L656" s="45" t="s">
        <v>15</v>
      </c>
    </row>
    <row r="657" spans="1:12" ht="15" customHeight="1" x14ac:dyDescent="0.3">
      <c r="A657" s="21">
        <v>10</v>
      </c>
      <c r="B657" s="25">
        <v>45934</v>
      </c>
      <c r="C657" s="29" t="s">
        <v>787</v>
      </c>
      <c r="D657" s="36">
        <v>6</v>
      </c>
      <c r="E657" s="41" t="s">
        <v>20</v>
      </c>
      <c r="F657" s="42">
        <v>2.5</v>
      </c>
      <c r="G657" s="9">
        <v>15</v>
      </c>
      <c r="H657" s="45">
        <v>5</v>
      </c>
      <c r="I657" s="9">
        <v>30</v>
      </c>
      <c r="J657" s="80" t="s">
        <v>338</v>
      </c>
      <c r="K657" s="43">
        <v>15</v>
      </c>
      <c r="L657" s="45" t="s">
        <v>15</v>
      </c>
    </row>
    <row r="658" spans="1:12" ht="15" customHeight="1" x14ac:dyDescent="0.3">
      <c r="A658" s="21">
        <v>10</v>
      </c>
      <c r="B658" s="25">
        <v>45934</v>
      </c>
      <c r="C658" s="29" t="s">
        <v>672</v>
      </c>
      <c r="D658" s="36">
        <v>1</v>
      </c>
      <c r="E658" s="41" t="s">
        <v>20</v>
      </c>
      <c r="F658" s="42">
        <v>5</v>
      </c>
      <c r="G658" s="9">
        <v>5</v>
      </c>
      <c r="H658" s="45">
        <v>15</v>
      </c>
      <c r="I658" s="9">
        <v>15</v>
      </c>
      <c r="J658" s="80" t="s">
        <v>338</v>
      </c>
      <c r="K658" s="43">
        <v>10</v>
      </c>
      <c r="L658" s="45" t="s">
        <v>15</v>
      </c>
    </row>
    <row r="659" spans="1:12" ht="15" customHeight="1" x14ac:dyDescent="0.3">
      <c r="A659" s="21">
        <v>10</v>
      </c>
      <c r="B659" s="25">
        <v>45934</v>
      </c>
      <c r="C659" s="29" t="s">
        <v>313</v>
      </c>
      <c r="D659" s="36">
        <v>1</v>
      </c>
      <c r="E659" s="41" t="s">
        <v>812</v>
      </c>
      <c r="F659" s="42">
        <v>3</v>
      </c>
      <c r="G659" s="9">
        <v>3</v>
      </c>
      <c r="H659" s="45">
        <v>15</v>
      </c>
      <c r="I659" s="9">
        <v>15</v>
      </c>
      <c r="J659" s="80" t="s">
        <v>338</v>
      </c>
      <c r="K659" s="43">
        <v>12</v>
      </c>
      <c r="L659" s="45" t="s">
        <v>15</v>
      </c>
    </row>
    <row r="660" spans="1:12" ht="15" customHeight="1" x14ac:dyDescent="0.3">
      <c r="A660" s="21">
        <v>10</v>
      </c>
      <c r="B660" s="25">
        <v>45934</v>
      </c>
      <c r="C660" s="29" t="s">
        <v>706</v>
      </c>
      <c r="D660" s="36">
        <v>1</v>
      </c>
      <c r="E660" s="41" t="s">
        <v>812</v>
      </c>
      <c r="F660" s="42">
        <v>15</v>
      </c>
      <c r="G660" s="9">
        <v>15</v>
      </c>
      <c r="H660" s="45">
        <v>30</v>
      </c>
      <c r="I660" s="9">
        <v>30</v>
      </c>
      <c r="J660" s="80" t="s">
        <v>338</v>
      </c>
      <c r="K660" s="43">
        <v>15</v>
      </c>
      <c r="L660" s="45" t="s">
        <v>15</v>
      </c>
    </row>
    <row r="661" spans="1:12" ht="15" customHeight="1" x14ac:dyDescent="0.3">
      <c r="A661" s="21">
        <v>10</v>
      </c>
      <c r="B661" s="25">
        <v>45934</v>
      </c>
      <c r="C661" s="29" t="s">
        <v>750</v>
      </c>
      <c r="D661" s="36">
        <v>1</v>
      </c>
      <c r="E661" s="41" t="s">
        <v>812</v>
      </c>
      <c r="F661" s="42">
        <v>5</v>
      </c>
      <c r="G661" s="9">
        <v>5</v>
      </c>
      <c r="H661" s="45">
        <v>15</v>
      </c>
      <c r="I661" s="9">
        <v>15</v>
      </c>
      <c r="J661" s="80" t="s">
        <v>338</v>
      </c>
      <c r="K661" s="43">
        <v>10</v>
      </c>
      <c r="L661" s="45" t="s">
        <v>15</v>
      </c>
    </row>
    <row r="662" spans="1:12" ht="15" customHeight="1" x14ac:dyDescent="0.3">
      <c r="A662" s="21">
        <v>10</v>
      </c>
      <c r="B662" s="25">
        <v>45934</v>
      </c>
      <c r="C662" s="29" t="s">
        <v>315</v>
      </c>
      <c r="D662" s="36">
        <v>1</v>
      </c>
      <c r="E662" s="41" t="s">
        <v>20</v>
      </c>
      <c r="F662" s="42">
        <v>7.0000000000000007E-2</v>
      </c>
      <c r="G662" s="9">
        <v>7.0000000000000007E-2</v>
      </c>
      <c r="H662" s="45">
        <v>1</v>
      </c>
      <c r="I662" s="9">
        <v>1</v>
      </c>
      <c r="J662" s="80" t="s">
        <v>338</v>
      </c>
      <c r="K662" s="43">
        <v>0.92999999999999994</v>
      </c>
      <c r="L662" s="45" t="s">
        <v>15</v>
      </c>
    </row>
    <row r="663" spans="1:12" ht="15" customHeight="1" x14ac:dyDescent="0.3">
      <c r="A663" s="21">
        <v>10</v>
      </c>
      <c r="B663" s="25">
        <v>45934</v>
      </c>
      <c r="C663" s="29" t="s">
        <v>715</v>
      </c>
      <c r="D663" s="36">
        <v>1</v>
      </c>
      <c r="E663" s="41" t="s">
        <v>20</v>
      </c>
      <c r="F663" s="42">
        <v>15</v>
      </c>
      <c r="G663" s="9">
        <v>15</v>
      </c>
      <c r="H663" s="45">
        <v>20</v>
      </c>
      <c r="I663" s="9">
        <v>20</v>
      </c>
      <c r="J663" s="80" t="s">
        <v>338</v>
      </c>
      <c r="K663" s="43">
        <v>5</v>
      </c>
      <c r="L663" s="45" t="s">
        <v>15</v>
      </c>
    </row>
    <row r="664" spans="1:12" ht="15" customHeight="1" x14ac:dyDescent="0.3">
      <c r="A664" s="21">
        <v>10</v>
      </c>
      <c r="B664" s="25">
        <v>45936</v>
      </c>
      <c r="C664" s="29" t="s">
        <v>315</v>
      </c>
      <c r="D664" s="36">
        <v>1</v>
      </c>
      <c r="E664" s="41" t="s">
        <v>20</v>
      </c>
      <c r="F664" s="42">
        <v>7.0000000000000007E-2</v>
      </c>
      <c r="G664" s="9">
        <v>7.0000000000000007E-2</v>
      </c>
      <c r="H664" s="45">
        <v>1</v>
      </c>
      <c r="I664" s="9">
        <v>1</v>
      </c>
      <c r="J664" s="80" t="s">
        <v>338</v>
      </c>
      <c r="K664" s="43">
        <v>0.92999999999999994</v>
      </c>
      <c r="L664" s="45" t="s">
        <v>15</v>
      </c>
    </row>
    <row r="665" spans="1:12" ht="15" customHeight="1" x14ac:dyDescent="0.3">
      <c r="A665" s="21">
        <v>10</v>
      </c>
      <c r="B665" s="25">
        <v>45936</v>
      </c>
      <c r="C665" s="29" t="s">
        <v>313</v>
      </c>
      <c r="D665" s="36">
        <v>1</v>
      </c>
      <c r="E665" s="41" t="s">
        <v>118</v>
      </c>
      <c r="F665" s="42">
        <v>3</v>
      </c>
      <c r="G665" s="9">
        <v>3</v>
      </c>
      <c r="H665" s="45">
        <v>10</v>
      </c>
      <c r="I665" s="9">
        <v>10</v>
      </c>
      <c r="J665" s="80" t="s">
        <v>338</v>
      </c>
      <c r="K665" s="43">
        <v>7</v>
      </c>
      <c r="L665" s="45" t="s">
        <v>15</v>
      </c>
    </row>
    <row r="666" spans="1:12" ht="15" customHeight="1" x14ac:dyDescent="0.3">
      <c r="A666" s="21">
        <v>10</v>
      </c>
      <c r="B666" s="25">
        <v>45936</v>
      </c>
      <c r="C666" s="29" t="s">
        <v>750</v>
      </c>
      <c r="D666" s="36">
        <v>1</v>
      </c>
      <c r="E666" s="41" t="s">
        <v>118</v>
      </c>
      <c r="F666" s="42">
        <v>6</v>
      </c>
      <c r="G666" s="9">
        <v>6</v>
      </c>
      <c r="H666" s="45">
        <v>15</v>
      </c>
      <c r="I666" s="9">
        <v>15</v>
      </c>
      <c r="J666" s="80" t="s">
        <v>338</v>
      </c>
      <c r="K666" s="43">
        <v>9</v>
      </c>
      <c r="L666" s="45" t="s">
        <v>15</v>
      </c>
    </row>
    <row r="667" spans="1:12" ht="15" customHeight="1" x14ac:dyDescent="0.3">
      <c r="A667" s="21">
        <v>10</v>
      </c>
      <c r="B667" s="25">
        <v>45936</v>
      </c>
      <c r="C667" s="29" t="s">
        <v>692</v>
      </c>
      <c r="D667" s="36">
        <v>1</v>
      </c>
      <c r="E667" s="41" t="s">
        <v>118</v>
      </c>
      <c r="F667" s="42">
        <v>15</v>
      </c>
      <c r="G667" s="9">
        <v>15</v>
      </c>
      <c r="H667" s="45">
        <v>50</v>
      </c>
      <c r="I667" s="9">
        <v>50</v>
      </c>
      <c r="J667" s="80" t="s">
        <v>338</v>
      </c>
      <c r="K667" s="43">
        <v>35</v>
      </c>
      <c r="L667" s="45" t="s">
        <v>15</v>
      </c>
    </row>
    <row r="668" spans="1:12" ht="15" customHeight="1" x14ac:dyDescent="0.3">
      <c r="A668" s="21">
        <v>10</v>
      </c>
      <c r="B668" s="25">
        <v>45936</v>
      </c>
      <c r="C668" s="29" t="s">
        <v>813</v>
      </c>
      <c r="D668" s="36">
        <v>1</v>
      </c>
      <c r="E668" s="41" t="s">
        <v>132</v>
      </c>
      <c r="F668" s="42">
        <v>20</v>
      </c>
      <c r="G668" s="9">
        <v>20</v>
      </c>
      <c r="H668" s="45">
        <v>30</v>
      </c>
      <c r="I668" s="9">
        <v>30</v>
      </c>
      <c r="J668" s="80" t="s">
        <v>338</v>
      </c>
      <c r="K668" s="43">
        <v>10</v>
      </c>
      <c r="L668" s="45" t="s">
        <v>15</v>
      </c>
    </row>
    <row r="669" spans="1:12" ht="15" customHeight="1" x14ac:dyDescent="0.3">
      <c r="A669" s="21">
        <v>10</v>
      </c>
      <c r="B669" s="25">
        <v>45938</v>
      </c>
      <c r="C669" s="29" t="s">
        <v>315</v>
      </c>
      <c r="D669" s="36">
        <v>1</v>
      </c>
      <c r="E669" s="41" t="s">
        <v>763</v>
      </c>
      <c r="F669" s="42">
        <v>7.0000000000000007E-2</v>
      </c>
      <c r="G669" s="9">
        <v>7.0000000000000007E-2</v>
      </c>
      <c r="H669" s="45">
        <v>1</v>
      </c>
      <c r="I669" s="9">
        <v>1</v>
      </c>
      <c r="J669" s="80" t="s">
        <v>338</v>
      </c>
      <c r="K669" s="43">
        <v>0.92999999999999994</v>
      </c>
      <c r="L669" s="45" t="s">
        <v>15</v>
      </c>
    </row>
    <row r="670" spans="1:12" ht="15" customHeight="1" x14ac:dyDescent="0.3">
      <c r="A670" s="21">
        <v>10</v>
      </c>
      <c r="B670" s="25">
        <v>45938</v>
      </c>
      <c r="C670" s="29" t="s">
        <v>697</v>
      </c>
      <c r="D670" s="36">
        <v>1</v>
      </c>
      <c r="E670" s="41" t="s">
        <v>20</v>
      </c>
      <c r="F670" s="42">
        <v>16</v>
      </c>
      <c r="G670" s="9">
        <v>16</v>
      </c>
      <c r="H670" s="45">
        <v>30</v>
      </c>
      <c r="I670" s="9">
        <v>30</v>
      </c>
      <c r="J670" s="80" t="s">
        <v>338</v>
      </c>
      <c r="K670" s="43">
        <v>14</v>
      </c>
      <c r="L670" s="45" t="s">
        <v>15</v>
      </c>
    </row>
    <row r="671" spans="1:12" ht="15" customHeight="1" x14ac:dyDescent="0.3">
      <c r="A671" s="21">
        <v>10</v>
      </c>
      <c r="B671" s="25">
        <v>45938</v>
      </c>
      <c r="C671" s="29" t="s">
        <v>814</v>
      </c>
      <c r="D671" s="36">
        <v>1</v>
      </c>
      <c r="E671" s="41" t="s">
        <v>20</v>
      </c>
      <c r="F671" s="42">
        <v>35</v>
      </c>
      <c r="G671" s="9">
        <v>35</v>
      </c>
      <c r="H671" s="45">
        <v>50</v>
      </c>
      <c r="I671" s="9">
        <v>50</v>
      </c>
      <c r="J671" s="80" t="s">
        <v>338</v>
      </c>
      <c r="K671" s="43">
        <v>15</v>
      </c>
      <c r="L671" s="45" t="s">
        <v>15</v>
      </c>
    </row>
    <row r="672" spans="1:12" ht="15" customHeight="1" x14ac:dyDescent="0.3">
      <c r="A672" s="21">
        <v>10</v>
      </c>
      <c r="B672" s="25">
        <v>45939</v>
      </c>
      <c r="C672" s="29" t="s">
        <v>549</v>
      </c>
      <c r="D672" s="36">
        <v>2</v>
      </c>
      <c r="E672" s="41" t="s">
        <v>20</v>
      </c>
      <c r="F672" s="42">
        <v>0.5</v>
      </c>
      <c r="G672" s="9">
        <v>1</v>
      </c>
      <c r="H672" s="45">
        <v>5</v>
      </c>
      <c r="I672" s="9">
        <v>10</v>
      </c>
      <c r="J672" s="80" t="s">
        <v>338</v>
      </c>
      <c r="K672" s="43">
        <v>9</v>
      </c>
      <c r="L672" s="45" t="s">
        <v>15</v>
      </c>
    </row>
    <row r="673" spans="1:12" ht="15" customHeight="1" x14ac:dyDescent="0.3">
      <c r="A673" s="21">
        <v>10</v>
      </c>
      <c r="B673" s="25">
        <v>45939</v>
      </c>
      <c r="C673" s="29" t="s">
        <v>810</v>
      </c>
      <c r="D673" s="36">
        <v>1</v>
      </c>
      <c r="E673" s="41" t="s">
        <v>20</v>
      </c>
      <c r="F673" s="42">
        <v>5</v>
      </c>
      <c r="G673" s="9">
        <v>5</v>
      </c>
      <c r="H673" s="45">
        <v>15</v>
      </c>
      <c r="I673" s="9">
        <v>15</v>
      </c>
      <c r="J673" s="80" t="s">
        <v>338</v>
      </c>
      <c r="K673" s="43">
        <v>10</v>
      </c>
      <c r="L673" s="45" t="s">
        <v>15</v>
      </c>
    </row>
    <row r="674" spans="1:12" ht="15" customHeight="1" x14ac:dyDescent="0.3">
      <c r="A674" s="21">
        <v>10</v>
      </c>
      <c r="B674" s="25">
        <v>45939</v>
      </c>
      <c r="C674" s="29" t="s">
        <v>815</v>
      </c>
      <c r="D674" s="36">
        <v>1</v>
      </c>
      <c r="E674" s="41" t="s">
        <v>232</v>
      </c>
      <c r="F674" s="42">
        <v>2</v>
      </c>
      <c r="G674" s="9">
        <v>2</v>
      </c>
      <c r="H674" s="45">
        <v>6</v>
      </c>
      <c r="I674" s="9">
        <v>6</v>
      </c>
      <c r="J674" s="80" t="s">
        <v>338</v>
      </c>
      <c r="K674" s="43">
        <v>4</v>
      </c>
      <c r="L674" s="45" t="s">
        <v>15</v>
      </c>
    </row>
    <row r="675" spans="1:12" ht="15" customHeight="1" x14ac:dyDescent="0.3">
      <c r="A675" s="21">
        <v>10</v>
      </c>
      <c r="B675" s="25">
        <v>45939</v>
      </c>
      <c r="C675" s="29" t="s">
        <v>816</v>
      </c>
      <c r="D675" s="36">
        <v>1</v>
      </c>
      <c r="E675" s="41" t="s">
        <v>20</v>
      </c>
      <c r="F675" s="42">
        <v>55</v>
      </c>
      <c r="G675" s="9">
        <v>55</v>
      </c>
      <c r="H675" s="45">
        <v>110</v>
      </c>
      <c r="I675" s="9">
        <v>110</v>
      </c>
      <c r="J675" s="80" t="s">
        <v>338</v>
      </c>
      <c r="K675" s="43">
        <v>55</v>
      </c>
      <c r="L675" s="45" t="s">
        <v>15</v>
      </c>
    </row>
    <row r="676" spans="1:12" ht="15" customHeight="1" x14ac:dyDescent="0.3">
      <c r="A676" s="21">
        <v>10</v>
      </c>
      <c r="B676" s="25">
        <v>45939</v>
      </c>
      <c r="C676" s="29" t="s">
        <v>817</v>
      </c>
      <c r="D676" s="36">
        <v>10</v>
      </c>
      <c r="E676" s="41" t="s">
        <v>17</v>
      </c>
      <c r="F676" s="42">
        <v>2.5</v>
      </c>
      <c r="G676" s="9">
        <v>25</v>
      </c>
      <c r="H676" s="45">
        <v>38.619999999999997</v>
      </c>
      <c r="I676" s="9">
        <v>386.2</v>
      </c>
      <c r="J676" s="80" t="s">
        <v>338</v>
      </c>
      <c r="K676" s="43">
        <v>361.2</v>
      </c>
      <c r="L676" s="45" t="s">
        <v>15</v>
      </c>
    </row>
    <row r="677" spans="1:12" ht="15" customHeight="1" x14ac:dyDescent="0.3">
      <c r="A677" s="21">
        <v>10</v>
      </c>
      <c r="B677" s="25">
        <v>45939</v>
      </c>
      <c r="C677" s="29" t="s">
        <v>818</v>
      </c>
      <c r="D677" s="36">
        <v>3</v>
      </c>
      <c r="E677" s="41" t="s">
        <v>17</v>
      </c>
      <c r="F677" s="42">
        <v>7</v>
      </c>
      <c r="G677" s="9">
        <v>21</v>
      </c>
      <c r="H677" s="45">
        <v>27.5</v>
      </c>
      <c r="I677" s="9">
        <v>82.5</v>
      </c>
      <c r="J677" s="80" t="s">
        <v>338</v>
      </c>
      <c r="K677" s="43">
        <v>61.5</v>
      </c>
      <c r="L677" s="45" t="s">
        <v>15</v>
      </c>
    </row>
    <row r="678" spans="1:12" ht="15" customHeight="1" x14ac:dyDescent="0.3">
      <c r="A678" s="21">
        <v>10</v>
      </c>
      <c r="B678" s="25">
        <v>45939</v>
      </c>
      <c r="C678" s="29" t="s">
        <v>819</v>
      </c>
      <c r="D678" s="36">
        <v>1</v>
      </c>
      <c r="E678" s="41" t="s">
        <v>17</v>
      </c>
      <c r="F678" s="42">
        <v>2</v>
      </c>
      <c r="G678" s="9">
        <v>2</v>
      </c>
      <c r="H678" s="45">
        <v>4.76</v>
      </c>
      <c r="I678" s="9">
        <v>4.76</v>
      </c>
      <c r="J678" s="80" t="s">
        <v>338</v>
      </c>
      <c r="K678" s="43">
        <v>2.76</v>
      </c>
      <c r="L678" s="45" t="s">
        <v>15</v>
      </c>
    </row>
    <row r="679" spans="1:12" ht="15" customHeight="1" x14ac:dyDescent="0.3">
      <c r="A679" s="21">
        <v>10</v>
      </c>
      <c r="B679" s="25">
        <v>45939</v>
      </c>
      <c r="C679" s="29" t="s">
        <v>820</v>
      </c>
      <c r="D679" s="36">
        <v>1</v>
      </c>
      <c r="E679" s="41" t="s">
        <v>17</v>
      </c>
      <c r="F679" s="42">
        <v>295</v>
      </c>
      <c r="G679" s="9">
        <v>295</v>
      </c>
      <c r="H679" s="45">
        <v>386</v>
      </c>
      <c r="I679" s="9">
        <v>386</v>
      </c>
      <c r="J679" s="80" t="s">
        <v>338</v>
      </c>
      <c r="K679" s="43">
        <v>91</v>
      </c>
      <c r="L679" s="45" t="s">
        <v>303</v>
      </c>
    </row>
    <row r="680" spans="1:12" ht="15" customHeight="1" x14ac:dyDescent="0.3">
      <c r="A680" s="21">
        <v>10</v>
      </c>
      <c r="B680" s="25">
        <v>45939</v>
      </c>
      <c r="C680" s="29" t="s">
        <v>818</v>
      </c>
      <c r="D680" s="36">
        <v>1</v>
      </c>
      <c r="E680" s="41" t="s">
        <v>17</v>
      </c>
      <c r="F680" s="42">
        <v>7</v>
      </c>
      <c r="G680" s="9">
        <v>7</v>
      </c>
      <c r="H680" s="45">
        <v>9.26</v>
      </c>
      <c r="I680" s="9">
        <v>9.26</v>
      </c>
      <c r="J680" s="80" t="s">
        <v>338</v>
      </c>
      <c r="K680" s="43">
        <v>2.2599999999999998</v>
      </c>
      <c r="L680" s="45" t="s">
        <v>303</v>
      </c>
    </row>
    <row r="681" spans="1:12" ht="15" customHeight="1" x14ac:dyDescent="0.3">
      <c r="A681" s="21">
        <v>10</v>
      </c>
      <c r="B681" s="25">
        <v>45939</v>
      </c>
      <c r="C681" s="29" t="s">
        <v>821</v>
      </c>
      <c r="D681" s="36">
        <v>1</v>
      </c>
      <c r="E681" s="41" t="s">
        <v>822</v>
      </c>
      <c r="F681" s="42">
        <v>55</v>
      </c>
      <c r="G681" s="9">
        <v>55</v>
      </c>
      <c r="H681" s="45">
        <v>95</v>
      </c>
      <c r="I681" s="9">
        <v>95</v>
      </c>
      <c r="J681" s="80" t="s">
        <v>338</v>
      </c>
      <c r="K681" s="43">
        <v>40</v>
      </c>
      <c r="L681" s="45" t="s">
        <v>15</v>
      </c>
    </row>
    <row r="682" spans="1:12" ht="15" customHeight="1" x14ac:dyDescent="0.3">
      <c r="A682" s="21">
        <v>10</v>
      </c>
      <c r="B682" s="25">
        <v>45943</v>
      </c>
      <c r="C682" s="29" t="s">
        <v>668</v>
      </c>
      <c r="D682" s="36">
        <v>1</v>
      </c>
      <c r="E682" s="41" t="s">
        <v>822</v>
      </c>
      <c r="F682" s="42">
        <v>250</v>
      </c>
      <c r="G682" s="9">
        <v>250</v>
      </c>
      <c r="H682" s="45">
        <v>334.4</v>
      </c>
      <c r="I682" s="9">
        <v>334.4</v>
      </c>
      <c r="J682" s="80" t="s">
        <v>338</v>
      </c>
      <c r="K682" s="43">
        <v>84.399999999999977</v>
      </c>
      <c r="L682" s="45" t="s">
        <v>15</v>
      </c>
    </row>
    <row r="683" spans="1:12" ht="15" customHeight="1" x14ac:dyDescent="0.3">
      <c r="A683" s="21">
        <v>10</v>
      </c>
      <c r="B683" s="25">
        <v>45943</v>
      </c>
      <c r="C683" s="29" t="s">
        <v>668</v>
      </c>
      <c r="D683" s="36">
        <v>1</v>
      </c>
      <c r="E683" s="41" t="s">
        <v>822</v>
      </c>
      <c r="F683" s="42">
        <v>250</v>
      </c>
      <c r="G683" s="9">
        <v>250</v>
      </c>
      <c r="H683" s="45">
        <v>347.6</v>
      </c>
      <c r="I683" s="9">
        <v>347.6</v>
      </c>
      <c r="J683" s="80" t="s">
        <v>338</v>
      </c>
      <c r="K683" s="43">
        <v>97.600000000000023</v>
      </c>
      <c r="L683" s="45" t="s">
        <v>15</v>
      </c>
    </row>
    <row r="684" spans="1:12" ht="15" customHeight="1" x14ac:dyDescent="0.3">
      <c r="A684" s="21">
        <v>10</v>
      </c>
      <c r="B684" s="25">
        <v>45943</v>
      </c>
      <c r="C684" s="29" t="s">
        <v>668</v>
      </c>
      <c r="D684" s="36">
        <v>1</v>
      </c>
      <c r="E684" s="41" t="s">
        <v>822</v>
      </c>
      <c r="F684" s="42">
        <v>250</v>
      </c>
      <c r="G684" s="9">
        <v>250</v>
      </c>
      <c r="H684" s="45">
        <v>304</v>
      </c>
      <c r="I684" s="9">
        <v>304</v>
      </c>
      <c r="J684" s="80" t="s">
        <v>338</v>
      </c>
      <c r="K684" s="43">
        <v>54</v>
      </c>
      <c r="L684" s="45" t="s">
        <v>15</v>
      </c>
    </row>
    <row r="685" spans="1:12" ht="15" customHeight="1" x14ac:dyDescent="0.3">
      <c r="A685" s="21">
        <v>10</v>
      </c>
      <c r="B685" s="25">
        <v>45943</v>
      </c>
      <c r="C685" s="29" t="s">
        <v>823</v>
      </c>
      <c r="D685" s="36">
        <v>1</v>
      </c>
      <c r="E685" s="41" t="s">
        <v>17</v>
      </c>
      <c r="F685" s="42">
        <v>20</v>
      </c>
      <c r="G685" s="9">
        <v>20</v>
      </c>
      <c r="H685" s="45">
        <v>21.19</v>
      </c>
      <c r="I685" s="9">
        <v>21.19</v>
      </c>
      <c r="J685" s="80" t="s">
        <v>338</v>
      </c>
      <c r="K685" s="43">
        <v>1.1900000000000013</v>
      </c>
      <c r="L685" s="45" t="s">
        <v>15</v>
      </c>
    </row>
    <row r="686" spans="1:12" ht="15" customHeight="1" x14ac:dyDescent="0.3">
      <c r="A686" s="21">
        <v>10</v>
      </c>
      <c r="B686" s="25">
        <v>45943</v>
      </c>
      <c r="C686" s="29" t="s">
        <v>818</v>
      </c>
      <c r="D686" s="36">
        <v>1</v>
      </c>
      <c r="E686" s="41" t="s">
        <v>17</v>
      </c>
      <c r="F686" s="42">
        <v>7.5</v>
      </c>
      <c r="G686" s="9">
        <v>7.5</v>
      </c>
      <c r="H686" s="45">
        <v>12.46</v>
      </c>
      <c r="I686" s="9">
        <v>12.46</v>
      </c>
      <c r="J686" s="82" t="s">
        <v>338</v>
      </c>
      <c r="K686" s="43">
        <v>4.9600000000000009</v>
      </c>
      <c r="L686" s="45" t="s">
        <v>15</v>
      </c>
    </row>
    <row r="687" spans="1:12" ht="15" customHeight="1" x14ac:dyDescent="0.3">
      <c r="A687" s="21">
        <v>10</v>
      </c>
      <c r="B687" s="25">
        <v>45943</v>
      </c>
      <c r="C687" s="29" t="s">
        <v>824</v>
      </c>
      <c r="D687" s="36">
        <v>1</v>
      </c>
      <c r="E687" s="41" t="s">
        <v>17</v>
      </c>
      <c r="F687" s="42">
        <v>32.950000000000003</v>
      </c>
      <c r="G687" s="9">
        <v>32.950000000000003</v>
      </c>
      <c r="H687" s="45">
        <v>48.7</v>
      </c>
      <c r="I687" s="9">
        <v>48.7</v>
      </c>
      <c r="J687" s="82" t="s">
        <v>338</v>
      </c>
      <c r="K687" s="43">
        <v>15.75</v>
      </c>
      <c r="L687" s="45" t="s">
        <v>15</v>
      </c>
    </row>
    <row r="688" spans="1:12" ht="15" customHeight="1" x14ac:dyDescent="0.3">
      <c r="A688" s="21">
        <v>10</v>
      </c>
      <c r="B688" s="25">
        <v>45943</v>
      </c>
      <c r="C688" s="29" t="s">
        <v>825</v>
      </c>
      <c r="D688" s="36">
        <v>1</v>
      </c>
      <c r="E688" s="41" t="s">
        <v>17</v>
      </c>
      <c r="F688" s="42">
        <v>2</v>
      </c>
      <c r="G688" s="9">
        <v>2</v>
      </c>
      <c r="H688" s="45">
        <v>5.87</v>
      </c>
      <c r="I688" s="9">
        <v>5.87</v>
      </c>
      <c r="J688" s="82" t="s">
        <v>338</v>
      </c>
      <c r="K688" s="43">
        <v>3.87</v>
      </c>
      <c r="L688" s="45" t="s">
        <v>15</v>
      </c>
    </row>
    <row r="689" spans="1:12" ht="15" customHeight="1" x14ac:dyDescent="0.3">
      <c r="A689" s="21">
        <v>10</v>
      </c>
      <c r="B689" s="25">
        <v>45944</v>
      </c>
      <c r="C689" s="29" t="s">
        <v>818</v>
      </c>
      <c r="D689" s="36">
        <v>1</v>
      </c>
      <c r="E689" s="41" t="s">
        <v>17</v>
      </c>
      <c r="F689" s="42">
        <v>7.5</v>
      </c>
      <c r="G689" s="9">
        <v>7.5</v>
      </c>
      <c r="H689" s="45">
        <v>12.46</v>
      </c>
      <c r="I689" s="9">
        <v>12.46</v>
      </c>
      <c r="J689" s="82" t="s">
        <v>338</v>
      </c>
      <c r="K689" s="43">
        <v>4.9600000000000009</v>
      </c>
      <c r="L689" s="45" t="s">
        <v>15</v>
      </c>
    </row>
    <row r="690" spans="1:12" ht="15" customHeight="1" x14ac:dyDescent="0.3">
      <c r="A690" s="21">
        <v>10</v>
      </c>
      <c r="B690" s="25">
        <v>45945</v>
      </c>
      <c r="C690" s="29" t="s">
        <v>715</v>
      </c>
      <c r="D690" s="36">
        <v>6</v>
      </c>
      <c r="E690" s="41" t="s">
        <v>20</v>
      </c>
      <c r="F690" s="42">
        <v>7.5</v>
      </c>
      <c r="G690" s="9">
        <v>45</v>
      </c>
      <c r="H690" s="45">
        <v>10</v>
      </c>
      <c r="I690" s="9">
        <v>60</v>
      </c>
      <c r="J690" s="82" t="s">
        <v>338</v>
      </c>
      <c r="K690" s="43">
        <v>15</v>
      </c>
      <c r="L690" s="45" t="s">
        <v>15</v>
      </c>
    </row>
    <row r="691" spans="1:12" ht="15" customHeight="1" x14ac:dyDescent="0.3">
      <c r="A691" s="21">
        <v>10</v>
      </c>
      <c r="B691" s="25">
        <v>45945</v>
      </c>
      <c r="C691" s="29" t="s">
        <v>431</v>
      </c>
      <c r="D691" s="36">
        <v>1</v>
      </c>
      <c r="E691" s="41" t="s">
        <v>20</v>
      </c>
      <c r="F691" s="42">
        <v>0</v>
      </c>
      <c r="G691" s="9">
        <v>0</v>
      </c>
      <c r="H691" s="45">
        <v>15</v>
      </c>
      <c r="I691" s="9">
        <v>15</v>
      </c>
      <c r="J691" s="82" t="s">
        <v>338</v>
      </c>
      <c r="K691" s="43">
        <v>15</v>
      </c>
      <c r="L691" s="45" t="s">
        <v>578</v>
      </c>
    </row>
    <row r="692" spans="1:12" ht="15" customHeight="1" x14ac:dyDescent="0.3">
      <c r="A692" s="21">
        <v>10</v>
      </c>
      <c r="B692" s="25">
        <v>45946</v>
      </c>
      <c r="C692" s="29" t="s">
        <v>725</v>
      </c>
      <c r="D692" s="36">
        <v>3</v>
      </c>
      <c r="E692" s="41" t="s">
        <v>20</v>
      </c>
      <c r="F692" s="42" t="s">
        <v>72</v>
      </c>
      <c r="G692" s="9">
        <v>0</v>
      </c>
      <c r="H692" s="45">
        <v>5</v>
      </c>
      <c r="I692" s="9">
        <v>15</v>
      </c>
      <c r="J692" s="80" t="s">
        <v>338</v>
      </c>
      <c r="K692" s="43">
        <v>15</v>
      </c>
      <c r="L692" s="45" t="s">
        <v>15</v>
      </c>
    </row>
    <row r="693" spans="1:12" ht="15" customHeight="1" x14ac:dyDescent="0.3">
      <c r="A693" s="21">
        <v>10</v>
      </c>
      <c r="B693" s="25">
        <v>45946</v>
      </c>
      <c r="C693" s="29" t="s">
        <v>826</v>
      </c>
      <c r="D693" s="36">
        <v>1</v>
      </c>
      <c r="E693" s="41" t="s">
        <v>17</v>
      </c>
      <c r="F693" s="42">
        <v>12</v>
      </c>
      <c r="G693" s="9">
        <v>12</v>
      </c>
      <c r="H693" s="45">
        <v>15.76</v>
      </c>
      <c r="I693" s="9">
        <v>15.76</v>
      </c>
      <c r="J693" s="80" t="s">
        <v>338</v>
      </c>
      <c r="K693" s="43">
        <v>3.76</v>
      </c>
      <c r="L693" s="45" t="s">
        <v>15</v>
      </c>
    </row>
    <row r="694" spans="1:12" ht="15" customHeight="1" x14ac:dyDescent="0.3">
      <c r="A694" s="21">
        <v>10</v>
      </c>
      <c r="B694" s="25">
        <v>45946</v>
      </c>
      <c r="C694" s="29" t="s">
        <v>827</v>
      </c>
      <c r="D694" s="36">
        <v>1</v>
      </c>
      <c r="E694" s="41" t="s">
        <v>17</v>
      </c>
      <c r="F694" s="42">
        <v>30</v>
      </c>
      <c r="G694" s="9">
        <v>30</v>
      </c>
      <c r="H694" s="45">
        <v>38.619999999999997</v>
      </c>
      <c r="I694" s="9">
        <v>38.619999999999997</v>
      </c>
      <c r="J694" s="80" t="s">
        <v>338</v>
      </c>
      <c r="K694" s="43">
        <v>8.6199999999999974</v>
      </c>
      <c r="L694" s="45" t="s">
        <v>15</v>
      </c>
    </row>
    <row r="695" spans="1:12" ht="15" customHeight="1" x14ac:dyDescent="0.3">
      <c r="A695" s="21">
        <v>10</v>
      </c>
      <c r="B695" s="25">
        <v>45946</v>
      </c>
      <c r="C695" s="29" t="s">
        <v>828</v>
      </c>
      <c r="D695" s="36">
        <v>1</v>
      </c>
      <c r="E695" s="41" t="s">
        <v>17</v>
      </c>
      <c r="F695" s="42">
        <v>52</v>
      </c>
      <c r="G695" s="9">
        <v>52</v>
      </c>
      <c r="H695" s="45">
        <v>112.25</v>
      </c>
      <c r="I695" s="9">
        <v>112.25</v>
      </c>
      <c r="J695" s="80" t="s">
        <v>338</v>
      </c>
      <c r="K695" s="43">
        <v>60.25</v>
      </c>
      <c r="L695" s="45" t="s">
        <v>15</v>
      </c>
    </row>
    <row r="696" spans="1:12" ht="15" customHeight="1" x14ac:dyDescent="0.3">
      <c r="A696" s="21">
        <v>10</v>
      </c>
      <c r="B696" s="25">
        <v>45947</v>
      </c>
      <c r="C696" s="29" t="s">
        <v>787</v>
      </c>
      <c r="D696" s="36">
        <v>3</v>
      </c>
      <c r="E696" s="41" t="s">
        <v>20</v>
      </c>
      <c r="F696" s="42">
        <v>2.5</v>
      </c>
      <c r="G696" s="9">
        <v>7.5</v>
      </c>
      <c r="H696" s="45">
        <v>5</v>
      </c>
      <c r="I696" s="9">
        <v>15</v>
      </c>
      <c r="J696" s="80" t="s">
        <v>338</v>
      </c>
      <c r="K696" s="43">
        <v>7.5</v>
      </c>
      <c r="L696" s="45" t="s">
        <v>15</v>
      </c>
    </row>
    <row r="697" spans="1:12" ht="15" customHeight="1" x14ac:dyDescent="0.3">
      <c r="A697" s="21">
        <v>10</v>
      </c>
      <c r="B697" s="25">
        <v>45947</v>
      </c>
      <c r="C697" s="29" t="s">
        <v>313</v>
      </c>
      <c r="D697" s="36">
        <v>2</v>
      </c>
      <c r="E697" s="41" t="s">
        <v>20</v>
      </c>
      <c r="F697" s="42">
        <v>3</v>
      </c>
      <c r="G697" s="9">
        <v>6</v>
      </c>
      <c r="H697" s="45">
        <v>12.5</v>
      </c>
      <c r="I697" s="9">
        <v>25</v>
      </c>
      <c r="J697" s="80" t="s">
        <v>338</v>
      </c>
      <c r="K697" s="43">
        <v>19</v>
      </c>
      <c r="L697" s="45" t="s">
        <v>15</v>
      </c>
    </row>
    <row r="698" spans="1:12" ht="15" customHeight="1" x14ac:dyDescent="0.3">
      <c r="A698" s="21">
        <v>10</v>
      </c>
      <c r="B698" s="25">
        <v>45947</v>
      </c>
      <c r="C698" s="29" t="s">
        <v>829</v>
      </c>
      <c r="D698" s="36">
        <v>1</v>
      </c>
      <c r="E698" s="41" t="s">
        <v>20</v>
      </c>
      <c r="F698" s="42">
        <v>10</v>
      </c>
      <c r="G698" s="9">
        <v>10</v>
      </c>
      <c r="H698" s="45">
        <v>25</v>
      </c>
      <c r="I698" s="9">
        <v>25</v>
      </c>
      <c r="J698" s="80" t="s">
        <v>338</v>
      </c>
      <c r="K698" s="43">
        <v>15</v>
      </c>
      <c r="L698" s="45" t="s">
        <v>15</v>
      </c>
    </row>
    <row r="699" spans="1:12" ht="15" customHeight="1" x14ac:dyDescent="0.3">
      <c r="A699" s="21">
        <v>10</v>
      </c>
      <c r="B699" s="25">
        <v>45947</v>
      </c>
      <c r="C699" s="29" t="s">
        <v>431</v>
      </c>
      <c r="D699" s="36">
        <v>1</v>
      </c>
      <c r="E699" s="41" t="s">
        <v>20</v>
      </c>
      <c r="F699" s="42">
        <v>0</v>
      </c>
      <c r="G699" s="9">
        <v>0</v>
      </c>
      <c r="H699" s="45">
        <v>12</v>
      </c>
      <c r="I699" s="9">
        <v>12</v>
      </c>
      <c r="J699" s="80" t="s">
        <v>338</v>
      </c>
      <c r="K699" s="43">
        <v>12</v>
      </c>
      <c r="L699" s="45" t="s">
        <v>15</v>
      </c>
    </row>
    <row r="700" spans="1:12" ht="15" customHeight="1" x14ac:dyDescent="0.3">
      <c r="A700" s="21">
        <v>10</v>
      </c>
      <c r="B700" s="25">
        <v>45948</v>
      </c>
      <c r="C700" s="29" t="s">
        <v>787</v>
      </c>
      <c r="D700" s="36">
        <v>10</v>
      </c>
      <c r="E700" s="41" t="s">
        <v>20</v>
      </c>
      <c r="F700" s="42">
        <v>2.5</v>
      </c>
      <c r="G700" s="9">
        <v>25</v>
      </c>
      <c r="H700" s="45">
        <v>5</v>
      </c>
      <c r="I700" s="9">
        <v>50</v>
      </c>
      <c r="J700" s="80" t="s">
        <v>338</v>
      </c>
      <c r="K700" s="43">
        <v>25</v>
      </c>
      <c r="L700" s="45" t="s">
        <v>15</v>
      </c>
    </row>
    <row r="701" spans="1:12" ht="15" customHeight="1" x14ac:dyDescent="0.3">
      <c r="A701" s="21">
        <v>10</v>
      </c>
      <c r="B701" s="25">
        <v>45948</v>
      </c>
      <c r="C701" s="29" t="s">
        <v>313</v>
      </c>
      <c r="D701" s="36">
        <v>1</v>
      </c>
      <c r="E701" s="41" t="s">
        <v>20</v>
      </c>
      <c r="F701" s="42">
        <v>3</v>
      </c>
      <c r="G701" s="9">
        <v>3</v>
      </c>
      <c r="H701" s="45">
        <v>10</v>
      </c>
      <c r="I701" s="9">
        <v>10</v>
      </c>
      <c r="J701" s="80" t="s">
        <v>338</v>
      </c>
      <c r="K701" s="43">
        <v>7</v>
      </c>
      <c r="L701" s="45" t="s">
        <v>15</v>
      </c>
    </row>
    <row r="702" spans="1:12" ht="15" customHeight="1" x14ac:dyDescent="0.3">
      <c r="A702" s="21">
        <v>10</v>
      </c>
      <c r="B702" s="25">
        <v>45948</v>
      </c>
      <c r="C702" s="29" t="s">
        <v>315</v>
      </c>
      <c r="D702" s="36">
        <v>3</v>
      </c>
      <c r="E702" s="41" t="s">
        <v>20</v>
      </c>
      <c r="F702" s="42">
        <v>7.0000000000000007E-2</v>
      </c>
      <c r="G702" s="9">
        <v>0.21000000000000002</v>
      </c>
      <c r="H702" s="45">
        <v>1</v>
      </c>
      <c r="I702" s="9">
        <v>3</v>
      </c>
      <c r="J702" s="80" t="s">
        <v>338</v>
      </c>
      <c r="K702" s="43">
        <v>2.79</v>
      </c>
      <c r="L702" s="45" t="s">
        <v>15</v>
      </c>
    </row>
    <row r="703" spans="1:12" ht="15" customHeight="1" x14ac:dyDescent="0.3">
      <c r="A703" s="21">
        <v>10</v>
      </c>
      <c r="B703" s="25">
        <v>45950</v>
      </c>
      <c r="C703" s="29" t="s">
        <v>830</v>
      </c>
      <c r="D703" s="36">
        <v>1</v>
      </c>
      <c r="E703" s="41" t="s">
        <v>20</v>
      </c>
      <c r="F703" s="42">
        <v>5</v>
      </c>
      <c r="G703" s="9">
        <v>5</v>
      </c>
      <c r="H703" s="45">
        <v>10</v>
      </c>
      <c r="I703" s="9">
        <v>10</v>
      </c>
      <c r="J703" s="80" t="s">
        <v>338</v>
      </c>
      <c r="K703" s="43">
        <v>5</v>
      </c>
      <c r="L703" s="45" t="s">
        <v>15</v>
      </c>
    </row>
    <row r="704" spans="1:12" ht="15" customHeight="1" x14ac:dyDescent="0.3">
      <c r="A704" s="21">
        <v>10</v>
      </c>
      <c r="B704" s="25">
        <v>45951</v>
      </c>
      <c r="C704" s="29" t="s">
        <v>831</v>
      </c>
      <c r="D704" s="36">
        <v>1</v>
      </c>
      <c r="E704" s="41" t="s">
        <v>832</v>
      </c>
      <c r="F704" s="42">
        <v>5</v>
      </c>
      <c r="G704" s="9">
        <v>5</v>
      </c>
      <c r="H704" s="45">
        <v>15</v>
      </c>
      <c r="I704" s="9">
        <v>15</v>
      </c>
      <c r="J704" s="80" t="s">
        <v>338</v>
      </c>
      <c r="K704" s="43">
        <v>10</v>
      </c>
      <c r="L704" s="45" t="s">
        <v>15</v>
      </c>
    </row>
    <row r="705" spans="1:12" ht="15" customHeight="1" x14ac:dyDescent="0.3">
      <c r="A705" s="21">
        <v>10</v>
      </c>
      <c r="B705" s="25">
        <v>45951</v>
      </c>
      <c r="C705" s="29" t="s">
        <v>818</v>
      </c>
      <c r="D705" s="36">
        <v>5</v>
      </c>
      <c r="E705" s="41" t="s">
        <v>17</v>
      </c>
      <c r="F705" s="42">
        <v>7.5</v>
      </c>
      <c r="G705" s="9">
        <v>37.5</v>
      </c>
      <c r="H705" s="45">
        <v>9.1739999999999995</v>
      </c>
      <c r="I705" s="9">
        <v>45.87</v>
      </c>
      <c r="J705" s="80" t="s">
        <v>338</v>
      </c>
      <c r="K705" s="43">
        <v>8.3699999999999974</v>
      </c>
      <c r="L705" s="45" t="s">
        <v>15</v>
      </c>
    </row>
    <row r="706" spans="1:12" ht="15" customHeight="1" x14ac:dyDescent="0.3">
      <c r="A706" s="21">
        <v>10</v>
      </c>
      <c r="B706" s="25">
        <v>45951</v>
      </c>
      <c r="C706" s="29" t="s">
        <v>817</v>
      </c>
      <c r="D706" s="36">
        <v>1</v>
      </c>
      <c r="E706" s="41" t="s">
        <v>17</v>
      </c>
      <c r="F706" s="42">
        <v>20</v>
      </c>
      <c r="G706" s="9">
        <v>20</v>
      </c>
      <c r="H706" s="45">
        <v>38.619999999999997</v>
      </c>
      <c r="I706" s="9">
        <v>38.619999999999997</v>
      </c>
      <c r="J706" s="80" t="s">
        <v>338</v>
      </c>
      <c r="K706" s="43">
        <v>18.619999999999997</v>
      </c>
      <c r="L706" s="45" t="s">
        <v>15</v>
      </c>
    </row>
    <row r="707" spans="1:12" ht="15" customHeight="1" x14ac:dyDescent="0.3">
      <c r="A707" s="21">
        <v>10</v>
      </c>
      <c r="B707" s="25">
        <v>45951</v>
      </c>
      <c r="C707" s="29" t="s">
        <v>817</v>
      </c>
      <c r="D707" s="36">
        <v>1</v>
      </c>
      <c r="E707" s="41" t="s">
        <v>17</v>
      </c>
      <c r="F707" s="42">
        <v>20</v>
      </c>
      <c r="G707" s="9">
        <v>20</v>
      </c>
      <c r="H707" s="45">
        <v>38.619999999999997</v>
      </c>
      <c r="I707" s="9">
        <v>38.619999999999997</v>
      </c>
      <c r="J707" s="80" t="s">
        <v>338</v>
      </c>
      <c r="K707" s="43">
        <v>18.619999999999997</v>
      </c>
      <c r="L707" s="45" t="s">
        <v>15</v>
      </c>
    </row>
    <row r="708" spans="1:12" ht="15" customHeight="1" x14ac:dyDescent="0.3">
      <c r="A708" s="21">
        <v>10</v>
      </c>
      <c r="B708" s="25">
        <v>45951</v>
      </c>
      <c r="C708" s="29" t="s">
        <v>817</v>
      </c>
      <c r="D708" s="36">
        <v>1</v>
      </c>
      <c r="E708" s="41" t="s">
        <v>17</v>
      </c>
      <c r="F708" s="42">
        <v>20</v>
      </c>
      <c r="G708" s="9">
        <v>20</v>
      </c>
      <c r="H708" s="45">
        <v>38.619999999999997</v>
      </c>
      <c r="I708" s="9">
        <v>38.619999999999997</v>
      </c>
      <c r="J708" s="80" t="s">
        <v>338</v>
      </c>
      <c r="K708" s="43">
        <v>18.619999999999997</v>
      </c>
      <c r="L708" s="45" t="s">
        <v>15</v>
      </c>
    </row>
    <row r="709" spans="1:12" ht="15" customHeight="1" x14ac:dyDescent="0.3">
      <c r="A709" s="21">
        <v>10</v>
      </c>
      <c r="B709" s="25">
        <v>45951</v>
      </c>
      <c r="C709" s="29" t="s">
        <v>817</v>
      </c>
      <c r="D709" s="36">
        <v>1</v>
      </c>
      <c r="E709" s="41" t="s">
        <v>17</v>
      </c>
      <c r="F709" s="42">
        <v>20</v>
      </c>
      <c r="G709" s="9">
        <v>20</v>
      </c>
      <c r="H709" s="45">
        <v>38.619999999999997</v>
      </c>
      <c r="I709" s="9">
        <v>38.619999999999997</v>
      </c>
      <c r="J709" s="80" t="s">
        <v>338</v>
      </c>
      <c r="K709" s="43">
        <v>18.619999999999997</v>
      </c>
      <c r="L709" s="45" t="s">
        <v>15</v>
      </c>
    </row>
    <row r="710" spans="1:12" ht="15" customHeight="1" x14ac:dyDescent="0.3">
      <c r="A710" s="21">
        <v>10</v>
      </c>
      <c r="B710" s="25">
        <v>45951</v>
      </c>
      <c r="C710" s="29" t="s">
        <v>833</v>
      </c>
      <c r="D710" s="36">
        <v>1</v>
      </c>
      <c r="E710" s="41" t="s">
        <v>822</v>
      </c>
      <c r="F710" s="42">
        <v>10</v>
      </c>
      <c r="G710" s="9">
        <v>10</v>
      </c>
      <c r="H710" s="45">
        <v>33.200000000000003</v>
      </c>
      <c r="I710" s="9">
        <v>33.200000000000003</v>
      </c>
      <c r="J710" s="80" t="s">
        <v>338</v>
      </c>
      <c r="K710" s="43">
        <v>23.200000000000003</v>
      </c>
      <c r="L710" s="45" t="s">
        <v>15</v>
      </c>
    </row>
    <row r="711" spans="1:12" ht="15" customHeight="1" x14ac:dyDescent="0.3">
      <c r="A711" s="21">
        <v>10</v>
      </c>
      <c r="B711" s="25">
        <v>45952</v>
      </c>
      <c r="C711" s="29" t="s">
        <v>834</v>
      </c>
      <c r="D711" s="36">
        <v>4</v>
      </c>
      <c r="E711" s="41" t="s">
        <v>20</v>
      </c>
      <c r="F711" s="42" t="s">
        <v>72</v>
      </c>
      <c r="G711" s="9">
        <v>0</v>
      </c>
      <c r="H711" s="45">
        <v>5</v>
      </c>
      <c r="I711" s="9">
        <v>20</v>
      </c>
      <c r="J711" s="80" t="s">
        <v>338</v>
      </c>
      <c r="K711" s="43">
        <v>20</v>
      </c>
      <c r="L711" s="45" t="s">
        <v>15</v>
      </c>
    </row>
    <row r="712" spans="1:12" ht="15" customHeight="1" x14ac:dyDescent="0.3">
      <c r="A712" s="21">
        <v>10</v>
      </c>
      <c r="B712" s="25">
        <v>45952</v>
      </c>
      <c r="C712" s="29" t="s">
        <v>379</v>
      </c>
      <c r="D712" s="36">
        <v>3</v>
      </c>
      <c r="E712" s="41" t="s">
        <v>20</v>
      </c>
      <c r="F712" s="42">
        <v>2.5</v>
      </c>
      <c r="G712" s="9">
        <v>7.5</v>
      </c>
      <c r="H712" s="45">
        <v>5</v>
      </c>
      <c r="I712" s="9">
        <v>15</v>
      </c>
      <c r="J712" s="80" t="s">
        <v>338</v>
      </c>
      <c r="K712" s="43">
        <v>7.5</v>
      </c>
      <c r="L712" s="45" t="s">
        <v>15</v>
      </c>
    </row>
    <row r="713" spans="1:12" ht="15" customHeight="1" x14ac:dyDescent="0.3">
      <c r="A713" s="21">
        <v>10</v>
      </c>
      <c r="B713" s="25">
        <v>45953</v>
      </c>
      <c r="C713" s="29" t="s">
        <v>552</v>
      </c>
      <c r="D713" s="36">
        <v>1</v>
      </c>
      <c r="E713" s="41" t="s">
        <v>811</v>
      </c>
      <c r="F713" s="42">
        <v>18.5</v>
      </c>
      <c r="G713" s="9">
        <v>18.5</v>
      </c>
      <c r="H713" s="45">
        <v>30</v>
      </c>
      <c r="I713" s="9">
        <v>30</v>
      </c>
      <c r="J713" s="80" t="s">
        <v>338</v>
      </c>
      <c r="K713" s="43">
        <v>11.5</v>
      </c>
      <c r="L713" s="45" t="s">
        <v>15</v>
      </c>
    </row>
    <row r="714" spans="1:12" ht="15" customHeight="1" x14ac:dyDescent="0.3">
      <c r="A714" s="21">
        <v>10</v>
      </c>
      <c r="B714" s="25">
        <v>45953</v>
      </c>
      <c r="C714" s="29" t="s">
        <v>315</v>
      </c>
      <c r="D714" s="36">
        <v>1</v>
      </c>
      <c r="E714" s="41" t="s">
        <v>51</v>
      </c>
      <c r="F714" s="42">
        <v>7.0000000000000007E-2</v>
      </c>
      <c r="G714" s="9">
        <v>7.0000000000000007E-2</v>
      </c>
      <c r="H714" s="45">
        <v>1</v>
      </c>
      <c r="I714" s="9">
        <v>1</v>
      </c>
      <c r="J714" s="80" t="s">
        <v>338</v>
      </c>
      <c r="K714" s="43">
        <v>0.92999999999999994</v>
      </c>
      <c r="L714" s="45" t="s">
        <v>15</v>
      </c>
    </row>
    <row r="715" spans="1:12" ht="15" customHeight="1" x14ac:dyDescent="0.3">
      <c r="A715" s="21">
        <v>10</v>
      </c>
      <c r="B715" s="25">
        <v>45953</v>
      </c>
      <c r="C715" s="29" t="s">
        <v>379</v>
      </c>
      <c r="D715" s="36">
        <v>1</v>
      </c>
      <c r="E715" s="41" t="s">
        <v>20</v>
      </c>
      <c r="F715" s="42">
        <v>2.5</v>
      </c>
      <c r="G715" s="9">
        <v>2.5</v>
      </c>
      <c r="H715" s="45">
        <v>5</v>
      </c>
      <c r="I715" s="9">
        <v>5</v>
      </c>
      <c r="J715" s="80" t="s">
        <v>338</v>
      </c>
      <c r="K715" s="43">
        <v>2.5</v>
      </c>
      <c r="L715" s="45" t="s">
        <v>15</v>
      </c>
    </row>
    <row r="716" spans="1:12" ht="15" customHeight="1" x14ac:dyDescent="0.3">
      <c r="A716" s="21">
        <v>10</v>
      </c>
      <c r="B716" s="25">
        <v>45954</v>
      </c>
      <c r="C716" s="29" t="s">
        <v>697</v>
      </c>
      <c r="D716" s="36">
        <v>1</v>
      </c>
      <c r="E716" s="41" t="s">
        <v>20</v>
      </c>
      <c r="F716" s="42">
        <v>16</v>
      </c>
      <c r="G716" s="9">
        <v>16</v>
      </c>
      <c r="H716" s="45">
        <v>30</v>
      </c>
      <c r="I716" s="9">
        <v>30</v>
      </c>
      <c r="J716" s="80" t="s">
        <v>338</v>
      </c>
      <c r="K716" s="43">
        <v>14</v>
      </c>
      <c r="L716" s="45" t="s">
        <v>15</v>
      </c>
    </row>
    <row r="717" spans="1:12" ht="15" customHeight="1" x14ac:dyDescent="0.3">
      <c r="A717" s="21">
        <v>10</v>
      </c>
      <c r="B717" s="25">
        <v>45954</v>
      </c>
      <c r="C717" s="29" t="s">
        <v>817</v>
      </c>
      <c r="D717" s="36">
        <v>1</v>
      </c>
      <c r="E717" s="41" t="s">
        <v>835</v>
      </c>
      <c r="F717" s="42">
        <v>10</v>
      </c>
      <c r="G717" s="9">
        <v>10</v>
      </c>
      <c r="H717" s="45">
        <v>38.619999999999997</v>
      </c>
      <c r="I717" s="9">
        <v>38.619999999999997</v>
      </c>
      <c r="J717" s="80" t="s">
        <v>338</v>
      </c>
      <c r="K717" s="43">
        <v>28.619999999999997</v>
      </c>
      <c r="L717" s="45" t="s">
        <v>15</v>
      </c>
    </row>
    <row r="718" spans="1:12" ht="15" customHeight="1" x14ac:dyDescent="0.3">
      <c r="A718" s="21">
        <v>10</v>
      </c>
      <c r="B718" s="25">
        <v>45954</v>
      </c>
      <c r="C718" s="29" t="s">
        <v>817</v>
      </c>
      <c r="D718" s="36">
        <v>1</v>
      </c>
      <c r="E718" s="41" t="s">
        <v>836</v>
      </c>
      <c r="F718" s="42">
        <v>10</v>
      </c>
      <c r="G718" s="9">
        <v>10</v>
      </c>
      <c r="H718" s="45">
        <v>38.619999999999997</v>
      </c>
      <c r="I718" s="9">
        <v>38.619999999999997</v>
      </c>
      <c r="J718" s="80" t="s">
        <v>338</v>
      </c>
      <c r="K718" s="43">
        <v>28.619999999999997</v>
      </c>
      <c r="L718" s="45" t="s">
        <v>15</v>
      </c>
    </row>
    <row r="719" spans="1:12" ht="15" customHeight="1" x14ac:dyDescent="0.3">
      <c r="A719" s="21">
        <v>10</v>
      </c>
      <c r="B719" s="25">
        <v>45954</v>
      </c>
      <c r="C719" s="29" t="s">
        <v>817</v>
      </c>
      <c r="D719" s="36">
        <v>1</v>
      </c>
      <c r="E719" s="41" t="s">
        <v>837</v>
      </c>
      <c r="F719" s="42">
        <v>10</v>
      </c>
      <c r="G719" s="9">
        <v>10</v>
      </c>
      <c r="H719" s="45">
        <v>38.619999999999997</v>
      </c>
      <c r="I719" s="9">
        <v>38.619999999999997</v>
      </c>
      <c r="J719" s="80" t="s">
        <v>338</v>
      </c>
      <c r="K719" s="43">
        <v>28.619999999999997</v>
      </c>
      <c r="L719" s="45" t="s">
        <v>15</v>
      </c>
    </row>
    <row r="720" spans="1:12" ht="15" customHeight="1" x14ac:dyDescent="0.3">
      <c r="A720" s="21">
        <v>10</v>
      </c>
      <c r="B720" s="25">
        <v>45954</v>
      </c>
      <c r="C720" s="29" t="s">
        <v>817</v>
      </c>
      <c r="D720" s="36">
        <v>1</v>
      </c>
      <c r="E720" s="41" t="s">
        <v>838</v>
      </c>
      <c r="F720" s="42">
        <v>10</v>
      </c>
      <c r="G720" s="9">
        <v>10</v>
      </c>
      <c r="H720" s="45">
        <v>38.619999999999997</v>
      </c>
      <c r="I720" s="9">
        <v>38.619999999999997</v>
      </c>
      <c r="J720" s="82" t="s">
        <v>338</v>
      </c>
      <c r="K720" s="43">
        <v>28.619999999999997</v>
      </c>
      <c r="L720" s="45" t="s">
        <v>15</v>
      </c>
    </row>
    <row r="721" spans="1:12" ht="15" customHeight="1" x14ac:dyDescent="0.3">
      <c r="A721" s="21">
        <v>10</v>
      </c>
      <c r="B721" s="25">
        <v>45954</v>
      </c>
      <c r="C721" s="29" t="s">
        <v>818</v>
      </c>
      <c r="D721" s="36">
        <v>1</v>
      </c>
      <c r="E721" s="41" t="s">
        <v>839</v>
      </c>
      <c r="F721" s="42">
        <v>7.5</v>
      </c>
      <c r="G721" s="9">
        <v>7.5</v>
      </c>
      <c r="H721" s="45">
        <v>9.17</v>
      </c>
      <c r="I721" s="9">
        <v>9.17</v>
      </c>
      <c r="J721" s="80" t="s">
        <v>338</v>
      </c>
      <c r="K721" s="43">
        <v>1.67</v>
      </c>
      <c r="L721" s="45" t="s">
        <v>15</v>
      </c>
    </row>
    <row r="722" spans="1:12" ht="15" customHeight="1" x14ac:dyDescent="0.3">
      <c r="A722" s="21">
        <v>10</v>
      </c>
      <c r="B722" s="25">
        <v>45955</v>
      </c>
      <c r="C722" s="29" t="s">
        <v>777</v>
      </c>
      <c r="D722" s="36">
        <v>7</v>
      </c>
      <c r="E722" s="41" t="s">
        <v>20</v>
      </c>
      <c r="F722" s="42">
        <v>1</v>
      </c>
      <c r="G722" s="9">
        <v>7</v>
      </c>
      <c r="H722" s="45">
        <v>2</v>
      </c>
      <c r="I722" s="9">
        <v>14</v>
      </c>
      <c r="J722" s="80" t="s">
        <v>338</v>
      </c>
      <c r="K722" s="43">
        <v>7</v>
      </c>
      <c r="L722" s="45" t="s">
        <v>15</v>
      </c>
    </row>
    <row r="723" spans="1:12" ht="15" customHeight="1" x14ac:dyDescent="0.3">
      <c r="A723" s="21">
        <v>10</v>
      </c>
      <c r="B723" s="25">
        <v>45955</v>
      </c>
      <c r="C723" s="29" t="s">
        <v>697</v>
      </c>
      <c r="D723" s="36">
        <v>1</v>
      </c>
      <c r="E723" s="41" t="s">
        <v>789</v>
      </c>
      <c r="F723" s="42">
        <v>16</v>
      </c>
      <c r="G723" s="9">
        <v>16</v>
      </c>
      <c r="H723" s="45">
        <v>30</v>
      </c>
      <c r="I723" s="9">
        <v>30</v>
      </c>
      <c r="J723" s="80" t="s">
        <v>338</v>
      </c>
      <c r="K723" s="43">
        <v>14</v>
      </c>
      <c r="L723" s="45" t="s">
        <v>15</v>
      </c>
    </row>
    <row r="724" spans="1:12" ht="15" customHeight="1" x14ac:dyDescent="0.3">
      <c r="A724" s="21">
        <v>10</v>
      </c>
      <c r="B724" s="25">
        <v>45955</v>
      </c>
      <c r="C724" s="29" t="s">
        <v>431</v>
      </c>
      <c r="D724" s="36">
        <v>1</v>
      </c>
      <c r="E724" s="41" t="s">
        <v>789</v>
      </c>
      <c r="F724" s="42">
        <v>0</v>
      </c>
      <c r="G724" s="9">
        <v>0</v>
      </c>
      <c r="H724" s="45">
        <v>10</v>
      </c>
      <c r="I724" s="9">
        <v>10</v>
      </c>
      <c r="J724" s="80" t="s">
        <v>338</v>
      </c>
      <c r="K724" s="43">
        <v>10</v>
      </c>
      <c r="L724" s="45" t="s">
        <v>15</v>
      </c>
    </row>
    <row r="725" spans="1:12" ht="15" customHeight="1" x14ac:dyDescent="0.3">
      <c r="A725" s="21">
        <v>10</v>
      </c>
      <c r="B725" s="25">
        <v>45955</v>
      </c>
      <c r="C725" s="29" t="s">
        <v>723</v>
      </c>
      <c r="D725" s="36">
        <v>1</v>
      </c>
      <c r="E725" s="41" t="s">
        <v>789</v>
      </c>
      <c r="F725" s="42">
        <v>40.369999999999997</v>
      </c>
      <c r="G725" s="9">
        <v>40.369999999999997</v>
      </c>
      <c r="H725" s="45">
        <v>100</v>
      </c>
      <c r="I725" s="9">
        <v>100</v>
      </c>
      <c r="J725" s="80" t="s">
        <v>338</v>
      </c>
      <c r="K725" s="43">
        <v>59.63</v>
      </c>
      <c r="L725" s="45" t="s">
        <v>15</v>
      </c>
    </row>
    <row r="726" spans="1:12" ht="15" customHeight="1" x14ac:dyDescent="0.3">
      <c r="A726" s="21">
        <v>10</v>
      </c>
      <c r="B726" s="25">
        <v>45955</v>
      </c>
      <c r="C726" s="29" t="s">
        <v>313</v>
      </c>
      <c r="D726" s="36">
        <v>1</v>
      </c>
      <c r="E726" s="41" t="s">
        <v>20</v>
      </c>
      <c r="F726" s="42">
        <v>3</v>
      </c>
      <c r="G726" s="9">
        <v>3</v>
      </c>
      <c r="H726" s="45">
        <v>15</v>
      </c>
      <c r="I726" s="9">
        <v>15</v>
      </c>
      <c r="J726" s="80" t="s">
        <v>338</v>
      </c>
      <c r="K726" s="43">
        <v>12</v>
      </c>
      <c r="L726" s="45" t="s">
        <v>15</v>
      </c>
    </row>
    <row r="727" spans="1:12" ht="15" customHeight="1" x14ac:dyDescent="0.3">
      <c r="A727" s="21">
        <v>10</v>
      </c>
      <c r="B727" s="25">
        <v>45956</v>
      </c>
      <c r="C727" s="29" t="s">
        <v>817</v>
      </c>
      <c r="D727" s="36">
        <v>1</v>
      </c>
      <c r="E727" s="41" t="s">
        <v>20</v>
      </c>
      <c r="F727" s="42">
        <v>12</v>
      </c>
      <c r="G727" s="9">
        <v>12</v>
      </c>
      <c r="H727" s="45">
        <v>42.5</v>
      </c>
      <c r="I727" s="9">
        <v>42.5</v>
      </c>
      <c r="J727" s="80" t="s">
        <v>338</v>
      </c>
      <c r="K727" s="43">
        <v>30.5</v>
      </c>
      <c r="L727" s="45" t="s">
        <v>15</v>
      </c>
    </row>
    <row r="728" spans="1:12" ht="15" customHeight="1" x14ac:dyDescent="0.3">
      <c r="A728" s="21">
        <v>10</v>
      </c>
      <c r="B728" s="25">
        <v>45956</v>
      </c>
      <c r="C728" s="29" t="s">
        <v>817</v>
      </c>
      <c r="D728" s="36">
        <v>1</v>
      </c>
      <c r="E728" s="41" t="s">
        <v>840</v>
      </c>
      <c r="F728" s="42">
        <v>12</v>
      </c>
      <c r="G728" s="9">
        <v>12</v>
      </c>
      <c r="H728" s="45">
        <v>42.5</v>
      </c>
      <c r="I728" s="9">
        <v>42.5</v>
      </c>
      <c r="J728" s="80" t="s">
        <v>338</v>
      </c>
      <c r="K728" s="43">
        <v>30.5</v>
      </c>
      <c r="L728" s="45" t="s">
        <v>303</v>
      </c>
    </row>
    <row r="729" spans="1:12" ht="15" customHeight="1" x14ac:dyDescent="0.3">
      <c r="A729" s="21">
        <v>10</v>
      </c>
      <c r="B729" s="25">
        <v>45956</v>
      </c>
      <c r="C729" s="29" t="s">
        <v>817</v>
      </c>
      <c r="D729" s="36">
        <v>1</v>
      </c>
      <c r="E729" s="41" t="s">
        <v>841</v>
      </c>
      <c r="F729" s="42">
        <v>12</v>
      </c>
      <c r="G729" s="9">
        <v>12</v>
      </c>
      <c r="H729" s="45">
        <v>42.5</v>
      </c>
      <c r="I729" s="9">
        <v>42.5</v>
      </c>
      <c r="J729" s="80" t="s">
        <v>338</v>
      </c>
      <c r="K729" s="43">
        <v>30.5</v>
      </c>
      <c r="L729" s="45" t="s">
        <v>303</v>
      </c>
    </row>
    <row r="730" spans="1:12" ht="15" customHeight="1" x14ac:dyDescent="0.3">
      <c r="A730" s="21">
        <v>10</v>
      </c>
      <c r="B730" s="25">
        <v>45956</v>
      </c>
      <c r="C730" s="29" t="s">
        <v>817</v>
      </c>
      <c r="D730" s="36">
        <v>1</v>
      </c>
      <c r="E730" s="41" t="s">
        <v>842</v>
      </c>
      <c r="F730" s="42">
        <v>12</v>
      </c>
      <c r="G730" s="9">
        <v>12</v>
      </c>
      <c r="H730" s="45">
        <v>42.5</v>
      </c>
      <c r="I730" s="9">
        <v>42.5</v>
      </c>
      <c r="J730" s="80" t="s">
        <v>338</v>
      </c>
      <c r="K730" s="43">
        <v>30.5</v>
      </c>
      <c r="L730" s="45" t="s">
        <v>15</v>
      </c>
    </row>
    <row r="731" spans="1:12" ht="15" customHeight="1" x14ac:dyDescent="0.3">
      <c r="A731" s="21">
        <v>10</v>
      </c>
      <c r="B731" s="25">
        <v>45956</v>
      </c>
      <c r="C731" s="29" t="s">
        <v>843</v>
      </c>
      <c r="D731" s="36">
        <v>1</v>
      </c>
      <c r="E731" s="41" t="s">
        <v>844</v>
      </c>
      <c r="F731" s="42" t="s">
        <v>72</v>
      </c>
      <c r="G731" s="9">
        <v>0</v>
      </c>
      <c r="H731" s="45">
        <v>102.1</v>
      </c>
      <c r="I731" s="9">
        <v>102.1</v>
      </c>
      <c r="J731" s="80" t="s">
        <v>338</v>
      </c>
      <c r="K731" s="43">
        <v>102.1</v>
      </c>
      <c r="L731" s="45" t="s">
        <v>15</v>
      </c>
    </row>
    <row r="732" spans="1:12" ht="15" customHeight="1" x14ac:dyDescent="0.3">
      <c r="A732" s="21">
        <v>10</v>
      </c>
      <c r="B732" s="25">
        <v>45957</v>
      </c>
      <c r="C732" s="29" t="s">
        <v>315</v>
      </c>
      <c r="D732" s="36">
        <v>1</v>
      </c>
      <c r="E732" s="41" t="s">
        <v>391</v>
      </c>
      <c r="F732" s="42">
        <v>7.0000000000000007E-2</v>
      </c>
      <c r="G732" s="9">
        <v>7.0000000000000007E-2</v>
      </c>
      <c r="H732" s="45">
        <v>1</v>
      </c>
      <c r="I732" s="9">
        <v>1</v>
      </c>
      <c r="J732" s="80" t="s">
        <v>338</v>
      </c>
      <c r="K732" s="43">
        <v>0.92999999999999994</v>
      </c>
      <c r="L732" s="83" t="s">
        <v>15</v>
      </c>
    </row>
    <row r="733" spans="1:12" ht="15" customHeight="1" x14ac:dyDescent="0.3">
      <c r="A733" s="21">
        <v>10</v>
      </c>
      <c r="B733" s="25">
        <v>45958</v>
      </c>
      <c r="C733" s="29" t="s">
        <v>817</v>
      </c>
      <c r="D733" s="36">
        <v>1</v>
      </c>
      <c r="E733" s="41" t="s">
        <v>845</v>
      </c>
      <c r="F733" s="42">
        <v>20</v>
      </c>
      <c r="G733" s="9">
        <v>20</v>
      </c>
      <c r="H733" s="45">
        <v>42.5</v>
      </c>
      <c r="I733" s="9">
        <v>42.5</v>
      </c>
      <c r="J733" s="80" t="s">
        <v>338</v>
      </c>
      <c r="K733" s="43">
        <v>22.5</v>
      </c>
      <c r="L733" s="83" t="s">
        <v>15</v>
      </c>
    </row>
    <row r="734" spans="1:12" ht="15" customHeight="1" x14ac:dyDescent="0.3">
      <c r="A734" s="21">
        <v>10</v>
      </c>
      <c r="B734" s="25">
        <v>45958</v>
      </c>
      <c r="C734" s="29" t="s">
        <v>817</v>
      </c>
      <c r="D734" s="36">
        <v>1</v>
      </c>
      <c r="E734" s="41" t="s">
        <v>846</v>
      </c>
      <c r="F734" s="42">
        <v>20</v>
      </c>
      <c r="G734" s="9">
        <v>20</v>
      </c>
      <c r="H734" s="45">
        <v>42.5</v>
      </c>
      <c r="I734" s="9">
        <v>42.5</v>
      </c>
      <c r="J734" s="80" t="s">
        <v>338</v>
      </c>
      <c r="K734" s="43">
        <v>22.5</v>
      </c>
      <c r="L734" s="83" t="s">
        <v>15</v>
      </c>
    </row>
    <row r="735" spans="1:12" ht="15" customHeight="1" x14ac:dyDescent="0.3">
      <c r="A735" s="21">
        <v>10</v>
      </c>
      <c r="B735" s="25">
        <v>45958</v>
      </c>
      <c r="C735" s="29" t="s">
        <v>847</v>
      </c>
      <c r="D735" s="36">
        <v>1</v>
      </c>
      <c r="E735" s="41" t="s">
        <v>811</v>
      </c>
      <c r="F735" s="42">
        <v>7.5</v>
      </c>
      <c r="G735" s="9">
        <v>7.5</v>
      </c>
      <c r="H735" s="45">
        <v>15</v>
      </c>
      <c r="I735" s="9">
        <v>15</v>
      </c>
      <c r="J735" s="80" t="s">
        <v>338</v>
      </c>
      <c r="K735" s="43">
        <v>7.5</v>
      </c>
      <c r="L735" s="83" t="s">
        <v>15</v>
      </c>
    </row>
    <row r="736" spans="1:12" ht="15" customHeight="1" x14ac:dyDescent="0.3">
      <c r="A736" s="21">
        <v>10</v>
      </c>
      <c r="B736" s="25">
        <v>45959</v>
      </c>
      <c r="C736" s="29" t="s">
        <v>817</v>
      </c>
      <c r="D736" s="36">
        <v>1</v>
      </c>
      <c r="E736" s="41" t="s">
        <v>848</v>
      </c>
      <c r="F736" s="42">
        <v>20</v>
      </c>
      <c r="G736" s="9">
        <v>20</v>
      </c>
      <c r="H736" s="45">
        <v>41.72</v>
      </c>
      <c r="I736" s="9">
        <v>41.72</v>
      </c>
      <c r="J736" s="80" t="s">
        <v>338</v>
      </c>
      <c r="K736" s="43">
        <v>21.72</v>
      </c>
      <c r="L736" s="83" t="s">
        <v>15</v>
      </c>
    </row>
    <row r="737" spans="1:12" ht="15" customHeight="1" x14ac:dyDescent="0.3">
      <c r="A737" s="21">
        <v>10</v>
      </c>
      <c r="B737" s="25">
        <v>45959</v>
      </c>
      <c r="C737" s="29" t="s">
        <v>849</v>
      </c>
      <c r="D737" s="36">
        <v>1</v>
      </c>
      <c r="E737" s="41" t="s">
        <v>850</v>
      </c>
      <c r="F737" s="42" t="s">
        <v>72</v>
      </c>
      <c r="G737" s="9">
        <v>0</v>
      </c>
      <c r="H737" s="45">
        <v>44.75</v>
      </c>
      <c r="I737" s="9">
        <v>44.75</v>
      </c>
      <c r="J737" s="80" t="s">
        <v>338</v>
      </c>
      <c r="K737" s="43">
        <v>44.75</v>
      </c>
      <c r="L737" s="83" t="s">
        <v>15</v>
      </c>
    </row>
    <row r="738" spans="1:12" ht="15" customHeight="1" x14ac:dyDescent="0.3">
      <c r="A738" s="21">
        <v>10</v>
      </c>
      <c r="B738" s="25">
        <v>45960</v>
      </c>
      <c r="C738" s="29" t="s">
        <v>851</v>
      </c>
      <c r="D738" s="36">
        <v>1</v>
      </c>
      <c r="E738" s="41" t="s">
        <v>852</v>
      </c>
      <c r="F738" s="42">
        <v>14</v>
      </c>
      <c r="G738" s="9">
        <v>14</v>
      </c>
      <c r="H738" s="45">
        <v>85.16</v>
      </c>
      <c r="I738" s="9">
        <v>85.16</v>
      </c>
      <c r="J738" s="80" t="s">
        <v>338</v>
      </c>
      <c r="K738" s="43">
        <v>71.16</v>
      </c>
      <c r="L738" s="83" t="s">
        <v>15</v>
      </c>
    </row>
    <row r="739" spans="1:12" ht="15" customHeight="1" x14ac:dyDescent="0.3">
      <c r="A739" s="21">
        <v>10</v>
      </c>
      <c r="B739" s="25">
        <v>45960</v>
      </c>
      <c r="C739" s="29" t="s">
        <v>817</v>
      </c>
      <c r="D739" s="36">
        <v>1</v>
      </c>
      <c r="E739" s="41" t="s">
        <v>848</v>
      </c>
      <c r="F739" s="42">
        <v>20</v>
      </c>
      <c r="G739" s="9">
        <v>20</v>
      </c>
      <c r="H739" s="45">
        <v>41.72</v>
      </c>
      <c r="I739" s="9">
        <v>41.72</v>
      </c>
      <c r="J739" s="80" t="s">
        <v>338</v>
      </c>
      <c r="K739" s="43">
        <v>21.72</v>
      </c>
      <c r="L739" s="83" t="s">
        <v>15</v>
      </c>
    </row>
    <row r="740" spans="1:12" ht="15" customHeight="1" x14ac:dyDescent="0.3">
      <c r="A740" s="21">
        <v>10</v>
      </c>
      <c r="B740" s="25">
        <v>45961</v>
      </c>
      <c r="C740" s="29" t="s">
        <v>853</v>
      </c>
      <c r="D740" s="36">
        <v>1</v>
      </c>
      <c r="E740" s="41" t="s">
        <v>20</v>
      </c>
      <c r="F740" s="42">
        <v>15</v>
      </c>
      <c r="G740" s="9">
        <v>15</v>
      </c>
      <c r="H740" s="45">
        <v>30</v>
      </c>
      <c r="I740" s="9">
        <v>30</v>
      </c>
      <c r="J740" s="80" t="s">
        <v>338</v>
      </c>
      <c r="K740" s="43">
        <v>15</v>
      </c>
      <c r="L740" s="83" t="s">
        <v>15</v>
      </c>
    </row>
    <row r="741" spans="1:12" ht="15" customHeight="1" x14ac:dyDescent="0.3">
      <c r="A741" s="21">
        <v>11</v>
      </c>
      <c r="B741" s="25">
        <v>45962</v>
      </c>
      <c r="C741" s="29" t="s">
        <v>854</v>
      </c>
      <c r="D741" s="36">
        <v>1</v>
      </c>
      <c r="E741" s="41" t="s">
        <v>812</v>
      </c>
      <c r="F741" s="42">
        <v>2</v>
      </c>
      <c r="G741" s="9">
        <v>2</v>
      </c>
      <c r="H741" s="45">
        <v>5</v>
      </c>
      <c r="I741" s="9">
        <v>5</v>
      </c>
      <c r="J741" s="80" t="s">
        <v>338</v>
      </c>
      <c r="K741" s="43">
        <v>3</v>
      </c>
      <c r="L741" s="83" t="s">
        <v>15</v>
      </c>
    </row>
    <row r="742" spans="1:12" ht="15" customHeight="1" x14ac:dyDescent="0.3">
      <c r="A742" s="21">
        <v>11</v>
      </c>
      <c r="B742" s="25">
        <v>45962</v>
      </c>
      <c r="C742" s="29" t="s">
        <v>855</v>
      </c>
      <c r="D742" s="36">
        <v>3</v>
      </c>
      <c r="E742" s="41" t="s">
        <v>20</v>
      </c>
      <c r="F742" s="42">
        <v>1</v>
      </c>
      <c r="G742" s="9">
        <v>3</v>
      </c>
      <c r="H742" s="45">
        <v>5</v>
      </c>
      <c r="I742" s="9">
        <v>15</v>
      </c>
      <c r="J742" s="80" t="s">
        <v>338</v>
      </c>
      <c r="K742" s="43">
        <v>12</v>
      </c>
      <c r="L742" s="83" t="s">
        <v>15</v>
      </c>
    </row>
    <row r="743" spans="1:12" ht="15" customHeight="1" x14ac:dyDescent="0.3">
      <c r="A743" s="21">
        <v>11</v>
      </c>
      <c r="B743" s="25">
        <v>45962</v>
      </c>
      <c r="C743" s="29" t="s">
        <v>827</v>
      </c>
      <c r="D743" s="36">
        <v>1</v>
      </c>
      <c r="E743" s="41" t="s">
        <v>856</v>
      </c>
      <c r="F743" s="42">
        <v>7</v>
      </c>
      <c r="G743" s="9">
        <v>7</v>
      </c>
      <c r="H743" s="45">
        <v>41.9</v>
      </c>
      <c r="I743" s="9">
        <v>41.9</v>
      </c>
      <c r="J743" s="80" t="s">
        <v>338</v>
      </c>
      <c r="K743" s="43">
        <v>34.9</v>
      </c>
      <c r="L743" s="83" t="s">
        <v>15</v>
      </c>
    </row>
    <row r="744" spans="1:12" ht="15" customHeight="1" x14ac:dyDescent="0.3">
      <c r="A744" s="21">
        <v>11</v>
      </c>
      <c r="B744" s="25">
        <v>45962</v>
      </c>
      <c r="C744" s="29" t="s">
        <v>857</v>
      </c>
      <c r="D744" s="36">
        <v>1</v>
      </c>
      <c r="E744" s="41" t="s">
        <v>858</v>
      </c>
      <c r="F744" s="42">
        <v>0</v>
      </c>
      <c r="G744" s="9">
        <v>0</v>
      </c>
      <c r="H744" s="45">
        <v>40</v>
      </c>
      <c r="I744" s="9">
        <v>40</v>
      </c>
      <c r="J744" s="80" t="s">
        <v>338</v>
      </c>
      <c r="K744" s="43">
        <v>40</v>
      </c>
      <c r="L744" s="83" t="s">
        <v>15</v>
      </c>
    </row>
    <row r="745" spans="1:12" ht="15" customHeight="1" x14ac:dyDescent="0.3">
      <c r="A745" s="21">
        <v>11</v>
      </c>
      <c r="B745" s="25">
        <v>45963</v>
      </c>
      <c r="C745" s="29" t="s">
        <v>859</v>
      </c>
      <c r="D745" s="36">
        <v>1</v>
      </c>
      <c r="E745" s="41" t="s">
        <v>860</v>
      </c>
      <c r="F745" s="42">
        <v>20</v>
      </c>
      <c r="G745" s="9">
        <v>20</v>
      </c>
      <c r="H745" s="45">
        <v>53.37</v>
      </c>
      <c r="I745" s="9">
        <v>53.37</v>
      </c>
      <c r="J745" s="80" t="s">
        <v>338</v>
      </c>
      <c r="K745" s="43">
        <v>33.369999999999997</v>
      </c>
      <c r="L745" s="83" t="s">
        <v>15</v>
      </c>
    </row>
    <row r="746" spans="1:12" ht="15" customHeight="1" x14ac:dyDescent="0.3">
      <c r="A746" s="21">
        <v>11</v>
      </c>
      <c r="B746" s="25">
        <v>45964</v>
      </c>
      <c r="C746" s="29" t="s">
        <v>825</v>
      </c>
      <c r="D746" s="36">
        <v>1</v>
      </c>
      <c r="E746" s="41" t="s">
        <v>861</v>
      </c>
      <c r="F746" s="42">
        <v>2</v>
      </c>
      <c r="G746" s="9">
        <v>2</v>
      </c>
      <c r="H746" s="45">
        <v>5.74</v>
      </c>
      <c r="I746" s="9">
        <v>5.74</v>
      </c>
      <c r="J746" s="80" t="s">
        <v>338</v>
      </c>
      <c r="K746" s="43">
        <v>3.74</v>
      </c>
      <c r="L746" s="83" t="s">
        <v>15</v>
      </c>
    </row>
    <row r="747" spans="1:12" ht="15" customHeight="1" x14ac:dyDescent="0.3">
      <c r="A747" s="21">
        <v>11</v>
      </c>
      <c r="B747" s="25">
        <v>45964</v>
      </c>
      <c r="C747" s="29" t="s">
        <v>687</v>
      </c>
      <c r="D747" s="36">
        <v>1</v>
      </c>
      <c r="E747" s="41" t="s">
        <v>20</v>
      </c>
      <c r="F747" s="42">
        <v>7.5</v>
      </c>
      <c r="G747" s="9">
        <v>7.5</v>
      </c>
      <c r="H747" s="45">
        <v>20</v>
      </c>
      <c r="I747" s="9">
        <v>20</v>
      </c>
      <c r="J747" s="80" t="s">
        <v>338</v>
      </c>
      <c r="K747" s="43">
        <v>12.5</v>
      </c>
      <c r="L747" s="83" t="s">
        <v>15</v>
      </c>
    </row>
    <row r="748" spans="1:12" ht="15" customHeight="1" x14ac:dyDescent="0.3">
      <c r="A748" s="21">
        <v>11</v>
      </c>
      <c r="B748" s="25">
        <v>45964</v>
      </c>
      <c r="C748" s="29" t="s">
        <v>862</v>
      </c>
      <c r="D748" s="36">
        <v>1</v>
      </c>
      <c r="E748" s="41" t="s">
        <v>863</v>
      </c>
      <c r="F748" s="42">
        <v>18</v>
      </c>
      <c r="G748" s="9">
        <v>18</v>
      </c>
      <c r="H748" s="45">
        <v>19.71</v>
      </c>
      <c r="I748" s="9">
        <v>19.71</v>
      </c>
      <c r="J748" s="80" t="s">
        <v>338</v>
      </c>
      <c r="K748" s="43">
        <v>1.7100000000000009</v>
      </c>
      <c r="L748" s="83" t="s">
        <v>15</v>
      </c>
    </row>
    <row r="749" spans="1:12" ht="15" customHeight="1" x14ac:dyDescent="0.3">
      <c r="A749" s="21">
        <v>11</v>
      </c>
      <c r="B749" s="25">
        <v>45964</v>
      </c>
      <c r="C749" s="29" t="s">
        <v>859</v>
      </c>
      <c r="D749" s="36">
        <v>1</v>
      </c>
      <c r="E749" s="41" t="s">
        <v>863</v>
      </c>
      <c r="F749" s="42">
        <v>20</v>
      </c>
      <c r="G749" s="9">
        <v>20</v>
      </c>
      <c r="H749" s="45">
        <v>53.37</v>
      </c>
      <c r="I749" s="9">
        <v>53.37</v>
      </c>
      <c r="J749" s="80" t="s">
        <v>338</v>
      </c>
      <c r="K749" s="43">
        <v>33.369999999999997</v>
      </c>
      <c r="L749" s="83" t="s">
        <v>15</v>
      </c>
    </row>
    <row r="750" spans="1:12" ht="15" customHeight="1" x14ac:dyDescent="0.3">
      <c r="A750" s="21">
        <v>11</v>
      </c>
      <c r="B750" s="25">
        <v>45964</v>
      </c>
      <c r="C750" s="29" t="s">
        <v>817</v>
      </c>
      <c r="D750" s="36">
        <v>1</v>
      </c>
      <c r="E750" s="41" t="s">
        <v>864</v>
      </c>
      <c r="F750" s="42">
        <v>7</v>
      </c>
      <c r="G750" s="9">
        <v>7</v>
      </c>
      <c r="H750" s="45">
        <v>41.9</v>
      </c>
      <c r="I750" s="9">
        <v>41.9</v>
      </c>
      <c r="J750" s="80" t="s">
        <v>338</v>
      </c>
      <c r="K750" s="43">
        <v>34.9</v>
      </c>
      <c r="L750" s="83" t="s">
        <v>15</v>
      </c>
    </row>
    <row r="751" spans="1:12" ht="15" customHeight="1" x14ac:dyDescent="0.3">
      <c r="A751" s="21">
        <v>11</v>
      </c>
      <c r="B751" s="25">
        <v>45965</v>
      </c>
      <c r="C751" s="29" t="s">
        <v>865</v>
      </c>
      <c r="D751" s="36">
        <v>1</v>
      </c>
      <c r="E751" s="41" t="s">
        <v>20</v>
      </c>
      <c r="F751" s="42">
        <v>5</v>
      </c>
      <c r="G751" s="9">
        <v>5</v>
      </c>
      <c r="H751" s="45">
        <v>15</v>
      </c>
      <c r="I751" s="9">
        <v>15</v>
      </c>
      <c r="J751" s="80" t="s">
        <v>338</v>
      </c>
      <c r="K751" s="43">
        <v>10</v>
      </c>
      <c r="L751" s="83" t="s">
        <v>15</v>
      </c>
    </row>
    <row r="752" spans="1:12" ht="15" customHeight="1" x14ac:dyDescent="0.3">
      <c r="A752" s="21">
        <v>11</v>
      </c>
      <c r="B752" s="25">
        <v>45965</v>
      </c>
      <c r="C752" s="29" t="s">
        <v>866</v>
      </c>
      <c r="D752" s="36">
        <v>1</v>
      </c>
      <c r="E752" s="41" t="s">
        <v>867</v>
      </c>
      <c r="F752" s="42" t="s">
        <v>72</v>
      </c>
      <c r="G752" s="9">
        <v>0</v>
      </c>
      <c r="H752" s="45">
        <v>32</v>
      </c>
      <c r="I752" s="9">
        <v>32</v>
      </c>
      <c r="J752" s="80" t="s">
        <v>338</v>
      </c>
      <c r="K752" s="43">
        <v>32</v>
      </c>
      <c r="L752" s="83" t="s">
        <v>15</v>
      </c>
    </row>
    <row r="753" spans="1:12" ht="15" customHeight="1" x14ac:dyDescent="0.3">
      <c r="A753" s="21">
        <v>11</v>
      </c>
      <c r="B753" s="25">
        <v>45965</v>
      </c>
      <c r="C753" s="29" t="s">
        <v>715</v>
      </c>
      <c r="D753" s="36">
        <v>1</v>
      </c>
      <c r="E753" s="41" t="s">
        <v>20</v>
      </c>
      <c r="F753" s="42">
        <v>7.5</v>
      </c>
      <c r="G753" s="9">
        <v>7.5</v>
      </c>
      <c r="H753" s="45">
        <v>10</v>
      </c>
      <c r="I753" s="9">
        <v>10</v>
      </c>
      <c r="J753" s="80" t="s">
        <v>338</v>
      </c>
      <c r="K753" s="43">
        <v>2.5</v>
      </c>
      <c r="L753" s="83" t="s">
        <v>15</v>
      </c>
    </row>
    <row r="754" spans="1:12" ht="15" customHeight="1" x14ac:dyDescent="0.3">
      <c r="A754" s="21">
        <v>11</v>
      </c>
      <c r="B754" s="25">
        <v>45966</v>
      </c>
      <c r="C754" s="29" t="s">
        <v>687</v>
      </c>
      <c r="D754" s="36">
        <v>1</v>
      </c>
      <c r="E754" s="41" t="s">
        <v>20</v>
      </c>
      <c r="F754" s="42">
        <v>7.5</v>
      </c>
      <c r="G754" s="9">
        <v>7.5</v>
      </c>
      <c r="H754" s="45">
        <v>20</v>
      </c>
      <c r="I754" s="9">
        <v>20</v>
      </c>
      <c r="J754" s="80" t="s">
        <v>338</v>
      </c>
      <c r="K754" s="43">
        <v>12.5</v>
      </c>
      <c r="L754" s="83" t="s">
        <v>15</v>
      </c>
    </row>
    <row r="755" spans="1:12" ht="15" customHeight="1" x14ac:dyDescent="0.3">
      <c r="A755" s="21">
        <v>11</v>
      </c>
      <c r="B755" s="25">
        <v>45966</v>
      </c>
      <c r="C755" s="29" t="s">
        <v>315</v>
      </c>
      <c r="D755" s="36">
        <v>1</v>
      </c>
      <c r="E755" s="41" t="s">
        <v>20</v>
      </c>
      <c r="F755" s="42">
        <v>7.0000000000000007E-2</v>
      </c>
      <c r="G755" s="9">
        <v>7.0000000000000007E-2</v>
      </c>
      <c r="H755" s="45">
        <v>1</v>
      </c>
      <c r="I755" s="9">
        <v>1</v>
      </c>
      <c r="J755" s="80" t="s">
        <v>338</v>
      </c>
      <c r="K755" s="43">
        <v>0.92999999999999994</v>
      </c>
      <c r="L755" s="83" t="s">
        <v>15</v>
      </c>
    </row>
    <row r="756" spans="1:12" ht="15" customHeight="1" x14ac:dyDescent="0.3">
      <c r="A756" s="21">
        <v>11</v>
      </c>
      <c r="B756" s="25">
        <v>45966</v>
      </c>
      <c r="C756" s="29" t="s">
        <v>715</v>
      </c>
      <c r="D756" s="36">
        <v>1</v>
      </c>
      <c r="E756" s="41" t="s">
        <v>20</v>
      </c>
      <c r="F756" s="42">
        <v>5</v>
      </c>
      <c r="G756" s="9">
        <v>5</v>
      </c>
      <c r="H756" s="45">
        <v>10</v>
      </c>
      <c r="I756" s="9">
        <v>10</v>
      </c>
      <c r="J756" s="80" t="s">
        <v>338</v>
      </c>
      <c r="K756" s="43">
        <v>5</v>
      </c>
      <c r="L756" s="83" t="s">
        <v>15</v>
      </c>
    </row>
    <row r="757" spans="1:12" ht="15" customHeight="1" x14ac:dyDescent="0.3">
      <c r="A757" s="21">
        <v>11</v>
      </c>
      <c r="B757" s="25">
        <v>45966</v>
      </c>
      <c r="C757" s="29" t="s">
        <v>715</v>
      </c>
      <c r="D757" s="36">
        <v>4</v>
      </c>
      <c r="E757" s="41" t="s">
        <v>20</v>
      </c>
      <c r="F757" s="42">
        <v>5</v>
      </c>
      <c r="G757" s="9">
        <v>20</v>
      </c>
      <c r="H757" s="45">
        <v>10</v>
      </c>
      <c r="I757" s="9">
        <v>50</v>
      </c>
      <c r="J757" s="80" t="s">
        <v>338</v>
      </c>
      <c r="K757" s="43">
        <v>30</v>
      </c>
      <c r="L757" s="83" t="s">
        <v>15</v>
      </c>
    </row>
    <row r="758" spans="1:12" ht="15" customHeight="1" x14ac:dyDescent="0.3">
      <c r="A758" s="21">
        <v>11</v>
      </c>
      <c r="B758" s="25">
        <v>45966</v>
      </c>
      <c r="C758" s="29" t="s">
        <v>868</v>
      </c>
      <c r="D758" s="36">
        <v>1</v>
      </c>
      <c r="E758" s="41" t="s">
        <v>20</v>
      </c>
      <c r="F758" s="42">
        <v>25</v>
      </c>
      <c r="G758" s="9">
        <v>25</v>
      </c>
      <c r="H758" s="45">
        <v>25</v>
      </c>
      <c r="I758" s="9">
        <v>25</v>
      </c>
      <c r="J758" s="80" t="s">
        <v>338</v>
      </c>
      <c r="K758" s="43">
        <v>0</v>
      </c>
      <c r="L758" s="83" t="s">
        <v>15</v>
      </c>
    </row>
    <row r="759" spans="1:12" ht="15" customHeight="1" x14ac:dyDescent="0.3">
      <c r="A759" s="21">
        <v>11</v>
      </c>
      <c r="B759" s="25">
        <v>45966</v>
      </c>
      <c r="C759" s="29" t="s">
        <v>859</v>
      </c>
      <c r="D759" s="36">
        <v>1</v>
      </c>
      <c r="E759" s="41" t="s">
        <v>20</v>
      </c>
      <c r="F759" s="42">
        <v>25</v>
      </c>
      <c r="G759" s="9">
        <v>25</v>
      </c>
      <c r="H759" s="45">
        <v>123.12</v>
      </c>
      <c r="I759" s="9">
        <v>123.12</v>
      </c>
      <c r="J759" s="80" t="s">
        <v>338</v>
      </c>
      <c r="K759" s="43">
        <v>98.12</v>
      </c>
      <c r="L759" s="83" t="s">
        <v>15</v>
      </c>
    </row>
    <row r="760" spans="1:12" ht="15" customHeight="1" x14ac:dyDescent="0.3">
      <c r="A760" s="21">
        <v>11</v>
      </c>
      <c r="B760" s="25">
        <v>45967</v>
      </c>
      <c r="C760" s="29" t="s">
        <v>715</v>
      </c>
      <c r="D760" s="36">
        <v>2</v>
      </c>
      <c r="E760" s="41" t="s">
        <v>20</v>
      </c>
      <c r="F760" s="42">
        <v>5</v>
      </c>
      <c r="G760" s="9">
        <v>10</v>
      </c>
      <c r="H760" s="45">
        <v>10</v>
      </c>
      <c r="I760" s="9">
        <v>20</v>
      </c>
      <c r="J760" s="80" t="s">
        <v>338</v>
      </c>
      <c r="K760" s="43">
        <v>10</v>
      </c>
      <c r="L760" s="83" t="s">
        <v>15</v>
      </c>
    </row>
    <row r="761" spans="1:12" ht="15" customHeight="1" x14ac:dyDescent="0.3">
      <c r="A761" s="21">
        <v>11</v>
      </c>
      <c r="B761" s="25">
        <v>45967</v>
      </c>
      <c r="C761" s="29" t="s">
        <v>313</v>
      </c>
      <c r="D761" s="36">
        <v>2</v>
      </c>
      <c r="E761" s="41" t="s">
        <v>33</v>
      </c>
      <c r="F761" s="42">
        <v>3</v>
      </c>
      <c r="G761" s="9">
        <v>6</v>
      </c>
      <c r="H761" s="45">
        <v>7</v>
      </c>
      <c r="I761" s="9">
        <v>14</v>
      </c>
      <c r="J761" s="80" t="s">
        <v>338</v>
      </c>
      <c r="K761" s="43">
        <v>8</v>
      </c>
      <c r="L761" s="83" t="s">
        <v>15</v>
      </c>
    </row>
    <row r="762" spans="1:12" ht="15" customHeight="1" x14ac:dyDescent="0.3">
      <c r="A762" s="21">
        <v>11</v>
      </c>
      <c r="B762" s="25">
        <v>45967</v>
      </c>
      <c r="C762" s="29" t="s">
        <v>750</v>
      </c>
      <c r="D762" s="36">
        <v>2</v>
      </c>
      <c r="E762" s="41" t="s">
        <v>33</v>
      </c>
      <c r="F762" s="42">
        <v>5</v>
      </c>
      <c r="G762" s="9">
        <v>10</v>
      </c>
      <c r="H762" s="45">
        <v>15</v>
      </c>
      <c r="I762" s="9">
        <v>30</v>
      </c>
      <c r="J762" s="80" t="s">
        <v>338</v>
      </c>
      <c r="K762" s="43">
        <v>20</v>
      </c>
      <c r="L762" s="83" t="s">
        <v>15</v>
      </c>
    </row>
    <row r="763" spans="1:12" ht="15" customHeight="1" x14ac:dyDescent="0.3">
      <c r="A763" s="21">
        <v>11</v>
      </c>
      <c r="B763" s="25">
        <v>45967</v>
      </c>
      <c r="C763" s="29" t="s">
        <v>672</v>
      </c>
      <c r="D763" s="36">
        <v>1</v>
      </c>
      <c r="E763" s="41" t="s">
        <v>33</v>
      </c>
      <c r="F763" s="42">
        <v>5</v>
      </c>
      <c r="G763" s="9">
        <v>5</v>
      </c>
      <c r="H763" s="45">
        <v>10</v>
      </c>
      <c r="I763" s="9">
        <v>10</v>
      </c>
      <c r="J763" s="80" t="s">
        <v>338</v>
      </c>
      <c r="K763" s="43">
        <v>5</v>
      </c>
      <c r="L763" s="83" t="s">
        <v>15</v>
      </c>
    </row>
    <row r="764" spans="1:12" ht="15" customHeight="1" x14ac:dyDescent="0.3">
      <c r="A764" s="21">
        <v>11</v>
      </c>
      <c r="B764" s="25">
        <v>45967</v>
      </c>
      <c r="C764" s="29" t="s">
        <v>715</v>
      </c>
      <c r="D764" s="36">
        <v>1</v>
      </c>
      <c r="E764" s="41" t="s">
        <v>20</v>
      </c>
      <c r="F764" s="42">
        <v>5</v>
      </c>
      <c r="G764" s="9">
        <v>5</v>
      </c>
      <c r="H764" s="45">
        <v>10</v>
      </c>
      <c r="I764" s="9">
        <v>10</v>
      </c>
      <c r="J764" s="80" t="s">
        <v>338</v>
      </c>
      <c r="K764" s="43">
        <v>5</v>
      </c>
      <c r="L764" s="83" t="s">
        <v>15</v>
      </c>
    </row>
    <row r="765" spans="1:12" ht="15" customHeight="1" x14ac:dyDescent="0.3">
      <c r="A765" s="21">
        <v>11</v>
      </c>
      <c r="B765" s="25">
        <v>45967</v>
      </c>
      <c r="C765" s="29" t="s">
        <v>246</v>
      </c>
      <c r="D765" s="36">
        <v>1</v>
      </c>
      <c r="E765" s="41" t="s">
        <v>20</v>
      </c>
      <c r="F765" s="42">
        <v>3.5</v>
      </c>
      <c r="G765" s="9">
        <v>3.5</v>
      </c>
      <c r="H765" s="45">
        <v>10</v>
      </c>
      <c r="I765" s="9">
        <v>10</v>
      </c>
      <c r="J765" s="80" t="s">
        <v>338</v>
      </c>
      <c r="K765" s="43">
        <v>6.5</v>
      </c>
      <c r="L765" s="83" t="s">
        <v>15</v>
      </c>
    </row>
    <row r="766" spans="1:12" ht="15" customHeight="1" x14ac:dyDescent="0.3">
      <c r="A766" s="21">
        <v>11</v>
      </c>
      <c r="B766" s="25">
        <v>45968</v>
      </c>
      <c r="C766" s="29" t="s">
        <v>246</v>
      </c>
      <c r="D766" s="36">
        <v>1</v>
      </c>
      <c r="E766" s="41" t="s">
        <v>20</v>
      </c>
      <c r="F766" s="42">
        <v>10</v>
      </c>
      <c r="G766" s="9">
        <v>10</v>
      </c>
      <c r="H766" s="45">
        <v>20</v>
      </c>
      <c r="I766" s="9">
        <v>20</v>
      </c>
      <c r="J766" s="80" t="s">
        <v>338</v>
      </c>
      <c r="K766" s="43">
        <v>10</v>
      </c>
      <c r="L766" s="83" t="s">
        <v>15</v>
      </c>
    </row>
    <row r="767" spans="1:12" ht="15" customHeight="1" x14ac:dyDescent="0.3">
      <c r="A767" s="21">
        <v>11</v>
      </c>
      <c r="B767" s="25">
        <v>45968</v>
      </c>
      <c r="C767" s="29" t="s">
        <v>855</v>
      </c>
      <c r="D767" s="36">
        <v>3</v>
      </c>
      <c r="E767" s="41" t="s">
        <v>20</v>
      </c>
      <c r="F767" s="42">
        <v>1</v>
      </c>
      <c r="G767" s="9">
        <v>3</v>
      </c>
      <c r="H767" s="45">
        <v>5</v>
      </c>
      <c r="I767" s="9">
        <v>15</v>
      </c>
      <c r="J767" s="80" t="s">
        <v>338</v>
      </c>
      <c r="K767" s="43">
        <v>12</v>
      </c>
      <c r="L767" s="83" t="s">
        <v>15</v>
      </c>
    </row>
    <row r="768" spans="1:12" ht="15" customHeight="1" x14ac:dyDescent="0.3">
      <c r="A768" s="21">
        <v>11</v>
      </c>
      <c r="B768" s="25">
        <v>45968</v>
      </c>
      <c r="C768" s="29" t="s">
        <v>869</v>
      </c>
      <c r="D768" s="36">
        <v>1</v>
      </c>
      <c r="E768" s="41" t="s">
        <v>20</v>
      </c>
      <c r="F768" s="42">
        <v>20</v>
      </c>
      <c r="G768" s="9">
        <v>20</v>
      </c>
      <c r="H768" s="45">
        <v>40</v>
      </c>
      <c r="I768" s="9">
        <v>40</v>
      </c>
      <c r="J768" s="80" t="s">
        <v>338</v>
      </c>
      <c r="K768" s="43">
        <v>20</v>
      </c>
      <c r="L768" s="83" t="s">
        <v>15</v>
      </c>
    </row>
    <row r="769" spans="1:12" ht="15" customHeight="1" x14ac:dyDescent="0.3">
      <c r="A769" s="21">
        <v>11</v>
      </c>
      <c r="B769" s="25">
        <v>45968</v>
      </c>
      <c r="C769" s="29" t="s">
        <v>870</v>
      </c>
      <c r="D769" s="36">
        <v>1</v>
      </c>
      <c r="E769" s="41" t="s">
        <v>746</v>
      </c>
      <c r="F769" s="42">
        <v>20</v>
      </c>
      <c r="G769" s="9">
        <v>20</v>
      </c>
      <c r="H769" s="45">
        <v>50</v>
      </c>
      <c r="I769" s="9">
        <v>50</v>
      </c>
      <c r="J769" s="80" t="s">
        <v>338</v>
      </c>
      <c r="K769" s="43">
        <v>30</v>
      </c>
      <c r="L769" s="83" t="s">
        <v>15</v>
      </c>
    </row>
    <row r="770" spans="1:12" ht="15" customHeight="1" x14ac:dyDescent="0.3">
      <c r="A770" s="21">
        <v>11</v>
      </c>
      <c r="B770" s="25">
        <v>45968</v>
      </c>
      <c r="C770" s="29" t="s">
        <v>871</v>
      </c>
      <c r="D770" s="36">
        <v>1</v>
      </c>
      <c r="E770" s="41" t="s">
        <v>569</v>
      </c>
      <c r="F770" s="42" t="s">
        <v>72</v>
      </c>
      <c r="G770" s="9">
        <v>0</v>
      </c>
      <c r="H770" s="45">
        <v>90</v>
      </c>
      <c r="I770" s="9">
        <v>90</v>
      </c>
      <c r="J770" s="80" t="s">
        <v>338</v>
      </c>
      <c r="K770" s="43">
        <v>90</v>
      </c>
      <c r="L770" s="83" t="s">
        <v>15</v>
      </c>
    </row>
    <row r="771" spans="1:12" ht="15" customHeight="1" x14ac:dyDescent="0.3">
      <c r="A771" s="21">
        <v>11</v>
      </c>
      <c r="B771" s="25">
        <v>45975</v>
      </c>
      <c r="C771" s="29" t="s">
        <v>872</v>
      </c>
      <c r="D771" s="36">
        <v>2</v>
      </c>
      <c r="E771" s="41" t="s">
        <v>20</v>
      </c>
      <c r="F771" s="42">
        <v>1</v>
      </c>
      <c r="G771" s="9">
        <v>2</v>
      </c>
      <c r="H771" s="45">
        <v>5</v>
      </c>
      <c r="I771" s="9">
        <v>10</v>
      </c>
      <c r="J771" s="80" t="s">
        <v>338</v>
      </c>
      <c r="K771" s="43">
        <v>8</v>
      </c>
      <c r="L771" s="83" t="s">
        <v>15</v>
      </c>
    </row>
    <row r="772" spans="1:12" ht="15" customHeight="1" x14ac:dyDescent="0.3">
      <c r="A772" s="21">
        <v>11</v>
      </c>
      <c r="B772" s="25">
        <v>45975</v>
      </c>
      <c r="C772" s="29" t="s">
        <v>817</v>
      </c>
      <c r="D772" s="36">
        <v>1</v>
      </c>
      <c r="E772" s="41" t="s">
        <v>873</v>
      </c>
      <c r="F772" s="42">
        <v>7</v>
      </c>
      <c r="G772" s="9">
        <v>7</v>
      </c>
      <c r="H772" s="45">
        <v>37.24</v>
      </c>
      <c r="I772" s="9">
        <v>37.24</v>
      </c>
      <c r="J772" s="80" t="s">
        <v>338</v>
      </c>
      <c r="K772" s="43">
        <v>30.240000000000002</v>
      </c>
      <c r="L772" s="83" t="s">
        <v>303</v>
      </c>
    </row>
    <row r="773" spans="1:12" ht="15" customHeight="1" x14ac:dyDescent="0.3">
      <c r="A773" s="21">
        <v>11</v>
      </c>
      <c r="B773" s="25">
        <v>45975</v>
      </c>
      <c r="C773" s="29" t="s">
        <v>818</v>
      </c>
      <c r="D773" s="36">
        <v>1</v>
      </c>
      <c r="E773" s="41" t="s">
        <v>874</v>
      </c>
      <c r="F773" s="42">
        <v>7.5</v>
      </c>
      <c r="G773" s="9">
        <v>7.5</v>
      </c>
      <c r="H773" s="45">
        <v>14.74</v>
      </c>
      <c r="I773" s="9">
        <v>14.74</v>
      </c>
      <c r="J773" s="80" t="s">
        <v>338</v>
      </c>
      <c r="K773" s="43">
        <v>7.24</v>
      </c>
      <c r="L773" s="83" t="s">
        <v>303</v>
      </c>
    </row>
    <row r="774" spans="1:12" ht="15" customHeight="1" x14ac:dyDescent="0.3">
      <c r="A774" s="21">
        <v>11</v>
      </c>
      <c r="B774" s="25">
        <v>45975</v>
      </c>
      <c r="C774" s="29" t="s">
        <v>857</v>
      </c>
      <c r="D774" s="36">
        <v>1</v>
      </c>
      <c r="E774" s="41" t="s">
        <v>875</v>
      </c>
      <c r="F774" s="42">
        <v>0</v>
      </c>
      <c r="G774" s="9">
        <v>0</v>
      </c>
      <c r="H774" s="45">
        <v>42</v>
      </c>
      <c r="I774" s="9">
        <v>42</v>
      </c>
      <c r="J774" s="80" t="s">
        <v>338</v>
      </c>
      <c r="K774" s="43">
        <v>42</v>
      </c>
      <c r="L774" s="83" t="s">
        <v>15</v>
      </c>
    </row>
    <row r="775" spans="1:12" ht="15" customHeight="1" x14ac:dyDescent="0.3">
      <c r="A775" s="21">
        <v>11</v>
      </c>
      <c r="B775" s="25">
        <v>45976</v>
      </c>
      <c r="C775" s="29" t="s">
        <v>876</v>
      </c>
      <c r="D775" s="36">
        <v>1</v>
      </c>
      <c r="E775" s="41" t="s">
        <v>20</v>
      </c>
      <c r="F775" s="42">
        <v>5</v>
      </c>
      <c r="G775" s="9">
        <v>5</v>
      </c>
      <c r="H775" s="45">
        <v>20</v>
      </c>
      <c r="I775" s="9">
        <v>20</v>
      </c>
      <c r="J775" s="80" t="s">
        <v>338</v>
      </c>
      <c r="K775" s="43">
        <v>15</v>
      </c>
      <c r="L775" s="83" t="s">
        <v>15</v>
      </c>
    </row>
    <row r="776" spans="1:12" ht="15" customHeight="1" x14ac:dyDescent="0.3">
      <c r="A776" s="21">
        <v>11</v>
      </c>
      <c r="B776" s="25">
        <v>45977</v>
      </c>
      <c r="C776" s="29" t="s">
        <v>216</v>
      </c>
      <c r="D776" s="36">
        <v>1</v>
      </c>
      <c r="E776" s="41" t="s">
        <v>877</v>
      </c>
      <c r="F776" s="42">
        <v>0</v>
      </c>
      <c r="G776" s="9">
        <v>0</v>
      </c>
      <c r="H776" s="45">
        <v>50</v>
      </c>
      <c r="I776" s="9">
        <v>50</v>
      </c>
      <c r="J776" s="80" t="s">
        <v>338</v>
      </c>
      <c r="K776" s="43">
        <v>50</v>
      </c>
      <c r="L776" s="83" t="s">
        <v>15</v>
      </c>
    </row>
    <row r="777" spans="1:12" ht="15" customHeight="1" x14ac:dyDescent="0.3">
      <c r="A777" s="21">
        <v>11</v>
      </c>
      <c r="B777" s="25">
        <v>45977</v>
      </c>
      <c r="C777" s="29" t="s">
        <v>878</v>
      </c>
      <c r="D777" s="36">
        <v>1</v>
      </c>
      <c r="E777" s="41" t="s">
        <v>877</v>
      </c>
      <c r="F777" s="42">
        <v>1</v>
      </c>
      <c r="G777" s="9">
        <v>1</v>
      </c>
      <c r="H777" s="45">
        <v>50</v>
      </c>
      <c r="I777" s="9">
        <v>50</v>
      </c>
      <c r="J777" s="80" t="s">
        <v>338</v>
      </c>
      <c r="K777" s="43">
        <v>49</v>
      </c>
      <c r="L777" s="83" t="s">
        <v>15</v>
      </c>
    </row>
    <row r="778" spans="1:12" ht="15" customHeight="1" x14ac:dyDescent="0.3">
      <c r="A778" s="21">
        <v>11</v>
      </c>
      <c r="B778" s="25">
        <v>45978</v>
      </c>
      <c r="C778" s="29" t="s">
        <v>879</v>
      </c>
      <c r="D778" s="36">
        <v>1</v>
      </c>
      <c r="E778" s="41" t="s">
        <v>20</v>
      </c>
      <c r="F778" s="42">
        <v>1</v>
      </c>
      <c r="G778" s="9">
        <v>1</v>
      </c>
      <c r="H778" s="45">
        <v>100</v>
      </c>
      <c r="I778" s="9">
        <v>100</v>
      </c>
      <c r="J778" s="80" t="s">
        <v>338</v>
      </c>
      <c r="K778" s="43">
        <v>99</v>
      </c>
      <c r="L778" s="83" t="s">
        <v>15</v>
      </c>
    </row>
    <row r="779" spans="1:12" ht="15" customHeight="1" x14ac:dyDescent="0.3">
      <c r="A779" s="21">
        <v>11</v>
      </c>
      <c r="B779" s="25">
        <v>45978</v>
      </c>
      <c r="C779" s="29" t="s">
        <v>880</v>
      </c>
      <c r="D779" s="36">
        <v>1</v>
      </c>
      <c r="E779" s="41" t="s">
        <v>20</v>
      </c>
      <c r="F779" s="42">
        <v>4</v>
      </c>
      <c r="G779" s="9">
        <v>4</v>
      </c>
      <c r="H779" s="45">
        <v>15</v>
      </c>
      <c r="I779" s="9">
        <v>15</v>
      </c>
      <c r="J779" s="80" t="s">
        <v>338</v>
      </c>
      <c r="K779" s="43">
        <v>11</v>
      </c>
      <c r="L779" s="83" t="s">
        <v>15</v>
      </c>
    </row>
    <row r="780" spans="1:12" ht="15" customHeight="1" x14ac:dyDescent="0.3">
      <c r="A780" s="21">
        <v>11</v>
      </c>
      <c r="B780" s="25">
        <v>45978</v>
      </c>
      <c r="C780" s="29" t="s">
        <v>881</v>
      </c>
      <c r="D780" s="36">
        <v>1</v>
      </c>
      <c r="E780" s="41" t="s">
        <v>20</v>
      </c>
      <c r="F780" s="42">
        <v>5</v>
      </c>
      <c r="G780" s="9">
        <v>5</v>
      </c>
      <c r="H780" s="45">
        <v>15</v>
      </c>
      <c r="I780" s="9">
        <v>15</v>
      </c>
      <c r="J780" s="82" t="s">
        <v>338</v>
      </c>
      <c r="K780" s="43">
        <v>10</v>
      </c>
      <c r="L780" s="83" t="s">
        <v>15</v>
      </c>
    </row>
    <row r="781" spans="1:12" ht="15" customHeight="1" x14ac:dyDescent="0.3">
      <c r="A781" s="21">
        <v>11</v>
      </c>
      <c r="B781" s="25">
        <v>45979</v>
      </c>
      <c r="C781" s="29" t="s">
        <v>855</v>
      </c>
      <c r="D781" s="36">
        <v>3</v>
      </c>
      <c r="E781" s="41" t="s">
        <v>20</v>
      </c>
      <c r="F781" s="42">
        <v>1</v>
      </c>
      <c r="G781" s="9">
        <v>3</v>
      </c>
      <c r="H781" s="45">
        <v>5</v>
      </c>
      <c r="I781" s="9">
        <v>15</v>
      </c>
      <c r="J781" s="80" t="s">
        <v>338</v>
      </c>
      <c r="K781" s="43">
        <v>12</v>
      </c>
      <c r="L781" s="83" t="s">
        <v>15</v>
      </c>
    </row>
    <row r="782" spans="1:12" ht="15" customHeight="1" x14ac:dyDescent="0.3">
      <c r="A782" s="21">
        <v>11</v>
      </c>
      <c r="B782" s="25">
        <v>45980</v>
      </c>
      <c r="C782" s="29" t="s">
        <v>715</v>
      </c>
      <c r="D782" s="36">
        <v>2</v>
      </c>
      <c r="E782" s="41" t="s">
        <v>20</v>
      </c>
      <c r="F782" s="42">
        <v>5</v>
      </c>
      <c r="G782" s="9">
        <v>10</v>
      </c>
      <c r="H782" s="45">
        <v>10</v>
      </c>
      <c r="I782" s="9">
        <v>20</v>
      </c>
      <c r="J782" s="80" t="s">
        <v>338</v>
      </c>
      <c r="K782" s="43">
        <v>10</v>
      </c>
      <c r="L782" s="83" t="s">
        <v>15</v>
      </c>
    </row>
    <row r="783" spans="1:12" ht="15" customHeight="1" x14ac:dyDescent="0.3">
      <c r="A783" s="21">
        <v>11</v>
      </c>
      <c r="B783" s="25">
        <v>45980</v>
      </c>
      <c r="C783" s="29" t="s">
        <v>262</v>
      </c>
      <c r="D783" s="36">
        <v>1</v>
      </c>
      <c r="E783" s="41" t="s">
        <v>20</v>
      </c>
      <c r="F783" s="42">
        <v>18</v>
      </c>
      <c r="G783" s="9">
        <v>18</v>
      </c>
      <c r="H783" s="45">
        <v>30</v>
      </c>
      <c r="I783" s="9">
        <v>30</v>
      </c>
      <c r="J783" s="80" t="s">
        <v>338</v>
      </c>
      <c r="K783" s="43">
        <v>12</v>
      </c>
      <c r="L783" s="83" t="s">
        <v>15</v>
      </c>
    </row>
    <row r="784" spans="1:12" ht="15" customHeight="1" x14ac:dyDescent="0.3">
      <c r="A784" s="21">
        <v>11</v>
      </c>
      <c r="B784" s="25">
        <v>45980</v>
      </c>
      <c r="C784" s="29" t="s">
        <v>872</v>
      </c>
      <c r="D784" s="36">
        <v>1</v>
      </c>
      <c r="E784" s="41" t="s">
        <v>20</v>
      </c>
      <c r="F784" s="42">
        <v>1</v>
      </c>
      <c r="G784" s="9">
        <v>1</v>
      </c>
      <c r="H784" s="45">
        <v>5</v>
      </c>
      <c r="I784" s="9">
        <v>5</v>
      </c>
      <c r="J784" s="80" t="s">
        <v>338</v>
      </c>
      <c r="K784" s="43">
        <v>4</v>
      </c>
      <c r="L784" s="83" t="s">
        <v>15</v>
      </c>
    </row>
    <row r="785" spans="1:12" ht="15" customHeight="1" x14ac:dyDescent="0.3">
      <c r="A785" s="21">
        <v>11</v>
      </c>
      <c r="B785" s="25">
        <v>45980</v>
      </c>
      <c r="C785" s="29" t="s">
        <v>882</v>
      </c>
      <c r="D785" s="36">
        <v>1</v>
      </c>
      <c r="E785" s="41" t="s">
        <v>883</v>
      </c>
      <c r="F785" s="42">
        <v>1</v>
      </c>
      <c r="G785" s="9">
        <v>1</v>
      </c>
      <c r="H785" s="45">
        <v>50</v>
      </c>
      <c r="I785" s="9">
        <v>50</v>
      </c>
      <c r="J785" s="80" t="s">
        <v>338</v>
      </c>
      <c r="K785" s="43">
        <v>49</v>
      </c>
      <c r="L785" s="83" t="s">
        <v>15</v>
      </c>
    </row>
    <row r="786" spans="1:12" ht="15" customHeight="1" x14ac:dyDescent="0.3">
      <c r="A786" s="21">
        <v>11</v>
      </c>
      <c r="B786" s="25">
        <v>45981</v>
      </c>
      <c r="C786" s="29" t="s">
        <v>884</v>
      </c>
      <c r="D786" s="36">
        <v>3</v>
      </c>
      <c r="E786" s="41" t="s">
        <v>20</v>
      </c>
      <c r="F786" s="42">
        <v>5</v>
      </c>
      <c r="G786" s="9">
        <v>15</v>
      </c>
      <c r="H786" s="45">
        <v>10</v>
      </c>
      <c r="I786" s="9">
        <v>30</v>
      </c>
      <c r="J786" s="80" t="s">
        <v>338</v>
      </c>
      <c r="K786" s="43">
        <v>15</v>
      </c>
      <c r="L786" s="83" t="s">
        <v>15</v>
      </c>
    </row>
    <row r="787" spans="1:12" ht="15" customHeight="1" x14ac:dyDescent="0.3">
      <c r="A787" s="21">
        <v>11</v>
      </c>
      <c r="B787" s="25">
        <v>45981</v>
      </c>
      <c r="C787" s="29" t="s">
        <v>810</v>
      </c>
      <c r="D787" s="36">
        <v>1</v>
      </c>
      <c r="E787" s="41" t="s">
        <v>20</v>
      </c>
      <c r="F787" s="42">
        <v>5</v>
      </c>
      <c r="G787" s="9">
        <v>5</v>
      </c>
      <c r="H787" s="45">
        <v>10</v>
      </c>
      <c r="I787" s="9">
        <v>10</v>
      </c>
      <c r="J787" s="80" t="s">
        <v>338</v>
      </c>
      <c r="K787" s="43">
        <v>5</v>
      </c>
      <c r="L787" s="83" t="s">
        <v>15</v>
      </c>
    </row>
    <row r="788" spans="1:12" ht="15" customHeight="1" x14ac:dyDescent="0.3">
      <c r="A788" s="21">
        <v>11</v>
      </c>
      <c r="B788" s="25">
        <v>45981</v>
      </c>
      <c r="C788" s="29" t="s">
        <v>885</v>
      </c>
      <c r="D788" s="36">
        <v>1</v>
      </c>
      <c r="E788" s="41" t="s">
        <v>20</v>
      </c>
      <c r="F788" s="42">
        <v>5</v>
      </c>
      <c r="G788" s="9">
        <v>5</v>
      </c>
      <c r="H788" s="45">
        <v>10</v>
      </c>
      <c r="I788" s="9">
        <v>10</v>
      </c>
      <c r="J788" s="80" t="s">
        <v>338</v>
      </c>
      <c r="K788" s="43">
        <v>5</v>
      </c>
      <c r="L788" s="83" t="s">
        <v>15</v>
      </c>
    </row>
    <row r="789" spans="1:12" ht="15" customHeight="1" x14ac:dyDescent="0.3">
      <c r="A789" s="21">
        <v>11</v>
      </c>
      <c r="B789" s="25">
        <v>45981</v>
      </c>
      <c r="C789" s="29" t="s">
        <v>687</v>
      </c>
      <c r="D789" s="36">
        <v>2</v>
      </c>
      <c r="E789" s="41" t="s">
        <v>20</v>
      </c>
      <c r="F789" s="42">
        <v>7.5</v>
      </c>
      <c r="G789" s="9">
        <v>15</v>
      </c>
      <c r="H789" s="45">
        <v>20</v>
      </c>
      <c r="I789" s="9">
        <v>40</v>
      </c>
      <c r="J789" s="80" t="s">
        <v>338</v>
      </c>
      <c r="K789" s="43">
        <v>25</v>
      </c>
      <c r="L789" s="83" t="s">
        <v>15</v>
      </c>
    </row>
    <row r="790" spans="1:12" ht="15" customHeight="1" x14ac:dyDescent="0.3">
      <c r="A790" s="21">
        <v>11</v>
      </c>
      <c r="B790" s="25">
        <v>45981</v>
      </c>
      <c r="C790" s="29" t="s">
        <v>767</v>
      </c>
      <c r="D790" s="36">
        <v>1</v>
      </c>
      <c r="E790" s="41" t="s">
        <v>266</v>
      </c>
      <c r="F790" s="42">
        <v>99.9</v>
      </c>
      <c r="G790" s="9">
        <v>99.9</v>
      </c>
      <c r="H790" s="45">
        <v>250</v>
      </c>
      <c r="I790" s="9">
        <v>250</v>
      </c>
      <c r="J790" s="80" t="s">
        <v>338</v>
      </c>
      <c r="K790" s="43">
        <v>150.1</v>
      </c>
      <c r="L790" s="83" t="s">
        <v>15</v>
      </c>
    </row>
    <row r="791" spans="1:12" ht="15" customHeight="1" x14ac:dyDescent="0.3">
      <c r="A791" s="21">
        <v>11</v>
      </c>
      <c r="B791" s="25">
        <v>45981</v>
      </c>
      <c r="C791" s="29" t="s">
        <v>886</v>
      </c>
      <c r="D791" s="36">
        <v>1</v>
      </c>
      <c r="E791" s="41" t="s">
        <v>887</v>
      </c>
      <c r="F791" s="42">
        <v>5</v>
      </c>
      <c r="G791" s="9">
        <v>5</v>
      </c>
      <c r="H791" s="45">
        <v>10</v>
      </c>
      <c r="I791" s="9">
        <v>10</v>
      </c>
      <c r="J791" s="80" t="s">
        <v>338</v>
      </c>
      <c r="K791" s="43">
        <v>5</v>
      </c>
      <c r="L791" s="83" t="s">
        <v>15</v>
      </c>
    </row>
    <row r="792" spans="1:12" ht="15" customHeight="1" x14ac:dyDescent="0.3">
      <c r="A792" s="21">
        <v>11</v>
      </c>
      <c r="B792" s="25">
        <v>45982</v>
      </c>
      <c r="C792" s="29" t="s">
        <v>888</v>
      </c>
      <c r="D792" s="36">
        <v>1</v>
      </c>
      <c r="E792" s="41" t="s">
        <v>20</v>
      </c>
      <c r="F792" s="42">
        <v>5</v>
      </c>
      <c r="G792" s="9">
        <v>5</v>
      </c>
      <c r="H792" s="45">
        <v>10</v>
      </c>
      <c r="I792" s="9">
        <v>10</v>
      </c>
      <c r="J792" s="80" t="s">
        <v>338</v>
      </c>
      <c r="K792" s="43">
        <v>5</v>
      </c>
      <c r="L792" s="83" t="s">
        <v>15</v>
      </c>
    </row>
    <row r="793" spans="1:12" ht="15" customHeight="1" x14ac:dyDescent="0.3">
      <c r="A793" s="21">
        <v>11</v>
      </c>
      <c r="B793" s="25">
        <v>45982</v>
      </c>
      <c r="C793" s="29" t="s">
        <v>725</v>
      </c>
      <c r="D793" s="36">
        <v>1</v>
      </c>
      <c r="E793" s="41" t="s">
        <v>766</v>
      </c>
      <c r="F793" s="42">
        <v>2</v>
      </c>
      <c r="G793" s="9">
        <v>2</v>
      </c>
      <c r="H793" s="45">
        <v>5</v>
      </c>
      <c r="I793" s="9">
        <v>5</v>
      </c>
      <c r="J793" s="80" t="s">
        <v>338</v>
      </c>
      <c r="K793" s="43">
        <v>3</v>
      </c>
      <c r="L793" s="83" t="s">
        <v>15</v>
      </c>
    </row>
    <row r="794" spans="1:12" ht="15" customHeight="1" x14ac:dyDescent="0.3">
      <c r="A794" s="21">
        <v>11</v>
      </c>
      <c r="B794" s="25">
        <v>45983</v>
      </c>
      <c r="C794" s="29" t="s">
        <v>889</v>
      </c>
      <c r="D794" s="36">
        <v>1</v>
      </c>
      <c r="E794" s="41" t="s">
        <v>20</v>
      </c>
      <c r="F794" s="42">
        <v>25</v>
      </c>
      <c r="G794" s="9">
        <v>25</v>
      </c>
      <c r="H794" s="45">
        <v>50</v>
      </c>
      <c r="I794" s="9">
        <v>50</v>
      </c>
      <c r="J794" s="80" t="s">
        <v>338</v>
      </c>
      <c r="K794" s="43">
        <v>25</v>
      </c>
      <c r="L794" s="83" t="s">
        <v>15</v>
      </c>
    </row>
    <row r="795" spans="1:12" ht="15" customHeight="1" x14ac:dyDescent="0.3">
      <c r="A795" s="21">
        <v>11</v>
      </c>
      <c r="B795" s="25">
        <v>45983</v>
      </c>
      <c r="C795" s="29" t="s">
        <v>890</v>
      </c>
      <c r="D795" s="36">
        <v>1</v>
      </c>
      <c r="E795" s="41" t="s">
        <v>20</v>
      </c>
      <c r="F795" s="42">
        <v>23.1</v>
      </c>
      <c r="G795" s="9">
        <v>23.1</v>
      </c>
      <c r="H795" s="45">
        <v>50</v>
      </c>
      <c r="I795" s="9">
        <v>50</v>
      </c>
      <c r="J795" s="80" t="s">
        <v>338</v>
      </c>
      <c r="K795" s="43">
        <v>26.9</v>
      </c>
      <c r="L795" s="83" t="s">
        <v>15</v>
      </c>
    </row>
    <row r="796" spans="1:12" ht="15" customHeight="1" x14ac:dyDescent="0.3">
      <c r="A796" s="21">
        <v>11</v>
      </c>
      <c r="B796" s="25">
        <v>45985</v>
      </c>
      <c r="C796" s="29" t="s">
        <v>315</v>
      </c>
      <c r="D796" s="36">
        <v>2</v>
      </c>
      <c r="E796" s="41" t="s">
        <v>20</v>
      </c>
      <c r="F796" s="42">
        <v>7.0000000000000007E-2</v>
      </c>
      <c r="G796" s="9">
        <v>0.14000000000000001</v>
      </c>
      <c r="H796" s="45">
        <v>1</v>
      </c>
      <c r="I796" s="9">
        <v>2</v>
      </c>
      <c r="J796" s="80" t="s">
        <v>338</v>
      </c>
      <c r="K796" s="43">
        <v>1.8599999999999999</v>
      </c>
      <c r="L796" s="83" t="s">
        <v>15</v>
      </c>
    </row>
    <row r="797" spans="1:12" ht="15" customHeight="1" x14ac:dyDescent="0.3">
      <c r="A797" s="21">
        <v>11</v>
      </c>
      <c r="B797" s="25">
        <v>45985</v>
      </c>
      <c r="C797" s="29" t="s">
        <v>891</v>
      </c>
      <c r="D797" s="36">
        <v>1</v>
      </c>
      <c r="E797" s="41" t="s">
        <v>20</v>
      </c>
      <c r="F797" s="42">
        <v>7.5</v>
      </c>
      <c r="G797" s="9">
        <v>7.5</v>
      </c>
      <c r="H797" s="45">
        <v>20</v>
      </c>
      <c r="I797" s="9">
        <v>20</v>
      </c>
      <c r="J797" s="80" t="s">
        <v>338</v>
      </c>
      <c r="K797" s="43">
        <v>12.5</v>
      </c>
      <c r="L797" s="83" t="s">
        <v>15</v>
      </c>
    </row>
    <row r="798" spans="1:12" ht="15" customHeight="1" x14ac:dyDescent="0.3">
      <c r="A798" s="21">
        <v>11</v>
      </c>
      <c r="B798" s="25">
        <v>45985</v>
      </c>
      <c r="C798" s="29" t="s">
        <v>484</v>
      </c>
      <c r="D798" s="36">
        <v>1</v>
      </c>
      <c r="E798" s="41" t="s">
        <v>232</v>
      </c>
      <c r="F798" s="42">
        <v>8</v>
      </c>
      <c r="G798" s="9">
        <v>8</v>
      </c>
      <c r="H798" s="45">
        <v>20</v>
      </c>
      <c r="I798" s="9">
        <v>20</v>
      </c>
      <c r="J798" s="80" t="s">
        <v>338</v>
      </c>
      <c r="K798" s="43">
        <v>12</v>
      </c>
      <c r="L798" s="83" t="s">
        <v>15</v>
      </c>
    </row>
    <row r="799" spans="1:12" ht="15" customHeight="1" x14ac:dyDescent="0.3">
      <c r="A799" s="21">
        <v>11</v>
      </c>
      <c r="B799" s="25">
        <v>45985</v>
      </c>
      <c r="C799" s="29" t="s">
        <v>892</v>
      </c>
      <c r="D799" s="36">
        <v>2</v>
      </c>
      <c r="E799" s="41" t="s">
        <v>232</v>
      </c>
      <c r="F799" s="42">
        <v>3</v>
      </c>
      <c r="G799" s="9">
        <v>6</v>
      </c>
      <c r="H799" s="45">
        <v>5</v>
      </c>
      <c r="I799" s="9">
        <v>10</v>
      </c>
      <c r="J799" s="80" t="s">
        <v>338</v>
      </c>
      <c r="K799" s="43">
        <v>4</v>
      </c>
      <c r="L799" s="83" t="s">
        <v>15</v>
      </c>
    </row>
    <row r="800" spans="1:12" ht="15" customHeight="1" x14ac:dyDescent="0.3">
      <c r="A800" s="21">
        <v>11</v>
      </c>
      <c r="B800" s="25">
        <v>45985</v>
      </c>
      <c r="C800" s="29" t="s">
        <v>672</v>
      </c>
      <c r="D800" s="36">
        <v>1</v>
      </c>
      <c r="E800" s="41" t="s">
        <v>20</v>
      </c>
      <c r="F800" s="42">
        <v>4</v>
      </c>
      <c r="G800" s="9">
        <v>4</v>
      </c>
      <c r="H800" s="45">
        <v>15</v>
      </c>
      <c r="I800" s="9">
        <v>15</v>
      </c>
      <c r="J800" s="80" t="s">
        <v>338</v>
      </c>
      <c r="K800" s="43">
        <v>11</v>
      </c>
      <c r="L800" s="83" t="s">
        <v>15</v>
      </c>
    </row>
    <row r="801" spans="1:12" ht="15" customHeight="1" x14ac:dyDescent="0.3">
      <c r="A801" s="21">
        <v>11</v>
      </c>
      <c r="B801" s="25">
        <v>45986</v>
      </c>
      <c r="C801" s="29" t="s">
        <v>262</v>
      </c>
      <c r="D801" s="36">
        <v>1</v>
      </c>
      <c r="E801" s="41" t="s">
        <v>20</v>
      </c>
      <c r="F801" s="42">
        <v>18</v>
      </c>
      <c r="G801" s="9">
        <v>18</v>
      </c>
      <c r="H801" s="45">
        <v>30</v>
      </c>
      <c r="I801" s="9">
        <v>30</v>
      </c>
      <c r="J801" s="80" t="s">
        <v>338</v>
      </c>
      <c r="K801" s="43">
        <v>12</v>
      </c>
      <c r="L801" s="83" t="s">
        <v>15</v>
      </c>
    </row>
    <row r="802" spans="1:12" ht="15" customHeight="1" x14ac:dyDescent="0.3">
      <c r="A802" s="21">
        <v>11</v>
      </c>
      <c r="B802" s="25">
        <v>45986</v>
      </c>
      <c r="C802" s="29" t="s">
        <v>893</v>
      </c>
      <c r="D802" s="36">
        <v>1</v>
      </c>
      <c r="E802" s="41" t="s">
        <v>887</v>
      </c>
      <c r="F802" s="42">
        <v>8.5</v>
      </c>
      <c r="G802" s="9">
        <v>8.5</v>
      </c>
      <c r="H802" s="45">
        <v>20</v>
      </c>
      <c r="I802" s="9">
        <v>20</v>
      </c>
      <c r="J802" s="80" t="s">
        <v>338</v>
      </c>
      <c r="K802" s="43">
        <v>11.5</v>
      </c>
      <c r="L802" s="83" t="s">
        <v>15</v>
      </c>
    </row>
    <row r="803" spans="1:12" ht="15" customHeight="1" x14ac:dyDescent="0.3">
      <c r="A803" s="21">
        <v>11</v>
      </c>
      <c r="B803" s="25">
        <v>45986</v>
      </c>
      <c r="C803" s="29" t="s">
        <v>892</v>
      </c>
      <c r="D803" s="36">
        <v>2</v>
      </c>
      <c r="E803" s="41" t="s">
        <v>887</v>
      </c>
      <c r="F803" s="42">
        <v>3</v>
      </c>
      <c r="G803" s="9">
        <v>6</v>
      </c>
      <c r="H803" s="45">
        <v>5</v>
      </c>
      <c r="I803" s="9">
        <v>10</v>
      </c>
      <c r="J803" s="80" t="s">
        <v>338</v>
      </c>
      <c r="K803" s="43">
        <v>4</v>
      </c>
      <c r="L803" s="83" t="s">
        <v>15</v>
      </c>
    </row>
    <row r="804" spans="1:12" ht="15" customHeight="1" x14ac:dyDescent="0.3">
      <c r="A804" s="21">
        <v>11</v>
      </c>
      <c r="B804" s="25">
        <v>45986</v>
      </c>
      <c r="C804" s="29" t="s">
        <v>894</v>
      </c>
      <c r="D804" s="36">
        <v>1</v>
      </c>
      <c r="E804" s="41" t="s">
        <v>811</v>
      </c>
      <c r="F804" s="42">
        <v>38</v>
      </c>
      <c r="G804" s="9">
        <v>38</v>
      </c>
      <c r="H804" s="45">
        <v>60</v>
      </c>
      <c r="I804" s="9">
        <v>60</v>
      </c>
      <c r="J804" s="80" t="s">
        <v>338</v>
      </c>
      <c r="K804" s="43">
        <v>22</v>
      </c>
      <c r="L804" s="83" t="s">
        <v>15</v>
      </c>
    </row>
    <row r="805" spans="1:12" ht="15" customHeight="1" x14ac:dyDescent="0.3">
      <c r="A805" s="21">
        <v>11</v>
      </c>
      <c r="B805" s="25">
        <v>45986</v>
      </c>
      <c r="C805" s="29" t="s">
        <v>892</v>
      </c>
      <c r="D805" s="36">
        <v>3</v>
      </c>
      <c r="E805" s="41" t="s">
        <v>887</v>
      </c>
      <c r="F805" s="42">
        <v>3</v>
      </c>
      <c r="G805" s="9">
        <v>9</v>
      </c>
      <c r="H805" s="45">
        <v>6</v>
      </c>
      <c r="I805" s="9">
        <v>18</v>
      </c>
      <c r="J805" s="80" t="s">
        <v>338</v>
      </c>
      <c r="K805" s="43">
        <v>9</v>
      </c>
      <c r="L805" s="83" t="s">
        <v>15</v>
      </c>
    </row>
    <row r="806" spans="1:12" ht="15" customHeight="1" x14ac:dyDescent="0.3">
      <c r="A806" s="21">
        <v>11</v>
      </c>
      <c r="B806" s="25">
        <v>45986</v>
      </c>
      <c r="C806" s="29" t="s">
        <v>893</v>
      </c>
      <c r="D806" s="36">
        <v>1</v>
      </c>
      <c r="E806" s="41" t="s">
        <v>232</v>
      </c>
      <c r="F806" s="42">
        <v>8.5</v>
      </c>
      <c r="G806" s="9">
        <v>8.5</v>
      </c>
      <c r="H806" s="45">
        <v>20</v>
      </c>
      <c r="I806" s="9">
        <v>20</v>
      </c>
      <c r="J806" s="80" t="s">
        <v>338</v>
      </c>
      <c r="K806" s="43">
        <v>11.5</v>
      </c>
      <c r="L806" s="83" t="s">
        <v>15</v>
      </c>
    </row>
    <row r="807" spans="1:12" ht="15" customHeight="1" x14ac:dyDescent="0.3">
      <c r="A807" s="21">
        <v>11</v>
      </c>
      <c r="B807" s="25">
        <v>45986</v>
      </c>
      <c r="C807" s="29" t="s">
        <v>892</v>
      </c>
      <c r="D807" s="36">
        <v>2</v>
      </c>
      <c r="E807" s="41" t="s">
        <v>232</v>
      </c>
      <c r="F807" s="42">
        <v>3</v>
      </c>
      <c r="G807" s="9">
        <v>6</v>
      </c>
      <c r="H807" s="45">
        <v>5</v>
      </c>
      <c r="I807" s="9">
        <v>10</v>
      </c>
      <c r="J807" s="80" t="s">
        <v>338</v>
      </c>
      <c r="K807" s="43">
        <v>4</v>
      </c>
      <c r="L807" s="83" t="s">
        <v>15</v>
      </c>
    </row>
    <row r="808" spans="1:12" ht="15" customHeight="1" x14ac:dyDescent="0.3">
      <c r="A808" s="21">
        <v>11</v>
      </c>
      <c r="B808" s="25">
        <v>45986</v>
      </c>
      <c r="C808" s="29" t="s">
        <v>818</v>
      </c>
      <c r="D808" s="36">
        <v>1</v>
      </c>
      <c r="E808" s="41" t="s">
        <v>895</v>
      </c>
      <c r="F808" s="42">
        <v>7.5</v>
      </c>
      <c r="G808" s="9">
        <v>7.5</v>
      </c>
      <c r="H808" s="45">
        <v>13.8</v>
      </c>
      <c r="I808" s="9">
        <v>13.8</v>
      </c>
      <c r="J808" s="80" t="s">
        <v>338</v>
      </c>
      <c r="K808" s="43">
        <v>6.3000000000000007</v>
      </c>
      <c r="L808" s="83" t="s">
        <v>15</v>
      </c>
    </row>
    <row r="809" spans="1:12" ht="15" customHeight="1" x14ac:dyDescent="0.3">
      <c r="A809" s="21">
        <v>11</v>
      </c>
      <c r="B809" s="25">
        <v>45986</v>
      </c>
      <c r="C809" s="29" t="s">
        <v>818</v>
      </c>
      <c r="D809" s="36">
        <v>1</v>
      </c>
      <c r="E809" s="41" t="s">
        <v>896</v>
      </c>
      <c r="F809" s="42">
        <v>7.5</v>
      </c>
      <c r="G809" s="9">
        <v>7.5</v>
      </c>
      <c r="H809" s="45">
        <v>13.8</v>
      </c>
      <c r="I809" s="9">
        <v>13.8</v>
      </c>
      <c r="J809" s="80" t="s">
        <v>338</v>
      </c>
      <c r="K809" s="43">
        <v>6.3000000000000007</v>
      </c>
      <c r="L809" s="83" t="s">
        <v>15</v>
      </c>
    </row>
    <row r="810" spans="1:12" ht="15" customHeight="1" x14ac:dyDescent="0.3">
      <c r="A810" s="21">
        <v>11</v>
      </c>
      <c r="B810" s="25">
        <v>45987</v>
      </c>
      <c r="C810" s="67" t="s">
        <v>827</v>
      </c>
      <c r="D810" s="36">
        <v>1</v>
      </c>
      <c r="E810" s="41" t="s">
        <v>897</v>
      </c>
      <c r="F810" s="42">
        <v>7</v>
      </c>
      <c r="G810" s="9">
        <v>7</v>
      </c>
      <c r="H810" s="45">
        <v>41</v>
      </c>
      <c r="I810" s="9">
        <v>41</v>
      </c>
      <c r="J810" s="80" t="s">
        <v>338</v>
      </c>
      <c r="K810" s="43">
        <v>34</v>
      </c>
      <c r="L810" s="83" t="s">
        <v>15</v>
      </c>
    </row>
    <row r="811" spans="1:12" ht="15" customHeight="1" x14ac:dyDescent="0.3">
      <c r="A811" s="21">
        <v>11</v>
      </c>
      <c r="B811" s="25">
        <v>45987</v>
      </c>
      <c r="C811" s="29" t="s">
        <v>894</v>
      </c>
      <c r="D811" s="36">
        <v>1</v>
      </c>
      <c r="E811" s="41" t="s">
        <v>811</v>
      </c>
      <c r="F811" s="42">
        <v>38</v>
      </c>
      <c r="G811" s="9">
        <v>38</v>
      </c>
      <c r="H811" s="45">
        <v>60</v>
      </c>
      <c r="I811" s="9">
        <v>60</v>
      </c>
      <c r="J811" s="80" t="s">
        <v>338</v>
      </c>
      <c r="K811" s="43">
        <v>22</v>
      </c>
      <c r="L811" s="83" t="s">
        <v>15</v>
      </c>
    </row>
    <row r="812" spans="1:12" ht="15" customHeight="1" x14ac:dyDescent="0.3">
      <c r="A812" s="21">
        <v>11</v>
      </c>
      <c r="B812" s="25">
        <v>45987</v>
      </c>
      <c r="C812" s="29" t="s">
        <v>552</v>
      </c>
      <c r="D812" s="36">
        <v>1</v>
      </c>
      <c r="E812" s="41" t="s">
        <v>20</v>
      </c>
      <c r="F812" s="42">
        <v>18.5</v>
      </c>
      <c r="G812" s="9">
        <v>18.5</v>
      </c>
      <c r="H812" s="45">
        <v>30</v>
      </c>
      <c r="I812" s="9">
        <v>30</v>
      </c>
      <c r="J812" s="80" t="s">
        <v>338</v>
      </c>
      <c r="K812" s="43">
        <v>11.5</v>
      </c>
      <c r="L812" s="83" t="s">
        <v>15</v>
      </c>
    </row>
    <row r="813" spans="1:12" ht="15" customHeight="1" x14ac:dyDescent="0.3">
      <c r="A813" s="21">
        <v>11</v>
      </c>
      <c r="B813" s="25">
        <v>45988</v>
      </c>
      <c r="C813" s="29" t="s">
        <v>672</v>
      </c>
      <c r="D813" s="36">
        <v>1</v>
      </c>
      <c r="E813" s="41" t="s">
        <v>20</v>
      </c>
      <c r="F813" s="42">
        <v>4</v>
      </c>
      <c r="G813" s="9">
        <v>4</v>
      </c>
      <c r="H813" s="45">
        <v>10</v>
      </c>
      <c r="I813" s="9">
        <v>10</v>
      </c>
      <c r="J813" s="80" t="s">
        <v>338</v>
      </c>
      <c r="K813" s="43">
        <v>6</v>
      </c>
      <c r="L813" s="83" t="s">
        <v>15</v>
      </c>
    </row>
    <row r="814" spans="1:12" ht="15" customHeight="1" x14ac:dyDescent="0.3">
      <c r="A814" s="21">
        <v>11</v>
      </c>
      <c r="B814" s="25">
        <v>45988</v>
      </c>
      <c r="C814" s="29" t="s">
        <v>898</v>
      </c>
      <c r="D814" s="36">
        <v>1</v>
      </c>
      <c r="E814" s="41" t="s">
        <v>20</v>
      </c>
      <c r="F814" s="42">
        <v>8</v>
      </c>
      <c r="G814" s="9">
        <v>8</v>
      </c>
      <c r="H814" s="45">
        <v>15</v>
      </c>
      <c r="I814" s="9">
        <v>15</v>
      </c>
      <c r="J814" s="80" t="s">
        <v>338</v>
      </c>
      <c r="K814" s="43">
        <v>7</v>
      </c>
      <c r="L814" s="83" t="s">
        <v>15</v>
      </c>
    </row>
    <row r="815" spans="1:12" ht="15" customHeight="1" x14ac:dyDescent="0.3">
      <c r="A815" s="21">
        <v>11</v>
      </c>
      <c r="B815" s="25">
        <v>45988</v>
      </c>
      <c r="C815" s="29" t="s">
        <v>431</v>
      </c>
      <c r="D815" s="36">
        <v>1</v>
      </c>
      <c r="E815" s="41" t="s">
        <v>20</v>
      </c>
      <c r="F815" s="42">
        <v>0</v>
      </c>
      <c r="G815" s="9">
        <v>0</v>
      </c>
      <c r="H815" s="45">
        <v>10</v>
      </c>
      <c r="I815" s="9">
        <v>10</v>
      </c>
      <c r="J815" s="80" t="s">
        <v>338</v>
      </c>
      <c r="K815" s="43">
        <v>10</v>
      </c>
      <c r="L815" s="83" t="s">
        <v>15</v>
      </c>
    </row>
    <row r="816" spans="1:12" ht="15" customHeight="1" x14ac:dyDescent="0.3">
      <c r="A816" s="21">
        <v>11</v>
      </c>
      <c r="B816" s="25">
        <v>45988</v>
      </c>
      <c r="C816" s="29" t="s">
        <v>761</v>
      </c>
      <c r="D816" s="36">
        <v>1</v>
      </c>
      <c r="E816" s="41" t="s">
        <v>524</v>
      </c>
      <c r="F816" s="42">
        <v>5</v>
      </c>
      <c r="G816" s="9">
        <v>5</v>
      </c>
      <c r="H816" s="45">
        <v>15</v>
      </c>
      <c r="I816" s="9">
        <v>15</v>
      </c>
      <c r="J816" s="80" t="s">
        <v>338</v>
      </c>
      <c r="K816" s="43">
        <v>10</v>
      </c>
      <c r="L816" s="83" t="s">
        <v>15</v>
      </c>
    </row>
    <row r="817" spans="1:12" ht="15" customHeight="1" x14ac:dyDescent="0.3">
      <c r="A817" s="21">
        <v>11</v>
      </c>
      <c r="B817" s="25">
        <v>45988</v>
      </c>
      <c r="C817" s="29" t="s">
        <v>216</v>
      </c>
      <c r="D817" s="36">
        <v>1</v>
      </c>
      <c r="E817" s="41" t="s">
        <v>20</v>
      </c>
      <c r="F817" s="42">
        <v>0</v>
      </c>
      <c r="G817" s="9">
        <v>0</v>
      </c>
      <c r="H817" s="45">
        <v>70</v>
      </c>
      <c r="I817" s="9">
        <v>70</v>
      </c>
      <c r="J817" s="80" t="s">
        <v>338</v>
      </c>
      <c r="K817" s="43">
        <v>70</v>
      </c>
      <c r="L817" s="83" t="s">
        <v>15</v>
      </c>
    </row>
    <row r="818" spans="1:12" ht="15" customHeight="1" x14ac:dyDescent="0.3">
      <c r="A818" s="21">
        <v>11</v>
      </c>
      <c r="B818" s="25">
        <v>45988</v>
      </c>
      <c r="C818" s="29" t="s">
        <v>857</v>
      </c>
      <c r="D818" s="36">
        <v>1</v>
      </c>
      <c r="E818" s="41" t="s">
        <v>899</v>
      </c>
      <c r="F818" s="42">
        <v>0</v>
      </c>
      <c r="G818" s="9">
        <v>0</v>
      </c>
      <c r="H818" s="45">
        <v>21</v>
      </c>
      <c r="I818" s="9">
        <v>21</v>
      </c>
      <c r="J818" s="80" t="s">
        <v>338</v>
      </c>
      <c r="K818" s="43">
        <v>21</v>
      </c>
      <c r="L818" s="83" t="s">
        <v>15</v>
      </c>
    </row>
    <row r="819" spans="1:12" ht="15" customHeight="1" x14ac:dyDescent="0.3">
      <c r="A819" s="21">
        <v>11</v>
      </c>
      <c r="B819" s="25">
        <v>45988</v>
      </c>
      <c r="C819" s="29" t="s">
        <v>668</v>
      </c>
      <c r="D819" s="36">
        <v>1</v>
      </c>
      <c r="E819" s="41" t="s">
        <v>900</v>
      </c>
      <c r="F819" s="42">
        <v>275</v>
      </c>
      <c r="G819" s="9">
        <v>275</v>
      </c>
      <c r="H819" s="45">
        <v>352.88</v>
      </c>
      <c r="I819" s="9">
        <v>352.88</v>
      </c>
      <c r="J819" s="80" t="s">
        <v>338</v>
      </c>
      <c r="K819" s="43">
        <v>77.88</v>
      </c>
      <c r="L819" s="83" t="s">
        <v>15</v>
      </c>
    </row>
    <row r="820" spans="1:12" ht="15" customHeight="1" x14ac:dyDescent="0.3">
      <c r="A820" s="21">
        <v>11</v>
      </c>
      <c r="B820" s="25">
        <v>45988</v>
      </c>
      <c r="C820" s="29" t="s">
        <v>313</v>
      </c>
      <c r="D820" s="36">
        <v>1</v>
      </c>
      <c r="E820" s="41" t="s">
        <v>20</v>
      </c>
      <c r="F820" s="42">
        <v>3</v>
      </c>
      <c r="G820" s="9">
        <v>3</v>
      </c>
      <c r="H820" s="45">
        <v>15</v>
      </c>
      <c r="I820" s="9">
        <v>15</v>
      </c>
      <c r="J820" s="80" t="s">
        <v>338</v>
      </c>
      <c r="K820" s="43">
        <v>12</v>
      </c>
      <c r="L820" s="83" t="s">
        <v>15</v>
      </c>
    </row>
    <row r="821" spans="1:12" ht="15" customHeight="1" x14ac:dyDescent="0.3">
      <c r="A821" s="21">
        <v>11</v>
      </c>
      <c r="B821" s="25">
        <v>45989</v>
      </c>
      <c r="C821" s="29" t="s">
        <v>901</v>
      </c>
      <c r="D821" s="36">
        <v>1</v>
      </c>
      <c r="E821" s="41" t="s">
        <v>20</v>
      </c>
      <c r="F821" s="42">
        <v>15</v>
      </c>
      <c r="G821" s="9">
        <v>15</v>
      </c>
      <c r="H821" s="45">
        <v>60</v>
      </c>
      <c r="I821" s="9">
        <v>60</v>
      </c>
      <c r="J821" s="80" t="s">
        <v>338</v>
      </c>
      <c r="K821" s="43">
        <v>45</v>
      </c>
      <c r="L821" s="83" t="s">
        <v>15</v>
      </c>
    </row>
    <row r="822" spans="1:12" ht="15" customHeight="1" x14ac:dyDescent="0.3">
      <c r="A822" s="21">
        <v>11</v>
      </c>
      <c r="B822" s="25">
        <v>45990</v>
      </c>
      <c r="C822" s="29" t="s">
        <v>902</v>
      </c>
      <c r="D822" s="36">
        <v>1</v>
      </c>
      <c r="E822" s="41" t="s">
        <v>20</v>
      </c>
      <c r="F822" s="42">
        <v>4</v>
      </c>
      <c r="G822" s="9">
        <v>4</v>
      </c>
      <c r="H822" s="45">
        <v>10</v>
      </c>
      <c r="I822" s="9">
        <v>10</v>
      </c>
      <c r="J822" s="80" t="s">
        <v>338</v>
      </c>
      <c r="K822" s="43">
        <v>6</v>
      </c>
      <c r="L822" s="83" t="s">
        <v>15</v>
      </c>
    </row>
    <row r="823" spans="1:12" ht="15" customHeight="1" x14ac:dyDescent="0.3">
      <c r="A823" s="21">
        <v>12</v>
      </c>
      <c r="B823" s="25">
        <v>45992</v>
      </c>
      <c r="C823" s="29" t="s">
        <v>855</v>
      </c>
      <c r="D823" s="36">
        <v>2</v>
      </c>
      <c r="E823" s="41" t="s">
        <v>20</v>
      </c>
      <c r="F823" s="42">
        <v>1</v>
      </c>
      <c r="G823" s="9">
        <v>2</v>
      </c>
      <c r="H823" s="45">
        <v>5</v>
      </c>
      <c r="I823" s="9">
        <v>10</v>
      </c>
      <c r="J823" s="80" t="s">
        <v>338</v>
      </c>
      <c r="K823" s="43">
        <v>8</v>
      </c>
      <c r="L823" s="83" t="s">
        <v>15</v>
      </c>
    </row>
    <row r="824" spans="1:12" ht="15" customHeight="1" x14ac:dyDescent="0.3">
      <c r="A824" s="21">
        <v>12</v>
      </c>
      <c r="B824" s="25">
        <v>45992</v>
      </c>
      <c r="C824" s="29" t="s">
        <v>831</v>
      </c>
      <c r="D824" s="36">
        <v>1</v>
      </c>
      <c r="E824" s="41" t="s">
        <v>20</v>
      </c>
      <c r="F824" s="42">
        <v>4</v>
      </c>
      <c r="G824" s="9">
        <v>4</v>
      </c>
      <c r="H824" s="45">
        <v>10</v>
      </c>
      <c r="I824" s="9">
        <v>10</v>
      </c>
      <c r="J824" s="80" t="s">
        <v>338</v>
      </c>
      <c r="K824" s="43">
        <v>6</v>
      </c>
      <c r="L824" s="83" t="s">
        <v>15</v>
      </c>
    </row>
    <row r="825" spans="1:12" ht="15" customHeight="1" x14ac:dyDescent="0.3">
      <c r="A825" s="21">
        <v>12</v>
      </c>
      <c r="B825" s="25">
        <v>45992</v>
      </c>
      <c r="C825" s="29" t="s">
        <v>903</v>
      </c>
      <c r="D825" s="36">
        <v>1</v>
      </c>
      <c r="E825" s="41" t="s">
        <v>20</v>
      </c>
      <c r="F825" s="42">
        <v>20</v>
      </c>
      <c r="G825" s="9">
        <v>20</v>
      </c>
      <c r="H825" s="45">
        <v>40</v>
      </c>
      <c r="I825" s="9">
        <v>40</v>
      </c>
      <c r="J825" s="80" t="s">
        <v>338</v>
      </c>
      <c r="K825" s="43">
        <v>20</v>
      </c>
      <c r="L825" s="83" t="s">
        <v>15</v>
      </c>
    </row>
    <row r="826" spans="1:12" ht="15" customHeight="1" x14ac:dyDescent="0.3">
      <c r="A826" s="21">
        <v>12</v>
      </c>
      <c r="B826" s="25">
        <v>45993</v>
      </c>
      <c r="C826" s="29" t="s">
        <v>315</v>
      </c>
      <c r="D826" s="36">
        <v>1</v>
      </c>
      <c r="E826" s="41" t="s">
        <v>763</v>
      </c>
      <c r="F826" s="42">
        <v>7.0000000000000007E-2</v>
      </c>
      <c r="G826" s="9">
        <v>7.0000000000000007E-2</v>
      </c>
      <c r="H826" s="45">
        <v>1</v>
      </c>
      <c r="I826" s="9">
        <v>1</v>
      </c>
      <c r="J826" s="80" t="s">
        <v>338</v>
      </c>
      <c r="K826" s="43">
        <v>0.92999999999999994</v>
      </c>
      <c r="L826" s="83" t="s">
        <v>15</v>
      </c>
    </row>
    <row r="827" spans="1:12" ht="15" customHeight="1" x14ac:dyDescent="0.3">
      <c r="A827" s="21">
        <v>12</v>
      </c>
      <c r="B827" s="25">
        <v>45993</v>
      </c>
      <c r="C827" s="29" t="s">
        <v>687</v>
      </c>
      <c r="D827" s="36">
        <v>1</v>
      </c>
      <c r="E827" s="41" t="s">
        <v>20</v>
      </c>
      <c r="F827" s="42">
        <v>7</v>
      </c>
      <c r="G827" s="9">
        <v>7</v>
      </c>
      <c r="H827" s="45">
        <v>20</v>
      </c>
      <c r="I827" s="9">
        <v>20</v>
      </c>
      <c r="J827" s="80" t="s">
        <v>338</v>
      </c>
      <c r="K827" s="43">
        <v>13</v>
      </c>
      <c r="L827" s="83" t="s">
        <v>15</v>
      </c>
    </row>
    <row r="828" spans="1:12" ht="15" customHeight="1" x14ac:dyDescent="0.3">
      <c r="A828" s="21">
        <v>12</v>
      </c>
      <c r="B828" s="25">
        <v>45993</v>
      </c>
      <c r="C828" s="29" t="s">
        <v>549</v>
      </c>
      <c r="D828" s="36">
        <v>1</v>
      </c>
      <c r="E828" s="41" t="s">
        <v>20</v>
      </c>
      <c r="F828" s="42">
        <v>1</v>
      </c>
      <c r="G828" s="9">
        <v>1</v>
      </c>
      <c r="H828" s="45">
        <v>10</v>
      </c>
      <c r="I828" s="9">
        <v>10</v>
      </c>
      <c r="J828" s="80" t="s">
        <v>338</v>
      </c>
      <c r="K828" s="43">
        <v>9</v>
      </c>
      <c r="L828" s="83" t="s">
        <v>15</v>
      </c>
    </row>
    <row r="829" spans="1:12" ht="15" customHeight="1" x14ac:dyDescent="0.3">
      <c r="A829" s="21">
        <v>12</v>
      </c>
      <c r="B829" s="25">
        <v>45993</v>
      </c>
      <c r="C829" s="29" t="s">
        <v>315</v>
      </c>
      <c r="D829" s="36">
        <v>1</v>
      </c>
      <c r="E829" s="41" t="s">
        <v>20</v>
      </c>
      <c r="F829" s="42">
        <v>7.0000000000000007E-2</v>
      </c>
      <c r="G829" s="9">
        <v>7.0000000000000007E-2</v>
      </c>
      <c r="H829" s="45">
        <v>1</v>
      </c>
      <c r="I829" s="9">
        <v>1</v>
      </c>
      <c r="J829" s="80" t="s">
        <v>338</v>
      </c>
      <c r="K829" s="43">
        <v>0.92999999999999994</v>
      </c>
      <c r="L829" s="83" t="s">
        <v>15</v>
      </c>
    </row>
    <row r="830" spans="1:12" ht="15" customHeight="1" x14ac:dyDescent="0.3">
      <c r="A830" s="21">
        <v>12</v>
      </c>
      <c r="B830" s="25">
        <v>45993</v>
      </c>
      <c r="C830" s="29" t="s">
        <v>715</v>
      </c>
      <c r="D830" s="36">
        <v>1</v>
      </c>
      <c r="E830" s="41" t="s">
        <v>20</v>
      </c>
      <c r="F830" s="42">
        <v>5</v>
      </c>
      <c r="G830" s="9">
        <v>5</v>
      </c>
      <c r="H830" s="45">
        <v>10</v>
      </c>
      <c r="I830" s="9">
        <v>10</v>
      </c>
      <c r="J830" s="80" t="s">
        <v>338</v>
      </c>
      <c r="K830" s="43">
        <v>5</v>
      </c>
      <c r="L830" s="83" t="s">
        <v>15</v>
      </c>
    </row>
    <row r="831" spans="1:12" ht="15" customHeight="1" x14ac:dyDescent="0.3">
      <c r="A831" s="21">
        <v>12</v>
      </c>
      <c r="B831" s="25">
        <v>45994</v>
      </c>
      <c r="C831" s="29" t="s">
        <v>904</v>
      </c>
      <c r="D831" s="36">
        <v>1</v>
      </c>
      <c r="E831" s="41" t="s">
        <v>20</v>
      </c>
      <c r="F831" s="42">
        <v>18</v>
      </c>
      <c r="G831" s="9">
        <v>18</v>
      </c>
      <c r="H831" s="45">
        <v>30</v>
      </c>
      <c r="I831" s="9">
        <v>30</v>
      </c>
      <c r="J831" s="80" t="s">
        <v>338</v>
      </c>
      <c r="K831" s="43">
        <v>12</v>
      </c>
      <c r="L831" s="83" t="s">
        <v>15</v>
      </c>
    </row>
    <row r="832" spans="1:12" ht="15" customHeight="1" x14ac:dyDescent="0.3">
      <c r="A832" s="21">
        <v>12</v>
      </c>
      <c r="B832" s="25">
        <v>45994</v>
      </c>
      <c r="C832" s="29" t="s">
        <v>894</v>
      </c>
      <c r="D832" s="36">
        <v>1</v>
      </c>
      <c r="E832" s="41" t="s">
        <v>811</v>
      </c>
      <c r="F832" s="42">
        <v>38</v>
      </c>
      <c r="G832" s="9">
        <v>38</v>
      </c>
      <c r="H832" s="45">
        <v>60</v>
      </c>
      <c r="I832" s="9">
        <v>60</v>
      </c>
      <c r="J832" s="80" t="s">
        <v>338</v>
      </c>
      <c r="K832" s="43">
        <v>22</v>
      </c>
      <c r="L832" s="83" t="s">
        <v>15</v>
      </c>
    </row>
    <row r="833" spans="1:12" ht="15" customHeight="1" x14ac:dyDescent="0.3">
      <c r="A833" s="21">
        <v>12</v>
      </c>
      <c r="B833" s="25">
        <v>45994</v>
      </c>
      <c r="C833" s="29" t="s">
        <v>905</v>
      </c>
      <c r="D833" s="36">
        <v>1</v>
      </c>
      <c r="E833" s="41" t="s">
        <v>811</v>
      </c>
      <c r="F833" s="42">
        <v>6</v>
      </c>
      <c r="G833" s="9">
        <v>6</v>
      </c>
      <c r="H833" s="45">
        <v>15</v>
      </c>
      <c r="I833" s="9">
        <v>15</v>
      </c>
      <c r="J833" s="80" t="s">
        <v>338</v>
      </c>
      <c r="K833" s="43">
        <v>9</v>
      </c>
      <c r="L833" s="83" t="s">
        <v>15</v>
      </c>
    </row>
    <row r="834" spans="1:12" ht="15" customHeight="1" x14ac:dyDescent="0.3">
      <c r="A834" s="21">
        <v>12</v>
      </c>
      <c r="B834" s="25">
        <v>45994</v>
      </c>
      <c r="C834" s="29" t="s">
        <v>715</v>
      </c>
      <c r="D834" s="36">
        <v>2</v>
      </c>
      <c r="E834" s="41" t="s">
        <v>20</v>
      </c>
      <c r="F834" s="42">
        <v>5</v>
      </c>
      <c r="G834" s="9">
        <v>10</v>
      </c>
      <c r="H834" s="45">
        <v>10</v>
      </c>
      <c r="I834" s="9">
        <v>20</v>
      </c>
      <c r="J834" s="80" t="s">
        <v>338</v>
      </c>
      <c r="K834" s="43">
        <v>10</v>
      </c>
      <c r="L834" s="83" t="s">
        <v>15</v>
      </c>
    </row>
    <row r="835" spans="1:12" ht="15" customHeight="1" x14ac:dyDescent="0.3">
      <c r="A835" s="21">
        <v>12</v>
      </c>
      <c r="B835" s="25">
        <v>45994</v>
      </c>
      <c r="C835" s="29" t="s">
        <v>668</v>
      </c>
      <c r="D835" s="36">
        <v>1</v>
      </c>
      <c r="E835" s="41" t="s">
        <v>906</v>
      </c>
      <c r="F835" s="42">
        <v>280</v>
      </c>
      <c r="G835" s="9">
        <v>280</v>
      </c>
      <c r="H835" s="45">
        <v>350</v>
      </c>
      <c r="I835" s="9">
        <v>350</v>
      </c>
      <c r="J835" s="80" t="s">
        <v>338</v>
      </c>
      <c r="K835" s="43">
        <v>70</v>
      </c>
      <c r="L835" s="83" t="s">
        <v>15</v>
      </c>
    </row>
    <row r="836" spans="1:12" ht="15" customHeight="1" x14ac:dyDescent="0.3">
      <c r="A836" s="21">
        <v>12</v>
      </c>
      <c r="B836" s="25">
        <v>45994</v>
      </c>
      <c r="C836" s="29" t="s">
        <v>907</v>
      </c>
      <c r="D836" s="36">
        <v>1</v>
      </c>
      <c r="E836" s="41" t="s">
        <v>908</v>
      </c>
      <c r="F836" s="42">
        <v>10</v>
      </c>
      <c r="G836" s="9">
        <v>10</v>
      </c>
      <c r="H836" s="45">
        <v>14</v>
      </c>
      <c r="I836" s="9">
        <v>14</v>
      </c>
      <c r="J836" s="80" t="s">
        <v>338</v>
      </c>
      <c r="K836" s="43">
        <v>4</v>
      </c>
      <c r="L836" s="83" t="s">
        <v>15</v>
      </c>
    </row>
    <row r="837" spans="1:12" ht="15" customHeight="1" x14ac:dyDescent="0.3">
      <c r="A837" s="21">
        <v>12</v>
      </c>
      <c r="B837" s="25">
        <v>45994</v>
      </c>
      <c r="C837" s="29" t="s">
        <v>843</v>
      </c>
      <c r="D837" s="36">
        <v>2</v>
      </c>
      <c r="E837" s="41" t="s">
        <v>909</v>
      </c>
      <c r="F837" s="42" t="s">
        <v>72</v>
      </c>
      <c r="G837" s="9">
        <v>0</v>
      </c>
      <c r="H837" s="45">
        <v>42</v>
      </c>
      <c r="I837" s="9">
        <v>84</v>
      </c>
      <c r="J837" s="80"/>
      <c r="K837" s="43">
        <v>84</v>
      </c>
      <c r="L837" s="83" t="s">
        <v>15</v>
      </c>
    </row>
    <row r="838" spans="1:12" ht="15" customHeight="1" x14ac:dyDescent="0.3">
      <c r="A838" s="21">
        <v>12</v>
      </c>
      <c r="B838" s="25">
        <v>45994</v>
      </c>
      <c r="C838" s="29" t="s">
        <v>843</v>
      </c>
      <c r="D838" s="36">
        <v>1</v>
      </c>
      <c r="E838" s="41" t="s">
        <v>910</v>
      </c>
      <c r="F838" s="42" t="s">
        <v>72</v>
      </c>
      <c r="G838" s="9">
        <v>0</v>
      </c>
      <c r="H838" s="45">
        <v>21</v>
      </c>
      <c r="I838" s="9">
        <v>21</v>
      </c>
      <c r="J838" s="80"/>
      <c r="K838" s="43">
        <v>21</v>
      </c>
      <c r="L838" s="83" t="s">
        <v>15</v>
      </c>
    </row>
    <row r="839" spans="1:12" ht="15" customHeight="1" x14ac:dyDescent="0.3">
      <c r="A839" s="21">
        <v>12</v>
      </c>
      <c r="B839" s="25">
        <v>45998</v>
      </c>
      <c r="C839" s="29" t="s">
        <v>817</v>
      </c>
      <c r="D839" s="36">
        <v>1</v>
      </c>
      <c r="E839" s="41" t="s">
        <v>911</v>
      </c>
      <c r="F839" s="42">
        <v>7</v>
      </c>
      <c r="G839" s="9">
        <v>7</v>
      </c>
      <c r="H839" s="45">
        <v>37.24</v>
      </c>
      <c r="I839" s="9">
        <v>37.24</v>
      </c>
      <c r="J839" s="80" t="s">
        <v>338</v>
      </c>
      <c r="K839" s="43">
        <v>30.240000000000002</v>
      </c>
      <c r="L839" s="83" t="s">
        <v>15</v>
      </c>
    </row>
    <row r="840" spans="1:12" ht="15" customHeight="1" x14ac:dyDescent="0.3">
      <c r="A840" s="21">
        <v>12</v>
      </c>
      <c r="B840" s="25">
        <v>45998</v>
      </c>
      <c r="C840" s="29" t="s">
        <v>843</v>
      </c>
      <c r="D840" s="36">
        <v>1</v>
      </c>
      <c r="E840" s="41" t="s">
        <v>912</v>
      </c>
      <c r="F840" s="42" t="s">
        <v>72</v>
      </c>
      <c r="G840" s="9">
        <v>0</v>
      </c>
      <c r="H840" s="45">
        <v>9</v>
      </c>
      <c r="I840" s="9">
        <v>9</v>
      </c>
      <c r="J840" s="80" t="s">
        <v>338</v>
      </c>
      <c r="K840" s="43">
        <v>9</v>
      </c>
      <c r="L840" s="83" t="s">
        <v>15</v>
      </c>
    </row>
    <row r="841" spans="1:12" ht="15" customHeight="1" x14ac:dyDescent="0.3">
      <c r="A841" s="21">
        <v>12</v>
      </c>
      <c r="B841" s="25">
        <v>45998</v>
      </c>
      <c r="C841" s="29" t="s">
        <v>817</v>
      </c>
      <c r="D841" s="36">
        <v>1</v>
      </c>
      <c r="E841" s="41" t="s">
        <v>913</v>
      </c>
      <c r="F841" s="42">
        <v>7</v>
      </c>
      <c r="G841" s="9">
        <v>7</v>
      </c>
      <c r="H841" s="45">
        <v>37.24</v>
      </c>
      <c r="I841" s="9">
        <v>37.24</v>
      </c>
      <c r="J841" s="80" t="s">
        <v>338</v>
      </c>
      <c r="K841" s="43">
        <v>30.240000000000002</v>
      </c>
      <c r="L841" s="83" t="s">
        <v>15</v>
      </c>
    </row>
    <row r="842" spans="1:12" ht="15" customHeight="1" x14ac:dyDescent="0.3">
      <c r="A842" s="21">
        <v>12</v>
      </c>
      <c r="B842" s="25">
        <v>45998</v>
      </c>
      <c r="C842" s="29" t="s">
        <v>817</v>
      </c>
      <c r="D842" s="36">
        <v>1</v>
      </c>
      <c r="E842" s="41" t="s">
        <v>914</v>
      </c>
      <c r="F842" s="42">
        <v>7</v>
      </c>
      <c r="G842" s="9">
        <v>7</v>
      </c>
      <c r="H842" s="45">
        <v>37.24</v>
      </c>
      <c r="I842" s="9">
        <v>37.24</v>
      </c>
      <c r="J842" s="80" t="s">
        <v>338</v>
      </c>
      <c r="K842" s="43">
        <v>30.240000000000002</v>
      </c>
      <c r="L842" s="83" t="s">
        <v>15</v>
      </c>
    </row>
    <row r="843" spans="1:12" ht="15" customHeight="1" x14ac:dyDescent="0.3">
      <c r="A843" s="21">
        <v>12</v>
      </c>
      <c r="B843" s="25">
        <v>45998</v>
      </c>
      <c r="C843" s="29" t="s">
        <v>817</v>
      </c>
      <c r="D843" s="36">
        <v>1</v>
      </c>
      <c r="E843" s="41" t="s">
        <v>915</v>
      </c>
      <c r="F843" s="42">
        <v>7</v>
      </c>
      <c r="G843" s="9">
        <v>7</v>
      </c>
      <c r="H843" s="45">
        <v>37.24</v>
      </c>
      <c r="I843" s="9">
        <v>37.24</v>
      </c>
      <c r="J843" s="80" t="s">
        <v>338</v>
      </c>
      <c r="K843" s="43">
        <v>30.240000000000002</v>
      </c>
      <c r="L843" s="83" t="s">
        <v>15</v>
      </c>
    </row>
    <row r="844" spans="1:12" ht="15" customHeight="1" x14ac:dyDescent="0.3">
      <c r="A844" s="21">
        <v>12</v>
      </c>
      <c r="B844" s="25">
        <v>45998</v>
      </c>
      <c r="C844" s="29" t="s">
        <v>843</v>
      </c>
      <c r="D844" s="36">
        <v>1</v>
      </c>
      <c r="E844" s="41" t="s">
        <v>899</v>
      </c>
      <c r="F844" s="42" t="s">
        <v>72</v>
      </c>
      <c r="G844" s="9">
        <v>0</v>
      </c>
      <c r="H844" s="45">
        <v>21</v>
      </c>
      <c r="I844" s="9">
        <v>21</v>
      </c>
      <c r="J844" s="80" t="s">
        <v>338</v>
      </c>
      <c r="K844" s="43">
        <v>21</v>
      </c>
      <c r="L844" s="83" t="s">
        <v>15</v>
      </c>
    </row>
    <row r="845" spans="1:12" ht="15" customHeight="1" x14ac:dyDescent="0.3">
      <c r="A845" s="21">
        <v>12</v>
      </c>
      <c r="B845" s="25">
        <v>45999</v>
      </c>
      <c r="C845" s="29" t="s">
        <v>916</v>
      </c>
      <c r="D845" s="36">
        <v>1</v>
      </c>
      <c r="E845" s="41" t="s">
        <v>917</v>
      </c>
      <c r="F845" s="42">
        <v>19</v>
      </c>
      <c r="G845" s="9">
        <v>19</v>
      </c>
      <c r="H845" s="45">
        <v>29.74</v>
      </c>
      <c r="I845" s="9">
        <v>29.74</v>
      </c>
      <c r="J845" s="80" t="s">
        <v>338</v>
      </c>
      <c r="K845" s="43">
        <v>10.739999999999998</v>
      </c>
      <c r="L845" s="83" t="s">
        <v>15</v>
      </c>
    </row>
    <row r="846" spans="1:12" ht="15" customHeight="1" x14ac:dyDescent="0.3">
      <c r="A846" s="21">
        <v>12</v>
      </c>
      <c r="B846" s="25">
        <v>45999</v>
      </c>
      <c r="C846" s="29" t="s">
        <v>918</v>
      </c>
      <c r="D846" s="36">
        <v>1</v>
      </c>
      <c r="E846" s="41" t="s">
        <v>919</v>
      </c>
      <c r="F846" s="42">
        <v>18</v>
      </c>
      <c r="G846" s="9">
        <v>18</v>
      </c>
      <c r="H846" s="45">
        <v>22.24</v>
      </c>
      <c r="I846" s="9">
        <v>22.24</v>
      </c>
      <c r="J846" s="80" t="s">
        <v>338</v>
      </c>
      <c r="K846" s="43">
        <v>4.2399999999999984</v>
      </c>
      <c r="L846" s="83" t="s">
        <v>15</v>
      </c>
    </row>
    <row r="847" spans="1:12" ht="15" customHeight="1" x14ac:dyDescent="0.3">
      <c r="A847" s="21">
        <v>12</v>
      </c>
      <c r="B847" s="25">
        <v>45999</v>
      </c>
      <c r="C847" s="29" t="s">
        <v>918</v>
      </c>
      <c r="D847" s="36">
        <v>1</v>
      </c>
      <c r="E847" s="41" t="s">
        <v>920</v>
      </c>
      <c r="F847" s="42">
        <v>18</v>
      </c>
      <c r="G847" s="9">
        <v>18</v>
      </c>
      <c r="H847" s="45">
        <v>29.74</v>
      </c>
      <c r="I847" s="9">
        <v>29.74</v>
      </c>
      <c r="J847" s="80" t="s">
        <v>338</v>
      </c>
      <c r="K847" s="43">
        <v>11.739999999999998</v>
      </c>
      <c r="L847" s="83" t="s">
        <v>15</v>
      </c>
    </row>
    <row r="848" spans="1:12" ht="15" customHeight="1" x14ac:dyDescent="0.3">
      <c r="A848" s="21">
        <v>12</v>
      </c>
      <c r="B848" s="25">
        <v>45999</v>
      </c>
      <c r="C848" s="29" t="s">
        <v>818</v>
      </c>
      <c r="D848" s="36">
        <v>1</v>
      </c>
      <c r="E848" s="41" t="s">
        <v>921</v>
      </c>
      <c r="F848" s="42">
        <v>7.5</v>
      </c>
      <c r="G848" s="9">
        <v>7.5</v>
      </c>
      <c r="H848" s="45">
        <v>13.8</v>
      </c>
      <c r="I848" s="9">
        <v>13.8</v>
      </c>
      <c r="J848" s="80" t="s">
        <v>338</v>
      </c>
      <c r="K848" s="43">
        <v>6.3000000000000007</v>
      </c>
      <c r="L848" s="83" t="s">
        <v>15</v>
      </c>
    </row>
    <row r="849" spans="1:12" ht="15" customHeight="1" x14ac:dyDescent="0.3">
      <c r="A849" s="21">
        <v>12</v>
      </c>
      <c r="B849" s="25">
        <v>45999</v>
      </c>
      <c r="C849" s="29" t="s">
        <v>922</v>
      </c>
      <c r="D849" s="36">
        <v>1</v>
      </c>
      <c r="E849" s="41" t="s">
        <v>923</v>
      </c>
      <c r="F849" s="42">
        <v>0</v>
      </c>
      <c r="G849" s="9">
        <v>0</v>
      </c>
      <c r="H849" s="45">
        <v>21</v>
      </c>
      <c r="I849" s="9">
        <v>21</v>
      </c>
      <c r="J849" s="80" t="s">
        <v>338</v>
      </c>
      <c r="K849" s="43">
        <v>21</v>
      </c>
      <c r="L849" s="83" t="s">
        <v>15</v>
      </c>
    </row>
    <row r="850" spans="1:12" ht="15" customHeight="1" x14ac:dyDescent="0.3">
      <c r="A850" s="21">
        <v>12</v>
      </c>
      <c r="B850" s="25">
        <v>45999</v>
      </c>
      <c r="C850" s="29" t="s">
        <v>924</v>
      </c>
      <c r="D850" s="36">
        <v>1</v>
      </c>
      <c r="E850" s="41" t="s">
        <v>925</v>
      </c>
      <c r="F850" s="42">
        <v>7.5</v>
      </c>
      <c r="G850" s="9">
        <v>7.5</v>
      </c>
      <c r="H850" s="45">
        <v>15.13</v>
      </c>
      <c r="I850" s="9">
        <v>15.13</v>
      </c>
      <c r="J850" s="80" t="s">
        <v>338</v>
      </c>
      <c r="K850" s="43">
        <v>7.6300000000000008</v>
      </c>
      <c r="L850" s="83" t="s">
        <v>15</v>
      </c>
    </row>
    <row r="851" spans="1:12" ht="15" customHeight="1" x14ac:dyDescent="0.3">
      <c r="A851" s="21">
        <v>12</v>
      </c>
      <c r="B851" s="25">
        <v>45999</v>
      </c>
      <c r="C851" s="29" t="s">
        <v>818</v>
      </c>
      <c r="D851" s="36">
        <v>1</v>
      </c>
      <c r="E851" s="41" t="s">
        <v>926</v>
      </c>
      <c r="F851" s="42">
        <v>7.5</v>
      </c>
      <c r="G851" s="9">
        <v>7.5</v>
      </c>
      <c r="H851" s="45">
        <v>13.8</v>
      </c>
      <c r="I851" s="9">
        <v>13.8</v>
      </c>
      <c r="J851" s="80" t="s">
        <v>338</v>
      </c>
      <c r="K851" s="43">
        <v>6.3000000000000007</v>
      </c>
      <c r="L851" s="83" t="s">
        <v>15</v>
      </c>
    </row>
    <row r="852" spans="1:12" ht="15" customHeight="1" x14ac:dyDescent="0.3">
      <c r="A852" s="21">
        <v>12</v>
      </c>
      <c r="B852" s="25">
        <v>46000</v>
      </c>
      <c r="C852" s="29" t="s">
        <v>927</v>
      </c>
      <c r="D852" s="36">
        <v>1</v>
      </c>
      <c r="E852" s="41" t="s">
        <v>928</v>
      </c>
      <c r="F852" s="42">
        <v>3</v>
      </c>
      <c r="G852" s="9">
        <v>3</v>
      </c>
      <c r="H852" s="45">
        <v>4.43</v>
      </c>
      <c r="I852" s="9">
        <v>4.43</v>
      </c>
      <c r="J852" s="80" t="s">
        <v>338</v>
      </c>
      <c r="K852" s="43">
        <v>1.4299999999999997</v>
      </c>
      <c r="L852" s="83" t="s">
        <v>15</v>
      </c>
    </row>
    <row r="853" spans="1:12" ht="15" customHeight="1" x14ac:dyDescent="0.3">
      <c r="A853" s="21">
        <v>12</v>
      </c>
      <c r="B853" s="25">
        <v>46000</v>
      </c>
      <c r="C853" s="29" t="s">
        <v>929</v>
      </c>
      <c r="D853" s="36">
        <v>1</v>
      </c>
      <c r="E853" s="41" t="s">
        <v>20</v>
      </c>
      <c r="F853" s="42">
        <v>15</v>
      </c>
      <c r="G853" s="9">
        <v>15</v>
      </c>
      <c r="H853" s="45">
        <v>34</v>
      </c>
      <c r="I853" s="9">
        <v>34</v>
      </c>
      <c r="J853" s="80" t="s">
        <v>338</v>
      </c>
      <c r="K853" s="43">
        <v>19</v>
      </c>
      <c r="L853" s="83" t="s">
        <v>15</v>
      </c>
    </row>
    <row r="854" spans="1:12" ht="15" customHeight="1" x14ac:dyDescent="0.3">
      <c r="A854" s="21">
        <v>12</v>
      </c>
      <c r="B854" s="25">
        <v>46000</v>
      </c>
      <c r="C854" s="29" t="s">
        <v>930</v>
      </c>
      <c r="D854" s="36">
        <v>1</v>
      </c>
      <c r="E854" s="41" t="s">
        <v>20</v>
      </c>
      <c r="F854" s="42">
        <v>15</v>
      </c>
      <c r="G854" s="9">
        <v>15</v>
      </c>
      <c r="H854" s="45">
        <v>30</v>
      </c>
      <c r="I854" s="9">
        <v>30</v>
      </c>
      <c r="J854" s="80" t="s">
        <v>338</v>
      </c>
      <c r="K854" s="43">
        <v>15</v>
      </c>
      <c r="L854" s="83" t="s">
        <v>15</v>
      </c>
    </row>
    <row r="855" spans="1:12" ht="15" customHeight="1" x14ac:dyDescent="0.3">
      <c r="A855" s="21">
        <v>12</v>
      </c>
      <c r="B855" s="25">
        <v>46000</v>
      </c>
      <c r="C855" s="29" t="s">
        <v>715</v>
      </c>
      <c r="D855" s="36">
        <v>10</v>
      </c>
      <c r="E855" s="41" t="s">
        <v>20</v>
      </c>
      <c r="F855" s="42">
        <v>5</v>
      </c>
      <c r="G855" s="9">
        <v>50</v>
      </c>
      <c r="H855" s="45">
        <v>10</v>
      </c>
      <c r="I855" s="9">
        <v>100</v>
      </c>
      <c r="J855" s="80" t="s">
        <v>338</v>
      </c>
      <c r="K855" s="43">
        <v>50</v>
      </c>
      <c r="L855" s="83" t="s">
        <v>15</v>
      </c>
    </row>
    <row r="856" spans="1:12" ht="15" customHeight="1" x14ac:dyDescent="0.3">
      <c r="A856" s="21">
        <v>12</v>
      </c>
      <c r="B856" s="25">
        <v>46000</v>
      </c>
      <c r="C856" s="29" t="s">
        <v>855</v>
      </c>
      <c r="D856" s="36">
        <v>5</v>
      </c>
      <c r="E856" s="41" t="s">
        <v>20</v>
      </c>
      <c r="F856" s="42">
        <v>1</v>
      </c>
      <c r="G856" s="9">
        <v>5</v>
      </c>
      <c r="H856" s="45">
        <v>5</v>
      </c>
      <c r="I856" s="9">
        <v>25</v>
      </c>
      <c r="J856" s="80" t="s">
        <v>338</v>
      </c>
      <c r="K856" s="43">
        <v>20</v>
      </c>
      <c r="L856" s="83" t="s">
        <v>15</v>
      </c>
    </row>
    <row r="857" spans="1:12" ht="15" customHeight="1" x14ac:dyDescent="0.3">
      <c r="A857" s="21">
        <v>12</v>
      </c>
      <c r="B857" s="25">
        <v>46000</v>
      </c>
      <c r="C857" s="29" t="s">
        <v>931</v>
      </c>
      <c r="D857" s="36">
        <v>2</v>
      </c>
      <c r="E857" s="41" t="s">
        <v>132</v>
      </c>
      <c r="F857" s="42">
        <v>20</v>
      </c>
      <c r="G857" s="9">
        <v>40</v>
      </c>
      <c r="H857" s="45">
        <v>35</v>
      </c>
      <c r="I857" s="9">
        <v>70</v>
      </c>
      <c r="J857" s="80" t="s">
        <v>338</v>
      </c>
      <c r="K857" s="43">
        <v>30</v>
      </c>
      <c r="L857" s="83" t="s">
        <v>15</v>
      </c>
    </row>
    <row r="858" spans="1:12" ht="15" customHeight="1" x14ac:dyDescent="0.3">
      <c r="A858" s="21">
        <v>12</v>
      </c>
      <c r="B858" s="25">
        <v>46000</v>
      </c>
      <c r="C858" s="29" t="s">
        <v>932</v>
      </c>
      <c r="D858" s="36">
        <v>1</v>
      </c>
      <c r="E858" s="41" t="s">
        <v>132</v>
      </c>
      <c r="F858" s="42">
        <v>35</v>
      </c>
      <c r="G858" s="9">
        <v>35</v>
      </c>
      <c r="H858" s="45">
        <v>45</v>
      </c>
      <c r="I858" s="9">
        <v>45</v>
      </c>
      <c r="J858" s="80" t="s">
        <v>338</v>
      </c>
      <c r="K858" s="43">
        <v>10</v>
      </c>
      <c r="L858" s="83" t="s">
        <v>15</v>
      </c>
    </row>
    <row r="859" spans="1:12" ht="15" customHeight="1" x14ac:dyDescent="0.3">
      <c r="A859" s="21">
        <v>12</v>
      </c>
      <c r="B859" s="25">
        <v>46000</v>
      </c>
      <c r="C859" s="29" t="s">
        <v>933</v>
      </c>
      <c r="D859" s="36">
        <v>1</v>
      </c>
      <c r="E859" s="41" t="s">
        <v>132</v>
      </c>
      <c r="F859" s="42">
        <v>20</v>
      </c>
      <c r="G859" s="9">
        <v>20</v>
      </c>
      <c r="H859" s="45">
        <v>30</v>
      </c>
      <c r="I859" s="9">
        <v>30</v>
      </c>
      <c r="J859" s="80" t="s">
        <v>338</v>
      </c>
      <c r="K859" s="43">
        <v>10</v>
      </c>
      <c r="L859" s="83" t="s">
        <v>15</v>
      </c>
    </row>
    <row r="860" spans="1:12" ht="15" customHeight="1" x14ac:dyDescent="0.3">
      <c r="A860" s="21">
        <v>12</v>
      </c>
      <c r="B860" s="25">
        <v>46000</v>
      </c>
      <c r="C860" s="29" t="s">
        <v>934</v>
      </c>
      <c r="D860" s="36">
        <v>1</v>
      </c>
      <c r="E860" s="41" t="s">
        <v>132</v>
      </c>
      <c r="F860" s="42">
        <v>12.88</v>
      </c>
      <c r="G860" s="9">
        <v>12.88</v>
      </c>
      <c r="H860" s="45">
        <v>15.09</v>
      </c>
      <c r="I860" s="9">
        <v>15.09</v>
      </c>
      <c r="J860" s="80" t="s">
        <v>338</v>
      </c>
      <c r="K860" s="43">
        <v>2.2099999999999991</v>
      </c>
      <c r="L860" s="83" t="s">
        <v>15</v>
      </c>
    </row>
    <row r="861" spans="1:12" ht="15" customHeight="1" x14ac:dyDescent="0.3">
      <c r="A861" s="21">
        <v>12</v>
      </c>
      <c r="B861" s="25">
        <v>46000</v>
      </c>
      <c r="C861" s="29" t="s">
        <v>726</v>
      </c>
      <c r="D861" s="36">
        <v>1</v>
      </c>
      <c r="E861" s="41" t="s">
        <v>935</v>
      </c>
      <c r="F861" s="42">
        <v>19</v>
      </c>
      <c r="G861" s="9">
        <v>19</v>
      </c>
      <c r="H861" s="45">
        <v>35</v>
      </c>
      <c r="I861" s="9">
        <v>35</v>
      </c>
      <c r="J861" s="80" t="s">
        <v>338</v>
      </c>
      <c r="K861" s="43">
        <v>16</v>
      </c>
      <c r="L861" s="83" t="s">
        <v>15</v>
      </c>
    </row>
    <row r="862" spans="1:12" ht="15" customHeight="1" x14ac:dyDescent="0.3">
      <c r="A862" s="21">
        <v>12</v>
      </c>
      <c r="B862" s="25">
        <v>46000</v>
      </c>
      <c r="C862" s="29" t="s">
        <v>216</v>
      </c>
      <c r="D862" s="36">
        <v>1</v>
      </c>
      <c r="E862" s="41" t="s">
        <v>936</v>
      </c>
      <c r="F862" s="42">
        <v>0</v>
      </c>
      <c r="G862" s="9">
        <v>0</v>
      </c>
      <c r="H862" s="45">
        <v>50</v>
      </c>
      <c r="I862" s="9">
        <v>50</v>
      </c>
      <c r="J862" s="80" t="s">
        <v>338</v>
      </c>
      <c r="K862" s="43">
        <v>50</v>
      </c>
      <c r="L862" s="83" t="s">
        <v>15</v>
      </c>
    </row>
    <row r="863" spans="1:12" ht="15" customHeight="1" x14ac:dyDescent="0.3">
      <c r="A863" s="21">
        <v>12</v>
      </c>
      <c r="B863" s="25">
        <v>46000</v>
      </c>
      <c r="C863" s="29" t="s">
        <v>937</v>
      </c>
      <c r="D863" s="36">
        <v>1</v>
      </c>
      <c r="E863" s="41" t="s">
        <v>936</v>
      </c>
      <c r="F863" s="42" t="s">
        <v>72</v>
      </c>
      <c r="G863" s="9">
        <v>0</v>
      </c>
      <c r="H863" s="45">
        <v>50</v>
      </c>
      <c r="I863" s="9">
        <v>50</v>
      </c>
      <c r="J863" s="80" t="s">
        <v>338</v>
      </c>
      <c r="K863" s="43">
        <v>50</v>
      </c>
      <c r="L863" s="83" t="s">
        <v>15</v>
      </c>
    </row>
    <row r="864" spans="1:12" ht="15" customHeight="1" x14ac:dyDescent="0.3">
      <c r="A864" s="21">
        <v>12</v>
      </c>
      <c r="B864" s="25">
        <v>46001</v>
      </c>
      <c r="C864" s="29" t="s">
        <v>938</v>
      </c>
      <c r="D864" s="36">
        <v>1</v>
      </c>
      <c r="E864" s="41" t="s">
        <v>20</v>
      </c>
      <c r="F864" s="42">
        <v>15</v>
      </c>
      <c r="G864" s="9">
        <v>15</v>
      </c>
      <c r="H864" s="45">
        <v>40</v>
      </c>
      <c r="I864" s="9">
        <v>40</v>
      </c>
      <c r="J864" s="80" t="s">
        <v>338</v>
      </c>
      <c r="K864" s="43">
        <v>25</v>
      </c>
      <c r="L864" s="83" t="s">
        <v>15</v>
      </c>
    </row>
    <row r="865" spans="1:12" ht="15" customHeight="1" x14ac:dyDescent="0.3">
      <c r="A865" s="21">
        <v>12</v>
      </c>
      <c r="B865" s="25">
        <v>46002</v>
      </c>
      <c r="C865" s="29" t="s">
        <v>894</v>
      </c>
      <c r="D865" s="36">
        <v>1</v>
      </c>
      <c r="E865" s="41" t="s">
        <v>811</v>
      </c>
      <c r="F865" s="42">
        <v>38</v>
      </c>
      <c r="G865" s="9">
        <v>38</v>
      </c>
      <c r="H865" s="45">
        <v>60</v>
      </c>
      <c r="I865" s="9">
        <v>60</v>
      </c>
      <c r="J865" s="80" t="s">
        <v>338</v>
      </c>
      <c r="K865" s="43">
        <v>22</v>
      </c>
      <c r="L865" s="83" t="s">
        <v>15</v>
      </c>
    </row>
    <row r="866" spans="1:12" ht="15" customHeight="1" x14ac:dyDescent="0.3">
      <c r="A866" s="21">
        <v>12</v>
      </c>
      <c r="B866" s="25">
        <v>46002</v>
      </c>
      <c r="C866" s="29" t="s">
        <v>690</v>
      </c>
      <c r="D866" s="36">
        <v>2</v>
      </c>
      <c r="E866" s="41" t="s">
        <v>391</v>
      </c>
      <c r="F866" s="42">
        <v>2.5</v>
      </c>
      <c r="G866" s="9">
        <v>5</v>
      </c>
      <c r="H866" s="45">
        <v>5</v>
      </c>
      <c r="I866" s="9">
        <v>10</v>
      </c>
      <c r="J866" s="80" t="s">
        <v>338</v>
      </c>
      <c r="K866" s="43">
        <v>5</v>
      </c>
      <c r="L866" s="83" t="s">
        <v>15</v>
      </c>
    </row>
    <row r="867" spans="1:12" ht="15" customHeight="1" x14ac:dyDescent="0.3">
      <c r="A867" s="21">
        <v>12</v>
      </c>
      <c r="B867" s="25">
        <v>46002</v>
      </c>
      <c r="C867" s="29" t="s">
        <v>939</v>
      </c>
      <c r="D867" s="36">
        <v>1</v>
      </c>
      <c r="E867" s="41" t="s">
        <v>20</v>
      </c>
      <c r="F867" s="42">
        <v>4</v>
      </c>
      <c r="G867" s="9">
        <v>4</v>
      </c>
      <c r="H867" s="45">
        <v>15</v>
      </c>
      <c r="I867" s="9">
        <v>15</v>
      </c>
      <c r="J867" s="80" t="s">
        <v>338</v>
      </c>
      <c r="K867" s="43">
        <v>11</v>
      </c>
      <c r="L867" s="83" t="s">
        <v>15</v>
      </c>
    </row>
    <row r="868" spans="1:12" ht="15" customHeight="1" x14ac:dyDescent="0.3">
      <c r="A868" s="21">
        <v>12</v>
      </c>
      <c r="B868" s="25">
        <v>46002</v>
      </c>
      <c r="C868" s="29" t="s">
        <v>940</v>
      </c>
      <c r="D868" s="36">
        <v>1</v>
      </c>
      <c r="E868" s="41" t="s">
        <v>20</v>
      </c>
      <c r="F868" s="42">
        <v>5</v>
      </c>
      <c r="G868" s="9">
        <v>5</v>
      </c>
      <c r="H868" s="45">
        <v>10</v>
      </c>
      <c r="I868" s="9">
        <v>10</v>
      </c>
      <c r="J868" s="80" t="s">
        <v>338</v>
      </c>
      <c r="K868" s="43">
        <v>5</v>
      </c>
      <c r="L868" s="83" t="s">
        <v>15</v>
      </c>
    </row>
    <row r="869" spans="1:12" ht="15" customHeight="1" x14ac:dyDescent="0.3">
      <c r="A869" s="21">
        <v>12</v>
      </c>
      <c r="B869" s="25">
        <v>46002</v>
      </c>
      <c r="C869" s="29" t="s">
        <v>941</v>
      </c>
      <c r="D869" s="36">
        <v>1</v>
      </c>
      <c r="E869" s="41" t="s">
        <v>20</v>
      </c>
      <c r="F869" s="42">
        <v>14</v>
      </c>
      <c r="G869" s="9">
        <v>14</v>
      </c>
      <c r="H869" s="45">
        <v>20</v>
      </c>
      <c r="I869" s="9">
        <v>20</v>
      </c>
      <c r="J869" s="80" t="s">
        <v>338</v>
      </c>
      <c r="K869" s="43">
        <v>6</v>
      </c>
      <c r="L869" s="83" t="s">
        <v>15</v>
      </c>
    </row>
    <row r="870" spans="1:12" ht="15" customHeight="1" x14ac:dyDescent="0.3">
      <c r="A870" s="21">
        <v>12</v>
      </c>
      <c r="B870" s="25">
        <v>46003</v>
      </c>
      <c r="C870" s="29" t="s">
        <v>942</v>
      </c>
      <c r="D870" s="36">
        <v>1</v>
      </c>
      <c r="E870" s="41" t="s">
        <v>20</v>
      </c>
      <c r="F870" s="42">
        <v>0</v>
      </c>
      <c r="G870" s="9">
        <v>0</v>
      </c>
      <c r="H870" s="45">
        <v>270</v>
      </c>
      <c r="I870" s="9">
        <v>270</v>
      </c>
      <c r="J870" s="80" t="s">
        <v>338</v>
      </c>
      <c r="K870" s="43">
        <v>270</v>
      </c>
      <c r="L870" s="83" t="s">
        <v>15</v>
      </c>
    </row>
    <row r="871" spans="1:12" ht="15" customHeight="1" x14ac:dyDescent="0.3">
      <c r="A871" s="21">
        <v>12</v>
      </c>
      <c r="B871" s="25">
        <v>46004</v>
      </c>
      <c r="C871" s="29" t="s">
        <v>943</v>
      </c>
      <c r="D871" s="36">
        <v>1</v>
      </c>
      <c r="E871" s="41" t="s">
        <v>20</v>
      </c>
      <c r="F871" s="42">
        <v>4</v>
      </c>
      <c r="G871" s="9">
        <v>4</v>
      </c>
      <c r="H871" s="45">
        <v>10</v>
      </c>
      <c r="I871" s="9">
        <v>10</v>
      </c>
      <c r="J871" s="80" t="s">
        <v>338</v>
      </c>
      <c r="K871" s="43">
        <v>6</v>
      </c>
      <c r="L871" s="83" t="s">
        <v>15</v>
      </c>
    </row>
    <row r="872" spans="1:12" ht="15" customHeight="1" x14ac:dyDescent="0.3">
      <c r="A872" s="21">
        <v>12</v>
      </c>
      <c r="B872" s="25">
        <v>46003</v>
      </c>
      <c r="C872" s="29" t="s">
        <v>944</v>
      </c>
      <c r="D872" s="36">
        <v>1</v>
      </c>
      <c r="E872" s="41" t="s">
        <v>20</v>
      </c>
      <c r="F872" s="42">
        <v>5</v>
      </c>
      <c r="G872" s="9">
        <v>5</v>
      </c>
      <c r="H872" s="45">
        <v>10</v>
      </c>
      <c r="I872" s="9">
        <v>10</v>
      </c>
      <c r="J872" s="80" t="s">
        <v>338</v>
      </c>
      <c r="K872" s="43">
        <v>5</v>
      </c>
      <c r="L872" s="83" t="s">
        <v>15</v>
      </c>
    </row>
    <row r="873" spans="1:12" ht="15" customHeight="1" x14ac:dyDescent="0.3">
      <c r="A873" s="21">
        <v>12</v>
      </c>
      <c r="B873" s="25">
        <v>46003</v>
      </c>
      <c r="C873" s="29" t="s">
        <v>847</v>
      </c>
      <c r="D873" s="36">
        <v>1</v>
      </c>
      <c r="E873" s="41" t="s">
        <v>20</v>
      </c>
      <c r="F873" s="42">
        <v>15</v>
      </c>
      <c r="G873" s="9">
        <v>15</v>
      </c>
      <c r="H873" s="45">
        <v>30</v>
      </c>
      <c r="I873" s="9">
        <v>30</v>
      </c>
      <c r="J873" s="80" t="s">
        <v>338</v>
      </c>
      <c r="K873" s="43">
        <v>15</v>
      </c>
      <c r="L873" s="83" t="s">
        <v>15</v>
      </c>
    </row>
    <row r="874" spans="1:12" ht="15" customHeight="1" x14ac:dyDescent="0.3">
      <c r="A874" s="21">
        <v>12</v>
      </c>
      <c r="B874" s="25">
        <v>46004</v>
      </c>
      <c r="C874" s="29" t="s">
        <v>847</v>
      </c>
      <c r="D874" s="36">
        <v>1</v>
      </c>
      <c r="E874" s="41" t="s">
        <v>945</v>
      </c>
      <c r="F874" s="42">
        <v>15</v>
      </c>
      <c r="G874" s="9">
        <v>15</v>
      </c>
      <c r="H874" s="45">
        <v>30</v>
      </c>
      <c r="I874" s="9">
        <v>30</v>
      </c>
      <c r="J874" s="80" t="s">
        <v>338</v>
      </c>
      <c r="K874" s="43">
        <v>15</v>
      </c>
      <c r="L874" s="83" t="s">
        <v>15</v>
      </c>
    </row>
    <row r="875" spans="1:12" ht="15" customHeight="1" x14ac:dyDescent="0.3">
      <c r="A875" s="21">
        <v>12</v>
      </c>
      <c r="B875" s="25">
        <v>46004</v>
      </c>
      <c r="C875" s="29" t="s">
        <v>750</v>
      </c>
      <c r="D875" s="36">
        <v>1</v>
      </c>
      <c r="E875" s="41" t="s">
        <v>20</v>
      </c>
      <c r="F875" s="42">
        <v>5</v>
      </c>
      <c r="G875" s="9">
        <v>5</v>
      </c>
      <c r="H875" s="45">
        <v>10</v>
      </c>
      <c r="I875" s="9">
        <v>10</v>
      </c>
      <c r="J875" s="80" t="s">
        <v>338</v>
      </c>
      <c r="K875" s="43">
        <v>5</v>
      </c>
      <c r="L875" s="83" t="s">
        <v>15</v>
      </c>
    </row>
    <row r="876" spans="1:12" ht="15" customHeight="1" x14ac:dyDescent="0.3">
      <c r="A876" s="21">
        <v>12</v>
      </c>
      <c r="B876" s="25">
        <v>46004</v>
      </c>
      <c r="C876" s="29" t="s">
        <v>946</v>
      </c>
      <c r="D876" s="36">
        <v>1</v>
      </c>
      <c r="E876" s="41" t="s">
        <v>393</v>
      </c>
      <c r="F876" s="42">
        <v>100</v>
      </c>
      <c r="G876" s="9">
        <v>100</v>
      </c>
      <c r="H876" s="45">
        <v>185</v>
      </c>
      <c r="I876" s="9">
        <v>185</v>
      </c>
      <c r="J876" s="80" t="s">
        <v>338</v>
      </c>
      <c r="K876" s="43">
        <v>85</v>
      </c>
      <c r="L876" s="83" t="s">
        <v>15</v>
      </c>
    </row>
    <row r="877" spans="1:12" ht="15" customHeight="1" x14ac:dyDescent="0.3">
      <c r="A877" s="21">
        <v>12</v>
      </c>
      <c r="B877" s="25">
        <v>46004</v>
      </c>
      <c r="C877" s="29" t="s">
        <v>813</v>
      </c>
      <c r="D877" s="36">
        <v>1</v>
      </c>
      <c r="E877" s="41" t="s">
        <v>20</v>
      </c>
      <c r="F877" s="42">
        <v>15</v>
      </c>
      <c r="G877" s="9">
        <v>15</v>
      </c>
      <c r="H877" s="45">
        <v>35</v>
      </c>
      <c r="I877" s="9">
        <v>35</v>
      </c>
      <c r="J877" s="80" t="s">
        <v>338</v>
      </c>
      <c r="K877" s="43">
        <v>20</v>
      </c>
      <c r="L877" s="83" t="s">
        <v>15</v>
      </c>
    </row>
    <row r="878" spans="1:12" ht="15" customHeight="1" x14ac:dyDescent="0.3">
      <c r="A878" s="21">
        <v>12</v>
      </c>
      <c r="B878" s="25">
        <v>46004</v>
      </c>
      <c r="C878" s="29" t="s">
        <v>947</v>
      </c>
      <c r="D878" s="36">
        <v>1</v>
      </c>
      <c r="E878" s="41" t="s">
        <v>20</v>
      </c>
      <c r="F878" s="42">
        <v>4</v>
      </c>
      <c r="G878" s="9">
        <v>4</v>
      </c>
      <c r="H878" s="45">
        <v>10</v>
      </c>
      <c r="I878" s="9">
        <v>10</v>
      </c>
      <c r="J878" s="80" t="s">
        <v>338</v>
      </c>
      <c r="K878" s="43">
        <v>6</v>
      </c>
      <c r="L878" s="83" t="s">
        <v>15</v>
      </c>
    </row>
    <row r="879" spans="1:12" ht="15" customHeight="1" x14ac:dyDescent="0.3">
      <c r="A879" s="21">
        <v>12</v>
      </c>
      <c r="B879" s="25">
        <v>46004</v>
      </c>
      <c r="C879" s="29" t="s">
        <v>315</v>
      </c>
      <c r="D879" s="36">
        <v>1</v>
      </c>
      <c r="E879" s="41" t="s">
        <v>20</v>
      </c>
      <c r="F879" s="42">
        <v>7.0000000000000007E-2</v>
      </c>
      <c r="G879" s="9">
        <v>7.0000000000000007E-2</v>
      </c>
      <c r="H879" s="45">
        <v>1</v>
      </c>
      <c r="I879" s="9">
        <v>1</v>
      </c>
      <c r="J879" s="80" t="s">
        <v>338</v>
      </c>
      <c r="K879" s="43">
        <v>0.92999999999999994</v>
      </c>
      <c r="L879" s="83" t="s">
        <v>15</v>
      </c>
    </row>
    <row r="880" spans="1:12" ht="15" customHeight="1" x14ac:dyDescent="0.3">
      <c r="A880" s="21">
        <v>12</v>
      </c>
      <c r="B880" s="25">
        <v>46005</v>
      </c>
      <c r="C880" s="29" t="s">
        <v>313</v>
      </c>
      <c r="D880" s="36">
        <v>1</v>
      </c>
      <c r="E880" s="41" t="s">
        <v>20</v>
      </c>
      <c r="F880" s="42">
        <v>3</v>
      </c>
      <c r="G880" s="9">
        <v>3</v>
      </c>
      <c r="H880" s="45">
        <v>15</v>
      </c>
      <c r="I880" s="9">
        <v>15</v>
      </c>
      <c r="J880" s="80" t="s">
        <v>338</v>
      </c>
      <c r="K880" s="43">
        <v>12</v>
      </c>
      <c r="L880" s="83" t="s">
        <v>15</v>
      </c>
    </row>
    <row r="881" spans="1:12" ht="15" customHeight="1" x14ac:dyDescent="0.3">
      <c r="A881" s="21">
        <v>12</v>
      </c>
      <c r="B881" s="25">
        <v>46006</v>
      </c>
      <c r="C881" s="29" t="s">
        <v>948</v>
      </c>
      <c r="D881" s="36">
        <v>1</v>
      </c>
      <c r="E881" s="41" t="s">
        <v>20</v>
      </c>
      <c r="F881" s="42">
        <v>5</v>
      </c>
      <c r="G881" s="9">
        <v>5</v>
      </c>
      <c r="H881" s="45">
        <v>10</v>
      </c>
      <c r="I881" s="9">
        <v>10</v>
      </c>
      <c r="J881" s="80" t="s">
        <v>338</v>
      </c>
      <c r="K881" s="43">
        <v>5</v>
      </c>
      <c r="L881" s="83" t="s">
        <v>15</v>
      </c>
    </row>
    <row r="882" spans="1:12" ht="15" customHeight="1" x14ac:dyDescent="0.3">
      <c r="A882" s="21">
        <v>12</v>
      </c>
      <c r="B882" s="25">
        <v>46007</v>
      </c>
      <c r="C882" s="29" t="s">
        <v>949</v>
      </c>
      <c r="D882" s="36">
        <v>1</v>
      </c>
      <c r="E882" s="41" t="s">
        <v>791</v>
      </c>
      <c r="F882" s="42">
        <v>15</v>
      </c>
      <c r="G882" s="9">
        <v>15</v>
      </c>
      <c r="H882" s="45">
        <v>25</v>
      </c>
      <c r="I882" s="9">
        <v>25</v>
      </c>
      <c r="J882" s="80" t="s">
        <v>338</v>
      </c>
      <c r="K882" s="43">
        <v>10</v>
      </c>
      <c r="L882" s="83" t="s">
        <v>15</v>
      </c>
    </row>
    <row r="883" spans="1:12" ht="15" customHeight="1" x14ac:dyDescent="0.3">
      <c r="A883" s="21">
        <v>12</v>
      </c>
      <c r="B883" s="25">
        <v>46007</v>
      </c>
      <c r="C883" s="29" t="s">
        <v>950</v>
      </c>
      <c r="D883" s="36">
        <v>1</v>
      </c>
      <c r="E883" s="41" t="s">
        <v>811</v>
      </c>
      <c r="F883" s="42">
        <v>25</v>
      </c>
      <c r="G883" s="9">
        <v>25</v>
      </c>
      <c r="H883" s="45">
        <v>40</v>
      </c>
      <c r="I883" s="9">
        <v>40</v>
      </c>
      <c r="J883" s="80" t="s">
        <v>338</v>
      </c>
      <c r="K883" s="43">
        <v>15</v>
      </c>
      <c r="L883" s="83" t="s">
        <v>15</v>
      </c>
    </row>
    <row r="884" spans="1:12" ht="15" customHeight="1" x14ac:dyDescent="0.3">
      <c r="A884" s="21">
        <v>12</v>
      </c>
      <c r="B884" s="25">
        <v>46007</v>
      </c>
      <c r="C884" s="29" t="s">
        <v>779</v>
      </c>
      <c r="D884" s="36">
        <v>1</v>
      </c>
      <c r="E884" s="41" t="s">
        <v>20</v>
      </c>
      <c r="F884" s="42">
        <v>40</v>
      </c>
      <c r="G884" s="9">
        <v>40</v>
      </c>
      <c r="H884" s="45">
        <v>100</v>
      </c>
      <c r="I884" s="9">
        <v>100</v>
      </c>
      <c r="J884" s="80" t="s">
        <v>338</v>
      </c>
      <c r="K884" s="43">
        <v>60</v>
      </c>
      <c r="L884" s="83" t="s">
        <v>15</v>
      </c>
    </row>
    <row r="885" spans="1:12" ht="15" customHeight="1" x14ac:dyDescent="0.3">
      <c r="A885" s="21">
        <v>12</v>
      </c>
      <c r="B885" s="25">
        <v>46007</v>
      </c>
      <c r="C885" s="29" t="s">
        <v>951</v>
      </c>
      <c r="D885" s="36">
        <v>1</v>
      </c>
      <c r="E885" s="41" t="s">
        <v>20</v>
      </c>
      <c r="F885" s="42" t="s">
        <v>72</v>
      </c>
      <c r="G885" s="9">
        <v>0</v>
      </c>
      <c r="H885" s="45">
        <v>200</v>
      </c>
      <c r="I885" s="9">
        <v>200</v>
      </c>
      <c r="J885" s="80" t="s">
        <v>338</v>
      </c>
      <c r="K885" s="43">
        <v>200</v>
      </c>
      <c r="L885" s="83" t="s">
        <v>15</v>
      </c>
    </row>
    <row r="886" spans="1:12" ht="15" customHeight="1" x14ac:dyDescent="0.3">
      <c r="A886" s="21">
        <v>12</v>
      </c>
      <c r="B886" s="25">
        <v>46007</v>
      </c>
      <c r="C886" s="29" t="s">
        <v>952</v>
      </c>
      <c r="D886" s="36">
        <v>1</v>
      </c>
      <c r="E886" s="41" t="s">
        <v>20</v>
      </c>
      <c r="F886" s="42">
        <v>100</v>
      </c>
      <c r="G886" s="9">
        <v>100</v>
      </c>
      <c r="H886" s="45">
        <v>140</v>
      </c>
      <c r="I886" s="9">
        <v>140</v>
      </c>
      <c r="J886" s="80" t="s">
        <v>338</v>
      </c>
      <c r="K886" s="43">
        <v>40</v>
      </c>
      <c r="L886" s="83" t="s">
        <v>15</v>
      </c>
    </row>
    <row r="887" spans="1:12" ht="15" customHeight="1" x14ac:dyDescent="0.3">
      <c r="A887" s="21">
        <v>12</v>
      </c>
      <c r="B887" s="25">
        <v>46007</v>
      </c>
      <c r="C887" s="29" t="s">
        <v>275</v>
      </c>
      <c r="D887" s="36">
        <v>1</v>
      </c>
      <c r="E887" s="41" t="s">
        <v>20</v>
      </c>
      <c r="F887" s="42">
        <v>18</v>
      </c>
      <c r="G887" s="9">
        <v>18</v>
      </c>
      <c r="H887" s="45">
        <v>30</v>
      </c>
      <c r="I887" s="9">
        <v>30</v>
      </c>
      <c r="J887" s="80" t="s">
        <v>338</v>
      </c>
      <c r="K887" s="43">
        <v>12</v>
      </c>
      <c r="L887" s="83" t="s">
        <v>15</v>
      </c>
    </row>
    <row r="888" spans="1:12" ht="15" customHeight="1" x14ac:dyDescent="0.3">
      <c r="A888" s="21">
        <v>12</v>
      </c>
      <c r="B888" s="25">
        <v>46007</v>
      </c>
      <c r="C888" s="29" t="s">
        <v>431</v>
      </c>
      <c r="D888" s="36">
        <v>1</v>
      </c>
      <c r="E888" s="41" t="s">
        <v>20</v>
      </c>
      <c r="F888" s="42">
        <v>15</v>
      </c>
      <c r="G888" s="9">
        <v>15</v>
      </c>
      <c r="H888" s="45">
        <v>40</v>
      </c>
      <c r="I888" s="9">
        <v>40</v>
      </c>
      <c r="J888" s="80" t="s">
        <v>338</v>
      </c>
      <c r="K888" s="43">
        <v>25</v>
      </c>
      <c r="L888" s="83" t="s">
        <v>15</v>
      </c>
    </row>
    <row r="889" spans="1:12" ht="15" customHeight="1" x14ac:dyDescent="0.3">
      <c r="A889" s="21">
        <v>12</v>
      </c>
      <c r="B889" s="25">
        <v>46007</v>
      </c>
      <c r="C889" s="29" t="s">
        <v>953</v>
      </c>
      <c r="D889" s="36">
        <v>1</v>
      </c>
      <c r="E889" s="41" t="s">
        <v>20</v>
      </c>
      <c r="F889" s="42">
        <v>10</v>
      </c>
      <c r="G889" s="9">
        <v>10</v>
      </c>
      <c r="H889" s="45">
        <v>25</v>
      </c>
      <c r="I889" s="9">
        <v>25</v>
      </c>
      <c r="J889" s="80" t="s">
        <v>338</v>
      </c>
      <c r="K889" s="43">
        <v>15</v>
      </c>
      <c r="L889" s="83" t="s">
        <v>15</v>
      </c>
    </row>
    <row r="890" spans="1:12" ht="15" customHeight="1" x14ac:dyDescent="0.3">
      <c r="A890" s="21">
        <v>12</v>
      </c>
      <c r="B890" s="25">
        <v>46010</v>
      </c>
      <c r="C890" s="29" t="s">
        <v>843</v>
      </c>
      <c r="D890" s="36">
        <v>1</v>
      </c>
      <c r="E890" s="41" t="s">
        <v>954</v>
      </c>
      <c r="F890" s="42">
        <v>0</v>
      </c>
      <c r="G890" s="9">
        <v>0</v>
      </c>
      <c r="H890" s="45">
        <v>153</v>
      </c>
      <c r="I890" s="9">
        <v>153</v>
      </c>
      <c r="J890" s="80" t="s">
        <v>338</v>
      </c>
      <c r="K890" s="43">
        <v>153</v>
      </c>
      <c r="L890" s="83" t="s">
        <v>15</v>
      </c>
    </row>
    <row r="891" spans="1:12" ht="15" customHeight="1" x14ac:dyDescent="0.3">
      <c r="A891" s="21">
        <v>12</v>
      </c>
      <c r="B891" s="25">
        <v>46010</v>
      </c>
      <c r="C891" s="29" t="s">
        <v>955</v>
      </c>
      <c r="D891" s="36">
        <v>1</v>
      </c>
      <c r="E891" s="41" t="s">
        <v>956</v>
      </c>
      <c r="F891" s="42">
        <v>0</v>
      </c>
      <c r="G891" s="9">
        <v>0</v>
      </c>
      <c r="H891" s="45">
        <v>105</v>
      </c>
      <c r="I891" s="9">
        <v>105</v>
      </c>
      <c r="J891" s="80" t="s">
        <v>338</v>
      </c>
      <c r="K891" s="43">
        <v>105</v>
      </c>
      <c r="L891" s="83" t="s">
        <v>15</v>
      </c>
    </row>
    <row r="892" spans="1:12" ht="15" customHeight="1" x14ac:dyDescent="0.3">
      <c r="A892" s="21">
        <v>12</v>
      </c>
      <c r="B892" s="25">
        <v>46010</v>
      </c>
      <c r="C892" s="29" t="s">
        <v>949</v>
      </c>
      <c r="D892" s="36">
        <v>1</v>
      </c>
      <c r="E892" s="41" t="s">
        <v>20</v>
      </c>
      <c r="F892" s="42">
        <v>15</v>
      </c>
      <c r="G892" s="9">
        <v>15</v>
      </c>
      <c r="H892" s="45">
        <v>25</v>
      </c>
      <c r="I892" s="9">
        <v>25</v>
      </c>
      <c r="J892" s="80" t="s">
        <v>338</v>
      </c>
      <c r="K892" s="43">
        <v>10</v>
      </c>
      <c r="L892" s="83" t="s">
        <v>15</v>
      </c>
    </row>
    <row r="893" spans="1:12" ht="15" customHeight="1" x14ac:dyDescent="0.3">
      <c r="A893" s="21">
        <v>12</v>
      </c>
      <c r="B893" s="25">
        <v>46011</v>
      </c>
      <c r="C893" s="29" t="s">
        <v>855</v>
      </c>
      <c r="D893" s="36">
        <v>6</v>
      </c>
      <c r="E893" s="41" t="s">
        <v>20</v>
      </c>
      <c r="F893" s="42">
        <v>1</v>
      </c>
      <c r="G893" s="9">
        <v>6</v>
      </c>
      <c r="H893" s="45">
        <v>5</v>
      </c>
      <c r="I893" s="9">
        <v>30</v>
      </c>
      <c r="J893" s="80" t="s">
        <v>338</v>
      </c>
      <c r="K893" s="43">
        <v>24</v>
      </c>
      <c r="L893" s="83" t="s">
        <v>15</v>
      </c>
    </row>
    <row r="894" spans="1:12" ht="15" customHeight="1" x14ac:dyDescent="0.3">
      <c r="A894" s="21">
        <v>12</v>
      </c>
      <c r="B894" s="25">
        <v>46011</v>
      </c>
      <c r="C894" s="29" t="s">
        <v>957</v>
      </c>
      <c r="D894" s="36">
        <v>1</v>
      </c>
      <c r="E894" s="41" t="s">
        <v>20</v>
      </c>
      <c r="F894" s="42">
        <v>18</v>
      </c>
      <c r="G894" s="9">
        <v>18</v>
      </c>
      <c r="H894" s="45">
        <v>40</v>
      </c>
      <c r="I894" s="9">
        <v>40</v>
      </c>
      <c r="J894" s="80" t="s">
        <v>338</v>
      </c>
      <c r="K894" s="43">
        <v>22</v>
      </c>
      <c r="L894" s="83" t="s">
        <v>15</v>
      </c>
    </row>
    <row r="895" spans="1:12" ht="15" customHeight="1" x14ac:dyDescent="0.3">
      <c r="A895" s="21">
        <v>12</v>
      </c>
      <c r="B895" s="25">
        <v>46011</v>
      </c>
      <c r="C895" s="29" t="s">
        <v>958</v>
      </c>
      <c r="D895" s="36">
        <v>2</v>
      </c>
      <c r="E895" s="41" t="s">
        <v>20</v>
      </c>
      <c r="F895" s="42">
        <v>10</v>
      </c>
      <c r="G895" s="9">
        <v>20</v>
      </c>
      <c r="H895" s="45">
        <v>25</v>
      </c>
      <c r="I895" s="9">
        <v>50</v>
      </c>
      <c r="J895" s="80" t="s">
        <v>338</v>
      </c>
      <c r="K895" s="43">
        <v>30</v>
      </c>
      <c r="L895" s="83" t="s">
        <v>15</v>
      </c>
    </row>
    <row r="896" spans="1:12" ht="15" customHeight="1" x14ac:dyDescent="0.3">
      <c r="A896" s="21">
        <v>12</v>
      </c>
      <c r="B896" s="25">
        <v>46013</v>
      </c>
      <c r="C896" s="29" t="s">
        <v>959</v>
      </c>
      <c r="D896" s="36">
        <v>1</v>
      </c>
      <c r="E896" s="41" t="s">
        <v>960</v>
      </c>
      <c r="F896" s="42">
        <v>0</v>
      </c>
      <c r="G896" s="9">
        <v>0</v>
      </c>
      <c r="H896" s="45">
        <v>258</v>
      </c>
      <c r="I896" s="9">
        <v>258</v>
      </c>
      <c r="J896" s="80" t="s">
        <v>338</v>
      </c>
      <c r="K896" s="43">
        <v>258</v>
      </c>
      <c r="L896" s="83" t="s">
        <v>15</v>
      </c>
    </row>
    <row r="897" spans="1:12" ht="15" customHeight="1" x14ac:dyDescent="0.3">
      <c r="A897" s="21">
        <v>12</v>
      </c>
      <c r="B897" s="25">
        <v>46013</v>
      </c>
      <c r="C897" s="29" t="s">
        <v>961</v>
      </c>
      <c r="D897" s="36">
        <v>2</v>
      </c>
      <c r="E897" s="41" t="s">
        <v>20</v>
      </c>
      <c r="F897" s="42">
        <v>3</v>
      </c>
      <c r="G897" s="9">
        <v>6</v>
      </c>
      <c r="H897" s="45">
        <v>5</v>
      </c>
      <c r="I897" s="9">
        <v>10</v>
      </c>
      <c r="J897" s="80" t="s">
        <v>338</v>
      </c>
      <c r="K897" s="43">
        <v>4</v>
      </c>
      <c r="L897" s="83" t="s">
        <v>15</v>
      </c>
    </row>
    <row r="898" spans="1:12" ht="15" customHeight="1" x14ac:dyDescent="0.3">
      <c r="A898" s="21">
        <v>12</v>
      </c>
      <c r="B898" s="25">
        <v>46013</v>
      </c>
      <c r="C898" s="29" t="s">
        <v>962</v>
      </c>
      <c r="D898" s="36">
        <v>1</v>
      </c>
      <c r="E898" s="41" t="s">
        <v>20</v>
      </c>
      <c r="F898" s="42">
        <v>5</v>
      </c>
      <c r="G898" s="9">
        <v>5</v>
      </c>
      <c r="H898" s="45">
        <v>20</v>
      </c>
      <c r="I898" s="9">
        <v>20</v>
      </c>
      <c r="J898" s="80" t="s">
        <v>338</v>
      </c>
      <c r="K898" s="43">
        <v>15</v>
      </c>
      <c r="L898" s="83" t="s">
        <v>15</v>
      </c>
    </row>
    <row r="899" spans="1:12" ht="15" customHeight="1" x14ac:dyDescent="0.3">
      <c r="A899" s="21">
        <v>12</v>
      </c>
      <c r="B899" s="25">
        <v>46014</v>
      </c>
      <c r="C899" s="29" t="s">
        <v>949</v>
      </c>
      <c r="D899" s="36">
        <v>1</v>
      </c>
      <c r="E899" s="41" t="s">
        <v>391</v>
      </c>
      <c r="F899" s="42">
        <v>15</v>
      </c>
      <c r="G899" s="9">
        <v>15</v>
      </c>
      <c r="H899" s="45">
        <v>30</v>
      </c>
      <c r="I899" s="9">
        <v>30</v>
      </c>
      <c r="J899" s="80" t="s">
        <v>338</v>
      </c>
      <c r="K899" s="43">
        <v>15</v>
      </c>
      <c r="L899" s="83" t="s">
        <v>15</v>
      </c>
    </row>
    <row r="900" spans="1:12" ht="15" customHeight="1" x14ac:dyDescent="0.3">
      <c r="A900" s="21">
        <v>12</v>
      </c>
      <c r="B900" s="25">
        <v>46014</v>
      </c>
      <c r="C900" s="29" t="s">
        <v>690</v>
      </c>
      <c r="D900" s="36">
        <v>2</v>
      </c>
      <c r="E900" s="41" t="s">
        <v>391</v>
      </c>
      <c r="F900" s="42">
        <v>2.5</v>
      </c>
      <c r="G900" s="9">
        <v>5</v>
      </c>
      <c r="H900" s="45">
        <v>5</v>
      </c>
      <c r="I900" s="9">
        <v>10</v>
      </c>
      <c r="J900" s="80" t="s">
        <v>338</v>
      </c>
      <c r="K900" s="43">
        <v>5</v>
      </c>
      <c r="L900" s="83" t="s">
        <v>15</v>
      </c>
    </row>
    <row r="901" spans="1:12" ht="15" customHeight="1" x14ac:dyDescent="0.3">
      <c r="A901" s="21">
        <v>12</v>
      </c>
      <c r="B901" s="25">
        <v>46014</v>
      </c>
      <c r="C901" s="29" t="s">
        <v>963</v>
      </c>
      <c r="D901" s="36">
        <v>1</v>
      </c>
      <c r="E901" s="41" t="s">
        <v>20</v>
      </c>
      <c r="F901" s="42">
        <v>5</v>
      </c>
      <c r="G901" s="9">
        <v>5</v>
      </c>
      <c r="H901" s="45">
        <v>10</v>
      </c>
      <c r="I901" s="9">
        <v>10</v>
      </c>
      <c r="J901" s="80" t="s">
        <v>338</v>
      </c>
      <c r="K901" s="43">
        <v>5</v>
      </c>
      <c r="L901" s="83" t="s">
        <v>15</v>
      </c>
    </row>
    <row r="902" spans="1:12" ht="15" customHeight="1" x14ac:dyDescent="0.3">
      <c r="A902" s="21">
        <v>12</v>
      </c>
      <c r="B902" s="25">
        <v>46014</v>
      </c>
      <c r="C902" s="29" t="s">
        <v>964</v>
      </c>
      <c r="D902" s="36">
        <v>1</v>
      </c>
      <c r="E902" s="41" t="s">
        <v>635</v>
      </c>
      <c r="F902" s="42">
        <v>25</v>
      </c>
      <c r="G902" s="9">
        <v>25</v>
      </c>
      <c r="H902" s="45">
        <v>40</v>
      </c>
      <c r="I902" s="9">
        <v>40</v>
      </c>
      <c r="J902" s="80" t="s">
        <v>338</v>
      </c>
      <c r="K902" s="43">
        <v>15</v>
      </c>
      <c r="L902" s="83" t="s">
        <v>15</v>
      </c>
    </row>
    <row r="903" spans="1:12" ht="15" customHeight="1" x14ac:dyDescent="0.3">
      <c r="A903" s="21">
        <v>12</v>
      </c>
      <c r="B903" s="25">
        <v>46014</v>
      </c>
      <c r="C903" s="29" t="s">
        <v>965</v>
      </c>
      <c r="D903" s="36">
        <v>1</v>
      </c>
      <c r="E903" s="41" t="s">
        <v>533</v>
      </c>
      <c r="F903" s="42">
        <v>28</v>
      </c>
      <c r="G903" s="9">
        <v>28</v>
      </c>
      <c r="H903" s="45">
        <v>45</v>
      </c>
      <c r="I903" s="9">
        <v>45</v>
      </c>
      <c r="J903" s="80" t="s">
        <v>338</v>
      </c>
      <c r="K903" s="43">
        <v>17</v>
      </c>
      <c r="L903" s="83" t="s">
        <v>15</v>
      </c>
    </row>
    <row r="904" spans="1:12" ht="15" customHeight="1" x14ac:dyDescent="0.3">
      <c r="A904" s="21">
        <v>12</v>
      </c>
      <c r="B904" s="25">
        <v>46014</v>
      </c>
      <c r="C904" s="29" t="s">
        <v>966</v>
      </c>
      <c r="D904" s="36">
        <v>1</v>
      </c>
      <c r="E904" s="41" t="s">
        <v>20</v>
      </c>
      <c r="F904" s="42">
        <v>20</v>
      </c>
      <c r="G904" s="9">
        <v>20</v>
      </c>
      <c r="H904" s="45">
        <v>30</v>
      </c>
      <c r="I904" s="9">
        <v>30</v>
      </c>
      <c r="J904" s="80" t="s">
        <v>338</v>
      </c>
      <c r="K904" s="43">
        <v>10</v>
      </c>
      <c r="L904" s="83" t="s">
        <v>15</v>
      </c>
    </row>
    <row r="905" spans="1:12" ht="15" customHeight="1" x14ac:dyDescent="0.3">
      <c r="A905" s="21">
        <v>12</v>
      </c>
      <c r="B905" s="25">
        <v>46014</v>
      </c>
      <c r="C905" s="29" t="s">
        <v>967</v>
      </c>
      <c r="D905" s="36">
        <v>1</v>
      </c>
      <c r="E905" s="41" t="s">
        <v>20</v>
      </c>
      <c r="F905" s="42">
        <v>1</v>
      </c>
      <c r="G905" s="9">
        <v>1</v>
      </c>
      <c r="H905" s="45">
        <v>5</v>
      </c>
      <c r="I905" s="9">
        <v>5</v>
      </c>
      <c r="J905" s="80" t="s">
        <v>338</v>
      </c>
      <c r="K905" s="43">
        <v>4</v>
      </c>
      <c r="L905" s="83" t="s">
        <v>15</v>
      </c>
    </row>
    <row r="906" spans="1:12" ht="15" customHeight="1" x14ac:dyDescent="0.3">
      <c r="A906" s="21">
        <v>12</v>
      </c>
      <c r="B906" s="25">
        <v>46014</v>
      </c>
      <c r="C906" s="29" t="s">
        <v>692</v>
      </c>
      <c r="D906" s="36">
        <v>1</v>
      </c>
      <c r="E906" s="41" t="s">
        <v>968</v>
      </c>
      <c r="F906" s="42">
        <v>15</v>
      </c>
      <c r="G906" s="9">
        <v>15</v>
      </c>
      <c r="H906" s="45">
        <v>50</v>
      </c>
      <c r="I906" s="9">
        <v>50</v>
      </c>
      <c r="J906" s="80" t="s">
        <v>338</v>
      </c>
      <c r="K906" s="43">
        <v>35</v>
      </c>
      <c r="L906" s="83" t="s">
        <v>15</v>
      </c>
    </row>
    <row r="907" spans="1:12" ht="15" customHeight="1" x14ac:dyDescent="0.3">
      <c r="A907" s="21">
        <v>12</v>
      </c>
      <c r="B907" s="25">
        <v>46014</v>
      </c>
      <c r="C907" s="29" t="s">
        <v>969</v>
      </c>
      <c r="D907" s="36">
        <v>1</v>
      </c>
      <c r="E907" s="41" t="s">
        <v>811</v>
      </c>
      <c r="F907" s="42">
        <v>5</v>
      </c>
      <c r="G907" s="9">
        <v>5</v>
      </c>
      <c r="H907" s="45">
        <v>10</v>
      </c>
      <c r="I907" s="9">
        <v>10</v>
      </c>
      <c r="J907" s="80" t="s">
        <v>338</v>
      </c>
      <c r="K907" s="43">
        <v>5</v>
      </c>
      <c r="L907" s="83" t="s">
        <v>15</v>
      </c>
    </row>
    <row r="908" spans="1:12" ht="15" customHeight="1" x14ac:dyDescent="0.3">
      <c r="A908" s="21">
        <v>12</v>
      </c>
      <c r="B908" s="25">
        <v>46015</v>
      </c>
      <c r="C908" s="29" t="s">
        <v>715</v>
      </c>
      <c r="D908" s="36">
        <v>1</v>
      </c>
      <c r="E908" s="41" t="s">
        <v>20</v>
      </c>
      <c r="F908" s="42">
        <v>5</v>
      </c>
      <c r="G908" s="9">
        <v>5</v>
      </c>
      <c r="H908" s="45">
        <v>10</v>
      </c>
      <c r="I908" s="9">
        <v>10</v>
      </c>
      <c r="J908" s="80" t="s">
        <v>338</v>
      </c>
      <c r="K908" s="43">
        <v>5</v>
      </c>
      <c r="L908" s="83" t="s">
        <v>15</v>
      </c>
    </row>
    <row r="909" spans="1:12" ht="15" customHeight="1" x14ac:dyDescent="0.3">
      <c r="A909" s="21">
        <v>12</v>
      </c>
      <c r="B909" s="25">
        <v>46015</v>
      </c>
      <c r="C909" s="29" t="s">
        <v>959</v>
      </c>
      <c r="D909" s="36">
        <v>1</v>
      </c>
      <c r="E909" s="41" t="s">
        <v>232</v>
      </c>
      <c r="F909" s="42">
        <v>270</v>
      </c>
      <c r="G909" s="9">
        <v>270</v>
      </c>
      <c r="H909" s="45">
        <v>350</v>
      </c>
      <c r="I909" s="9">
        <v>350</v>
      </c>
      <c r="J909" s="80" t="s">
        <v>338</v>
      </c>
      <c r="K909" s="43">
        <v>80</v>
      </c>
      <c r="L909" s="83" t="s">
        <v>15</v>
      </c>
    </row>
    <row r="910" spans="1:12" ht="15" customHeight="1" x14ac:dyDescent="0.3">
      <c r="A910" s="21">
        <v>12</v>
      </c>
      <c r="B910" s="25">
        <v>46017</v>
      </c>
      <c r="C910" s="29" t="s">
        <v>970</v>
      </c>
      <c r="D910" s="36">
        <v>1</v>
      </c>
      <c r="E910" s="41" t="s">
        <v>718</v>
      </c>
      <c r="F910" s="42">
        <v>300</v>
      </c>
      <c r="G910" s="9">
        <v>300</v>
      </c>
      <c r="H910" s="45">
        <v>400</v>
      </c>
      <c r="I910" s="9">
        <v>400</v>
      </c>
      <c r="J910" s="80" t="s">
        <v>338</v>
      </c>
      <c r="K910" s="43">
        <v>100</v>
      </c>
      <c r="L910" s="83" t="s">
        <v>15</v>
      </c>
    </row>
    <row r="911" spans="1:12" ht="15" customHeight="1" x14ac:dyDescent="0.3">
      <c r="A911" s="21">
        <v>12</v>
      </c>
      <c r="B911" s="25">
        <v>46018</v>
      </c>
      <c r="C911" s="29" t="s">
        <v>767</v>
      </c>
      <c r="D911" s="36">
        <v>1</v>
      </c>
      <c r="E911" s="41" t="s">
        <v>906</v>
      </c>
      <c r="F911" s="42">
        <v>145</v>
      </c>
      <c r="G911" s="9">
        <v>145</v>
      </c>
      <c r="H911" s="45">
        <v>300</v>
      </c>
      <c r="I911" s="9">
        <v>300</v>
      </c>
      <c r="J911" s="80" t="s">
        <v>338</v>
      </c>
      <c r="K911" s="43">
        <v>155</v>
      </c>
      <c r="L911" s="83" t="s">
        <v>15</v>
      </c>
    </row>
    <row r="912" spans="1:12" ht="15" customHeight="1" x14ac:dyDescent="0.3">
      <c r="A912" s="21">
        <v>12</v>
      </c>
      <c r="B912" s="25">
        <v>46018</v>
      </c>
      <c r="C912" s="29" t="s">
        <v>827</v>
      </c>
      <c r="D912" s="36">
        <v>1</v>
      </c>
      <c r="E912" s="41" t="s">
        <v>971</v>
      </c>
      <c r="F912" s="42">
        <v>7</v>
      </c>
      <c r="G912" s="9">
        <v>7</v>
      </c>
      <c r="H912" s="45">
        <v>37.24</v>
      </c>
      <c r="I912" s="9">
        <v>37.24</v>
      </c>
      <c r="J912" s="80" t="s">
        <v>338</v>
      </c>
      <c r="K912" s="43">
        <v>30.240000000000002</v>
      </c>
      <c r="L912" s="83" t="s">
        <v>15</v>
      </c>
    </row>
    <row r="913" spans="1:12" ht="15" customHeight="1" x14ac:dyDescent="0.3">
      <c r="A913" s="21">
        <v>12</v>
      </c>
      <c r="B913" s="25">
        <v>46018</v>
      </c>
      <c r="C913" s="29" t="s">
        <v>827</v>
      </c>
      <c r="D913" s="36">
        <v>1</v>
      </c>
      <c r="E913" s="41" t="s">
        <v>972</v>
      </c>
      <c r="F913" s="42">
        <v>7</v>
      </c>
      <c r="G913" s="9">
        <v>7</v>
      </c>
      <c r="H913" s="45">
        <v>37.24</v>
      </c>
      <c r="I913" s="9">
        <v>37.24</v>
      </c>
      <c r="J913" s="80" t="s">
        <v>338</v>
      </c>
      <c r="K913" s="43">
        <v>30.240000000000002</v>
      </c>
      <c r="L913" s="83" t="s">
        <v>15</v>
      </c>
    </row>
    <row r="914" spans="1:12" ht="15" customHeight="1" x14ac:dyDescent="0.3">
      <c r="A914" s="21">
        <v>12</v>
      </c>
      <c r="B914" s="25">
        <v>46018</v>
      </c>
      <c r="C914" s="29" t="s">
        <v>973</v>
      </c>
      <c r="D914" s="36">
        <v>1</v>
      </c>
      <c r="E914" s="41" t="s">
        <v>974</v>
      </c>
      <c r="F914" s="42">
        <v>10</v>
      </c>
      <c r="G914" s="9">
        <v>10</v>
      </c>
      <c r="H914" s="45">
        <v>18.5</v>
      </c>
      <c r="I914" s="9">
        <v>18.5</v>
      </c>
      <c r="J914" s="80" t="s">
        <v>338</v>
      </c>
      <c r="K914" s="43">
        <v>8.5</v>
      </c>
      <c r="L914" s="83" t="s">
        <v>15</v>
      </c>
    </row>
    <row r="915" spans="1:12" ht="15" customHeight="1" x14ac:dyDescent="0.3">
      <c r="A915" s="21">
        <v>12</v>
      </c>
      <c r="B915" s="25">
        <v>46020</v>
      </c>
      <c r="C915" s="29" t="s">
        <v>975</v>
      </c>
      <c r="D915" s="36">
        <v>1</v>
      </c>
      <c r="E915" s="41" t="s">
        <v>20</v>
      </c>
      <c r="F915" s="42">
        <v>7.5</v>
      </c>
      <c r="G915" s="9">
        <v>7.5</v>
      </c>
      <c r="H915" s="45">
        <v>15</v>
      </c>
      <c r="I915" s="9">
        <v>15</v>
      </c>
      <c r="J915" s="80" t="s">
        <v>338</v>
      </c>
      <c r="K915" s="43">
        <v>7.5</v>
      </c>
      <c r="L915" s="83" t="s">
        <v>15</v>
      </c>
    </row>
    <row r="916" spans="1:12" ht="15" customHeight="1" x14ac:dyDescent="0.3">
      <c r="A916" s="21">
        <v>12</v>
      </c>
      <c r="B916" s="25">
        <v>46020</v>
      </c>
      <c r="C916" s="29" t="s">
        <v>976</v>
      </c>
      <c r="D916" s="36">
        <v>3</v>
      </c>
      <c r="E916" s="41" t="s">
        <v>290</v>
      </c>
      <c r="F916" s="42">
        <v>5</v>
      </c>
      <c r="G916" s="9">
        <v>15</v>
      </c>
      <c r="H916" s="45">
        <v>10</v>
      </c>
      <c r="I916" s="9">
        <v>30</v>
      </c>
      <c r="J916" s="80" t="s">
        <v>338</v>
      </c>
      <c r="K916" s="43">
        <v>15</v>
      </c>
      <c r="L916" s="83" t="s">
        <v>15</v>
      </c>
    </row>
    <row r="917" spans="1:12" ht="15" customHeight="1" x14ac:dyDescent="0.3">
      <c r="A917" s="21">
        <v>12</v>
      </c>
      <c r="B917" s="25">
        <v>46020</v>
      </c>
      <c r="C917" s="29" t="s">
        <v>855</v>
      </c>
      <c r="D917" s="36">
        <v>2</v>
      </c>
      <c r="E917" s="41" t="s">
        <v>20</v>
      </c>
      <c r="F917" s="42">
        <v>1</v>
      </c>
      <c r="G917" s="9">
        <v>2</v>
      </c>
      <c r="H917" s="45">
        <v>5</v>
      </c>
      <c r="I917" s="9">
        <v>10</v>
      </c>
      <c r="J917" s="80" t="s">
        <v>338</v>
      </c>
      <c r="K917" s="43">
        <v>8</v>
      </c>
      <c r="L917" s="83" t="s">
        <v>15</v>
      </c>
    </row>
    <row r="918" spans="1:12" ht="15" customHeight="1" x14ac:dyDescent="0.3">
      <c r="A918" s="21">
        <v>12</v>
      </c>
      <c r="B918" s="25">
        <v>46021</v>
      </c>
      <c r="C918" s="29" t="s">
        <v>977</v>
      </c>
      <c r="D918" s="36">
        <v>2</v>
      </c>
      <c r="E918" s="41" t="s">
        <v>20</v>
      </c>
      <c r="F918" s="42">
        <v>5</v>
      </c>
      <c r="G918" s="9">
        <v>10</v>
      </c>
      <c r="H918" s="45">
        <v>10</v>
      </c>
      <c r="I918" s="9">
        <v>20</v>
      </c>
      <c r="J918" s="80" t="s">
        <v>338</v>
      </c>
      <c r="K918" s="43">
        <v>10</v>
      </c>
      <c r="L918" s="45" t="s">
        <v>15</v>
      </c>
    </row>
    <row r="919" spans="1:12" ht="15" customHeight="1" x14ac:dyDescent="0.3">
      <c r="A919" s="21">
        <v>12</v>
      </c>
      <c r="B919" s="25">
        <v>46022</v>
      </c>
      <c r="C919" s="29" t="s">
        <v>977</v>
      </c>
      <c r="D919" s="36">
        <v>3</v>
      </c>
      <c r="E919" s="41" t="s">
        <v>763</v>
      </c>
      <c r="F919" s="42">
        <v>5</v>
      </c>
      <c r="G919" s="9">
        <v>15</v>
      </c>
      <c r="H919" s="45">
        <v>10</v>
      </c>
      <c r="I919" s="9">
        <v>30</v>
      </c>
      <c r="J919" s="80" t="s">
        <v>338</v>
      </c>
      <c r="K919" s="43">
        <v>15</v>
      </c>
      <c r="L919" s="45" t="s">
        <v>15</v>
      </c>
    </row>
    <row r="920" spans="1:12" ht="15" customHeight="1" x14ac:dyDescent="0.3">
      <c r="A920" s="21">
        <v>12</v>
      </c>
      <c r="B920" s="25">
        <v>46022</v>
      </c>
      <c r="C920" s="29" t="s">
        <v>978</v>
      </c>
      <c r="D920" s="36">
        <v>1</v>
      </c>
      <c r="E920" s="41" t="s">
        <v>979</v>
      </c>
      <c r="F920" s="42">
        <v>280</v>
      </c>
      <c r="G920" s="9">
        <v>280</v>
      </c>
      <c r="H920" s="45">
        <v>378.4</v>
      </c>
      <c r="I920" s="9">
        <v>378.4</v>
      </c>
      <c r="J920" s="80" t="s">
        <v>338</v>
      </c>
      <c r="K920" s="43">
        <v>98.399999999999977</v>
      </c>
      <c r="L920" s="45" t="s">
        <v>15</v>
      </c>
    </row>
    <row r="921" spans="1:12" ht="15" customHeight="1" x14ac:dyDescent="0.3">
      <c r="A921" s="21"/>
      <c r="B921" s="25"/>
      <c r="C921" s="29"/>
      <c r="D921" s="36"/>
      <c r="E921" s="41"/>
      <c r="F921" s="42"/>
      <c r="G921" s="9"/>
      <c r="H921" s="45"/>
      <c r="I921" s="9"/>
      <c r="J921" s="80"/>
      <c r="K921" s="43"/>
      <c r="L921" s="45"/>
    </row>
    <row r="922" spans="1:12" ht="15" customHeight="1" x14ac:dyDescent="0.3">
      <c r="A922" s="21"/>
      <c r="B922" s="25"/>
      <c r="C922" s="29"/>
      <c r="D922" s="36"/>
      <c r="E922" s="41"/>
      <c r="F922" s="42"/>
      <c r="G922" s="9"/>
      <c r="H922" s="45"/>
      <c r="I922" s="9"/>
      <c r="J922" s="80"/>
      <c r="K922" s="43"/>
      <c r="L922" s="45"/>
    </row>
  </sheetData>
  <conditionalFormatting sqref="L2:L922">
    <cfRule type="expression" dxfId="51" priority="62">
      <formula>Y2="Transferido"</formula>
    </cfRule>
  </conditionalFormatting>
  <conditionalFormatting sqref="L2:L922">
    <cfRule type="expression" dxfId="50" priority="61">
      <formula>Y2="Aguardando"</formula>
    </cfRule>
  </conditionalFormatting>
  <conditionalFormatting sqref="K2:K922">
    <cfRule type="cellIs" dxfId="49" priority="11" operator="lessThan">
      <formula>0</formula>
    </cfRule>
  </conditionalFormatting>
  <conditionalFormatting sqref="L2:L8655">
    <cfRule type="expression" dxfId="48" priority="67">
      <formula>L2="Aguardando"</formula>
    </cfRule>
    <cfRule type="expression" dxfId="47" priority="68">
      <formula>L2="Transferido"</formula>
    </cfRule>
  </conditionalFormatting>
  <conditionalFormatting sqref="W74:W80">
    <cfRule type="containsText" dxfId="46" priority="79" operator="containsText" text="Chip normal">
      <formula>NOT(ISERROR(SEARCH("Chip normal",W74)))</formula>
    </cfRule>
    <cfRule type="containsText" dxfId="45" priority="80" operator="containsText" text="chip recarregado">
      <formula>NOT(ISERROR(SEARCH("chip recarregado",W74)))</formula>
    </cfRule>
    <cfRule type="expression" dxfId="44" priority="81">
      <formula>AJ74="Ainda não"</formula>
    </cfRule>
    <cfRule type="expression" dxfId="43" priority="82">
      <formula>AJ74="Transferido"</formula>
    </cfRule>
  </conditionalFormatting>
  <conditionalFormatting sqref="C2:C922">
    <cfRule type="expression" dxfId="42" priority="452">
      <formula>L2="Transferido"</formula>
    </cfRule>
  </conditionalFormatting>
  <conditionalFormatting sqref="C2:C922">
    <cfRule type="expression" dxfId="41" priority="453">
      <formula>L2="Aguardando"</formula>
    </cfRule>
  </conditionalFormatting>
  <conditionalFormatting sqref="C1">
    <cfRule type="containsText" dxfId="40" priority="454" operator="containsText" text="Chip normal">
      <formula>NOT(ISERROR(SEARCH("Chip normal",C1)))</formula>
    </cfRule>
    <cfRule type="containsText" dxfId="39" priority="455" operator="containsText" text="chip recarregado">
      <formula>NOT(ISERROR(SEARCH("chip recarregado",C1)))</formula>
    </cfRule>
    <cfRule type="expression" dxfId="38" priority="456">
      <formula>#REF!="Ainda não"</formula>
    </cfRule>
    <cfRule type="expression" dxfId="37" priority="457">
      <formula>#REF!="Transferido"</formula>
    </cfRule>
  </conditionalFormatting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0148-7968-26D8-A154-7AC88B16B743}">
  <dimension ref="A1:V1111"/>
  <sheetViews>
    <sheetView showGridLines="0" tabSelected="1" topLeftCell="A430" zoomScale="95" zoomScaleNormal="115" workbookViewId="0">
      <selection activeCell="C452" sqref="C452"/>
    </sheetView>
  </sheetViews>
  <sheetFormatPr defaultColWidth="14.42578125" defaultRowHeight="15" customHeight="1" x14ac:dyDescent="0.25"/>
  <cols>
    <col min="1" max="1" width="5.5703125" bestFit="1" customWidth="1"/>
    <col min="2" max="2" width="11" bestFit="1" customWidth="1"/>
    <col min="3" max="3" width="48.28515625" bestFit="1" customWidth="1"/>
    <col min="4" max="4" width="4.28515625" bestFit="1" customWidth="1"/>
    <col min="5" max="5" width="24.85546875" bestFit="1" customWidth="1"/>
    <col min="7" max="7" width="10.85546875" bestFit="1" customWidth="1"/>
    <col min="8" max="8" width="12.42578125" bestFit="1" customWidth="1"/>
    <col min="9" max="9" width="12.140625" bestFit="1" customWidth="1"/>
    <col min="10" max="10" width="12.42578125" customWidth="1"/>
    <col min="11" max="11" width="11.5703125" bestFit="1" customWidth="1"/>
    <col min="12" max="13" width="12.5703125" bestFit="1" customWidth="1"/>
    <col min="16" max="16" width="5.7109375" bestFit="1" customWidth="1"/>
    <col min="17" max="17" width="14.42578125" style="160"/>
    <col min="18" max="18" width="9.140625" bestFit="1" customWidth="1"/>
    <col min="19" max="19" width="15.28515625" style="160" bestFit="1" customWidth="1"/>
    <col min="20" max="20" width="14" style="160" bestFit="1" customWidth="1"/>
    <col min="21" max="21" width="13.7109375" style="160" bestFit="1" customWidth="1"/>
    <col min="22" max="22" width="9.7109375" style="160" bestFit="1" customWidth="1"/>
  </cols>
  <sheetData>
    <row r="1" spans="1:22" ht="4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P1" s="160" t="s">
        <v>2067</v>
      </c>
      <c r="Q1" s="161" t="s">
        <v>2068</v>
      </c>
      <c r="R1" s="160" t="s">
        <v>2064</v>
      </c>
      <c r="S1" s="160" t="s">
        <v>2069</v>
      </c>
      <c r="T1" s="160" t="s">
        <v>2065</v>
      </c>
      <c r="U1" s="160" t="s">
        <v>2066</v>
      </c>
      <c r="V1"/>
    </row>
    <row r="2" spans="1:22" ht="15.75" customHeight="1" x14ac:dyDescent="0.3">
      <c r="A2" s="21">
        <f>IF(Table_246[[#This Row],[Data]]="","",MONTH(Table_246[[#This Row],[Data]]))</f>
        <v>1</v>
      </c>
      <c r="B2" s="25">
        <v>46024</v>
      </c>
      <c r="C2" s="84" t="s">
        <v>980</v>
      </c>
      <c r="D2" s="36">
        <v>1</v>
      </c>
      <c r="E2" s="41" t="s">
        <v>737</v>
      </c>
      <c r="F2" s="42">
        <v>12</v>
      </c>
      <c r="G2" s="9">
        <f>Table_246[[#This Row],[QT]]*Table_246[[#This Row],[Custo 
Un]]</f>
        <v>12</v>
      </c>
      <c r="H2" s="45">
        <v>30</v>
      </c>
      <c r="I2" s="9">
        <f>H2*D2</f>
        <v>30</v>
      </c>
      <c r="J2" s="41" t="s">
        <v>545</v>
      </c>
      <c r="K2" s="43">
        <f>Table_246[[#This Row],[Valor da 
venda]]-Table_246[[#This Row],[Valor gasto]]</f>
        <v>18</v>
      </c>
      <c r="L2" s="45" t="s">
        <v>15</v>
      </c>
      <c r="O2">
        <v>600</v>
      </c>
      <c r="P2" s="160">
        <v>725</v>
      </c>
      <c r="Q2" s="162">
        <v>0.25</v>
      </c>
      <c r="R2" s="160">
        <f>P2-(P2*Q2)-4</f>
        <v>539.75</v>
      </c>
      <c r="S2" s="160">
        <f>P2*25%</f>
        <v>181.25</v>
      </c>
      <c r="T2" s="160">
        <v>490</v>
      </c>
      <c r="U2" s="160">
        <f>R2-T2</f>
        <v>49.75</v>
      </c>
      <c r="V2"/>
    </row>
    <row r="3" spans="1:22" ht="15.75" customHeight="1" x14ac:dyDescent="0.3">
      <c r="A3" s="21">
        <f>IF(Table_246[[#This Row],[Data]]="","",MONTH(Table_246[[#This Row],[Data]]))</f>
        <v>1</v>
      </c>
      <c r="B3" s="25">
        <v>46027</v>
      </c>
      <c r="C3" s="84" t="s">
        <v>90</v>
      </c>
      <c r="D3" s="36">
        <v>1</v>
      </c>
      <c r="E3" s="41" t="s">
        <v>982</v>
      </c>
      <c r="F3" s="42" t="str">
        <f>IFERROR(VLOOKUP(C3,#REF!,5,0),"0")</f>
        <v>0</v>
      </c>
      <c r="G3" s="9">
        <f>Table_246[[#This Row],[QT]]*Table_246[[#This Row],[Custo 
Un]]</f>
        <v>0</v>
      </c>
      <c r="H3" s="45">
        <v>15</v>
      </c>
      <c r="I3" s="9">
        <f>H3*D3</f>
        <v>15</v>
      </c>
      <c r="J3" s="41" t="s">
        <v>545</v>
      </c>
      <c r="K3" s="43">
        <f>Table_246[[#This Row],[Valor da 
venda]]-Table_246[[#This Row],[Valor gasto]]</f>
        <v>15</v>
      </c>
      <c r="L3" s="45" t="s">
        <v>15</v>
      </c>
      <c r="O3">
        <v>800</v>
      </c>
      <c r="P3" s="160">
        <v>830</v>
      </c>
      <c r="Q3" s="162">
        <v>0.25</v>
      </c>
      <c r="R3" s="160">
        <f t="shared" ref="R3:R14" si="0">P3-(P3*Q3)-4</f>
        <v>618.5</v>
      </c>
      <c r="S3" s="160">
        <f t="shared" ref="S3:S14" si="1">P3*25%</f>
        <v>207.5</v>
      </c>
      <c r="T3" s="160">
        <v>550</v>
      </c>
      <c r="U3" s="160">
        <f t="shared" ref="U3:U14" si="2">R3-T3</f>
        <v>68.5</v>
      </c>
      <c r="V3"/>
    </row>
    <row r="4" spans="1:22" ht="15.75" customHeight="1" x14ac:dyDescent="0.3">
      <c r="A4" s="21">
        <f>IF(Table_246[[#This Row],[Data]]="","",MONTH(Table_246[[#This Row],[Data]]))</f>
        <v>1</v>
      </c>
      <c r="B4" s="25">
        <v>46027</v>
      </c>
      <c r="C4" s="84" t="s">
        <v>983</v>
      </c>
      <c r="D4" s="36">
        <v>2</v>
      </c>
      <c r="E4" s="41" t="s">
        <v>984</v>
      </c>
      <c r="F4" s="42">
        <v>7.5</v>
      </c>
      <c r="G4" s="9">
        <f>Table_246[[#This Row],[QT]]*Table_246[[#This Row],[Custo 
Un]]</f>
        <v>15</v>
      </c>
      <c r="H4" s="45">
        <v>28.1</v>
      </c>
      <c r="I4" s="9">
        <f>H4*D4</f>
        <v>56.2</v>
      </c>
      <c r="J4" s="41" t="s">
        <v>17</v>
      </c>
      <c r="K4" s="43">
        <f>Table_246[[#This Row],[Valor da 
venda]]-Table_246[[#This Row],[Valor gasto]]</f>
        <v>41.2</v>
      </c>
      <c r="L4" s="45" t="s">
        <v>15</v>
      </c>
      <c r="O4">
        <v>900</v>
      </c>
      <c r="P4" s="160">
        <v>800</v>
      </c>
      <c r="Q4" s="162">
        <v>0.25</v>
      </c>
      <c r="R4" s="160">
        <f t="shared" si="0"/>
        <v>596</v>
      </c>
      <c r="S4" s="160">
        <f t="shared" si="1"/>
        <v>200</v>
      </c>
      <c r="T4" s="160">
        <v>510</v>
      </c>
      <c r="U4" s="160">
        <f t="shared" si="2"/>
        <v>86</v>
      </c>
      <c r="V4"/>
    </row>
    <row r="5" spans="1:22" ht="15.75" customHeight="1" x14ac:dyDescent="0.3">
      <c r="A5" s="21">
        <f>IF(Table_246[[#This Row],[Data]]="","",MONTH(Table_246[[#This Row],[Data]]))</f>
        <v>1</v>
      </c>
      <c r="B5" s="25">
        <v>46027</v>
      </c>
      <c r="C5" s="84" t="s">
        <v>985</v>
      </c>
      <c r="D5" s="36">
        <v>1</v>
      </c>
      <c r="E5" s="41" t="s">
        <v>986</v>
      </c>
      <c r="F5" s="42">
        <v>15</v>
      </c>
      <c r="G5" s="9">
        <f>Table_246[[#This Row],[QT]]*Table_246[[#This Row],[Custo 
Un]]</f>
        <v>15</v>
      </c>
      <c r="H5" s="45">
        <v>41.6</v>
      </c>
      <c r="I5" s="9">
        <f>H5*D5</f>
        <v>41.6</v>
      </c>
      <c r="J5" s="41" t="s">
        <v>17</v>
      </c>
      <c r="K5" s="43">
        <f>Table_246[[#This Row],[Valor da 
venda]]-Table_246[[#This Row],[Valor gasto]]</f>
        <v>26.6</v>
      </c>
      <c r="L5" s="45" t="s">
        <v>15</v>
      </c>
      <c r="O5">
        <v>1000</v>
      </c>
      <c r="P5" s="160">
        <v>1000</v>
      </c>
      <c r="Q5" s="162">
        <v>0.25</v>
      </c>
      <c r="R5" s="160">
        <f t="shared" si="0"/>
        <v>746</v>
      </c>
      <c r="S5" s="160">
        <f>P5*25%</f>
        <v>250</v>
      </c>
      <c r="T5" s="160">
        <v>700</v>
      </c>
      <c r="U5" s="160">
        <f t="shared" si="2"/>
        <v>46</v>
      </c>
      <c r="V5"/>
    </row>
    <row r="6" spans="1:22" ht="15.75" customHeight="1" x14ac:dyDescent="0.3">
      <c r="A6" s="21">
        <f>IF(Table_246[[#This Row],[Data]]="","",MONTH(Table_246[[#This Row],[Data]]))</f>
        <v>1</v>
      </c>
      <c r="B6" s="25">
        <v>46027</v>
      </c>
      <c r="C6" s="84" t="s">
        <v>987</v>
      </c>
      <c r="D6" s="36">
        <v>1</v>
      </c>
      <c r="E6" s="41" t="s">
        <v>988</v>
      </c>
      <c r="F6" s="42">
        <v>12</v>
      </c>
      <c r="G6" s="9">
        <f>Table_246[[#This Row],[QT]]*Table_246[[#This Row],[Custo 
Un]]</f>
        <v>12</v>
      </c>
      <c r="H6" s="45">
        <v>14.99</v>
      </c>
      <c r="I6" s="9">
        <f>H6*D6</f>
        <v>14.99</v>
      </c>
      <c r="J6" s="41" t="s">
        <v>17</v>
      </c>
      <c r="K6" s="43">
        <f>Table_246[[#This Row],[Valor da 
venda]]-Table_246[[#This Row],[Valor gasto]]</f>
        <v>2.99</v>
      </c>
      <c r="L6" s="45" t="s">
        <v>15</v>
      </c>
      <c r="P6" s="160">
        <v>36</v>
      </c>
      <c r="Q6" s="162">
        <v>0.25</v>
      </c>
      <c r="R6" s="160">
        <f t="shared" si="0"/>
        <v>23</v>
      </c>
      <c r="S6" s="160">
        <f t="shared" si="1"/>
        <v>9</v>
      </c>
      <c r="U6" s="160">
        <f t="shared" si="2"/>
        <v>23</v>
      </c>
      <c r="V6"/>
    </row>
    <row r="7" spans="1:22" ht="15.75" customHeight="1" x14ac:dyDescent="0.3">
      <c r="A7" s="21">
        <f>IF(Table_246[[#This Row],[Data]]="","",MONTH(Table_246[[#This Row],[Data]]))</f>
        <v>1</v>
      </c>
      <c r="B7" s="25">
        <v>46027</v>
      </c>
      <c r="C7" s="84" t="s">
        <v>987</v>
      </c>
      <c r="D7" s="36">
        <v>1</v>
      </c>
      <c r="E7" s="41" t="s">
        <v>989</v>
      </c>
      <c r="F7" s="42">
        <v>12</v>
      </c>
      <c r="G7" s="9">
        <f>Table_246[[#This Row],[QT]]*Table_246[[#This Row],[Custo 
Un]]</f>
        <v>12</v>
      </c>
      <c r="H7" s="45">
        <v>14.99</v>
      </c>
      <c r="I7" s="9">
        <f>H7*D7</f>
        <v>14.99</v>
      </c>
      <c r="J7" s="41" t="s">
        <v>17</v>
      </c>
      <c r="K7" s="43">
        <f>Table_246[[#This Row],[Valor da 
venda]]-Table_246[[#This Row],[Valor gasto]]</f>
        <v>2.99</v>
      </c>
      <c r="L7" s="45" t="s">
        <v>15</v>
      </c>
      <c r="O7">
        <v>520</v>
      </c>
      <c r="P7" s="160">
        <v>520</v>
      </c>
      <c r="Q7" s="162">
        <v>0.23</v>
      </c>
      <c r="R7" s="160">
        <f t="shared" si="0"/>
        <v>396.4</v>
      </c>
      <c r="S7" s="160">
        <f t="shared" si="1"/>
        <v>130</v>
      </c>
      <c r="T7" s="160">
        <v>350</v>
      </c>
      <c r="U7" s="160">
        <f t="shared" si="2"/>
        <v>46.399999999999977</v>
      </c>
      <c r="V7"/>
    </row>
    <row r="8" spans="1:22" ht="15.75" customHeight="1" x14ac:dyDescent="0.3">
      <c r="A8" s="21">
        <f>IF(Table_246[[#This Row],[Data]]="","",MONTH(Table_246[[#This Row],[Data]]))</f>
        <v>1</v>
      </c>
      <c r="B8" s="25">
        <v>46027</v>
      </c>
      <c r="C8" s="84" t="s">
        <v>990</v>
      </c>
      <c r="D8" s="36">
        <v>1</v>
      </c>
      <c r="E8" s="41" t="s">
        <v>991</v>
      </c>
      <c r="F8" s="42">
        <v>19</v>
      </c>
      <c r="G8" s="9">
        <f>Table_246[[#This Row],[QT]]*Table_246[[#This Row],[Custo 
Un]]</f>
        <v>19</v>
      </c>
      <c r="H8" s="45">
        <v>34.75</v>
      </c>
      <c r="I8" s="9">
        <f>H8*D8</f>
        <v>34.75</v>
      </c>
      <c r="J8" s="41" t="s">
        <v>17</v>
      </c>
      <c r="K8" s="43">
        <f>Table_246[[#This Row],[Valor da 
venda]]-Table_246[[#This Row],[Valor gasto]]</f>
        <v>15.75</v>
      </c>
      <c r="L8" s="45" t="s">
        <v>15</v>
      </c>
      <c r="P8" s="160">
        <v>820</v>
      </c>
      <c r="Q8" s="162">
        <v>0.21</v>
      </c>
      <c r="R8" s="160">
        <f t="shared" si="0"/>
        <v>643.79999999999995</v>
      </c>
      <c r="S8" s="160">
        <f t="shared" si="1"/>
        <v>205</v>
      </c>
      <c r="T8" s="160">
        <v>550</v>
      </c>
      <c r="U8" s="160">
        <f t="shared" si="2"/>
        <v>93.799999999999955</v>
      </c>
      <c r="V8"/>
    </row>
    <row r="9" spans="1:22" ht="15.75" customHeight="1" x14ac:dyDescent="0.3">
      <c r="A9" s="21">
        <f>IF(Table_246[[#This Row],[Data]]="","",MONTH(Table_246[[#This Row],[Data]]))</f>
        <v>1</v>
      </c>
      <c r="B9" s="25">
        <v>46027</v>
      </c>
      <c r="C9" s="84" t="s">
        <v>90</v>
      </c>
      <c r="D9" s="36">
        <v>1</v>
      </c>
      <c r="E9" s="41" t="s">
        <v>982</v>
      </c>
      <c r="F9" s="42">
        <v>6</v>
      </c>
      <c r="G9" s="9">
        <f>Table_246[[#This Row],[QT]]*Table_246[[#This Row],[Custo 
Un]]</f>
        <v>6</v>
      </c>
      <c r="H9" s="45">
        <v>15</v>
      </c>
      <c r="I9" s="9">
        <f>H9*D9</f>
        <v>15</v>
      </c>
      <c r="J9" s="41" t="s">
        <v>545</v>
      </c>
      <c r="K9" s="43">
        <f>Table_246[[#This Row],[Valor da 
venda]]-Table_246[[#This Row],[Valor gasto]]</f>
        <v>9</v>
      </c>
      <c r="L9" s="45" t="s">
        <v>15</v>
      </c>
      <c r="O9" t="s">
        <v>2071</v>
      </c>
      <c r="P9" s="160">
        <v>800</v>
      </c>
      <c r="Q9" s="162">
        <v>0.23</v>
      </c>
      <c r="R9" s="160">
        <f t="shared" si="0"/>
        <v>612</v>
      </c>
      <c r="S9" s="160">
        <f t="shared" si="1"/>
        <v>200</v>
      </c>
      <c r="T9" s="160">
        <v>570</v>
      </c>
      <c r="U9" s="160">
        <f t="shared" si="2"/>
        <v>42</v>
      </c>
      <c r="V9"/>
    </row>
    <row r="10" spans="1:22" ht="15.75" customHeight="1" x14ac:dyDescent="0.3">
      <c r="A10" s="21">
        <f>IF(Table_246[[#This Row],[Data]]="","",MONTH(Table_246[[#This Row],[Data]]))</f>
        <v>1</v>
      </c>
      <c r="B10" s="25">
        <v>46028</v>
      </c>
      <c r="C10" s="84" t="s">
        <v>90</v>
      </c>
      <c r="D10" s="36">
        <v>1</v>
      </c>
      <c r="E10" s="41" t="s">
        <v>992</v>
      </c>
      <c r="F10" s="42" t="str">
        <f>IFERROR(VLOOKUP(C10,#REF!,5,0),"0")</f>
        <v>0</v>
      </c>
      <c r="G10" s="9">
        <f>Table_246[[#This Row],[QT]]*Table_246[[#This Row],[Custo 
Un]]</f>
        <v>0</v>
      </c>
      <c r="H10" s="45">
        <v>15</v>
      </c>
      <c r="I10" s="9">
        <f>H10*D10</f>
        <v>15</v>
      </c>
      <c r="J10" s="41" t="s">
        <v>545</v>
      </c>
      <c r="K10" s="43">
        <f>Table_246[[#This Row],[Valor da 
venda]]-Table_246[[#This Row],[Valor gasto]]</f>
        <v>15</v>
      </c>
      <c r="L10" s="45" t="s">
        <v>15</v>
      </c>
      <c r="P10" s="160">
        <v>10</v>
      </c>
      <c r="Q10" s="162">
        <v>0.23</v>
      </c>
      <c r="R10" s="160">
        <f t="shared" si="0"/>
        <v>3.6999999999999993</v>
      </c>
      <c r="S10" s="160">
        <f t="shared" si="1"/>
        <v>2.5</v>
      </c>
      <c r="U10" s="160">
        <f t="shared" si="2"/>
        <v>3.6999999999999993</v>
      </c>
      <c r="V10"/>
    </row>
    <row r="11" spans="1:22" ht="15.75" customHeight="1" x14ac:dyDescent="0.3">
      <c r="A11" s="21">
        <f>IF(Table_246[[#This Row],[Data]]="","",MONTH(Table_246[[#This Row],[Data]]))</f>
        <v>1</v>
      </c>
      <c r="B11" s="25">
        <v>46028</v>
      </c>
      <c r="C11" s="84" t="s">
        <v>993</v>
      </c>
      <c r="D11" s="36">
        <v>1</v>
      </c>
      <c r="E11" s="41" t="s">
        <v>994</v>
      </c>
      <c r="F11" s="42" t="str">
        <f>IFERROR(VLOOKUP(C11,#REF!,5,0),"0")</f>
        <v>0</v>
      </c>
      <c r="G11" s="9">
        <f>Table_246[[#This Row],[QT]]*Table_246[[#This Row],[Custo 
Un]]</f>
        <v>0</v>
      </c>
      <c r="H11" s="45">
        <v>100</v>
      </c>
      <c r="I11" s="9">
        <f>H11*D11</f>
        <v>100</v>
      </c>
      <c r="J11" s="41" t="s">
        <v>545</v>
      </c>
      <c r="K11" s="43">
        <f>Table_246[[#This Row],[Valor da 
venda]]-Table_246[[#This Row],[Valor gasto]]</f>
        <v>100</v>
      </c>
      <c r="L11" s="45" t="s">
        <v>15</v>
      </c>
      <c r="P11" s="160">
        <v>12</v>
      </c>
      <c r="Q11" s="162">
        <v>0.23</v>
      </c>
      <c r="R11" s="160">
        <f t="shared" si="0"/>
        <v>5.24</v>
      </c>
      <c r="S11" s="160">
        <f t="shared" si="1"/>
        <v>3</v>
      </c>
      <c r="U11" s="160">
        <f t="shared" si="2"/>
        <v>5.24</v>
      </c>
      <c r="V11"/>
    </row>
    <row r="12" spans="1:22" ht="15.75" customHeight="1" x14ac:dyDescent="0.3">
      <c r="A12" s="21">
        <f>IF(Table_246[[#This Row],[Data]]="","",MONTH(Table_246[[#This Row],[Data]]))</f>
        <v>1</v>
      </c>
      <c r="B12" s="25">
        <v>46029</v>
      </c>
      <c r="C12" s="84" t="s">
        <v>995</v>
      </c>
      <c r="D12" s="36">
        <v>1</v>
      </c>
      <c r="E12" s="41" t="s">
        <v>996</v>
      </c>
      <c r="F12" s="42" t="str">
        <f>IFERROR(VLOOKUP(C12,#REF!,5,0),"0")</f>
        <v>0</v>
      </c>
      <c r="G12" s="9">
        <f>Table_246[[#This Row],[QT]]*Table_246[[#This Row],[Custo 
Un]]</f>
        <v>0</v>
      </c>
      <c r="H12" s="45">
        <v>15</v>
      </c>
      <c r="I12" s="9">
        <f>H12*D12</f>
        <v>15</v>
      </c>
      <c r="J12" s="41" t="s">
        <v>545</v>
      </c>
      <c r="K12" s="43">
        <f>Table_246[[#This Row],[Valor da 
venda]]-Table_246[[#This Row],[Valor gasto]]</f>
        <v>15</v>
      </c>
      <c r="L12" s="45" t="s">
        <v>15</v>
      </c>
      <c r="P12" s="160">
        <v>20</v>
      </c>
      <c r="Q12" s="162">
        <v>0.23</v>
      </c>
      <c r="R12" s="160">
        <f t="shared" si="0"/>
        <v>11.399999999999999</v>
      </c>
      <c r="S12" s="160">
        <f t="shared" si="1"/>
        <v>5</v>
      </c>
      <c r="U12" s="160">
        <f t="shared" si="2"/>
        <v>11.399999999999999</v>
      </c>
      <c r="V12"/>
    </row>
    <row r="13" spans="1:22" ht="15.75" customHeight="1" x14ac:dyDescent="0.3">
      <c r="A13" s="21">
        <f>IF(Table_246[[#This Row],[Data]]="","",MONTH(Table_246[[#This Row],[Data]]))</f>
        <v>1</v>
      </c>
      <c r="B13" s="25">
        <v>46029</v>
      </c>
      <c r="C13" s="84" t="s">
        <v>997</v>
      </c>
      <c r="D13" s="36">
        <v>1</v>
      </c>
      <c r="E13" s="41" t="s">
        <v>996</v>
      </c>
      <c r="F13" s="42">
        <v>11</v>
      </c>
      <c r="G13" s="9">
        <f>Table_246[[#This Row],[QT]]*Table_246[[#This Row],[Custo 
Un]]</f>
        <v>11</v>
      </c>
      <c r="H13" s="45">
        <v>20</v>
      </c>
      <c r="I13" s="9">
        <f>H13*D13</f>
        <v>20</v>
      </c>
      <c r="J13" s="41" t="s">
        <v>545</v>
      </c>
      <c r="K13" s="43">
        <f>Table_246[[#This Row],[Valor da 
venda]]-Table_246[[#This Row],[Valor gasto]]</f>
        <v>9</v>
      </c>
      <c r="L13" s="45" t="s">
        <v>15</v>
      </c>
      <c r="P13" s="160"/>
      <c r="Q13" s="162">
        <v>0.23</v>
      </c>
      <c r="R13" s="160">
        <f t="shared" si="0"/>
        <v>-4</v>
      </c>
      <c r="S13" s="160">
        <f t="shared" si="1"/>
        <v>0</v>
      </c>
      <c r="U13" s="160">
        <f t="shared" si="2"/>
        <v>-4</v>
      </c>
      <c r="V13"/>
    </row>
    <row r="14" spans="1:22" ht="15.75" customHeight="1" x14ac:dyDescent="0.3">
      <c r="A14" s="21">
        <f>IF(Table_246[[#This Row],[Data]]="","",MONTH(Table_246[[#This Row],[Data]]))</f>
        <v>1</v>
      </c>
      <c r="B14" s="25">
        <v>46034</v>
      </c>
      <c r="C14" s="84" t="s">
        <v>139</v>
      </c>
      <c r="D14" s="36">
        <v>1</v>
      </c>
      <c r="E14" s="41" t="s">
        <v>51</v>
      </c>
      <c r="F14" s="42" t="str">
        <f>IFERROR(VLOOKUP(C14,#REF!,5,0),"0")</f>
        <v>0</v>
      </c>
      <c r="G14" s="9">
        <f>Table_246[[#This Row],[QT]]*Table_246[[#This Row],[Custo 
Un]]</f>
        <v>0</v>
      </c>
      <c r="H14" s="45">
        <v>1</v>
      </c>
      <c r="I14" s="9">
        <f>H14*D14</f>
        <v>1</v>
      </c>
      <c r="J14" s="41" t="s">
        <v>545</v>
      </c>
      <c r="K14" s="43">
        <f>Table_246[[#This Row],[Valor da 
venda]]-Table_246[[#This Row],[Valor gasto]]</f>
        <v>1</v>
      </c>
      <c r="L14" s="45" t="s">
        <v>15</v>
      </c>
      <c r="P14" s="160"/>
      <c r="Q14" s="162">
        <v>0.23</v>
      </c>
      <c r="R14" s="160">
        <f t="shared" si="0"/>
        <v>-4</v>
      </c>
      <c r="S14" s="160">
        <f t="shared" si="1"/>
        <v>0</v>
      </c>
      <c r="U14" s="160">
        <f t="shared" si="2"/>
        <v>-4</v>
      </c>
      <c r="V14"/>
    </row>
    <row r="15" spans="1:22" ht="15.75" customHeight="1" x14ac:dyDescent="0.3">
      <c r="A15" s="21">
        <f>IF(Table_246[[#This Row],[Data]]="","",MONTH(Table_246[[#This Row],[Data]]))</f>
        <v>1</v>
      </c>
      <c r="B15" s="25">
        <v>46034</v>
      </c>
      <c r="C15" s="84" t="s">
        <v>998</v>
      </c>
      <c r="D15" s="36">
        <v>1</v>
      </c>
      <c r="E15" s="41" t="s">
        <v>391</v>
      </c>
      <c r="F15" s="42" t="str">
        <f>IFERROR(VLOOKUP(C15,#REF!,5,0),"0")</f>
        <v>0</v>
      </c>
      <c r="G15" s="9">
        <f>Table_246[[#This Row],[QT]]*Table_246[[#This Row],[Custo 
Un]]</f>
        <v>0</v>
      </c>
      <c r="H15" s="45">
        <v>7</v>
      </c>
      <c r="I15" s="9">
        <f>H15*D15</f>
        <v>7</v>
      </c>
      <c r="J15" s="41" t="s">
        <v>545</v>
      </c>
      <c r="K15" s="43">
        <f>Table_246[[#This Row],[Valor da 
venda]]-Table_246[[#This Row],[Valor gasto]]</f>
        <v>7</v>
      </c>
      <c r="L15" s="45" t="s">
        <v>15</v>
      </c>
      <c r="P15" s="160"/>
      <c r="Q15"/>
      <c r="R15" s="160"/>
      <c r="V15"/>
    </row>
    <row r="16" spans="1:22" ht="15.75" customHeight="1" x14ac:dyDescent="0.3">
      <c r="A16" s="21">
        <f>IF(Table_246[[#This Row],[Data]]="","",MONTH(Table_246[[#This Row],[Data]]))</f>
        <v>1</v>
      </c>
      <c r="B16" s="25">
        <v>46034</v>
      </c>
      <c r="C16" s="84" t="s">
        <v>999</v>
      </c>
      <c r="D16" s="36">
        <v>1</v>
      </c>
      <c r="E16" s="41" t="s">
        <v>763</v>
      </c>
      <c r="F16" s="42">
        <v>5</v>
      </c>
      <c r="G16" s="9">
        <f>Table_246[[#This Row],[QT]]*Table_246[[#This Row],[Custo 
Un]]</f>
        <v>5</v>
      </c>
      <c r="H16" s="45">
        <v>10</v>
      </c>
      <c r="I16" s="9">
        <f>H16*D16</f>
        <v>10</v>
      </c>
      <c r="J16" s="41" t="s">
        <v>545</v>
      </c>
      <c r="K16" s="43">
        <f>Table_246[[#This Row],[Valor da 
venda]]-Table_246[[#This Row],[Valor gasto]]</f>
        <v>5</v>
      </c>
      <c r="L16" s="45" t="s">
        <v>15</v>
      </c>
      <c r="P16" s="160"/>
      <c r="Q16"/>
      <c r="R16" s="160"/>
      <c r="V16"/>
    </row>
    <row r="17" spans="1:22" ht="15.75" customHeight="1" x14ac:dyDescent="0.3">
      <c r="A17" s="21">
        <f>IF(Table_246[[#This Row],[Data]]="","",MONTH(Table_246[[#This Row],[Data]]))</f>
        <v>1</v>
      </c>
      <c r="B17" s="25">
        <v>46034</v>
      </c>
      <c r="C17" s="84" t="s">
        <v>139</v>
      </c>
      <c r="D17" s="36">
        <v>4</v>
      </c>
      <c r="E17" s="41" t="s">
        <v>996</v>
      </c>
      <c r="F17" s="42" t="str">
        <f>IFERROR(VLOOKUP(C17,#REF!,5,0),"0")</f>
        <v>0</v>
      </c>
      <c r="G17" s="9">
        <f>Table_246[[#This Row],[QT]]*Table_246[[#This Row],[Custo 
Un]]</f>
        <v>0</v>
      </c>
      <c r="H17" s="45">
        <v>1</v>
      </c>
      <c r="I17" s="9">
        <f>H17*D17</f>
        <v>4</v>
      </c>
      <c r="J17" s="41" t="s">
        <v>545</v>
      </c>
      <c r="K17" s="43">
        <f>Table_246[[#This Row],[Valor da 
venda]]-Table_246[[#This Row],[Valor gasto]]</f>
        <v>4</v>
      </c>
      <c r="L17" s="45" t="s">
        <v>15</v>
      </c>
      <c r="P17" s="160"/>
      <c r="Q17"/>
      <c r="R17" s="163"/>
      <c r="V17"/>
    </row>
    <row r="18" spans="1:22" ht="15.75" customHeight="1" x14ac:dyDescent="0.3">
      <c r="A18" s="21">
        <f>IF(Table_246[[#This Row],[Data]]="","",MONTH(Table_246[[#This Row],[Data]]))</f>
        <v>1</v>
      </c>
      <c r="B18" s="25">
        <v>46034</v>
      </c>
      <c r="C18" s="84" t="s">
        <v>1000</v>
      </c>
      <c r="D18" s="36">
        <v>2</v>
      </c>
      <c r="E18" s="41" t="s">
        <v>1001</v>
      </c>
      <c r="F18" s="42">
        <v>7.5</v>
      </c>
      <c r="G18" s="9">
        <f>Table_246[[#This Row],[QT]]*Table_246[[#This Row],[Custo 
Un]]</f>
        <v>15</v>
      </c>
      <c r="H18" s="45">
        <v>14.05</v>
      </c>
      <c r="I18" s="9">
        <f>H18*D18</f>
        <v>28.1</v>
      </c>
      <c r="J18" s="41" t="s">
        <v>17</v>
      </c>
      <c r="K18" s="43">
        <f>Table_246[[#This Row],[Valor da 
venda]]-Table_246[[#This Row],[Valor gasto]]</f>
        <v>13.100000000000001</v>
      </c>
      <c r="L18" s="45" t="s">
        <v>15</v>
      </c>
      <c r="P18" s="160"/>
      <c r="Q18"/>
      <c r="R18" s="160"/>
      <c r="V18"/>
    </row>
    <row r="19" spans="1:22" ht="15.75" customHeight="1" x14ac:dyDescent="0.3">
      <c r="A19" s="21">
        <f>IF(Table_246[[#This Row],[Data]]="","",MONTH(Table_246[[#This Row],[Data]]))</f>
        <v>1</v>
      </c>
      <c r="B19" s="25">
        <v>46034</v>
      </c>
      <c r="C19" s="84" t="s">
        <v>1002</v>
      </c>
      <c r="D19" s="36">
        <v>1</v>
      </c>
      <c r="E19" s="41" t="s">
        <v>1003</v>
      </c>
      <c r="F19" s="42" t="str">
        <f>IFERROR(VLOOKUP(C19,#REF!,5,0),"0")</f>
        <v>0</v>
      </c>
      <c r="G19" s="9">
        <f>Table_246[[#This Row],[QT]]*Table_246[[#This Row],[Custo 
Un]]</f>
        <v>0</v>
      </c>
      <c r="H19" s="45">
        <v>100.32</v>
      </c>
      <c r="I19" s="9">
        <f>H19*D19</f>
        <v>100.32</v>
      </c>
      <c r="J19" s="41" t="s">
        <v>1004</v>
      </c>
      <c r="K19" s="43">
        <f>Table_246[[#This Row],[Valor da 
venda]]-Table_246[[#This Row],[Valor gasto]]</f>
        <v>100.32</v>
      </c>
      <c r="L19" s="45" t="s">
        <v>15</v>
      </c>
      <c r="P19" s="160"/>
      <c r="Q19"/>
      <c r="R19" s="160"/>
      <c r="V19"/>
    </row>
    <row r="20" spans="1:22" ht="15.75" customHeight="1" x14ac:dyDescent="0.3">
      <c r="A20" s="21">
        <f>IF(Table_246[[#This Row],[Data]]="","",MONTH(Table_246[[#This Row],[Data]]))</f>
        <v>1</v>
      </c>
      <c r="B20" s="25">
        <v>46035</v>
      </c>
      <c r="C20" s="84" t="s">
        <v>139</v>
      </c>
      <c r="D20" s="36">
        <v>1</v>
      </c>
      <c r="E20" s="41" t="s">
        <v>763</v>
      </c>
      <c r="F20" s="42" t="str">
        <f>IFERROR(VLOOKUP(C20,#REF!,5,0),"0")</f>
        <v>0</v>
      </c>
      <c r="G20" s="9">
        <f>Table_246[[#This Row],[QT]]*Table_246[[#This Row],[Custo 
Un]]</f>
        <v>0</v>
      </c>
      <c r="H20" s="45">
        <v>1</v>
      </c>
      <c r="I20" s="9">
        <f>H20*D20</f>
        <v>1</v>
      </c>
      <c r="J20" s="41" t="s">
        <v>545</v>
      </c>
      <c r="K20" s="43">
        <f>Table_246[[#This Row],[Valor da 
venda]]-Table_246[[#This Row],[Valor gasto]]</f>
        <v>1</v>
      </c>
      <c r="L20" s="45" t="s">
        <v>15</v>
      </c>
      <c r="P20" s="160"/>
      <c r="Q20"/>
      <c r="R20" s="160"/>
      <c r="V20"/>
    </row>
    <row r="21" spans="1:22" ht="15.75" customHeight="1" x14ac:dyDescent="0.3">
      <c r="A21" s="21">
        <f>IF(Table_246[[#This Row],[Data]]="","",MONTH(Table_246[[#This Row],[Data]]))</f>
        <v>1</v>
      </c>
      <c r="B21" s="25">
        <v>46035</v>
      </c>
      <c r="C21" s="84" t="s">
        <v>139</v>
      </c>
      <c r="D21" s="36">
        <v>4</v>
      </c>
      <c r="E21" s="41" t="s">
        <v>906</v>
      </c>
      <c r="F21" s="42" t="str">
        <f>IFERROR(VLOOKUP(C21,#REF!,5,0),"0")</f>
        <v>0</v>
      </c>
      <c r="G21" s="9">
        <f>Table_246[[#This Row],[QT]]*Table_246[[#This Row],[Custo 
Un]]</f>
        <v>0</v>
      </c>
      <c r="H21" s="45">
        <v>1</v>
      </c>
      <c r="I21" s="9">
        <f>H21*D21</f>
        <v>4</v>
      </c>
      <c r="J21" s="41" t="s">
        <v>545</v>
      </c>
      <c r="K21" s="43">
        <f>Table_246[[#This Row],[Valor da 
venda]]-Table_246[[#This Row],[Valor gasto]]</f>
        <v>4</v>
      </c>
      <c r="L21" s="45" t="s">
        <v>15</v>
      </c>
      <c r="P21" s="160"/>
      <c r="Q21"/>
      <c r="R21" s="160"/>
      <c r="V21"/>
    </row>
    <row r="22" spans="1:22" ht="15.75" customHeight="1" x14ac:dyDescent="0.3">
      <c r="A22" s="21">
        <f>IF(Table_246[[#This Row],[Data]]="","",MONTH(Table_246[[#This Row],[Data]]))</f>
        <v>1</v>
      </c>
      <c r="B22" s="25">
        <v>46036</v>
      </c>
      <c r="C22" s="84" t="s">
        <v>1005</v>
      </c>
      <c r="D22" s="36">
        <v>1</v>
      </c>
      <c r="E22" s="41" t="s">
        <v>1006</v>
      </c>
      <c r="F22" s="42">
        <v>3</v>
      </c>
      <c r="G22" s="9">
        <f>Table_246[[#This Row],[QT]]*Table_246[[#This Row],[Custo 
Un]]</f>
        <v>3</v>
      </c>
      <c r="H22" s="45">
        <v>4.54</v>
      </c>
      <c r="I22" s="9">
        <f>H22*D22</f>
        <v>4.54</v>
      </c>
      <c r="J22" s="41" t="s">
        <v>17</v>
      </c>
      <c r="K22" s="43">
        <f>Table_246[[#This Row],[Valor da 
venda]]-Table_246[[#This Row],[Valor gasto]]</f>
        <v>1.54</v>
      </c>
      <c r="L22" s="45" t="s">
        <v>15</v>
      </c>
      <c r="P22" s="160"/>
      <c r="Q22"/>
      <c r="R22" s="160"/>
      <c r="V22"/>
    </row>
    <row r="23" spans="1:22" ht="15.75" customHeight="1" x14ac:dyDescent="0.3">
      <c r="A23" s="21">
        <f>IF(Table_246[[#This Row],[Data]]="","",MONTH(Table_246[[#This Row],[Data]]))</f>
        <v>1</v>
      </c>
      <c r="B23" s="25">
        <v>46036</v>
      </c>
      <c r="C23" s="84" t="s">
        <v>1007</v>
      </c>
      <c r="D23" s="36">
        <v>1</v>
      </c>
      <c r="E23" s="41" t="s">
        <v>1008</v>
      </c>
      <c r="F23" s="42">
        <v>25</v>
      </c>
      <c r="G23" s="9">
        <f>Table_246[[#This Row],[QT]]*Table_246[[#This Row],[Custo 
Un]]</f>
        <v>25</v>
      </c>
      <c r="H23" s="45">
        <v>52.99</v>
      </c>
      <c r="I23" s="9">
        <f>H23*D23</f>
        <v>52.99</v>
      </c>
      <c r="J23" s="41" t="s">
        <v>17</v>
      </c>
      <c r="K23" s="43">
        <f>Table_246[[#This Row],[Valor da 
venda]]-Table_246[[#This Row],[Valor gasto]]</f>
        <v>27.990000000000002</v>
      </c>
      <c r="L23" s="45" t="s">
        <v>15</v>
      </c>
      <c r="P23" s="160"/>
      <c r="Q23"/>
      <c r="R23" s="160"/>
      <c r="V23"/>
    </row>
    <row r="24" spans="1:22" ht="15.75" customHeight="1" x14ac:dyDescent="0.3">
      <c r="A24" s="21">
        <f>IF(Table_246[[#This Row],[Data]]="","",MONTH(Table_246[[#This Row],[Data]]))</f>
        <v>1</v>
      </c>
      <c r="B24" s="25">
        <v>46037</v>
      </c>
      <c r="C24" s="84" t="s">
        <v>90</v>
      </c>
      <c r="D24" s="36">
        <v>1</v>
      </c>
      <c r="E24" s="41" t="s">
        <v>996</v>
      </c>
      <c r="F24" s="42" t="str">
        <f>IFERROR(VLOOKUP(C24,#REF!,5,0),"0")</f>
        <v>0</v>
      </c>
      <c r="G24" s="9">
        <f>Table_246[[#This Row],[QT]]*Table_246[[#This Row],[Custo 
Un]]</f>
        <v>0</v>
      </c>
      <c r="H24" s="45">
        <v>10</v>
      </c>
      <c r="I24" s="9">
        <f>H24*D24</f>
        <v>10</v>
      </c>
      <c r="J24" s="41" t="s">
        <v>545</v>
      </c>
      <c r="K24" s="43">
        <f>Table_246[[#This Row],[Valor da 
venda]]-Table_246[[#This Row],[Valor gasto]]</f>
        <v>10</v>
      </c>
      <c r="L24" s="45" t="s">
        <v>15</v>
      </c>
      <c r="P24" s="160"/>
      <c r="Q24"/>
      <c r="R24" s="160"/>
      <c r="V24"/>
    </row>
    <row r="25" spans="1:22" ht="15.75" customHeight="1" x14ac:dyDescent="0.3">
      <c r="A25" s="21">
        <f>IF(Table_246[[#This Row],[Data]]="","",MONTH(Table_246[[#This Row],[Data]]))</f>
        <v>1</v>
      </c>
      <c r="B25" s="25">
        <v>46037</v>
      </c>
      <c r="C25" s="84" t="s">
        <v>1009</v>
      </c>
      <c r="D25" s="36">
        <v>2</v>
      </c>
      <c r="E25" s="41" t="s">
        <v>996</v>
      </c>
      <c r="F25" s="42" t="str">
        <f>IFERROR(VLOOKUP(C25,#REF!,5,0),"0")</f>
        <v>0</v>
      </c>
      <c r="G25" s="9">
        <f>Table_246[[#This Row],[QT]]*Table_246[[#This Row],[Custo 
Un]]</f>
        <v>0</v>
      </c>
      <c r="H25" s="45">
        <v>0.5</v>
      </c>
      <c r="I25" s="9">
        <f>H25*D25</f>
        <v>1</v>
      </c>
      <c r="J25" s="41" t="s">
        <v>545</v>
      </c>
      <c r="K25" s="43">
        <f>Table_246[[#This Row],[Valor da 
venda]]-Table_246[[#This Row],[Valor gasto]]</f>
        <v>1</v>
      </c>
      <c r="L25" s="45" t="s">
        <v>15</v>
      </c>
      <c r="P25" s="160"/>
      <c r="Q25"/>
      <c r="R25" s="160"/>
      <c r="V25"/>
    </row>
    <row r="26" spans="1:22" ht="15.75" customHeight="1" x14ac:dyDescent="0.3">
      <c r="A26" s="21">
        <f>IF(Table_246[[#This Row],[Data]]="","",MONTH(Table_246[[#This Row],[Data]]))</f>
        <v>1</v>
      </c>
      <c r="B26" s="25">
        <v>46037</v>
      </c>
      <c r="C26" s="84" t="s">
        <v>90</v>
      </c>
      <c r="D26" s="36">
        <v>1</v>
      </c>
      <c r="E26" s="41" t="s">
        <v>996</v>
      </c>
      <c r="F26" s="42" t="str">
        <f>IFERROR(VLOOKUP(C26,#REF!,5,0),"0")</f>
        <v>0</v>
      </c>
      <c r="G26" s="9">
        <f>Table_246[[#This Row],[QT]]*Table_246[[#This Row],[Custo 
Un]]</f>
        <v>0</v>
      </c>
      <c r="H26" s="45">
        <v>10</v>
      </c>
      <c r="I26" s="9">
        <f>H26*D26</f>
        <v>10</v>
      </c>
      <c r="J26" s="41" t="s">
        <v>545</v>
      </c>
      <c r="K26" s="43">
        <f>Table_246[[#This Row],[Valor da 
venda]]-Table_246[[#This Row],[Valor gasto]]</f>
        <v>10</v>
      </c>
      <c r="L26" s="45" t="s">
        <v>15</v>
      </c>
      <c r="P26" s="160"/>
      <c r="Q26"/>
      <c r="R26" s="160"/>
      <c r="V26"/>
    </row>
    <row r="27" spans="1:22" ht="15.75" customHeight="1" x14ac:dyDescent="0.3">
      <c r="A27" s="21">
        <f>IF(Table_246[[#This Row],[Data]]="","",MONTH(Table_246[[#This Row],[Data]]))</f>
        <v>1</v>
      </c>
      <c r="B27" s="25">
        <v>46038</v>
      </c>
      <c r="C27" s="84" t="s">
        <v>1010</v>
      </c>
      <c r="D27" s="36">
        <v>1</v>
      </c>
      <c r="E27" s="41" t="s">
        <v>996</v>
      </c>
      <c r="F27" s="42">
        <v>11</v>
      </c>
      <c r="G27" s="9">
        <f>Table_246[[#This Row],[QT]]*Table_246[[#This Row],[Custo 
Un]]</f>
        <v>11</v>
      </c>
      <c r="H27" s="45">
        <v>20</v>
      </c>
      <c r="I27" s="9">
        <f>H27*D27</f>
        <v>20</v>
      </c>
      <c r="J27" s="41" t="s">
        <v>545</v>
      </c>
      <c r="K27" s="43">
        <f>Table_246[[#This Row],[Valor da 
venda]]-Table_246[[#This Row],[Valor gasto]]</f>
        <v>9</v>
      </c>
      <c r="L27" s="45" t="s">
        <v>15</v>
      </c>
      <c r="P27" s="160"/>
      <c r="Q27"/>
      <c r="R27" s="160"/>
      <c r="V27"/>
    </row>
    <row r="28" spans="1:22" ht="15.75" customHeight="1" x14ac:dyDescent="0.3">
      <c r="A28" s="21">
        <f>IF(Table_246[[#This Row],[Data]]="","",MONTH(Table_246[[#This Row],[Data]]))</f>
        <v>1</v>
      </c>
      <c r="B28" s="25">
        <v>46038</v>
      </c>
      <c r="C28" s="84" t="s">
        <v>1011</v>
      </c>
      <c r="D28" s="36">
        <v>1</v>
      </c>
      <c r="E28" s="41" t="s">
        <v>805</v>
      </c>
      <c r="F28" s="42">
        <v>12</v>
      </c>
      <c r="G28" s="9">
        <f>Table_246[[#This Row],[QT]]*Table_246[[#This Row],[Custo 
Un]]</f>
        <v>12</v>
      </c>
      <c r="H28" s="45">
        <v>25</v>
      </c>
      <c r="I28" s="9">
        <f>H28*D28</f>
        <v>25</v>
      </c>
      <c r="J28" s="41" t="s">
        <v>545</v>
      </c>
      <c r="K28" s="43">
        <f>Table_246[[#This Row],[Valor da 
venda]]-Table_246[[#This Row],[Valor gasto]]</f>
        <v>13</v>
      </c>
      <c r="L28" s="45" t="s">
        <v>15</v>
      </c>
      <c r="P28" s="160"/>
      <c r="Q28"/>
      <c r="R28" s="160"/>
      <c r="V28"/>
    </row>
    <row r="29" spans="1:22" ht="15.75" customHeight="1" x14ac:dyDescent="0.3">
      <c r="A29" s="21">
        <f>IF(Table_246[[#This Row],[Data]]="","",MONTH(Table_246[[#This Row],[Data]]))</f>
        <v>1</v>
      </c>
      <c r="B29" s="25">
        <v>46041</v>
      </c>
      <c r="C29" s="84" t="s">
        <v>139</v>
      </c>
      <c r="D29" s="36">
        <v>2</v>
      </c>
      <c r="E29" s="41" t="s">
        <v>996</v>
      </c>
      <c r="F29" s="42" t="str">
        <f>IFERROR(VLOOKUP(C29,#REF!,5,0),"0")</f>
        <v>0</v>
      </c>
      <c r="G29" s="9">
        <f>Table_246[[#This Row],[QT]]*Table_246[[#This Row],[Custo 
Un]]</f>
        <v>0</v>
      </c>
      <c r="H29" s="45">
        <v>1</v>
      </c>
      <c r="I29" s="9">
        <f>H29*D29</f>
        <v>2</v>
      </c>
      <c r="J29" s="41" t="s">
        <v>545</v>
      </c>
      <c r="K29" s="43">
        <f>Table_246[[#This Row],[Valor da 
venda]]-Table_246[[#This Row],[Valor gasto]]</f>
        <v>2</v>
      </c>
      <c r="L29" s="45" t="s">
        <v>15</v>
      </c>
      <c r="P29" s="160"/>
      <c r="Q29"/>
      <c r="R29" s="160"/>
      <c r="V29"/>
    </row>
    <row r="30" spans="1:22" ht="15.75" customHeight="1" x14ac:dyDescent="0.3">
      <c r="A30" s="21">
        <f>IF(Table_246[[#This Row],[Data]]="","",MONTH(Table_246[[#This Row],[Data]]))</f>
        <v>1</v>
      </c>
      <c r="B30" s="25">
        <v>46041</v>
      </c>
      <c r="C30" s="84" t="s">
        <v>1012</v>
      </c>
      <c r="D30" s="36">
        <v>1</v>
      </c>
      <c r="E30" s="41" t="s">
        <v>996</v>
      </c>
      <c r="F30" s="42">
        <v>15</v>
      </c>
      <c r="G30" s="9">
        <f>Table_246[[#This Row],[QT]]*Table_246[[#This Row],[Custo 
Un]]</f>
        <v>15</v>
      </c>
      <c r="H30" s="45">
        <v>25</v>
      </c>
      <c r="I30" s="9">
        <f>H30*D30</f>
        <v>25</v>
      </c>
      <c r="J30" s="41" t="s">
        <v>545</v>
      </c>
      <c r="K30" s="43">
        <f>Table_246[[#This Row],[Valor da 
venda]]-Table_246[[#This Row],[Valor gasto]]</f>
        <v>10</v>
      </c>
      <c r="L30" s="45" t="s">
        <v>15</v>
      </c>
      <c r="P30" s="160"/>
      <c r="Q30"/>
      <c r="R30" s="160"/>
      <c r="V30"/>
    </row>
    <row r="31" spans="1:22" ht="15.75" customHeight="1" x14ac:dyDescent="0.3">
      <c r="A31" s="21">
        <f>IF(Table_246[[#This Row],[Data]]="","",MONTH(Table_246[[#This Row],[Data]]))</f>
        <v>1</v>
      </c>
      <c r="B31" s="25">
        <v>46041</v>
      </c>
      <c r="C31" s="84" t="s">
        <v>1013</v>
      </c>
      <c r="D31" s="36">
        <v>1</v>
      </c>
      <c r="E31" s="41" t="s">
        <v>996</v>
      </c>
      <c r="F31" s="42">
        <v>2.5</v>
      </c>
      <c r="G31" s="9">
        <f>Table_246[[#This Row],[QT]]*Table_246[[#This Row],[Custo 
Un]]</f>
        <v>2.5</v>
      </c>
      <c r="H31" s="45">
        <v>5</v>
      </c>
      <c r="I31" s="9">
        <f>H31*D31</f>
        <v>5</v>
      </c>
      <c r="J31" s="41" t="s">
        <v>545</v>
      </c>
      <c r="K31" s="43">
        <f>Table_246[[#This Row],[Valor da 
venda]]-Table_246[[#This Row],[Valor gasto]]</f>
        <v>2.5</v>
      </c>
      <c r="L31" s="45" t="s">
        <v>15</v>
      </c>
      <c r="P31" s="160"/>
      <c r="Q31"/>
      <c r="R31" s="160"/>
      <c r="V31"/>
    </row>
    <row r="32" spans="1:22" ht="15.75" customHeight="1" x14ac:dyDescent="0.3">
      <c r="A32" s="21">
        <f>IF(Table_246[[#This Row],[Data]]="","",MONTH(Table_246[[#This Row],[Data]]))</f>
        <v>1</v>
      </c>
      <c r="B32" s="25">
        <v>46041</v>
      </c>
      <c r="C32" s="84" t="s">
        <v>267</v>
      </c>
      <c r="D32" s="36">
        <v>1</v>
      </c>
      <c r="E32" s="41" t="s">
        <v>996</v>
      </c>
      <c r="F32" s="42" t="str">
        <f>IFERROR(VLOOKUP(C32,#REF!,5,0),"0")</f>
        <v>0</v>
      </c>
      <c r="G32" s="9">
        <f>Table_246[[#This Row],[QT]]*Table_246[[#This Row],[Custo 
Un]]</f>
        <v>0</v>
      </c>
      <c r="H32" s="45">
        <v>30</v>
      </c>
      <c r="I32" s="9">
        <f>H32*D32</f>
        <v>30</v>
      </c>
      <c r="J32" s="41" t="s">
        <v>545</v>
      </c>
      <c r="K32" s="43">
        <f>Table_246[[#This Row],[Valor da 
venda]]-Table_246[[#This Row],[Valor gasto]]</f>
        <v>30</v>
      </c>
      <c r="L32" s="45" t="s">
        <v>15</v>
      </c>
      <c r="P32" s="160"/>
      <c r="Q32"/>
      <c r="R32" s="160"/>
      <c r="V32"/>
    </row>
    <row r="33" spans="1:22" ht="15.75" customHeight="1" x14ac:dyDescent="0.3">
      <c r="A33" s="21">
        <f>IF(Table_246[[#This Row],[Data]]="","",MONTH(Table_246[[#This Row],[Data]]))</f>
        <v>1</v>
      </c>
      <c r="B33" s="25">
        <v>46039</v>
      </c>
      <c r="C33" s="84" t="s">
        <v>139</v>
      </c>
      <c r="D33" s="36">
        <v>8</v>
      </c>
      <c r="E33" s="41" t="s">
        <v>996</v>
      </c>
      <c r="F33" s="42" t="str">
        <f>IFERROR(VLOOKUP(C33,#REF!,5,0),"0")</f>
        <v>0</v>
      </c>
      <c r="G33" s="9">
        <f>Table_246[[#This Row],[QT]]*Table_246[[#This Row],[Custo 
Un]]</f>
        <v>0</v>
      </c>
      <c r="H33" s="45">
        <v>1</v>
      </c>
      <c r="I33" s="9">
        <f>H33*D33</f>
        <v>8</v>
      </c>
      <c r="J33" s="41" t="s">
        <v>545</v>
      </c>
      <c r="K33" s="43">
        <f>Table_246[[#This Row],[Valor da 
venda]]-Table_246[[#This Row],[Valor gasto]]</f>
        <v>8</v>
      </c>
      <c r="L33" s="45" t="s">
        <v>15</v>
      </c>
      <c r="P33" s="160"/>
      <c r="Q33"/>
      <c r="R33" s="160"/>
      <c r="V33"/>
    </row>
    <row r="34" spans="1:22" ht="15.75" customHeight="1" x14ac:dyDescent="0.3">
      <c r="A34" s="21">
        <f>IF(Table_246[[#This Row],[Data]]="","",MONTH(Table_246[[#This Row],[Data]]))</f>
        <v>1</v>
      </c>
      <c r="B34" s="25">
        <v>46041</v>
      </c>
      <c r="C34" s="84" t="s">
        <v>1014</v>
      </c>
      <c r="D34" s="36">
        <v>1</v>
      </c>
      <c r="E34" s="41" t="s">
        <v>996</v>
      </c>
      <c r="F34" s="42">
        <v>25</v>
      </c>
      <c r="G34" s="9">
        <f>Table_246[[#This Row],[QT]]*Table_246[[#This Row],[Custo 
Un]]</f>
        <v>25</v>
      </c>
      <c r="H34" s="45">
        <v>50</v>
      </c>
      <c r="I34" s="9">
        <f>H34*D34</f>
        <v>50</v>
      </c>
      <c r="J34" s="41" t="s">
        <v>545</v>
      </c>
      <c r="K34" s="43">
        <f>Table_246[[#This Row],[Valor da 
venda]]-Table_246[[#This Row],[Valor gasto]]</f>
        <v>25</v>
      </c>
      <c r="L34" s="45" t="s">
        <v>15</v>
      </c>
      <c r="P34" s="160"/>
      <c r="Q34"/>
      <c r="R34" s="160"/>
      <c r="V34"/>
    </row>
    <row r="35" spans="1:22" ht="15.75" customHeight="1" x14ac:dyDescent="0.3">
      <c r="A35" s="21">
        <f>IF(Table_246[[#This Row],[Data]]="","",MONTH(Table_246[[#This Row],[Data]]))</f>
        <v>1</v>
      </c>
      <c r="B35" s="25">
        <v>46039</v>
      </c>
      <c r="C35" s="84" t="s">
        <v>1015</v>
      </c>
      <c r="D35" s="36">
        <v>1</v>
      </c>
      <c r="E35" s="41" t="s">
        <v>1016</v>
      </c>
      <c r="F35" s="42">
        <v>20</v>
      </c>
      <c r="G35" s="9">
        <f>Table_246[[#This Row],[QT]]*Table_246[[#This Row],[Custo 
Un]]</f>
        <v>20</v>
      </c>
      <c r="H35" s="45">
        <v>40</v>
      </c>
      <c r="I35" s="9">
        <f>H35*D35</f>
        <v>40</v>
      </c>
      <c r="J35" s="41" t="s">
        <v>545</v>
      </c>
      <c r="K35" s="43">
        <f>Table_246[[#This Row],[Valor da 
venda]]-Table_246[[#This Row],[Valor gasto]]</f>
        <v>20</v>
      </c>
      <c r="L35" s="45" t="s">
        <v>15</v>
      </c>
      <c r="P35" s="160"/>
      <c r="Q35"/>
      <c r="R35" s="160"/>
      <c r="V35"/>
    </row>
    <row r="36" spans="1:22" ht="15.75" customHeight="1" x14ac:dyDescent="0.3">
      <c r="A36" s="21">
        <f>IF(Table_246[[#This Row],[Data]]="","",MONTH(Table_246[[#This Row],[Data]]))</f>
        <v>1</v>
      </c>
      <c r="B36" s="25">
        <v>46042</v>
      </c>
      <c r="C36" s="84" t="s">
        <v>999</v>
      </c>
      <c r="D36" s="36">
        <v>1</v>
      </c>
      <c r="E36" s="41" t="s">
        <v>232</v>
      </c>
      <c r="F36" s="42">
        <v>5</v>
      </c>
      <c r="G36" s="9">
        <f>Table_246[[#This Row],[QT]]*Table_246[[#This Row],[Custo 
Un]]</f>
        <v>5</v>
      </c>
      <c r="H36" s="45">
        <v>10</v>
      </c>
      <c r="I36" s="9">
        <f>H36*D36</f>
        <v>10</v>
      </c>
      <c r="J36" s="41" t="s">
        <v>545</v>
      </c>
      <c r="K36" s="43">
        <f>Table_246[[#This Row],[Valor da 
venda]]-Table_246[[#This Row],[Valor gasto]]</f>
        <v>5</v>
      </c>
      <c r="L36" s="45" t="s">
        <v>15</v>
      </c>
      <c r="P36" s="160"/>
      <c r="Q36"/>
      <c r="R36" s="160"/>
      <c r="V36"/>
    </row>
    <row r="37" spans="1:22" ht="15.75" customHeight="1" x14ac:dyDescent="0.3">
      <c r="A37" s="21">
        <f>IF(Table_246[[#This Row],[Data]]="","",MONTH(Table_246[[#This Row],[Data]]))</f>
        <v>1</v>
      </c>
      <c r="B37" s="25">
        <v>46042</v>
      </c>
      <c r="C37" s="84" t="s">
        <v>1017</v>
      </c>
      <c r="D37" s="36">
        <v>1</v>
      </c>
      <c r="E37" s="41" t="s">
        <v>996</v>
      </c>
      <c r="F37" s="42">
        <v>5</v>
      </c>
      <c r="G37" s="9">
        <f>Table_246[[#This Row],[QT]]*Table_246[[#This Row],[Custo 
Un]]</f>
        <v>5</v>
      </c>
      <c r="H37" s="45">
        <v>10</v>
      </c>
      <c r="I37" s="9">
        <f>H37*D37</f>
        <v>10</v>
      </c>
      <c r="J37" s="41" t="s">
        <v>545</v>
      </c>
      <c r="K37" s="43">
        <f>Table_246[[#This Row],[Valor da 
venda]]-Table_246[[#This Row],[Valor gasto]]</f>
        <v>5</v>
      </c>
      <c r="L37" s="45" t="s">
        <v>15</v>
      </c>
      <c r="P37" s="160"/>
      <c r="Q37"/>
      <c r="R37" s="160"/>
      <c r="V37"/>
    </row>
    <row r="38" spans="1:22" ht="15.75" customHeight="1" x14ac:dyDescent="0.3">
      <c r="A38" s="21">
        <f>IF(Table_246[[#This Row],[Data]]="","",MONTH(Table_246[[#This Row],[Data]]))</f>
        <v>1</v>
      </c>
      <c r="B38" s="25">
        <v>46042</v>
      </c>
      <c r="C38" s="84" t="s">
        <v>1018</v>
      </c>
      <c r="D38" s="36">
        <v>1</v>
      </c>
      <c r="E38" s="41" t="s">
        <v>329</v>
      </c>
      <c r="F38" s="42" t="str">
        <f>IFERROR(VLOOKUP(C38,#REF!,5,0),"0")</f>
        <v>0</v>
      </c>
      <c r="G38" s="9">
        <f>Table_246[[#This Row],[QT]]*Table_246[[#This Row],[Custo 
Un]]</f>
        <v>0</v>
      </c>
      <c r="H38" s="45">
        <v>20</v>
      </c>
      <c r="I38" s="9">
        <f>H38*D38</f>
        <v>20</v>
      </c>
      <c r="J38" s="41" t="s">
        <v>545</v>
      </c>
      <c r="K38" s="43">
        <f>Table_246[[#This Row],[Valor da 
venda]]-Table_246[[#This Row],[Valor gasto]]</f>
        <v>20</v>
      </c>
      <c r="L38" s="45" t="s">
        <v>15</v>
      </c>
      <c r="P38" s="160"/>
      <c r="Q38"/>
      <c r="R38" s="160"/>
      <c r="V38"/>
    </row>
    <row r="39" spans="1:22" ht="15.75" customHeight="1" x14ac:dyDescent="0.3">
      <c r="A39" s="21">
        <f>IF(Table_246[[#This Row],[Data]]="","",MONTH(Table_246[[#This Row],[Data]]))</f>
        <v>1</v>
      </c>
      <c r="B39" s="25">
        <v>46042</v>
      </c>
      <c r="C39" s="84" t="s">
        <v>1019</v>
      </c>
      <c r="D39" s="36">
        <v>1</v>
      </c>
      <c r="E39" s="41" t="s">
        <v>329</v>
      </c>
      <c r="F39" s="42">
        <v>6.5</v>
      </c>
      <c r="G39" s="9">
        <f>Table_246[[#This Row],[QT]]*Table_246[[#This Row],[Custo 
Un]]</f>
        <v>6.5</v>
      </c>
      <c r="H39" s="45">
        <v>15</v>
      </c>
      <c r="I39" s="9">
        <f>H39*D39</f>
        <v>15</v>
      </c>
      <c r="J39" s="41" t="s">
        <v>545</v>
      </c>
      <c r="K39" s="43">
        <f>Table_246[[#This Row],[Valor da 
venda]]-Table_246[[#This Row],[Valor gasto]]</f>
        <v>8.5</v>
      </c>
      <c r="L39" s="45" t="s">
        <v>15</v>
      </c>
      <c r="P39" s="160"/>
      <c r="Q39"/>
      <c r="R39" s="160"/>
      <c r="V39"/>
    </row>
    <row r="40" spans="1:22" ht="15.75" customHeight="1" x14ac:dyDescent="0.3">
      <c r="A40" s="21">
        <f>IF(Table_246[[#This Row],[Data]]="","",MONTH(Table_246[[#This Row],[Data]]))</f>
        <v>1</v>
      </c>
      <c r="B40" s="25">
        <v>46042</v>
      </c>
      <c r="C40" s="84" t="s">
        <v>1020</v>
      </c>
      <c r="D40" s="36">
        <v>1</v>
      </c>
      <c r="E40" s="41" t="s">
        <v>996</v>
      </c>
      <c r="F40" s="42" t="str">
        <f>IFERROR(VLOOKUP(C40,#REF!,5,0),"0")</f>
        <v>0</v>
      </c>
      <c r="G40" s="9">
        <f>Table_246[[#This Row],[QT]]*Table_246[[#This Row],[Custo 
Un]]</f>
        <v>0</v>
      </c>
      <c r="H40" s="45">
        <v>10</v>
      </c>
      <c r="I40" s="9">
        <f>H40*D40</f>
        <v>10</v>
      </c>
      <c r="J40" s="41" t="s">
        <v>545</v>
      </c>
      <c r="K40" s="43">
        <f>Table_246[[#This Row],[Valor da 
venda]]-Table_246[[#This Row],[Valor gasto]]</f>
        <v>10</v>
      </c>
      <c r="L40" s="45" t="s">
        <v>15</v>
      </c>
      <c r="P40" s="160"/>
      <c r="Q40"/>
      <c r="R40" s="160"/>
      <c r="V40"/>
    </row>
    <row r="41" spans="1:22" ht="15.75" customHeight="1" x14ac:dyDescent="0.3">
      <c r="A41" s="21">
        <f>IF(Table_246[[#This Row],[Data]]="","",MONTH(Table_246[[#This Row],[Data]]))</f>
        <v>1</v>
      </c>
      <c r="B41" s="25">
        <v>46042</v>
      </c>
      <c r="C41" s="84" t="s">
        <v>1021</v>
      </c>
      <c r="D41" s="36">
        <v>2</v>
      </c>
      <c r="E41" s="41" t="s">
        <v>982</v>
      </c>
      <c r="F41" s="42">
        <v>5</v>
      </c>
      <c r="G41" s="9">
        <f>Table_246[[#This Row],[QT]]*Table_246[[#This Row],[Custo 
Un]]</f>
        <v>10</v>
      </c>
      <c r="H41" s="45">
        <v>10</v>
      </c>
      <c r="I41" s="9">
        <f>H41*D41</f>
        <v>20</v>
      </c>
      <c r="J41" s="41" t="s">
        <v>545</v>
      </c>
      <c r="K41" s="43">
        <f>Table_246[[#This Row],[Valor da 
venda]]-Table_246[[#This Row],[Valor gasto]]</f>
        <v>10</v>
      </c>
      <c r="L41" s="45" t="s">
        <v>15</v>
      </c>
      <c r="P41" s="160"/>
      <c r="Q41"/>
      <c r="R41" s="160"/>
      <c r="V41"/>
    </row>
    <row r="42" spans="1:22" ht="15.75" customHeight="1" x14ac:dyDescent="0.3">
      <c r="A42" s="21">
        <f>IF(Table_246[[#This Row],[Data]]="","",MONTH(Table_246[[#This Row],[Data]]))</f>
        <v>1</v>
      </c>
      <c r="B42" s="25">
        <v>46042</v>
      </c>
      <c r="C42" s="84" t="s">
        <v>1022</v>
      </c>
      <c r="D42" s="36">
        <v>1</v>
      </c>
      <c r="E42" s="41" t="s">
        <v>996</v>
      </c>
      <c r="F42" s="42">
        <v>18</v>
      </c>
      <c r="G42" s="9">
        <f>Table_246[[#This Row],[QT]]*Table_246[[#This Row],[Custo 
Un]]</f>
        <v>18</v>
      </c>
      <c r="H42" s="45">
        <v>35</v>
      </c>
      <c r="I42" s="9">
        <f>H42*D42</f>
        <v>35</v>
      </c>
      <c r="J42" s="41" t="s">
        <v>545</v>
      </c>
      <c r="K42" s="43">
        <f>Table_246[[#This Row],[Valor da 
venda]]-Table_246[[#This Row],[Valor gasto]]</f>
        <v>17</v>
      </c>
      <c r="L42" s="45" t="s">
        <v>15</v>
      </c>
      <c r="P42" s="160"/>
      <c r="Q42"/>
      <c r="R42" s="160"/>
      <c r="V42"/>
    </row>
    <row r="43" spans="1:22" ht="15.75" customHeight="1" x14ac:dyDescent="0.3">
      <c r="A43" s="21">
        <f>IF(Table_246[[#This Row],[Data]]="","",MONTH(Table_246[[#This Row],[Data]]))</f>
        <v>1</v>
      </c>
      <c r="B43" s="25">
        <v>46042</v>
      </c>
      <c r="C43" s="84" t="s">
        <v>1023</v>
      </c>
      <c r="D43" s="36">
        <v>1</v>
      </c>
      <c r="E43" s="41" t="s">
        <v>996</v>
      </c>
      <c r="F43" s="42">
        <v>25</v>
      </c>
      <c r="G43" s="9">
        <f>Table_246[[#This Row],[QT]]*Table_246[[#This Row],[Custo 
Un]]</f>
        <v>25</v>
      </c>
      <c r="H43" s="45">
        <v>60</v>
      </c>
      <c r="I43" s="9">
        <f>H43*D43</f>
        <v>60</v>
      </c>
      <c r="J43" s="41" t="s">
        <v>545</v>
      </c>
      <c r="K43" s="43">
        <f>Table_246[[#This Row],[Valor da 
venda]]-Table_246[[#This Row],[Valor gasto]]</f>
        <v>35</v>
      </c>
      <c r="L43" s="45" t="s">
        <v>15</v>
      </c>
      <c r="P43" s="160"/>
      <c r="Q43"/>
      <c r="R43" s="160"/>
      <c r="V43"/>
    </row>
    <row r="44" spans="1:22" ht="15.75" customHeight="1" x14ac:dyDescent="0.3">
      <c r="A44" s="21">
        <f>IF(Table_246[[#This Row],[Data]]="","",MONTH(Table_246[[#This Row],[Data]]))</f>
        <v>1</v>
      </c>
      <c r="B44" s="25">
        <v>46043</v>
      </c>
      <c r="C44" s="84" t="s">
        <v>1020</v>
      </c>
      <c r="D44" s="36">
        <v>1</v>
      </c>
      <c r="E44" s="41" t="s">
        <v>1024</v>
      </c>
      <c r="F44" s="42">
        <v>5</v>
      </c>
      <c r="G44" s="9">
        <f>Table_246[[#This Row],[QT]]*Table_246[[#This Row],[Custo 
Un]]</f>
        <v>5</v>
      </c>
      <c r="H44" s="45">
        <v>10</v>
      </c>
      <c r="I44" s="9">
        <f>H44*D44</f>
        <v>10</v>
      </c>
      <c r="J44" s="41" t="s">
        <v>545</v>
      </c>
      <c r="K44" s="43">
        <f>Table_246[[#This Row],[Valor da 
venda]]-Table_246[[#This Row],[Valor gasto]]</f>
        <v>5</v>
      </c>
      <c r="L44" s="45" t="s">
        <v>15</v>
      </c>
      <c r="P44" s="160"/>
      <c r="Q44"/>
      <c r="R44" s="160"/>
      <c r="V44"/>
    </row>
    <row r="45" spans="1:22" ht="15.75" customHeight="1" x14ac:dyDescent="0.3">
      <c r="A45" s="21">
        <f>IF(Table_246[[#This Row],[Data]]="","",MONTH(Table_246[[#This Row],[Data]]))</f>
        <v>1</v>
      </c>
      <c r="B45" s="25">
        <v>46043</v>
      </c>
      <c r="C45" s="84" t="s">
        <v>1025</v>
      </c>
      <c r="D45" s="36">
        <v>1</v>
      </c>
      <c r="E45" s="41" t="s">
        <v>1024</v>
      </c>
      <c r="F45" s="42">
        <v>20</v>
      </c>
      <c r="G45" s="9">
        <f>Table_246[[#This Row],[QT]]*Table_246[[#This Row],[Custo 
Un]]</f>
        <v>20</v>
      </c>
      <c r="H45" s="45">
        <v>30</v>
      </c>
      <c r="I45" s="9">
        <f>H45*D45</f>
        <v>30</v>
      </c>
      <c r="J45" s="41" t="s">
        <v>545</v>
      </c>
      <c r="K45" s="43">
        <f>Table_246[[#This Row],[Valor da 
venda]]-Table_246[[#This Row],[Valor gasto]]</f>
        <v>10</v>
      </c>
      <c r="L45" s="45" t="s">
        <v>15</v>
      </c>
      <c r="P45" s="160"/>
      <c r="Q45"/>
      <c r="R45" s="160"/>
      <c r="V45"/>
    </row>
    <row r="46" spans="1:22" ht="15.75" customHeight="1" x14ac:dyDescent="0.3">
      <c r="A46" s="21">
        <f>IF(Table_246[[#This Row],[Data]]="","",MONTH(Table_246[[#This Row],[Data]]))</f>
        <v>1</v>
      </c>
      <c r="B46" s="25">
        <v>46043</v>
      </c>
      <c r="C46" s="84" t="s">
        <v>1026</v>
      </c>
      <c r="D46" s="36">
        <v>1</v>
      </c>
      <c r="E46" s="41" t="s">
        <v>1024</v>
      </c>
      <c r="F46" s="42">
        <v>18</v>
      </c>
      <c r="G46" s="9">
        <f>Table_246[[#This Row],[QT]]*Table_246[[#This Row],[Custo 
Un]]</f>
        <v>18</v>
      </c>
      <c r="H46" s="45">
        <v>30</v>
      </c>
      <c r="I46" s="9">
        <f>H46*D46</f>
        <v>30</v>
      </c>
      <c r="J46" s="41" t="s">
        <v>545</v>
      </c>
      <c r="K46" s="43">
        <f>Table_246[[#This Row],[Valor da 
venda]]-Table_246[[#This Row],[Valor gasto]]</f>
        <v>12</v>
      </c>
      <c r="L46" s="45" t="s">
        <v>15</v>
      </c>
      <c r="P46" s="160"/>
      <c r="Q46"/>
      <c r="R46" s="160"/>
      <c r="V46"/>
    </row>
    <row r="47" spans="1:22" ht="15.75" customHeight="1" x14ac:dyDescent="0.3">
      <c r="A47" s="21">
        <f>IF(Table_246[[#This Row],[Data]]="","",MONTH(Table_246[[#This Row],[Data]]))</f>
        <v>1</v>
      </c>
      <c r="B47" s="25">
        <v>46043</v>
      </c>
      <c r="C47" s="84" t="s">
        <v>1000</v>
      </c>
      <c r="D47" s="36">
        <v>1</v>
      </c>
      <c r="E47" s="41" t="s">
        <v>1027</v>
      </c>
      <c r="F47" s="42">
        <v>7.5</v>
      </c>
      <c r="G47" s="9">
        <f>Table_246[[#This Row],[QT]]*Table_246[[#This Row],[Custo 
Un]]</f>
        <v>7.5</v>
      </c>
      <c r="H47" s="45">
        <v>11.2</v>
      </c>
      <c r="I47" s="9">
        <f>H47*D47</f>
        <v>11.2</v>
      </c>
      <c r="J47" s="41" t="s">
        <v>17</v>
      </c>
      <c r="K47" s="43">
        <f>Table_246[[#This Row],[Valor da 
venda]]-Table_246[[#This Row],[Valor gasto]]</f>
        <v>3.6999999999999993</v>
      </c>
      <c r="L47" s="45" t="s">
        <v>15</v>
      </c>
      <c r="P47" s="160"/>
      <c r="Q47"/>
      <c r="R47" s="160"/>
      <c r="V47"/>
    </row>
    <row r="48" spans="1:22" ht="15.75" customHeight="1" x14ac:dyDescent="0.3">
      <c r="A48" s="21">
        <f>IF(Table_246[[#This Row],[Data]]="","",MONTH(Table_246[[#This Row],[Data]]))</f>
        <v>1</v>
      </c>
      <c r="B48" s="25">
        <v>46043</v>
      </c>
      <c r="C48" s="84" t="s">
        <v>1028</v>
      </c>
      <c r="D48" s="36">
        <v>1</v>
      </c>
      <c r="E48" s="41" t="s">
        <v>1029</v>
      </c>
      <c r="F48" s="42">
        <v>0</v>
      </c>
      <c r="G48" s="9">
        <f>Table_246[[#This Row],[QT]]*Table_246[[#This Row],[Custo 
Un]]</f>
        <v>0</v>
      </c>
      <c r="H48" s="45">
        <v>45.84</v>
      </c>
      <c r="I48" s="9">
        <f>H48*D48</f>
        <v>45.84</v>
      </c>
      <c r="J48" s="41" t="s">
        <v>17</v>
      </c>
      <c r="K48" s="43">
        <f>Table_246[[#This Row],[Valor da 
venda]]-Table_246[[#This Row],[Valor gasto]]</f>
        <v>45.84</v>
      </c>
      <c r="L48" s="45" t="s">
        <v>15</v>
      </c>
      <c r="P48" s="160"/>
      <c r="Q48"/>
      <c r="R48" s="160"/>
      <c r="V48"/>
    </row>
    <row r="49" spans="1:22" ht="15.75" customHeight="1" x14ac:dyDescent="0.3">
      <c r="A49" s="21">
        <f>IF(Table_246[[#This Row],[Data]]="","",MONTH(Table_246[[#This Row],[Data]]))</f>
        <v>1</v>
      </c>
      <c r="B49" s="25">
        <v>46043</v>
      </c>
      <c r="C49" s="84" t="s">
        <v>1030</v>
      </c>
      <c r="D49" s="36">
        <v>1</v>
      </c>
      <c r="E49" s="85">
        <v>582149843775227</v>
      </c>
      <c r="F49" s="42">
        <v>7</v>
      </c>
      <c r="G49" s="9">
        <f>Table_246[[#This Row],[QT]]*Table_246[[#This Row],[Custo 
Un]]</f>
        <v>7</v>
      </c>
      <c r="H49" s="45">
        <v>55.2</v>
      </c>
      <c r="I49" s="9">
        <f>H49*D49</f>
        <v>55.2</v>
      </c>
      <c r="J49" s="41" t="s">
        <v>1004</v>
      </c>
      <c r="K49" s="43">
        <f>Table_246[[#This Row],[Valor da 
venda]]-Table_246[[#This Row],[Valor gasto]]</f>
        <v>48.2</v>
      </c>
      <c r="L49" s="45" t="s">
        <v>15</v>
      </c>
      <c r="P49" s="160"/>
      <c r="Q49"/>
      <c r="R49" s="160"/>
      <c r="V49"/>
    </row>
    <row r="50" spans="1:22" ht="15.75" customHeight="1" x14ac:dyDescent="0.3">
      <c r="A50" s="21">
        <f>IF(Table_246[[#This Row],[Data]]="","",MONTH(Table_246[[#This Row],[Data]]))</f>
        <v>1</v>
      </c>
      <c r="B50" s="25">
        <v>46044</v>
      </c>
      <c r="C50" s="84" t="s">
        <v>139</v>
      </c>
      <c r="D50" s="36">
        <v>12</v>
      </c>
      <c r="E50" s="41" t="s">
        <v>51</v>
      </c>
      <c r="F50" s="42" t="str">
        <f>IFERROR(VLOOKUP(C50,#REF!,5,0),"0")</f>
        <v>0</v>
      </c>
      <c r="G50" s="9">
        <f>Table_246[[#This Row],[QT]]*Table_246[[#This Row],[Custo 
Un]]</f>
        <v>0</v>
      </c>
      <c r="H50" s="45">
        <v>1</v>
      </c>
      <c r="I50" s="9">
        <f>H50*D50</f>
        <v>12</v>
      </c>
      <c r="J50" s="41" t="s">
        <v>545</v>
      </c>
      <c r="K50" s="43">
        <f>Table_246[[#This Row],[Valor da 
venda]]-Table_246[[#This Row],[Valor gasto]]</f>
        <v>12</v>
      </c>
      <c r="L50" s="45" t="s">
        <v>15</v>
      </c>
      <c r="P50" s="160"/>
      <c r="Q50"/>
      <c r="R50" s="160"/>
      <c r="V50"/>
    </row>
    <row r="51" spans="1:22" ht="15.75" customHeight="1" x14ac:dyDescent="0.3">
      <c r="A51" s="21">
        <f>IF(Table_246[[#This Row],[Data]]="","",MONTH(Table_246[[#This Row],[Data]]))</f>
        <v>1</v>
      </c>
      <c r="B51" s="25">
        <v>46044</v>
      </c>
      <c r="C51" s="84" t="s">
        <v>139</v>
      </c>
      <c r="D51" s="36">
        <v>2</v>
      </c>
      <c r="E51" s="41" t="s">
        <v>1031</v>
      </c>
      <c r="F51" s="42" t="str">
        <f>IFERROR(VLOOKUP(C51,#REF!,5,0),"0")</f>
        <v>0</v>
      </c>
      <c r="G51" s="9">
        <f>Table_246[[#This Row],[QT]]*Table_246[[#This Row],[Custo 
Un]]</f>
        <v>0</v>
      </c>
      <c r="H51" s="45">
        <v>1</v>
      </c>
      <c r="I51" s="9">
        <f>H51*D51</f>
        <v>2</v>
      </c>
      <c r="J51" s="41" t="s">
        <v>545</v>
      </c>
      <c r="K51" s="43">
        <f>Table_246[[#This Row],[Valor da 
venda]]-Table_246[[#This Row],[Valor gasto]]</f>
        <v>2</v>
      </c>
      <c r="L51" s="45" t="s">
        <v>15</v>
      </c>
      <c r="P51" s="160"/>
      <c r="Q51"/>
      <c r="R51" s="160"/>
      <c r="V51"/>
    </row>
    <row r="52" spans="1:22" ht="15.75" customHeight="1" x14ac:dyDescent="0.3">
      <c r="A52" s="21">
        <f>IF(Table_246[[#This Row],[Data]]="","",MONTH(Table_246[[#This Row],[Data]]))</f>
        <v>1</v>
      </c>
      <c r="B52" s="25">
        <v>46044</v>
      </c>
      <c r="C52" s="84" t="s">
        <v>1032</v>
      </c>
      <c r="D52" s="36">
        <v>1</v>
      </c>
      <c r="E52" s="41" t="s">
        <v>1033</v>
      </c>
      <c r="F52" s="42" t="str">
        <f>IFERROR(VLOOKUP(C52,#REF!,5,0),"0")</f>
        <v>0</v>
      </c>
      <c r="G52" s="9">
        <f>Table_246[[#This Row],[QT]]*Table_246[[#This Row],[Custo 
Un]]</f>
        <v>0</v>
      </c>
      <c r="H52" s="45">
        <v>3</v>
      </c>
      <c r="I52" s="9">
        <f>H52*D52</f>
        <v>3</v>
      </c>
      <c r="J52" s="41" t="s">
        <v>545</v>
      </c>
      <c r="K52" s="43">
        <f>Table_246[[#This Row],[Valor da 
venda]]-Table_246[[#This Row],[Valor gasto]]</f>
        <v>3</v>
      </c>
      <c r="L52" s="45" t="s">
        <v>15</v>
      </c>
      <c r="P52" s="160"/>
      <c r="Q52"/>
      <c r="R52" s="160"/>
      <c r="V52"/>
    </row>
    <row r="53" spans="1:22" ht="15.75" customHeight="1" x14ac:dyDescent="0.3">
      <c r="A53" s="21">
        <f>IF(Table_246[[#This Row],[Data]]="","",MONTH(Table_246[[#This Row],[Data]]))</f>
        <v>1</v>
      </c>
      <c r="B53" s="25">
        <v>46045</v>
      </c>
      <c r="C53" s="84" t="s">
        <v>216</v>
      </c>
      <c r="D53" s="36">
        <v>1</v>
      </c>
      <c r="E53" s="41" t="s">
        <v>393</v>
      </c>
      <c r="F53" s="42" t="str">
        <f>IFERROR(VLOOKUP(#REF!,#REF!,5,0),"0")</f>
        <v>0</v>
      </c>
      <c r="G53" s="9">
        <f>Table_246[[#This Row],[QT]]*Table_246[[#This Row],[Custo 
Un]]</f>
        <v>0</v>
      </c>
      <c r="H53" s="45">
        <v>70</v>
      </c>
      <c r="I53" s="9">
        <f>H53*D53</f>
        <v>70</v>
      </c>
      <c r="J53" s="41" t="s">
        <v>545</v>
      </c>
      <c r="K53" s="43">
        <f>Table_246[[#This Row],[Valor da 
venda]]-Table_246[[#This Row],[Valor gasto]]</f>
        <v>70</v>
      </c>
      <c r="L53" s="45" t="s">
        <v>15</v>
      </c>
      <c r="P53" s="160"/>
      <c r="Q53"/>
      <c r="R53" s="160"/>
      <c r="V53"/>
    </row>
    <row r="54" spans="1:22" ht="15.75" customHeight="1" x14ac:dyDescent="0.3">
      <c r="A54" s="21">
        <f>IF(Table_246[[#This Row],[Data]]="","",MONTH(Table_246[[#This Row],[Data]]))</f>
        <v>1</v>
      </c>
      <c r="B54" s="25">
        <v>46045</v>
      </c>
      <c r="C54" t="s">
        <v>267</v>
      </c>
      <c r="D54" s="36">
        <v>1</v>
      </c>
      <c r="E54" s="41" t="s">
        <v>994</v>
      </c>
      <c r="F54" s="42" t="str">
        <f>IFERROR(VLOOKUP(C53,#REF!,5,0),"0")</f>
        <v>0</v>
      </c>
      <c r="G54" s="9">
        <f>Table_246[[#This Row],[QT]]*Table_246[[#This Row],[Custo 
Un]]</f>
        <v>0</v>
      </c>
      <c r="H54" s="45">
        <v>50</v>
      </c>
      <c r="I54" s="9">
        <f>H54*D54</f>
        <v>50</v>
      </c>
      <c r="J54" s="41" t="s">
        <v>545</v>
      </c>
      <c r="K54" s="43">
        <f>Table_246[[#This Row],[Valor da 
venda]]-Table_246[[#This Row],[Valor gasto]]</f>
        <v>50</v>
      </c>
      <c r="L54" s="45" t="s">
        <v>15</v>
      </c>
      <c r="P54" s="160"/>
      <c r="Q54"/>
      <c r="R54" s="160"/>
      <c r="V54"/>
    </row>
    <row r="55" spans="1:22" ht="15.75" customHeight="1" x14ac:dyDescent="0.3">
      <c r="A55" s="21">
        <f>IF(Table_246[[#This Row],[Data]]="","",MONTH(Table_246[[#This Row],[Data]]))</f>
        <v>1</v>
      </c>
      <c r="B55" s="25">
        <v>46046</v>
      </c>
      <c r="C55" s="84" t="s">
        <v>1034</v>
      </c>
      <c r="D55" s="36">
        <v>1</v>
      </c>
      <c r="E55" s="41" t="s">
        <v>791</v>
      </c>
      <c r="F55" s="42">
        <v>5</v>
      </c>
      <c r="G55" s="9">
        <f>Table_246[[#This Row],[QT]]*Table_246[[#This Row],[Custo 
Un]]</f>
        <v>5</v>
      </c>
      <c r="H55" s="45">
        <v>10</v>
      </c>
      <c r="I55" s="9">
        <f>H55*D55</f>
        <v>10</v>
      </c>
      <c r="J55" s="41" t="s">
        <v>545</v>
      </c>
      <c r="K55" s="43">
        <f>Table_246[[#This Row],[Valor da 
venda]]-Table_246[[#This Row],[Valor gasto]]</f>
        <v>5</v>
      </c>
      <c r="L55" s="45" t="s">
        <v>15</v>
      </c>
      <c r="P55" s="160"/>
      <c r="Q55"/>
      <c r="R55" s="160"/>
      <c r="V55"/>
    </row>
    <row r="56" spans="1:22" ht="15.75" customHeight="1" x14ac:dyDescent="0.3">
      <c r="A56" s="21">
        <f>IF(Table_246[[#This Row],[Data]]="","",MONTH(Table_246[[#This Row],[Data]]))</f>
        <v>1</v>
      </c>
      <c r="B56" s="25">
        <v>46046</v>
      </c>
      <c r="C56" s="84" t="s">
        <v>139</v>
      </c>
      <c r="D56" s="36">
        <v>5</v>
      </c>
      <c r="E56" s="41" t="s">
        <v>625</v>
      </c>
      <c r="F56" s="42" t="str">
        <f>IFERROR(VLOOKUP(C56,#REF!,5,0),"0")</f>
        <v>0</v>
      </c>
      <c r="G56" s="9">
        <f>Table_246[[#This Row],[QT]]*Table_246[[#This Row],[Custo 
Un]]</f>
        <v>0</v>
      </c>
      <c r="H56" s="45">
        <v>1</v>
      </c>
      <c r="I56" s="9">
        <f>H56*D56</f>
        <v>5</v>
      </c>
      <c r="J56" s="41" t="s">
        <v>545</v>
      </c>
      <c r="K56" s="43">
        <f>Table_246[[#This Row],[Valor da 
venda]]-Table_246[[#This Row],[Valor gasto]]</f>
        <v>5</v>
      </c>
      <c r="L56" s="45" t="s">
        <v>15</v>
      </c>
      <c r="P56" s="160"/>
      <c r="Q56"/>
      <c r="R56" s="160"/>
      <c r="V56"/>
    </row>
    <row r="57" spans="1:22" ht="15.75" customHeight="1" x14ac:dyDescent="0.3">
      <c r="A57" s="21">
        <f>IF(Table_246[[#This Row],[Data]]="","",MONTH(Table_246[[#This Row],[Data]]))</f>
        <v>1</v>
      </c>
      <c r="B57" s="25">
        <v>46048</v>
      </c>
      <c r="C57" s="84" t="s">
        <v>1035</v>
      </c>
      <c r="D57" s="36">
        <v>1</v>
      </c>
      <c r="E57" s="41" t="s">
        <v>1036</v>
      </c>
      <c r="F57" s="42">
        <v>0.7</v>
      </c>
      <c r="G57" s="9">
        <f>Table_246[[#This Row],[QT]]*Table_246[[#This Row],[Custo 
Un]]</f>
        <v>0.7</v>
      </c>
      <c r="H57" s="45">
        <v>6.26</v>
      </c>
      <c r="I57" s="9">
        <f>H57*D57</f>
        <v>6.26</v>
      </c>
      <c r="J57" s="41" t="s">
        <v>17</v>
      </c>
      <c r="K57" s="43">
        <f>Table_246[[#This Row],[Valor da 
venda]]-Table_246[[#This Row],[Valor gasto]]</f>
        <v>5.56</v>
      </c>
      <c r="L57" s="45" t="s">
        <v>15</v>
      </c>
      <c r="P57" s="160"/>
      <c r="Q57"/>
      <c r="R57" s="160"/>
      <c r="V57"/>
    </row>
    <row r="58" spans="1:22" ht="15.75" customHeight="1" x14ac:dyDescent="0.3">
      <c r="A58" s="21">
        <f>IF(Table_246[[#This Row],[Data]]="","",MONTH(Table_246[[#This Row],[Data]]))</f>
        <v>1</v>
      </c>
      <c r="B58" s="25">
        <v>46048</v>
      </c>
      <c r="C58" s="84" t="s">
        <v>1037</v>
      </c>
      <c r="D58" s="36">
        <v>1</v>
      </c>
      <c r="E58" s="41" t="s">
        <v>1038</v>
      </c>
      <c r="F58" s="42">
        <f>0.7*4</f>
        <v>2.8</v>
      </c>
      <c r="G58" s="9">
        <f>Table_246[[#This Row],[QT]]*Table_246[[#This Row],[Custo 
Un]]</f>
        <v>2.8</v>
      </c>
      <c r="H58" s="45">
        <v>6.26</v>
      </c>
      <c r="I58" s="9">
        <f>H58*D58</f>
        <v>6.26</v>
      </c>
      <c r="J58" s="41" t="s">
        <v>17</v>
      </c>
      <c r="K58" s="43">
        <f>Table_246[[#This Row],[Valor da 
venda]]-Table_246[[#This Row],[Valor gasto]]</f>
        <v>3.46</v>
      </c>
      <c r="L58" s="45" t="s">
        <v>15</v>
      </c>
      <c r="P58" s="160"/>
      <c r="Q58"/>
      <c r="R58" s="160"/>
      <c r="V58"/>
    </row>
    <row r="59" spans="1:22" ht="15.75" customHeight="1" x14ac:dyDescent="0.3">
      <c r="A59" s="21">
        <f>IF(Table_246[[#This Row],[Data]]="","",MONTH(Table_246[[#This Row],[Data]]))</f>
        <v>1</v>
      </c>
      <c r="B59" s="25">
        <v>46048</v>
      </c>
      <c r="C59" s="84" t="s">
        <v>1039</v>
      </c>
      <c r="D59" s="36">
        <v>1</v>
      </c>
      <c r="E59" s="41" t="s">
        <v>1040</v>
      </c>
      <c r="F59" s="42">
        <v>4.5</v>
      </c>
      <c r="G59" s="9">
        <f>Table_246[[#This Row],[QT]]*Table_246[[#This Row],[Custo 
Un]]</f>
        <v>4.5</v>
      </c>
      <c r="H59" s="45">
        <v>17.059999999999999</v>
      </c>
      <c r="I59" s="9">
        <f>H59*D59</f>
        <v>17.059999999999999</v>
      </c>
      <c r="J59" s="41" t="s">
        <v>17</v>
      </c>
      <c r="K59" s="43">
        <f>Table_246[[#This Row],[Valor da 
venda]]-Table_246[[#This Row],[Valor gasto]]</f>
        <v>12.559999999999999</v>
      </c>
      <c r="L59" s="45" t="s">
        <v>15</v>
      </c>
      <c r="P59" s="160"/>
      <c r="Q59"/>
      <c r="R59" s="160"/>
      <c r="V59"/>
    </row>
    <row r="60" spans="1:22" ht="15.75" customHeight="1" x14ac:dyDescent="0.3">
      <c r="A60" s="21">
        <f>IF(Table_246[[#This Row],[Data]]="","",MONTH(Table_246[[#This Row],[Data]]))</f>
        <v>1</v>
      </c>
      <c r="B60" s="25">
        <v>46048</v>
      </c>
      <c r="C60" s="84" t="s">
        <v>1030</v>
      </c>
      <c r="D60" s="36">
        <v>1</v>
      </c>
      <c r="E60" s="41" t="s">
        <v>1041</v>
      </c>
      <c r="F60" s="42">
        <v>7</v>
      </c>
      <c r="G60" s="9">
        <f>Table_246[[#This Row],[QT]]*Table_246[[#This Row],[Custo 
Un]]</f>
        <v>7</v>
      </c>
      <c r="H60" s="45">
        <v>45.39</v>
      </c>
      <c r="I60" s="9">
        <f>H60*D60</f>
        <v>45.39</v>
      </c>
      <c r="J60" s="41" t="s">
        <v>17</v>
      </c>
      <c r="K60" s="43">
        <f>Table_246[[#This Row],[Valor da 
venda]]-Table_246[[#This Row],[Valor gasto]]</f>
        <v>38.39</v>
      </c>
      <c r="L60" s="45" t="s">
        <v>15</v>
      </c>
      <c r="P60" s="160"/>
      <c r="Q60"/>
      <c r="R60" s="160"/>
      <c r="V60"/>
    </row>
    <row r="61" spans="1:22" ht="15.75" customHeight="1" x14ac:dyDescent="0.3">
      <c r="A61" s="21">
        <f>IF(Table_246[[#This Row],[Data]]="","",MONTH(Table_246[[#This Row],[Data]]))</f>
        <v>1</v>
      </c>
      <c r="B61" s="25">
        <v>46048</v>
      </c>
      <c r="C61" s="84" t="s">
        <v>1035</v>
      </c>
      <c r="D61" s="36">
        <v>1</v>
      </c>
      <c r="E61" s="41" t="s">
        <v>1042</v>
      </c>
      <c r="F61" s="42">
        <v>0.7</v>
      </c>
      <c r="G61" s="9">
        <f>Table_246[[#This Row],[QT]]*Table_246[[#This Row],[Custo 
Un]]</f>
        <v>0.7</v>
      </c>
      <c r="H61" s="45">
        <v>8.31</v>
      </c>
      <c r="I61" s="9">
        <f>H61*D61</f>
        <v>8.31</v>
      </c>
      <c r="J61" s="41" t="s">
        <v>17</v>
      </c>
      <c r="K61" s="43">
        <f>Table_246[[#This Row],[Valor da 
venda]]-Table_246[[#This Row],[Valor gasto]]</f>
        <v>7.61</v>
      </c>
      <c r="L61" s="45" t="s">
        <v>15</v>
      </c>
      <c r="P61" s="160"/>
      <c r="Q61"/>
      <c r="R61" s="160"/>
      <c r="V61"/>
    </row>
    <row r="62" spans="1:22" ht="15.75" customHeight="1" x14ac:dyDescent="0.3">
      <c r="A62" s="21">
        <f>IF(Table_246[[#This Row],[Data]]="","",MONTH(Table_246[[#This Row],[Data]]))</f>
        <v>1</v>
      </c>
      <c r="B62" s="25">
        <v>46048</v>
      </c>
      <c r="C62" s="84" t="s">
        <v>1043</v>
      </c>
      <c r="D62" s="36">
        <v>1</v>
      </c>
      <c r="E62" s="41" t="s">
        <v>314</v>
      </c>
      <c r="F62" s="42">
        <v>275</v>
      </c>
      <c r="G62" s="9">
        <f>Table_246[[#This Row],[QT]]*Table_246[[#This Row],[Custo 
Un]]</f>
        <v>275</v>
      </c>
      <c r="H62" s="45">
        <v>360</v>
      </c>
      <c r="I62" s="9">
        <f>H62*D62</f>
        <v>360</v>
      </c>
      <c r="J62" s="41" t="s">
        <v>545</v>
      </c>
      <c r="K62" s="43">
        <f>Table_246[[#This Row],[Valor da 
venda]]-Table_246[[#This Row],[Valor gasto]]</f>
        <v>85</v>
      </c>
      <c r="L62" s="45" t="s">
        <v>15</v>
      </c>
      <c r="P62" s="160"/>
      <c r="Q62"/>
      <c r="R62" s="160"/>
      <c r="V62"/>
    </row>
    <row r="63" spans="1:22" ht="15.75" customHeight="1" x14ac:dyDescent="0.3">
      <c r="A63" s="21">
        <f>IF(Table_246[[#This Row],[Data]]="","",MONTH(Table_246[[#This Row],[Data]]))</f>
        <v>1</v>
      </c>
      <c r="B63" s="25">
        <v>46049</v>
      </c>
      <c r="C63" s="84" t="s">
        <v>1035</v>
      </c>
      <c r="D63" s="36">
        <v>1</v>
      </c>
      <c r="E63" s="41" t="s">
        <v>1044</v>
      </c>
      <c r="F63" s="42" t="str">
        <f>IFERROR(VLOOKUP(C63,#REF!,5,0),"0")</f>
        <v>0</v>
      </c>
      <c r="G63" s="9">
        <f>Table_246[[#This Row],[QT]]*Table_246[[#This Row],[Custo 
Un]]</f>
        <v>0</v>
      </c>
      <c r="H63" s="45">
        <v>7.02</v>
      </c>
      <c r="I63" s="9">
        <f>H63*D63</f>
        <v>7.02</v>
      </c>
      <c r="J63" s="41" t="s">
        <v>17</v>
      </c>
      <c r="K63" s="43">
        <f>Table_246[[#This Row],[Valor da 
venda]]-Table_246[[#This Row],[Valor gasto]]</f>
        <v>7.02</v>
      </c>
      <c r="L63" s="45" t="s">
        <v>15</v>
      </c>
      <c r="P63" s="160"/>
      <c r="Q63"/>
      <c r="R63" s="160"/>
      <c r="V63"/>
    </row>
    <row r="64" spans="1:22" ht="15.75" customHeight="1" x14ac:dyDescent="0.3">
      <c r="A64" s="21">
        <f>IF(Table_246[[#This Row],[Data]]="","",MONTH(Table_246[[#This Row],[Data]]))</f>
        <v>1</v>
      </c>
      <c r="B64" s="25">
        <v>46049</v>
      </c>
      <c r="C64" s="84" t="s">
        <v>1035</v>
      </c>
      <c r="D64" s="36">
        <v>1</v>
      </c>
      <c r="E64" s="41" t="s">
        <v>1045</v>
      </c>
      <c r="F64" s="42" t="str">
        <f>IFERROR(VLOOKUP(C64,#REF!,5,0),"0")</f>
        <v>0</v>
      </c>
      <c r="G64" s="9">
        <f>Table_246[[#This Row],[QT]]*Table_246[[#This Row],[Custo 
Un]]</f>
        <v>0</v>
      </c>
      <c r="H64" s="45">
        <v>7.02</v>
      </c>
      <c r="I64" s="9">
        <f>H64*D64</f>
        <v>7.02</v>
      </c>
      <c r="J64" s="41" t="s">
        <v>17</v>
      </c>
      <c r="K64" s="43">
        <f>Table_246[[#This Row],[Valor da 
venda]]-Table_246[[#This Row],[Valor gasto]]</f>
        <v>7.02</v>
      </c>
      <c r="L64" s="45" t="s">
        <v>15</v>
      </c>
      <c r="P64" s="160"/>
      <c r="Q64"/>
      <c r="R64" s="160"/>
      <c r="V64"/>
    </row>
    <row r="65" spans="1:22" ht="15.75" customHeight="1" x14ac:dyDescent="0.3">
      <c r="A65" s="21">
        <f>IF(Table_246[[#This Row],[Data]]="","",MONTH(Table_246[[#This Row],[Data]]))</f>
        <v>1</v>
      </c>
      <c r="B65" s="25">
        <v>46050</v>
      </c>
      <c r="C65" s="84" t="s">
        <v>1000</v>
      </c>
      <c r="D65" s="36">
        <v>1</v>
      </c>
      <c r="E65" s="41" t="s">
        <v>1046</v>
      </c>
      <c r="F65" s="42" t="str">
        <f>IFERROR(VLOOKUP(C65,#REF!,5,0),"0")</f>
        <v>0</v>
      </c>
      <c r="G65" s="9">
        <f>Table_246[[#This Row],[QT]]*Table_246[[#This Row],[Custo 
Un]]</f>
        <v>0</v>
      </c>
      <c r="H65" s="45">
        <v>14.04</v>
      </c>
      <c r="I65" s="9">
        <f>H65*D65</f>
        <v>14.04</v>
      </c>
      <c r="J65" s="41" t="s">
        <v>17</v>
      </c>
      <c r="K65" s="43">
        <f>Table_246[[#This Row],[Valor da 
venda]]-Table_246[[#This Row],[Valor gasto]]</f>
        <v>14.04</v>
      </c>
      <c r="L65" s="45" t="s">
        <v>15</v>
      </c>
      <c r="P65" s="160"/>
      <c r="Q65"/>
      <c r="R65" s="160"/>
      <c r="V65"/>
    </row>
    <row r="66" spans="1:22" ht="15.75" customHeight="1" x14ac:dyDescent="0.3">
      <c r="A66" s="21">
        <f>IF(Table_246[[#This Row],[Data]]="","",MONTH(Table_246[[#This Row],[Data]]))</f>
        <v>1</v>
      </c>
      <c r="B66" s="25">
        <v>46050</v>
      </c>
      <c r="C66" s="84" t="s">
        <v>1035</v>
      </c>
      <c r="D66" s="36">
        <v>1</v>
      </c>
      <c r="E66" s="41" t="s">
        <v>1047</v>
      </c>
      <c r="F66" s="42" t="str">
        <f>IFERROR(VLOOKUP(C66,#REF!,5,0),"0")</f>
        <v>0</v>
      </c>
      <c r="G66" s="9">
        <f>Table_246[[#This Row],[QT]]*Table_246[[#This Row],[Custo 
Un]]</f>
        <v>0</v>
      </c>
      <c r="H66" s="45">
        <v>7.02</v>
      </c>
      <c r="I66" s="9">
        <f>H66*D66</f>
        <v>7.02</v>
      </c>
      <c r="J66" s="41" t="s">
        <v>17</v>
      </c>
      <c r="K66" s="43">
        <f>Table_246[[#This Row],[Valor da 
venda]]-Table_246[[#This Row],[Valor gasto]]</f>
        <v>7.02</v>
      </c>
      <c r="L66" s="45" t="s">
        <v>15</v>
      </c>
      <c r="P66" s="160"/>
      <c r="Q66"/>
      <c r="R66" s="160"/>
      <c r="V66"/>
    </row>
    <row r="67" spans="1:22" ht="15.75" customHeight="1" x14ac:dyDescent="0.3">
      <c r="A67" s="21">
        <f>IF(Table_246[[#This Row],[Data]]="","",MONTH(Table_246[[#This Row],[Data]]))</f>
        <v>1</v>
      </c>
      <c r="B67" s="25">
        <v>46049</v>
      </c>
      <c r="C67" s="84" t="s">
        <v>1048</v>
      </c>
      <c r="D67" s="36">
        <v>2</v>
      </c>
      <c r="E67" s="41" t="s">
        <v>1049</v>
      </c>
      <c r="F67" s="42">
        <v>5</v>
      </c>
      <c r="G67" s="9">
        <f>Table_246[[#This Row],[QT]]*Table_246[[#This Row],[Custo 
Un]]</f>
        <v>10</v>
      </c>
      <c r="H67" s="45">
        <v>10</v>
      </c>
      <c r="I67" s="9">
        <f>H67*D67</f>
        <v>20</v>
      </c>
      <c r="J67" s="41" t="s">
        <v>545</v>
      </c>
      <c r="K67" s="43">
        <f>Table_246[[#This Row],[Valor da 
venda]]-Table_246[[#This Row],[Valor gasto]]</f>
        <v>10</v>
      </c>
      <c r="L67" s="45" t="s">
        <v>15</v>
      </c>
      <c r="P67" s="160"/>
      <c r="Q67"/>
      <c r="R67" s="160"/>
      <c r="V67"/>
    </row>
    <row r="68" spans="1:22" ht="15.75" customHeight="1" x14ac:dyDescent="0.3">
      <c r="A68" s="21">
        <f>IF(Table_246[[#This Row],[Data]]="","",MONTH(Table_246[[#This Row],[Data]]))</f>
        <v>1</v>
      </c>
      <c r="B68" s="25">
        <v>46051</v>
      </c>
      <c r="C68" s="84" t="s">
        <v>1050</v>
      </c>
      <c r="D68" s="36">
        <v>1</v>
      </c>
      <c r="E68" s="41" t="s">
        <v>996</v>
      </c>
      <c r="F68" s="42">
        <v>14</v>
      </c>
      <c r="G68" s="9">
        <f>Table_246[[#This Row],[QT]]*Table_246[[#This Row],[Custo 
Un]]</f>
        <v>14</v>
      </c>
      <c r="H68" s="45">
        <v>40</v>
      </c>
      <c r="I68" s="9">
        <f>H68*D68</f>
        <v>40</v>
      </c>
      <c r="J68" s="41" t="s">
        <v>545</v>
      </c>
      <c r="K68" s="43">
        <f>Table_246[[#This Row],[Valor da 
venda]]-Table_246[[#This Row],[Valor gasto]]</f>
        <v>26</v>
      </c>
      <c r="L68" s="45" t="s">
        <v>15</v>
      </c>
      <c r="P68" s="160"/>
      <c r="Q68"/>
      <c r="R68" s="160"/>
      <c r="V68"/>
    </row>
    <row r="69" spans="1:22" ht="15.75" customHeight="1" x14ac:dyDescent="0.3">
      <c r="A69" s="21">
        <f>IF(Table_246[[#This Row],[Data]]="","",MONTH(Table_246[[#This Row],[Data]]))</f>
        <v>1</v>
      </c>
      <c r="B69" s="25">
        <v>46051</v>
      </c>
      <c r="C69" s="84" t="s">
        <v>90</v>
      </c>
      <c r="D69" s="36">
        <v>1</v>
      </c>
      <c r="E69" s="41" t="s">
        <v>996</v>
      </c>
      <c r="F69" s="42" t="str">
        <f>IFERROR(VLOOKUP(C69,#REF!,5,0),"0")</f>
        <v>0</v>
      </c>
      <c r="G69" s="9">
        <f>Table_246[[#This Row],[QT]]*Table_246[[#This Row],[Custo 
Un]]</f>
        <v>0</v>
      </c>
      <c r="H69" s="45">
        <v>15</v>
      </c>
      <c r="I69" s="9">
        <f>H69*D69</f>
        <v>15</v>
      </c>
      <c r="J69" s="41" t="s">
        <v>545</v>
      </c>
      <c r="K69" s="43">
        <f>Table_246[[#This Row],[Valor da 
venda]]-Table_246[[#This Row],[Valor gasto]]</f>
        <v>15</v>
      </c>
      <c r="L69" s="45" t="s">
        <v>15</v>
      </c>
      <c r="P69" s="160"/>
      <c r="Q69"/>
      <c r="R69" s="160"/>
      <c r="V69"/>
    </row>
    <row r="70" spans="1:22" ht="15.75" customHeight="1" x14ac:dyDescent="0.3">
      <c r="A70" s="21">
        <f>IF(Table_246[[#This Row],[Data]]="","",MONTH(Table_246[[#This Row],[Data]]))</f>
        <v>1</v>
      </c>
      <c r="B70" s="25">
        <v>46051</v>
      </c>
      <c r="C70" s="84" t="s">
        <v>1030</v>
      </c>
      <c r="D70" s="36">
        <v>1</v>
      </c>
      <c r="E70" s="41" t="s">
        <v>1051</v>
      </c>
      <c r="F70" s="42" t="str">
        <f>IFERROR(VLOOKUP(C70,#REF!,5,0),"0")</f>
        <v>0</v>
      </c>
      <c r="G70" s="9">
        <f>Table_246[[#This Row],[QT]]*Table_246[[#This Row],[Custo 
Un]]</f>
        <v>0</v>
      </c>
      <c r="H70" s="45">
        <v>45.39</v>
      </c>
      <c r="I70" s="9">
        <f>H70*D70</f>
        <v>45.39</v>
      </c>
      <c r="J70" s="41" t="s">
        <v>17</v>
      </c>
      <c r="K70" s="43">
        <f>Table_246[[#This Row],[Valor da 
venda]]-Table_246[[#This Row],[Valor gasto]]</f>
        <v>45.39</v>
      </c>
      <c r="L70" s="45" t="s">
        <v>15</v>
      </c>
      <c r="P70" s="160"/>
      <c r="Q70"/>
      <c r="R70" s="160"/>
      <c r="V70"/>
    </row>
    <row r="71" spans="1:22" ht="15.75" customHeight="1" x14ac:dyDescent="0.3">
      <c r="A71" s="21">
        <f>IF(Table_246[[#This Row],[Data]]="","",MONTH(Table_246[[#This Row],[Data]]))</f>
        <v>1</v>
      </c>
      <c r="B71" s="25">
        <v>46052</v>
      </c>
      <c r="C71" s="84" t="s">
        <v>139</v>
      </c>
      <c r="D71" s="36">
        <v>1</v>
      </c>
      <c r="E71" s="41" t="s">
        <v>996</v>
      </c>
      <c r="F71" s="42" t="str">
        <f>IFERROR(VLOOKUP(C71,#REF!,5,0),"0")</f>
        <v>0</v>
      </c>
      <c r="G71" s="9">
        <f>Table_246[[#This Row],[QT]]*Table_246[[#This Row],[Custo 
Un]]</f>
        <v>0</v>
      </c>
      <c r="H71" s="45">
        <v>1</v>
      </c>
      <c r="I71" s="9">
        <f>H71*D71</f>
        <v>1</v>
      </c>
      <c r="J71" s="41" t="s">
        <v>545</v>
      </c>
      <c r="K71" s="43">
        <f>Table_246[[#This Row],[Valor da 
venda]]-Table_246[[#This Row],[Valor gasto]]</f>
        <v>1</v>
      </c>
      <c r="L71" s="45" t="s">
        <v>15</v>
      </c>
      <c r="P71" s="160"/>
      <c r="Q71"/>
      <c r="R71" s="160"/>
      <c r="V71"/>
    </row>
    <row r="72" spans="1:22" ht="15.75" customHeight="1" x14ac:dyDescent="0.3">
      <c r="A72" s="21">
        <f>IF(Table_246[[#This Row],[Data]]="","",MONTH(Table_246[[#This Row],[Data]]))</f>
        <v>1</v>
      </c>
      <c r="B72" s="25">
        <v>46052</v>
      </c>
      <c r="C72" s="84" t="s">
        <v>1030</v>
      </c>
      <c r="D72" s="36">
        <v>1</v>
      </c>
      <c r="E72" s="41" t="s">
        <v>1052</v>
      </c>
      <c r="F72" s="42" t="str">
        <f>IFERROR(VLOOKUP(C72,#REF!,5,0),"0")</f>
        <v>0</v>
      </c>
      <c r="G72" s="9">
        <f>Table_246[[#This Row],[QT]]*Table_246[[#This Row],[Custo 
Un]]</f>
        <v>0</v>
      </c>
      <c r="H72" s="45">
        <v>55.2</v>
      </c>
      <c r="I72" s="9">
        <f>H72*D72</f>
        <v>55.2</v>
      </c>
      <c r="J72" s="41" t="s">
        <v>1004</v>
      </c>
      <c r="K72" s="43">
        <f>Table_246[[#This Row],[Valor da 
venda]]-Table_246[[#This Row],[Valor gasto]]</f>
        <v>55.2</v>
      </c>
      <c r="L72" s="45" t="s">
        <v>15</v>
      </c>
      <c r="P72" s="160"/>
      <c r="Q72"/>
      <c r="R72" s="160"/>
      <c r="V72"/>
    </row>
    <row r="73" spans="1:22" ht="15.75" customHeight="1" x14ac:dyDescent="0.3">
      <c r="A73" s="21">
        <f>IF(Table_246[[#This Row],[Data]]="","",MONTH(Table_246[[#This Row],[Data]]))</f>
        <v>1</v>
      </c>
      <c r="B73" s="25">
        <v>46053</v>
      </c>
      <c r="C73" s="84" t="s">
        <v>1053</v>
      </c>
      <c r="D73" s="36">
        <v>1</v>
      </c>
      <c r="E73" s="41" t="s">
        <v>620</v>
      </c>
      <c r="F73" s="42">
        <v>12</v>
      </c>
      <c r="G73" s="9">
        <f>Table_246[[#This Row],[QT]]*Table_246[[#This Row],[Custo 
Un]]</f>
        <v>12</v>
      </c>
      <c r="H73" s="45">
        <v>20</v>
      </c>
      <c r="I73" s="9">
        <f>H73*D73</f>
        <v>20</v>
      </c>
      <c r="J73" s="41" t="s">
        <v>545</v>
      </c>
      <c r="K73" s="43">
        <f>Table_246[[#This Row],[Valor da 
venda]]-Table_246[[#This Row],[Valor gasto]]</f>
        <v>8</v>
      </c>
      <c r="L73" s="45" t="s">
        <v>15</v>
      </c>
      <c r="P73" s="160"/>
      <c r="Q73"/>
      <c r="R73" s="160"/>
      <c r="V73"/>
    </row>
    <row r="74" spans="1:22" ht="15.75" customHeight="1" x14ac:dyDescent="0.3">
      <c r="A74" s="21">
        <f>IF(Table_246[[#This Row],[Data]]="","",MONTH(Table_246[[#This Row],[Data]]))</f>
        <v>1</v>
      </c>
      <c r="B74" s="25">
        <v>46053</v>
      </c>
      <c r="C74" s="84" t="s">
        <v>1018</v>
      </c>
      <c r="D74" s="36">
        <v>1</v>
      </c>
      <c r="E74" s="41" t="s">
        <v>620</v>
      </c>
      <c r="F74" s="42">
        <v>5</v>
      </c>
      <c r="G74" s="9">
        <f>Table_246[[#This Row],[QT]]*Table_246[[#This Row],[Custo 
Un]]</f>
        <v>5</v>
      </c>
      <c r="H74" s="45">
        <v>30</v>
      </c>
      <c r="I74" s="9">
        <f>H74*D74</f>
        <v>30</v>
      </c>
      <c r="J74" s="41" t="s">
        <v>545</v>
      </c>
      <c r="K74" s="43">
        <f>Table_246[[#This Row],[Valor da 
venda]]-Table_246[[#This Row],[Valor gasto]]</f>
        <v>25</v>
      </c>
      <c r="L74" s="45" t="s">
        <v>15</v>
      </c>
      <c r="P74" s="160"/>
      <c r="Q74"/>
      <c r="R74" s="160"/>
      <c r="V74"/>
    </row>
    <row r="75" spans="1:22" ht="15.75" customHeight="1" x14ac:dyDescent="0.3">
      <c r="A75" s="21">
        <f>IF(Table_246[[#This Row],[Data]]="","",MONTH(Table_246[[#This Row],[Data]]))</f>
        <v>1</v>
      </c>
      <c r="B75" s="25">
        <v>46053</v>
      </c>
      <c r="C75" s="84" t="s">
        <v>1054</v>
      </c>
      <c r="D75" s="36">
        <v>1</v>
      </c>
      <c r="E75" s="41" t="s">
        <v>996</v>
      </c>
      <c r="F75" s="42" t="str">
        <f>IFERROR(VLOOKUP(C75,#REF!,5,0),"0")</f>
        <v>0</v>
      </c>
      <c r="G75" s="9">
        <f>Table_246[[#This Row],[QT]]*Table_246[[#This Row],[Custo 
Un]]</f>
        <v>0</v>
      </c>
      <c r="H75" s="45">
        <v>10</v>
      </c>
      <c r="I75" s="9">
        <f>H75*D75</f>
        <v>10</v>
      </c>
      <c r="J75" s="41" t="s">
        <v>545</v>
      </c>
      <c r="K75" s="43">
        <f>Table_246[[#This Row],[Valor da 
venda]]-Table_246[[#This Row],[Valor gasto]]</f>
        <v>10</v>
      </c>
      <c r="L75" s="45" t="s">
        <v>15</v>
      </c>
      <c r="P75" s="160"/>
      <c r="Q75"/>
      <c r="R75" s="160"/>
      <c r="V75"/>
    </row>
    <row r="76" spans="1:22" ht="15.75" customHeight="1" x14ac:dyDescent="0.3">
      <c r="A76" s="21">
        <f>IF(Table_246[[#This Row],[Data]]="","",MONTH(Table_246[[#This Row],[Data]]))</f>
        <v>2</v>
      </c>
      <c r="B76" s="25">
        <v>46054</v>
      </c>
      <c r="C76" s="84" t="s">
        <v>1035</v>
      </c>
      <c r="D76" s="36">
        <v>3</v>
      </c>
      <c r="E76" s="41" t="s">
        <v>1055</v>
      </c>
      <c r="F76" s="42" t="str">
        <f>IFERROR(VLOOKUP(C76,#REF!,5,0),"0")</f>
        <v>0</v>
      </c>
      <c r="G76" s="9">
        <f>Table_246[[#This Row],[QT]]*Table_246[[#This Row],[Custo 
Un]]</f>
        <v>0</v>
      </c>
      <c r="H76" s="45">
        <v>22.02</v>
      </c>
      <c r="I76" s="9">
        <f>H76*D76</f>
        <v>66.06</v>
      </c>
      <c r="J76" s="41" t="s">
        <v>17</v>
      </c>
      <c r="K76" s="43">
        <f>Table_246[[#This Row],[Valor da 
venda]]-Table_246[[#This Row],[Valor gasto]]</f>
        <v>66.06</v>
      </c>
      <c r="L76" s="45" t="s">
        <v>15</v>
      </c>
      <c r="P76" s="160"/>
      <c r="Q76"/>
      <c r="R76" s="160"/>
      <c r="V76"/>
    </row>
    <row r="77" spans="1:22" ht="15.75" customHeight="1" x14ac:dyDescent="0.3">
      <c r="A77" s="21">
        <f>IF(Table_246[[#This Row],[Data]]="","",MONTH(Table_246[[#This Row],[Data]]))</f>
        <v>2</v>
      </c>
      <c r="B77" s="25">
        <v>46054</v>
      </c>
      <c r="C77" s="84" t="s">
        <v>1035</v>
      </c>
      <c r="D77" s="36">
        <v>1</v>
      </c>
      <c r="E77" s="41" t="s">
        <v>1056</v>
      </c>
      <c r="F77" s="42" t="str">
        <f>IFERROR(VLOOKUP(C77,#REF!,5,0),"0")</f>
        <v>0</v>
      </c>
      <c r="G77" s="9">
        <f>Table_246[[#This Row],[QT]]*Table_246[[#This Row],[Custo 
Un]]</f>
        <v>0</v>
      </c>
      <c r="H77" s="45">
        <v>7.02</v>
      </c>
      <c r="I77" s="9">
        <f>H77*D77</f>
        <v>7.02</v>
      </c>
      <c r="J77" s="41" t="s">
        <v>17</v>
      </c>
      <c r="K77" s="43">
        <f>Table_246[[#This Row],[Valor da 
venda]]-Table_246[[#This Row],[Valor gasto]]</f>
        <v>7.02</v>
      </c>
      <c r="L77" s="45" t="s">
        <v>15</v>
      </c>
      <c r="P77" s="160"/>
      <c r="Q77"/>
      <c r="R77" s="160"/>
      <c r="V77"/>
    </row>
    <row r="78" spans="1:22" ht="15.75" customHeight="1" x14ac:dyDescent="0.3">
      <c r="A78" s="21">
        <f>IF(Table_246[[#This Row],[Data]]="","",MONTH(Table_246[[#This Row],[Data]]))</f>
        <v>2</v>
      </c>
      <c r="B78" s="25">
        <v>46054</v>
      </c>
      <c r="C78" s="84" t="s">
        <v>1035</v>
      </c>
      <c r="D78" s="36">
        <v>1</v>
      </c>
      <c r="E78" s="41" t="s">
        <v>1057</v>
      </c>
      <c r="F78" s="42" t="str">
        <f>IFERROR(VLOOKUP(C78,#REF!,5,0),"0")</f>
        <v>0</v>
      </c>
      <c r="G78" s="9">
        <f>Table_246[[#This Row],[QT]]*Table_246[[#This Row],[Custo 
Un]]</f>
        <v>0</v>
      </c>
      <c r="H78" s="45">
        <v>7.02</v>
      </c>
      <c r="I78" s="9">
        <f>H78*D78</f>
        <v>7.02</v>
      </c>
      <c r="J78" s="41" t="s">
        <v>17</v>
      </c>
      <c r="K78" s="43">
        <f>Table_246[[#This Row],[Valor da 
venda]]-Table_246[[#This Row],[Valor gasto]]</f>
        <v>7.02</v>
      </c>
      <c r="L78" s="45" t="s">
        <v>15</v>
      </c>
      <c r="P78" s="160"/>
      <c r="Q78"/>
      <c r="R78" s="160"/>
      <c r="V78"/>
    </row>
    <row r="79" spans="1:22" ht="15.75" customHeight="1" x14ac:dyDescent="0.3">
      <c r="A79" s="21">
        <f>IF(Table_246[[#This Row],[Data]]="","",MONTH(Table_246[[#This Row],[Data]]))</f>
        <v>2</v>
      </c>
      <c r="B79" s="25">
        <v>46054</v>
      </c>
      <c r="C79" s="84" t="s">
        <v>1035</v>
      </c>
      <c r="D79" s="36">
        <v>2</v>
      </c>
      <c r="E79" s="41" t="s">
        <v>1058</v>
      </c>
      <c r="F79" s="42" t="str">
        <f>IFERROR(VLOOKUP(C79,#REF!,5,0),"0")</f>
        <v>0</v>
      </c>
      <c r="G79" s="9">
        <f>Table_246[[#This Row],[QT]]*Table_246[[#This Row],[Custo 
Un]]</f>
        <v>0</v>
      </c>
      <c r="H79" s="45">
        <v>14.99</v>
      </c>
      <c r="I79" s="9">
        <f>H79*D79</f>
        <v>29.98</v>
      </c>
      <c r="J79" s="41" t="s">
        <v>17</v>
      </c>
      <c r="K79" s="43">
        <f>Table_246[[#This Row],[Valor da 
venda]]-Table_246[[#This Row],[Valor gasto]]</f>
        <v>29.98</v>
      </c>
      <c r="L79" s="45" t="s">
        <v>15</v>
      </c>
      <c r="P79" s="160"/>
      <c r="Q79"/>
      <c r="R79" s="160"/>
      <c r="V79"/>
    </row>
    <row r="80" spans="1:22" ht="15.75" customHeight="1" x14ac:dyDescent="0.3">
      <c r="A80" s="21">
        <f>IF(Table_246[[#This Row],[Data]]="","",MONTH(Table_246[[#This Row],[Data]]))</f>
        <v>2</v>
      </c>
      <c r="B80" s="25">
        <v>46055</v>
      </c>
      <c r="C80" s="84" t="s">
        <v>1000</v>
      </c>
      <c r="D80" s="36">
        <v>1</v>
      </c>
      <c r="E80" s="41" t="s">
        <v>1059</v>
      </c>
      <c r="F80" s="42" t="str">
        <f>IFERROR(VLOOKUP(C80,#REF!,5,0),"0")</f>
        <v>0</v>
      </c>
      <c r="G80" s="9">
        <f>Table_246[[#This Row],[QT]]*Table_246[[#This Row],[Custo 
Un]]</f>
        <v>0</v>
      </c>
      <c r="H80" s="45">
        <v>14.04</v>
      </c>
      <c r="I80" s="9">
        <f>H80*D80</f>
        <v>14.04</v>
      </c>
      <c r="J80" s="41" t="s">
        <v>17</v>
      </c>
      <c r="K80" s="43">
        <f>Table_246[[#This Row],[Valor da 
venda]]-Table_246[[#This Row],[Valor gasto]]</f>
        <v>14.04</v>
      </c>
      <c r="L80" s="45" t="s">
        <v>15</v>
      </c>
      <c r="P80" s="160"/>
      <c r="Q80"/>
      <c r="R80" s="160"/>
      <c r="V80"/>
    </row>
    <row r="81" spans="1:22" ht="15.75" customHeight="1" x14ac:dyDescent="0.3">
      <c r="A81" s="21">
        <f>IF(Table_246[[#This Row],[Data]]="","",MONTH(Table_246[[#This Row],[Data]]))</f>
        <v>2</v>
      </c>
      <c r="B81" s="25">
        <v>46055</v>
      </c>
      <c r="C81" s="84" t="s">
        <v>1060</v>
      </c>
      <c r="D81" s="36">
        <v>2</v>
      </c>
      <c r="E81" s="41" t="s">
        <v>996</v>
      </c>
      <c r="F81" s="42">
        <v>1.4</v>
      </c>
      <c r="G81" s="9">
        <f>Table_246[[#This Row],[QT]]*Table_246[[#This Row],[Custo 
Un]]</f>
        <v>2.8</v>
      </c>
      <c r="H81" s="45">
        <v>5</v>
      </c>
      <c r="I81" s="9">
        <f>H81*D81</f>
        <v>10</v>
      </c>
      <c r="J81" s="41" t="s">
        <v>545</v>
      </c>
      <c r="K81" s="43">
        <f>Table_246[[#This Row],[Valor da 
venda]]-Table_246[[#This Row],[Valor gasto]]</f>
        <v>7.2</v>
      </c>
      <c r="L81" s="45" t="s">
        <v>15</v>
      </c>
      <c r="P81" s="160"/>
      <c r="Q81"/>
      <c r="R81" s="160"/>
      <c r="V81"/>
    </row>
    <row r="82" spans="1:22" ht="15.75" customHeight="1" x14ac:dyDescent="0.3">
      <c r="A82" s="21">
        <f>IF(Table_246[[#This Row],[Data]]="","",MONTH(Table_246[[#This Row],[Data]]))</f>
        <v>2</v>
      </c>
      <c r="B82" s="25">
        <v>46056</v>
      </c>
      <c r="C82" s="84" t="s">
        <v>90</v>
      </c>
      <c r="D82" s="36">
        <v>1</v>
      </c>
      <c r="E82" s="41" t="s">
        <v>996</v>
      </c>
      <c r="F82" s="42" t="str">
        <f>IFERROR(VLOOKUP(C82,#REF!,5,0),"0")</f>
        <v>0</v>
      </c>
      <c r="G82" s="9">
        <f>Table_246[[#This Row],[QT]]*Table_246[[#This Row],[Custo 
Un]]</f>
        <v>0</v>
      </c>
      <c r="H82" s="45">
        <v>15</v>
      </c>
      <c r="I82" s="9">
        <f>H82*D82</f>
        <v>15</v>
      </c>
      <c r="J82" s="41" t="s">
        <v>545</v>
      </c>
      <c r="K82" s="43">
        <f>Table_246[[#This Row],[Valor da 
venda]]-Table_246[[#This Row],[Valor gasto]]</f>
        <v>15</v>
      </c>
      <c r="L82" s="45" t="s">
        <v>15</v>
      </c>
      <c r="P82" s="160"/>
      <c r="Q82"/>
      <c r="R82" s="160"/>
      <c r="V82"/>
    </row>
    <row r="83" spans="1:22" ht="15.75" customHeight="1" x14ac:dyDescent="0.3">
      <c r="A83" s="21">
        <f>IF(Table_246[[#This Row],[Data]]="","",MONTH(Table_246[[#This Row],[Data]]))</f>
        <v>2</v>
      </c>
      <c r="B83" s="25">
        <v>46056</v>
      </c>
      <c r="C83" s="84" t="s">
        <v>1061</v>
      </c>
      <c r="D83" s="36">
        <v>1</v>
      </c>
      <c r="E83" s="41" t="s">
        <v>1062</v>
      </c>
      <c r="F83" s="42">
        <v>12</v>
      </c>
      <c r="G83" s="9">
        <f>Table_246[[#This Row],[QT]]*Table_246[[#This Row],[Custo 
Un]]</f>
        <v>12</v>
      </c>
      <c r="H83" s="45">
        <v>18.79</v>
      </c>
      <c r="I83" s="9">
        <f>H83*D83</f>
        <v>18.79</v>
      </c>
      <c r="J83" s="41" t="s">
        <v>17</v>
      </c>
      <c r="K83" s="43">
        <f>Table_246[[#This Row],[Valor da 
venda]]-Table_246[[#This Row],[Valor gasto]]</f>
        <v>6.7899999999999991</v>
      </c>
      <c r="L83" s="45" t="s">
        <v>15</v>
      </c>
      <c r="P83" s="160"/>
      <c r="Q83"/>
      <c r="R83" s="160"/>
      <c r="V83"/>
    </row>
    <row r="84" spans="1:22" ht="15.75" customHeight="1" x14ac:dyDescent="0.3">
      <c r="A84" s="21">
        <f>IF(Table_246[[#This Row],[Data]]="","",MONTH(Table_246[[#This Row],[Data]]))</f>
        <v>2</v>
      </c>
      <c r="B84" s="25">
        <v>46056</v>
      </c>
      <c r="C84" s="84" t="s">
        <v>1035</v>
      </c>
      <c r="D84" s="36">
        <v>1</v>
      </c>
      <c r="E84" s="41" t="s">
        <v>1063</v>
      </c>
      <c r="F84" s="42" t="str">
        <f>IFERROR(VLOOKUP(C84,#REF!,5,0),"0")</f>
        <v>0</v>
      </c>
      <c r="G84" s="9">
        <f>Table_246[[#This Row],[QT]]*Table_246[[#This Row],[Custo 
Un]]</f>
        <v>0</v>
      </c>
      <c r="H84" s="45">
        <v>7.02</v>
      </c>
      <c r="I84" s="9">
        <f>H84*D84</f>
        <v>7.02</v>
      </c>
      <c r="J84" s="41" t="s">
        <v>17</v>
      </c>
      <c r="K84" s="43">
        <f>Table_246[[#This Row],[Valor da 
venda]]-Table_246[[#This Row],[Valor gasto]]</f>
        <v>7.02</v>
      </c>
      <c r="L84" s="45" t="s">
        <v>15</v>
      </c>
      <c r="P84" s="160"/>
      <c r="Q84"/>
      <c r="R84" s="160"/>
      <c r="V84"/>
    </row>
    <row r="85" spans="1:22" ht="15.75" customHeight="1" x14ac:dyDescent="0.3">
      <c r="A85" s="21">
        <f>IF(Table_246[[#This Row],[Data]]="","",MONTH(Table_246[[#This Row],[Data]]))</f>
        <v>2</v>
      </c>
      <c r="B85" s="25">
        <v>46056</v>
      </c>
      <c r="C85" s="84" t="s">
        <v>1035</v>
      </c>
      <c r="D85" s="68">
        <v>1</v>
      </c>
      <c r="E85" s="71" t="s">
        <v>1064</v>
      </c>
      <c r="F85" s="42" t="str">
        <f>IFERROR(VLOOKUP(C85,#REF!,5,0),"0")</f>
        <v>0</v>
      </c>
      <c r="G85" s="9">
        <f>Table_246[[#This Row],[QT]]*Table_246[[#This Row],[Custo 
Un]]</f>
        <v>0</v>
      </c>
      <c r="H85" s="76">
        <v>7.2</v>
      </c>
      <c r="I85" s="9">
        <f>H85*D85</f>
        <v>7.2</v>
      </c>
      <c r="J85" s="71" t="s">
        <v>17</v>
      </c>
      <c r="K85" s="43">
        <f>Table_246[[#This Row],[Valor da 
venda]]-Table_246[[#This Row],[Valor gasto]]</f>
        <v>7.2</v>
      </c>
      <c r="L85" s="76" t="s">
        <v>15</v>
      </c>
      <c r="P85" s="160"/>
      <c r="Q85"/>
      <c r="R85" s="160"/>
      <c r="V85"/>
    </row>
    <row r="86" spans="1:22" ht="15.75" customHeight="1" x14ac:dyDescent="0.3">
      <c r="A86" s="21">
        <f>IF(Table_246[[#This Row],[Data]]="","",MONTH(Table_246[[#This Row],[Data]]))</f>
        <v>2</v>
      </c>
      <c r="B86" s="25">
        <v>46056</v>
      </c>
      <c r="C86" s="84" t="s">
        <v>1000</v>
      </c>
      <c r="D86" s="36">
        <v>1</v>
      </c>
      <c r="E86" s="41" t="s">
        <v>1065</v>
      </c>
      <c r="F86" s="42" t="str">
        <f>IFERROR(VLOOKUP(C86,#REF!,5,0),"0")</f>
        <v>0</v>
      </c>
      <c r="G86" s="9">
        <f>Table_246[[#This Row],[QT]]*Table_246[[#This Row],[Custo 
Un]]</f>
        <v>0</v>
      </c>
      <c r="H86" s="45">
        <v>14.99</v>
      </c>
      <c r="I86" s="9">
        <f>H86*D86</f>
        <v>14.99</v>
      </c>
      <c r="J86" s="41" t="s">
        <v>17</v>
      </c>
      <c r="K86" s="43">
        <f>Table_246[[#This Row],[Valor da 
venda]]-Table_246[[#This Row],[Valor gasto]]</f>
        <v>14.99</v>
      </c>
      <c r="L86" s="45" t="s">
        <v>15</v>
      </c>
      <c r="P86" s="160"/>
      <c r="Q86"/>
      <c r="R86" s="160"/>
      <c r="V86"/>
    </row>
    <row r="87" spans="1:22" ht="15.75" customHeight="1" x14ac:dyDescent="0.3">
      <c r="A87" s="21">
        <f>IF(Table_246[[#This Row],[Data]]="","",MONTH(Table_246[[#This Row],[Data]]))</f>
        <v>2</v>
      </c>
      <c r="B87" s="25">
        <v>46056</v>
      </c>
      <c r="C87" s="84" t="s">
        <v>1000</v>
      </c>
      <c r="D87" s="36">
        <v>1</v>
      </c>
      <c r="E87" s="41" t="s">
        <v>1066</v>
      </c>
      <c r="F87" s="42" t="str">
        <f>IFERROR(VLOOKUP(C87,#REF!,5,0),"0")</f>
        <v>0</v>
      </c>
      <c r="G87" s="9">
        <f>Table_246[[#This Row],[QT]]*Table_246[[#This Row],[Custo 
Un]]</f>
        <v>0</v>
      </c>
      <c r="H87" s="45">
        <v>14.04</v>
      </c>
      <c r="I87" s="9">
        <f>H87*D87</f>
        <v>14.04</v>
      </c>
      <c r="J87" s="41" t="s">
        <v>17</v>
      </c>
      <c r="K87" s="43">
        <f>Table_246[[#This Row],[Valor da 
venda]]-Table_246[[#This Row],[Valor gasto]]</f>
        <v>14.04</v>
      </c>
      <c r="L87" s="45" t="s">
        <v>15</v>
      </c>
      <c r="P87" s="160"/>
      <c r="Q87"/>
      <c r="R87" s="160"/>
      <c r="V87"/>
    </row>
    <row r="88" spans="1:22" ht="15.75" customHeight="1" x14ac:dyDescent="0.3">
      <c r="A88" s="21">
        <f>IF(Table_246[[#This Row],[Data]]="","",MONTH(Table_246[[#This Row],[Data]]))</f>
        <v>2</v>
      </c>
      <c r="B88" s="25">
        <v>46057</v>
      </c>
      <c r="C88" s="84" t="s">
        <v>1067</v>
      </c>
      <c r="D88" s="36">
        <v>1</v>
      </c>
      <c r="E88" s="41" t="s">
        <v>996</v>
      </c>
      <c r="F88" s="42" t="str">
        <f>IFERROR(VLOOKUP(C88,#REF!,5,0),"0")</f>
        <v>0</v>
      </c>
      <c r="G88" s="9">
        <f>Table_246[[#This Row],[QT]]*Table_246[[#This Row],[Custo 
Un]]</f>
        <v>0</v>
      </c>
      <c r="H88" s="45">
        <v>10</v>
      </c>
      <c r="I88" s="9">
        <f>H88*D88</f>
        <v>10</v>
      </c>
      <c r="J88" s="41" t="s">
        <v>545</v>
      </c>
      <c r="K88" s="43">
        <f>Table_246[[#This Row],[Valor da 
venda]]-Table_246[[#This Row],[Valor gasto]]</f>
        <v>10</v>
      </c>
      <c r="L88" s="45" t="s">
        <v>15</v>
      </c>
      <c r="P88" s="160"/>
      <c r="Q88"/>
      <c r="R88" s="160"/>
      <c r="V88"/>
    </row>
    <row r="89" spans="1:22" ht="15.75" customHeight="1" x14ac:dyDescent="0.3">
      <c r="A89" s="21">
        <f>IF(Table_246[[#This Row],[Data]]="","",MONTH(Table_246[[#This Row],[Data]]))</f>
        <v>2</v>
      </c>
      <c r="B89" s="25">
        <v>46057</v>
      </c>
      <c r="C89" s="84" t="s">
        <v>1061</v>
      </c>
      <c r="D89" s="36">
        <v>1</v>
      </c>
      <c r="E89" s="41" t="s">
        <v>1068</v>
      </c>
      <c r="F89" s="42">
        <v>12.5</v>
      </c>
      <c r="G89" s="9">
        <f>Table_246[[#This Row],[QT]]*Table_246[[#This Row],[Custo 
Un]]</f>
        <v>12.5</v>
      </c>
      <c r="H89" s="45">
        <v>18.79</v>
      </c>
      <c r="I89" s="9">
        <f>H89*D89</f>
        <v>18.79</v>
      </c>
      <c r="J89" s="41" t="s">
        <v>17</v>
      </c>
      <c r="K89" s="43">
        <f>Table_246[[#This Row],[Valor da 
venda]]-Table_246[[#This Row],[Valor gasto]]</f>
        <v>6.2899999999999991</v>
      </c>
      <c r="L89" s="45" t="s">
        <v>15</v>
      </c>
      <c r="P89" s="160"/>
      <c r="Q89"/>
      <c r="R89" s="160"/>
      <c r="V89"/>
    </row>
    <row r="90" spans="1:22" ht="15.75" customHeight="1" x14ac:dyDescent="0.3">
      <c r="A90" s="21">
        <f>IF(Table_246[[#This Row],[Data]]="","",MONTH(Table_246[[#This Row],[Data]]))</f>
        <v>2</v>
      </c>
      <c r="B90" s="25">
        <v>46057</v>
      </c>
      <c r="C90" s="84" t="s">
        <v>1035</v>
      </c>
      <c r="D90" s="36">
        <v>1</v>
      </c>
      <c r="E90" s="41" t="s">
        <v>1069</v>
      </c>
      <c r="F90" s="42" t="str">
        <f>IFERROR(VLOOKUP(C90,#REF!,5,0),"0")</f>
        <v>0</v>
      </c>
      <c r="G90" s="9">
        <f>Table_246[[#This Row],[QT]]*Table_246[[#This Row],[Custo 
Un]]</f>
        <v>0</v>
      </c>
      <c r="H90" s="45">
        <v>7.02</v>
      </c>
      <c r="I90" s="9">
        <f>H90*D90</f>
        <v>7.02</v>
      </c>
      <c r="J90" s="41" t="s">
        <v>17</v>
      </c>
      <c r="K90" s="43">
        <f>Table_246[[#This Row],[Valor da 
venda]]-Table_246[[#This Row],[Valor gasto]]</f>
        <v>7.02</v>
      </c>
      <c r="L90" s="45" t="s">
        <v>15</v>
      </c>
      <c r="P90" s="160"/>
      <c r="Q90"/>
      <c r="R90" s="160"/>
      <c r="V90"/>
    </row>
    <row r="91" spans="1:22" ht="15.75" customHeight="1" x14ac:dyDescent="0.3">
      <c r="A91" s="21">
        <f>IF(Table_246[[#This Row],[Data]]="","",MONTH(Table_246[[#This Row],[Data]]))</f>
        <v>2</v>
      </c>
      <c r="B91" s="25">
        <v>46057</v>
      </c>
      <c r="C91" s="84" t="s">
        <v>1025</v>
      </c>
      <c r="D91" s="36">
        <v>1</v>
      </c>
      <c r="E91" s="41" t="s">
        <v>1070</v>
      </c>
      <c r="F91" s="42">
        <v>20</v>
      </c>
      <c r="G91" s="9">
        <f>Table_246[[#This Row],[QT]]*Table_246[[#This Row],[Custo 
Un]]</f>
        <v>20</v>
      </c>
      <c r="H91" s="45">
        <v>30</v>
      </c>
      <c r="I91" s="9">
        <f>H91*D91</f>
        <v>30</v>
      </c>
      <c r="J91" s="41" t="s">
        <v>545</v>
      </c>
      <c r="K91" s="43">
        <f>Table_246[[#This Row],[Valor da 
venda]]-Table_246[[#This Row],[Valor gasto]]</f>
        <v>10</v>
      </c>
      <c r="L91" s="45" t="s">
        <v>15</v>
      </c>
      <c r="P91" s="160"/>
      <c r="Q91"/>
      <c r="R91" s="160"/>
      <c r="V91"/>
    </row>
    <row r="92" spans="1:22" ht="15.75" customHeight="1" x14ac:dyDescent="0.3">
      <c r="A92" s="21">
        <f>IF(Table_246[[#This Row],[Data]]="","",MONTH(Table_246[[#This Row],[Data]]))</f>
        <v>2</v>
      </c>
      <c r="B92" s="25">
        <v>46057</v>
      </c>
      <c r="C92" s="84" t="s">
        <v>1020</v>
      </c>
      <c r="D92" s="36">
        <v>1</v>
      </c>
      <c r="E92" s="41" t="s">
        <v>1070</v>
      </c>
      <c r="F92" s="42">
        <v>5</v>
      </c>
      <c r="G92" s="9">
        <f>Table_246[[#This Row],[QT]]*Table_246[[#This Row],[Custo 
Un]]</f>
        <v>5</v>
      </c>
      <c r="H92" s="45">
        <v>10</v>
      </c>
      <c r="I92" s="9">
        <f>H92*D92</f>
        <v>10</v>
      </c>
      <c r="J92" s="41" t="s">
        <v>545</v>
      </c>
      <c r="K92" s="43">
        <f>Table_246[[#This Row],[Valor da 
venda]]-Table_246[[#This Row],[Valor gasto]]</f>
        <v>5</v>
      </c>
      <c r="L92" s="45" t="s">
        <v>15</v>
      </c>
      <c r="P92" s="160"/>
      <c r="Q92"/>
      <c r="R92" s="160"/>
      <c r="V92"/>
    </row>
    <row r="93" spans="1:22" ht="15.75" customHeight="1" x14ac:dyDescent="0.3">
      <c r="A93" s="21">
        <f>IF(Table_246[[#This Row],[Data]]="","",MONTH(Table_246[[#This Row],[Data]]))</f>
        <v>2</v>
      </c>
      <c r="B93" s="25">
        <v>46057</v>
      </c>
      <c r="C93" s="84" t="s">
        <v>1071</v>
      </c>
      <c r="D93" s="36">
        <v>1</v>
      </c>
      <c r="E93" s="41" t="s">
        <v>1070</v>
      </c>
      <c r="F93" s="42">
        <v>5</v>
      </c>
      <c r="G93" s="9">
        <f>Table_246[[#This Row],[QT]]*Table_246[[#This Row],[Custo 
Un]]</f>
        <v>5</v>
      </c>
      <c r="H93" s="45">
        <v>10</v>
      </c>
      <c r="I93" s="9">
        <f>H93*D93</f>
        <v>10</v>
      </c>
      <c r="J93" s="41" t="s">
        <v>545</v>
      </c>
      <c r="K93" s="43">
        <f>Table_246[[#This Row],[Valor da 
venda]]-Table_246[[#This Row],[Valor gasto]]</f>
        <v>5</v>
      </c>
      <c r="L93" s="45" t="s">
        <v>15</v>
      </c>
      <c r="P93" s="160"/>
      <c r="Q93"/>
      <c r="R93" s="160"/>
      <c r="V93"/>
    </row>
    <row r="94" spans="1:22" ht="15.75" customHeight="1" x14ac:dyDescent="0.3">
      <c r="A94" s="21">
        <f>IF(Table_246[[#This Row],[Data]]="","",MONTH(Table_246[[#This Row],[Data]]))</f>
        <v>2</v>
      </c>
      <c r="B94" s="25">
        <v>46057</v>
      </c>
      <c r="C94" s="84" t="s">
        <v>1035</v>
      </c>
      <c r="D94" s="36">
        <v>1</v>
      </c>
      <c r="E94" s="41" t="s">
        <v>1072</v>
      </c>
      <c r="F94" s="42" t="str">
        <f>IFERROR(VLOOKUP(C94,#REF!,5,0),"0")</f>
        <v>0</v>
      </c>
      <c r="G94" s="9">
        <f>Table_246[[#This Row],[QT]]*Table_246[[#This Row],[Custo 
Un]]</f>
        <v>0</v>
      </c>
      <c r="H94" s="45">
        <v>7.02</v>
      </c>
      <c r="I94" s="9">
        <f>H94*D94</f>
        <v>7.02</v>
      </c>
      <c r="J94" s="41" t="s">
        <v>17</v>
      </c>
      <c r="K94" s="43">
        <f>Table_246[[#This Row],[Valor da 
venda]]-Table_246[[#This Row],[Valor gasto]]</f>
        <v>7.02</v>
      </c>
      <c r="L94" s="45" t="s">
        <v>15</v>
      </c>
      <c r="P94" s="160"/>
      <c r="Q94"/>
      <c r="R94" s="160"/>
      <c r="V94"/>
    </row>
    <row r="95" spans="1:22" ht="15.75" customHeight="1" x14ac:dyDescent="0.3">
      <c r="A95" s="21">
        <f>IF(Table_246[[#This Row],[Data]]="","",MONTH(Table_246[[#This Row],[Data]]))</f>
        <v>2</v>
      </c>
      <c r="B95" s="25">
        <v>46058</v>
      </c>
      <c r="C95" s="84" t="s">
        <v>1035</v>
      </c>
      <c r="D95" s="36">
        <v>1</v>
      </c>
      <c r="E95" s="41" t="s">
        <v>1073</v>
      </c>
      <c r="F95" s="42" t="str">
        <f>IFERROR(VLOOKUP(C95,#REF!,5,0),"0")</f>
        <v>0</v>
      </c>
      <c r="G95" s="9">
        <f>Table_246[[#This Row],[QT]]*Table_246[[#This Row],[Custo 
Un]]</f>
        <v>0</v>
      </c>
      <c r="H95" s="45">
        <v>7.02</v>
      </c>
      <c r="I95" s="9">
        <f>H95*D95</f>
        <v>7.02</v>
      </c>
      <c r="J95" s="41" t="s">
        <v>17</v>
      </c>
      <c r="K95" s="43">
        <f>Table_246[[#This Row],[Valor da 
venda]]-Table_246[[#This Row],[Valor gasto]]</f>
        <v>7.02</v>
      </c>
      <c r="L95" s="45" t="s">
        <v>15</v>
      </c>
      <c r="P95" s="160"/>
      <c r="Q95"/>
      <c r="R95" s="160"/>
      <c r="V95"/>
    </row>
    <row r="96" spans="1:22" ht="15.75" customHeight="1" x14ac:dyDescent="0.3">
      <c r="A96" s="21">
        <f>IF(Table_246[[#This Row],[Data]]="","",MONTH(Table_246[[#This Row],[Data]]))</f>
        <v>2</v>
      </c>
      <c r="B96" s="25">
        <v>46059</v>
      </c>
      <c r="C96" s="84" t="s">
        <v>1035</v>
      </c>
      <c r="D96" s="36">
        <v>1</v>
      </c>
      <c r="E96" s="41" t="s">
        <v>1074</v>
      </c>
      <c r="F96" s="42" t="str">
        <f>IFERROR(VLOOKUP(C96,#REF!,5,0),"0")</f>
        <v>0</v>
      </c>
      <c r="G96" s="9">
        <f>Table_246[[#This Row],[QT]]*Table_246[[#This Row],[Custo 
Un]]</f>
        <v>0</v>
      </c>
      <c r="H96" s="45">
        <v>7.02</v>
      </c>
      <c r="I96" s="9">
        <f>H96*D96</f>
        <v>7.02</v>
      </c>
      <c r="J96" s="41" t="s">
        <v>17</v>
      </c>
      <c r="K96" s="43">
        <f>Table_246[[#This Row],[Valor da 
venda]]-Table_246[[#This Row],[Valor gasto]]</f>
        <v>7.02</v>
      </c>
      <c r="L96" s="45" t="s">
        <v>15</v>
      </c>
      <c r="P96" s="160"/>
      <c r="Q96"/>
      <c r="R96" s="160"/>
      <c r="V96"/>
    </row>
    <row r="97" spans="1:22" ht="15.75" customHeight="1" x14ac:dyDescent="0.3">
      <c r="A97" s="21">
        <f>IF(Table_246[[#This Row],[Data]]="","",MONTH(Table_246[[#This Row],[Data]]))</f>
        <v>2</v>
      </c>
      <c r="B97" s="25">
        <v>46059</v>
      </c>
      <c r="C97" s="84" t="s">
        <v>1035</v>
      </c>
      <c r="D97" s="36">
        <v>1</v>
      </c>
      <c r="E97" s="41" t="s">
        <v>1075</v>
      </c>
      <c r="F97" s="42" t="str">
        <f>IFERROR(VLOOKUP(C97,#REF!,5,0),"0")</f>
        <v>0</v>
      </c>
      <c r="G97" s="9">
        <f>Table_246[[#This Row],[QT]]*Table_246[[#This Row],[Custo 
Un]]</f>
        <v>0</v>
      </c>
      <c r="H97" s="45">
        <v>7.02</v>
      </c>
      <c r="I97" s="9">
        <f>H97*D97</f>
        <v>7.02</v>
      </c>
      <c r="J97" s="41" t="s">
        <v>17</v>
      </c>
      <c r="K97" s="43">
        <f>Table_246[[#This Row],[Valor da 
venda]]-Table_246[[#This Row],[Valor gasto]]</f>
        <v>7.02</v>
      </c>
      <c r="L97" s="45" t="s">
        <v>15</v>
      </c>
      <c r="P97" s="160"/>
      <c r="Q97"/>
      <c r="R97" s="160"/>
      <c r="V97"/>
    </row>
    <row r="98" spans="1:22" ht="15.75" customHeight="1" x14ac:dyDescent="0.3">
      <c r="A98" s="21">
        <f>IF(Table_246[[#This Row],[Data]]="","",MONTH(Table_246[[#This Row],[Data]]))</f>
        <v>2</v>
      </c>
      <c r="B98" s="25">
        <v>46059</v>
      </c>
      <c r="C98" s="29" t="s">
        <v>1076</v>
      </c>
      <c r="D98" s="36">
        <v>1</v>
      </c>
      <c r="E98" s="41" t="s">
        <v>996</v>
      </c>
      <c r="F98" s="42">
        <v>11</v>
      </c>
      <c r="G98" s="9">
        <f>Table_246[[#This Row],[QT]]*Table_246[[#This Row],[Custo 
Un]]</f>
        <v>11</v>
      </c>
      <c r="H98" s="45">
        <v>35</v>
      </c>
      <c r="I98" s="9">
        <f>H98*D98</f>
        <v>35</v>
      </c>
      <c r="J98" s="41" t="s">
        <v>545</v>
      </c>
      <c r="K98" s="43">
        <f>Table_246[[#This Row],[Valor da 
venda]]-Table_246[[#This Row],[Valor gasto]]</f>
        <v>24</v>
      </c>
      <c r="L98" s="45" t="s">
        <v>15</v>
      </c>
      <c r="P98" s="160"/>
      <c r="Q98"/>
      <c r="R98" s="160"/>
      <c r="V98"/>
    </row>
    <row r="99" spans="1:22" ht="15.75" customHeight="1" x14ac:dyDescent="0.3">
      <c r="A99" s="21">
        <f>IF(Table_246[[#This Row],[Data]]="","",MONTH(Table_246[[#This Row],[Data]]))</f>
        <v>2</v>
      </c>
      <c r="B99" s="25">
        <v>46059</v>
      </c>
      <c r="C99" s="29" t="s">
        <v>1054</v>
      </c>
      <c r="D99" s="36">
        <v>1</v>
      </c>
      <c r="E99" s="41" t="s">
        <v>996</v>
      </c>
      <c r="F99" s="42" t="str">
        <f>IFERROR(VLOOKUP(C99,#REF!,5,0),"0")</f>
        <v>0</v>
      </c>
      <c r="G99" s="9">
        <f>Table_246[[#This Row],[QT]]*Table_246[[#This Row],[Custo 
Un]]</f>
        <v>0</v>
      </c>
      <c r="H99" s="45">
        <v>10</v>
      </c>
      <c r="I99" s="9">
        <f>H99*D99</f>
        <v>10</v>
      </c>
      <c r="J99" s="41" t="s">
        <v>545</v>
      </c>
      <c r="K99" s="43">
        <f>Table_246[[#This Row],[Valor da 
venda]]-Table_246[[#This Row],[Valor gasto]]</f>
        <v>10</v>
      </c>
      <c r="L99" s="45" t="s">
        <v>15</v>
      </c>
      <c r="P99" s="160"/>
      <c r="Q99"/>
      <c r="R99" s="160"/>
      <c r="V99"/>
    </row>
    <row r="100" spans="1:22" ht="15.75" customHeight="1" x14ac:dyDescent="0.3">
      <c r="A100" s="21">
        <f>IF(Table_246[[#This Row],[Data]]="","",MONTH(Table_246[[#This Row],[Data]]))</f>
        <v>2</v>
      </c>
      <c r="B100" s="25">
        <v>46061</v>
      </c>
      <c r="C100" s="29" t="s">
        <v>1077</v>
      </c>
      <c r="D100" s="36">
        <v>1</v>
      </c>
      <c r="E100" s="41" t="s">
        <v>996</v>
      </c>
      <c r="F100" s="42">
        <v>20</v>
      </c>
      <c r="G100" s="9">
        <f>Table_246[[#This Row],[QT]]*Table_246[[#This Row],[Custo 
Un]]</f>
        <v>20</v>
      </c>
      <c r="H100" s="45">
        <v>45</v>
      </c>
      <c r="I100" s="9">
        <f>H100*D100</f>
        <v>45</v>
      </c>
      <c r="J100" s="41" t="s">
        <v>545</v>
      </c>
      <c r="K100" s="43">
        <f>Table_246[[#This Row],[Valor da 
venda]]-Table_246[[#This Row],[Valor gasto]]</f>
        <v>25</v>
      </c>
      <c r="L100" s="45" t="s">
        <v>15</v>
      </c>
      <c r="P100" s="160"/>
      <c r="Q100"/>
      <c r="R100" s="160"/>
      <c r="V100"/>
    </row>
    <row r="101" spans="1:22" ht="15.75" customHeight="1" x14ac:dyDescent="0.3">
      <c r="A101" s="21">
        <f>IF(Table_246[[#This Row],[Data]]="","",MONTH(Table_246[[#This Row],[Data]]))</f>
        <v>2</v>
      </c>
      <c r="B101" s="25">
        <v>46061</v>
      </c>
      <c r="C101" s="29" t="s">
        <v>1078</v>
      </c>
      <c r="D101" s="36">
        <v>1</v>
      </c>
      <c r="E101" s="41" t="s">
        <v>996</v>
      </c>
      <c r="F101" s="42">
        <v>10</v>
      </c>
      <c r="G101" s="9">
        <f>Table_246[[#This Row],[QT]]*Table_246[[#This Row],[Custo 
Un]]</f>
        <v>10</v>
      </c>
      <c r="H101" s="45">
        <v>20</v>
      </c>
      <c r="I101" s="9">
        <f>H101*D101</f>
        <v>20</v>
      </c>
      <c r="J101" s="41" t="s">
        <v>545</v>
      </c>
      <c r="K101" s="43">
        <f>Table_246[[#This Row],[Valor da 
venda]]-Table_246[[#This Row],[Valor gasto]]</f>
        <v>10</v>
      </c>
      <c r="L101" s="45" t="s">
        <v>15</v>
      </c>
      <c r="P101" s="160"/>
      <c r="Q101"/>
      <c r="R101" s="160"/>
      <c r="V101"/>
    </row>
    <row r="102" spans="1:22" ht="15.75" customHeight="1" x14ac:dyDescent="0.3">
      <c r="A102" s="21">
        <f>IF(Table_246[[#This Row],[Data]]="","",MONTH(Table_246[[#This Row],[Data]]))</f>
        <v>2</v>
      </c>
      <c r="B102" s="25">
        <v>46061</v>
      </c>
      <c r="C102" s="84" t="s">
        <v>1035</v>
      </c>
      <c r="D102" s="36">
        <v>1</v>
      </c>
      <c r="E102" s="41" t="s">
        <v>1079</v>
      </c>
      <c r="F102" s="42" t="str">
        <f>IFERROR(VLOOKUP(C102,#REF!,5,0),"0")</f>
        <v>0</v>
      </c>
      <c r="G102" s="9">
        <f>Table_246[[#This Row],[QT]]*Table_246[[#This Row],[Custo 
Un]]</f>
        <v>0</v>
      </c>
      <c r="H102" s="45">
        <v>7.2</v>
      </c>
      <c r="I102" s="9">
        <f>H102*D102</f>
        <v>7.2</v>
      </c>
      <c r="J102" s="41" t="s">
        <v>17</v>
      </c>
      <c r="K102" s="43">
        <f>Table_246[[#This Row],[Valor da 
venda]]-Table_246[[#This Row],[Valor gasto]]</f>
        <v>7.2</v>
      </c>
      <c r="L102" s="45" t="s">
        <v>15</v>
      </c>
      <c r="P102" s="160"/>
      <c r="Q102"/>
      <c r="R102" s="160"/>
      <c r="V102"/>
    </row>
    <row r="103" spans="1:22" ht="15.75" customHeight="1" x14ac:dyDescent="0.3">
      <c r="A103" s="21">
        <f>IF(Table_246[[#This Row],[Data]]="","",MONTH(Table_246[[#This Row],[Data]]))</f>
        <v>2</v>
      </c>
      <c r="B103" s="25">
        <v>46061</v>
      </c>
      <c r="C103" s="67" t="s">
        <v>1080</v>
      </c>
      <c r="D103" s="36">
        <v>2</v>
      </c>
      <c r="E103" s="41" t="s">
        <v>1081</v>
      </c>
      <c r="F103" s="42" t="str">
        <f>IFERROR(VLOOKUP(C103,#REF!,5,0),"0")</f>
        <v>0</v>
      </c>
      <c r="G103" s="9">
        <f>Table_246[[#This Row],[QT]]*Table_246[[#This Row],[Custo 
Un]]</f>
        <v>0</v>
      </c>
      <c r="H103" s="45">
        <f>28.1/2</f>
        <v>14.05</v>
      </c>
      <c r="I103" s="9">
        <f>H103*D103</f>
        <v>28.1</v>
      </c>
      <c r="J103" s="41" t="s">
        <v>17</v>
      </c>
      <c r="K103" s="43">
        <f>Table_246[[#This Row],[Valor da 
venda]]-Table_246[[#This Row],[Valor gasto]]</f>
        <v>28.1</v>
      </c>
      <c r="L103" s="45" t="s">
        <v>15</v>
      </c>
      <c r="P103" s="160"/>
      <c r="Q103"/>
      <c r="R103" s="160"/>
      <c r="V103"/>
    </row>
    <row r="104" spans="1:22" ht="15.75" customHeight="1" x14ac:dyDescent="0.3">
      <c r="A104" s="21">
        <f>IF(Table_246[[#This Row],[Data]]="","",MONTH(Table_246[[#This Row],[Data]]))</f>
        <v>2</v>
      </c>
      <c r="B104" s="25">
        <v>46062</v>
      </c>
      <c r="C104" s="29" t="s">
        <v>139</v>
      </c>
      <c r="D104" s="36">
        <v>3</v>
      </c>
      <c r="E104" s="41" t="s">
        <v>1082</v>
      </c>
      <c r="F104" s="42" t="str">
        <f>IFERROR(VLOOKUP(C104,#REF!,5,0),"0")</f>
        <v>0</v>
      </c>
      <c r="G104" s="9">
        <f>Table_246[[#This Row],[QT]]*Table_246[[#This Row],[Custo 
Un]]</f>
        <v>0</v>
      </c>
      <c r="H104" s="45">
        <v>1</v>
      </c>
      <c r="I104" s="9">
        <f>H104*D104</f>
        <v>3</v>
      </c>
      <c r="J104" s="41" t="s">
        <v>545</v>
      </c>
      <c r="K104" s="43">
        <f>Table_246[[#This Row],[Valor da 
venda]]-Table_246[[#This Row],[Valor gasto]]</f>
        <v>3</v>
      </c>
      <c r="L104" s="45" t="s">
        <v>15</v>
      </c>
      <c r="P104" s="160"/>
      <c r="Q104"/>
      <c r="R104" s="160"/>
      <c r="V104"/>
    </row>
    <row r="105" spans="1:22" ht="15.75" customHeight="1" x14ac:dyDescent="0.3">
      <c r="A105" s="21">
        <f>IF(Table_246[[#This Row],[Data]]="","",MONTH(Table_246[[#This Row],[Data]]))</f>
        <v>2</v>
      </c>
      <c r="B105" s="25">
        <v>46062</v>
      </c>
      <c r="C105" s="29" t="s">
        <v>1060</v>
      </c>
      <c r="D105" s="36">
        <v>6</v>
      </c>
      <c r="E105" s="41" t="s">
        <v>1083</v>
      </c>
      <c r="F105" s="42" t="str">
        <f>IFERROR(VLOOKUP(C105,#REF!,5,0),"0")</f>
        <v>0</v>
      </c>
      <c r="G105" s="9">
        <f>Table_246[[#This Row],[QT]]*Table_246[[#This Row],[Custo 
Un]]</f>
        <v>0</v>
      </c>
      <c r="H105" s="45">
        <v>5</v>
      </c>
      <c r="I105" s="9">
        <f>H105*D105</f>
        <v>30</v>
      </c>
      <c r="J105" s="41" t="s">
        <v>545</v>
      </c>
      <c r="K105" s="43">
        <f>Table_246[[#This Row],[Valor da 
venda]]-Table_246[[#This Row],[Valor gasto]]</f>
        <v>30</v>
      </c>
      <c r="L105" s="45" t="s">
        <v>15</v>
      </c>
      <c r="P105" s="160"/>
      <c r="Q105"/>
      <c r="R105" s="160"/>
      <c r="V105"/>
    </row>
    <row r="106" spans="1:22" ht="15.75" customHeight="1" x14ac:dyDescent="0.3">
      <c r="A106" s="21">
        <f>IF(Table_246[[#This Row],[Data]]="","",MONTH(Table_246[[#This Row],[Data]]))</f>
        <v>2</v>
      </c>
      <c r="B106" s="25">
        <v>46062</v>
      </c>
      <c r="C106" s="29" t="s">
        <v>1060</v>
      </c>
      <c r="D106" s="36">
        <v>2</v>
      </c>
      <c r="E106" s="41" t="s">
        <v>996</v>
      </c>
      <c r="F106" s="42" t="str">
        <f>IFERROR(VLOOKUP(C106,#REF!,5,0),"0")</f>
        <v>0</v>
      </c>
      <c r="G106" s="9">
        <f>Table_246[[#This Row],[QT]]*Table_246[[#This Row],[Custo 
Un]]</f>
        <v>0</v>
      </c>
      <c r="H106" s="45">
        <v>5</v>
      </c>
      <c r="I106" s="9">
        <f>H106*D106</f>
        <v>10</v>
      </c>
      <c r="J106" s="41" t="s">
        <v>545</v>
      </c>
      <c r="K106" s="43">
        <f>Table_246[[#This Row],[Valor da 
venda]]-Table_246[[#This Row],[Valor gasto]]</f>
        <v>10</v>
      </c>
      <c r="L106" s="45" t="s">
        <v>15</v>
      </c>
      <c r="P106" s="160"/>
      <c r="Q106"/>
      <c r="R106" s="160"/>
      <c r="V106"/>
    </row>
    <row r="107" spans="1:22" ht="15.75" customHeight="1" x14ac:dyDescent="0.3">
      <c r="A107" s="21">
        <f>IF(Table_246[[#This Row],[Data]]="","",MONTH(Table_246[[#This Row],[Data]]))</f>
        <v>2</v>
      </c>
      <c r="B107" s="25">
        <v>46063</v>
      </c>
      <c r="C107" s="29" t="s">
        <v>1026</v>
      </c>
      <c r="D107" s="36">
        <v>1</v>
      </c>
      <c r="E107" s="41" t="s">
        <v>906</v>
      </c>
      <c r="F107" s="42" t="str">
        <f>IFERROR(VLOOKUP(C107,#REF!,5,0),"0")</f>
        <v>0</v>
      </c>
      <c r="G107" s="9">
        <f>Table_246[[#This Row],[QT]]*Table_246[[#This Row],[Custo 
Un]]</f>
        <v>0</v>
      </c>
      <c r="H107" s="45">
        <v>30</v>
      </c>
      <c r="I107" s="9">
        <f>H107*D107</f>
        <v>30</v>
      </c>
      <c r="J107" s="41" t="s">
        <v>545</v>
      </c>
      <c r="K107" s="43">
        <f>Table_246[[#This Row],[Valor da 
venda]]-Table_246[[#This Row],[Valor gasto]]</f>
        <v>30</v>
      </c>
      <c r="L107" s="45" t="s">
        <v>15</v>
      </c>
      <c r="P107" s="160"/>
      <c r="Q107"/>
      <c r="R107" s="160"/>
      <c r="V107"/>
    </row>
    <row r="108" spans="1:22" ht="15.75" customHeight="1" x14ac:dyDescent="0.3">
      <c r="A108" s="21">
        <f>IF(Table_246[[#This Row],[Data]]="","",MONTH(Table_246[[#This Row],[Data]]))</f>
        <v>2</v>
      </c>
      <c r="B108" s="25">
        <v>46063</v>
      </c>
      <c r="C108" s="29" t="s">
        <v>1084</v>
      </c>
      <c r="D108" s="36">
        <v>1</v>
      </c>
      <c r="E108" s="41" t="s">
        <v>1085</v>
      </c>
      <c r="F108" s="42" t="str">
        <f>IFERROR(VLOOKUP(C108,#REF!,5,0),"0")</f>
        <v>0</v>
      </c>
      <c r="G108" s="9">
        <f>Table_246[[#This Row],[QT]]*Table_246[[#This Row],[Custo 
Un]]</f>
        <v>0</v>
      </c>
      <c r="H108" s="45">
        <v>35</v>
      </c>
      <c r="I108" s="9">
        <f>H108*D108</f>
        <v>35</v>
      </c>
      <c r="J108" s="41" t="s">
        <v>545</v>
      </c>
      <c r="K108" s="43">
        <f>Table_246[[#This Row],[Valor da 
venda]]-Table_246[[#This Row],[Valor gasto]]</f>
        <v>35</v>
      </c>
      <c r="L108" s="45" t="s">
        <v>15</v>
      </c>
      <c r="P108" s="160"/>
      <c r="Q108"/>
      <c r="R108" s="160"/>
      <c r="V108"/>
    </row>
    <row r="109" spans="1:22" ht="15.75" customHeight="1" x14ac:dyDescent="0.3">
      <c r="A109" s="21">
        <f>IF(Table_246[[#This Row],[Data]]="","",MONTH(Table_246[[#This Row],[Data]]))</f>
        <v>2</v>
      </c>
      <c r="B109" s="25">
        <v>46063</v>
      </c>
      <c r="C109" s="84" t="s">
        <v>1035</v>
      </c>
      <c r="D109" s="36">
        <v>1</v>
      </c>
      <c r="E109" s="41" t="s">
        <v>1086</v>
      </c>
      <c r="F109" s="42" t="str">
        <f>IFERROR(VLOOKUP(C109,#REF!,5,0),"0")</f>
        <v>0</v>
      </c>
      <c r="G109" s="9">
        <f>Table_246[[#This Row],[QT]]*Table_246[[#This Row],[Custo 
Un]]</f>
        <v>0</v>
      </c>
      <c r="H109" s="45">
        <v>7.02</v>
      </c>
      <c r="I109" s="9">
        <f>H109*D109</f>
        <v>7.02</v>
      </c>
      <c r="J109" s="41" t="s">
        <v>17</v>
      </c>
      <c r="K109" s="43">
        <f>Table_246[[#This Row],[Valor da 
venda]]-Table_246[[#This Row],[Valor gasto]]</f>
        <v>7.02</v>
      </c>
      <c r="L109" s="45" t="s">
        <v>15</v>
      </c>
      <c r="P109" s="160"/>
      <c r="Q109"/>
      <c r="R109" s="160"/>
      <c r="V109"/>
    </row>
    <row r="110" spans="1:22" ht="15.75" customHeight="1" x14ac:dyDescent="0.3">
      <c r="A110" s="21">
        <f>IF(Table_246[[#This Row],[Data]]="","",MONTH(Table_246[[#This Row],[Data]]))</f>
        <v>2</v>
      </c>
      <c r="B110" s="25">
        <v>46063</v>
      </c>
      <c r="C110" s="29" t="s">
        <v>1060</v>
      </c>
      <c r="D110" s="36">
        <v>1</v>
      </c>
      <c r="E110" s="41" t="s">
        <v>996</v>
      </c>
      <c r="F110" s="42" t="str">
        <f>IFERROR(VLOOKUP(C110,#REF!,5,0),"0")</f>
        <v>0</v>
      </c>
      <c r="G110" s="9">
        <f>Table_246[[#This Row],[QT]]*Table_246[[#This Row],[Custo 
Un]]</f>
        <v>0</v>
      </c>
      <c r="H110" s="45">
        <v>5</v>
      </c>
      <c r="I110" s="9">
        <f>H110*D110</f>
        <v>5</v>
      </c>
      <c r="J110" s="41" t="s">
        <v>545</v>
      </c>
      <c r="K110" s="43">
        <f>Table_246[[#This Row],[Valor da 
venda]]-Table_246[[#This Row],[Valor gasto]]</f>
        <v>5</v>
      </c>
      <c r="L110" s="45" t="s">
        <v>15</v>
      </c>
      <c r="P110" s="160"/>
      <c r="Q110"/>
      <c r="R110" s="160"/>
      <c r="V110"/>
    </row>
    <row r="111" spans="1:22" ht="15.75" customHeight="1" x14ac:dyDescent="0.3">
      <c r="A111" s="21">
        <f>IF(Table_246[[#This Row],[Data]]="","",MONTH(Table_246[[#This Row],[Data]]))</f>
        <v>2</v>
      </c>
      <c r="B111" s="25">
        <v>46064</v>
      </c>
      <c r="C111" s="29" t="s">
        <v>1087</v>
      </c>
      <c r="D111" s="36">
        <v>1</v>
      </c>
      <c r="E111" s="41" t="s">
        <v>996</v>
      </c>
      <c r="F111" s="42">
        <v>5</v>
      </c>
      <c r="G111" s="9">
        <f>Table_246[[#This Row],[QT]]*Table_246[[#This Row],[Custo 
Un]]</f>
        <v>5</v>
      </c>
      <c r="H111" s="45">
        <v>15</v>
      </c>
      <c r="I111" s="9">
        <f>H111*D111</f>
        <v>15</v>
      </c>
      <c r="J111" s="41" t="s">
        <v>545</v>
      </c>
      <c r="K111" s="43">
        <f>Table_246[[#This Row],[Valor da 
venda]]-Table_246[[#This Row],[Valor gasto]]</f>
        <v>10</v>
      </c>
      <c r="L111" s="45" t="s">
        <v>15</v>
      </c>
      <c r="P111" s="160"/>
      <c r="Q111"/>
      <c r="R111" s="160"/>
      <c r="V111"/>
    </row>
    <row r="112" spans="1:22" ht="15.75" customHeight="1" x14ac:dyDescent="0.3">
      <c r="A112" s="21">
        <f>IF(Table_246[[#This Row],[Data]]="","",MONTH(Table_246[[#This Row],[Data]]))</f>
        <v>2</v>
      </c>
      <c r="B112" s="25">
        <v>46064</v>
      </c>
      <c r="C112" s="84" t="s">
        <v>1061</v>
      </c>
      <c r="D112" s="36">
        <v>1</v>
      </c>
      <c r="E112" s="41" t="s">
        <v>1088</v>
      </c>
      <c r="F112" s="42">
        <v>12.5</v>
      </c>
      <c r="G112" s="9">
        <f>Table_246[[#This Row],[QT]]*Table_246[[#This Row],[Custo 
Un]]</f>
        <v>12.5</v>
      </c>
      <c r="H112" s="45">
        <v>18.79</v>
      </c>
      <c r="I112" s="9">
        <f>H112*D112</f>
        <v>18.79</v>
      </c>
      <c r="J112" s="41" t="s">
        <v>17</v>
      </c>
      <c r="K112" s="43">
        <f>Table_246[[#This Row],[Valor da 
venda]]-Table_246[[#This Row],[Valor gasto]]</f>
        <v>6.2899999999999991</v>
      </c>
      <c r="L112" s="45" t="s">
        <v>15</v>
      </c>
      <c r="P112" s="160"/>
      <c r="Q112"/>
      <c r="R112" s="160"/>
      <c r="V112"/>
    </row>
    <row r="113" spans="1:22" ht="15.75" customHeight="1" x14ac:dyDescent="0.3">
      <c r="A113" s="21">
        <f>IF(Table_246[[#This Row],[Data]]="","",MONTH(Table_246[[#This Row],[Data]]))</f>
        <v>2</v>
      </c>
      <c r="B113" s="25">
        <v>46064</v>
      </c>
      <c r="C113" s="29" t="s">
        <v>90</v>
      </c>
      <c r="D113" s="36">
        <v>2</v>
      </c>
      <c r="E113" s="41" t="s">
        <v>996</v>
      </c>
      <c r="F113" s="42" t="str">
        <f>IFERROR(VLOOKUP(C113,#REF!,5,0),"0")</f>
        <v>0</v>
      </c>
      <c r="G113" s="9">
        <f>Table_246[[#This Row],[QT]]*Table_246[[#This Row],[Custo 
Un]]</f>
        <v>0</v>
      </c>
      <c r="H113" s="45">
        <v>15</v>
      </c>
      <c r="I113" s="9">
        <f>H113*D113</f>
        <v>30</v>
      </c>
      <c r="J113" s="41" t="s">
        <v>545</v>
      </c>
      <c r="K113" s="43">
        <f>Table_246[[#This Row],[Valor da 
venda]]-Table_246[[#This Row],[Valor gasto]]</f>
        <v>30</v>
      </c>
      <c r="L113" s="45" t="s">
        <v>15</v>
      </c>
      <c r="P113" s="160"/>
      <c r="Q113"/>
      <c r="R113" s="160"/>
      <c r="V113"/>
    </row>
    <row r="114" spans="1:22" ht="15.75" customHeight="1" x14ac:dyDescent="0.3">
      <c r="A114" s="21">
        <f>IF(Table_246[[#This Row],[Data]]="","",MONTH(Table_246[[#This Row],[Data]]))</f>
        <v>2</v>
      </c>
      <c r="B114" s="25">
        <v>46064</v>
      </c>
      <c r="C114" s="84" t="s">
        <v>1035</v>
      </c>
      <c r="D114" s="36">
        <v>1</v>
      </c>
      <c r="E114" s="41" t="s">
        <v>1089</v>
      </c>
      <c r="F114" s="42" t="str">
        <f>IFERROR(VLOOKUP(C114,#REF!,5,0),"0")</f>
        <v>0</v>
      </c>
      <c r="G114" s="9">
        <f>Table_246[[#This Row],[QT]]*Table_246[[#This Row],[Custo 
Un]]</f>
        <v>0</v>
      </c>
      <c r="H114" s="45">
        <v>7.02</v>
      </c>
      <c r="I114" s="9">
        <f>H114*D114</f>
        <v>7.02</v>
      </c>
      <c r="J114" s="41" t="s">
        <v>17</v>
      </c>
      <c r="K114" s="43">
        <f>Table_246[[#This Row],[Valor da 
venda]]-Table_246[[#This Row],[Valor gasto]]</f>
        <v>7.02</v>
      </c>
      <c r="L114" s="45" t="s">
        <v>15</v>
      </c>
      <c r="P114" s="160"/>
      <c r="Q114"/>
      <c r="R114" s="160"/>
      <c r="V114"/>
    </row>
    <row r="115" spans="1:22" ht="15.75" customHeight="1" x14ac:dyDescent="0.3">
      <c r="A115" s="21">
        <f>IF(Table_246[[#This Row],[Data]]="","",MONTH(Table_246[[#This Row],[Data]]))</f>
        <v>2</v>
      </c>
      <c r="B115" s="25">
        <v>46064</v>
      </c>
      <c r="C115" s="84" t="s">
        <v>1035</v>
      </c>
      <c r="D115" s="36">
        <v>1</v>
      </c>
      <c r="E115" s="41" t="s">
        <v>1090</v>
      </c>
      <c r="F115" s="42" t="str">
        <f>IFERROR(VLOOKUP(C115,#REF!,5,0),"0")</f>
        <v>0</v>
      </c>
      <c r="G115" s="9">
        <f>Table_246[[#This Row],[QT]]*Table_246[[#This Row],[Custo 
Un]]</f>
        <v>0</v>
      </c>
      <c r="H115" s="45">
        <v>7.02</v>
      </c>
      <c r="I115" s="9">
        <f>H115*D115</f>
        <v>7.02</v>
      </c>
      <c r="J115" s="41" t="s">
        <v>17</v>
      </c>
      <c r="K115" s="43">
        <f>Table_246[[#This Row],[Valor da 
venda]]-Table_246[[#This Row],[Valor gasto]]</f>
        <v>7.02</v>
      </c>
      <c r="L115" s="45" t="s">
        <v>15</v>
      </c>
      <c r="P115" s="160"/>
      <c r="Q115"/>
      <c r="R115" s="160"/>
      <c r="V115"/>
    </row>
    <row r="116" spans="1:22" ht="15.75" customHeight="1" x14ac:dyDescent="0.3">
      <c r="A116" s="21">
        <f>IF(Table_246[[#This Row],[Data]]="","",MONTH(Table_246[[#This Row],[Data]]))</f>
        <v>2</v>
      </c>
      <c r="B116" s="25">
        <v>46064</v>
      </c>
      <c r="C116" s="29" t="s">
        <v>1000</v>
      </c>
      <c r="D116" s="36">
        <v>1</v>
      </c>
      <c r="E116" s="41" t="s">
        <v>1091</v>
      </c>
      <c r="F116" s="42" t="str">
        <f>IFERROR(VLOOKUP(C116,#REF!,5,0),"0")</f>
        <v>0</v>
      </c>
      <c r="G116" s="9">
        <f>Table_246[[#This Row],[QT]]*Table_246[[#This Row],[Custo 
Un]]</f>
        <v>0</v>
      </c>
      <c r="H116" s="45">
        <v>12.14</v>
      </c>
      <c r="I116" s="9">
        <f>H116*D116</f>
        <v>12.14</v>
      </c>
      <c r="J116" s="41" t="s">
        <v>17</v>
      </c>
      <c r="K116" s="43">
        <f>Table_246[[#This Row],[Valor da 
venda]]-Table_246[[#This Row],[Valor gasto]]</f>
        <v>12.14</v>
      </c>
      <c r="L116" s="45" t="s">
        <v>15</v>
      </c>
      <c r="P116" s="160"/>
      <c r="Q116"/>
      <c r="R116" s="160"/>
      <c r="V116"/>
    </row>
    <row r="117" spans="1:22" ht="15.75" customHeight="1" x14ac:dyDescent="0.3">
      <c r="A117" s="21">
        <f>IF(Table_246[[#This Row],[Data]]="","",MONTH(Table_246[[#This Row],[Data]]))</f>
        <v>2</v>
      </c>
      <c r="B117" s="25">
        <v>46064</v>
      </c>
      <c r="C117" s="29" t="s">
        <v>1000</v>
      </c>
      <c r="D117" s="36">
        <v>3</v>
      </c>
      <c r="E117" s="41" t="s">
        <v>1092</v>
      </c>
      <c r="F117" s="42" t="str">
        <f>IFERROR(VLOOKUP(C117,#REF!,5,0),"0")</f>
        <v>0</v>
      </c>
      <c r="G117" s="9">
        <f>Table_246[[#This Row],[QT]]*Table_246[[#This Row],[Custo 
Un]]</f>
        <v>0</v>
      </c>
      <c r="H117" s="45">
        <f>36.44/3</f>
        <v>12.146666666666667</v>
      </c>
      <c r="I117" s="9">
        <f>H117*D117</f>
        <v>36.44</v>
      </c>
      <c r="J117" s="41" t="s">
        <v>17</v>
      </c>
      <c r="K117" s="43">
        <f>Table_246[[#This Row],[Valor da 
venda]]-Table_246[[#This Row],[Valor gasto]]</f>
        <v>36.44</v>
      </c>
      <c r="L117" s="45" t="s">
        <v>15</v>
      </c>
      <c r="P117" s="160"/>
      <c r="Q117"/>
      <c r="R117" s="160"/>
      <c r="V117"/>
    </row>
    <row r="118" spans="1:22" ht="15.75" customHeight="1" x14ac:dyDescent="0.3">
      <c r="A118" s="21">
        <f>IF(Table_246[[#This Row],[Data]]="","",MONTH(Table_246[[#This Row],[Data]]))</f>
        <v>2</v>
      </c>
      <c r="B118" s="25">
        <v>46065</v>
      </c>
      <c r="C118" s="29" t="s">
        <v>1050</v>
      </c>
      <c r="D118" s="36">
        <v>1</v>
      </c>
      <c r="E118" s="41" t="s">
        <v>746</v>
      </c>
      <c r="F118" s="42">
        <v>15</v>
      </c>
      <c r="G118" s="9">
        <f>Table_246[[#This Row],[QT]]*Table_246[[#This Row],[Custo 
Un]]</f>
        <v>15</v>
      </c>
      <c r="H118" s="45">
        <v>30</v>
      </c>
      <c r="I118" s="9">
        <f>H118*D118</f>
        <v>30</v>
      </c>
      <c r="J118" s="41" t="s">
        <v>545</v>
      </c>
      <c r="K118" s="43">
        <f>Table_246[[#This Row],[Valor da 
venda]]-Table_246[[#This Row],[Valor gasto]]</f>
        <v>15</v>
      </c>
      <c r="L118" s="45" t="s">
        <v>15</v>
      </c>
      <c r="P118" s="160"/>
      <c r="Q118"/>
      <c r="R118" s="160"/>
      <c r="V118"/>
    </row>
    <row r="119" spans="1:22" ht="15.75" customHeight="1" x14ac:dyDescent="0.3">
      <c r="A119" s="21">
        <f>IF(Table_246[[#This Row],[Data]]="","",MONTH(Table_246[[#This Row],[Data]]))</f>
        <v>2</v>
      </c>
      <c r="B119" s="25">
        <v>46065</v>
      </c>
      <c r="C119" s="29" t="s">
        <v>1093</v>
      </c>
      <c r="D119" s="36">
        <v>2</v>
      </c>
      <c r="E119" s="41" t="s">
        <v>996</v>
      </c>
      <c r="F119" s="42">
        <v>0</v>
      </c>
      <c r="G119" s="9">
        <f>Table_246[[#This Row],[QT]]*Table_246[[#This Row],[Custo 
Un]]</f>
        <v>0</v>
      </c>
      <c r="H119" s="45">
        <v>10</v>
      </c>
      <c r="I119" s="9">
        <f>H119*D119</f>
        <v>20</v>
      </c>
      <c r="J119" s="41" t="s">
        <v>545</v>
      </c>
      <c r="K119" s="43">
        <f>Table_246[[#This Row],[Valor da 
venda]]-Table_246[[#This Row],[Valor gasto]]</f>
        <v>20</v>
      </c>
      <c r="L119" s="45" t="s">
        <v>15</v>
      </c>
      <c r="P119" s="160"/>
      <c r="Q119"/>
      <c r="R119" s="160"/>
      <c r="V119"/>
    </row>
    <row r="120" spans="1:22" ht="15.75" customHeight="1" x14ac:dyDescent="0.3">
      <c r="A120" s="21">
        <f>IF(Table_246[[#This Row],[Data]]="","",MONTH(Table_246[[#This Row],[Data]]))</f>
        <v>2</v>
      </c>
      <c r="B120" s="25">
        <v>46066</v>
      </c>
      <c r="C120" s="84" t="s">
        <v>1035</v>
      </c>
      <c r="D120" s="36">
        <v>2</v>
      </c>
      <c r="E120" s="41" t="s">
        <v>1094</v>
      </c>
      <c r="F120" s="42" t="str">
        <f>IFERROR(VLOOKUP(C120,#REF!,5,0),"0")</f>
        <v>0</v>
      </c>
      <c r="G120" s="9">
        <f>Table_246[[#This Row],[QT]]*Table_246[[#This Row],[Custo 
Un]]</f>
        <v>0</v>
      </c>
      <c r="H120" s="45">
        <f>14.42/2</f>
        <v>7.21</v>
      </c>
      <c r="I120" s="9">
        <f>H120*D120</f>
        <v>14.42</v>
      </c>
      <c r="J120" s="41" t="s">
        <v>17</v>
      </c>
      <c r="K120" s="43">
        <f>Table_246[[#This Row],[Valor da 
venda]]-Table_246[[#This Row],[Valor gasto]]</f>
        <v>14.42</v>
      </c>
      <c r="L120" s="45" t="s">
        <v>15</v>
      </c>
      <c r="P120" s="160"/>
      <c r="Q120"/>
      <c r="R120" s="160"/>
      <c r="V120"/>
    </row>
    <row r="121" spans="1:22" ht="15.75" customHeight="1" x14ac:dyDescent="0.3">
      <c r="A121" s="21">
        <f>IF(Table_246[[#This Row],[Data]]="","",MONTH(Table_246[[#This Row],[Data]]))</f>
        <v>2</v>
      </c>
      <c r="B121" s="25">
        <v>46066</v>
      </c>
      <c r="C121" s="84" t="s">
        <v>1035</v>
      </c>
      <c r="D121" s="36">
        <v>1</v>
      </c>
      <c r="E121" s="41" t="s">
        <v>1095</v>
      </c>
      <c r="F121" s="42" t="str">
        <f>IFERROR(VLOOKUP(C121,#REF!,5,0),"0")</f>
        <v>0</v>
      </c>
      <c r="G121" s="9">
        <f>Table_246[[#This Row],[QT]]*Table_246[[#This Row],[Custo 
Un]]</f>
        <v>0</v>
      </c>
      <c r="H121" s="45">
        <v>7.02</v>
      </c>
      <c r="I121" s="9">
        <f>H121*D121</f>
        <v>7.02</v>
      </c>
      <c r="J121" s="41" t="s">
        <v>17</v>
      </c>
      <c r="K121" s="43">
        <f>Table_246[[#This Row],[Valor da 
venda]]-Table_246[[#This Row],[Valor gasto]]</f>
        <v>7.02</v>
      </c>
      <c r="L121" s="45" t="s">
        <v>15</v>
      </c>
      <c r="P121" s="160"/>
      <c r="Q121"/>
      <c r="R121" s="160"/>
      <c r="V121"/>
    </row>
    <row r="122" spans="1:22" ht="15.75" customHeight="1" x14ac:dyDescent="0.3">
      <c r="A122" s="21">
        <f>IF(Table_246[[#This Row],[Data]]="","",MONTH(Table_246[[#This Row],[Data]]))</f>
        <v>2</v>
      </c>
      <c r="B122" s="25">
        <v>46066</v>
      </c>
      <c r="C122" s="84" t="s">
        <v>1035</v>
      </c>
      <c r="D122" s="36">
        <v>1</v>
      </c>
      <c r="E122" s="41" t="s">
        <v>1795</v>
      </c>
      <c r="F122" s="42" t="str">
        <f>IFERROR(VLOOKUP(C122,#REF!,5,0),"0")</f>
        <v>0</v>
      </c>
      <c r="G122" s="9">
        <f>Table_246[[#This Row],[QT]]*Table_246[[#This Row],[Custo 
Un]]</f>
        <v>0</v>
      </c>
      <c r="H122" s="45">
        <v>7.02</v>
      </c>
      <c r="I122" s="9">
        <f>H122*D122</f>
        <v>7.02</v>
      </c>
      <c r="J122" s="41" t="s">
        <v>17</v>
      </c>
      <c r="K122" s="43">
        <f>Table_246[[#This Row],[Valor da 
venda]]-Table_246[[#This Row],[Valor gasto]]</f>
        <v>7.02</v>
      </c>
      <c r="L122" s="45" t="s">
        <v>15</v>
      </c>
      <c r="P122" s="160"/>
      <c r="Q122"/>
      <c r="R122" s="160"/>
      <c r="V122"/>
    </row>
    <row r="123" spans="1:22" ht="15.75" customHeight="1" x14ac:dyDescent="0.3">
      <c r="A123" s="21">
        <f>IF(Table_246[[#This Row],[Data]]="","",MONTH(Table_246[[#This Row],[Data]]))</f>
        <v>2</v>
      </c>
      <c r="B123" s="25">
        <v>46066</v>
      </c>
      <c r="C123" s="29" t="s">
        <v>1788</v>
      </c>
      <c r="D123" s="36">
        <v>1</v>
      </c>
      <c r="E123" s="41" t="s">
        <v>996</v>
      </c>
      <c r="F123" s="42" t="str">
        <f>IFERROR(VLOOKUP(C123,#REF!,5,0),"0")</f>
        <v>0</v>
      </c>
      <c r="G123" s="9">
        <f>Table_246[[#This Row],[QT]]*Table_246[[#This Row],[Custo 
Un]]</f>
        <v>0</v>
      </c>
      <c r="H123" s="45">
        <v>10</v>
      </c>
      <c r="I123" s="9">
        <f>H123*D123</f>
        <v>10</v>
      </c>
      <c r="J123" s="41" t="s">
        <v>545</v>
      </c>
      <c r="K123" s="43">
        <f>Table_246[[#This Row],[Valor da 
venda]]-Table_246[[#This Row],[Valor gasto]]</f>
        <v>10</v>
      </c>
      <c r="L123" s="45" t="s">
        <v>15</v>
      </c>
      <c r="P123" s="160"/>
      <c r="Q123"/>
      <c r="R123" s="160"/>
      <c r="V123"/>
    </row>
    <row r="124" spans="1:22" ht="15.75" customHeight="1" x14ac:dyDescent="0.3">
      <c r="A124" s="21">
        <f>IF(Table_246[[#This Row],[Data]]="","",MONTH(Table_246[[#This Row],[Data]]))</f>
        <v>2</v>
      </c>
      <c r="B124" s="25">
        <v>46066</v>
      </c>
      <c r="C124" s="29" t="s">
        <v>1789</v>
      </c>
      <c r="D124" s="36">
        <v>1</v>
      </c>
      <c r="E124" s="41" t="s">
        <v>996</v>
      </c>
      <c r="F124" s="42">
        <v>20</v>
      </c>
      <c r="G124" s="9">
        <f>Table_246[[#This Row],[QT]]*Table_246[[#This Row],[Custo 
Un]]</f>
        <v>20</v>
      </c>
      <c r="H124" s="45">
        <v>50</v>
      </c>
      <c r="I124" s="9">
        <f>H124*D124</f>
        <v>50</v>
      </c>
      <c r="J124" s="41" t="s">
        <v>545</v>
      </c>
      <c r="K124" s="43">
        <f>Table_246[[#This Row],[Valor da 
venda]]-Table_246[[#This Row],[Valor gasto]]</f>
        <v>30</v>
      </c>
      <c r="L124" s="45" t="s">
        <v>15</v>
      </c>
      <c r="P124" s="160"/>
      <c r="Q124"/>
      <c r="R124" s="160"/>
      <c r="V124"/>
    </row>
    <row r="125" spans="1:22" ht="15.75" customHeight="1" x14ac:dyDescent="0.3">
      <c r="A125" s="21">
        <f>IF(Table_246[[#This Row],[Data]]="","",MONTH(Table_246[[#This Row],[Data]]))</f>
        <v>2</v>
      </c>
      <c r="B125" s="25">
        <v>46066</v>
      </c>
      <c r="C125" s="29" t="s">
        <v>1791</v>
      </c>
      <c r="D125" s="36">
        <v>1</v>
      </c>
      <c r="E125" s="41" t="s">
        <v>1790</v>
      </c>
      <c r="F125" s="42" t="str">
        <f>IFERROR(VLOOKUP(C125,#REF!,5,0),"0")</f>
        <v>0</v>
      </c>
      <c r="G125" s="9">
        <f>Table_246[[#This Row],[QT]]*Table_246[[#This Row],[Custo 
Un]]</f>
        <v>0</v>
      </c>
      <c r="H125" s="45">
        <f>771.52-585</f>
        <v>186.51999999999998</v>
      </c>
      <c r="I125" s="9">
        <f>H125*D125</f>
        <v>186.51999999999998</v>
      </c>
      <c r="J125" s="41" t="s">
        <v>17</v>
      </c>
      <c r="K125" s="43">
        <f>Table_246[[#This Row],[Valor da 
venda]]-Table_246[[#This Row],[Valor gasto]]</f>
        <v>186.51999999999998</v>
      </c>
      <c r="L125" s="45" t="s">
        <v>15</v>
      </c>
      <c r="P125" s="160"/>
      <c r="Q125"/>
      <c r="R125" s="160"/>
      <c r="V125"/>
    </row>
    <row r="126" spans="1:22" ht="15.75" customHeight="1" x14ac:dyDescent="0.3">
      <c r="A126" s="21">
        <f>IF(Table_246[[#This Row],[Data]]="","",MONTH(Table_246[[#This Row],[Data]]))</f>
        <v>2</v>
      </c>
      <c r="B126" s="25">
        <v>46067</v>
      </c>
      <c r="C126" s="29" t="s">
        <v>90</v>
      </c>
      <c r="D126" s="36">
        <v>1</v>
      </c>
      <c r="E126" s="41" t="s">
        <v>996</v>
      </c>
      <c r="F126" s="42" t="str">
        <f>IFERROR(VLOOKUP(C126,#REF!,5,0),"0")</f>
        <v>0</v>
      </c>
      <c r="G126" s="9">
        <f>Table_246[[#This Row],[QT]]*Table_246[[#This Row],[Custo 
Un]]</f>
        <v>0</v>
      </c>
      <c r="H126" s="45">
        <v>15</v>
      </c>
      <c r="I126" s="9">
        <f>H126*D126</f>
        <v>15</v>
      </c>
      <c r="J126" s="41" t="s">
        <v>545</v>
      </c>
      <c r="K126" s="43">
        <f>Table_246[[#This Row],[Valor da 
venda]]-Table_246[[#This Row],[Valor gasto]]</f>
        <v>15</v>
      </c>
      <c r="L126" s="45" t="s">
        <v>15</v>
      </c>
      <c r="P126" s="160"/>
      <c r="Q126"/>
      <c r="R126" s="160"/>
      <c r="V126"/>
    </row>
    <row r="127" spans="1:22" ht="15.75" customHeight="1" x14ac:dyDescent="0.3">
      <c r="A127" s="21">
        <f>IF(Table_246[[#This Row],[Data]]="","",MONTH(Table_246[[#This Row],[Data]]))</f>
        <v>2</v>
      </c>
      <c r="B127" s="25">
        <v>46067</v>
      </c>
      <c r="C127" s="29" t="s">
        <v>1792</v>
      </c>
      <c r="D127" s="36">
        <v>1</v>
      </c>
      <c r="E127" s="41" t="s">
        <v>996</v>
      </c>
      <c r="F127" s="42">
        <v>4</v>
      </c>
      <c r="G127" s="9">
        <f>Table_246[[#This Row],[QT]]*Table_246[[#This Row],[Custo 
Un]]</f>
        <v>4</v>
      </c>
      <c r="H127" s="45">
        <v>10</v>
      </c>
      <c r="I127" s="9">
        <f>H127*D127</f>
        <v>10</v>
      </c>
      <c r="J127" s="41" t="s">
        <v>545</v>
      </c>
      <c r="K127" s="43">
        <f>Table_246[[#This Row],[Valor da 
venda]]-Table_246[[#This Row],[Valor gasto]]</f>
        <v>6</v>
      </c>
      <c r="L127" s="45" t="s">
        <v>15</v>
      </c>
      <c r="P127" s="160"/>
      <c r="Q127"/>
      <c r="R127" s="160"/>
      <c r="V127"/>
    </row>
    <row r="128" spans="1:22" ht="15.75" customHeight="1" x14ac:dyDescent="0.3">
      <c r="A128" s="21">
        <f>IF(Table_246[[#This Row],[Data]]="","",MONTH(Table_246[[#This Row],[Data]]))</f>
        <v>2</v>
      </c>
      <c r="B128" s="25">
        <v>46067</v>
      </c>
      <c r="C128" s="84" t="s">
        <v>1035</v>
      </c>
      <c r="D128" s="36">
        <v>1</v>
      </c>
      <c r="E128" s="41" t="s">
        <v>1793</v>
      </c>
      <c r="F128" s="42" t="str">
        <f>IFERROR(VLOOKUP(C128,#REF!,5,0),"0")</f>
        <v>0</v>
      </c>
      <c r="G128" s="9">
        <f>Table_246[[#This Row],[QT]]*Table_246[[#This Row],[Custo 
Un]]</f>
        <v>0</v>
      </c>
      <c r="H128" s="45">
        <v>7.2</v>
      </c>
      <c r="I128" s="9">
        <f>H128*D128</f>
        <v>7.2</v>
      </c>
      <c r="J128" s="41" t="s">
        <v>17</v>
      </c>
      <c r="K128" s="43">
        <f>Table_246[[#This Row],[Valor da 
venda]]-Table_246[[#This Row],[Valor gasto]]</f>
        <v>7.2</v>
      </c>
      <c r="L128" s="45" t="s">
        <v>15</v>
      </c>
      <c r="P128" s="160"/>
      <c r="Q128"/>
      <c r="R128" s="160"/>
      <c r="V128"/>
    </row>
    <row r="129" spans="1:22" ht="15.75" customHeight="1" x14ac:dyDescent="0.3">
      <c r="A129" s="21">
        <f>IF(Table_246[[#This Row],[Data]]="","",MONTH(Table_246[[#This Row],[Data]]))</f>
        <v>2</v>
      </c>
      <c r="B129" s="25">
        <v>46067</v>
      </c>
      <c r="C129" s="84" t="s">
        <v>1035</v>
      </c>
      <c r="D129" s="36">
        <v>1</v>
      </c>
      <c r="E129" s="41" t="s">
        <v>1794</v>
      </c>
      <c r="F129" s="42" t="str">
        <f>IFERROR(VLOOKUP(C129,#REF!,5,0),"0")</f>
        <v>0</v>
      </c>
      <c r="G129" s="9">
        <f>Table_246[[#This Row],[QT]]*Table_246[[#This Row],[Custo 
Un]]</f>
        <v>0</v>
      </c>
      <c r="H129" s="45">
        <v>7.2</v>
      </c>
      <c r="I129" s="9">
        <f>H129*D129</f>
        <v>7.2</v>
      </c>
      <c r="J129" s="41" t="s">
        <v>17</v>
      </c>
      <c r="K129" s="43">
        <f>Table_246[[#This Row],[Valor da 
venda]]-Table_246[[#This Row],[Valor gasto]]</f>
        <v>7.2</v>
      </c>
      <c r="L129" s="45" t="s">
        <v>15</v>
      </c>
      <c r="P129" s="160"/>
      <c r="Q129"/>
      <c r="R129" s="160"/>
      <c r="V129"/>
    </row>
    <row r="130" spans="1:22" ht="15.75" customHeight="1" x14ac:dyDescent="0.3">
      <c r="A130" s="21">
        <f>IF(Table_246[[#This Row],[Data]]="","",MONTH(Table_246[[#This Row],[Data]]))</f>
        <v>2</v>
      </c>
      <c r="B130" s="25">
        <v>46068</v>
      </c>
      <c r="C130" s="84" t="s">
        <v>1035</v>
      </c>
      <c r="D130" s="36">
        <v>1</v>
      </c>
      <c r="E130" s="41" t="s">
        <v>1799</v>
      </c>
      <c r="F130" s="42" t="str">
        <f>IFERROR(VLOOKUP(C130,#REF!,5,0),"0")</f>
        <v>0</v>
      </c>
      <c r="G130" s="9">
        <f>Table_246[[#This Row],[QT]]*Table_246[[#This Row],[Custo 
Un]]</f>
        <v>0</v>
      </c>
      <c r="H130" s="45">
        <v>7.2</v>
      </c>
      <c r="I130" s="9">
        <f>H130*D130</f>
        <v>7.2</v>
      </c>
      <c r="J130" s="41" t="s">
        <v>17</v>
      </c>
      <c r="K130" s="43">
        <f>Table_246[[#This Row],[Valor da 
venda]]-Table_246[[#This Row],[Valor gasto]]</f>
        <v>7.2</v>
      </c>
      <c r="L130" s="45" t="s">
        <v>15</v>
      </c>
      <c r="P130" s="160"/>
      <c r="Q130"/>
      <c r="R130" s="160"/>
      <c r="V130"/>
    </row>
    <row r="131" spans="1:22" ht="15.75" customHeight="1" x14ac:dyDescent="0.3">
      <c r="A131" s="21">
        <f>IF(Table_246[[#This Row],[Data]]="","",MONTH(Table_246[[#This Row],[Data]]))</f>
        <v>2</v>
      </c>
      <c r="B131" s="25">
        <v>46068</v>
      </c>
      <c r="C131" s="84" t="s">
        <v>1035</v>
      </c>
      <c r="D131" s="36">
        <v>1</v>
      </c>
      <c r="E131" s="41" t="s">
        <v>1800</v>
      </c>
      <c r="F131" s="42" t="str">
        <f>IFERROR(VLOOKUP(C131,#REF!,5,0),"0")</f>
        <v>0</v>
      </c>
      <c r="G131" s="9">
        <f>Table_246[[#This Row],[QT]]*Table_246[[#This Row],[Custo 
Un]]</f>
        <v>0</v>
      </c>
      <c r="H131" s="45">
        <v>7.2</v>
      </c>
      <c r="I131" s="9">
        <f>H131*D131</f>
        <v>7.2</v>
      </c>
      <c r="J131" s="41" t="s">
        <v>17</v>
      </c>
      <c r="K131" s="43">
        <f>Table_246[[#This Row],[Valor da 
venda]]-Table_246[[#This Row],[Valor gasto]]</f>
        <v>7.2</v>
      </c>
      <c r="L131" s="45" t="s">
        <v>15</v>
      </c>
      <c r="P131" s="160"/>
      <c r="Q131"/>
      <c r="R131" s="160"/>
      <c r="V131"/>
    </row>
    <row r="132" spans="1:22" ht="15.75" customHeight="1" x14ac:dyDescent="0.3">
      <c r="A132" s="21">
        <f>IF(Table_246[[#This Row],[Data]]="","",MONTH(Table_246[[#This Row],[Data]]))</f>
        <v>2</v>
      </c>
      <c r="B132" s="25">
        <v>46068</v>
      </c>
      <c r="C132" s="84" t="s">
        <v>1035</v>
      </c>
      <c r="D132" s="36">
        <v>1</v>
      </c>
      <c r="E132" s="41" t="s">
        <v>1801</v>
      </c>
      <c r="F132" s="42" t="str">
        <f>IFERROR(VLOOKUP(C132,#REF!,5,0),"0")</f>
        <v>0</v>
      </c>
      <c r="G132" s="9">
        <f>Table_246[[#This Row],[QT]]*Table_246[[#This Row],[Custo 
Un]]</f>
        <v>0</v>
      </c>
      <c r="H132" s="45">
        <v>7.2</v>
      </c>
      <c r="I132" s="9">
        <f>H132*D132</f>
        <v>7.2</v>
      </c>
      <c r="J132" s="41" t="s">
        <v>17</v>
      </c>
      <c r="K132" s="43">
        <f>Table_246[[#This Row],[Valor da 
venda]]-Table_246[[#This Row],[Valor gasto]]</f>
        <v>7.2</v>
      </c>
      <c r="L132" s="45" t="s">
        <v>15</v>
      </c>
      <c r="P132" s="160"/>
      <c r="Q132"/>
      <c r="R132" s="160"/>
      <c r="V132"/>
    </row>
    <row r="133" spans="1:22" ht="15.75" customHeight="1" x14ac:dyDescent="0.3">
      <c r="A133" s="21">
        <f>IF(Table_246[[#This Row],[Data]]="","",MONTH(Table_246[[#This Row],[Data]]))</f>
        <v>2</v>
      </c>
      <c r="B133" s="25">
        <v>46069</v>
      </c>
      <c r="C133" s="29" t="s">
        <v>927</v>
      </c>
      <c r="D133" s="36">
        <v>1</v>
      </c>
      <c r="E133" s="41" t="s">
        <v>1796</v>
      </c>
      <c r="F133" s="42">
        <v>3</v>
      </c>
      <c r="G133" s="9">
        <f>Table_246[[#This Row],[QT]]*Table_246[[#This Row],[Custo 
Un]]</f>
        <v>3</v>
      </c>
      <c r="H133" s="45">
        <v>4.54</v>
      </c>
      <c r="I133" s="9">
        <f>H133*D133</f>
        <v>4.54</v>
      </c>
      <c r="J133" s="41" t="s">
        <v>17</v>
      </c>
      <c r="K133" s="43">
        <f>Table_246[[#This Row],[Valor da 
venda]]-Table_246[[#This Row],[Valor gasto]]</f>
        <v>1.54</v>
      </c>
      <c r="L133" s="45" t="s">
        <v>15</v>
      </c>
      <c r="P133" s="160"/>
      <c r="Q133"/>
      <c r="R133" s="160"/>
      <c r="V133"/>
    </row>
    <row r="134" spans="1:22" ht="15.75" customHeight="1" x14ac:dyDescent="0.3">
      <c r="A134" s="21">
        <f>IF(Table_246[[#This Row],[Data]]="","",MONTH(Table_246[[#This Row],[Data]]))</f>
        <v>2</v>
      </c>
      <c r="B134" s="25">
        <v>46069</v>
      </c>
      <c r="C134" s="29" t="s">
        <v>1000</v>
      </c>
      <c r="D134" s="36">
        <v>1</v>
      </c>
      <c r="E134" s="41" t="s">
        <v>1797</v>
      </c>
      <c r="F134" s="42" t="str">
        <f>IFERROR(VLOOKUP(C134,#REF!,5,0),"0")</f>
        <v>0</v>
      </c>
      <c r="G134" s="9">
        <f>Table_246[[#This Row],[QT]]*Table_246[[#This Row],[Custo 
Un]]</f>
        <v>0</v>
      </c>
      <c r="H134" s="45">
        <v>12.14</v>
      </c>
      <c r="I134" s="9">
        <f>H134*D134</f>
        <v>12.14</v>
      </c>
      <c r="J134" s="41" t="s">
        <v>17</v>
      </c>
      <c r="K134" s="43">
        <f>Table_246[[#This Row],[Valor da 
venda]]-Table_246[[#This Row],[Valor gasto]]</f>
        <v>12.14</v>
      </c>
      <c r="L134" s="45" t="s">
        <v>15</v>
      </c>
      <c r="P134" s="160"/>
      <c r="Q134"/>
      <c r="R134" s="160"/>
      <c r="V134"/>
    </row>
    <row r="135" spans="1:22" ht="15.75" customHeight="1" x14ac:dyDescent="0.3">
      <c r="A135" s="21">
        <f>IF(Table_246[[#This Row],[Data]]="","",MONTH(Table_246[[#This Row],[Data]]))</f>
        <v>2</v>
      </c>
      <c r="B135" s="25">
        <v>46069</v>
      </c>
      <c r="C135" s="84" t="s">
        <v>1035</v>
      </c>
      <c r="D135" s="36">
        <v>1</v>
      </c>
      <c r="E135" s="41" t="s">
        <v>1798</v>
      </c>
      <c r="F135" s="42" t="str">
        <f>IFERROR(VLOOKUP(C135,#REF!,5,0),"0")</f>
        <v>0</v>
      </c>
      <c r="G135" s="9">
        <f>Table_246[[#This Row],[QT]]*Table_246[[#This Row],[Custo 
Un]]</f>
        <v>0</v>
      </c>
      <c r="H135" s="45">
        <v>5.5</v>
      </c>
      <c r="I135" s="9">
        <f>H135*D135</f>
        <v>5.5</v>
      </c>
      <c r="J135" s="41" t="s">
        <v>17</v>
      </c>
      <c r="K135" s="43">
        <f>Table_246[[#This Row],[Valor da 
venda]]-Table_246[[#This Row],[Valor gasto]]</f>
        <v>5.5</v>
      </c>
      <c r="L135" s="45" t="s">
        <v>15</v>
      </c>
      <c r="P135" s="160"/>
      <c r="Q135"/>
      <c r="R135" s="160"/>
      <c r="V135"/>
    </row>
    <row r="136" spans="1:22" ht="15.75" customHeight="1" x14ac:dyDescent="0.3">
      <c r="A136" s="21">
        <f>IF(Table_246[[#This Row],[Data]]="","",MONTH(Table_246[[#This Row],[Data]]))</f>
        <v>2</v>
      </c>
      <c r="B136" s="25">
        <v>46069</v>
      </c>
      <c r="C136" s="29" t="s">
        <v>1060</v>
      </c>
      <c r="D136" s="36">
        <v>3</v>
      </c>
      <c r="E136" s="41" t="s">
        <v>996</v>
      </c>
      <c r="F136" s="42" t="str">
        <f>IFERROR(VLOOKUP(C136,#REF!,5,0),"0")</f>
        <v>0</v>
      </c>
      <c r="G136" s="9">
        <f>Table_246[[#This Row],[QT]]*Table_246[[#This Row],[Custo 
Un]]</f>
        <v>0</v>
      </c>
      <c r="H136" s="45">
        <v>5</v>
      </c>
      <c r="I136" s="9">
        <f>H136*D136</f>
        <v>15</v>
      </c>
      <c r="J136" s="41" t="s">
        <v>545</v>
      </c>
      <c r="K136" s="43">
        <f>Table_246[[#This Row],[Valor da 
venda]]-Table_246[[#This Row],[Valor gasto]]</f>
        <v>15</v>
      </c>
      <c r="L136" s="45" t="s">
        <v>15</v>
      </c>
      <c r="P136" s="160"/>
      <c r="Q136"/>
      <c r="R136" s="160"/>
      <c r="V136"/>
    </row>
    <row r="137" spans="1:22" ht="15.75" customHeight="1" x14ac:dyDescent="0.3">
      <c r="A137" s="21">
        <f>IF(Table_246[[#This Row],[Data]]="","",MONTH(Table_246[[#This Row],[Data]]))</f>
        <v>2</v>
      </c>
      <c r="B137" s="25">
        <v>46070</v>
      </c>
      <c r="C137" s="84" t="s">
        <v>1035</v>
      </c>
      <c r="D137" s="36">
        <v>1</v>
      </c>
      <c r="E137" s="41" t="s">
        <v>1802</v>
      </c>
      <c r="F137" s="42" t="str">
        <f>IFERROR(VLOOKUP(C137,#REF!,5,0),"0")</f>
        <v>0</v>
      </c>
      <c r="G137" s="9">
        <f>Table_246[[#This Row],[QT]]*Table_246[[#This Row],[Custo 
Un]]</f>
        <v>0</v>
      </c>
      <c r="H137" s="45">
        <v>5.5</v>
      </c>
      <c r="I137" s="9">
        <f>H137*D137</f>
        <v>5.5</v>
      </c>
      <c r="J137" s="41" t="s">
        <v>17</v>
      </c>
      <c r="K137" s="43">
        <f>Table_246[[#This Row],[Valor da 
venda]]-Table_246[[#This Row],[Valor gasto]]</f>
        <v>5.5</v>
      </c>
      <c r="L137" s="45" t="s">
        <v>15</v>
      </c>
      <c r="P137" s="160"/>
      <c r="Q137"/>
      <c r="R137" s="160"/>
      <c r="V137"/>
    </row>
    <row r="138" spans="1:22" ht="15.75" customHeight="1" x14ac:dyDescent="0.3">
      <c r="A138" s="21">
        <f>IF(Table_246[[#This Row],[Data]]="","",MONTH(Table_246[[#This Row],[Data]]))</f>
        <v>2</v>
      </c>
      <c r="B138" s="25">
        <v>46070</v>
      </c>
      <c r="C138" s="29" t="s">
        <v>1000</v>
      </c>
      <c r="D138" s="36">
        <v>1</v>
      </c>
      <c r="E138" s="41" t="s">
        <v>1803</v>
      </c>
      <c r="F138" s="42" t="str">
        <f>IFERROR(VLOOKUP(C138,#REF!,5,0),"0")</f>
        <v>0</v>
      </c>
      <c r="G138" s="9">
        <f>Table_246[[#This Row],[QT]]*Table_246[[#This Row],[Custo 
Un]]</f>
        <v>0</v>
      </c>
      <c r="H138" s="45">
        <v>12.14</v>
      </c>
      <c r="I138" s="9">
        <f>H138*D138</f>
        <v>12.14</v>
      </c>
      <c r="J138" s="41" t="s">
        <v>17</v>
      </c>
      <c r="K138" s="43">
        <f>Table_246[[#This Row],[Valor da 
venda]]-Table_246[[#This Row],[Valor gasto]]</f>
        <v>12.14</v>
      </c>
      <c r="L138" s="45" t="s">
        <v>15</v>
      </c>
      <c r="P138" s="160"/>
      <c r="Q138"/>
      <c r="R138" s="160"/>
      <c r="V138"/>
    </row>
    <row r="139" spans="1:22" ht="15.75" customHeight="1" x14ac:dyDescent="0.3">
      <c r="A139" s="21">
        <f>IF(Table_246[[#This Row],[Data]]="","",MONTH(Table_246[[#This Row],[Data]]))</f>
        <v>2</v>
      </c>
      <c r="B139" s="25">
        <v>46071</v>
      </c>
      <c r="C139" s="29" t="s">
        <v>1804</v>
      </c>
      <c r="D139" s="36">
        <v>1</v>
      </c>
      <c r="E139" s="41" t="s">
        <v>1805</v>
      </c>
      <c r="F139" s="42">
        <v>15</v>
      </c>
      <c r="G139" s="9">
        <f>Table_246[[#This Row],[QT]]*Table_246[[#This Row],[Custo 
Un]]</f>
        <v>15</v>
      </c>
      <c r="H139" s="45">
        <v>30</v>
      </c>
      <c r="I139" s="9">
        <f>H139*D139</f>
        <v>30</v>
      </c>
      <c r="J139" s="41" t="s">
        <v>545</v>
      </c>
      <c r="K139" s="43">
        <f>Table_246[[#This Row],[Valor da 
venda]]-Table_246[[#This Row],[Valor gasto]]</f>
        <v>15</v>
      </c>
      <c r="L139" s="45" t="s">
        <v>15</v>
      </c>
      <c r="P139" s="160"/>
      <c r="Q139"/>
      <c r="R139" s="160"/>
      <c r="V139"/>
    </row>
    <row r="140" spans="1:22" ht="15.75" customHeight="1" x14ac:dyDescent="0.3">
      <c r="A140" s="21">
        <f>IF(Table_246[[#This Row],[Data]]="","",MONTH(Table_246[[#This Row],[Data]]))</f>
        <v>2</v>
      </c>
      <c r="B140" s="25">
        <v>46071</v>
      </c>
      <c r="C140" s="29" t="s">
        <v>995</v>
      </c>
      <c r="D140" s="36">
        <v>1</v>
      </c>
      <c r="E140" s="41" t="s">
        <v>1805</v>
      </c>
      <c r="F140" s="42" t="str">
        <f>IFERROR(VLOOKUP(C140,#REF!,5,0),"0")</f>
        <v>0</v>
      </c>
      <c r="G140" s="9">
        <f>Table_246[[#This Row],[QT]]*Table_246[[#This Row],[Custo 
Un]]</f>
        <v>0</v>
      </c>
      <c r="H140" s="45">
        <v>10</v>
      </c>
      <c r="I140" s="9">
        <f>H140*D140</f>
        <v>10</v>
      </c>
      <c r="J140" s="41" t="s">
        <v>545</v>
      </c>
      <c r="K140" s="43">
        <f>Table_246[[#This Row],[Valor da 
venda]]-Table_246[[#This Row],[Valor gasto]]</f>
        <v>10</v>
      </c>
      <c r="L140" s="45" t="s">
        <v>15</v>
      </c>
      <c r="P140" s="160"/>
      <c r="Q140"/>
      <c r="R140" s="160"/>
      <c r="V140"/>
    </row>
    <row r="141" spans="1:22" ht="15.75" customHeight="1" x14ac:dyDescent="0.3">
      <c r="A141" s="21">
        <f>IF(Table_246[[#This Row],[Data]]="","",MONTH(Table_246[[#This Row],[Data]]))</f>
        <v>2</v>
      </c>
      <c r="B141" s="25">
        <v>46072</v>
      </c>
      <c r="C141" s="29" t="s">
        <v>90</v>
      </c>
      <c r="D141" s="36">
        <v>2</v>
      </c>
      <c r="E141" s="41" t="s">
        <v>996</v>
      </c>
      <c r="F141" s="42" t="str">
        <f>IFERROR(VLOOKUP(C141,#REF!,5,0),"0")</f>
        <v>0</v>
      </c>
      <c r="G141" s="9">
        <f>Table_246[[#This Row],[QT]]*Table_246[[#This Row],[Custo 
Un]]</f>
        <v>0</v>
      </c>
      <c r="H141" s="45">
        <v>15</v>
      </c>
      <c r="I141" s="9">
        <f>H141*D141</f>
        <v>30</v>
      </c>
      <c r="J141" s="41" t="s">
        <v>545</v>
      </c>
      <c r="K141" s="43">
        <f>Table_246[[#This Row],[Valor da 
venda]]-Table_246[[#This Row],[Valor gasto]]</f>
        <v>30</v>
      </c>
      <c r="L141" s="45" t="s">
        <v>15</v>
      </c>
      <c r="P141" s="160"/>
      <c r="Q141"/>
      <c r="R141" s="160"/>
      <c r="V141"/>
    </row>
    <row r="142" spans="1:22" ht="15.75" customHeight="1" x14ac:dyDescent="0.3">
      <c r="A142" s="21">
        <f>IF(Table_246[[#This Row],[Data]]="","",MONTH(Table_246[[#This Row],[Data]]))</f>
        <v>2</v>
      </c>
      <c r="B142" s="25">
        <v>46071</v>
      </c>
      <c r="C142" s="29" t="s">
        <v>1806</v>
      </c>
      <c r="D142" s="36">
        <v>2</v>
      </c>
      <c r="E142" s="41" t="s">
        <v>996</v>
      </c>
      <c r="F142" s="42">
        <v>0.5</v>
      </c>
      <c r="G142" s="9">
        <f>Table_246[[#This Row],[QT]]*Table_246[[#This Row],[Custo 
Un]]</f>
        <v>1</v>
      </c>
      <c r="H142" s="45">
        <v>5</v>
      </c>
      <c r="I142" s="9">
        <f>H142*D142</f>
        <v>10</v>
      </c>
      <c r="J142" s="41" t="s">
        <v>545</v>
      </c>
      <c r="K142" s="43">
        <f>Table_246[[#This Row],[Valor da 
venda]]-Table_246[[#This Row],[Valor gasto]]</f>
        <v>9</v>
      </c>
      <c r="L142" s="45" t="s">
        <v>15</v>
      </c>
      <c r="P142" s="160"/>
      <c r="Q142"/>
      <c r="R142" s="160"/>
      <c r="V142"/>
    </row>
    <row r="143" spans="1:22" ht="15.75" customHeight="1" x14ac:dyDescent="0.3">
      <c r="A143" s="21">
        <f>IF(Table_246[[#This Row],[Data]]="","",MONTH(Table_246[[#This Row],[Data]]))</f>
        <v>2</v>
      </c>
      <c r="B143" s="25">
        <v>46072</v>
      </c>
      <c r="C143" s="29" t="s">
        <v>1808</v>
      </c>
      <c r="D143" s="36">
        <v>1</v>
      </c>
      <c r="E143" s="41" t="s">
        <v>1807</v>
      </c>
      <c r="F143" s="42">
        <v>10</v>
      </c>
      <c r="G143" s="9">
        <f>Table_246[[#This Row],[QT]]*Table_246[[#This Row],[Custo 
Un]]</f>
        <v>10</v>
      </c>
      <c r="H143" s="45">
        <v>18.8</v>
      </c>
      <c r="I143" s="9">
        <f>H143*D143</f>
        <v>18.8</v>
      </c>
      <c r="J143" s="41" t="s">
        <v>17</v>
      </c>
      <c r="K143" s="43">
        <f>Table_246[[#This Row],[Valor da 
venda]]-Table_246[[#This Row],[Valor gasto]]</f>
        <v>8.8000000000000007</v>
      </c>
      <c r="L143" s="45" t="s">
        <v>15</v>
      </c>
      <c r="P143" s="160"/>
      <c r="Q143"/>
      <c r="R143" s="160"/>
      <c r="V143"/>
    </row>
    <row r="144" spans="1:22" ht="15.75" customHeight="1" x14ac:dyDescent="0.3">
      <c r="A144" s="21">
        <f>IF(Table_246[[#This Row],[Data]]="","",MONTH(Table_246[[#This Row],[Data]]))</f>
        <v>2</v>
      </c>
      <c r="B144" s="25">
        <v>46072</v>
      </c>
      <c r="C144" s="29" t="s">
        <v>1000</v>
      </c>
      <c r="D144" s="36">
        <v>1</v>
      </c>
      <c r="E144" s="41" t="s">
        <v>1809</v>
      </c>
      <c r="F144" s="42" t="str">
        <f>IFERROR(VLOOKUP(C144,#REF!,5,0),"0")</f>
        <v>0</v>
      </c>
      <c r="G144" s="9">
        <f>Table_246[[#This Row],[QT]]*Table_246[[#This Row],[Custo 
Un]]</f>
        <v>0</v>
      </c>
      <c r="H144" s="45">
        <v>14.04</v>
      </c>
      <c r="I144" s="9">
        <f>H144*D144</f>
        <v>14.04</v>
      </c>
      <c r="J144" s="41" t="s">
        <v>17</v>
      </c>
      <c r="K144" s="43">
        <f>Table_246[[#This Row],[Valor da 
venda]]-Table_246[[#This Row],[Valor gasto]]</f>
        <v>14.04</v>
      </c>
      <c r="L144" s="45" t="s">
        <v>15</v>
      </c>
      <c r="P144" s="160"/>
      <c r="Q144"/>
      <c r="R144" s="160"/>
      <c r="V144"/>
    </row>
    <row r="145" spans="1:22" ht="15.75" customHeight="1" x14ac:dyDescent="0.3">
      <c r="A145" s="21">
        <f>IF(Table_246[[#This Row],[Data]]="","",MONTH(Table_246[[#This Row],[Data]]))</f>
        <v>2</v>
      </c>
      <c r="B145" s="25">
        <v>46072</v>
      </c>
      <c r="C145" s="84" t="s">
        <v>1035</v>
      </c>
      <c r="D145" s="36">
        <v>1</v>
      </c>
      <c r="E145" s="41" t="s">
        <v>1810</v>
      </c>
      <c r="F145" s="42" t="str">
        <f>IFERROR(VLOOKUP(C145,#REF!,5,0),"0")</f>
        <v>0</v>
      </c>
      <c r="G145" s="9">
        <f>Table_246[[#This Row],[QT]]*Table_246[[#This Row],[Custo 
Un]]</f>
        <v>0</v>
      </c>
      <c r="H145" s="45">
        <v>5.5</v>
      </c>
      <c r="I145" s="9">
        <f>H145*D145</f>
        <v>5.5</v>
      </c>
      <c r="J145" s="41" t="s">
        <v>17</v>
      </c>
      <c r="K145" s="43">
        <f>Table_246[[#This Row],[Valor da 
venda]]-Table_246[[#This Row],[Valor gasto]]</f>
        <v>5.5</v>
      </c>
      <c r="L145" s="45" t="s">
        <v>15</v>
      </c>
      <c r="P145" s="160"/>
      <c r="Q145"/>
      <c r="R145" s="160"/>
      <c r="V145"/>
    </row>
    <row r="146" spans="1:22" ht="15.75" customHeight="1" x14ac:dyDescent="0.3">
      <c r="A146" s="21">
        <f>IF(Table_246[[#This Row],[Data]]="","",MONTH(Table_246[[#This Row],[Data]]))</f>
        <v>2</v>
      </c>
      <c r="B146" s="25">
        <v>46073</v>
      </c>
      <c r="C146" s="84" t="s">
        <v>1114</v>
      </c>
      <c r="D146" s="36">
        <v>1</v>
      </c>
      <c r="E146" s="41" t="s">
        <v>1813</v>
      </c>
      <c r="F146" s="42" t="str">
        <f>IFERROR(VLOOKUP(C146,#REF!,5,0),"0")</f>
        <v>0</v>
      </c>
      <c r="G146" s="9">
        <f>Table_246[[#This Row],[QT]]*Table_246[[#This Row],[Custo 
Un]]</f>
        <v>0</v>
      </c>
      <c r="H146" s="45">
        <v>8.99</v>
      </c>
      <c r="I146" s="9">
        <f>H146*D146</f>
        <v>8.99</v>
      </c>
      <c r="J146" s="41" t="s">
        <v>1004</v>
      </c>
      <c r="K146" s="43">
        <f>Table_246[[#This Row],[Valor da 
venda]]-Table_246[[#This Row],[Valor gasto]]</f>
        <v>8.99</v>
      </c>
      <c r="L146" s="45" t="s">
        <v>15</v>
      </c>
      <c r="P146" s="160"/>
      <c r="Q146"/>
      <c r="R146" s="160"/>
      <c r="V146"/>
    </row>
    <row r="147" spans="1:22" ht="15.75" customHeight="1" x14ac:dyDescent="0.3">
      <c r="A147" s="21">
        <f>IF(Table_246[[#This Row],[Data]]="","",MONTH(Table_246[[#This Row],[Data]]))</f>
        <v>2</v>
      </c>
      <c r="B147" s="25">
        <v>46073</v>
      </c>
      <c r="C147" s="29" t="s">
        <v>1811</v>
      </c>
      <c r="D147" s="36">
        <v>1</v>
      </c>
      <c r="E147" s="41" t="s">
        <v>1812</v>
      </c>
      <c r="F147" s="42" t="str">
        <f>IFERROR(VLOOKUP(C147,#REF!,5,0),"0")</f>
        <v>0</v>
      </c>
      <c r="G147" s="9">
        <f>Table_246[[#This Row],[QT]]*Table_246[[#This Row],[Custo 
Un]]</f>
        <v>0</v>
      </c>
      <c r="H147" s="45">
        <v>108.2</v>
      </c>
      <c r="I147" s="9">
        <f>H147*D147</f>
        <v>108.2</v>
      </c>
      <c r="J147" s="41" t="s">
        <v>1004</v>
      </c>
      <c r="K147" s="43">
        <f>Table_246[[#This Row],[Valor da 
venda]]-Table_246[[#This Row],[Valor gasto]]</f>
        <v>108.2</v>
      </c>
      <c r="L147" s="45" t="s">
        <v>15</v>
      </c>
      <c r="P147" s="160"/>
      <c r="Q147"/>
      <c r="R147" s="160"/>
      <c r="V147"/>
    </row>
    <row r="148" spans="1:22" ht="15.75" customHeight="1" x14ac:dyDescent="0.3">
      <c r="A148" s="21">
        <f>IF(Table_246[[#This Row],[Data]]="","",MONTH(Table_246[[#This Row],[Data]]))</f>
        <v>2</v>
      </c>
      <c r="B148" s="25">
        <v>46073</v>
      </c>
      <c r="C148" s="29" t="s">
        <v>1814</v>
      </c>
      <c r="D148" s="36">
        <v>2</v>
      </c>
      <c r="E148" s="41" t="s">
        <v>811</v>
      </c>
      <c r="F148" s="42" t="str">
        <f>IFERROR(VLOOKUP(C148,#REF!,5,0),"0")</f>
        <v>0</v>
      </c>
      <c r="G148" s="9">
        <f>Table_246[[#This Row],[QT]]*Table_246[[#This Row],[Custo 
Un]]</f>
        <v>0</v>
      </c>
      <c r="H148" s="45">
        <v>5</v>
      </c>
      <c r="I148" s="9">
        <f>H148*D148</f>
        <v>10</v>
      </c>
      <c r="J148" s="41" t="s">
        <v>545</v>
      </c>
      <c r="K148" s="43">
        <f>Table_246[[#This Row],[Valor da 
venda]]-Table_246[[#This Row],[Valor gasto]]</f>
        <v>10</v>
      </c>
      <c r="L148" s="45" t="s">
        <v>15</v>
      </c>
      <c r="P148" s="160"/>
      <c r="Q148"/>
      <c r="R148" s="160"/>
      <c r="V148"/>
    </row>
    <row r="149" spans="1:22" ht="15.75" x14ac:dyDescent="0.3">
      <c r="A149" s="21">
        <f>IF(Table_246[[#This Row],[Data]]="","",MONTH(Table_246[[#This Row],[Data]]))</f>
        <v>2</v>
      </c>
      <c r="B149" s="25">
        <v>46074</v>
      </c>
      <c r="C149" s="64" t="s">
        <v>1060</v>
      </c>
      <c r="D149" s="69">
        <v>4</v>
      </c>
      <c r="E149" s="72" t="s">
        <v>1815</v>
      </c>
      <c r="F149" s="42" t="str">
        <f>IFERROR(VLOOKUP(C149,#REF!,5,0),"0")</f>
        <v>0</v>
      </c>
      <c r="G149" s="9">
        <f>Table_246[[#This Row],[QT]]*Table_246[[#This Row],[Custo 
Un]]</f>
        <v>0</v>
      </c>
      <c r="H149" s="77">
        <v>5</v>
      </c>
      <c r="I149" s="9">
        <f>H149*D149</f>
        <v>20</v>
      </c>
      <c r="J149" s="72" t="s">
        <v>545</v>
      </c>
      <c r="K149" s="43">
        <f>Table_246[[#This Row],[Valor da 
venda]]-Table_246[[#This Row],[Valor gasto]]</f>
        <v>20</v>
      </c>
      <c r="L149" s="77" t="s">
        <v>15</v>
      </c>
      <c r="P149" s="160"/>
      <c r="Q149"/>
      <c r="R149" s="160"/>
      <c r="V149"/>
    </row>
    <row r="150" spans="1:22" ht="15.75" customHeight="1" collapsed="1" x14ac:dyDescent="0.3">
      <c r="A150" s="21">
        <f>IF(Table_246[[#This Row],[Data]]="","",MONTH(Table_246[[#This Row],[Data]]))</f>
        <v>2</v>
      </c>
      <c r="B150" s="25">
        <v>46074</v>
      </c>
      <c r="C150" s="29" t="s">
        <v>1817</v>
      </c>
      <c r="D150" s="36">
        <v>1</v>
      </c>
      <c r="E150" s="41" t="s">
        <v>1816</v>
      </c>
      <c r="F150" s="42" t="str">
        <f>IFERROR(VLOOKUP(C150,#REF!,5,0),"0")</f>
        <v>0</v>
      </c>
      <c r="G150" s="9">
        <f>Table_246[[#This Row],[QT]]*Table_246[[#This Row],[Custo 
Un]]</f>
        <v>0</v>
      </c>
      <c r="H150" s="45">
        <v>300</v>
      </c>
      <c r="I150" s="9">
        <f>H150*D150</f>
        <v>300</v>
      </c>
      <c r="J150" s="41" t="s">
        <v>545</v>
      </c>
      <c r="K150" s="43">
        <f>Table_246[[#This Row],[Valor da 
venda]]-Table_246[[#This Row],[Valor gasto]]</f>
        <v>300</v>
      </c>
      <c r="L150" s="45" t="s">
        <v>15</v>
      </c>
      <c r="P150" s="160"/>
      <c r="Q150"/>
      <c r="R150" s="160"/>
      <c r="V150"/>
    </row>
    <row r="151" spans="1:22" ht="15.75" customHeight="1" x14ac:dyDescent="0.3">
      <c r="A151" s="21">
        <f>IF(Table_246[[#This Row],[Data]]="","",MONTH(Table_246[[#This Row],[Data]]))</f>
        <v>2</v>
      </c>
      <c r="B151" s="25">
        <v>46074</v>
      </c>
      <c r="C151" s="29" t="s">
        <v>1818</v>
      </c>
      <c r="D151" s="68">
        <v>1</v>
      </c>
      <c r="E151" s="41" t="s">
        <v>1816</v>
      </c>
      <c r="F151" s="42">
        <v>5</v>
      </c>
      <c r="G151" s="9">
        <f>Table_246[[#This Row],[QT]]*Table_246[[#This Row],[Custo 
Un]]</f>
        <v>5</v>
      </c>
      <c r="H151" s="76">
        <v>20</v>
      </c>
      <c r="I151" s="9">
        <f>H151*D151</f>
        <v>20</v>
      </c>
      <c r="J151" s="41" t="s">
        <v>545</v>
      </c>
      <c r="K151" s="43">
        <f>Table_246[[#This Row],[Valor da 
venda]]-Table_246[[#This Row],[Valor gasto]]</f>
        <v>15</v>
      </c>
      <c r="L151" s="76" t="s">
        <v>15</v>
      </c>
      <c r="P151" s="160"/>
      <c r="Q151"/>
      <c r="R151" s="160"/>
      <c r="V151"/>
    </row>
    <row r="152" spans="1:22" ht="15.75" customHeight="1" x14ac:dyDescent="0.3">
      <c r="A152" s="21">
        <f>IF(Table_246[[#This Row],[Data]]="","",MONTH(Table_246[[#This Row],[Data]]))</f>
        <v>2</v>
      </c>
      <c r="B152" s="25">
        <v>46075</v>
      </c>
      <c r="C152" s="29" t="s">
        <v>1080</v>
      </c>
      <c r="D152" s="36">
        <v>2</v>
      </c>
      <c r="E152" s="41" t="s">
        <v>1821</v>
      </c>
      <c r="F152" s="42" t="str">
        <f>IFERROR(VLOOKUP(C152,#REF!,5,0),"0")</f>
        <v>0</v>
      </c>
      <c r="G152" s="9">
        <f>Table_246[[#This Row],[QT]]*Table_246[[#This Row],[Custo 
Un]]</f>
        <v>0</v>
      </c>
      <c r="H152" s="45">
        <f>24.3/2</f>
        <v>12.15</v>
      </c>
      <c r="I152" s="9">
        <f>H152*D152</f>
        <v>24.3</v>
      </c>
      <c r="J152" s="41" t="s">
        <v>17</v>
      </c>
      <c r="K152" s="43">
        <f>Table_246[[#This Row],[Valor da 
venda]]-Table_246[[#This Row],[Valor gasto]]</f>
        <v>24.3</v>
      </c>
      <c r="L152" s="45" t="s">
        <v>15</v>
      </c>
      <c r="P152" s="160"/>
      <c r="Q152"/>
      <c r="R152" s="160"/>
      <c r="V152"/>
    </row>
    <row r="153" spans="1:22" ht="15.75" customHeight="1" x14ac:dyDescent="0.3">
      <c r="A153" s="21">
        <f>IF(Table_246[[#This Row],[Data]]="","",MONTH(Table_246[[#This Row],[Data]]))</f>
        <v>2</v>
      </c>
      <c r="B153" s="25">
        <v>46075</v>
      </c>
      <c r="C153" s="29" t="s">
        <v>1820</v>
      </c>
      <c r="D153" s="36">
        <v>1</v>
      </c>
      <c r="E153" s="41" t="s">
        <v>1819</v>
      </c>
      <c r="F153" s="42" t="str">
        <f>IFERROR(VLOOKUP(C153,#REF!,5,0),"0")</f>
        <v>0</v>
      </c>
      <c r="G153" s="9">
        <f>Table_246[[#This Row],[QT]]*Table_246[[#This Row],[Custo 
Un]]</f>
        <v>0</v>
      </c>
      <c r="H153" s="45">
        <f>364.54-350</f>
        <v>14.54000000000002</v>
      </c>
      <c r="I153" s="9">
        <f>H153*D153</f>
        <v>14.54000000000002</v>
      </c>
      <c r="J153" s="41" t="s">
        <v>17</v>
      </c>
      <c r="K153" s="43">
        <f>Table_246[[#This Row],[Valor da 
venda]]-Table_246[[#This Row],[Valor gasto]]</f>
        <v>14.54000000000002</v>
      </c>
      <c r="L153" s="45" t="s">
        <v>15</v>
      </c>
      <c r="P153" s="160"/>
      <c r="Q153"/>
      <c r="R153" s="160"/>
      <c r="V153"/>
    </row>
    <row r="154" spans="1:22" ht="15.75" customHeight="1" x14ac:dyDescent="0.3">
      <c r="A154" s="21">
        <f>IF(Table_246[[#This Row],[Data]]="","",MONTH(Table_246[[#This Row],[Data]]))</f>
        <v>2</v>
      </c>
      <c r="B154" s="25">
        <v>46076</v>
      </c>
      <c r="C154" s="29" t="s">
        <v>1811</v>
      </c>
      <c r="D154" s="36">
        <v>1</v>
      </c>
      <c r="E154" s="41" t="s">
        <v>1822</v>
      </c>
      <c r="F154" s="42" t="str">
        <f>IFERROR(VLOOKUP(C154,#REF!,5,0),"0")</f>
        <v>0</v>
      </c>
      <c r="G154" s="9">
        <f>Table_246[[#This Row],[QT]]*Table_246[[#This Row],[Custo 
Un]]</f>
        <v>0</v>
      </c>
      <c r="H154" s="45">
        <v>110</v>
      </c>
      <c r="I154" s="9">
        <f>H154*D154</f>
        <v>110</v>
      </c>
      <c r="J154" s="41" t="s">
        <v>545</v>
      </c>
      <c r="K154" s="43">
        <f>Table_246[[#This Row],[Valor da 
venda]]-Table_246[[#This Row],[Valor gasto]]</f>
        <v>110</v>
      </c>
      <c r="L154" s="45" t="s">
        <v>15</v>
      </c>
      <c r="P154" s="160"/>
      <c r="Q154"/>
      <c r="R154" s="160"/>
      <c r="V154"/>
    </row>
    <row r="155" spans="1:22" ht="15.75" customHeight="1" x14ac:dyDescent="0.3">
      <c r="A155" s="21">
        <f>IF(Table_246[[#This Row],[Data]]="","",MONTH(Table_246[[#This Row],[Data]]))</f>
        <v>2</v>
      </c>
      <c r="B155" s="25">
        <v>46076</v>
      </c>
      <c r="C155" s="29" t="s">
        <v>997</v>
      </c>
      <c r="D155" s="36">
        <v>1</v>
      </c>
      <c r="E155" s="41" t="s">
        <v>1823</v>
      </c>
      <c r="F155" s="42">
        <v>10</v>
      </c>
      <c r="G155" s="9">
        <f>Table_246[[#This Row],[QT]]*Table_246[[#This Row],[Custo 
Un]]</f>
        <v>10</v>
      </c>
      <c r="H155" s="45">
        <v>10</v>
      </c>
      <c r="I155" s="9">
        <f>H155*D155</f>
        <v>10</v>
      </c>
      <c r="J155" s="41" t="s">
        <v>545</v>
      </c>
      <c r="K155" s="43">
        <f>Table_246[[#This Row],[Valor da 
venda]]-Table_246[[#This Row],[Valor gasto]]</f>
        <v>0</v>
      </c>
      <c r="L155" s="45" t="s">
        <v>15</v>
      </c>
      <c r="P155" s="160"/>
      <c r="Q155"/>
      <c r="R155" s="160"/>
      <c r="V155"/>
    </row>
    <row r="156" spans="1:22" ht="15.75" customHeight="1" x14ac:dyDescent="0.3">
      <c r="A156" s="21">
        <f>IF(Table_246[[#This Row],[Data]]="","",MONTH(Table_246[[#This Row],[Data]]))</f>
        <v>2</v>
      </c>
      <c r="B156" s="25">
        <v>46076</v>
      </c>
      <c r="C156" s="84" t="s">
        <v>1114</v>
      </c>
      <c r="D156" s="36">
        <v>1</v>
      </c>
      <c r="E156" s="41" t="s">
        <v>1824</v>
      </c>
      <c r="F156" s="42" t="str">
        <f>IFERROR(VLOOKUP(C156,#REF!,5,0),"0")</f>
        <v>0</v>
      </c>
      <c r="G156" s="9">
        <f>Table_246[[#This Row],[QT]]*Table_246[[#This Row],[Custo 
Un]]</f>
        <v>0</v>
      </c>
      <c r="H156" s="45">
        <v>9.1999999999999993</v>
      </c>
      <c r="I156" s="9">
        <f>H156*D156</f>
        <v>9.1999999999999993</v>
      </c>
      <c r="J156" s="41" t="s">
        <v>1004</v>
      </c>
      <c r="K156" s="43">
        <f>Table_246[[#This Row],[Valor da 
venda]]-Table_246[[#This Row],[Valor gasto]]</f>
        <v>9.1999999999999993</v>
      </c>
      <c r="L156" s="45" t="s">
        <v>15</v>
      </c>
      <c r="P156" s="160"/>
      <c r="Q156"/>
      <c r="R156" s="160"/>
      <c r="V156"/>
    </row>
    <row r="157" spans="1:22" ht="15.75" customHeight="1" x14ac:dyDescent="0.3">
      <c r="A157" s="21">
        <f>IF(Table_246[[#This Row],[Data]]="","",MONTH(Table_246[[#This Row],[Data]]))</f>
        <v>2</v>
      </c>
      <c r="B157" s="25">
        <v>46076</v>
      </c>
      <c r="C157" s="84" t="s">
        <v>1035</v>
      </c>
      <c r="D157" s="36">
        <v>1</v>
      </c>
      <c r="E157" s="41" t="s">
        <v>1825</v>
      </c>
      <c r="F157" s="42" t="str">
        <f>IFERROR(VLOOKUP(C157,#REF!,5,0),"0")</f>
        <v>0</v>
      </c>
      <c r="G157" s="9">
        <f>Table_246[[#This Row],[QT]]*Table_246[[#This Row],[Custo 
Un]]</f>
        <v>0</v>
      </c>
      <c r="H157" s="45">
        <v>5.5</v>
      </c>
      <c r="I157" s="9">
        <f>H157*D157</f>
        <v>5.5</v>
      </c>
      <c r="J157" s="41" t="s">
        <v>17</v>
      </c>
      <c r="K157" s="43">
        <f>Table_246[[#This Row],[Valor da 
venda]]-Table_246[[#This Row],[Valor gasto]]</f>
        <v>5.5</v>
      </c>
      <c r="L157" s="45" t="s">
        <v>15</v>
      </c>
      <c r="P157" s="160"/>
      <c r="Q157"/>
      <c r="R157" s="160"/>
      <c r="V157"/>
    </row>
    <row r="158" spans="1:22" ht="15.75" customHeight="1" x14ac:dyDescent="0.3">
      <c r="A158" s="21">
        <f>IF(Table_246[[#This Row],[Data]]="","",MONTH(Table_246[[#This Row],[Data]]))</f>
        <v>2</v>
      </c>
      <c r="B158" s="25">
        <v>46077</v>
      </c>
      <c r="C158" s="29" t="s">
        <v>1054</v>
      </c>
      <c r="D158" s="36">
        <v>1</v>
      </c>
      <c r="E158" s="41" t="s">
        <v>625</v>
      </c>
      <c r="F158" s="42" t="str">
        <f>IFERROR(VLOOKUP(C158,#REF!,5,0),"0")</f>
        <v>0</v>
      </c>
      <c r="G158" s="9">
        <f>Table_246[[#This Row],[QT]]*Table_246[[#This Row],[Custo 
Un]]</f>
        <v>0</v>
      </c>
      <c r="H158" s="45">
        <v>10</v>
      </c>
      <c r="I158" s="9">
        <f>H158*D158</f>
        <v>10</v>
      </c>
      <c r="J158" s="41" t="s">
        <v>545</v>
      </c>
      <c r="K158" s="43">
        <f>Table_246[[#This Row],[Valor da 
venda]]-Table_246[[#This Row],[Valor gasto]]</f>
        <v>10</v>
      </c>
      <c r="L158" s="45" t="s">
        <v>15</v>
      </c>
      <c r="P158" s="160"/>
      <c r="Q158"/>
      <c r="R158" s="160"/>
      <c r="V158"/>
    </row>
    <row r="159" spans="1:22" ht="15.75" customHeight="1" x14ac:dyDescent="0.3">
      <c r="A159" s="21">
        <f>IF(Table_246[[#This Row],[Data]]="","",MONTH(Table_246[[#This Row],[Data]]))</f>
        <v>2</v>
      </c>
      <c r="B159" s="25">
        <v>46078</v>
      </c>
      <c r="C159" s="84" t="s">
        <v>1114</v>
      </c>
      <c r="D159" s="36">
        <v>4</v>
      </c>
      <c r="E159" s="41" t="s">
        <v>1826</v>
      </c>
      <c r="F159" s="42" t="str">
        <f>IFERROR(VLOOKUP(C159,#REF!,5,0),"0")</f>
        <v>0</v>
      </c>
      <c r="G159" s="9">
        <f>Table_246[[#This Row],[QT]]*Table_246[[#This Row],[Custo 
Un]]</f>
        <v>0</v>
      </c>
      <c r="H159" s="45">
        <v>5</v>
      </c>
      <c r="I159" s="9">
        <f>H159*D159</f>
        <v>20</v>
      </c>
      <c r="J159" s="41" t="s">
        <v>1004</v>
      </c>
      <c r="K159" s="43">
        <f>Table_246[[#This Row],[Valor da 
venda]]-Table_246[[#This Row],[Valor gasto]]</f>
        <v>20</v>
      </c>
      <c r="L159" s="45" t="s">
        <v>15</v>
      </c>
      <c r="P159" s="160"/>
      <c r="Q159"/>
      <c r="R159" s="160"/>
      <c r="V159"/>
    </row>
    <row r="160" spans="1:22" ht="15.75" customHeight="1" x14ac:dyDescent="0.3">
      <c r="A160" s="21">
        <f>IF(Table_246[[#This Row],[Data]]="","",MONTH(Table_246[[#This Row],[Data]]))</f>
        <v>2</v>
      </c>
      <c r="B160" s="25">
        <v>46078</v>
      </c>
      <c r="C160" s="84" t="s">
        <v>1114</v>
      </c>
      <c r="D160" s="36">
        <v>1</v>
      </c>
      <c r="E160" s="41" t="s">
        <v>1827</v>
      </c>
      <c r="F160" s="42" t="str">
        <f>IFERROR(VLOOKUP(C160,#REF!,5,0),"0")</f>
        <v>0</v>
      </c>
      <c r="G160" s="9">
        <f>Table_246[[#This Row],[QT]]*Table_246[[#This Row],[Custo 
Un]]</f>
        <v>0</v>
      </c>
      <c r="H160" s="45">
        <v>9.1999999999999993</v>
      </c>
      <c r="I160" s="9">
        <f>H160*D160</f>
        <v>9.1999999999999993</v>
      </c>
      <c r="J160" s="41" t="s">
        <v>1004</v>
      </c>
      <c r="K160" s="43">
        <f>Table_246[[#This Row],[Valor da 
venda]]-Table_246[[#This Row],[Valor gasto]]</f>
        <v>9.1999999999999993</v>
      </c>
      <c r="L160" s="45" t="s">
        <v>15</v>
      </c>
      <c r="P160" s="160"/>
      <c r="Q160"/>
      <c r="R160" s="160"/>
      <c r="V160"/>
    </row>
    <row r="161" spans="1:22" ht="15.75" customHeight="1" x14ac:dyDescent="0.3">
      <c r="A161" s="21">
        <f>IF(Table_246[[#This Row],[Data]]="","",MONTH(Table_246[[#This Row],[Data]]))</f>
        <v>2</v>
      </c>
      <c r="B161" s="25">
        <v>46079</v>
      </c>
      <c r="C161" s="29" t="s">
        <v>1828</v>
      </c>
      <c r="D161" s="36">
        <v>1</v>
      </c>
      <c r="E161" s="41" t="s">
        <v>1831</v>
      </c>
      <c r="F161" s="42" t="str">
        <f>IFERROR(VLOOKUP(C161,#REF!,5,0),"0")</f>
        <v>0</v>
      </c>
      <c r="G161" s="9">
        <f>Table_246[[#This Row],[QT]]*Table_246[[#This Row],[Custo 
Un]]</f>
        <v>0</v>
      </c>
      <c r="H161" s="45">
        <v>15</v>
      </c>
      <c r="I161" s="9">
        <f>H161*D161</f>
        <v>15</v>
      </c>
      <c r="J161" s="41" t="s">
        <v>545</v>
      </c>
      <c r="K161" s="43">
        <f>Table_246[[#This Row],[Valor da 
venda]]-Table_246[[#This Row],[Valor gasto]]</f>
        <v>15</v>
      </c>
      <c r="L161" s="45" t="s">
        <v>15</v>
      </c>
      <c r="P161" s="160"/>
      <c r="Q161"/>
      <c r="R161" s="160"/>
      <c r="V161"/>
    </row>
    <row r="162" spans="1:22" ht="15.75" customHeight="1" x14ac:dyDescent="0.3">
      <c r="A162" s="21">
        <f>IF(Table_246[[#This Row],[Data]]="","",MONTH(Table_246[[#This Row],[Data]]))</f>
        <v>2</v>
      </c>
      <c r="B162" s="25">
        <v>46079</v>
      </c>
      <c r="C162" s="29" t="s">
        <v>1829</v>
      </c>
      <c r="D162" s="36">
        <v>1</v>
      </c>
      <c r="E162" s="41" t="s">
        <v>1831</v>
      </c>
      <c r="F162" s="42" t="str">
        <f>IFERROR(VLOOKUP(C162,#REF!,5,0),"0")</f>
        <v>0</v>
      </c>
      <c r="G162" s="9">
        <f>Table_246[[#This Row],[QT]]*Table_246[[#This Row],[Custo 
Un]]</f>
        <v>0</v>
      </c>
      <c r="H162" s="45">
        <v>25</v>
      </c>
      <c r="I162" s="9">
        <f>H162*D162</f>
        <v>25</v>
      </c>
      <c r="J162" s="41" t="s">
        <v>545</v>
      </c>
      <c r="K162" s="43">
        <f>Table_246[[#This Row],[Valor da 
venda]]-Table_246[[#This Row],[Valor gasto]]</f>
        <v>25</v>
      </c>
      <c r="L162" s="45" t="s">
        <v>15</v>
      </c>
      <c r="P162" s="160"/>
      <c r="Q162"/>
      <c r="R162" s="160"/>
      <c r="V162"/>
    </row>
    <row r="163" spans="1:22" ht="15.75" customHeight="1" x14ac:dyDescent="0.3">
      <c r="A163" s="21">
        <f>IF(Table_246[[#This Row],[Data]]="","",MONTH(Table_246[[#This Row],[Data]]))</f>
        <v>2</v>
      </c>
      <c r="B163" s="25">
        <v>46079</v>
      </c>
      <c r="C163" s="29" t="s">
        <v>1830</v>
      </c>
      <c r="D163" s="36">
        <v>1</v>
      </c>
      <c r="E163" s="41" t="s">
        <v>1831</v>
      </c>
      <c r="F163" s="42">
        <v>20</v>
      </c>
      <c r="G163" s="9">
        <f>Table_246[[#This Row],[QT]]*Table_246[[#This Row],[Custo 
Un]]</f>
        <v>20</v>
      </c>
      <c r="H163" s="45">
        <v>30</v>
      </c>
      <c r="I163" s="9">
        <f>H163*D163</f>
        <v>30</v>
      </c>
      <c r="J163" s="41" t="s">
        <v>545</v>
      </c>
      <c r="K163" s="43">
        <f>Table_246[[#This Row],[Valor da 
venda]]-Table_246[[#This Row],[Valor gasto]]</f>
        <v>10</v>
      </c>
      <c r="L163" s="45" t="s">
        <v>15</v>
      </c>
      <c r="P163" s="160"/>
      <c r="Q163"/>
      <c r="R163" s="160"/>
      <c r="V163"/>
    </row>
    <row r="164" spans="1:22" ht="15.75" customHeight="1" x14ac:dyDescent="0.3">
      <c r="A164" s="21">
        <f>IF(Table_246[[#This Row],[Data]]="","",MONTH(Table_246[[#This Row],[Data]]))</f>
        <v>2</v>
      </c>
      <c r="B164" s="25">
        <v>46079</v>
      </c>
      <c r="C164" s="29" t="s">
        <v>1078</v>
      </c>
      <c r="D164" s="36">
        <v>1</v>
      </c>
      <c r="E164" s="41" t="s">
        <v>1831</v>
      </c>
      <c r="F164" s="42">
        <v>10</v>
      </c>
      <c r="G164" s="9">
        <f>Table_246[[#This Row],[QT]]*Table_246[[#This Row],[Custo 
Un]]</f>
        <v>10</v>
      </c>
      <c r="H164" s="45">
        <v>15</v>
      </c>
      <c r="I164" s="9">
        <f>H164*D164</f>
        <v>15</v>
      </c>
      <c r="J164" s="41" t="s">
        <v>545</v>
      </c>
      <c r="K164" s="43">
        <f>Table_246[[#This Row],[Valor da 
venda]]-Table_246[[#This Row],[Valor gasto]]</f>
        <v>5</v>
      </c>
      <c r="L164" s="45" t="s">
        <v>15</v>
      </c>
      <c r="P164" s="160"/>
      <c r="Q164"/>
      <c r="R164" s="160"/>
      <c r="V164"/>
    </row>
    <row r="165" spans="1:22" ht="15.75" customHeight="1" x14ac:dyDescent="0.3">
      <c r="A165" s="21">
        <f>IF(Table_246[[#This Row],[Data]]="","",MONTH(Table_246[[#This Row],[Data]]))</f>
        <v>3</v>
      </c>
      <c r="B165" s="25">
        <v>46083</v>
      </c>
      <c r="C165" s="29" t="s">
        <v>1832</v>
      </c>
      <c r="D165" s="36">
        <v>1</v>
      </c>
      <c r="E165" s="41" t="s">
        <v>996</v>
      </c>
      <c r="F165" s="42">
        <v>5</v>
      </c>
      <c r="G165" s="9">
        <f>Table_246[[#This Row],[QT]]*Table_246[[#This Row],[Custo 
Un]]</f>
        <v>5</v>
      </c>
      <c r="H165" s="45">
        <v>10</v>
      </c>
      <c r="I165" s="9">
        <f>H165*D165</f>
        <v>10</v>
      </c>
      <c r="J165" s="41" t="s">
        <v>545</v>
      </c>
      <c r="K165" s="43">
        <f>Table_246[[#This Row],[Valor da 
venda]]-Table_246[[#This Row],[Valor gasto]]</f>
        <v>5</v>
      </c>
      <c r="L165" s="45" t="s">
        <v>15</v>
      </c>
      <c r="P165" s="160"/>
      <c r="Q165"/>
      <c r="R165" s="160"/>
      <c r="V165"/>
    </row>
    <row r="166" spans="1:22" ht="15.75" customHeight="1" x14ac:dyDescent="0.3">
      <c r="A166" s="21">
        <f>IF(Table_246[[#This Row],[Data]]="","",MONTH(Table_246[[#This Row],[Data]]))</f>
        <v>3</v>
      </c>
      <c r="B166" s="25">
        <v>46083</v>
      </c>
      <c r="C166" s="29" t="s">
        <v>1833</v>
      </c>
      <c r="D166" s="36">
        <v>1</v>
      </c>
      <c r="E166" s="41" t="s">
        <v>996</v>
      </c>
      <c r="F166" s="42" t="str">
        <f>IFERROR(VLOOKUP(C166,#REF!,5,0),"0")</f>
        <v>0</v>
      </c>
      <c r="G166" s="9">
        <f>Table_246[[#This Row],[QT]]*Table_246[[#This Row],[Custo 
Un]]</f>
        <v>0</v>
      </c>
      <c r="H166" s="45">
        <v>25</v>
      </c>
      <c r="I166" s="9">
        <f>H166*D166</f>
        <v>25</v>
      </c>
      <c r="J166" s="41" t="s">
        <v>545</v>
      </c>
      <c r="K166" s="43">
        <f>Table_246[[#This Row],[Valor da 
venda]]-Table_246[[#This Row],[Valor gasto]]</f>
        <v>25</v>
      </c>
      <c r="L166" s="45" t="s">
        <v>15</v>
      </c>
      <c r="P166" s="160"/>
      <c r="Q166"/>
      <c r="R166" s="160"/>
      <c r="V166"/>
    </row>
    <row r="167" spans="1:22" ht="15.75" customHeight="1" x14ac:dyDescent="0.3">
      <c r="A167" s="21">
        <f>IF(Table_246[[#This Row],[Data]]="","",MONTH(Table_246[[#This Row],[Data]]))</f>
        <v>3</v>
      </c>
      <c r="B167" s="25">
        <v>46084</v>
      </c>
      <c r="C167" s="29" t="s">
        <v>1834</v>
      </c>
      <c r="D167" s="36">
        <v>1</v>
      </c>
      <c r="E167" s="41" t="s">
        <v>887</v>
      </c>
      <c r="F167" s="42">
        <v>400</v>
      </c>
      <c r="G167" s="9">
        <f>Table_246[[#This Row],[QT]]*Table_246[[#This Row],[Custo 
Un]]</f>
        <v>400</v>
      </c>
      <c r="H167" s="45">
        <v>600</v>
      </c>
      <c r="I167" s="9">
        <f>H167*D167</f>
        <v>600</v>
      </c>
      <c r="J167" s="41" t="s">
        <v>545</v>
      </c>
      <c r="K167" s="43">
        <f>Table_246[[#This Row],[Valor da 
venda]]-Table_246[[#This Row],[Valor gasto]]</f>
        <v>200</v>
      </c>
      <c r="L167" s="45" t="s">
        <v>981</v>
      </c>
      <c r="P167" s="160"/>
      <c r="Q167"/>
      <c r="R167" s="160"/>
      <c r="V167"/>
    </row>
    <row r="168" spans="1:22" ht="15.75" customHeight="1" x14ac:dyDescent="0.3">
      <c r="A168" s="21">
        <f>IF(Table_246[[#This Row],[Data]]="","",MONTH(Table_246[[#This Row],[Data]]))</f>
        <v>3</v>
      </c>
      <c r="B168" s="25">
        <v>46084</v>
      </c>
      <c r="C168" s="29" t="s">
        <v>1835</v>
      </c>
      <c r="D168" s="36">
        <v>1</v>
      </c>
      <c r="E168" s="41" t="s">
        <v>887</v>
      </c>
      <c r="F168" s="42">
        <v>15</v>
      </c>
      <c r="G168" s="9">
        <f>Table_246[[#This Row],[QT]]*Table_246[[#This Row],[Custo 
Un]]</f>
        <v>15</v>
      </c>
      <c r="H168" s="45">
        <v>30</v>
      </c>
      <c r="I168" s="9">
        <f>H168*D168</f>
        <v>30</v>
      </c>
      <c r="J168" s="41" t="s">
        <v>545</v>
      </c>
      <c r="K168" s="43">
        <f>Table_246[[#This Row],[Valor da 
venda]]-Table_246[[#This Row],[Valor gasto]]</f>
        <v>15</v>
      </c>
      <c r="L168" s="45" t="s">
        <v>981</v>
      </c>
      <c r="P168" s="160"/>
      <c r="Q168"/>
      <c r="R168" s="160"/>
      <c r="V168"/>
    </row>
    <row r="169" spans="1:22" ht="15.75" customHeight="1" x14ac:dyDescent="0.3">
      <c r="A169" s="21">
        <f>IF(Table_246[[#This Row],[Data]]="","",MONTH(Table_246[[#This Row],[Data]]))</f>
        <v>3</v>
      </c>
      <c r="B169" s="25">
        <v>46084</v>
      </c>
      <c r="C169" s="29" t="s">
        <v>1836</v>
      </c>
      <c r="D169" s="36">
        <v>1</v>
      </c>
      <c r="E169" s="41" t="s">
        <v>996</v>
      </c>
      <c r="F169" s="42">
        <v>5</v>
      </c>
      <c r="G169" s="9">
        <f>Table_246[[#This Row],[QT]]*Table_246[[#This Row],[Custo 
Un]]</f>
        <v>5</v>
      </c>
      <c r="H169" s="45">
        <v>15</v>
      </c>
      <c r="I169" s="9">
        <f>H169*D169</f>
        <v>15</v>
      </c>
      <c r="J169" s="41" t="s">
        <v>545</v>
      </c>
      <c r="K169" s="43">
        <f>Table_246[[#This Row],[Valor da 
venda]]-Table_246[[#This Row],[Valor gasto]]</f>
        <v>10</v>
      </c>
      <c r="L169" s="45" t="s">
        <v>15</v>
      </c>
      <c r="P169" s="160"/>
      <c r="Q169"/>
      <c r="R169" s="160"/>
      <c r="V169"/>
    </row>
    <row r="170" spans="1:22" ht="15.75" customHeight="1" x14ac:dyDescent="0.3">
      <c r="A170" s="21">
        <f>IF(Table_246[[#This Row],[Data]]="","",MONTH(Table_246[[#This Row],[Data]]))</f>
        <v>3</v>
      </c>
      <c r="B170" s="25">
        <v>46084</v>
      </c>
      <c r="C170" s="29" t="s">
        <v>1837</v>
      </c>
      <c r="D170" s="36">
        <v>2</v>
      </c>
      <c r="E170" s="41" t="s">
        <v>1838</v>
      </c>
      <c r="F170" s="42">
        <v>140</v>
      </c>
      <c r="G170" s="9">
        <f>Table_246[[#This Row],[QT]]*Table_246[[#This Row],[Custo 
Un]]</f>
        <v>280</v>
      </c>
      <c r="H170" s="45">
        <v>200</v>
      </c>
      <c r="I170" s="9">
        <f>H170*D170</f>
        <v>400</v>
      </c>
      <c r="J170" s="41" t="s">
        <v>545</v>
      </c>
      <c r="K170" s="43">
        <f>Table_246[[#This Row],[Valor da 
venda]]-Table_246[[#This Row],[Valor gasto]]</f>
        <v>120</v>
      </c>
      <c r="L170" s="45" t="s">
        <v>15</v>
      </c>
      <c r="P170" s="160"/>
      <c r="Q170"/>
      <c r="R170" s="160"/>
      <c r="V170"/>
    </row>
    <row r="171" spans="1:22" ht="15.75" customHeight="1" x14ac:dyDescent="0.3">
      <c r="A171" s="21">
        <f>IF(Table_246[[#This Row],[Data]]="","",MONTH(Table_246[[#This Row],[Data]]))</f>
        <v>3</v>
      </c>
      <c r="B171" s="25">
        <v>46084</v>
      </c>
      <c r="C171" s="29" t="s">
        <v>1839</v>
      </c>
      <c r="D171" s="36">
        <v>1</v>
      </c>
      <c r="E171" s="41" t="s">
        <v>1838</v>
      </c>
      <c r="F171" s="42">
        <v>90</v>
      </c>
      <c r="G171" s="9">
        <f>Table_246[[#This Row],[QT]]*Table_246[[#This Row],[Custo 
Un]]</f>
        <v>90</v>
      </c>
      <c r="H171" s="45">
        <v>150</v>
      </c>
      <c r="I171" s="9">
        <f>H171*D171</f>
        <v>150</v>
      </c>
      <c r="J171" s="41" t="s">
        <v>545</v>
      </c>
      <c r="K171" s="43">
        <f>Table_246[[#This Row],[Valor da 
venda]]-Table_246[[#This Row],[Valor gasto]]</f>
        <v>60</v>
      </c>
      <c r="L171" s="45" t="s">
        <v>15</v>
      </c>
      <c r="P171" s="160"/>
      <c r="Q171"/>
      <c r="R171" s="160"/>
      <c r="V171"/>
    </row>
    <row r="172" spans="1:22" ht="15.75" customHeight="1" x14ac:dyDescent="0.3">
      <c r="A172" s="21">
        <f>IF(Table_246[[#This Row],[Data]]="","",MONTH(Table_246[[#This Row],[Data]]))</f>
        <v>3</v>
      </c>
      <c r="B172" s="25">
        <v>46084</v>
      </c>
      <c r="C172" s="29" t="s">
        <v>1840</v>
      </c>
      <c r="D172" s="36">
        <v>3</v>
      </c>
      <c r="E172" s="41" t="s">
        <v>1838</v>
      </c>
      <c r="F172" s="42">
        <v>45</v>
      </c>
      <c r="G172" s="9">
        <f>Table_246[[#This Row],[QT]]*Table_246[[#This Row],[Custo 
Un]]</f>
        <v>135</v>
      </c>
      <c r="H172" s="45">
        <v>55</v>
      </c>
      <c r="I172" s="9">
        <f>H172*D172</f>
        <v>165</v>
      </c>
      <c r="J172" s="41" t="s">
        <v>545</v>
      </c>
      <c r="K172" s="43">
        <f>Table_246[[#This Row],[Valor da 
venda]]-Table_246[[#This Row],[Valor gasto]]</f>
        <v>30</v>
      </c>
      <c r="L172" s="45" t="s">
        <v>15</v>
      </c>
      <c r="P172" s="160"/>
      <c r="Q172"/>
      <c r="R172" s="160"/>
      <c r="V172"/>
    </row>
    <row r="173" spans="1:22" ht="15.75" customHeight="1" x14ac:dyDescent="0.3">
      <c r="A173" s="21">
        <f>IF(Table_246[[#This Row],[Data]]="","",MONTH(Table_246[[#This Row],[Data]]))</f>
        <v>3</v>
      </c>
      <c r="B173" s="25">
        <v>46085</v>
      </c>
      <c r="C173" s="29" t="s">
        <v>1841</v>
      </c>
      <c r="D173" s="36">
        <v>1</v>
      </c>
      <c r="E173" s="41" t="s">
        <v>996</v>
      </c>
      <c r="F173" s="42" t="str">
        <f>IFERROR(VLOOKUP(C173,#REF!,5,0),"0")</f>
        <v>0</v>
      </c>
      <c r="G173" s="9">
        <f>Table_246[[#This Row],[QT]]*Table_246[[#This Row],[Custo 
Un]]</f>
        <v>0</v>
      </c>
      <c r="H173" s="45">
        <v>8</v>
      </c>
      <c r="I173" s="9">
        <f>H173*D173</f>
        <v>8</v>
      </c>
      <c r="J173" s="41" t="s">
        <v>545</v>
      </c>
      <c r="K173" s="43">
        <f>Table_246[[#This Row],[Valor da 
venda]]-Table_246[[#This Row],[Valor gasto]]</f>
        <v>8</v>
      </c>
      <c r="L173" s="45" t="s">
        <v>15</v>
      </c>
      <c r="P173" s="160"/>
      <c r="Q173"/>
      <c r="R173" s="160"/>
      <c r="V173"/>
    </row>
    <row r="174" spans="1:22" ht="15.75" customHeight="1" x14ac:dyDescent="0.3">
      <c r="A174" s="21">
        <f>IF(Table_246[[#This Row],[Data]]="","",MONTH(Table_246[[#This Row],[Data]]))</f>
        <v>3</v>
      </c>
      <c r="B174" s="25">
        <v>46087</v>
      </c>
      <c r="C174" s="29" t="s">
        <v>139</v>
      </c>
      <c r="D174" s="36">
        <v>1</v>
      </c>
      <c r="E174" s="41" t="s">
        <v>996</v>
      </c>
      <c r="F174" s="42" t="str">
        <f>IFERROR(VLOOKUP(C174,#REF!,5,0),"0")</f>
        <v>0</v>
      </c>
      <c r="G174" s="9">
        <f>Table_246[[#This Row],[QT]]*Table_246[[#This Row],[Custo 
Un]]</f>
        <v>0</v>
      </c>
      <c r="H174" s="45">
        <v>1</v>
      </c>
      <c r="I174" s="9">
        <f>H174*D174</f>
        <v>1</v>
      </c>
      <c r="J174" s="41" t="s">
        <v>545</v>
      </c>
      <c r="K174" s="43">
        <f>Table_246[[#This Row],[Valor da 
venda]]-Table_246[[#This Row],[Valor gasto]]</f>
        <v>1</v>
      </c>
      <c r="L174" s="45" t="s">
        <v>15</v>
      </c>
      <c r="P174" s="160"/>
      <c r="Q174"/>
      <c r="R174" s="160"/>
      <c r="V174"/>
    </row>
    <row r="175" spans="1:22" ht="15.75" customHeight="1" x14ac:dyDescent="0.3">
      <c r="A175" s="21">
        <f>IF(Table_246[[#This Row],[Data]]="","",MONTH(Table_246[[#This Row],[Data]]))</f>
        <v>3</v>
      </c>
      <c r="B175" s="25">
        <v>46087</v>
      </c>
      <c r="C175" s="29" t="s">
        <v>1842</v>
      </c>
      <c r="D175" s="36">
        <v>1</v>
      </c>
      <c r="E175" s="41" t="s">
        <v>883</v>
      </c>
      <c r="F175" s="42" t="str">
        <f>IFERROR(VLOOKUP(C175,#REF!,5,0),"0")</f>
        <v>0</v>
      </c>
      <c r="G175" s="9">
        <f>Table_246[[#This Row],[QT]]*Table_246[[#This Row],[Custo 
Un]]</f>
        <v>0</v>
      </c>
      <c r="H175" s="45">
        <v>80</v>
      </c>
      <c r="I175" s="9">
        <f>H175*D175</f>
        <v>80</v>
      </c>
      <c r="J175" s="41" t="s">
        <v>545</v>
      </c>
      <c r="K175" s="43">
        <f>Table_246[[#This Row],[Valor da 
venda]]-Table_246[[#This Row],[Valor gasto]]</f>
        <v>80</v>
      </c>
      <c r="L175" s="45" t="s">
        <v>15</v>
      </c>
      <c r="P175" s="160"/>
      <c r="Q175"/>
      <c r="R175" s="160"/>
      <c r="V175"/>
    </row>
    <row r="176" spans="1:22" ht="15.75" customHeight="1" x14ac:dyDescent="0.3">
      <c r="A176" s="21">
        <f>IF(Table_246[[#This Row],[Data]]="","",MONTH(Table_246[[#This Row],[Data]]))</f>
        <v>3</v>
      </c>
      <c r="B176" s="25">
        <v>46088</v>
      </c>
      <c r="C176" s="29" t="s">
        <v>1843</v>
      </c>
      <c r="D176" s="36">
        <v>1</v>
      </c>
      <c r="E176" s="41" t="s">
        <v>1844</v>
      </c>
      <c r="F176" s="42" t="str">
        <f>IFERROR(VLOOKUP(C176,#REF!,5,0),"0")</f>
        <v>0</v>
      </c>
      <c r="G176" s="9">
        <f>Table_246[[#This Row],[QT]]*Table_246[[#This Row],[Custo 
Un]]</f>
        <v>0</v>
      </c>
      <c r="H176" s="45">
        <v>150</v>
      </c>
      <c r="I176" s="9">
        <f>H176*D176</f>
        <v>150</v>
      </c>
      <c r="J176" s="41" t="s">
        <v>1844</v>
      </c>
      <c r="K176" s="43">
        <f>Table_246[[#This Row],[Valor da 
venda]]-Table_246[[#This Row],[Valor gasto]]</f>
        <v>150</v>
      </c>
      <c r="L176" s="45" t="s">
        <v>15</v>
      </c>
      <c r="P176" s="160"/>
      <c r="Q176"/>
      <c r="R176" s="160"/>
      <c r="V176"/>
    </row>
    <row r="177" spans="1:22" ht="15.75" customHeight="1" x14ac:dyDescent="0.3">
      <c r="A177" s="21">
        <f>IF(Table_246[[#This Row],[Data]]="","",MONTH(Table_246[[#This Row],[Data]]))</f>
        <v>3</v>
      </c>
      <c r="B177" s="25">
        <v>46088</v>
      </c>
      <c r="C177" s="29" t="s">
        <v>980</v>
      </c>
      <c r="D177" s="36">
        <v>1</v>
      </c>
      <c r="E177" s="41" t="s">
        <v>737</v>
      </c>
      <c r="F177" s="42" t="str">
        <f>IFERROR(VLOOKUP(C177,#REF!,5,0),"0")</f>
        <v>0</v>
      </c>
      <c r="G177" s="9">
        <f>Table_246[[#This Row],[QT]]*Table_246[[#This Row],[Custo 
Un]]</f>
        <v>0</v>
      </c>
      <c r="H177" s="45">
        <v>50</v>
      </c>
      <c r="I177" s="9">
        <f>H177*D177</f>
        <v>50</v>
      </c>
      <c r="J177" s="41" t="s">
        <v>545</v>
      </c>
      <c r="K177" s="43">
        <f>Table_246[[#This Row],[Valor da 
venda]]-Table_246[[#This Row],[Valor gasto]]</f>
        <v>50</v>
      </c>
      <c r="L177" s="45" t="s">
        <v>15</v>
      </c>
      <c r="P177" s="160"/>
      <c r="Q177"/>
      <c r="R177" s="160"/>
      <c r="V177"/>
    </row>
    <row r="178" spans="1:22" ht="15.75" customHeight="1" x14ac:dyDescent="0.3">
      <c r="A178" s="21">
        <f>IF(Table_246[[#This Row],[Data]]="","",MONTH(Table_246[[#This Row],[Data]]))</f>
        <v>3</v>
      </c>
      <c r="B178" s="25">
        <v>46088</v>
      </c>
      <c r="C178" s="84" t="s">
        <v>1114</v>
      </c>
      <c r="D178" s="36">
        <v>1</v>
      </c>
      <c r="E178" s="41" t="s">
        <v>1845</v>
      </c>
      <c r="F178" s="42" t="str">
        <f>IFERROR(VLOOKUP(C178,#REF!,5,0),"0")</f>
        <v>0</v>
      </c>
      <c r="G178" s="9">
        <f>Table_246[[#This Row],[QT]]*Table_246[[#This Row],[Custo 
Un]]</f>
        <v>0</v>
      </c>
      <c r="H178" s="45">
        <v>8.99</v>
      </c>
      <c r="I178" s="9">
        <f>H178*D178</f>
        <v>8.99</v>
      </c>
      <c r="J178" s="41" t="s">
        <v>1004</v>
      </c>
      <c r="K178" s="43">
        <f>Table_246[[#This Row],[Valor da 
venda]]-Table_246[[#This Row],[Valor gasto]]</f>
        <v>8.99</v>
      </c>
      <c r="L178" s="45" t="s">
        <v>15</v>
      </c>
      <c r="P178" s="160"/>
      <c r="Q178"/>
      <c r="R178" s="160"/>
      <c r="V178"/>
    </row>
    <row r="179" spans="1:22" ht="15.75" customHeight="1" x14ac:dyDescent="0.3">
      <c r="A179" s="21">
        <f>IF(Table_246[[#This Row],[Data]]="","",MONTH(Table_246[[#This Row],[Data]]))</f>
        <v>3</v>
      </c>
      <c r="B179" s="25">
        <v>46088</v>
      </c>
      <c r="C179" s="84" t="s">
        <v>1114</v>
      </c>
      <c r="D179" s="36">
        <v>2</v>
      </c>
      <c r="E179" s="41" t="s">
        <v>1846</v>
      </c>
      <c r="F179" s="42" t="str">
        <f>IFERROR(VLOOKUP(C179,#REF!,5,0),"0")</f>
        <v>0</v>
      </c>
      <c r="G179" s="9">
        <f>Table_246[[#This Row],[QT]]*Table_246[[#This Row],[Custo 
Un]]</f>
        <v>0</v>
      </c>
      <c r="H179" s="45">
        <v>8.99</v>
      </c>
      <c r="I179" s="9">
        <f>H179*D179</f>
        <v>17.98</v>
      </c>
      <c r="J179" s="41" t="s">
        <v>1004</v>
      </c>
      <c r="K179" s="43">
        <f>Table_246[[#This Row],[Valor da 
venda]]-Table_246[[#This Row],[Valor gasto]]</f>
        <v>17.98</v>
      </c>
      <c r="L179" s="45" t="s">
        <v>15</v>
      </c>
      <c r="P179" s="160"/>
      <c r="Q179"/>
      <c r="R179" s="160"/>
      <c r="V179"/>
    </row>
    <row r="180" spans="1:22" ht="15.75" customHeight="1" x14ac:dyDescent="0.3">
      <c r="A180" s="21">
        <f>IF(Table_246[[#This Row],[Data]]="","",MONTH(Table_246[[#This Row],[Data]]))</f>
        <v>3</v>
      </c>
      <c r="B180" s="25">
        <v>46091</v>
      </c>
      <c r="C180" s="29" t="s">
        <v>90</v>
      </c>
      <c r="D180" s="36">
        <v>1</v>
      </c>
      <c r="E180" s="41" t="s">
        <v>1847</v>
      </c>
      <c r="F180" s="42" t="str">
        <f>IFERROR(VLOOKUP(C180,#REF!,5,0),"0")</f>
        <v>0</v>
      </c>
      <c r="G180" s="9">
        <f>Table_246[[#This Row],[QT]]*Table_246[[#This Row],[Custo 
Un]]</f>
        <v>0</v>
      </c>
      <c r="H180" s="45">
        <v>15</v>
      </c>
      <c r="I180" s="9">
        <f>H180*D180</f>
        <v>15</v>
      </c>
      <c r="J180" s="41" t="s">
        <v>545</v>
      </c>
      <c r="K180" s="43">
        <f>Table_246[[#This Row],[Valor da 
venda]]-Table_246[[#This Row],[Valor gasto]]</f>
        <v>15</v>
      </c>
      <c r="L180" s="45" t="s">
        <v>15</v>
      </c>
      <c r="P180" s="160"/>
      <c r="Q180"/>
      <c r="R180" s="160"/>
      <c r="V180"/>
    </row>
    <row r="181" spans="1:22" ht="15.75" customHeight="1" x14ac:dyDescent="0.3">
      <c r="A181" s="21">
        <f>IF(Table_246[[#This Row],[Data]]="","",MONTH(Table_246[[#This Row],[Data]]))</f>
        <v>3</v>
      </c>
      <c r="B181" s="25">
        <v>46091</v>
      </c>
      <c r="C181" s="29" t="s">
        <v>1848</v>
      </c>
      <c r="D181" s="36">
        <v>1</v>
      </c>
      <c r="E181" s="41" t="s">
        <v>996</v>
      </c>
      <c r="F181" s="42">
        <v>5</v>
      </c>
      <c r="G181" s="9">
        <f>Table_246[[#This Row],[QT]]*Table_246[[#This Row],[Custo 
Un]]</f>
        <v>5</v>
      </c>
      <c r="H181" s="45">
        <v>15</v>
      </c>
      <c r="I181" s="9">
        <f>H181*D181</f>
        <v>15</v>
      </c>
      <c r="J181" s="41" t="s">
        <v>545</v>
      </c>
      <c r="K181" s="43">
        <f>Table_246[[#This Row],[Valor da 
venda]]-Table_246[[#This Row],[Valor gasto]]</f>
        <v>10</v>
      </c>
      <c r="L181" s="45" t="s">
        <v>15</v>
      </c>
      <c r="P181" s="160"/>
      <c r="Q181"/>
      <c r="R181" s="160"/>
      <c r="V181"/>
    </row>
    <row r="182" spans="1:22" ht="15.75" customHeight="1" x14ac:dyDescent="0.3">
      <c r="A182" s="21">
        <f>IF(Table_246[[#This Row],[Data]]="","",MONTH(Table_246[[#This Row],[Data]]))</f>
        <v>3</v>
      </c>
      <c r="B182" s="25">
        <v>46092</v>
      </c>
      <c r="C182" s="29" t="s">
        <v>267</v>
      </c>
      <c r="D182" s="36">
        <v>1</v>
      </c>
      <c r="E182" s="41" t="s">
        <v>996</v>
      </c>
      <c r="F182" s="42" t="str">
        <f>IFERROR(VLOOKUP(C182,#REF!,5,0),"0")</f>
        <v>0</v>
      </c>
      <c r="G182" s="9">
        <f>Table_246[[#This Row],[QT]]*Table_246[[#This Row],[Custo 
Un]]</f>
        <v>0</v>
      </c>
      <c r="H182" s="45">
        <v>15</v>
      </c>
      <c r="I182" s="9">
        <f>H182*D182</f>
        <v>15</v>
      </c>
      <c r="J182" s="41" t="s">
        <v>545</v>
      </c>
      <c r="K182" s="43">
        <f>Table_246[[#This Row],[Valor da 
venda]]-Table_246[[#This Row],[Valor gasto]]</f>
        <v>15</v>
      </c>
      <c r="L182" s="45" t="s">
        <v>15</v>
      </c>
      <c r="P182" s="160"/>
      <c r="Q182"/>
      <c r="R182" s="160"/>
      <c r="V182"/>
    </row>
    <row r="183" spans="1:22" ht="15.75" customHeight="1" x14ac:dyDescent="0.3">
      <c r="A183" s="21">
        <f>IF(Table_246[[#This Row],[Data]]="","",MONTH(Table_246[[#This Row],[Data]]))</f>
        <v>3</v>
      </c>
      <c r="B183" s="25">
        <v>46092</v>
      </c>
      <c r="C183" s="84" t="s">
        <v>1035</v>
      </c>
      <c r="D183" s="36">
        <v>1</v>
      </c>
      <c r="E183" s="41" t="s">
        <v>1849</v>
      </c>
      <c r="F183" s="42" t="str">
        <f>IFERROR(VLOOKUP(C183,#REF!,5,0),"0")</f>
        <v>0</v>
      </c>
      <c r="G183" s="9">
        <f>Table_246[[#This Row],[QT]]*Table_246[[#This Row],[Custo 
Un]]</f>
        <v>0</v>
      </c>
      <c r="H183" s="45">
        <v>7.02</v>
      </c>
      <c r="I183" s="9">
        <f>H183*D183</f>
        <v>7.02</v>
      </c>
      <c r="J183" s="41" t="s">
        <v>17</v>
      </c>
      <c r="K183" s="43">
        <f>Table_246[[#This Row],[Valor da 
venda]]-Table_246[[#This Row],[Valor gasto]]</f>
        <v>7.02</v>
      </c>
      <c r="L183" s="45" t="s">
        <v>15</v>
      </c>
      <c r="P183" s="160"/>
      <c r="Q183"/>
      <c r="R183" s="160"/>
      <c r="V183"/>
    </row>
    <row r="184" spans="1:22" ht="15.75" customHeight="1" x14ac:dyDescent="0.3">
      <c r="A184" s="21">
        <f>IF(Table_246[[#This Row],[Data]]="","",MONTH(Table_246[[#This Row],[Data]]))</f>
        <v>3</v>
      </c>
      <c r="B184" s="25">
        <v>46092</v>
      </c>
      <c r="C184" s="84" t="s">
        <v>1035</v>
      </c>
      <c r="D184" s="36">
        <v>1</v>
      </c>
      <c r="E184" s="41" t="s">
        <v>1850</v>
      </c>
      <c r="F184" s="42" t="str">
        <f>IFERROR(VLOOKUP(C184,#REF!,5,0),"0")</f>
        <v>0</v>
      </c>
      <c r="G184" s="9">
        <f>Table_246[[#This Row],[QT]]*Table_246[[#This Row],[Custo 
Un]]</f>
        <v>0</v>
      </c>
      <c r="H184" s="45">
        <v>5.5</v>
      </c>
      <c r="I184" s="9">
        <f>H184*D184</f>
        <v>5.5</v>
      </c>
      <c r="J184" s="41" t="s">
        <v>17</v>
      </c>
      <c r="K184" s="43">
        <f>Table_246[[#This Row],[Valor da 
venda]]-Table_246[[#This Row],[Valor gasto]]</f>
        <v>5.5</v>
      </c>
      <c r="L184" s="45" t="s">
        <v>15</v>
      </c>
      <c r="P184" s="160"/>
      <c r="Q184"/>
      <c r="R184" s="160"/>
      <c r="V184"/>
    </row>
    <row r="185" spans="1:22" ht="15.75" customHeight="1" x14ac:dyDescent="0.3">
      <c r="A185" s="21">
        <f>IF(Table_246[[#This Row],[Data]]="","",MONTH(Table_246[[#This Row],[Data]]))</f>
        <v>3</v>
      </c>
      <c r="B185" s="25">
        <v>46093</v>
      </c>
      <c r="C185" s="84" t="s">
        <v>1035</v>
      </c>
      <c r="D185" s="36">
        <v>1</v>
      </c>
      <c r="E185" s="41" t="s">
        <v>1851</v>
      </c>
      <c r="F185" s="42" t="str">
        <f>IFERROR(VLOOKUP(C185,#REF!,5,0),"0")</f>
        <v>0</v>
      </c>
      <c r="G185" s="9">
        <f>Table_246[[#This Row],[QT]]*Table_246[[#This Row],[Custo 
Un]]</f>
        <v>0</v>
      </c>
      <c r="H185" s="45">
        <v>5.5</v>
      </c>
      <c r="I185" s="9">
        <f>H185*D185</f>
        <v>5.5</v>
      </c>
      <c r="J185" s="41" t="s">
        <v>17</v>
      </c>
      <c r="K185" s="43">
        <f>Table_246[[#This Row],[Valor da 
venda]]-Table_246[[#This Row],[Valor gasto]]</f>
        <v>5.5</v>
      </c>
      <c r="L185" s="45" t="s">
        <v>15</v>
      </c>
      <c r="P185" s="160"/>
      <c r="Q185"/>
      <c r="R185" s="160"/>
      <c r="V185"/>
    </row>
    <row r="186" spans="1:22" ht="15.75" customHeight="1" x14ac:dyDescent="0.3">
      <c r="A186" s="21">
        <f>IF(Table_246[[#This Row],[Data]]="","",MONTH(Table_246[[#This Row],[Data]]))</f>
        <v>3</v>
      </c>
      <c r="B186" s="25">
        <v>46093</v>
      </c>
      <c r="C186" s="84" t="s">
        <v>1035</v>
      </c>
      <c r="D186" s="36">
        <v>1</v>
      </c>
      <c r="E186" s="41" t="s">
        <v>1852</v>
      </c>
      <c r="F186" s="42" t="str">
        <f>IFERROR(VLOOKUP(C186,#REF!,5,0),"0")</f>
        <v>0</v>
      </c>
      <c r="G186" s="9">
        <f>Table_246[[#This Row],[QT]]*Table_246[[#This Row],[Custo 
Un]]</f>
        <v>0</v>
      </c>
      <c r="H186" s="45">
        <v>5.5</v>
      </c>
      <c r="I186" s="9">
        <f>H186*D186</f>
        <v>5.5</v>
      </c>
      <c r="J186" s="41" t="s">
        <v>17</v>
      </c>
      <c r="K186" s="43">
        <f>Table_246[[#This Row],[Valor da 
venda]]-Table_246[[#This Row],[Valor gasto]]</f>
        <v>5.5</v>
      </c>
      <c r="L186" s="45" t="s">
        <v>15</v>
      </c>
      <c r="P186" s="160"/>
      <c r="Q186"/>
      <c r="R186" s="160"/>
      <c r="V186"/>
    </row>
    <row r="187" spans="1:22" ht="15.75" customHeight="1" x14ac:dyDescent="0.3">
      <c r="A187" s="21">
        <f>IF(Table_246[[#This Row],[Data]]="","",MONTH(Table_246[[#This Row],[Data]]))</f>
        <v>3</v>
      </c>
      <c r="B187" s="25">
        <v>46093</v>
      </c>
      <c r="C187" s="84" t="s">
        <v>1035</v>
      </c>
      <c r="D187" s="36">
        <v>1</v>
      </c>
      <c r="E187" s="41" t="s">
        <v>1853</v>
      </c>
      <c r="F187" s="42" t="str">
        <f>IFERROR(VLOOKUP(C187,#REF!,5,0),"0")</f>
        <v>0</v>
      </c>
      <c r="G187" s="9">
        <f>Table_246[[#This Row],[QT]]*Table_246[[#This Row],[Custo 
Un]]</f>
        <v>0</v>
      </c>
      <c r="H187" s="45">
        <v>5.5</v>
      </c>
      <c r="I187" s="9">
        <f>H187*D187</f>
        <v>5.5</v>
      </c>
      <c r="J187" s="41" t="s">
        <v>17</v>
      </c>
      <c r="K187" s="43">
        <f>Table_246[[#This Row],[Valor da 
venda]]-Table_246[[#This Row],[Valor gasto]]</f>
        <v>5.5</v>
      </c>
      <c r="L187" s="45" t="s">
        <v>15</v>
      </c>
      <c r="P187" s="160"/>
      <c r="Q187"/>
      <c r="R187" s="160"/>
      <c r="V187"/>
    </row>
    <row r="188" spans="1:22" ht="15.75" customHeight="1" x14ac:dyDescent="0.3">
      <c r="A188" s="21">
        <f>IF(Table_246[[#This Row],[Data]]="","",MONTH(Table_246[[#This Row],[Data]]))</f>
        <v>3</v>
      </c>
      <c r="B188" s="25">
        <v>46093</v>
      </c>
      <c r="C188" s="84" t="s">
        <v>1035</v>
      </c>
      <c r="D188" s="36">
        <v>1</v>
      </c>
      <c r="E188" s="41" t="s">
        <v>1854</v>
      </c>
      <c r="F188" s="42" t="str">
        <f>IFERROR(VLOOKUP(C188,#REF!,5,0),"0")</f>
        <v>0</v>
      </c>
      <c r="G188" s="9">
        <f>Table_246[[#This Row],[QT]]*Table_246[[#This Row],[Custo 
Un]]</f>
        <v>0</v>
      </c>
      <c r="H188" s="45">
        <v>5.5</v>
      </c>
      <c r="I188" s="9">
        <f>H188*D188</f>
        <v>5.5</v>
      </c>
      <c r="J188" s="41" t="s">
        <v>17</v>
      </c>
      <c r="K188" s="43">
        <f>Table_246[[#This Row],[Valor da 
venda]]-Table_246[[#This Row],[Valor gasto]]</f>
        <v>5.5</v>
      </c>
      <c r="L188" s="45" t="s">
        <v>15</v>
      </c>
      <c r="P188" s="160"/>
      <c r="Q188"/>
      <c r="R188" s="160"/>
      <c r="V188"/>
    </row>
    <row r="189" spans="1:22" ht="15.75" customHeight="1" x14ac:dyDescent="0.3">
      <c r="A189" s="21">
        <f>IF(Table_246[[#This Row],[Data]]="","",MONTH(Table_246[[#This Row],[Data]]))</f>
        <v>3</v>
      </c>
      <c r="B189" s="25">
        <v>46093</v>
      </c>
      <c r="C189" s="84" t="s">
        <v>1035</v>
      </c>
      <c r="D189" s="36">
        <v>1</v>
      </c>
      <c r="E189" s="41" t="s">
        <v>1856</v>
      </c>
      <c r="F189" s="42" t="str">
        <f>IFERROR(VLOOKUP(C189,#REF!,5,0),"0")</f>
        <v>0</v>
      </c>
      <c r="G189" s="9">
        <f>Table_246[[#This Row],[QT]]*Table_246[[#This Row],[Custo 
Un]]</f>
        <v>0</v>
      </c>
      <c r="H189" s="45">
        <v>5.5</v>
      </c>
      <c r="I189" s="9">
        <f>H189*D189</f>
        <v>5.5</v>
      </c>
      <c r="J189" s="41" t="s">
        <v>17</v>
      </c>
      <c r="K189" s="43">
        <f>Table_246[[#This Row],[Valor da 
venda]]-Table_246[[#This Row],[Valor gasto]]</f>
        <v>5.5</v>
      </c>
      <c r="L189" s="45" t="s">
        <v>15</v>
      </c>
      <c r="P189" s="160"/>
      <c r="Q189"/>
      <c r="R189" s="160"/>
      <c r="V189"/>
    </row>
    <row r="190" spans="1:22" ht="15.75" customHeight="1" x14ac:dyDescent="0.3">
      <c r="A190" s="21">
        <f>IF(Table_246[[#This Row],[Data]]="","",MONTH(Table_246[[#This Row],[Data]]))</f>
        <v>3</v>
      </c>
      <c r="B190" s="25">
        <v>46094</v>
      </c>
      <c r="C190" s="84" t="s">
        <v>1035</v>
      </c>
      <c r="D190" s="36">
        <v>1</v>
      </c>
      <c r="E190" s="41" t="s">
        <v>1855</v>
      </c>
      <c r="F190" s="42" t="str">
        <f>IFERROR(VLOOKUP(C190,#REF!,5,0),"0")</f>
        <v>0</v>
      </c>
      <c r="G190" s="9">
        <f>Table_246[[#This Row],[QT]]*Table_246[[#This Row],[Custo 
Un]]</f>
        <v>0</v>
      </c>
      <c r="H190" s="45">
        <v>5.5</v>
      </c>
      <c r="I190" s="9">
        <f>H190*D190</f>
        <v>5.5</v>
      </c>
      <c r="J190" s="41" t="s">
        <v>17</v>
      </c>
      <c r="K190" s="43">
        <f>Table_246[[#This Row],[Valor da 
venda]]-Table_246[[#This Row],[Valor gasto]]</f>
        <v>5.5</v>
      </c>
      <c r="L190" s="45" t="s">
        <v>15</v>
      </c>
      <c r="P190" s="160"/>
      <c r="Q190"/>
      <c r="R190" s="160"/>
      <c r="V190"/>
    </row>
    <row r="191" spans="1:22" ht="15.75" customHeight="1" x14ac:dyDescent="0.3">
      <c r="A191" s="21">
        <f>IF(Table_246[[#This Row],[Data]]="","",MONTH(Table_246[[#This Row],[Data]]))</f>
        <v>3</v>
      </c>
      <c r="B191" s="25">
        <v>46094</v>
      </c>
      <c r="C191" s="84" t="s">
        <v>1035</v>
      </c>
      <c r="D191" s="36">
        <v>1</v>
      </c>
      <c r="E191" s="41" t="s">
        <v>1857</v>
      </c>
      <c r="F191" s="42" t="str">
        <f>IFERROR(VLOOKUP(C191,#REF!,5,0),"0")</f>
        <v>0</v>
      </c>
      <c r="G191" s="9">
        <f>Table_246[[#This Row],[QT]]*Table_246[[#This Row],[Custo 
Un]]</f>
        <v>0</v>
      </c>
      <c r="H191" s="45">
        <v>5.5</v>
      </c>
      <c r="I191" s="9">
        <f>H191*D191</f>
        <v>5.5</v>
      </c>
      <c r="J191" s="41" t="s">
        <v>17</v>
      </c>
      <c r="K191" s="43">
        <f>Table_246[[#This Row],[Valor da 
venda]]-Table_246[[#This Row],[Valor gasto]]</f>
        <v>5.5</v>
      </c>
      <c r="L191" s="45" t="s">
        <v>15</v>
      </c>
      <c r="P191" s="160"/>
      <c r="Q191"/>
      <c r="R191" s="160"/>
      <c r="V191"/>
    </row>
    <row r="192" spans="1:22" ht="15.75" customHeight="1" x14ac:dyDescent="0.3">
      <c r="A192" s="21">
        <f>IF(Table_246[[#This Row],[Data]]="","",MONTH(Table_246[[#This Row],[Data]]))</f>
        <v>3</v>
      </c>
      <c r="B192" s="25">
        <v>46094</v>
      </c>
      <c r="C192" s="84" t="s">
        <v>1035</v>
      </c>
      <c r="D192" s="36">
        <v>1</v>
      </c>
      <c r="E192" s="41" t="s">
        <v>1858</v>
      </c>
      <c r="F192" s="42" t="str">
        <f>IFERROR(VLOOKUP(C192,#REF!,5,0),"0")</f>
        <v>0</v>
      </c>
      <c r="G192" s="9">
        <f>Table_246[[#This Row],[QT]]*Table_246[[#This Row],[Custo 
Un]]</f>
        <v>0</v>
      </c>
      <c r="H192" s="45">
        <v>5.5</v>
      </c>
      <c r="I192" s="9">
        <f>H192*D192</f>
        <v>5.5</v>
      </c>
      <c r="J192" s="41" t="s">
        <v>17</v>
      </c>
      <c r="K192" s="43">
        <f>Table_246[[#This Row],[Valor da 
venda]]-Table_246[[#This Row],[Valor gasto]]</f>
        <v>5.5</v>
      </c>
      <c r="L192" s="45" t="s">
        <v>15</v>
      </c>
      <c r="P192" s="160"/>
      <c r="Q192"/>
      <c r="R192" s="160"/>
      <c r="V192"/>
    </row>
    <row r="193" spans="1:22" ht="15.75" customHeight="1" x14ac:dyDescent="0.3">
      <c r="A193" s="21">
        <f>IF(Table_246[[#This Row],[Data]]="","",MONTH(Table_246[[#This Row],[Data]]))</f>
        <v>3</v>
      </c>
      <c r="B193" s="25">
        <v>46093</v>
      </c>
      <c r="C193" s="29" t="s">
        <v>1862</v>
      </c>
      <c r="D193" s="36">
        <v>1</v>
      </c>
      <c r="E193" s="41" t="s">
        <v>1860</v>
      </c>
      <c r="F193" s="42">
        <v>15</v>
      </c>
      <c r="G193" s="9">
        <f>Table_246[[#This Row],[QT]]*Table_246[[#This Row],[Custo 
Un]]</f>
        <v>15</v>
      </c>
      <c r="H193" s="45">
        <v>43.52</v>
      </c>
      <c r="I193" s="9">
        <f>H193*D193</f>
        <v>43.52</v>
      </c>
      <c r="J193" s="41" t="s">
        <v>1004</v>
      </c>
      <c r="K193" s="43">
        <f>Table_246[[#This Row],[Valor da 
venda]]-Table_246[[#This Row],[Valor gasto]]</f>
        <v>28.520000000000003</v>
      </c>
      <c r="L193" s="45" t="s">
        <v>15</v>
      </c>
      <c r="P193" s="160"/>
      <c r="Q193"/>
      <c r="R193" s="160"/>
      <c r="V193"/>
    </row>
    <row r="194" spans="1:22" ht="15.75" customHeight="1" x14ac:dyDescent="0.3">
      <c r="A194" s="21">
        <f>IF(Table_246[[#This Row],[Data]]="","",MONTH(Table_246[[#This Row],[Data]]))</f>
        <v>3</v>
      </c>
      <c r="B194" s="25">
        <v>46093</v>
      </c>
      <c r="C194" s="84" t="s">
        <v>1114</v>
      </c>
      <c r="D194" s="36">
        <v>1</v>
      </c>
      <c r="E194" s="41" t="s">
        <v>1859</v>
      </c>
      <c r="F194" s="42" t="str">
        <f>IFERROR(VLOOKUP(C194,#REF!,5,0),"0")</f>
        <v>0</v>
      </c>
      <c r="G194" s="9">
        <f>Table_246[[#This Row],[QT]]*Table_246[[#This Row],[Custo 
Un]]</f>
        <v>0</v>
      </c>
      <c r="H194" s="45">
        <v>8.99</v>
      </c>
      <c r="I194" s="9">
        <f>H194*D194</f>
        <v>8.99</v>
      </c>
      <c r="J194" s="41" t="s">
        <v>1004</v>
      </c>
      <c r="K194" s="43">
        <f>Table_246[[#This Row],[Valor da 
venda]]-Table_246[[#This Row],[Valor gasto]]</f>
        <v>8.99</v>
      </c>
      <c r="L194" s="45" t="s">
        <v>15</v>
      </c>
      <c r="P194" s="160"/>
      <c r="Q194"/>
      <c r="R194" s="160"/>
      <c r="V194"/>
    </row>
    <row r="195" spans="1:22" ht="15.75" customHeight="1" x14ac:dyDescent="0.3">
      <c r="A195" s="21">
        <f>IF(Table_246[[#This Row],[Data]]="","",MONTH(Table_246[[#This Row],[Data]]))</f>
        <v>3</v>
      </c>
      <c r="B195" s="25">
        <v>46093</v>
      </c>
      <c r="C195" s="84" t="s">
        <v>1114</v>
      </c>
      <c r="D195" s="36">
        <v>1</v>
      </c>
      <c r="E195" s="41" t="s">
        <v>1861</v>
      </c>
      <c r="F195" s="42" t="str">
        <f>IFERROR(VLOOKUP(C195,#REF!,5,0),"0")</f>
        <v>0</v>
      </c>
      <c r="G195" s="9">
        <f>Table_246[[#This Row],[QT]]*Table_246[[#This Row],[Custo 
Un]]</f>
        <v>0</v>
      </c>
      <c r="H195" s="45">
        <v>8.99</v>
      </c>
      <c r="I195" s="9">
        <f>H195*D195</f>
        <v>8.99</v>
      </c>
      <c r="J195" s="41" t="s">
        <v>1004</v>
      </c>
      <c r="K195" s="43">
        <f>Table_246[[#This Row],[Valor da 
venda]]-Table_246[[#This Row],[Valor gasto]]</f>
        <v>8.99</v>
      </c>
      <c r="L195" s="45" t="s">
        <v>15</v>
      </c>
      <c r="P195" s="160"/>
      <c r="Q195"/>
      <c r="R195" s="160"/>
      <c r="V195"/>
    </row>
    <row r="196" spans="1:22" ht="15.75" customHeight="1" x14ac:dyDescent="0.3">
      <c r="A196" s="21">
        <f>IF(Table_246[[#This Row],[Data]]="","",MONTH(Table_246[[#This Row],[Data]]))</f>
        <v>3</v>
      </c>
      <c r="B196" s="25">
        <v>46096</v>
      </c>
      <c r="C196" s="29" t="s">
        <v>1864</v>
      </c>
      <c r="D196" s="36">
        <v>1</v>
      </c>
      <c r="E196" s="41" t="s">
        <v>1863</v>
      </c>
      <c r="F196" s="42">
        <v>350</v>
      </c>
      <c r="G196" s="9">
        <f>Table_246[[#This Row],[QT]]*Table_246[[#This Row],[Custo 
Un]]</f>
        <v>350</v>
      </c>
      <c r="H196" s="45">
        <v>453.69</v>
      </c>
      <c r="I196" s="9">
        <f>H196*D196</f>
        <v>453.69</v>
      </c>
      <c r="J196" s="41" t="s">
        <v>17</v>
      </c>
      <c r="K196" s="43">
        <f>Table_246[[#This Row],[Valor da 
venda]]-Table_246[[#This Row],[Valor gasto]]</f>
        <v>103.69</v>
      </c>
      <c r="L196" s="45" t="s">
        <v>15</v>
      </c>
      <c r="P196" s="160"/>
      <c r="Q196"/>
      <c r="R196" s="160"/>
      <c r="V196"/>
    </row>
    <row r="197" spans="1:22" ht="15.75" customHeight="1" x14ac:dyDescent="0.3">
      <c r="A197" s="21">
        <f>IF(Table_246[[#This Row],[Data]]="","",MONTH(Table_246[[#This Row],[Data]]))</f>
        <v>3</v>
      </c>
      <c r="B197" s="25">
        <v>46096</v>
      </c>
      <c r="C197" s="84" t="s">
        <v>1035</v>
      </c>
      <c r="D197" s="36">
        <v>1</v>
      </c>
      <c r="E197" s="41" t="s">
        <v>1865</v>
      </c>
      <c r="F197" s="42" t="str">
        <f>IFERROR(VLOOKUP(C197,#REF!,5,0),"0")</f>
        <v>0</v>
      </c>
      <c r="G197" s="9">
        <f>Table_246[[#This Row],[QT]]*Table_246[[#This Row],[Custo 
Un]]</f>
        <v>0</v>
      </c>
      <c r="H197" s="45">
        <v>5.5</v>
      </c>
      <c r="I197" s="9">
        <f>H197*D197</f>
        <v>5.5</v>
      </c>
      <c r="J197" s="41" t="s">
        <v>17</v>
      </c>
      <c r="K197" s="43">
        <f>Table_246[[#This Row],[Valor da 
venda]]-Table_246[[#This Row],[Valor gasto]]</f>
        <v>5.5</v>
      </c>
      <c r="L197" s="45" t="s">
        <v>15</v>
      </c>
      <c r="P197" s="160"/>
      <c r="Q197"/>
      <c r="R197" s="160"/>
      <c r="V197"/>
    </row>
    <row r="198" spans="1:22" ht="15.75" customHeight="1" x14ac:dyDescent="0.3">
      <c r="A198" s="21">
        <f>IF(Table_246[[#This Row],[Data]]="","",MONTH(Table_246[[#This Row],[Data]]))</f>
        <v>3</v>
      </c>
      <c r="B198" s="25">
        <v>46096</v>
      </c>
      <c r="C198" s="84" t="s">
        <v>1035</v>
      </c>
      <c r="D198" s="36">
        <v>1</v>
      </c>
      <c r="E198" s="41" t="s">
        <v>1866</v>
      </c>
      <c r="F198" s="42" t="str">
        <f>IFERROR(VLOOKUP(C198,#REF!,5,0),"0")</f>
        <v>0</v>
      </c>
      <c r="G198" s="9">
        <f>Table_246[[#This Row],[QT]]*Table_246[[#This Row],[Custo 
Un]]</f>
        <v>0</v>
      </c>
      <c r="H198" s="45">
        <v>5.5</v>
      </c>
      <c r="I198" s="9">
        <f>H198*D198</f>
        <v>5.5</v>
      </c>
      <c r="J198" s="41" t="s">
        <v>17</v>
      </c>
      <c r="K198" s="43">
        <f>Table_246[[#This Row],[Valor da 
venda]]-Table_246[[#This Row],[Valor gasto]]</f>
        <v>5.5</v>
      </c>
      <c r="L198" s="45" t="s">
        <v>15</v>
      </c>
      <c r="P198" s="160"/>
      <c r="Q198"/>
      <c r="R198" s="160"/>
      <c r="V198"/>
    </row>
    <row r="199" spans="1:22" ht="15.75" customHeight="1" x14ac:dyDescent="0.3">
      <c r="A199" s="21">
        <f>IF(Table_246[[#This Row],[Data]]="","",MONTH(Table_246[[#This Row],[Data]]))</f>
        <v>3</v>
      </c>
      <c r="B199" s="25">
        <v>46096</v>
      </c>
      <c r="C199" s="84" t="s">
        <v>1035</v>
      </c>
      <c r="D199" s="36">
        <v>1</v>
      </c>
      <c r="E199" s="41" t="s">
        <v>1867</v>
      </c>
      <c r="F199" s="42" t="str">
        <f>IFERROR(VLOOKUP(C199,#REF!,5,0),"0")</f>
        <v>0</v>
      </c>
      <c r="G199" s="9">
        <f>Table_246[[#This Row],[QT]]*Table_246[[#This Row],[Custo 
Un]]</f>
        <v>0</v>
      </c>
      <c r="H199" s="45">
        <v>5.5</v>
      </c>
      <c r="I199" s="9">
        <f>H199*D199</f>
        <v>5.5</v>
      </c>
      <c r="J199" s="41" t="s">
        <v>17</v>
      </c>
      <c r="K199" s="43">
        <f>Table_246[[#This Row],[Valor da 
venda]]-Table_246[[#This Row],[Valor gasto]]</f>
        <v>5.5</v>
      </c>
      <c r="L199" s="45" t="s">
        <v>15</v>
      </c>
      <c r="P199" s="160"/>
      <c r="Q199"/>
      <c r="R199" s="160"/>
      <c r="V199"/>
    </row>
    <row r="200" spans="1:22" ht="15.75" customHeight="1" x14ac:dyDescent="0.3">
      <c r="A200" s="21">
        <f>IF(Table_246[[#This Row],[Data]]="","",MONTH(Table_246[[#This Row],[Data]]))</f>
        <v>3</v>
      </c>
      <c r="B200" s="25">
        <v>46097</v>
      </c>
      <c r="C200" s="84" t="s">
        <v>1035</v>
      </c>
      <c r="D200" s="36">
        <v>1</v>
      </c>
      <c r="E200" s="41" t="s">
        <v>1868</v>
      </c>
      <c r="F200" s="42" t="str">
        <f>IFERROR(VLOOKUP(C200,#REF!,5,0),"0")</f>
        <v>0</v>
      </c>
      <c r="G200" s="9">
        <f>Table_246[[#This Row],[QT]]*Table_246[[#This Row],[Custo 
Un]]</f>
        <v>0</v>
      </c>
      <c r="H200" s="45">
        <v>5.5</v>
      </c>
      <c r="I200" s="9">
        <f>H200*D200</f>
        <v>5.5</v>
      </c>
      <c r="J200" s="41" t="s">
        <v>17</v>
      </c>
      <c r="K200" s="43">
        <f>Table_246[[#This Row],[Valor da 
venda]]-Table_246[[#This Row],[Valor gasto]]</f>
        <v>5.5</v>
      </c>
      <c r="L200" s="45" t="s">
        <v>15</v>
      </c>
      <c r="P200" s="160"/>
      <c r="Q200"/>
      <c r="R200" s="160"/>
      <c r="V200"/>
    </row>
    <row r="201" spans="1:22" ht="15.75" customHeight="1" x14ac:dyDescent="0.3">
      <c r="A201" s="21">
        <f>IF(Table_246[[#This Row],[Data]]="","",MONTH(Table_246[[#This Row],[Data]]))</f>
        <v>3</v>
      </c>
      <c r="B201" s="25">
        <v>46097</v>
      </c>
      <c r="C201" s="29" t="s">
        <v>552</v>
      </c>
      <c r="D201" s="36">
        <v>1</v>
      </c>
      <c r="E201" s="41" t="s">
        <v>996</v>
      </c>
      <c r="F201" s="42">
        <v>18.5</v>
      </c>
      <c r="G201" s="9">
        <f>Table_246[[#This Row],[QT]]*Table_246[[#This Row],[Custo 
Un]]</f>
        <v>18.5</v>
      </c>
      <c r="H201" s="45">
        <v>30</v>
      </c>
      <c r="I201" s="9">
        <f>H201*D201</f>
        <v>30</v>
      </c>
      <c r="J201" s="41" t="s">
        <v>545</v>
      </c>
      <c r="K201" s="43">
        <f>Table_246[[#This Row],[Valor da 
venda]]-Table_246[[#This Row],[Valor gasto]]</f>
        <v>11.5</v>
      </c>
      <c r="L201" s="45" t="s">
        <v>15</v>
      </c>
      <c r="P201" s="160"/>
      <c r="Q201"/>
      <c r="R201" s="160"/>
      <c r="V201"/>
    </row>
    <row r="202" spans="1:22" ht="15.75" customHeight="1" x14ac:dyDescent="0.3">
      <c r="A202" s="21">
        <f>IF(Table_246[[#This Row],[Data]]="","",MONTH(Table_246[[#This Row],[Data]]))</f>
        <v>3</v>
      </c>
      <c r="B202" s="25">
        <v>46097</v>
      </c>
      <c r="C202" s="29" t="s">
        <v>1814</v>
      </c>
      <c r="D202" s="36">
        <v>1</v>
      </c>
      <c r="E202" s="41" t="s">
        <v>996</v>
      </c>
      <c r="F202" s="42" t="str">
        <f>IFERROR(VLOOKUP(C202,#REF!,5,0),"0")</f>
        <v>0</v>
      </c>
      <c r="G202" s="9">
        <f>Table_246[[#This Row],[QT]]*Table_246[[#This Row],[Custo 
Un]]</f>
        <v>0</v>
      </c>
      <c r="H202" s="45">
        <v>5</v>
      </c>
      <c r="I202" s="9">
        <f>H202*D202</f>
        <v>5</v>
      </c>
      <c r="J202" s="41" t="s">
        <v>545</v>
      </c>
      <c r="K202" s="43">
        <f>Table_246[[#This Row],[Valor da 
venda]]-Table_246[[#This Row],[Valor gasto]]</f>
        <v>5</v>
      </c>
      <c r="L202" s="45" t="s">
        <v>15</v>
      </c>
      <c r="P202" s="160"/>
      <c r="Q202"/>
      <c r="R202" s="160"/>
      <c r="V202"/>
    </row>
    <row r="203" spans="1:22" ht="15.75" customHeight="1" x14ac:dyDescent="0.3">
      <c r="A203" s="21">
        <f>IF(Table_246[[#This Row],[Data]]="","",MONTH(Table_246[[#This Row],[Data]]))</f>
        <v>3</v>
      </c>
      <c r="B203" s="25">
        <v>46097</v>
      </c>
      <c r="C203" s="29" t="s">
        <v>995</v>
      </c>
      <c r="D203" s="36">
        <v>1</v>
      </c>
      <c r="E203" s="41" t="s">
        <v>996</v>
      </c>
      <c r="F203" s="42" t="str">
        <f>IFERROR(VLOOKUP(C203,#REF!,5,0),"0")</f>
        <v>0</v>
      </c>
      <c r="G203" s="9">
        <f>Table_246[[#This Row],[QT]]*Table_246[[#This Row],[Custo 
Un]]</f>
        <v>0</v>
      </c>
      <c r="H203" s="45">
        <v>15</v>
      </c>
      <c r="I203" s="9">
        <f>H203*D203</f>
        <v>15</v>
      </c>
      <c r="J203" s="41" t="s">
        <v>545</v>
      </c>
      <c r="K203" s="43">
        <f>Table_246[[#This Row],[Valor da 
venda]]-Table_246[[#This Row],[Valor gasto]]</f>
        <v>15</v>
      </c>
      <c r="L203" s="45" t="s">
        <v>15</v>
      </c>
      <c r="P203" s="160"/>
      <c r="Q203"/>
      <c r="R203" s="160"/>
      <c r="V203"/>
    </row>
    <row r="204" spans="1:22" ht="15.75" customHeight="1" x14ac:dyDescent="0.3">
      <c r="A204" s="21">
        <f>IF(Table_246[[#This Row],[Data]]="","",MONTH(Table_246[[#This Row],[Data]]))</f>
        <v>3</v>
      </c>
      <c r="B204" s="25">
        <v>46102</v>
      </c>
      <c r="C204" s="29" t="s">
        <v>1869</v>
      </c>
      <c r="D204" s="36">
        <v>1</v>
      </c>
      <c r="E204" s="41" t="s">
        <v>996</v>
      </c>
      <c r="F204" s="42" t="str">
        <f>IFERROR(VLOOKUP(C204,#REF!,5,0),"0")</f>
        <v>0</v>
      </c>
      <c r="G204" s="9">
        <f>Table_246[[#This Row],[QT]]*Table_246[[#This Row],[Custo 
Un]]</f>
        <v>0</v>
      </c>
      <c r="H204" s="45">
        <v>10</v>
      </c>
      <c r="I204" s="9">
        <f>H204*D204</f>
        <v>10</v>
      </c>
      <c r="J204" s="41" t="s">
        <v>545</v>
      </c>
      <c r="K204" s="43">
        <f>Table_246[[#This Row],[Valor da 
venda]]-Table_246[[#This Row],[Valor gasto]]</f>
        <v>10</v>
      </c>
      <c r="L204" s="45" t="s">
        <v>15</v>
      </c>
      <c r="P204" s="160"/>
      <c r="Q204"/>
      <c r="R204" s="160"/>
      <c r="V204"/>
    </row>
    <row r="205" spans="1:22" ht="15.75" customHeight="1" x14ac:dyDescent="0.3">
      <c r="A205" s="21">
        <f>IF(Table_246[[#This Row],[Data]]="","",MONTH(Table_246[[#This Row],[Data]]))</f>
        <v>3</v>
      </c>
      <c r="B205" s="25">
        <v>46102</v>
      </c>
      <c r="C205" s="29" t="s">
        <v>980</v>
      </c>
      <c r="D205" s="36">
        <v>1</v>
      </c>
      <c r="E205" s="41" t="s">
        <v>996</v>
      </c>
      <c r="F205" s="42" t="str">
        <f>IFERROR(VLOOKUP(C205,#REF!,5,0),"0")</f>
        <v>0</v>
      </c>
      <c r="G205" s="9">
        <f>Table_246[[#This Row],[QT]]*Table_246[[#This Row],[Custo 
Un]]</f>
        <v>0</v>
      </c>
      <c r="H205" s="45">
        <v>50</v>
      </c>
      <c r="I205" s="9">
        <f>H205*D205</f>
        <v>50</v>
      </c>
      <c r="J205" s="41" t="s">
        <v>545</v>
      </c>
      <c r="K205" s="43">
        <f>Table_246[[#This Row],[Valor da 
venda]]-Table_246[[#This Row],[Valor gasto]]</f>
        <v>50</v>
      </c>
      <c r="L205" s="45" t="s">
        <v>15</v>
      </c>
      <c r="P205" s="160"/>
      <c r="Q205"/>
      <c r="R205" s="160"/>
      <c r="V205"/>
    </row>
    <row r="206" spans="1:22" ht="15.75" customHeight="1" x14ac:dyDescent="0.3">
      <c r="A206" s="21">
        <f>IF(Table_246[[#This Row],[Data]]="","",MONTH(Table_246[[#This Row],[Data]]))</f>
        <v>3</v>
      </c>
      <c r="B206" s="25">
        <v>46103</v>
      </c>
      <c r="C206" s="84" t="s">
        <v>1035</v>
      </c>
      <c r="D206" s="36">
        <v>1</v>
      </c>
      <c r="E206" s="41" t="s">
        <v>1870</v>
      </c>
      <c r="F206" s="42" t="str">
        <f>IFERROR(VLOOKUP(C206,#REF!,5,0),"0")</f>
        <v>0</v>
      </c>
      <c r="G206" s="9">
        <f>Table_246[[#This Row],[QT]]*Table_246[[#This Row],[Custo 
Un]]</f>
        <v>0</v>
      </c>
      <c r="H206" s="45">
        <v>5.5</v>
      </c>
      <c r="I206" s="9">
        <f>H206*D206</f>
        <v>5.5</v>
      </c>
      <c r="J206" s="41" t="s">
        <v>17</v>
      </c>
      <c r="K206" s="43">
        <f>Table_246[[#This Row],[Valor da 
venda]]-Table_246[[#This Row],[Valor gasto]]</f>
        <v>5.5</v>
      </c>
      <c r="L206" s="45" t="s">
        <v>15</v>
      </c>
      <c r="P206" s="160"/>
      <c r="Q206"/>
      <c r="R206" s="160"/>
      <c r="V206"/>
    </row>
    <row r="207" spans="1:22" ht="15.75" customHeight="1" x14ac:dyDescent="0.3">
      <c r="A207" s="21">
        <f>IF(Table_246[[#This Row],[Data]]="","",MONTH(Table_246[[#This Row],[Data]]))</f>
        <v>3</v>
      </c>
      <c r="B207" s="25">
        <v>46104</v>
      </c>
      <c r="C207" s="29" t="s">
        <v>1080</v>
      </c>
      <c r="D207" s="36">
        <v>1</v>
      </c>
      <c r="E207" s="41" t="s">
        <v>1871</v>
      </c>
      <c r="F207" s="42" t="str">
        <f>IFERROR(VLOOKUP(C207,#REF!,5,0),"0")</f>
        <v>0</v>
      </c>
      <c r="G207" s="9">
        <f>Table_246[[#This Row],[QT]]*Table_246[[#This Row],[Custo 
Un]]</f>
        <v>0</v>
      </c>
      <c r="H207" s="45">
        <v>14.04</v>
      </c>
      <c r="I207" s="9">
        <f>H207*D207</f>
        <v>14.04</v>
      </c>
      <c r="J207" s="41" t="s">
        <v>17</v>
      </c>
      <c r="K207" s="43">
        <f>Table_246[[#This Row],[Valor da 
venda]]-Table_246[[#This Row],[Valor gasto]]</f>
        <v>14.04</v>
      </c>
      <c r="L207" s="45" t="s">
        <v>15</v>
      </c>
      <c r="P207" s="160"/>
      <c r="Q207"/>
      <c r="R207" s="160"/>
      <c r="V207"/>
    </row>
    <row r="208" spans="1:22" ht="15.75" customHeight="1" x14ac:dyDescent="0.3">
      <c r="A208" s="21">
        <f>IF(Table_246[[#This Row],[Data]]="","",MONTH(Table_246[[#This Row],[Data]]))</f>
        <v>3</v>
      </c>
      <c r="B208" s="25">
        <v>46105</v>
      </c>
      <c r="C208" s="29" t="s">
        <v>1872</v>
      </c>
      <c r="D208" s="36">
        <v>1</v>
      </c>
      <c r="E208" s="41" t="s">
        <v>996</v>
      </c>
      <c r="F208" s="42">
        <v>4</v>
      </c>
      <c r="G208" s="9">
        <f>Table_246[[#This Row],[QT]]*Table_246[[#This Row],[Custo 
Un]]</f>
        <v>4</v>
      </c>
      <c r="H208" s="45">
        <v>10</v>
      </c>
      <c r="I208" s="9">
        <f>H208*D208</f>
        <v>10</v>
      </c>
      <c r="J208" s="41" t="s">
        <v>545</v>
      </c>
      <c r="K208" s="43">
        <f>Table_246[[#This Row],[Valor da 
venda]]-Table_246[[#This Row],[Valor gasto]]</f>
        <v>6</v>
      </c>
      <c r="L208" s="45" t="s">
        <v>15</v>
      </c>
      <c r="P208" s="160"/>
      <c r="Q208"/>
      <c r="R208" s="160"/>
      <c r="V208"/>
    </row>
    <row r="209" spans="1:22" ht="15.75" customHeight="1" x14ac:dyDescent="0.3">
      <c r="A209" s="21">
        <f>IF(Table_246[[#This Row],[Data]]="","",MONTH(Table_246[[#This Row],[Data]]))</f>
        <v>3</v>
      </c>
      <c r="B209" s="25">
        <v>46105</v>
      </c>
      <c r="C209" s="29" t="s">
        <v>1873</v>
      </c>
      <c r="D209" s="36">
        <v>1</v>
      </c>
      <c r="E209" s="41" t="s">
        <v>883</v>
      </c>
      <c r="F209" s="42" t="str">
        <f>IFERROR(VLOOKUP(C209,#REF!,5,0),"0")</f>
        <v>0</v>
      </c>
      <c r="G209" s="9">
        <f>Table_246[[#This Row],[QT]]*Table_246[[#This Row],[Custo 
Un]]</f>
        <v>0</v>
      </c>
      <c r="H209" s="45">
        <v>100</v>
      </c>
      <c r="I209" s="9">
        <f>H209*D209</f>
        <v>100</v>
      </c>
      <c r="J209" s="41" t="s">
        <v>545</v>
      </c>
      <c r="K209" s="43">
        <f>Table_246[[#This Row],[Valor da 
venda]]-Table_246[[#This Row],[Valor gasto]]</f>
        <v>100</v>
      </c>
      <c r="L209" s="45" t="s">
        <v>15</v>
      </c>
      <c r="P209" s="160"/>
      <c r="Q209"/>
      <c r="R209" s="160"/>
      <c r="V209"/>
    </row>
    <row r="210" spans="1:22" ht="15.75" customHeight="1" x14ac:dyDescent="0.3">
      <c r="A210" s="21">
        <f>IF(Table_246[[#This Row],[Data]]="","",MONTH(Table_246[[#This Row],[Data]]))</f>
        <v>3</v>
      </c>
      <c r="B210" s="25">
        <v>46105</v>
      </c>
      <c r="C210" s="84" t="s">
        <v>1114</v>
      </c>
      <c r="D210" s="36">
        <v>1</v>
      </c>
      <c r="E210" s="41" t="s">
        <v>1874</v>
      </c>
      <c r="F210" s="42" t="str">
        <f>IFERROR(VLOOKUP(C210,#REF!,5,0),"0")</f>
        <v>0</v>
      </c>
      <c r="G210" s="9">
        <f>Table_246[[#This Row],[QT]]*Table_246[[#This Row],[Custo 
Un]]</f>
        <v>0</v>
      </c>
      <c r="H210" s="45">
        <v>9.1999999999999993</v>
      </c>
      <c r="I210" s="9">
        <f>H210*D210</f>
        <v>9.1999999999999993</v>
      </c>
      <c r="J210" s="41" t="s">
        <v>1004</v>
      </c>
      <c r="K210" s="43">
        <f>Table_246[[#This Row],[Valor da 
venda]]-Table_246[[#This Row],[Valor gasto]]</f>
        <v>9.1999999999999993</v>
      </c>
      <c r="L210" s="45" t="s">
        <v>981</v>
      </c>
      <c r="P210" s="160"/>
      <c r="Q210"/>
      <c r="R210" s="160"/>
      <c r="V210"/>
    </row>
    <row r="211" spans="1:22" ht="15.75" customHeight="1" x14ac:dyDescent="0.3">
      <c r="A211" s="21">
        <f>IF(Table_246[[#This Row],[Data]]="","",MONTH(Table_246[[#This Row],[Data]]))</f>
        <v>3</v>
      </c>
      <c r="B211" s="25">
        <v>46105</v>
      </c>
      <c r="C211" s="84" t="s">
        <v>1114</v>
      </c>
      <c r="D211" s="36">
        <v>1</v>
      </c>
      <c r="E211" s="41" t="s">
        <v>1875</v>
      </c>
      <c r="F211" s="42" t="str">
        <f>IFERROR(VLOOKUP(C211,#REF!,5,0),"0")</f>
        <v>0</v>
      </c>
      <c r="G211" s="9">
        <f>Table_246[[#This Row],[QT]]*Table_246[[#This Row],[Custo 
Un]]</f>
        <v>0</v>
      </c>
      <c r="H211" s="45">
        <v>8.99</v>
      </c>
      <c r="I211" s="9">
        <f>H211*D211</f>
        <v>8.99</v>
      </c>
      <c r="J211" s="41" t="s">
        <v>1004</v>
      </c>
      <c r="K211" s="43">
        <f>Table_246[[#This Row],[Valor da 
venda]]-Table_246[[#This Row],[Valor gasto]]</f>
        <v>8.99</v>
      </c>
      <c r="L211" s="45" t="s">
        <v>981</v>
      </c>
      <c r="P211" s="160"/>
      <c r="Q211"/>
      <c r="R211" s="160"/>
      <c r="V211"/>
    </row>
    <row r="212" spans="1:22" ht="15.75" customHeight="1" x14ac:dyDescent="0.3">
      <c r="A212" s="21">
        <f>IF(Table_246[[#This Row],[Data]]="","",MONTH(Table_246[[#This Row],[Data]]))</f>
        <v>3</v>
      </c>
      <c r="B212" s="25">
        <v>46105</v>
      </c>
      <c r="C212" s="84" t="s">
        <v>1114</v>
      </c>
      <c r="D212" s="36">
        <v>1</v>
      </c>
      <c r="E212" s="41" t="s">
        <v>1876</v>
      </c>
      <c r="F212" s="42" t="str">
        <f>IFERROR(VLOOKUP(C212,#REF!,5,0),"0")</f>
        <v>0</v>
      </c>
      <c r="G212" s="9">
        <f>Table_246[[#This Row],[QT]]*Table_246[[#This Row],[Custo 
Un]]</f>
        <v>0</v>
      </c>
      <c r="H212" s="45">
        <v>9.1999999999999993</v>
      </c>
      <c r="I212" s="9">
        <f>H212*D212</f>
        <v>9.1999999999999993</v>
      </c>
      <c r="J212" s="41" t="s">
        <v>1004</v>
      </c>
      <c r="K212" s="43">
        <f>Table_246[[#This Row],[Valor da 
venda]]-Table_246[[#This Row],[Valor gasto]]</f>
        <v>9.1999999999999993</v>
      </c>
      <c r="L212" s="45" t="s">
        <v>981</v>
      </c>
      <c r="P212" s="160"/>
      <c r="Q212"/>
      <c r="R212" s="160"/>
      <c r="V212"/>
    </row>
    <row r="213" spans="1:22" ht="15.75" customHeight="1" x14ac:dyDescent="0.3">
      <c r="A213" s="21">
        <f>IF(Table_246[[#This Row],[Data]]="","",MONTH(Table_246[[#This Row],[Data]]))</f>
        <v>3</v>
      </c>
      <c r="B213" s="25">
        <v>46105</v>
      </c>
      <c r="C213" s="84" t="s">
        <v>1114</v>
      </c>
      <c r="D213" s="36">
        <v>1</v>
      </c>
      <c r="E213" s="41" t="s">
        <v>1877</v>
      </c>
      <c r="F213" s="42" t="str">
        <f>IFERROR(VLOOKUP(C213,#REF!,5,0),"0")</f>
        <v>0</v>
      </c>
      <c r="G213" s="9">
        <f>Table_246[[#This Row],[QT]]*Table_246[[#This Row],[Custo 
Un]]</f>
        <v>0</v>
      </c>
      <c r="H213" s="45">
        <v>9.1999999999999993</v>
      </c>
      <c r="I213" s="9">
        <f>H213*D213</f>
        <v>9.1999999999999993</v>
      </c>
      <c r="J213" s="41" t="s">
        <v>1004</v>
      </c>
      <c r="K213" s="43">
        <f>Table_246[[#This Row],[Valor da 
venda]]-Table_246[[#This Row],[Valor gasto]]</f>
        <v>9.1999999999999993</v>
      </c>
      <c r="L213" s="45" t="s">
        <v>981</v>
      </c>
      <c r="P213" s="160"/>
      <c r="Q213"/>
      <c r="R213" s="160"/>
      <c r="V213"/>
    </row>
    <row r="214" spans="1:22" ht="15.75" customHeight="1" x14ac:dyDescent="0.3">
      <c r="A214" s="21">
        <f>IF(Table_246[[#This Row],[Data]]="","",MONTH(Table_246[[#This Row],[Data]]))</f>
        <v>3</v>
      </c>
      <c r="B214" s="25">
        <v>46105</v>
      </c>
      <c r="C214" s="84" t="s">
        <v>1114</v>
      </c>
      <c r="D214" s="36">
        <v>1</v>
      </c>
      <c r="E214" s="41" t="s">
        <v>1878</v>
      </c>
      <c r="F214" s="42" t="str">
        <f>IFERROR(VLOOKUP(C214,#REF!,5,0),"0")</f>
        <v>0</v>
      </c>
      <c r="G214" s="9">
        <f>Table_246[[#This Row],[QT]]*Table_246[[#This Row],[Custo 
Un]]</f>
        <v>0</v>
      </c>
      <c r="H214" s="45">
        <v>8.99</v>
      </c>
      <c r="I214" s="9">
        <f>H214*D214</f>
        <v>8.99</v>
      </c>
      <c r="J214" s="41" t="s">
        <v>1004</v>
      </c>
      <c r="K214" s="43">
        <f>Table_246[[#This Row],[Valor da 
venda]]-Table_246[[#This Row],[Valor gasto]]</f>
        <v>8.99</v>
      </c>
      <c r="L214" s="45" t="s">
        <v>981</v>
      </c>
      <c r="P214" s="160"/>
      <c r="Q214"/>
      <c r="R214" s="160"/>
      <c r="V214"/>
    </row>
    <row r="215" spans="1:22" ht="15.75" customHeight="1" x14ac:dyDescent="0.3">
      <c r="A215" s="21">
        <f>IF(Table_246[[#This Row],[Data]]="","",MONTH(Table_246[[#This Row],[Data]]))</f>
        <v>3</v>
      </c>
      <c r="B215" s="25">
        <v>46107</v>
      </c>
      <c r="C215" s="84" t="s">
        <v>1114</v>
      </c>
      <c r="D215" s="36">
        <v>1</v>
      </c>
      <c r="E215" s="41" t="s">
        <v>1879</v>
      </c>
      <c r="F215" s="42" t="str">
        <f>IFERROR(VLOOKUP(C215,#REF!,5,0),"0")</f>
        <v>0</v>
      </c>
      <c r="G215" s="9">
        <f>Table_246[[#This Row],[QT]]*Table_246[[#This Row],[Custo 
Un]]</f>
        <v>0</v>
      </c>
      <c r="H215" s="45">
        <v>8.99</v>
      </c>
      <c r="I215" s="9">
        <f>H215*D215</f>
        <v>8.99</v>
      </c>
      <c r="J215" s="41" t="s">
        <v>1004</v>
      </c>
      <c r="K215" s="43">
        <f>Table_246[[#This Row],[Valor da 
venda]]-Table_246[[#This Row],[Valor gasto]]</f>
        <v>8.99</v>
      </c>
      <c r="L215" s="45" t="s">
        <v>981</v>
      </c>
      <c r="P215" s="160"/>
      <c r="Q215"/>
      <c r="R215" s="160"/>
      <c r="V215"/>
    </row>
    <row r="216" spans="1:22" ht="17.25" customHeight="1" x14ac:dyDescent="0.3">
      <c r="A216" s="21">
        <f>IF(Table_246[[#This Row],[Data]]="","",MONTH(Table_246[[#This Row],[Data]]))</f>
        <v>3</v>
      </c>
      <c r="B216" s="25">
        <v>46107</v>
      </c>
      <c r="C216" s="84" t="s">
        <v>1114</v>
      </c>
      <c r="D216" s="36">
        <v>2</v>
      </c>
      <c r="E216" s="41" t="s">
        <v>1880</v>
      </c>
      <c r="F216" s="42" t="str">
        <f>IFERROR(VLOOKUP(C216,#REF!,5,0),"0")</f>
        <v>0</v>
      </c>
      <c r="G216" s="9">
        <f>Table_246[[#This Row],[QT]]*Table_246[[#This Row],[Custo 
Un]]</f>
        <v>0</v>
      </c>
      <c r="H216" s="45">
        <f>27.2/2</f>
        <v>13.6</v>
      </c>
      <c r="I216" s="9">
        <f>H216*D216</f>
        <v>27.2</v>
      </c>
      <c r="J216" s="41" t="s">
        <v>1004</v>
      </c>
      <c r="K216" s="43">
        <f>Table_246[[#This Row],[Valor da 
venda]]-Table_246[[#This Row],[Valor gasto]]</f>
        <v>27.2</v>
      </c>
      <c r="L216" s="45" t="s">
        <v>981</v>
      </c>
      <c r="P216" s="160"/>
      <c r="Q216"/>
      <c r="R216" s="160"/>
      <c r="V216"/>
    </row>
    <row r="217" spans="1:22" ht="17.25" customHeight="1" x14ac:dyDescent="0.3">
      <c r="A217" s="21">
        <f>IF(Table_246[[#This Row],[Data]]="","",MONTH(Table_246[[#This Row],[Data]]))</f>
        <v>3</v>
      </c>
      <c r="B217" s="25">
        <v>46107</v>
      </c>
      <c r="C217" s="29" t="s">
        <v>1881</v>
      </c>
      <c r="D217" s="36">
        <v>1</v>
      </c>
      <c r="E217" s="41" t="s">
        <v>996</v>
      </c>
      <c r="F217" s="42" t="str">
        <f>IFERROR(VLOOKUP(C217,#REF!,5,0),"0")</f>
        <v>0</v>
      </c>
      <c r="G217" s="9">
        <f>Table_246[[#This Row],[QT]]*Table_246[[#This Row],[Custo 
Un]]</f>
        <v>0</v>
      </c>
      <c r="H217" s="45">
        <v>80</v>
      </c>
      <c r="I217" s="9">
        <f>H217*D217</f>
        <v>80</v>
      </c>
      <c r="J217" s="41" t="s">
        <v>545</v>
      </c>
      <c r="K217" s="43">
        <f>Table_246[[#This Row],[Valor da 
venda]]-Table_246[[#This Row],[Valor gasto]]</f>
        <v>80</v>
      </c>
      <c r="L217" s="45" t="s">
        <v>15</v>
      </c>
      <c r="P217" s="160"/>
      <c r="Q217"/>
      <c r="R217" s="160"/>
      <c r="V217"/>
    </row>
    <row r="218" spans="1:22" ht="17.25" customHeight="1" x14ac:dyDescent="0.3">
      <c r="A218" s="21">
        <f>IF(Table_246[[#This Row],[Data]]="","",MONTH(Table_246[[#This Row],[Data]]))</f>
        <v>3</v>
      </c>
      <c r="B218" s="25">
        <v>46108</v>
      </c>
      <c r="C218" s="29" t="s">
        <v>1060</v>
      </c>
      <c r="D218" s="36">
        <v>6</v>
      </c>
      <c r="E218" s="41" t="s">
        <v>996</v>
      </c>
      <c r="F218" s="42" t="str">
        <f>IFERROR(VLOOKUP(C218,#REF!,5,0),"0")</f>
        <v>0</v>
      </c>
      <c r="G218" s="9">
        <f>Table_246[[#This Row],[QT]]*Table_246[[#This Row],[Custo 
Un]]</f>
        <v>0</v>
      </c>
      <c r="H218" s="45">
        <v>5</v>
      </c>
      <c r="I218" s="9">
        <f>H218*D218</f>
        <v>30</v>
      </c>
      <c r="J218" s="41" t="s">
        <v>545</v>
      </c>
      <c r="K218" s="43">
        <f>Table_246[[#This Row],[Valor da 
venda]]-Table_246[[#This Row],[Valor gasto]]</f>
        <v>30</v>
      </c>
      <c r="L218" s="45" t="s">
        <v>15</v>
      </c>
      <c r="P218" s="160"/>
      <c r="Q218"/>
      <c r="R218" s="160"/>
      <c r="V218"/>
    </row>
    <row r="219" spans="1:22" ht="17.25" customHeight="1" x14ac:dyDescent="0.3">
      <c r="A219" s="21">
        <f>IF(Table_246[[#This Row],[Data]]="","",MONTH(Table_246[[#This Row],[Data]]))</f>
        <v>3</v>
      </c>
      <c r="B219" s="25">
        <v>46108</v>
      </c>
      <c r="C219" s="29" t="s">
        <v>1882</v>
      </c>
      <c r="D219" s="36">
        <v>1</v>
      </c>
      <c r="E219" s="41" t="s">
        <v>760</v>
      </c>
      <c r="F219" s="42">
        <v>35</v>
      </c>
      <c r="G219" s="9">
        <f>Table_246[[#This Row],[QT]]*Table_246[[#This Row],[Custo 
Un]]</f>
        <v>35</v>
      </c>
      <c r="H219" s="45">
        <v>50</v>
      </c>
      <c r="I219" s="9">
        <f>H219*D219</f>
        <v>50</v>
      </c>
      <c r="J219" s="41" t="s">
        <v>545</v>
      </c>
      <c r="K219" s="43">
        <f>Table_246[[#This Row],[Valor da 
venda]]-Table_246[[#This Row],[Valor gasto]]</f>
        <v>15</v>
      </c>
      <c r="L219" s="45" t="s">
        <v>15</v>
      </c>
      <c r="P219" s="160"/>
      <c r="Q219"/>
      <c r="R219" s="160"/>
      <c r="V219"/>
    </row>
    <row r="220" spans="1:22" ht="17.25" customHeight="1" x14ac:dyDescent="0.3">
      <c r="A220" s="21">
        <f>IF(Table_246[[#This Row],[Data]]="","",MONTH(Table_246[[#This Row],[Data]]))</f>
        <v>3</v>
      </c>
      <c r="B220" s="25">
        <v>46108</v>
      </c>
      <c r="C220" s="29" t="s">
        <v>1883</v>
      </c>
      <c r="D220" s="36">
        <v>1</v>
      </c>
      <c r="E220" s="41" t="s">
        <v>811</v>
      </c>
      <c r="F220" s="42">
        <v>25</v>
      </c>
      <c r="G220" s="9">
        <f>Table_246[[#This Row],[QT]]*Table_246[[#This Row],[Custo 
Un]]</f>
        <v>25</v>
      </c>
      <c r="H220" s="45">
        <v>40</v>
      </c>
      <c r="I220" s="9">
        <f>H220*D220</f>
        <v>40</v>
      </c>
      <c r="J220" s="41" t="s">
        <v>545</v>
      </c>
      <c r="K220" s="43">
        <f>Table_246[[#This Row],[Valor da 
venda]]-Table_246[[#This Row],[Valor gasto]]</f>
        <v>15</v>
      </c>
      <c r="L220" s="45" t="s">
        <v>15</v>
      </c>
      <c r="P220" s="160"/>
      <c r="Q220"/>
      <c r="R220" s="160"/>
      <c r="V220"/>
    </row>
    <row r="221" spans="1:22" ht="17.25" customHeight="1" x14ac:dyDescent="0.3">
      <c r="A221" s="21">
        <f>IF(Table_246[[#This Row],[Data]]="","",MONTH(Table_246[[#This Row],[Data]]))</f>
        <v>3</v>
      </c>
      <c r="B221" s="25">
        <v>46108</v>
      </c>
      <c r="C221" s="29" t="s">
        <v>1026</v>
      </c>
      <c r="D221" s="36">
        <v>1</v>
      </c>
      <c r="E221" s="41" t="s">
        <v>906</v>
      </c>
      <c r="F221" s="42">
        <v>18</v>
      </c>
      <c r="G221" s="9">
        <f>Table_246[[#This Row],[QT]]*Table_246[[#This Row],[Custo 
Un]]</f>
        <v>18</v>
      </c>
      <c r="H221" s="45">
        <v>35</v>
      </c>
      <c r="I221" s="9">
        <f>H221*D221</f>
        <v>35</v>
      </c>
      <c r="J221" s="41" t="s">
        <v>545</v>
      </c>
      <c r="K221" s="43">
        <f>Table_246[[#This Row],[Valor da 
venda]]-Table_246[[#This Row],[Valor gasto]]</f>
        <v>17</v>
      </c>
      <c r="L221" s="45" t="s">
        <v>15</v>
      </c>
      <c r="P221" s="160"/>
      <c r="Q221"/>
      <c r="R221" s="160"/>
      <c r="V221"/>
    </row>
    <row r="222" spans="1:22" ht="15.75" customHeight="1" x14ac:dyDescent="0.3">
      <c r="A222" s="21">
        <f>IF(Table_246[[#This Row],[Data]]="","",MONTH(Table_246[[#This Row],[Data]]))</f>
        <v>3</v>
      </c>
      <c r="B222" s="25">
        <v>46108</v>
      </c>
      <c r="C222" s="29" t="s">
        <v>672</v>
      </c>
      <c r="D222" s="36">
        <v>2</v>
      </c>
      <c r="E222" s="41" t="s">
        <v>996</v>
      </c>
      <c r="F222" s="42">
        <v>4</v>
      </c>
      <c r="G222" s="9">
        <f>Table_246[[#This Row],[QT]]*Table_246[[#This Row],[Custo 
Un]]</f>
        <v>8</v>
      </c>
      <c r="H222" s="45">
        <v>15</v>
      </c>
      <c r="I222" s="9">
        <f>H222*D222</f>
        <v>30</v>
      </c>
      <c r="J222" s="41" t="s">
        <v>545</v>
      </c>
      <c r="K222" s="43">
        <f>Table_246[[#This Row],[Valor da 
venda]]-Table_246[[#This Row],[Valor gasto]]</f>
        <v>22</v>
      </c>
      <c r="L222" s="45" t="s">
        <v>15</v>
      </c>
      <c r="P222" s="160"/>
      <c r="Q222"/>
      <c r="R222" s="160"/>
      <c r="V222"/>
    </row>
    <row r="223" spans="1:22" ht="15.75" customHeight="1" x14ac:dyDescent="0.3">
      <c r="A223" s="21">
        <f>IF(Table_246[[#This Row],[Data]]="","",MONTH(Table_246[[#This Row],[Data]]))</f>
        <v>3</v>
      </c>
      <c r="B223" s="25">
        <v>46109</v>
      </c>
      <c r="C223" s="29" t="s">
        <v>1787</v>
      </c>
      <c r="D223" s="36">
        <v>1</v>
      </c>
      <c r="E223" s="41" t="s">
        <v>996</v>
      </c>
      <c r="F223" s="42" t="str">
        <f>IFERROR(VLOOKUP(C223,#REF!,5,0),"0")</f>
        <v>0</v>
      </c>
      <c r="G223" s="9">
        <f>Table_246[[#This Row],[QT]]*Table_246[[#This Row],[Custo 
Un]]</f>
        <v>0</v>
      </c>
      <c r="H223" s="45">
        <v>60</v>
      </c>
      <c r="I223" s="9">
        <f>H223*D223</f>
        <v>60</v>
      </c>
      <c r="J223" s="41" t="s">
        <v>545</v>
      </c>
      <c r="K223" s="43">
        <f>Table_246[[#This Row],[Valor da 
venda]]-Table_246[[#This Row],[Valor gasto]]</f>
        <v>60</v>
      </c>
      <c r="L223" s="45" t="s">
        <v>15</v>
      </c>
      <c r="P223" s="160"/>
      <c r="Q223"/>
      <c r="R223" s="160"/>
      <c r="V223"/>
    </row>
    <row r="224" spans="1:22" ht="15.75" customHeight="1" x14ac:dyDescent="0.3">
      <c r="A224" s="21">
        <f>IF(Table_246[[#This Row],[Data]]="","",MONTH(Table_246[[#This Row],[Data]]))</f>
        <v>3</v>
      </c>
      <c r="B224" s="25">
        <v>46110</v>
      </c>
      <c r="C224" s="64" t="s">
        <v>1884</v>
      </c>
      <c r="D224" s="69">
        <v>1</v>
      </c>
      <c r="E224" s="41" t="s">
        <v>996</v>
      </c>
      <c r="F224" s="42" t="str">
        <f>IFERROR(VLOOKUP(C224,#REF!,5,0),"0")</f>
        <v>0</v>
      </c>
      <c r="G224" s="9">
        <f>Table_246[[#This Row],[QT]]*Table_246[[#This Row],[Custo 
Un]]</f>
        <v>0</v>
      </c>
      <c r="H224" s="77">
        <v>1</v>
      </c>
      <c r="I224" s="9">
        <f>H224*D224</f>
        <v>1</v>
      </c>
      <c r="J224" s="72" t="s">
        <v>545</v>
      </c>
      <c r="K224" s="43">
        <f>Table_246[[#This Row],[Valor da 
venda]]-Table_246[[#This Row],[Valor gasto]]</f>
        <v>1</v>
      </c>
      <c r="L224" s="45" t="s">
        <v>15</v>
      </c>
      <c r="P224" s="160"/>
      <c r="Q224"/>
      <c r="R224" s="160"/>
      <c r="V224"/>
    </row>
    <row r="225" spans="1:22" ht="15.75" customHeight="1" collapsed="1" x14ac:dyDescent="0.3">
      <c r="A225" s="21">
        <f>IF(Table_246[[#This Row],[Data]]="","",MONTH(Table_246[[#This Row],[Data]]))</f>
        <v>3</v>
      </c>
      <c r="B225" s="25">
        <v>46111</v>
      </c>
      <c r="C225" s="29" t="s">
        <v>1885</v>
      </c>
      <c r="D225" s="36">
        <v>1</v>
      </c>
      <c r="E225" s="41" t="s">
        <v>811</v>
      </c>
      <c r="F225" s="42">
        <v>35</v>
      </c>
      <c r="G225" s="9">
        <f>Table_246[[#This Row],[QT]]*Table_246[[#This Row],[Custo 
Un]]</f>
        <v>35</v>
      </c>
      <c r="H225" s="45">
        <v>60</v>
      </c>
      <c r="I225" s="9">
        <f>H225*D225</f>
        <v>60</v>
      </c>
      <c r="J225" s="72" t="s">
        <v>545</v>
      </c>
      <c r="K225" s="43">
        <f>Table_246[[#This Row],[Valor da 
venda]]-Table_246[[#This Row],[Valor gasto]]</f>
        <v>25</v>
      </c>
      <c r="L225" s="45" t="s">
        <v>15</v>
      </c>
      <c r="P225" s="160"/>
      <c r="Q225"/>
      <c r="R225" s="160"/>
      <c r="V225"/>
    </row>
    <row r="226" spans="1:22" ht="15.75" customHeight="1" x14ac:dyDescent="0.3">
      <c r="A226" s="21">
        <f>IF(Table_246[[#This Row],[Data]]="","",MONTH(Table_246[[#This Row],[Data]]))</f>
        <v>3</v>
      </c>
      <c r="B226" s="25">
        <v>46112</v>
      </c>
      <c r="C226" s="29" t="s">
        <v>1886</v>
      </c>
      <c r="D226" s="36">
        <v>1</v>
      </c>
      <c r="E226" s="41" t="s">
        <v>1823</v>
      </c>
      <c r="F226" s="42">
        <v>25</v>
      </c>
      <c r="G226" s="9">
        <f>Table_246[[#This Row],[QT]]*Table_246[[#This Row],[Custo 
Un]]</f>
        <v>25</v>
      </c>
      <c r="H226" s="45">
        <v>40</v>
      </c>
      <c r="I226" s="9">
        <f>H226*D226</f>
        <v>40</v>
      </c>
      <c r="J226" s="72" t="s">
        <v>545</v>
      </c>
      <c r="K226" s="43">
        <f>Table_246[[#This Row],[Valor da 
venda]]-Table_246[[#This Row],[Valor gasto]]</f>
        <v>15</v>
      </c>
      <c r="L226" s="45" t="s">
        <v>15</v>
      </c>
      <c r="P226" s="160"/>
      <c r="Q226"/>
      <c r="R226" s="160"/>
      <c r="V226"/>
    </row>
    <row r="227" spans="1:22" ht="15.75" customHeight="1" x14ac:dyDescent="0.3">
      <c r="A227" s="21">
        <f>IF(Table_246[[#This Row],[Data]]="","",MONTH(Table_246[[#This Row],[Data]]))</f>
        <v>4</v>
      </c>
      <c r="B227" s="25">
        <v>46113</v>
      </c>
      <c r="C227" s="29" t="s">
        <v>1060</v>
      </c>
      <c r="D227" s="36">
        <v>6</v>
      </c>
      <c r="E227" s="41" t="s">
        <v>996</v>
      </c>
      <c r="F227" s="42" t="str">
        <f>IFERROR(VLOOKUP(C227,#REF!,5,0),"0")</f>
        <v>0</v>
      </c>
      <c r="G227" s="9">
        <f>Table_246[[#This Row],[QT]]*Table_246[[#This Row],[Custo 
Un]]</f>
        <v>0</v>
      </c>
      <c r="H227" s="45">
        <v>5</v>
      </c>
      <c r="I227" s="9">
        <f>H227*D227</f>
        <v>30</v>
      </c>
      <c r="J227" s="72" t="s">
        <v>545</v>
      </c>
      <c r="K227" s="43">
        <f>Table_246[[#This Row],[Valor da 
venda]]-Table_246[[#This Row],[Valor gasto]]</f>
        <v>30</v>
      </c>
      <c r="L227" s="45" t="s">
        <v>15</v>
      </c>
      <c r="P227" s="160"/>
      <c r="Q227"/>
      <c r="R227" s="160"/>
      <c r="V227"/>
    </row>
    <row r="228" spans="1:22" ht="15.75" customHeight="1" x14ac:dyDescent="0.3">
      <c r="A228" s="21">
        <f>IF(Table_246[[#This Row],[Data]]="","",MONTH(Table_246[[#This Row],[Data]]))</f>
        <v>4</v>
      </c>
      <c r="B228" s="25">
        <v>46114</v>
      </c>
      <c r="C228" s="29" t="s">
        <v>1080</v>
      </c>
      <c r="D228" s="36">
        <v>2</v>
      </c>
      <c r="E228" s="41" t="s">
        <v>1887</v>
      </c>
      <c r="F228" s="42" t="str">
        <f>IFERROR(VLOOKUP(C228,#REF!,5,0),"0")</f>
        <v>0</v>
      </c>
      <c r="G228" s="9">
        <f>Table_246[[#This Row],[QT]]*Table_246[[#This Row],[Custo 
Un]]</f>
        <v>0</v>
      </c>
      <c r="H228" s="45">
        <v>15</v>
      </c>
      <c r="I228" s="9">
        <f>H228*D228</f>
        <v>30</v>
      </c>
      <c r="J228" s="72" t="s">
        <v>17</v>
      </c>
      <c r="K228" s="43">
        <f>Table_246[[#This Row],[Valor da 
venda]]-Table_246[[#This Row],[Valor gasto]]</f>
        <v>30</v>
      </c>
      <c r="L228" s="45" t="s">
        <v>15</v>
      </c>
      <c r="P228" s="160"/>
      <c r="Q228"/>
      <c r="R228" s="160"/>
      <c r="V228"/>
    </row>
    <row r="229" spans="1:22" ht="15.75" customHeight="1" x14ac:dyDescent="0.3">
      <c r="A229" s="21">
        <f>IF(Table_246[[#This Row],[Data]]="","",MONTH(Table_246[[#This Row],[Data]]))</f>
        <v>4</v>
      </c>
      <c r="B229" s="25">
        <v>46115</v>
      </c>
      <c r="C229" s="84" t="s">
        <v>1035</v>
      </c>
      <c r="D229" s="36">
        <v>1</v>
      </c>
      <c r="E229" s="41" t="s">
        <v>1888</v>
      </c>
      <c r="F229" s="42" t="str">
        <f>IFERROR(VLOOKUP(C229,#REF!,5,0),"0")</f>
        <v>0</v>
      </c>
      <c r="G229" s="9">
        <f>Table_246[[#This Row],[QT]]*Table_246[[#This Row],[Custo 
Un]]</f>
        <v>0</v>
      </c>
      <c r="H229" s="45">
        <v>5.5</v>
      </c>
      <c r="I229" s="9">
        <f>H229*D229</f>
        <v>5.5</v>
      </c>
      <c r="J229" s="41" t="s">
        <v>17</v>
      </c>
      <c r="K229" s="43">
        <f>Table_246[[#This Row],[Valor da 
venda]]-Table_246[[#This Row],[Valor gasto]]</f>
        <v>5.5</v>
      </c>
      <c r="L229" s="45" t="s">
        <v>15</v>
      </c>
      <c r="P229" s="160"/>
      <c r="Q229"/>
      <c r="R229" s="160"/>
      <c r="V229"/>
    </row>
    <row r="230" spans="1:22" ht="15.75" customHeight="1" x14ac:dyDescent="0.3">
      <c r="A230" s="21">
        <f>IF(Table_246[[#This Row],[Data]]="","",MONTH(Table_246[[#This Row],[Data]]))</f>
        <v>4</v>
      </c>
      <c r="B230" s="25">
        <v>46116</v>
      </c>
      <c r="C230" s="84" t="s">
        <v>1035</v>
      </c>
      <c r="D230" s="36">
        <v>1</v>
      </c>
      <c r="E230" s="41" t="s">
        <v>1889</v>
      </c>
      <c r="F230" s="42" t="str">
        <f>IFERROR(VLOOKUP(C230,#REF!,5,0),"0")</f>
        <v>0</v>
      </c>
      <c r="G230" s="9">
        <f>Table_246[[#This Row],[QT]]*Table_246[[#This Row],[Custo 
Un]]</f>
        <v>0</v>
      </c>
      <c r="H230" s="45">
        <v>5.5</v>
      </c>
      <c r="I230" s="9">
        <f>H230*D230</f>
        <v>5.5</v>
      </c>
      <c r="J230" s="41" t="s">
        <v>17</v>
      </c>
      <c r="K230" s="43">
        <f>Table_246[[#This Row],[Valor da 
venda]]-Table_246[[#This Row],[Valor gasto]]</f>
        <v>5.5</v>
      </c>
      <c r="L230" s="45" t="s">
        <v>15</v>
      </c>
      <c r="P230" s="160"/>
      <c r="Q230"/>
      <c r="R230" s="160"/>
      <c r="V230"/>
    </row>
    <row r="231" spans="1:22" ht="15.75" customHeight="1" x14ac:dyDescent="0.3">
      <c r="A231" s="21">
        <f>IF(Table_246[[#This Row],[Data]]="","",MONTH(Table_246[[#This Row],[Data]]))</f>
        <v>4</v>
      </c>
      <c r="B231" s="25">
        <v>46117</v>
      </c>
      <c r="C231" s="84" t="s">
        <v>1035</v>
      </c>
      <c r="D231" s="36">
        <v>1</v>
      </c>
      <c r="E231" s="41" t="s">
        <v>1890</v>
      </c>
      <c r="F231" s="42" t="str">
        <f>IFERROR(VLOOKUP(C231,#REF!,5,0),"0")</f>
        <v>0</v>
      </c>
      <c r="G231" s="9">
        <f>Table_246[[#This Row],[QT]]*Table_246[[#This Row],[Custo 
Un]]</f>
        <v>0</v>
      </c>
      <c r="H231" s="45">
        <v>5.5</v>
      </c>
      <c r="I231" s="9">
        <f>H231*D231</f>
        <v>5.5</v>
      </c>
      <c r="J231" s="41" t="s">
        <v>17</v>
      </c>
      <c r="K231" s="43">
        <f>Table_246[[#This Row],[Valor da 
venda]]-Table_246[[#This Row],[Valor gasto]]</f>
        <v>5.5</v>
      </c>
      <c r="L231" s="45" t="s">
        <v>15</v>
      </c>
      <c r="P231" s="160"/>
      <c r="Q231"/>
      <c r="R231" s="160"/>
      <c r="V231"/>
    </row>
    <row r="232" spans="1:22" ht="15.75" customHeight="1" x14ac:dyDescent="0.3">
      <c r="A232" s="21">
        <f>IF(Table_246[[#This Row],[Data]]="","",MONTH(Table_246[[#This Row],[Data]]))</f>
        <v>4</v>
      </c>
      <c r="B232" s="25">
        <v>46118</v>
      </c>
      <c r="C232" s="84" t="s">
        <v>1035</v>
      </c>
      <c r="D232" s="36">
        <v>1</v>
      </c>
      <c r="E232" s="41" t="s">
        <v>1891</v>
      </c>
      <c r="F232" s="42" t="str">
        <f>IFERROR(VLOOKUP(C232,#REF!,5,0),"0")</f>
        <v>0</v>
      </c>
      <c r="G232" s="9">
        <f>Table_246[[#This Row],[QT]]*Table_246[[#This Row],[Custo 
Un]]</f>
        <v>0</v>
      </c>
      <c r="H232" s="45">
        <v>5.5</v>
      </c>
      <c r="I232" s="9">
        <f>H232*D232</f>
        <v>5.5</v>
      </c>
      <c r="J232" s="41" t="s">
        <v>17</v>
      </c>
      <c r="K232" s="43">
        <f>Table_246[[#This Row],[Valor da 
venda]]-Table_246[[#This Row],[Valor gasto]]</f>
        <v>5.5</v>
      </c>
      <c r="L232" s="45" t="s">
        <v>15</v>
      </c>
      <c r="P232" s="160"/>
      <c r="Q232"/>
      <c r="R232" s="160"/>
      <c r="V232"/>
    </row>
    <row r="233" spans="1:22" ht="15.75" customHeight="1" x14ac:dyDescent="0.3">
      <c r="A233" s="21">
        <f>IF(Table_246[[#This Row],[Data]]="","",MONTH(Table_246[[#This Row],[Data]]))</f>
        <v>4</v>
      </c>
      <c r="B233" s="25">
        <v>46118</v>
      </c>
      <c r="C233" s="84" t="s">
        <v>1035</v>
      </c>
      <c r="D233" s="36">
        <v>1</v>
      </c>
      <c r="E233" s="41" t="s">
        <v>1892</v>
      </c>
      <c r="F233" s="42" t="str">
        <f>IFERROR(VLOOKUP(C233,#REF!,5,0),"0")</f>
        <v>0</v>
      </c>
      <c r="G233" s="9">
        <f>Table_246[[#This Row],[QT]]*Table_246[[#This Row],[Custo 
Un]]</f>
        <v>0</v>
      </c>
      <c r="H233" s="45">
        <v>5.5</v>
      </c>
      <c r="I233" s="9">
        <f>H233*D233</f>
        <v>5.5</v>
      </c>
      <c r="J233" s="41" t="s">
        <v>17</v>
      </c>
      <c r="K233" s="43">
        <f>Table_246[[#This Row],[Valor da 
venda]]-Table_246[[#This Row],[Valor gasto]]</f>
        <v>5.5</v>
      </c>
      <c r="L233" s="45" t="s">
        <v>15</v>
      </c>
      <c r="P233" s="160"/>
      <c r="Q233"/>
      <c r="R233" s="160"/>
      <c r="V233"/>
    </row>
    <row r="234" spans="1:22" ht="15.75" customHeight="1" x14ac:dyDescent="0.3">
      <c r="A234" s="21">
        <f>IF(Table_246[[#This Row],[Data]]="","",MONTH(Table_246[[#This Row],[Data]]))</f>
        <v>4</v>
      </c>
      <c r="B234" s="25">
        <v>46118</v>
      </c>
      <c r="C234" s="84" t="s">
        <v>1035</v>
      </c>
      <c r="D234" s="36">
        <v>1</v>
      </c>
      <c r="E234" s="41" t="s">
        <v>1893</v>
      </c>
      <c r="F234" s="42" t="str">
        <f>IFERROR(VLOOKUP(C234,#REF!,5,0),"0")</f>
        <v>0</v>
      </c>
      <c r="G234" s="9">
        <f>Table_246[[#This Row],[QT]]*Table_246[[#This Row],[Custo 
Un]]</f>
        <v>0</v>
      </c>
      <c r="H234" s="45">
        <v>5.5</v>
      </c>
      <c r="I234" s="9">
        <f>H234*D234</f>
        <v>5.5</v>
      </c>
      <c r="J234" s="41" t="s">
        <v>17</v>
      </c>
      <c r="K234" s="43">
        <f>Table_246[[#This Row],[Valor da 
venda]]-Table_246[[#This Row],[Valor gasto]]</f>
        <v>5.5</v>
      </c>
      <c r="L234" s="45" t="s">
        <v>15</v>
      </c>
      <c r="P234" s="160"/>
      <c r="Q234"/>
      <c r="R234" s="160"/>
      <c r="V234"/>
    </row>
    <row r="235" spans="1:22" ht="15.75" customHeight="1" x14ac:dyDescent="0.3">
      <c r="A235" s="21">
        <f>IF(Table_246[[#This Row],[Data]]="","",MONTH(Table_246[[#This Row],[Data]]))</f>
        <v>4</v>
      </c>
      <c r="B235" s="25">
        <v>46118</v>
      </c>
      <c r="C235" s="84" t="s">
        <v>1035</v>
      </c>
      <c r="D235" s="36">
        <v>1</v>
      </c>
      <c r="E235" s="41" t="s">
        <v>1894</v>
      </c>
      <c r="F235" s="42" t="str">
        <f>IFERROR(VLOOKUP(C235,#REF!,5,0),"0")</f>
        <v>0</v>
      </c>
      <c r="G235" s="9">
        <f>Table_246[[#This Row],[QT]]*Table_246[[#This Row],[Custo 
Un]]</f>
        <v>0</v>
      </c>
      <c r="H235" s="45">
        <v>5.5</v>
      </c>
      <c r="I235" s="9">
        <f>H235*D235</f>
        <v>5.5</v>
      </c>
      <c r="J235" s="41" t="s">
        <v>17</v>
      </c>
      <c r="K235" s="43">
        <f>Table_246[[#This Row],[Valor da 
venda]]-Table_246[[#This Row],[Valor gasto]]</f>
        <v>5.5</v>
      </c>
      <c r="L235" s="45" t="s">
        <v>15</v>
      </c>
      <c r="P235" s="160"/>
      <c r="Q235"/>
      <c r="R235" s="160"/>
      <c r="V235"/>
    </row>
    <row r="236" spans="1:22" ht="15.75" customHeight="1" x14ac:dyDescent="0.3">
      <c r="A236" s="21">
        <f>IF(Table_246[[#This Row],[Data]]="","",MONTH(Table_246[[#This Row],[Data]]))</f>
        <v>4</v>
      </c>
      <c r="B236" s="25">
        <v>46118</v>
      </c>
      <c r="C236" s="84" t="s">
        <v>1035</v>
      </c>
      <c r="D236" s="36">
        <v>1</v>
      </c>
      <c r="E236" s="41" t="s">
        <v>1895</v>
      </c>
      <c r="F236" s="42" t="str">
        <f>IFERROR(VLOOKUP(C236,#REF!,5,0),"0")</f>
        <v>0</v>
      </c>
      <c r="G236" s="9">
        <f>Table_246[[#This Row],[QT]]*Table_246[[#This Row],[Custo 
Un]]</f>
        <v>0</v>
      </c>
      <c r="H236" s="45">
        <v>5.5</v>
      </c>
      <c r="I236" s="9">
        <f>H236*D236</f>
        <v>5.5</v>
      </c>
      <c r="J236" s="41" t="s">
        <v>17</v>
      </c>
      <c r="K236" s="43">
        <f>Table_246[[#This Row],[Valor da 
venda]]-Table_246[[#This Row],[Valor gasto]]</f>
        <v>5.5</v>
      </c>
      <c r="L236" s="45" t="s">
        <v>15</v>
      </c>
      <c r="P236" s="160"/>
      <c r="Q236"/>
      <c r="R236" s="160"/>
      <c r="V236"/>
    </row>
    <row r="237" spans="1:22" ht="15.75" customHeight="1" x14ac:dyDescent="0.3">
      <c r="A237" s="21">
        <f>IF(Table_246[[#This Row],[Data]]="","",MONTH(Table_246[[#This Row],[Data]]))</f>
        <v>4</v>
      </c>
      <c r="B237" s="25">
        <v>46118</v>
      </c>
      <c r="C237" s="84" t="s">
        <v>1035</v>
      </c>
      <c r="D237" s="36">
        <v>1</v>
      </c>
      <c r="E237" s="41" t="s">
        <v>1896</v>
      </c>
      <c r="F237" s="42" t="str">
        <f>IFERROR(VLOOKUP(C237,#REF!,5,0),"0")</f>
        <v>0</v>
      </c>
      <c r="G237" s="9">
        <f>Table_246[[#This Row],[QT]]*Table_246[[#This Row],[Custo 
Un]]</f>
        <v>0</v>
      </c>
      <c r="H237" s="45">
        <v>5.5</v>
      </c>
      <c r="I237" s="9">
        <f>H237*D237</f>
        <v>5.5</v>
      </c>
      <c r="J237" s="41" t="s">
        <v>17</v>
      </c>
      <c r="K237" s="43">
        <f>Table_246[[#This Row],[Valor da 
venda]]-Table_246[[#This Row],[Valor gasto]]</f>
        <v>5.5</v>
      </c>
      <c r="L237" s="45" t="s">
        <v>15</v>
      </c>
      <c r="P237" s="160"/>
      <c r="Q237"/>
      <c r="R237" s="160"/>
      <c r="V237"/>
    </row>
    <row r="238" spans="1:22" ht="15.75" customHeight="1" x14ac:dyDescent="0.3">
      <c r="A238" s="21">
        <f>IF(Table_246[[#This Row],[Data]]="","",MONTH(Table_246[[#This Row],[Data]]))</f>
        <v>4</v>
      </c>
      <c r="B238" s="25">
        <v>46118</v>
      </c>
      <c r="C238" s="84" t="s">
        <v>1035</v>
      </c>
      <c r="D238" s="36">
        <v>1</v>
      </c>
      <c r="E238" s="41" t="s">
        <v>1897</v>
      </c>
      <c r="F238" s="42" t="str">
        <f>IFERROR(VLOOKUP(C238,#REF!,5,0),"0")</f>
        <v>0</v>
      </c>
      <c r="G238" s="9">
        <f>Table_246[[#This Row],[QT]]*Table_246[[#This Row],[Custo 
Un]]</f>
        <v>0</v>
      </c>
      <c r="H238" s="45">
        <v>5.5</v>
      </c>
      <c r="I238" s="9">
        <f>H238*D238</f>
        <v>5.5</v>
      </c>
      <c r="J238" s="41" t="s">
        <v>17</v>
      </c>
      <c r="K238" s="43">
        <f>Table_246[[#This Row],[Valor da 
venda]]-Table_246[[#This Row],[Valor gasto]]</f>
        <v>5.5</v>
      </c>
      <c r="L238" s="45" t="s">
        <v>15</v>
      </c>
      <c r="P238" s="160"/>
      <c r="Q238"/>
      <c r="R238" s="160"/>
      <c r="V238"/>
    </row>
    <row r="239" spans="1:22" ht="15.75" customHeight="1" x14ac:dyDescent="0.3">
      <c r="A239" s="21">
        <f>IF(Table_246[[#This Row],[Data]]="","",MONTH(Table_246[[#This Row],[Data]]))</f>
        <v>4</v>
      </c>
      <c r="B239" s="25">
        <v>46119</v>
      </c>
      <c r="C239" s="84" t="s">
        <v>1035</v>
      </c>
      <c r="D239" s="36">
        <v>1</v>
      </c>
      <c r="E239" s="41" t="s">
        <v>1898</v>
      </c>
      <c r="F239" s="42" t="str">
        <f>IFERROR(VLOOKUP(C239,#REF!,5,0),"0")</f>
        <v>0</v>
      </c>
      <c r="G239" s="9">
        <f>Table_246[[#This Row],[QT]]*Table_246[[#This Row],[Custo 
Un]]</f>
        <v>0</v>
      </c>
      <c r="H239" s="45">
        <v>5.5</v>
      </c>
      <c r="I239" s="9">
        <f>H239*D239</f>
        <v>5.5</v>
      </c>
      <c r="J239" s="41" t="s">
        <v>17</v>
      </c>
      <c r="K239" s="43">
        <f>Table_246[[#This Row],[Valor da 
venda]]-Table_246[[#This Row],[Valor gasto]]</f>
        <v>5.5</v>
      </c>
      <c r="L239" s="45" t="s">
        <v>15</v>
      </c>
      <c r="P239" s="160"/>
      <c r="Q239"/>
      <c r="R239" s="160"/>
      <c r="V239"/>
    </row>
    <row r="240" spans="1:22" ht="15.75" customHeight="1" x14ac:dyDescent="0.3">
      <c r="A240" s="21">
        <f>IF(Table_246[[#This Row],[Data]]="","",MONTH(Table_246[[#This Row],[Data]]))</f>
        <v>4</v>
      </c>
      <c r="B240" s="25">
        <v>46121</v>
      </c>
      <c r="C240" s="29" t="s">
        <v>1080</v>
      </c>
      <c r="D240" s="36">
        <v>1</v>
      </c>
      <c r="E240" s="41" t="s">
        <v>1899</v>
      </c>
      <c r="F240" s="42" t="str">
        <f>IFERROR(VLOOKUP(C240,#REF!,5,0),"0")</f>
        <v>0</v>
      </c>
      <c r="G240" s="9">
        <f>Table_246[[#This Row],[QT]]*Table_246[[#This Row],[Custo 
Un]]</f>
        <v>0</v>
      </c>
      <c r="H240" s="45">
        <v>12.14</v>
      </c>
      <c r="I240" s="9">
        <f>H240*D240</f>
        <v>12.14</v>
      </c>
      <c r="J240" s="41" t="s">
        <v>17</v>
      </c>
      <c r="K240" s="43">
        <f>Table_246[[#This Row],[Valor da 
venda]]-Table_246[[#This Row],[Valor gasto]]</f>
        <v>12.14</v>
      </c>
      <c r="L240" s="45" t="s">
        <v>15</v>
      </c>
      <c r="P240" s="160"/>
      <c r="Q240"/>
      <c r="R240" s="160"/>
      <c r="V240"/>
    </row>
    <row r="241" spans="1:22" ht="15.75" customHeight="1" x14ac:dyDescent="0.3">
      <c r="A241" s="21">
        <f>IF(Table_246[[#This Row],[Data]]="","",MONTH(Table_246[[#This Row],[Data]]))</f>
        <v>4</v>
      </c>
      <c r="B241" s="25">
        <v>46121</v>
      </c>
      <c r="C241" s="29" t="s">
        <v>1080</v>
      </c>
      <c r="D241" s="36">
        <v>1</v>
      </c>
      <c r="E241" s="41" t="s">
        <v>1900</v>
      </c>
      <c r="F241" s="42" t="str">
        <f>IFERROR(VLOOKUP(C241,#REF!,5,0),"0")</f>
        <v>0</v>
      </c>
      <c r="G241" s="9">
        <f>Table_246[[#This Row],[QT]]*Table_246[[#This Row],[Custo 
Un]]</f>
        <v>0</v>
      </c>
      <c r="H241" s="45">
        <v>12.14</v>
      </c>
      <c r="I241" s="9">
        <f>H241*D241</f>
        <v>12.14</v>
      </c>
      <c r="J241" s="41" t="s">
        <v>17</v>
      </c>
      <c r="K241" s="43">
        <f>Table_246[[#This Row],[Valor da 
venda]]-Table_246[[#This Row],[Valor gasto]]</f>
        <v>12.14</v>
      </c>
      <c r="L241" s="45" t="s">
        <v>15</v>
      </c>
      <c r="P241" s="160"/>
      <c r="Q241"/>
      <c r="R241" s="160"/>
      <c r="V241"/>
    </row>
    <row r="242" spans="1:22" ht="15.75" customHeight="1" x14ac:dyDescent="0.3">
      <c r="A242" s="21">
        <f>IF(Table_246[[#This Row],[Data]]="","",MONTH(Table_246[[#This Row],[Data]]))</f>
        <v>4</v>
      </c>
      <c r="B242" s="25">
        <v>46121</v>
      </c>
      <c r="C242" s="84" t="s">
        <v>1114</v>
      </c>
      <c r="D242" s="36">
        <v>1</v>
      </c>
      <c r="E242" s="41" t="s">
        <v>1901</v>
      </c>
      <c r="F242" s="42" t="str">
        <f>IFERROR(VLOOKUP(C242,#REF!,5,0),"0")</f>
        <v>0</v>
      </c>
      <c r="G242" s="9">
        <f>Table_246[[#This Row],[QT]]*Table_246[[#This Row],[Custo 
Un]]</f>
        <v>0</v>
      </c>
      <c r="H242" s="45">
        <v>9.1999999999999993</v>
      </c>
      <c r="I242" s="9">
        <f>H242*D242</f>
        <v>9.1999999999999993</v>
      </c>
      <c r="J242" s="41" t="s">
        <v>1004</v>
      </c>
      <c r="K242" s="43">
        <f>Table_246[[#This Row],[Valor da 
venda]]-Table_246[[#This Row],[Valor gasto]]</f>
        <v>9.1999999999999993</v>
      </c>
      <c r="L242" s="45" t="s">
        <v>981</v>
      </c>
      <c r="P242" s="160"/>
      <c r="Q242"/>
      <c r="R242" s="160"/>
      <c r="V242"/>
    </row>
    <row r="243" spans="1:22" ht="15.75" customHeight="1" x14ac:dyDescent="0.3">
      <c r="A243" s="21">
        <f>IF(Table_246[[#This Row],[Data]]="","",MONTH(Table_246[[#This Row],[Data]]))</f>
        <v>4</v>
      </c>
      <c r="B243" s="25">
        <v>46121</v>
      </c>
      <c r="C243" s="84" t="s">
        <v>1114</v>
      </c>
      <c r="D243" s="36">
        <v>1</v>
      </c>
      <c r="E243" s="41" t="s">
        <v>1902</v>
      </c>
      <c r="F243" s="42" t="str">
        <f>IFERROR(VLOOKUP(C243,#REF!,5,0),"0")</f>
        <v>0</v>
      </c>
      <c r="G243" s="9">
        <f>Table_246[[#This Row],[QT]]*Table_246[[#This Row],[Custo 
Un]]</f>
        <v>0</v>
      </c>
      <c r="H243" s="45">
        <v>9.1999999999999993</v>
      </c>
      <c r="I243" s="9">
        <f>H243*D243</f>
        <v>9.1999999999999993</v>
      </c>
      <c r="J243" s="41" t="s">
        <v>1004</v>
      </c>
      <c r="K243" s="43">
        <f>Table_246[[#This Row],[Valor da 
venda]]-Table_246[[#This Row],[Valor gasto]]</f>
        <v>9.1999999999999993</v>
      </c>
      <c r="L243" s="45" t="s">
        <v>981</v>
      </c>
      <c r="P243" s="160"/>
      <c r="Q243"/>
      <c r="R243" s="160"/>
      <c r="V243"/>
    </row>
    <row r="244" spans="1:22" ht="15.75" customHeight="1" x14ac:dyDescent="0.3">
      <c r="A244" s="21">
        <f>IF(Table_246[[#This Row],[Data]]="","",MONTH(Table_246[[#This Row],[Data]]))</f>
        <v>4</v>
      </c>
      <c r="B244" s="25">
        <v>46121</v>
      </c>
      <c r="C244" s="84" t="s">
        <v>1114</v>
      </c>
      <c r="D244" s="36">
        <v>1</v>
      </c>
      <c r="E244" s="41" t="s">
        <v>1903</v>
      </c>
      <c r="F244" s="42" t="str">
        <f>IFERROR(VLOOKUP(C244,#REF!,5,0),"0")</f>
        <v>0</v>
      </c>
      <c r="G244" s="9">
        <f>Table_246[[#This Row],[QT]]*Table_246[[#This Row],[Custo 
Un]]</f>
        <v>0</v>
      </c>
      <c r="H244" s="45">
        <v>9.1999999999999993</v>
      </c>
      <c r="I244" s="9">
        <f>H244*D244</f>
        <v>9.1999999999999993</v>
      </c>
      <c r="J244" s="41" t="s">
        <v>1004</v>
      </c>
      <c r="K244" s="43">
        <f>Table_246[[#This Row],[Valor da 
venda]]-Table_246[[#This Row],[Valor gasto]]</f>
        <v>9.1999999999999993</v>
      </c>
      <c r="L244" s="45" t="s">
        <v>981</v>
      </c>
      <c r="P244" s="160"/>
      <c r="Q244"/>
      <c r="R244" s="160"/>
      <c r="V244"/>
    </row>
    <row r="245" spans="1:22" ht="15.75" customHeight="1" x14ac:dyDescent="0.3">
      <c r="A245" s="21">
        <f>IF(Table_246[[#This Row],[Data]]="","",MONTH(Table_246[[#This Row],[Data]]))</f>
        <v>4</v>
      </c>
      <c r="B245" s="25">
        <v>46122</v>
      </c>
      <c r="C245" s="29" t="s">
        <v>1904</v>
      </c>
      <c r="D245" s="36">
        <v>1</v>
      </c>
      <c r="E245" s="41" t="s">
        <v>1905</v>
      </c>
      <c r="F245" s="42">
        <v>4</v>
      </c>
      <c r="G245" s="9">
        <f>Table_246[[#This Row],[QT]]*Table_246[[#This Row],[Custo 
Un]]</f>
        <v>4</v>
      </c>
      <c r="H245" s="45">
        <v>15</v>
      </c>
      <c r="I245" s="9">
        <f>H245*D245</f>
        <v>15</v>
      </c>
      <c r="J245" s="41" t="s">
        <v>545</v>
      </c>
      <c r="K245" s="43">
        <f>Table_246[[#This Row],[Valor da 
venda]]-Table_246[[#This Row],[Valor gasto]]</f>
        <v>11</v>
      </c>
      <c r="L245" s="45" t="s">
        <v>15</v>
      </c>
      <c r="P245" s="160"/>
      <c r="Q245"/>
      <c r="R245" s="160"/>
      <c r="V245"/>
    </row>
    <row r="246" spans="1:22" ht="15.75" customHeight="1" x14ac:dyDescent="0.3">
      <c r="A246" s="21">
        <f>IF(Table_246[[#This Row],[Data]]="","",MONTH(Table_246[[#This Row],[Data]]))</f>
        <v>4</v>
      </c>
      <c r="B246" s="25">
        <v>46122</v>
      </c>
      <c r="C246" s="29" t="s">
        <v>139</v>
      </c>
      <c r="D246" s="36">
        <v>1</v>
      </c>
      <c r="E246" s="41" t="s">
        <v>238</v>
      </c>
      <c r="F246" s="42" t="str">
        <f>IFERROR(VLOOKUP(C246,#REF!,5,0),"0")</f>
        <v>0</v>
      </c>
      <c r="G246" s="9">
        <f>Table_246[[#This Row],[QT]]*Table_246[[#This Row],[Custo 
Un]]</f>
        <v>0</v>
      </c>
      <c r="H246" s="45">
        <v>1</v>
      </c>
      <c r="I246" s="9">
        <f>H246*D246</f>
        <v>1</v>
      </c>
      <c r="J246" s="41" t="s">
        <v>545</v>
      </c>
      <c r="K246" s="43">
        <f>Table_246[[#This Row],[Valor da 
venda]]-Table_246[[#This Row],[Valor gasto]]</f>
        <v>1</v>
      </c>
      <c r="L246" s="45" t="s">
        <v>15</v>
      </c>
      <c r="P246" s="160"/>
      <c r="Q246"/>
      <c r="R246" s="160"/>
      <c r="V246"/>
    </row>
    <row r="247" spans="1:22" ht="15.75" customHeight="1" x14ac:dyDescent="0.3">
      <c r="A247" s="21">
        <f>IF(Table_246[[#This Row],[Data]]="","",MONTH(Table_246[[#This Row],[Data]]))</f>
        <v>4</v>
      </c>
      <c r="B247" s="25">
        <v>46122</v>
      </c>
      <c r="C247" s="84" t="s">
        <v>1035</v>
      </c>
      <c r="D247" s="36">
        <v>1</v>
      </c>
      <c r="E247" s="41" t="s">
        <v>1906</v>
      </c>
      <c r="F247" s="42" t="str">
        <f>IFERROR(VLOOKUP(C247,#REF!,5,0),"0")</f>
        <v>0</v>
      </c>
      <c r="G247" s="9">
        <f>Table_246[[#This Row],[QT]]*Table_246[[#This Row],[Custo 
Un]]</f>
        <v>0</v>
      </c>
      <c r="H247" s="45">
        <v>5.5</v>
      </c>
      <c r="I247" s="9">
        <f>H247*D247</f>
        <v>5.5</v>
      </c>
      <c r="J247" s="41" t="s">
        <v>17</v>
      </c>
      <c r="K247" s="43">
        <f>Table_246[[#This Row],[Valor da 
venda]]-Table_246[[#This Row],[Valor gasto]]</f>
        <v>5.5</v>
      </c>
      <c r="L247" s="45" t="s">
        <v>15</v>
      </c>
      <c r="P247" s="160"/>
      <c r="Q247"/>
      <c r="R247" s="160"/>
      <c r="V247"/>
    </row>
    <row r="248" spans="1:22" ht="15.75" customHeight="1" x14ac:dyDescent="0.3">
      <c r="A248" s="21">
        <f>IF(Table_246[[#This Row],[Data]]="","",MONTH(Table_246[[#This Row],[Data]]))</f>
        <v>4</v>
      </c>
      <c r="B248" s="25">
        <v>46122</v>
      </c>
      <c r="C248" s="84" t="s">
        <v>1035</v>
      </c>
      <c r="D248" s="36">
        <v>1</v>
      </c>
      <c r="E248" s="41" t="s">
        <v>1907</v>
      </c>
      <c r="F248" s="42" t="str">
        <f>IFERROR(VLOOKUP(C248,#REF!,5,0),"0")</f>
        <v>0</v>
      </c>
      <c r="G248" s="9">
        <f>Table_246[[#This Row],[QT]]*Table_246[[#This Row],[Custo 
Un]]</f>
        <v>0</v>
      </c>
      <c r="H248" s="45">
        <v>5.5</v>
      </c>
      <c r="I248" s="9">
        <f>H248*D248</f>
        <v>5.5</v>
      </c>
      <c r="J248" s="41" t="s">
        <v>17</v>
      </c>
      <c r="K248" s="43">
        <f>Table_246[[#This Row],[Valor da 
venda]]-Table_246[[#This Row],[Valor gasto]]</f>
        <v>5.5</v>
      </c>
      <c r="L248" s="45" t="s">
        <v>15</v>
      </c>
      <c r="P248" s="160"/>
      <c r="Q248"/>
      <c r="R248" s="160"/>
      <c r="V248"/>
    </row>
    <row r="249" spans="1:22" ht="15.75" customHeight="1" x14ac:dyDescent="0.3">
      <c r="A249" s="21">
        <f>IF(Table_246[[#This Row],[Data]]="","",MONTH(Table_246[[#This Row],[Data]]))</f>
        <v>4</v>
      </c>
      <c r="B249" s="25">
        <v>46122</v>
      </c>
      <c r="C249" s="84" t="s">
        <v>1035</v>
      </c>
      <c r="D249" s="36">
        <v>1</v>
      </c>
      <c r="E249" s="41" t="s">
        <v>1908</v>
      </c>
      <c r="F249" s="42" t="str">
        <f>IFERROR(VLOOKUP(C249,#REF!,5,0),"0")</f>
        <v>0</v>
      </c>
      <c r="G249" s="9">
        <f>Table_246[[#This Row],[QT]]*Table_246[[#This Row],[Custo 
Un]]</f>
        <v>0</v>
      </c>
      <c r="H249" s="45">
        <v>5.5</v>
      </c>
      <c r="I249" s="9">
        <f>H249*D249</f>
        <v>5.5</v>
      </c>
      <c r="J249" s="41" t="s">
        <v>17</v>
      </c>
      <c r="K249" s="43">
        <f>Table_246[[#This Row],[Valor da 
venda]]-Table_246[[#This Row],[Valor gasto]]</f>
        <v>5.5</v>
      </c>
      <c r="L249" s="45" t="s">
        <v>15</v>
      </c>
      <c r="P249" s="160"/>
      <c r="Q249"/>
      <c r="R249" s="160"/>
      <c r="V249"/>
    </row>
    <row r="250" spans="1:22" ht="15.75" customHeight="1" x14ac:dyDescent="0.3">
      <c r="A250" s="21">
        <f>IF(Table_246[[#This Row],[Data]]="","",MONTH(Table_246[[#This Row],[Data]]))</f>
        <v>4</v>
      </c>
      <c r="B250" s="25">
        <v>46123</v>
      </c>
      <c r="C250" s="29" t="s">
        <v>90</v>
      </c>
      <c r="D250" s="36">
        <v>1</v>
      </c>
      <c r="E250" s="41" t="s">
        <v>584</v>
      </c>
      <c r="F250" s="42" t="str">
        <f>IFERROR(VLOOKUP(C250,#REF!,5,0),"0")</f>
        <v>0</v>
      </c>
      <c r="G250" s="9">
        <f>Table_246[[#This Row],[QT]]*Table_246[[#This Row],[Custo 
Un]]</f>
        <v>0</v>
      </c>
      <c r="H250" s="45">
        <v>10</v>
      </c>
      <c r="I250" s="9">
        <f>H250*D250</f>
        <v>10</v>
      </c>
      <c r="J250" s="41" t="s">
        <v>545</v>
      </c>
      <c r="K250" s="43">
        <f>Table_246[[#This Row],[Valor da 
venda]]-Table_246[[#This Row],[Valor gasto]]</f>
        <v>10</v>
      </c>
      <c r="L250" s="45" t="s">
        <v>15</v>
      </c>
      <c r="P250" s="160"/>
      <c r="Q250"/>
      <c r="R250" s="160"/>
      <c r="V250"/>
    </row>
    <row r="251" spans="1:22" ht="15.75" customHeight="1" x14ac:dyDescent="0.3">
      <c r="A251" s="21">
        <f>IF(Table_246[[#This Row],[Data]]="","",MONTH(Table_246[[#This Row],[Data]]))</f>
        <v>4</v>
      </c>
      <c r="B251" s="25">
        <v>46123</v>
      </c>
      <c r="C251" s="29" t="s">
        <v>139</v>
      </c>
      <c r="D251" s="36">
        <v>1</v>
      </c>
      <c r="E251" s="41" t="s">
        <v>625</v>
      </c>
      <c r="F251" s="42" t="str">
        <f>IFERROR(VLOOKUP(C251,#REF!,5,0),"0")</f>
        <v>0</v>
      </c>
      <c r="G251" s="9">
        <f>Table_246[[#This Row],[QT]]*Table_246[[#This Row],[Custo 
Un]]</f>
        <v>0</v>
      </c>
      <c r="H251" s="45">
        <v>1</v>
      </c>
      <c r="I251" s="9">
        <f>H251*D251</f>
        <v>1</v>
      </c>
      <c r="J251" s="41" t="s">
        <v>545</v>
      </c>
      <c r="K251" s="43">
        <f>Table_246[[#This Row],[Valor da 
venda]]-Table_246[[#This Row],[Valor gasto]]</f>
        <v>1</v>
      </c>
      <c r="L251" s="45" t="s">
        <v>15</v>
      </c>
      <c r="P251" s="160"/>
      <c r="Q251"/>
      <c r="R251" s="160"/>
      <c r="V251"/>
    </row>
    <row r="252" spans="1:22" ht="15.75" customHeight="1" x14ac:dyDescent="0.3">
      <c r="A252" s="21">
        <f>IF(Table_246[[#This Row],[Data]]="","",MONTH(Table_246[[#This Row],[Data]]))</f>
        <v>4</v>
      </c>
      <c r="B252" s="25">
        <v>46123</v>
      </c>
      <c r="C252" s="29" t="s">
        <v>1909</v>
      </c>
      <c r="D252" s="36">
        <v>1</v>
      </c>
      <c r="E252" s="41" t="s">
        <v>996</v>
      </c>
      <c r="F252" s="42">
        <v>0</v>
      </c>
      <c r="G252" s="9">
        <f>Table_246[[#This Row],[QT]]*Table_246[[#This Row],[Custo 
Un]]</f>
        <v>0</v>
      </c>
      <c r="H252" s="45">
        <v>325</v>
      </c>
      <c r="I252" s="9">
        <f>H252*D252</f>
        <v>325</v>
      </c>
      <c r="J252" s="41" t="s">
        <v>545</v>
      </c>
      <c r="K252" s="43">
        <f>Table_246[[#This Row],[Valor da 
venda]]-Table_246[[#This Row],[Valor gasto]]</f>
        <v>325</v>
      </c>
      <c r="L252" s="45" t="s">
        <v>15</v>
      </c>
      <c r="P252" s="160"/>
      <c r="Q252"/>
      <c r="R252" s="160"/>
      <c r="V252"/>
    </row>
    <row r="253" spans="1:22" ht="15.75" customHeight="1" x14ac:dyDescent="0.3">
      <c r="A253" s="21">
        <f>IF(Table_246[[#This Row],[Data]]="","",MONTH(Table_246[[#This Row],[Data]]))</f>
        <v>4</v>
      </c>
      <c r="B253" s="25">
        <v>46123</v>
      </c>
      <c r="C253" s="29" t="s">
        <v>1910</v>
      </c>
      <c r="D253" s="36">
        <v>1</v>
      </c>
      <c r="E253" s="41" t="s">
        <v>996</v>
      </c>
      <c r="F253" s="42">
        <v>10</v>
      </c>
      <c r="G253" s="9">
        <f>Table_246[[#This Row],[QT]]*Table_246[[#This Row],[Custo 
Un]]</f>
        <v>10</v>
      </c>
      <c r="H253" s="45">
        <v>30</v>
      </c>
      <c r="I253" s="9">
        <f>H253*D253</f>
        <v>30</v>
      </c>
      <c r="J253" s="41" t="s">
        <v>545</v>
      </c>
      <c r="K253" s="43">
        <f>Table_246[[#This Row],[Valor da 
venda]]-Table_246[[#This Row],[Valor gasto]]</f>
        <v>20</v>
      </c>
      <c r="L253" s="45" t="s">
        <v>15</v>
      </c>
      <c r="P253" s="160"/>
      <c r="Q253"/>
      <c r="R253" s="160"/>
      <c r="V253"/>
    </row>
    <row r="254" spans="1:22" ht="15.75" customHeight="1" x14ac:dyDescent="0.3">
      <c r="A254" s="21">
        <f>IF(Table_246[[#This Row],[Data]]="","",MONTH(Table_246[[#This Row],[Data]]))</f>
        <v>4</v>
      </c>
      <c r="B254" s="25">
        <v>46123</v>
      </c>
      <c r="C254" s="29" t="s">
        <v>1904</v>
      </c>
      <c r="D254" s="36">
        <v>1</v>
      </c>
      <c r="E254" s="41" t="s">
        <v>1911</v>
      </c>
      <c r="F254" s="42">
        <v>5</v>
      </c>
      <c r="G254" s="9">
        <f>Table_246[[#This Row],[QT]]*Table_246[[#This Row],[Custo 
Un]]</f>
        <v>5</v>
      </c>
      <c r="H254" s="45">
        <v>28.3</v>
      </c>
      <c r="I254" s="9">
        <f>H254*D254</f>
        <v>28.3</v>
      </c>
      <c r="J254" s="41" t="s">
        <v>17</v>
      </c>
      <c r="K254" s="43">
        <f>Table_246[[#This Row],[Valor da 
venda]]-Table_246[[#This Row],[Valor gasto]]</f>
        <v>23.3</v>
      </c>
      <c r="L254" s="45" t="s">
        <v>15</v>
      </c>
      <c r="P254" s="160"/>
      <c r="Q254"/>
      <c r="R254" s="160"/>
      <c r="V254"/>
    </row>
    <row r="255" spans="1:22" ht="15.75" customHeight="1" x14ac:dyDescent="0.3">
      <c r="A255" s="21">
        <f>IF(Table_246[[#This Row],[Data]]="","",MONTH(Table_246[[#This Row],[Data]]))</f>
        <v>4</v>
      </c>
      <c r="B255" s="25">
        <v>46123</v>
      </c>
      <c r="C255" s="84" t="s">
        <v>1035</v>
      </c>
      <c r="D255" s="36">
        <v>1</v>
      </c>
      <c r="E255" s="41" t="s">
        <v>1912</v>
      </c>
      <c r="F255" s="42" t="str">
        <f>IFERROR(VLOOKUP(C255,#REF!,5,0),"0")</f>
        <v>0</v>
      </c>
      <c r="G255" s="9">
        <f>Table_246[[#This Row],[QT]]*Table_246[[#This Row],[Custo 
Un]]</f>
        <v>0</v>
      </c>
      <c r="H255" s="45">
        <v>5.5</v>
      </c>
      <c r="I255" s="9">
        <f>H255*D255</f>
        <v>5.5</v>
      </c>
      <c r="J255" s="41" t="s">
        <v>17</v>
      </c>
      <c r="K255" s="43">
        <f>Table_246[[#This Row],[Valor da 
venda]]-Table_246[[#This Row],[Valor gasto]]</f>
        <v>5.5</v>
      </c>
      <c r="L255" s="45" t="s">
        <v>15</v>
      </c>
      <c r="P255" s="160"/>
      <c r="Q255"/>
      <c r="R255" s="160"/>
      <c r="V255"/>
    </row>
    <row r="256" spans="1:22" ht="15.75" customHeight="1" x14ac:dyDescent="0.3">
      <c r="A256" s="21">
        <f>IF(Table_246[[#This Row],[Data]]="","",MONTH(Table_246[[#This Row],[Data]]))</f>
        <v>4</v>
      </c>
      <c r="B256" s="25">
        <v>46123</v>
      </c>
      <c r="C256" s="84" t="s">
        <v>1035</v>
      </c>
      <c r="D256" s="36">
        <v>1</v>
      </c>
      <c r="E256" s="41" t="s">
        <v>1913</v>
      </c>
      <c r="F256" s="42" t="str">
        <f>IFERROR(VLOOKUP(C256,#REF!,5,0),"0")</f>
        <v>0</v>
      </c>
      <c r="G256" s="9">
        <f>Table_246[[#This Row],[QT]]*Table_246[[#This Row],[Custo 
Un]]</f>
        <v>0</v>
      </c>
      <c r="H256" s="45">
        <v>5.5</v>
      </c>
      <c r="I256" s="9">
        <f>H256*D256</f>
        <v>5.5</v>
      </c>
      <c r="J256" s="41" t="s">
        <v>17</v>
      </c>
      <c r="K256" s="43">
        <f>Table_246[[#This Row],[Valor da 
venda]]-Table_246[[#This Row],[Valor gasto]]</f>
        <v>5.5</v>
      </c>
      <c r="L256" s="45" t="s">
        <v>15</v>
      </c>
      <c r="P256" s="160"/>
      <c r="Q256"/>
      <c r="R256" s="160"/>
      <c r="V256"/>
    </row>
    <row r="257" spans="1:22" ht="15.75" customHeight="1" x14ac:dyDescent="0.3">
      <c r="A257" s="21">
        <f>IF(Table_246[[#This Row],[Data]]="","",MONTH(Table_246[[#This Row],[Data]]))</f>
        <v>4</v>
      </c>
      <c r="B257" s="25">
        <v>46123</v>
      </c>
      <c r="C257" s="84" t="s">
        <v>1035</v>
      </c>
      <c r="D257" s="36">
        <v>4</v>
      </c>
      <c r="E257" s="41" t="s">
        <v>1914</v>
      </c>
      <c r="F257" s="42" t="str">
        <f>IFERROR(VLOOKUP(C257,#REF!,5,0),"0")</f>
        <v>0</v>
      </c>
      <c r="G257" s="9">
        <f>Table_246[[#This Row],[QT]]*Table_246[[#This Row],[Custo 
Un]]</f>
        <v>0</v>
      </c>
      <c r="H257" s="45">
        <f>16.9/4</f>
        <v>4.2249999999999996</v>
      </c>
      <c r="I257" s="9">
        <f>H257*D257</f>
        <v>16.899999999999999</v>
      </c>
      <c r="J257" s="41" t="s">
        <v>17</v>
      </c>
      <c r="K257" s="43">
        <f>Table_246[[#This Row],[Valor da 
venda]]-Table_246[[#This Row],[Valor gasto]]</f>
        <v>16.899999999999999</v>
      </c>
      <c r="L257" s="45" t="s">
        <v>15</v>
      </c>
      <c r="P257" s="160"/>
      <c r="Q257"/>
      <c r="R257" s="160"/>
      <c r="V257"/>
    </row>
    <row r="258" spans="1:22" ht="15.75" customHeight="1" x14ac:dyDescent="0.3">
      <c r="A258" s="21">
        <f>IF(Table_246[[#This Row],[Data]]="","",MONTH(Table_246[[#This Row],[Data]]))</f>
        <v>4</v>
      </c>
      <c r="B258" s="25">
        <v>46123</v>
      </c>
      <c r="C258" s="84" t="s">
        <v>2061</v>
      </c>
      <c r="D258" s="36">
        <v>1</v>
      </c>
      <c r="E258" s="41" t="s">
        <v>1915</v>
      </c>
      <c r="F258" s="42">
        <v>350</v>
      </c>
      <c r="G258" s="9">
        <f>Table_246[[#This Row],[QT]]*Table_246[[#This Row],[Custo 
Un]]</f>
        <v>350</v>
      </c>
      <c r="H258" s="45">
        <v>414.33</v>
      </c>
      <c r="I258" s="9">
        <f>H258*D258</f>
        <v>414.33</v>
      </c>
      <c r="J258" s="41" t="s">
        <v>17</v>
      </c>
      <c r="K258" s="43">
        <f>Table_246[[#This Row],[Valor da 
venda]]-Table_246[[#This Row],[Valor gasto]]</f>
        <v>64.329999999999984</v>
      </c>
      <c r="L258" s="45" t="s">
        <v>15</v>
      </c>
      <c r="P258" s="160"/>
      <c r="Q258"/>
      <c r="R258" s="160"/>
      <c r="V258"/>
    </row>
    <row r="259" spans="1:22" ht="15.75" customHeight="1" x14ac:dyDescent="0.3">
      <c r="A259" s="21">
        <f>IF(Table_246[[#This Row],[Data]]="","",MONTH(Table_246[[#This Row],[Data]]))</f>
        <v>4</v>
      </c>
      <c r="B259" s="25">
        <v>46123</v>
      </c>
      <c r="C259" s="84" t="s">
        <v>1035</v>
      </c>
      <c r="D259" s="36">
        <v>1</v>
      </c>
      <c r="E259" s="41" t="s">
        <v>1916</v>
      </c>
      <c r="F259" s="42" t="str">
        <f>IFERROR(VLOOKUP(C259,#REF!,5,0),"0")</f>
        <v>0</v>
      </c>
      <c r="G259" s="9">
        <f>Table_246[[#This Row],[QT]]*Table_246[[#This Row],[Custo 
Un]]</f>
        <v>0</v>
      </c>
      <c r="H259" s="45">
        <v>5.5</v>
      </c>
      <c r="I259" s="9">
        <f>H259*D259</f>
        <v>5.5</v>
      </c>
      <c r="J259" s="41" t="s">
        <v>17</v>
      </c>
      <c r="K259" s="43">
        <f>Table_246[[#This Row],[Valor da 
venda]]-Table_246[[#This Row],[Valor gasto]]</f>
        <v>5.5</v>
      </c>
      <c r="L259" s="45" t="s">
        <v>15</v>
      </c>
      <c r="P259" s="160"/>
      <c r="Q259"/>
      <c r="R259" s="160"/>
      <c r="V259"/>
    </row>
    <row r="260" spans="1:22" ht="15.75" customHeight="1" x14ac:dyDescent="0.3">
      <c r="A260" s="21">
        <f>IF(Table_246[[#This Row],[Data]]="","",MONTH(Table_246[[#This Row],[Data]]))</f>
        <v>4</v>
      </c>
      <c r="B260" s="25">
        <v>46123</v>
      </c>
      <c r="C260" s="84" t="s">
        <v>1035</v>
      </c>
      <c r="D260" s="36">
        <v>1</v>
      </c>
      <c r="E260" s="41" t="s">
        <v>1917</v>
      </c>
      <c r="F260" s="42" t="str">
        <f>IFERROR(VLOOKUP(C260,#REF!,5,0),"0")</f>
        <v>0</v>
      </c>
      <c r="G260" s="9">
        <f>Table_246[[#This Row],[QT]]*Table_246[[#This Row],[Custo 
Un]]</f>
        <v>0</v>
      </c>
      <c r="H260" s="45">
        <v>5.5</v>
      </c>
      <c r="I260" s="9">
        <f>H260*D260</f>
        <v>5.5</v>
      </c>
      <c r="J260" s="41" t="s">
        <v>17</v>
      </c>
      <c r="K260" s="43">
        <f>Table_246[[#This Row],[Valor da 
venda]]-Table_246[[#This Row],[Valor gasto]]</f>
        <v>5.5</v>
      </c>
      <c r="L260" s="45" t="s">
        <v>15</v>
      </c>
      <c r="P260" s="160"/>
      <c r="Q260"/>
      <c r="R260" s="160"/>
      <c r="V260"/>
    </row>
    <row r="261" spans="1:22" ht="15.75" customHeight="1" x14ac:dyDescent="0.3">
      <c r="A261" s="21">
        <f>IF(Table_246[[#This Row],[Data]]="","",MONTH(Table_246[[#This Row],[Data]]))</f>
        <v>4</v>
      </c>
      <c r="B261" s="25">
        <v>46123</v>
      </c>
      <c r="C261" s="84" t="s">
        <v>1035</v>
      </c>
      <c r="D261" s="36">
        <v>1</v>
      </c>
      <c r="E261" s="41" t="s">
        <v>1918</v>
      </c>
      <c r="F261" s="42" t="str">
        <f>IFERROR(VLOOKUP(C261,#REF!,5,0),"0")</f>
        <v>0</v>
      </c>
      <c r="G261" s="9">
        <f>Table_246[[#This Row],[QT]]*Table_246[[#This Row],[Custo 
Un]]</f>
        <v>0</v>
      </c>
      <c r="H261" s="45">
        <v>5.5</v>
      </c>
      <c r="I261" s="9">
        <f>H261*D261</f>
        <v>5.5</v>
      </c>
      <c r="J261" s="41" t="s">
        <v>17</v>
      </c>
      <c r="K261" s="43">
        <f>Table_246[[#This Row],[Valor da 
venda]]-Table_246[[#This Row],[Valor gasto]]</f>
        <v>5.5</v>
      </c>
      <c r="L261" s="45" t="s">
        <v>15</v>
      </c>
      <c r="P261" s="160"/>
      <c r="Q261"/>
      <c r="R261" s="160"/>
      <c r="V261"/>
    </row>
    <row r="262" spans="1:22" ht="15.75" customHeight="1" x14ac:dyDescent="0.3">
      <c r="A262" s="21">
        <f>IF(Table_246[[#This Row],[Data]]="","",MONTH(Table_246[[#This Row],[Data]]))</f>
        <v>4</v>
      </c>
      <c r="B262" s="25">
        <v>46123</v>
      </c>
      <c r="C262" s="84" t="s">
        <v>1035</v>
      </c>
      <c r="D262" s="36">
        <v>1</v>
      </c>
      <c r="E262" s="41" t="s">
        <v>1921</v>
      </c>
      <c r="F262" s="42" t="str">
        <f>IFERROR(VLOOKUP(C262,#REF!,5,0),"0")</f>
        <v>0</v>
      </c>
      <c r="G262" s="9">
        <f>Table_246[[#This Row],[QT]]*Table_246[[#This Row],[Custo 
Un]]</f>
        <v>0</v>
      </c>
      <c r="H262" s="45">
        <v>5.5</v>
      </c>
      <c r="I262" s="9">
        <f>H262*D262</f>
        <v>5.5</v>
      </c>
      <c r="J262" s="41" t="s">
        <v>17</v>
      </c>
      <c r="K262" s="43">
        <f>Table_246[[#This Row],[Valor da 
venda]]-Table_246[[#This Row],[Valor gasto]]</f>
        <v>5.5</v>
      </c>
      <c r="L262" s="45" t="s">
        <v>15</v>
      </c>
      <c r="P262" s="160"/>
      <c r="Q262"/>
      <c r="R262" s="160"/>
      <c r="V262"/>
    </row>
    <row r="263" spans="1:22" ht="15.75" customHeight="1" x14ac:dyDescent="0.3">
      <c r="A263" s="21">
        <f>IF(Table_246[[#This Row],[Data]]="","",MONTH(Table_246[[#This Row],[Data]]))</f>
        <v>4</v>
      </c>
      <c r="B263" s="25">
        <v>46123</v>
      </c>
      <c r="C263" s="84" t="s">
        <v>1035</v>
      </c>
      <c r="D263" s="36">
        <v>1</v>
      </c>
      <c r="E263" s="41" t="s">
        <v>1919</v>
      </c>
      <c r="F263" s="42" t="str">
        <f>IFERROR(VLOOKUP(C263,#REF!,5,0),"0")</f>
        <v>0</v>
      </c>
      <c r="G263" s="9">
        <f>Table_246[[#This Row],[QT]]*Table_246[[#This Row],[Custo 
Un]]</f>
        <v>0</v>
      </c>
      <c r="H263" s="45">
        <v>5.5</v>
      </c>
      <c r="I263" s="9">
        <f>H263*D263</f>
        <v>5.5</v>
      </c>
      <c r="J263" s="41" t="s">
        <v>17</v>
      </c>
      <c r="K263" s="43">
        <f>Table_246[[#This Row],[Valor da 
venda]]-Table_246[[#This Row],[Valor gasto]]</f>
        <v>5.5</v>
      </c>
      <c r="L263" s="45" t="s">
        <v>15</v>
      </c>
      <c r="P263" s="160"/>
      <c r="Q263"/>
      <c r="R263" s="160"/>
      <c r="V263"/>
    </row>
    <row r="264" spans="1:22" ht="15.75" customHeight="1" x14ac:dyDescent="0.3">
      <c r="A264" s="21">
        <f>IF(Table_246[[#This Row],[Data]]="","",MONTH(Table_246[[#This Row],[Data]]))</f>
        <v>4</v>
      </c>
      <c r="B264" s="25">
        <v>46123</v>
      </c>
      <c r="C264" s="84" t="s">
        <v>1035</v>
      </c>
      <c r="D264" s="36">
        <v>1</v>
      </c>
      <c r="E264" s="41" t="s">
        <v>1922</v>
      </c>
      <c r="F264" s="42" t="str">
        <f>IFERROR(VLOOKUP(C264,#REF!,5,0),"0")</f>
        <v>0</v>
      </c>
      <c r="G264" s="9">
        <f>Table_246[[#This Row],[QT]]*Table_246[[#This Row],[Custo 
Un]]</f>
        <v>0</v>
      </c>
      <c r="H264" s="45">
        <v>5.5</v>
      </c>
      <c r="I264" s="9">
        <f>H264*D264</f>
        <v>5.5</v>
      </c>
      <c r="J264" s="41" t="s">
        <v>17</v>
      </c>
      <c r="K264" s="43">
        <f>Table_246[[#This Row],[Valor da 
venda]]-Table_246[[#This Row],[Valor gasto]]</f>
        <v>5.5</v>
      </c>
      <c r="L264" s="45" t="s">
        <v>15</v>
      </c>
      <c r="P264" s="160"/>
      <c r="Q264"/>
      <c r="R264" s="160"/>
      <c r="V264"/>
    </row>
    <row r="265" spans="1:22" ht="15" customHeight="1" x14ac:dyDescent="0.3">
      <c r="A265" s="21">
        <f>IF(Table_246[[#This Row],[Data]]="","",MONTH(Table_246[[#This Row],[Data]]))</f>
        <v>4</v>
      </c>
      <c r="B265" s="25">
        <v>46124</v>
      </c>
      <c r="C265" s="29" t="s">
        <v>1924</v>
      </c>
      <c r="D265" s="36">
        <v>1</v>
      </c>
      <c r="E265" s="41" t="s">
        <v>1920</v>
      </c>
      <c r="F265" s="42">
        <v>10</v>
      </c>
      <c r="G265" s="9">
        <f>Table_246[[#This Row],[QT]]*Table_246[[#This Row],[Custo 
Un]]</f>
        <v>10</v>
      </c>
      <c r="H265" s="45">
        <v>18.22</v>
      </c>
      <c r="I265" s="9">
        <f>H265*D265</f>
        <v>18.22</v>
      </c>
      <c r="J265" s="41" t="s">
        <v>17</v>
      </c>
      <c r="K265" s="43">
        <f>Table_246[[#This Row],[Valor da 
venda]]-Table_246[[#This Row],[Valor gasto]]</f>
        <v>8.2199999999999989</v>
      </c>
      <c r="L265" s="45" t="s">
        <v>15</v>
      </c>
      <c r="P265" s="160"/>
      <c r="Q265"/>
      <c r="R265" s="160"/>
      <c r="V265"/>
    </row>
    <row r="266" spans="1:22" ht="15" customHeight="1" x14ac:dyDescent="0.3">
      <c r="A266" s="21">
        <f>IF(Table_246[[#This Row],[Data]]="","",MONTH(Table_246[[#This Row],[Data]]))</f>
        <v>4</v>
      </c>
      <c r="B266" s="25">
        <v>46125</v>
      </c>
      <c r="C266" s="84" t="s">
        <v>1035</v>
      </c>
      <c r="D266" s="36">
        <v>1</v>
      </c>
      <c r="E266" s="41" t="s">
        <v>1923</v>
      </c>
      <c r="F266" s="42" t="str">
        <f>IFERROR(VLOOKUP(C266,#REF!,5,0),"0")</f>
        <v>0</v>
      </c>
      <c r="G266" s="9">
        <f>Table_246[[#This Row],[QT]]*Table_246[[#This Row],[Custo 
Un]]</f>
        <v>0</v>
      </c>
      <c r="H266" s="45">
        <v>5.5</v>
      </c>
      <c r="I266" s="9">
        <f>H266*D266</f>
        <v>5.5</v>
      </c>
      <c r="J266" s="41" t="s">
        <v>17</v>
      </c>
      <c r="K266" s="43">
        <f>Table_246[[#This Row],[Valor da 
venda]]-Table_246[[#This Row],[Valor gasto]]</f>
        <v>5.5</v>
      </c>
      <c r="L266" s="45" t="s">
        <v>15</v>
      </c>
      <c r="P266" s="160"/>
      <c r="Q266"/>
      <c r="R266" s="160"/>
      <c r="V266"/>
    </row>
    <row r="267" spans="1:22" ht="15" customHeight="1" x14ac:dyDescent="0.3">
      <c r="A267" s="21">
        <f>IF(Table_246[[#This Row],[Data]]="","",MONTH(Table_246[[#This Row],[Data]]))</f>
        <v>4</v>
      </c>
      <c r="B267" s="25">
        <v>46126</v>
      </c>
      <c r="C267" s="84" t="s">
        <v>1035</v>
      </c>
      <c r="D267" s="36">
        <v>1</v>
      </c>
      <c r="E267" s="41" t="s">
        <v>1925</v>
      </c>
      <c r="F267" s="42" t="str">
        <f>IFERROR(VLOOKUP(C267,#REF!,5,0),"0")</f>
        <v>0</v>
      </c>
      <c r="G267" s="9">
        <f>Table_246[[#This Row],[QT]]*Table_246[[#This Row],[Custo 
Un]]</f>
        <v>0</v>
      </c>
      <c r="H267" s="45">
        <v>5.5</v>
      </c>
      <c r="I267" s="9">
        <f>H267*D267</f>
        <v>5.5</v>
      </c>
      <c r="J267" s="41" t="s">
        <v>17</v>
      </c>
      <c r="K267" s="43">
        <f>Table_246[[#This Row],[Valor da 
venda]]-Table_246[[#This Row],[Valor gasto]]</f>
        <v>5.5</v>
      </c>
      <c r="L267" s="45" t="s">
        <v>15</v>
      </c>
      <c r="P267" s="160"/>
      <c r="Q267"/>
      <c r="R267" s="160"/>
      <c r="V267"/>
    </row>
    <row r="268" spans="1:22" ht="15" customHeight="1" x14ac:dyDescent="0.3">
      <c r="A268" s="21">
        <f>IF(Table_246[[#This Row],[Data]]="","",MONTH(Table_246[[#This Row],[Data]]))</f>
        <v>4</v>
      </c>
      <c r="B268" s="25">
        <v>46127</v>
      </c>
      <c r="C268" s="84" t="s">
        <v>1035</v>
      </c>
      <c r="D268" s="36">
        <v>1</v>
      </c>
      <c r="E268" s="41" t="s">
        <v>1926</v>
      </c>
      <c r="F268" s="42" t="str">
        <f>IFERROR(VLOOKUP(C268,#REF!,5,0),"0")</f>
        <v>0</v>
      </c>
      <c r="G268" s="9">
        <f>Table_246[[#This Row],[QT]]*Table_246[[#This Row],[Custo 
Un]]</f>
        <v>0</v>
      </c>
      <c r="H268" s="45">
        <v>5.5</v>
      </c>
      <c r="I268" s="9">
        <f>H268*D268</f>
        <v>5.5</v>
      </c>
      <c r="J268" s="41" t="s">
        <v>17</v>
      </c>
      <c r="K268" s="43">
        <f>Table_246[[#This Row],[Valor da 
venda]]-Table_246[[#This Row],[Valor gasto]]</f>
        <v>5.5</v>
      </c>
      <c r="L268" s="45" t="s">
        <v>15</v>
      </c>
      <c r="P268" s="160"/>
      <c r="Q268"/>
      <c r="R268" s="160"/>
      <c r="V268"/>
    </row>
    <row r="269" spans="1:22" ht="15" customHeight="1" x14ac:dyDescent="0.3">
      <c r="A269" s="21">
        <f>IF(Table_246[[#This Row],[Data]]="","",MONTH(Table_246[[#This Row],[Data]]))</f>
        <v>4</v>
      </c>
      <c r="B269" s="25">
        <v>46127</v>
      </c>
      <c r="C269" s="29" t="s">
        <v>288</v>
      </c>
      <c r="D269" s="36">
        <v>1</v>
      </c>
      <c r="E269" s="41" t="s">
        <v>1927</v>
      </c>
      <c r="F269" s="42" t="str">
        <f>IFERROR(VLOOKUP(C269,#REF!,5,0),"0")</f>
        <v>0</v>
      </c>
      <c r="G269" s="9">
        <f>Table_246[[#This Row],[QT]]*Table_246[[#This Row],[Custo 
Un]]</f>
        <v>0</v>
      </c>
      <c r="H269" s="45">
        <v>15.38</v>
      </c>
      <c r="I269" s="9">
        <f>H269*D269</f>
        <v>15.38</v>
      </c>
      <c r="J269" s="41" t="s">
        <v>17</v>
      </c>
      <c r="K269" s="43">
        <f>Table_246[[#This Row],[Valor da 
venda]]-Table_246[[#This Row],[Valor gasto]]</f>
        <v>15.38</v>
      </c>
      <c r="L269" s="45" t="s">
        <v>15</v>
      </c>
      <c r="P269" s="160"/>
      <c r="Q269"/>
      <c r="R269" s="160"/>
      <c r="V269"/>
    </row>
    <row r="270" spans="1:22" ht="15" customHeight="1" x14ac:dyDescent="0.3">
      <c r="A270" s="21">
        <f>IF(Table_246[[#This Row],[Data]]="","",MONTH(Table_246[[#This Row],[Data]]))</f>
        <v>4</v>
      </c>
      <c r="B270" s="25">
        <v>46127</v>
      </c>
      <c r="C270" s="84" t="s">
        <v>1035</v>
      </c>
      <c r="D270" s="36">
        <v>1</v>
      </c>
      <c r="E270" s="41" t="s">
        <v>1928</v>
      </c>
      <c r="F270" s="42" t="str">
        <f>IFERROR(VLOOKUP(C270,#REF!,5,0),"0")</f>
        <v>0</v>
      </c>
      <c r="G270" s="9">
        <f>Table_246[[#This Row],[QT]]*Table_246[[#This Row],[Custo 
Un]]</f>
        <v>0</v>
      </c>
      <c r="H270" s="45">
        <v>5.5</v>
      </c>
      <c r="I270" s="9">
        <f>H270*D270</f>
        <v>5.5</v>
      </c>
      <c r="J270" s="41" t="s">
        <v>17</v>
      </c>
      <c r="K270" s="43">
        <f>Table_246[[#This Row],[Valor da 
venda]]-Table_246[[#This Row],[Valor gasto]]</f>
        <v>5.5</v>
      </c>
      <c r="L270" s="45" t="s">
        <v>15</v>
      </c>
      <c r="P270" s="160"/>
      <c r="Q270"/>
      <c r="R270" s="160"/>
      <c r="V270"/>
    </row>
    <row r="271" spans="1:22" ht="15" customHeight="1" x14ac:dyDescent="0.3">
      <c r="A271" s="21">
        <f>IF(Table_246[[#This Row],[Data]]="","",MONTH(Table_246[[#This Row],[Data]]))</f>
        <v>4</v>
      </c>
      <c r="B271" s="25">
        <v>46127</v>
      </c>
      <c r="C271" s="84" t="s">
        <v>1035</v>
      </c>
      <c r="D271" s="36">
        <v>1</v>
      </c>
      <c r="E271" s="41" t="s">
        <v>1929</v>
      </c>
      <c r="F271" s="42" t="str">
        <f>IFERROR(VLOOKUP(C271,#REF!,5,0),"0")</f>
        <v>0</v>
      </c>
      <c r="G271" s="9">
        <f>Table_246[[#This Row],[QT]]*Table_246[[#This Row],[Custo 
Un]]</f>
        <v>0</v>
      </c>
      <c r="H271" s="45">
        <v>5.5</v>
      </c>
      <c r="I271" s="9">
        <f>H271*D271</f>
        <v>5.5</v>
      </c>
      <c r="J271" s="41" t="s">
        <v>17</v>
      </c>
      <c r="K271" s="43">
        <f>Table_246[[#This Row],[Valor da 
venda]]-Table_246[[#This Row],[Valor gasto]]</f>
        <v>5.5</v>
      </c>
      <c r="L271" s="45" t="s">
        <v>15</v>
      </c>
      <c r="P271" s="160"/>
      <c r="Q271"/>
      <c r="R271" s="160"/>
      <c r="V271"/>
    </row>
    <row r="272" spans="1:22" ht="15" customHeight="1" x14ac:dyDescent="0.3">
      <c r="A272" s="21">
        <f>IF(Table_246[[#This Row],[Data]]="","",MONTH(Table_246[[#This Row],[Data]]))</f>
        <v>4</v>
      </c>
      <c r="B272" s="25">
        <v>46127</v>
      </c>
      <c r="C272" s="84" t="s">
        <v>1035</v>
      </c>
      <c r="D272" s="36">
        <v>1</v>
      </c>
      <c r="E272" s="41" t="s">
        <v>1930</v>
      </c>
      <c r="F272" s="42" t="str">
        <f>IFERROR(VLOOKUP(C272,#REF!,5,0),"0")</f>
        <v>0</v>
      </c>
      <c r="G272" s="9">
        <f>Table_246[[#This Row],[QT]]*Table_246[[#This Row],[Custo 
Un]]</f>
        <v>0</v>
      </c>
      <c r="H272" s="45">
        <v>5.5</v>
      </c>
      <c r="I272" s="9">
        <f>H272*D272</f>
        <v>5.5</v>
      </c>
      <c r="J272" s="41" t="s">
        <v>17</v>
      </c>
      <c r="K272" s="43">
        <f>Table_246[[#This Row],[Valor da 
venda]]-Table_246[[#This Row],[Valor gasto]]</f>
        <v>5.5</v>
      </c>
      <c r="L272" s="45" t="s">
        <v>15</v>
      </c>
      <c r="P272" s="160"/>
      <c r="Q272"/>
      <c r="R272" s="160"/>
      <c r="V272"/>
    </row>
    <row r="273" spans="1:22" ht="15" customHeight="1" x14ac:dyDescent="0.3">
      <c r="A273" s="21">
        <f>IF(Table_246[[#This Row],[Data]]="","",MONTH(Table_246[[#This Row],[Data]]))</f>
        <v>4</v>
      </c>
      <c r="B273" s="25">
        <v>46128</v>
      </c>
      <c r="C273" s="29" t="s">
        <v>288</v>
      </c>
      <c r="D273" s="36">
        <v>1</v>
      </c>
      <c r="E273" s="41" t="s">
        <v>1931</v>
      </c>
      <c r="F273" s="42" t="str">
        <f>IFERROR(VLOOKUP(C273,#REF!,5,0),"0")</f>
        <v>0</v>
      </c>
      <c r="G273" s="9">
        <f>Table_246[[#This Row],[QT]]*Table_246[[#This Row],[Custo 
Un]]</f>
        <v>0</v>
      </c>
      <c r="H273" s="45">
        <v>15.38</v>
      </c>
      <c r="I273" s="9">
        <f>H273*D273</f>
        <v>15.38</v>
      </c>
      <c r="J273" s="41" t="s">
        <v>17</v>
      </c>
      <c r="K273" s="43">
        <f>Table_246[[#This Row],[Valor da 
venda]]-Table_246[[#This Row],[Valor gasto]]</f>
        <v>15.38</v>
      </c>
      <c r="L273" s="45" t="s">
        <v>15</v>
      </c>
      <c r="P273" s="160"/>
      <c r="Q273"/>
      <c r="R273" s="160"/>
      <c r="V273"/>
    </row>
    <row r="274" spans="1:22" ht="15" customHeight="1" x14ac:dyDescent="0.3">
      <c r="A274" s="21">
        <f>IF(Table_246[[#This Row],[Data]]="","",MONTH(Table_246[[#This Row],[Data]]))</f>
        <v>4</v>
      </c>
      <c r="B274" s="25">
        <v>46129</v>
      </c>
      <c r="C274" s="84" t="s">
        <v>1035</v>
      </c>
      <c r="D274" s="36">
        <v>1</v>
      </c>
      <c r="E274" s="41" t="s">
        <v>1932</v>
      </c>
      <c r="F274" s="42" t="str">
        <f>IFERROR(VLOOKUP(C274,#REF!,5,0),"0")</f>
        <v>0</v>
      </c>
      <c r="G274" s="9">
        <f>Table_246[[#This Row],[QT]]*Table_246[[#This Row],[Custo 
Un]]</f>
        <v>0</v>
      </c>
      <c r="H274" s="45">
        <v>5.5</v>
      </c>
      <c r="I274" s="9">
        <f>H274*D274</f>
        <v>5.5</v>
      </c>
      <c r="J274" s="41" t="s">
        <v>17</v>
      </c>
      <c r="K274" s="43">
        <f>Table_246[[#This Row],[Valor da 
venda]]-Table_246[[#This Row],[Valor gasto]]</f>
        <v>5.5</v>
      </c>
      <c r="L274" s="45" t="s">
        <v>15</v>
      </c>
      <c r="P274" s="160"/>
      <c r="Q274"/>
      <c r="R274" s="160"/>
      <c r="V274"/>
    </row>
    <row r="275" spans="1:22" ht="15" customHeight="1" x14ac:dyDescent="0.3">
      <c r="A275" s="21">
        <f>IF(Table_246[[#This Row],[Data]]="","",MONTH(Table_246[[#This Row],[Data]]))</f>
        <v>4</v>
      </c>
      <c r="B275" s="25">
        <v>46130</v>
      </c>
      <c r="C275" s="29" t="s">
        <v>1933</v>
      </c>
      <c r="D275" s="36">
        <v>1</v>
      </c>
      <c r="E275" s="41" t="s">
        <v>1934</v>
      </c>
      <c r="F275" s="42">
        <v>15</v>
      </c>
      <c r="G275" s="9">
        <f>Table_246[[#This Row],[QT]]*Table_246[[#This Row],[Custo 
Un]]</f>
        <v>15</v>
      </c>
      <c r="H275" s="45">
        <v>30</v>
      </c>
      <c r="I275" s="9">
        <f>H275*D275</f>
        <v>30</v>
      </c>
      <c r="J275" s="41" t="s">
        <v>545</v>
      </c>
      <c r="K275" s="43">
        <f>Table_246[[#This Row],[Valor da 
venda]]-Table_246[[#This Row],[Valor gasto]]</f>
        <v>15</v>
      </c>
      <c r="L275" s="45" t="s">
        <v>15</v>
      </c>
      <c r="P275" s="160"/>
      <c r="Q275"/>
      <c r="R275" s="160"/>
      <c r="V275"/>
    </row>
    <row r="276" spans="1:22" ht="15" customHeight="1" x14ac:dyDescent="0.3">
      <c r="A276" s="21">
        <f>IF(Table_246[[#This Row],[Data]]="","",MONTH(Table_246[[#This Row],[Data]]))</f>
        <v>4</v>
      </c>
      <c r="B276" s="25">
        <v>46130</v>
      </c>
      <c r="C276" s="29" t="s">
        <v>1904</v>
      </c>
      <c r="D276" s="36">
        <v>1</v>
      </c>
      <c r="E276" s="41" t="s">
        <v>996</v>
      </c>
      <c r="F276" s="42">
        <v>5</v>
      </c>
      <c r="G276" s="9">
        <f>Table_246[[#This Row],[QT]]*Table_246[[#This Row],[Custo 
Un]]</f>
        <v>5</v>
      </c>
      <c r="H276" s="45">
        <v>15</v>
      </c>
      <c r="I276" s="9">
        <f>H276*D276</f>
        <v>15</v>
      </c>
      <c r="J276" s="41" t="s">
        <v>545</v>
      </c>
      <c r="K276" s="43">
        <f>Table_246[[#This Row],[Valor da 
venda]]-Table_246[[#This Row],[Valor gasto]]</f>
        <v>10</v>
      </c>
      <c r="L276" s="45" t="s">
        <v>15</v>
      </c>
      <c r="P276" s="160"/>
      <c r="Q276"/>
      <c r="R276" s="160"/>
      <c r="V276"/>
    </row>
    <row r="277" spans="1:22" ht="15" customHeight="1" x14ac:dyDescent="0.3">
      <c r="A277" s="21">
        <f>IF(Table_246[[#This Row],[Data]]="","",MONTH(Table_246[[#This Row],[Data]]))</f>
        <v>4</v>
      </c>
      <c r="B277" s="25">
        <v>46130</v>
      </c>
      <c r="C277" s="84" t="s">
        <v>1114</v>
      </c>
      <c r="D277" s="36">
        <v>1</v>
      </c>
      <c r="E277" s="41" t="s">
        <v>1935</v>
      </c>
      <c r="F277" s="42" t="str">
        <f>IFERROR(VLOOKUP(C277,#REF!,5,0),"0")</f>
        <v>0</v>
      </c>
      <c r="G277" s="9">
        <f>Table_246[[#This Row],[QT]]*Table_246[[#This Row],[Custo 
Un]]</f>
        <v>0</v>
      </c>
      <c r="H277" s="45">
        <v>9.1999999999999993</v>
      </c>
      <c r="I277" s="9">
        <f>H277*D277</f>
        <v>9.1999999999999993</v>
      </c>
      <c r="J277" s="41" t="s">
        <v>1004</v>
      </c>
      <c r="K277" s="43">
        <f>Table_246[[#This Row],[Valor da 
venda]]-Table_246[[#This Row],[Valor gasto]]</f>
        <v>9.1999999999999993</v>
      </c>
      <c r="L277" s="45" t="s">
        <v>981</v>
      </c>
      <c r="P277" s="160"/>
      <c r="Q277"/>
      <c r="R277" s="160"/>
      <c r="V277"/>
    </row>
    <row r="278" spans="1:22" ht="15" customHeight="1" x14ac:dyDescent="0.3">
      <c r="A278" s="21">
        <f>IF(Table_246[[#This Row],[Data]]="","",MONTH(Table_246[[#This Row],[Data]]))</f>
        <v>4</v>
      </c>
      <c r="B278" s="25">
        <v>46130</v>
      </c>
      <c r="C278" s="84" t="s">
        <v>1114</v>
      </c>
      <c r="D278" s="36">
        <v>1</v>
      </c>
      <c r="E278" s="41" t="s">
        <v>1936</v>
      </c>
      <c r="F278" s="42" t="str">
        <f>IFERROR(VLOOKUP(C278,#REF!,5,0),"0")</f>
        <v>0</v>
      </c>
      <c r="G278" s="9">
        <f>Table_246[[#This Row],[QT]]*Table_246[[#This Row],[Custo 
Un]]</f>
        <v>0</v>
      </c>
      <c r="H278" s="45">
        <v>9.1999999999999993</v>
      </c>
      <c r="I278" s="9">
        <f>H278*D278</f>
        <v>9.1999999999999993</v>
      </c>
      <c r="J278" s="41" t="s">
        <v>1004</v>
      </c>
      <c r="K278" s="43">
        <f>Table_246[[#This Row],[Valor da 
venda]]-Table_246[[#This Row],[Valor gasto]]</f>
        <v>9.1999999999999993</v>
      </c>
      <c r="L278" s="45" t="s">
        <v>981</v>
      </c>
      <c r="P278" s="160"/>
      <c r="Q278"/>
      <c r="R278" s="160"/>
      <c r="V278"/>
    </row>
    <row r="279" spans="1:22" ht="15" customHeight="1" x14ac:dyDescent="0.3">
      <c r="A279" s="21">
        <f>IF(Table_246[[#This Row],[Data]]="","",MONTH(Table_246[[#This Row],[Data]]))</f>
        <v>4</v>
      </c>
      <c r="B279" s="25">
        <v>46130</v>
      </c>
      <c r="C279" s="84" t="s">
        <v>1114</v>
      </c>
      <c r="D279" s="36">
        <v>1</v>
      </c>
      <c r="E279" s="41" t="s">
        <v>1937</v>
      </c>
      <c r="F279" s="42" t="str">
        <f>IFERROR(VLOOKUP(C279,#REF!,5,0),"0")</f>
        <v>0</v>
      </c>
      <c r="G279" s="9">
        <f>Table_246[[#This Row],[QT]]*Table_246[[#This Row],[Custo 
Un]]</f>
        <v>0</v>
      </c>
      <c r="H279" s="45">
        <v>9.1999999999999993</v>
      </c>
      <c r="I279" s="9">
        <f>H279*D279</f>
        <v>9.1999999999999993</v>
      </c>
      <c r="J279" s="41" t="s">
        <v>1004</v>
      </c>
      <c r="K279" s="43">
        <f>Table_246[[#This Row],[Valor da 
venda]]-Table_246[[#This Row],[Valor gasto]]</f>
        <v>9.1999999999999993</v>
      </c>
      <c r="L279" s="45" t="s">
        <v>981</v>
      </c>
      <c r="P279" s="160"/>
      <c r="Q279"/>
      <c r="R279" s="160"/>
      <c r="V279"/>
    </row>
    <row r="280" spans="1:22" ht="15" customHeight="1" x14ac:dyDescent="0.3">
      <c r="A280" s="21">
        <f>IF(Table_246[[#This Row],[Data]]="","",MONTH(Table_246[[#This Row],[Data]]))</f>
        <v>4</v>
      </c>
      <c r="B280" s="25">
        <v>46130</v>
      </c>
      <c r="C280" s="84" t="s">
        <v>1114</v>
      </c>
      <c r="D280" s="36">
        <v>3</v>
      </c>
      <c r="E280" s="41" t="s">
        <v>1938</v>
      </c>
      <c r="F280" s="42" t="str">
        <f>IFERROR(VLOOKUP(C280,#REF!,5,0),"0")</f>
        <v>0</v>
      </c>
      <c r="G280" s="9">
        <f>Table_246[[#This Row],[QT]]*Table_246[[#This Row],[Custo 
Un]]</f>
        <v>0</v>
      </c>
      <c r="H280" s="45">
        <v>9.1999999999999993</v>
      </c>
      <c r="I280" s="9">
        <f>H280*D280</f>
        <v>27.599999999999998</v>
      </c>
      <c r="J280" s="41" t="s">
        <v>1004</v>
      </c>
      <c r="K280" s="43">
        <f>Table_246[[#This Row],[Valor da 
venda]]-Table_246[[#This Row],[Valor gasto]]</f>
        <v>27.599999999999998</v>
      </c>
      <c r="L280" s="45" t="s">
        <v>981</v>
      </c>
      <c r="P280" s="160"/>
      <c r="Q280"/>
      <c r="R280" s="160"/>
      <c r="V280"/>
    </row>
    <row r="281" spans="1:22" ht="15" customHeight="1" x14ac:dyDescent="0.3">
      <c r="A281" s="21">
        <f>IF(Table_246[[#This Row],[Data]]="","",MONTH(Table_246[[#This Row],[Data]]))</f>
        <v>4</v>
      </c>
      <c r="B281" s="25">
        <v>46130</v>
      </c>
      <c r="C281" s="84" t="s">
        <v>1114</v>
      </c>
      <c r="D281" s="36">
        <v>1</v>
      </c>
      <c r="E281" s="41" t="s">
        <v>1939</v>
      </c>
      <c r="F281" s="42" t="str">
        <f>IFERROR(VLOOKUP(C281,#REF!,5,0),"0")</f>
        <v>0</v>
      </c>
      <c r="G281" s="9">
        <f>Table_246[[#This Row],[QT]]*Table_246[[#This Row],[Custo 
Un]]</f>
        <v>0</v>
      </c>
      <c r="H281" s="45">
        <v>9.1999999999999993</v>
      </c>
      <c r="I281" s="9">
        <f>H281*D281</f>
        <v>9.1999999999999993</v>
      </c>
      <c r="J281" s="41" t="s">
        <v>1004</v>
      </c>
      <c r="K281" s="43">
        <f>Table_246[[#This Row],[Valor da 
venda]]-Table_246[[#This Row],[Valor gasto]]</f>
        <v>9.1999999999999993</v>
      </c>
      <c r="L281" s="45" t="s">
        <v>981</v>
      </c>
      <c r="P281" s="160"/>
      <c r="Q281"/>
      <c r="R281" s="160"/>
      <c r="V281"/>
    </row>
    <row r="282" spans="1:22" ht="15" customHeight="1" x14ac:dyDescent="0.3">
      <c r="A282" s="21">
        <f>IF(Table_246[[#This Row],[Data]]="","",MONTH(Table_246[[#This Row],[Data]]))</f>
        <v>4</v>
      </c>
      <c r="B282" s="25">
        <v>46130</v>
      </c>
      <c r="C282" s="84" t="s">
        <v>1114</v>
      </c>
      <c r="D282" s="36">
        <v>1</v>
      </c>
      <c r="E282" s="41" t="s">
        <v>1940</v>
      </c>
      <c r="F282" s="42" t="str">
        <f>IFERROR(VLOOKUP(C282,#REF!,5,0),"0")</f>
        <v>0</v>
      </c>
      <c r="G282" s="9">
        <f>Table_246[[#This Row],[QT]]*Table_246[[#This Row],[Custo 
Un]]</f>
        <v>0</v>
      </c>
      <c r="H282" s="45">
        <v>9.1999999999999993</v>
      </c>
      <c r="I282" s="9">
        <f>H282*D282</f>
        <v>9.1999999999999993</v>
      </c>
      <c r="J282" s="41" t="s">
        <v>1004</v>
      </c>
      <c r="K282" s="43">
        <f>Table_246[[#This Row],[Valor da 
venda]]-Table_246[[#This Row],[Valor gasto]]</f>
        <v>9.1999999999999993</v>
      </c>
      <c r="L282" s="45" t="s">
        <v>981</v>
      </c>
      <c r="P282" s="160"/>
      <c r="Q282"/>
      <c r="R282" s="160"/>
      <c r="V282"/>
    </row>
    <row r="283" spans="1:22" ht="15" customHeight="1" x14ac:dyDescent="0.3">
      <c r="A283" s="21">
        <f>IF(Table_246[[#This Row],[Data]]="","",MONTH(Table_246[[#This Row],[Data]]))</f>
        <v>4</v>
      </c>
      <c r="B283" s="25">
        <v>46130</v>
      </c>
      <c r="C283" s="84" t="s">
        <v>1114</v>
      </c>
      <c r="D283" s="36">
        <v>1</v>
      </c>
      <c r="E283" s="41" t="s">
        <v>1941</v>
      </c>
      <c r="F283" s="42" t="str">
        <f>IFERROR(VLOOKUP(C283,#REF!,5,0),"0")</f>
        <v>0</v>
      </c>
      <c r="G283" s="9">
        <f>Table_246[[#This Row],[QT]]*Table_246[[#This Row],[Custo 
Un]]</f>
        <v>0</v>
      </c>
      <c r="H283" s="45">
        <v>9.1999999999999993</v>
      </c>
      <c r="I283" s="9">
        <f>H283*D283</f>
        <v>9.1999999999999993</v>
      </c>
      <c r="J283" s="41" t="s">
        <v>1004</v>
      </c>
      <c r="K283" s="43">
        <f>Table_246[[#This Row],[Valor da 
venda]]-Table_246[[#This Row],[Valor gasto]]</f>
        <v>9.1999999999999993</v>
      </c>
      <c r="L283" s="45" t="s">
        <v>15</v>
      </c>
      <c r="P283" s="160"/>
      <c r="Q283"/>
      <c r="R283" s="160"/>
      <c r="V283"/>
    </row>
    <row r="284" spans="1:22" ht="15" customHeight="1" x14ac:dyDescent="0.3">
      <c r="A284" s="21">
        <f>IF(Table_246[[#This Row],[Data]]="","",MONTH(Table_246[[#This Row],[Data]]))</f>
        <v>4</v>
      </c>
      <c r="B284" s="25">
        <v>46130</v>
      </c>
      <c r="C284" s="84" t="s">
        <v>1114</v>
      </c>
      <c r="D284" s="36">
        <v>2</v>
      </c>
      <c r="E284" s="41" t="s">
        <v>1942</v>
      </c>
      <c r="F284" s="42" t="str">
        <f>IFERROR(VLOOKUP(C284,#REF!,5,0),"0")</f>
        <v>0</v>
      </c>
      <c r="G284" s="9">
        <f>Table_246[[#This Row],[QT]]*Table_246[[#This Row],[Custo 
Un]]</f>
        <v>0</v>
      </c>
      <c r="H284" s="45">
        <v>9.1999999999999993</v>
      </c>
      <c r="I284" s="9">
        <f>H284*D284</f>
        <v>18.399999999999999</v>
      </c>
      <c r="J284" s="41" t="s">
        <v>1004</v>
      </c>
      <c r="K284" s="43">
        <f>Table_246[[#This Row],[Valor da 
venda]]-Table_246[[#This Row],[Valor gasto]]</f>
        <v>18.399999999999999</v>
      </c>
      <c r="L284" s="45" t="s">
        <v>981</v>
      </c>
      <c r="P284" s="160"/>
      <c r="Q284"/>
      <c r="R284" s="160"/>
      <c r="V284"/>
    </row>
    <row r="285" spans="1:22" ht="15" customHeight="1" x14ac:dyDescent="0.3">
      <c r="A285" s="21">
        <f>IF(Table_246[[#This Row],[Data]]="","",MONTH(Table_246[[#This Row],[Data]]))</f>
        <v>4</v>
      </c>
      <c r="B285" s="25">
        <v>46130</v>
      </c>
      <c r="C285" s="84" t="s">
        <v>1114</v>
      </c>
      <c r="D285" s="36">
        <v>1</v>
      </c>
      <c r="E285" s="41" t="s">
        <v>1943</v>
      </c>
      <c r="F285" s="42" t="str">
        <f>IFERROR(VLOOKUP(C285,#REF!,5,0),"0")</f>
        <v>0</v>
      </c>
      <c r="G285" s="9">
        <f>Table_246[[#This Row],[QT]]*Table_246[[#This Row],[Custo 
Un]]</f>
        <v>0</v>
      </c>
      <c r="H285" s="45">
        <v>9.1999999999999993</v>
      </c>
      <c r="I285" s="9">
        <f>H285*D285</f>
        <v>9.1999999999999993</v>
      </c>
      <c r="J285" s="41" t="s">
        <v>1004</v>
      </c>
      <c r="K285" s="43">
        <f>Table_246[[#This Row],[Valor da 
venda]]-Table_246[[#This Row],[Valor gasto]]</f>
        <v>9.1999999999999993</v>
      </c>
      <c r="L285" s="45" t="s">
        <v>981</v>
      </c>
      <c r="P285" s="160"/>
      <c r="Q285"/>
      <c r="R285" s="160"/>
      <c r="V285"/>
    </row>
    <row r="286" spans="1:22" ht="15" customHeight="1" x14ac:dyDescent="0.3">
      <c r="A286" s="21">
        <f>IF(Table_246[[#This Row],[Data]]="","",MONTH(Table_246[[#This Row],[Data]]))</f>
        <v>4</v>
      </c>
      <c r="B286" s="25">
        <v>46130</v>
      </c>
      <c r="C286" s="84" t="s">
        <v>90</v>
      </c>
      <c r="D286" s="36">
        <v>1</v>
      </c>
      <c r="E286" s="41" t="s">
        <v>996</v>
      </c>
      <c r="F286" s="42" t="str">
        <f>IFERROR(VLOOKUP(C286,#REF!,5,0),"0")</f>
        <v>0</v>
      </c>
      <c r="G286" s="9">
        <f>Table_246[[#This Row],[QT]]*Table_246[[#This Row],[Custo 
Un]]</f>
        <v>0</v>
      </c>
      <c r="H286" s="45">
        <v>15</v>
      </c>
      <c r="I286" s="9">
        <f>H286*D286</f>
        <v>15</v>
      </c>
      <c r="J286" s="41" t="s">
        <v>545</v>
      </c>
      <c r="K286" s="43">
        <f>Table_246[[#This Row],[Valor da 
venda]]-Table_246[[#This Row],[Valor gasto]]</f>
        <v>15</v>
      </c>
      <c r="L286" s="45" t="s">
        <v>15</v>
      </c>
      <c r="P286" s="160"/>
      <c r="Q286"/>
      <c r="R286" s="160"/>
      <c r="V286"/>
    </row>
    <row r="287" spans="1:22" ht="15" customHeight="1" x14ac:dyDescent="0.3">
      <c r="A287" s="21">
        <f>IF(Table_246[[#This Row],[Data]]="","",MONTH(Table_246[[#This Row],[Data]]))</f>
        <v>4</v>
      </c>
      <c r="B287" s="25">
        <v>46132</v>
      </c>
      <c r="C287" s="29" t="s">
        <v>1787</v>
      </c>
      <c r="D287" s="36">
        <v>1</v>
      </c>
      <c r="E287" s="41" t="s">
        <v>996</v>
      </c>
      <c r="F287" s="42" t="str">
        <f>IFERROR(VLOOKUP(C287,#REF!,5,0),"0")</f>
        <v>0</v>
      </c>
      <c r="G287" s="9">
        <f>Table_246[[#This Row],[QT]]*Table_246[[#This Row],[Custo 
Un]]</f>
        <v>0</v>
      </c>
      <c r="H287" s="45">
        <v>70</v>
      </c>
      <c r="I287" s="9">
        <f>H287*D287</f>
        <v>70</v>
      </c>
      <c r="J287" s="41" t="s">
        <v>545</v>
      </c>
      <c r="K287" s="43">
        <f>Table_246[[#This Row],[Valor da 
venda]]-Table_246[[#This Row],[Valor gasto]]</f>
        <v>70</v>
      </c>
      <c r="L287" s="45" t="s">
        <v>15</v>
      </c>
      <c r="P287" s="160"/>
      <c r="Q287"/>
      <c r="R287" s="160"/>
      <c r="V287"/>
    </row>
    <row r="288" spans="1:22" ht="15" customHeight="1" x14ac:dyDescent="0.3">
      <c r="A288" s="21">
        <f>IF(Table_246[[#This Row],[Data]]="","",MONTH(Table_246[[#This Row],[Data]]))</f>
        <v>4</v>
      </c>
      <c r="B288" s="25">
        <v>46132</v>
      </c>
      <c r="C288" s="29" t="s">
        <v>1944</v>
      </c>
      <c r="D288" s="36">
        <v>1</v>
      </c>
      <c r="E288" s="41" t="s">
        <v>996</v>
      </c>
      <c r="F288" s="42">
        <v>50</v>
      </c>
      <c r="G288" s="9">
        <f>Table_246[[#This Row],[QT]]*Table_246[[#This Row],[Custo 
Un]]</f>
        <v>50</v>
      </c>
      <c r="H288" s="45">
        <v>70</v>
      </c>
      <c r="I288" s="9">
        <f>H288*D288</f>
        <v>70</v>
      </c>
      <c r="J288" s="41" t="s">
        <v>545</v>
      </c>
      <c r="K288" s="43">
        <f>Table_246[[#This Row],[Valor da 
venda]]-Table_246[[#This Row],[Valor gasto]]</f>
        <v>20</v>
      </c>
      <c r="L288" s="45" t="s">
        <v>15</v>
      </c>
      <c r="P288" s="160"/>
      <c r="Q288"/>
      <c r="R288" s="160"/>
      <c r="V288"/>
    </row>
    <row r="289" spans="1:22" ht="15" customHeight="1" x14ac:dyDescent="0.3">
      <c r="A289" s="21">
        <f>IF(Table_246[[#This Row],[Data]]="","",MONTH(Table_246[[#This Row],[Data]]))</f>
        <v>4</v>
      </c>
      <c r="B289" s="25">
        <v>46132</v>
      </c>
      <c r="C289" s="29" t="s">
        <v>1060</v>
      </c>
      <c r="D289" s="36">
        <v>6</v>
      </c>
      <c r="E289" s="41" t="s">
        <v>996</v>
      </c>
      <c r="F289" s="42" t="str">
        <f>IFERROR(VLOOKUP(C289,#REF!,5,0),"0")</f>
        <v>0</v>
      </c>
      <c r="G289" s="9">
        <f>Table_246[[#This Row],[QT]]*Table_246[[#This Row],[Custo 
Un]]</f>
        <v>0</v>
      </c>
      <c r="H289" s="45">
        <v>5</v>
      </c>
      <c r="I289" s="9">
        <f>H289*D289</f>
        <v>30</v>
      </c>
      <c r="J289" s="41" t="s">
        <v>545</v>
      </c>
      <c r="K289" s="43">
        <f>Table_246[[#This Row],[Valor da 
venda]]-Table_246[[#This Row],[Valor gasto]]</f>
        <v>30</v>
      </c>
      <c r="L289" s="45" t="s">
        <v>15</v>
      </c>
      <c r="P289" s="160"/>
      <c r="Q289"/>
      <c r="R289" s="160"/>
      <c r="V289"/>
    </row>
    <row r="290" spans="1:22" ht="15" customHeight="1" x14ac:dyDescent="0.3">
      <c r="A290" s="21">
        <f>IF(Table_246[[#This Row],[Data]]="","",MONTH(Table_246[[#This Row],[Data]]))</f>
        <v>4</v>
      </c>
      <c r="B290" s="25">
        <v>46132</v>
      </c>
      <c r="C290" s="29" t="s">
        <v>1791</v>
      </c>
      <c r="D290" s="36">
        <v>1</v>
      </c>
      <c r="E290" s="41" t="s">
        <v>1945</v>
      </c>
      <c r="F290" s="42">
        <v>600</v>
      </c>
      <c r="G290" s="9">
        <f>Table_246[[#This Row],[QT]]*Table_246[[#This Row],[Custo 
Un]]</f>
        <v>600</v>
      </c>
      <c r="H290" s="45">
        <v>646.4</v>
      </c>
      <c r="I290" s="9">
        <f>H290*D290</f>
        <v>646.4</v>
      </c>
      <c r="J290" s="41" t="s">
        <v>17</v>
      </c>
      <c r="K290" s="43">
        <f>Table_246[[#This Row],[Valor da 
venda]]-Table_246[[#This Row],[Valor gasto]]</f>
        <v>46.399999999999977</v>
      </c>
      <c r="L290" s="45" t="s">
        <v>15</v>
      </c>
      <c r="P290" s="160"/>
      <c r="Q290"/>
      <c r="R290" s="160"/>
      <c r="V290"/>
    </row>
    <row r="291" spans="1:22" ht="15" customHeight="1" x14ac:dyDescent="0.3">
      <c r="A291" s="21">
        <f>IF(Table_246[[#This Row],[Data]]="","",MONTH(Table_246[[#This Row],[Data]]))</f>
        <v>4</v>
      </c>
      <c r="B291" s="25">
        <v>46132</v>
      </c>
      <c r="C291" s="29" t="s">
        <v>1791</v>
      </c>
      <c r="D291" s="36">
        <v>1</v>
      </c>
      <c r="E291" s="41" t="s">
        <v>1947</v>
      </c>
      <c r="F291" s="42">
        <v>600</v>
      </c>
      <c r="G291" s="9">
        <f>Table_246[[#This Row],[QT]]*Table_246[[#This Row],[Custo 
Un]]</f>
        <v>600</v>
      </c>
      <c r="H291" s="45">
        <v>646.4</v>
      </c>
      <c r="I291" s="9">
        <f>H291*D291</f>
        <v>646.4</v>
      </c>
      <c r="J291" s="41" t="s">
        <v>17</v>
      </c>
      <c r="K291" s="43">
        <f>Table_246[[#This Row],[Valor da 
venda]]-Table_246[[#This Row],[Valor gasto]]</f>
        <v>46.399999999999977</v>
      </c>
      <c r="L291" s="45" t="s">
        <v>15</v>
      </c>
      <c r="P291" s="160"/>
      <c r="Q291"/>
      <c r="R291" s="160"/>
      <c r="V291"/>
    </row>
    <row r="292" spans="1:22" ht="15" customHeight="1" x14ac:dyDescent="0.3">
      <c r="A292" s="21">
        <f>IF(Table_246[[#This Row],[Data]]="","",MONTH(Table_246[[#This Row],[Data]]))</f>
        <v>4</v>
      </c>
      <c r="B292" s="25">
        <v>46132</v>
      </c>
      <c r="C292" s="29" t="s">
        <v>1791</v>
      </c>
      <c r="D292" s="36">
        <v>1</v>
      </c>
      <c r="E292" s="41" t="s">
        <v>1948</v>
      </c>
      <c r="F292" s="42">
        <v>600</v>
      </c>
      <c r="G292" s="9">
        <f>Table_246[[#This Row],[QT]]*Table_246[[#This Row],[Custo 
Un]]</f>
        <v>600</v>
      </c>
      <c r="H292" s="45">
        <v>642.29</v>
      </c>
      <c r="I292" s="9">
        <f>H292*D292</f>
        <v>642.29</v>
      </c>
      <c r="J292" s="41" t="s">
        <v>17</v>
      </c>
      <c r="K292" s="43">
        <f>Table_246[[#This Row],[Valor da 
venda]]-Table_246[[#This Row],[Valor gasto]]</f>
        <v>42.289999999999964</v>
      </c>
      <c r="L292" s="45" t="s">
        <v>15</v>
      </c>
      <c r="P292" s="160"/>
      <c r="Q292"/>
      <c r="R292" s="160"/>
      <c r="V292"/>
    </row>
    <row r="293" spans="1:22" ht="15" customHeight="1" x14ac:dyDescent="0.3">
      <c r="A293" s="21">
        <f>IF(Table_246[[#This Row],[Data]]="","",MONTH(Table_246[[#This Row],[Data]]))</f>
        <v>4</v>
      </c>
      <c r="B293" s="25">
        <v>46132</v>
      </c>
      <c r="C293" s="84" t="s">
        <v>1035</v>
      </c>
      <c r="D293" s="36">
        <v>1</v>
      </c>
      <c r="E293" s="41" t="s">
        <v>1946</v>
      </c>
      <c r="F293" s="42" t="str">
        <f>IFERROR(VLOOKUP(C293,#REF!,5,0),"0")</f>
        <v>0</v>
      </c>
      <c r="G293" s="9">
        <f>Table_246[[#This Row],[QT]]*Table_246[[#This Row],[Custo 
Un]]</f>
        <v>0</v>
      </c>
      <c r="H293" s="45">
        <v>5.5</v>
      </c>
      <c r="I293" s="9">
        <f>H293*D293</f>
        <v>5.5</v>
      </c>
      <c r="J293" s="41" t="s">
        <v>17</v>
      </c>
      <c r="K293" s="43">
        <f>Table_246[[#This Row],[Valor da 
venda]]-Table_246[[#This Row],[Valor gasto]]</f>
        <v>5.5</v>
      </c>
      <c r="L293" s="45" t="s">
        <v>15</v>
      </c>
      <c r="P293" s="160"/>
      <c r="Q293"/>
      <c r="R293" s="160"/>
      <c r="V293"/>
    </row>
    <row r="294" spans="1:22" ht="15" customHeight="1" x14ac:dyDescent="0.3">
      <c r="A294" s="21">
        <f>IF(Table_246[[#This Row],[Data]]="","",MONTH(Table_246[[#This Row],[Data]]))</f>
        <v>4</v>
      </c>
      <c r="B294" s="25">
        <v>46132</v>
      </c>
      <c r="C294" s="84" t="s">
        <v>1035</v>
      </c>
      <c r="D294" s="36">
        <v>1</v>
      </c>
      <c r="E294" s="41" t="s">
        <v>1950</v>
      </c>
      <c r="F294" s="42" t="str">
        <f>IFERROR(VLOOKUP(C294,#REF!,5,0),"0")</f>
        <v>0</v>
      </c>
      <c r="G294" s="9">
        <f>Table_246[[#This Row],[QT]]*Table_246[[#This Row],[Custo 
Un]]</f>
        <v>0</v>
      </c>
      <c r="H294" s="45">
        <v>5.5</v>
      </c>
      <c r="I294" s="9">
        <f>H294*D294</f>
        <v>5.5</v>
      </c>
      <c r="J294" s="41" t="s">
        <v>17</v>
      </c>
      <c r="K294" s="43">
        <f>Table_246[[#This Row],[Valor da 
venda]]-Table_246[[#This Row],[Valor gasto]]</f>
        <v>5.5</v>
      </c>
      <c r="L294" s="45" t="s">
        <v>15</v>
      </c>
      <c r="P294" s="160"/>
      <c r="Q294"/>
      <c r="R294" s="160"/>
      <c r="V294"/>
    </row>
    <row r="295" spans="1:22" ht="15" customHeight="1" x14ac:dyDescent="0.3">
      <c r="A295" s="21">
        <f>IF(Table_246[[#This Row],[Data]]="","",MONTH(Table_246[[#This Row],[Data]]))</f>
        <v>4</v>
      </c>
      <c r="B295" s="25">
        <v>46132</v>
      </c>
      <c r="C295" s="84" t="s">
        <v>1035</v>
      </c>
      <c r="D295" s="36">
        <v>1</v>
      </c>
      <c r="E295" s="41" t="s">
        <v>1949</v>
      </c>
      <c r="F295" s="42" t="str">
        <f>IFERROR(VLOOKUP(C295,#REF!,5,0),"0")</f>
        <v>0</v>
      </c>
      <c r="G295" s="9">
        <f>Table_246[[#This Row],[QT]]*Table_246[[#This Row],[Custo 
Un]]</f>
        <v>0</v>
      </c>
      <c r="H295" s="45">
        <v>5.5</v>
      </c>
      <c r="I295" s="9">
        <f>H295*D295</f>
        <v>5.5</v>
      </c>
      <c r="J295" s="41" t="s">
        <v>17</v>
      </c>
      <c r="K295" s="43">
        <f>Table_246[[#This Row],[Valor da 
venda]]-Table_246[[#This Row],[Valor gasto]]</f>
        <v>5.5</v>
      </c>
      <c r="L295" s="45" t="s">
        <v>15</v>
      </c>
      <c r="P295" s="160"/>
      <c r="Q295"/>
      <c r="R295" s="160"/>
      <c r="V295"/>
    </row>
    <row r="296" spans="1:22" ht="15" customHeight="1" x14ac:dyDescent="0.3">
      <c r="A296" s="21">
        <f>IF(Table_246[[#This Row],[Data]]="","",MONTH(Table_246[[#This Row],[Data]]))</f>
        <v>4</v>
      </c>
      <c r="B296" s="25">
        <v>46133</v>
      </c>
      <c r="C296" s="29" t="s">
        <v>1951</v>
      </c>
      <c r="D296" s="36">
        <v>1</v>
      </c>
      <c r="E296" s="41" t="s">
        <v>996</v>
      </c>
      <c r="F296" s="42">
        <v>5.5</v>
      </c>
      <c r="G296" s="9">
        <f>Table_246[[#This Row],[QT]]*Table_246[[#This Row],[Custo 
Un]]</f>
        <v>5.5</v>
      </c>
      <c r="H296" s="45">
        <v>20</v>
      </c>
      <c r="I296" s="9">
        <f>H296*D296</f>
        <v>20</v>
      </c>
      <c r="J296" s="41" t="s">
        <v>545</v>
      </c>
      <c r="K296" s="43">
        <f>Table_246[[#This Row],[Valor da 
venda]]-Table_246[[#This Row],[Valor gasto]]</f>
        <v>14.5</v>
      </c>
      <c r="L296" s="45" t="s">
        <v>15</v>
      </c>
      <c r="P296" s="160"/>
      <c r="Q296"/>
      <c r="R296" s="160"/>
      <c r="V296"/>
    </row>
    <row r="297" spans="1:22" ht="15" customHeight="1" x14ac:dyDescent="0.3">
      <c r="A297" s="21">
        <f>IF(Table_246[[#This Row],[Data]]="","",MONTH(Table_246[[#This Row],[Data]]))</f>
        <v>4</v>
      </c>
      <c r="B297" s="25">
        <v>46134</v>
      </c>
      <c r="C297" s="29" t="s">
        <v>1952</v>
      </c>
      <c r="D297" s="36">
        <v>1</v>
      </c>
      <c r="E297" s="41" t="s">
        <v>635</v>
      </c>
      <c r="F297" s="42">
        <v>19</v>
      </c>
      <c r="G297" s="9">
        <f>Table_246[[#This Row],[QT]]*Table_246[[#This Row],[Custo 
Un]]</f>
        <v>19</v>
      </c>
      <c r="H297" s="45">
        <v>35</v>
      </c>
      <c r="I297" s="9">
        <f>H297*D297</f>
        <v>35</v>
      </c>
      <c r="J297" s="41" t="s">
        <v>545</v>
      </c>
      <c r="K297" s="43">
        <f>Table_246[[#This Row],[Valor da 
venda]]-Table_246[[#This Row],[Valor gasto]]</f>
        <v>16</v>
      </c>
      <c r="L297" s="45" t="s">
        <v>15</v>
      </c>
      <c r="P297" s="160"/>
      <c r="Q297"/>
      <c r="R297" s="160"/>
      <c r="V297"/>
    </row>
    <row r="298" spans="1:22" ht="15" customHeight="1" x14ac:dyDescent="0.3">
      <c r="A298" s="21">
        <f>IF(Table_246[[#This Row],[Data]]="","",MONTH(Table_246[[#This Row],[Data]]))</f>
        <v>4</v>
      </c>
      <c r="B298" s="25">
        <v>46134</v>
      </c>
      <c r="C298" s="29" t="s">
        <v>1953</v>
      </c>
      <c r="D298" s="36">
        <v>1</v>
      </c>
      <c r="E298" s="41" t="s">
        <v>992</v>
      </c>
      <c r="F298" s="42">
        <v>5</v>
      </c>
      <c r="G298" s="9">
        <f>Table_246[[#This Row],[QT]]*Table_246[[#This Row],[Custo 
Un]]</f>
        <v>5</v>
      </c>
      <c r="H298" s="42">
        <v>15</v>
      </c>
      <c r="I298" s="9">
        <f>H298*D298</f>
        <v>15</v>
      </c>
      <c r="J298" s="41" t="s">
        <v>545</v>
      </c>
      <c r="K298" s="43">
        <f>Table_246[[#This Row],[Valor da 
venda]]-Table_246[[#This Row],[Valor gasto]]</f>
        <v>10</v>
      </c>
      <c r="L298" s="45" t="s">
        <v>15</v>
      </c>
      <c r="P298" s="160"/>
      <c r="Q298"/>
      <c r="R298" s="160"/>
      <c r="V298"/>
    </row>
    <row r="299" spans="1:22" ht="15" customHeight="1" x14ac:dyDescent="0.3">
      <c r="A299" s="21">
        <f>IF(Table_246[[#This Row],[Data]]="","",MONTH(Table_246[[#This Row],[Data]]))</f>
        <v>4</v>
      </c>
      <c r="B299" s="25">
        <v>46134</v>
      </c>
      <c r="C299" s="29" t="s">
        <v>1954</v>
      </c>
      <c r="D299" s="36">
        <v>1</v>
      </c>
      <c r="E299" s="41" t="s">
        <v>996</v>
      </c>
      <c r="F299" s="42">
        <v>0.7</v>
      </c>
      <c r="G299" s="9">
        <f>Table_246[[#This Row],[QT]]*Table_246[[#This Row],[Custo 
Un]]</f>
        <v>0.7</v>
      </c>
      <c r="H299" s="45">
        <v>2</v>
      </c>
      <c r="I299" s="9">
        <f>H299*D299</f>
        <v>2</v>
      </c>
      <c r="J299" s="41" t="s">
        <v>545</v>
      </c>
      <c r="K299" s="43">
        <f>Table_246[[#This Row],[Valor da 
venda]]-Table_246[[#This Row],[Valor gasto]]</f>
        <v>1.3</v>
      </c>
      <c r="L299" s="45" t="s">
        <v>15</v>
      </c>
      <c r="P299" s="160"/>
      <c r="Q299"/>
      <c r="R299" s="160"/>
      <c r="V299"/>
    </row>
    <row r="300" spans="1:22" ht="15" customHeight="1" x14ac:dyDescent="0.3">
      <c r="A300" s="21">
        <f>IF(Table_246[[#This Row],[Data]]="","",MONTH(Table_246[[#This Row],[Data]]))</f>
        <v>4</v>
      </c>
      <c r="B300" s="25">
        <v>46134</v>
      </c>
      <c r="C300" s="157" t="s">
        <v>1955</v>
      </c>
      <c r="D300" s="36">
        <v>1</v>
      </c>
      <c r="E300" s="41" t="s">
        <v>996</v>
      </c>
      <c r="F300" s="42">
        <v>10</v>
      </c>
      <c r="G300" s="9">
        <f>Table_246[[#This Row],[QT]]*Table_246[[#This Row],[Custo 
Un]]</f>
        <v>10</v>
      </c>
      <c r="H300" s="45">
        <v>20</v>
      </c>
      <c r="I300" s="9">
        <f>H300*D300</f>
        <v>20</v>
      </c>
      <c r="J300" s="41" t="s">
        <v>545</v>
      </c>
      <c r="K300" s="43">
        <f>Table_246[[#This Row],[Valor da 
venda]]-Table_246[[#This Row],[Valor gasto]]</f>
        <v>10</v>
      </c>
      <c r="L300" s="45" t="s">
        <v>15</v>
      </c>
      <c r="P300" s="160"/>
      <c r="Q300"/>
      <c r="R300" s="160"/>
      <c r="V300"/>
    </row>
    <row r="301" spans="1:22" ht="15" customHeight="1" x14ac:dyDescent="0.3">
      <c r="A301" s="21">
        <f>IF(Table_246[[#This Row],[Data]]="","",MONTH(Table_246[[#This Row],[Data]]))</f>
        <v>4</v>
      </c>
      <c r="B301" s="25">
        <v>46134</v>
      </c>
      <c r="C301" s="29" t="s">
        <v>1792</v>
      </c>
      <c r="D301" s="36">
        <v>1</v>
      </c>
      <c r="E301" s="41" t="s">
        <v>996</v>
      </c>
      <c r="F301" s="42">
        <v>4</v>
      </c>
      <c r="G301" s="9">
        <f>Table_246[[#This Row],[QT]]*Table_246[[#This Row],[Custo 
Un]]</f>
        <v>4</v>
      </c>
      <c r="H301" s="45">
        <v>10</v>
      </c>
      <c r="I301" s="9">
        <f>H301*D301</f>
        <v>10</v>
      </c>
      <c r="J301" s="41" t="s">
        <v>545</v>
      </c>
      <c r="K301" s="43">
        <f>Table_246[[#This Row],[Valor da 
venda]]-Table_246[[#This Row],[Valor gasto]]</f>
        <v>6</v>
      </c>
      <c r="L301" s="45" t="s">
        <v>15</v>
      </c>
      <c r="P301" s="160"/>
      <c r="Q301"/>
      <c r="R301" s="160"/>
      <c r="V301"/>
    </row>
    <row r="302" spans="1:22" ht="15" customHeight="1" x14ac:dyDescent="0.3">
      <c r="A302" s="21">
        <f>IF(Table_246[[#This Row],[Data]]="","",MONTH(Table_246[[#This Row],[Data]]))</f>
        <v>4</v>
      </c>
      <c r="B302" s="25">
        <v>46134</v>
      </c>
      <c r="C302" s="29" t="s">
        <v>1956</v>
      </c>
      <c r="D302" s="36">
        <v>1</v>
      </c>
      <c r="E302" s="41" t="s">
        <v>1823</v>
      </c>
      <c r="F302" s="42">
        <f>30*5</f>
        <v>150</v>
      </c>
      <c r="G302" s="9">
        <f>Table_246[[#This Row],[QT]]*Table_246[[#This Row],[Custo 
Un]]</f>
        <v>150</v>
      </c>
      <c r="H302" s="45">
        <v>235</v>
      </c>
      <c r="I302" s="9">
        <f>H302*D302</f>
        <v>235</v>
      </c>
      <c r="J302" s="41" t="s">
        <v>545</v>
      </c>
      <c r="K302" s="43">
        <f>Table_246[[#This Row],[Valor da 
venda]]-Table_246[[#This Row],[Valor gasto]]</f>
        <v>85</v>
      </c>
      <c r="L302" s="45" t="s">
        <v>15</v>
      </c>
      <c r="P302" s="160"/>
      <c r="Q302"/>
      <c r="R302" s="160"/>
      <c r="V302"/>
    </row>
    <row r="303" spans="1:22" ht="15" customHeight="1" x14ac:dyDescent="0.3">
      <c r="A303" s="21">
        <f>IF(Table_246[[#This Row],[Data]]="","",MONTH(Table_246[[#This Row],[Data]]))</f>
        <v>5</v>
      </c>
      <c r="B303" s="25">
        <v>46143</v>
      </c>
      <c r="C303" s="29" t="s">
        <v>1957</v>
      </c>
      <c r="D303" s="36">
        <v>1</v>
      </c>
      <c r="E303" s="41" t="s">
        <v>1934</v>
      </c>
      <c r="F303" s="42">
        <v>20</v>
      </c>
      <c r="G303" s="9">
        <f>Table_246[[#This Row],[QT]]*Table_246[[#This Row],[Custo 
Un]]</f>
        <v>20</v>
      </c>
      <c r="H303" s="45">
        <v>35</v>
      </c>
      <c r="I303" s="9">
        <f>H303*D303</f>
        <v>35</v>
      </c>
      <c r="J303" s="41" t="s">
        <v>545</v>
      </c>
      <c r="K303" s="43">
        <f>Table_246[[#This Row],[Valor da 
venda]]-Table_246[[#This Row],[Valor gasto]]</f>
        <v>15</v>
      </c>
      <c r="L303" s="45" t="s">
        <v>15</v>
      </c>
      <c r="P303" s="160"/>
      <c r="Q303"/>
      <c r="R303" s="160"/>
      <c r="V303"/>
    </row>
    <row r="304" spans="1:22" ht="15" customHeight="1" x14ac:dyDescent="0.3">
      <c r="A304" s="21">
        <f>IF(Table_246[[#This Row],[Data]]="","",MONTH(Table_246[[#This Row],[Data]]))</f>
        <v>5</v>
      </c>
      <c r="B304" s="25">
        <v>46144</v>
      </c>
      <c r="C304" s="29" t="s">
        <v>1958</v>
      </c>
      <c r="D304" s="36">
        <v>3</v>
      </c>
      <c r="E304" s="41" t="s">
        <v>996</v>
      </c>
      <c r="F304" s="42" t="str">
        <f>IFERROR(VLOOKUP(C304,#REF!,5,0),"0")</f>
        <v>0</v>
      </c>
      <c r="G304" s="9">
        <f>Table_246[[#This Row],[QT]]*Table_246[[#This Row],[Custo 
Un]]</f>
        <v>0</v>
      </c>
      <c r="H304" s="45">
        <v>10</v>
      </c>
      <c r="I304" s="9">
        <f>H304*D304</f>
        <v>30</v>
      </c>
      <c r="J304" s="41" t="s">
        <v>545</v>
      </c>
      <c r="K304" s="43">
        <f>Table_246[[#This Row],[Valor da 
venda]]-Table_246[[#This Row],[Valor gasto]]</f>
        <v>30</v>
      </c>
      <c r="L304" s="45" t="s">
        <v>15</v>
      </c>
      <c r="P304" s="160"/>
      <c r="Q304"/>
      <c r="R304" s="160"/>
      <c r="V304"/>
    </row>
    <row r="305" spans="1:22" ht="15" customHeight="1" x14ac:dyDescent="0.3">
      <c r="A305" s="21">
        <f>IF(Table_246[[#This Row],[Data]]="","",MONTH(Table_246[[#This Row],[Data]]))</f>
        <v>5</v>
      </c>
      <c r="B305" s="25">
        <v>46145</v>
      </c>
      <c r="C305" s="29" t="s">
        <v>139</v>
      </c>
      <c r="D305" s="36">
        <v>1</v>
      </c>
      <c r="E305" s="41" t="s">
        <v>996</v>
      </c>
      <c r="F305" s="42" t="str">
        <f>IFERROR(VLOOKUP(C305,#REF!,5,0),"0")</f>
        <v>0</v>
      </c>
      <c r="G305" s="9">
        <f>Table_246[[#This Row],[QT]]*Table_246[[#This Row],[Custo 
Un]]</f>
        <v>0</v>
      </c>
      <c r="H305" s="45">
        <v>1</v>
      </c>
      <c r="I305" s="9">
        <f>H305*D305</f>
        <v>1</v>
      </c>
      <c r="J305" s="41" t="s">
        <v>545</v>
      </c>
      <c r="K305" s="43">
        <f>Table_246[[#This Row],[Valor da 
venda]]-Table_246[[#This Row],[Valor gasto]]</f>
        <v>1</v>
      </c>
      <c r="L305" s="45" t="s">
        <v>15</v>
      </c>
      <c r="P305" s="160"/>
      <c r="Q305"/>
      <c r="R305" s="160"/>
      <c r="V305"/>
    </row>
    <row r="306" spans="1:22" ht="15" customHeight="1" x14ac:dyDescent="0.3">
      <c r="A306" s="21">
        <f>IF(Table_246[[#This Row],[Data]]="","",MONTH(Table_246[[#This Row],[Data]]))</f>
        <v>5</v>
      </c>
      <c r="B306" s="25">
        <v>46146</v>
      </c>
      <c r="C306" s="84" t="s">
        <v>1035</v>
      </c>
      <c r="D306" s="36">
        <v>1</v>
      </c>
      <c r="E306" s="41" t="s">
        <v>1959</v>
      </c>
      <c r="F306" s="42" t="str">
        <f>IFERROR(VLOOKUP(C306,#REF!,5,0),"0")</f>
        <v>0</v>
      </c>
      <c r="G306" s="9">
        <f>Table_246[[#This Row],[QT]]*Table_246[[#This Row],[Custo 
Un]]</f>
        <v>0</v>
      </c>
      <c r="H306" s="45">
        <v>9.1300000000000008</v>
      </c>
      <c r="I306" s="9">
        <f>H306*D306</f>
        <v>9.1300000000000008</v>
      </c>
      <c r="J306" s="41" t="s">
        <v>17</v>
      </c>
      <c r="K306" s="43">
        <f>Table_246[[#This Row],[Valor da 
venda]]-Table_246[[#This Row],[Valor gasto]]</f>
        <v>9.1300000000000008</v>
      </c>
      <c r="L306" s="45" t="s">
        <v>15</v>
      </c>
      <c r="P306" s="160"/>
      <c r="Q306"/>
      <c r="R306" s="160"/>
      <c r="V306"/>
    </row>
    <row r="307" spans="1:22" ht="15" customHeight="1" x14ac:dyDescent="0.3">
      <c r="A307" s="21">
        <f>IF(Table_246[[#This Row],[Data]]="","",MONTH(Table_246[[#This Row],[Data]]))</f>
        <v>5</v>
      </c>
      <c r="B307" s="25">
        <v>46147</v>
      </c>
      <c r="C307" s="29" t="s">
        <v>1791</v>
      </c>
      <c r="D307" s="36">
        <v>1</v>
      </c>
      <c r="E307" s="41" t="s">
        <v>1960</v>
      </c>
      <c r="F307" s="42">
        <v>600</v>
      </c>
      <c r="G307" s="9">
        <f>Table_246[[#This Row],[QT]]*Table_246[[#This Row],[Custo 
Un]]</f>
        <v>600</v>
      </c>
      <c r="H307" s="45">
        <v>638.20000000000005</v>
      </c>
      <c r="I307" s="9">
        <f>H307*D307</f>
        <v>638.20000000000005</v>
      </c>
      <c r="J307" s="41" t="s">
        <v>17</v>
      </c>
      <c r="K307" s="43">
        <f>Table_246[[#This Row],[Valor da 
venda]]-Table_246[[#This Row],[Valor gasto]]</f>
        <v>38.200000000000045</v>
      </c>
      <c r="L307" s="45" t="s">
        <v>15</v>
      </c>
      <c r="P307" s="160"/>
      <c r="Q307"/>
      <c r="R307" s="160"/>
      <c r="V307"/>
    </row>
    <row r="308" spans="1:22" ht="15" customHeight="1" x14ac:dyDescent="0.3">
      <c r="A308" s="21">
        <f>IF(Table_246[[#This Row],[Data]]="","",MONTH(Table_246[[#This Row],[Data]]))</f>
        <v>5</v>
      </c>
      <c r="B308" s="25">
        <v>46147</v>
      </c>
      <c r="C308" s="29" t="s">
        <v>987</v>
      </c>
      <c r="D308" s="36">
        <v>1</v>
      </c>
      <c r="E308" s="41" t="s">
        <v>1961</v>
      </c>
      <c r="F308" s="42">
        <v>15</v>
      </c>
      <c r="G308" s="9">
        <f>Table_246[[#This Row],[QT]]*Table_246[[#This Row],[Custo 
Un]]</f>
        <v>15</v>
      </c>
      <c r="H308" s="45">
        <v>18.489999999999998</v>
      </c>
      <c r="I308" s="9">
        <f>H308*D308</f>
        <v>18.489999999999998</v>
      </c>
      <c r="J308" s="41" t="s">
        <v>17</v>
      </c>
      <c r="K308" s="43">
        <f>Table_246[[#This Row],[Valor da 
venda]]-Table_246[[#This Row],[Valor gasto]]</f>
        <v>3.4899999999999984</v>
      </c>
      <c r="L308" s="45" t="s">
        <v>15</v>
      </c>
      <c r="P308" s="160"/>
      <c r="Q308"/>
      <c r="R308" s="160"/>
      <c r="V308"/>
    </row>
    <row r="309" spans="1:22" ht="15" customHeight="1" x14ac:dyDescent="0.3">
      <c r="A309" s="21">
        <f>IF(Table_246[[#This Row],[Data]]="","",MONTH(Table_246[[#This Row],[Data]]))</f>
        <v>5</v>
      </c>
      <c r="B309" s="25">
        <v>46147</v>
      </c>
      <c r="C309" s="84" t="s">
        <v>1035</v>
      </c>
      <c r="D309" s="36">
        <v>1</v>
      </c>
      <c r="E309" s="41" t="s">
        <v>1962</v>
      </c>
      <c r="F309" s="42" t="str">
        <f>IFERROR(VLOOKUP(C309,#REF!,5,0),"0")</f>
        <v>0</v>
      </c>
      <c r="G309" s="9">
        <f>Table_246[[#This Row],[QT]]*Table_246[[#This Row],[Custo 
Un]]</f>
        <v>0</v>
      </c>
      <c r="H309" s="45">
        <v>9.1300000000000008</v>
      </c>
      <c r="I309" s="9">
        <f>H309*D309</f>
        <v>9.1300000000000008</v>
      </c>
      <c r="J309" s="41" t="s">
        <v>17</v>
      </c>
      <c r="K309" s="43">
        <f>Table_246[[#This Row],[Valor da 
venda]]-Table_246[[#This Row],[Valor gasto]]</f>
        <v>9.1300000000000008</v>
      </c>
      <c r="L309" s="45" t="s">
        <v>15</v>
      </c>
      <c r="P309" s="160"/>
      <c r="Q309"/>
      <c r="R309" s="160"/>
      <c r="V309"/>
    </row>
    <row r="310" spans="1:22" ht="15" customHeight="1" x14ac:dyDescent="0.3">
      <c r="A310" s="21">
        <f>IF(Table_246[[#This Row],[Data]]="","",MONTH(Table_246[[#This Row],[Data]]))</f>
        <v>5</v>
      </c>
      <c r="B310" s="25">
        <v>46147</v>
      </c>
      <c r="C310" s="84" t="s">
        <v>1035</v>
      </c>
      <c r="D310" s="36">
        <v>1</v>
      </c>
      <c r="E310" s="41" t="s">
        <v>1963</v>
      </c>
      <c r="F310" s="42" t="str">
        <f>IFERROR(VLOOKUP(C310,#REF!,5,0),"0")</f>
        <v>0</v>
      </c>
      <c r="G310" s="9">
        <f>Table_246[[#This Row],[QT]]*Table_246[[#This Row],[Custo 
Un]]</f>
        <v>0</v>
      </c>
      <c r="H310" s="45">
        <v>9.1300000000000008</v>
      </c>
      <c r="I310" s="9">
        <f>H310*D310</f>
        <v>9.1300000000000008</v>
      </c>
      <c r="J310" s="41" t="s">
        <v>17</v>
      </c>
      <c r="K310" s="43">
        <f>Table_246[[#This Row],[Valor da 
venda]]-Table_246[[#This Row],[Valor gasto]]</f>
        <v>9.1300000000000008</v>
      </c>
      <c r="L310" s="45" t="s">
        <v>15</v>
      </c>
      <c r="P310" s="160"/>
      <c r="Q310"/>
      <c r="R310" s="160"/>
      <c r="V310"/>
    </row>
    <row r="311" spans="1:22" ht="15" customHeight="1" x14ac:dyDescent="0.3">
      <c r="A311" s="21">
        <f>IF(Table_246[[#This Row],[Data]]="","",MONTH(Table_246[[#This Row],[Data]]))</f>
        <v>5</v>
      </c>
      <c r="B311" s="25">
        <v>46147</v>
      </c>
      <c r="C311" s="84" t="s">
        <v>1035</v>
      </c>
      <c r="D311" s="36">
        <v>1</v>
      </c>
      <c r="E311" s="41" t="s">
        <v>1964</v>
      </c>
      <c r="F311" s="42" t="str">
        <f>IFERROR(VLOOKUP(C311,#REF!,5,0),"0")</f>
        <v>0</v>
      </c>
      <c r="G311" s="9">
        <f>Table_246[[#This Row],[QT]]*Table_246[[#This Row],[Custo 
Un]]</f>
        <v>0</v>
      </c>
      <c r="H311" s="45">
        <v>9.1300000000000008</v>
      </c>
      <c r="I311" s="9">
        <f>H311*D311</f>
        <v>9.1300000000000008</v>
      </c>
      <c r="J311" s="41" t="s">
        <v>17</v>
      </c>
      <c r="K311" s="43">
        <f>Table_246[[#This Row],[Valor da 
venda]]-Table_246[[#This Row],[Valor gasto]]</f>
        <v>9.1300000000000008</v>
      </c>
      <c r="L311" s="45" t="s">
        <v>15</v>
      </c>
      <c r="P311" s="160"/>
      <c r="Q311"/>
      <c r="R311" s="160"/>
      <c r="V311"/>
    </row>
    <row r="312" spans="1:22" ht="15" customHeight="1" x14ac:dyDescent="0.3">
      <c r="A312" s="21">
        <f>IF(Table_246[[#This Row],[Data]]="","",MONTH(Table_246[[#This Row],[Data]]))</f>
        <v>5</v>
      </c>
      <c r="B312" s="25">
        <v>46147</v>
      </c>
      <c r="C312" s="84" t="s">
        <v>1035</v>
      </c>
      <c r="D312" s="36">
        <v>1</v>
      </c>
      <c r="E312" s="41" t="s">
        <v>1965</v>
      </c>
      <c r="F312" s="42" t="str">
        <f>IFERROR(VLOOKUP(C312,#REF!,5,0),"0")</f>
        <v>0</v>
      </c>
      <c r="G312" s="9">
        <f>Table_246[[#This Row],[QT]]*Table_246[[#This Row],[Custo 
Un]]</f>
        <v>0</v>
      </c>
      <c r="H312" s="45">
        <v>9.1300000000000008</v>
      </c>
      <c r="I312" s="9">
        <f>H312*D312</f>
        <v>9.1300000000000008</v>
      </c>
      <c r="J312" s="41" t="s">
        <v>17</v>
      </c>
      <c r="K312" s="43">
        <f>Table_246[[#This Row],[Valor da 
venda]]-Table_246[[#This Row],[Valor gasto]]</f>
        <v>9.1300000000000008</v>
      </c>
      <c r="L312" s="45" t="s">
        <v>15</v>
      </c>
      <c r="P312" s="160"/>
      <c r="Q312"/>
      <c r="R312" s="160"/>
      <c r="V312"/>
    </row>
    <row r="313" spans="1:22" ht="15" customHeight="1" x14ac:dyDescent="0.3">
      <c r="A313" s="21">
        <f>IF(Table_246[[#This Row],[Data]]="","",MONTH(Table_246[[#This Row],[Data]]))</f>
        <v>5</v>
      </c>
      <c r="B313" s="25">
        <v>46147</v>
      </c>
      <c r="C313" s="29" t="s">
        <v>1080</v>
      </c>
      <c r="D313" s="36">
        <v>1</v>
      </c>
      <c r="E313" s="41" t="s">
        <v>1966</v>
      </c>
      <c r="F313" s="42" t="str">
        <f>IFERROR(VLOOKUP(C313,#REF!,5,0),"0")</f>
        <v>0</v>
      </c>
      <c r="G313" s="9">
        <f>Table_246[[#This Row],[QT]]*Table_246[[#This Row],[Custo 
Un]]</f>
        <v>0</v>
      </c>
      <c r="H313" s="45">
        <v>13.8</v>
      </c>
      <c r="I313" s="9">
        <f>H313*D313</f>
        <v>13.8</v>
      </c>
      <c r="J313" s="41" t="s">
        <v>17</v>
      </c>
      <c r="K313" s="43">
        <f>Table_246[[#This Row],[Valor da 
venda]]-Table_246[[#This Row],[Valor gasto]]</f>
        <v>13.8</v>
      </c>
      <c r="L313" s="45" t="s">
        <v>15</v>
      </c>
      <c r="P313" s="160"/>
      <c r="Q313"/>
      <c r="R313" s="160"/>
      <c r="V313"/>
    </row>
    <row r="314" spans="1:22" ht="15" customHeight="1" x14ac:dyDescent="0.3">
      <c r="A314" s="21">
        <f>IF(Table_246[[#This Row],[Data]]="","",MONTH(Table_246[[#This Row],[Data]]))</f>
        <v>5</v>
      </c>
      <c r="B314" s="25">
        <v>46147</v>
      </c>
      <c r="C314" s="29" t="s">
        <v>1080</v>
      </c>
      <c r="D314" s="36">
        <v>1</v>
      </c>
      <c r="E314" s="41" t="s">
        <v>1967</v>
      </c>
      <c r="F314" s="42" t="str">
        <f>IFERROR(VLOOKUP(C314,#REF!,5,0),"0")</f>
        <v>0</v>
      </c>
      <c r="G314" s="9">
        <f>Table_246[[#This Row],[QT]]*Table_246[[#This Row],[Custo 
Un]]</f>
        <v>0</v>
      </c>
      <c r="H314" s="45">
        <v>13.8</v>
      </c>
      <c r="I314" s="9">
        <f>H314*D314</f>
        <v>13.8</v>
      </c>
      <c r="J314" s="41" t="s">
        <v>17</v>
      </c>
      <c r="K314" s="43">
        <f>Table_246[[#This Row],[Valor da 
venda]]-Table_246[[#This Row],[Valor gasto]]</f>
        <v>13.8</v>
      </c>
      <c r="L314" s="45" t="s">
        <v>15</v>
      </c>
      <c r="P314" s="160"/>
      <c r="Q314"/>
      <c r="R314" s="160"/>
      <c r="V314"/>
    </row>
    <row r="315" spans="1:22" ht="15" customHeight="1" x14ac:dyDescent="0.3">
      <c r="A315" s="21">
        <f>IF(Table_246[[#This Row],[Data]]="","",MONTH(Table_246[[#This Row],[Data]]))</f>
        <v>5</v>
      </c>
      <c r="B315" s="25">
        <v>46147</v>
      </c>
      <c r="C315" s="84" t="s">
        <v>1035</v>
      </c>
      <c r="D315" s="36">
        <v>1</v>
      </c>
      <c r="E315" s="41" t="s">
        <v>1968</v>
      </c>
      <c r="F315" s="42" t="str">
        <f>IFERROR(VLOOKUP(C315,#REF!,5,0),"0")</f>
        <v>0</v>
      </c>
      <c r="G315" s="9">
        <f>Table_246[[#This Row],[QT]]*Table_246[[#This Row],[Custo 
Un]]</f>
        <v>0</v>
      </c>
      <c r="H315" s="45">
        <v>9.1300000000000008</v>
      </c>
      <c r="I315" s="9">
        <f>H315*D315</f>
        <v>9.1300000000000008</v>
      </c>
      <c r="J315" s="41" t="s">
        <v>17</v>
      </c>
      <c r="K315" s="43">
        <f>Table_246[[#This Row],[Valor da 
venda]]-Table_246[[#This Row],[Valor gasto]]</f>
        <v>9.1300000000000008</v>
      </c>
      <c r="L315" s="45" t="s">
        <v>15</v>
      </c>
      <c r="P315" s="160"/>
      <c r="Q315"/>
      <c r="R315" s="160"/>
      <c r="V315"/>
    </row>
    <row r="316" spans="1:22" ht="15" customHeight="1" x14ac:dyDescent="0.3">
      <c r="A316" s="21">
        <f>IF(Table_246[[#This Row],[Data]]="","",MONTH(Table_246[[#This Row],[Data]]))</f>
        <v>5</v>
      </c>
      <c r="B316" s="25">
        <v>46147</v>
      </c>
      <c r="C316" s="84" t="s">
        <v>1035</v>
      </c>
      <c r="D316" s="36">
        <v>1</v>
      </c>
      <c r="E316" s="41" t="s">
        <v>1969</v>
      </c>
      <c r="F316" s="42" t="str">
        <f>IFERROR(VLOOKUP(C316,#REF!,5,0),"0")</f>
        <v>0</v>
      </c>
      <c r="G316" s="9">
        <f>Table_246[[#This Row],[QT]]*Table_246[[#This Row],[Custo 
Un]]</f>
        <v>0</v>
      </c>
      <c r="H316" s="45">
        <v>9.1300000000000008</v>
      </c>
      <c r="I316" s="9">
        <f>H316*D316</f>
        <v>9.1300000000000008</v>
      </c>
      <c r="J316" s="41" t="s">
        <v>17</v>
      </c>
      <c r="K316" s="43">
        <f>Table_246[[#This Row],[Valor da 
venda]]-Table_246[[#This Row],[Valor gasto]]</f>
        <v>9.1300000000000008</v>
      </c>
      <c r="L316" s="45" t="s">
        <v>15</v>
      </c>
      <c r="P316" s="160"/>
      <c r="Q316"/>
      <c r="R316" s="160"/>
      <c r="V316"/>
    </row>
    <row r="317" spans="1:22" ht="15" customHeight="1" x14ac:dyDescent="0.3">
      <c r="A317" s="21">
        <f>IF(Table_246[[#This Row],[Data]]="","",MONTH(Table_246[[#This Row],[Data]]))</f>
        <v>5</v>
      </c>
      <c r="B317" s="25">
        <v>46147</v>
      </c>
      <c r="C317" s="84" t="s">
        <v>1035</v>
      </c>
      <c r="D317" s="36">
        <v>1</v>
      </c>
      <c r="E317" s="41" t="s">
        <v>1970</v>
      </c>
      <c r="F317" s="42" t="str">
        <f>IFERROR(VLOOKUP(C317,#REF!,5,0),"0")</f>
        <v>0</v>
      </c>
      <c r="G317" s="9">
        <f>Table_246[[#This Row],[QT]]*Table_246[[#This Row],[Custo 
Un]]</f>
        <v>0</v>
      </c>
      <c r="H317" s="45">
        <v>9.1300000000000008</v>
      </c>
      <c r="I317" s="9">
        <f>H317*D317</f>
        <v>9.1300000000000008</v>
      </c>
      <c r="J317" s="41" t="s">
        <v>17</v>
      </c>
      <c r="K317" s="43">
        <f>Table_246[[#This Row],[Valor da 
venda]]-Table_246[[#This Row],[Valor gasto]]</f>
        <v>9.1300000000000008</v>
      </c>
      <c r="L317" s="45" t="s">
        <v>15</v>
      </c>
      <c r="P317" s="160"/>
      <c r="Q317"/>
      <c r="R317" s="160"/>
      <c r="V317"/>
    </row>
    <row r="318" spans="1:22" ht="15" customHeight="1" x14ac:dyDescent="0.3">
      <c r="A318" s="21">
        <f>IF(Table_246[[#This Row],[Data]]="","",MONTH(Table_246[[#This Row],[Data]]))</f>
        <v>5</v>
      </c>
      <c r="B318" s="25">
        <v>46147</v>
      </c>
      <c r="C318" s="29" t="s">
        <v>1971</v>
      </c>
      <c r="D318" s="36">
        <v>1</v>
      </c>
      <c r="E318" s="41" t="s">
        <v>996</v>
      </c>
      <c r="F318" s="42">
        <v>10</v>
      </c>
      <c r="G318" s="9">
        <f>Table_246[[#This Row],[QT]]*Table_246[[#This Row],[Custo 
Un]]</f>
        <v>10</v>
      </c>
      <c r="H318" s="45">
        <v>30</v>
      </c>
      <c r="I318" s="9">
        <f>H318*D318</f>
        <v>30</v>
      </c>
      <c r="J318" s="41" t="s">
        <v>545</v>
      </c>
      <c r="K318" s="43">
        <f>Table_246[[#This Row],[Valor da 
venda]]-Table_246[[#This Row],[Valor gasto]]</f>
        <v>20</v>
      </c>
      <c r="L318" s="45" t="s">
        <v>15</v>
      </c>
      <c r="P318" s="160"/>
      <c r="Q318"/>
      <c r="R318" s="160"/>
      <c r="V318"/>
    </row>
    <row r="319" spans="1:22" ht="15" customHeight="1" x14ac:dyDescent="0.3">
      <c r="A319" s="21">
        <f>IF(Table_246[[#This Row],[Data]]="","",MONTH(Table_246[[#This Row],[Data]]))</f>
        <v>5</v>
      </c>
      <c r="B319" s="25">
        <v>46147</v>
      </c>
      <c r="C319" s="84" t="s">
        <v>1114</v>
      </c>
      <c r="D319" s="36">
        <v>1</v>
      </c>
      <c r="E319" s="41" t="s">
        <v>1972</v>
      </c>
      <c r="F319" s="42" t="str">
        <f>IFERROR(VLOOKUP(C319,#REF!,5,0),"0")</f>
        <v>0</v>
      </c>
      <c r="G319" s="9">
        <f>Table_246[[#This Row],[QT]]*Table_246[[#This Row],[Custo 
Un]]</f>
        <v>0</v>
      </c>
      <c r="H319" s="45">
        <v>9.1999999999999993</v>
      </c>
      <c r="I319" s="9">
        <f>H319*D319</f>
        <v>9.1999999999999993</v>
      </c>
      <c r="J319" s="41" t="s">
        <v>1004</v>
      </c>
      <c r="K319" s="43">
        <f>Table_246[[#This Row],[Valor da 
venda]]-Table_246[[#This Row],[Valor gasto]]</f>
        <v>9.1999999999999993</v>
      </c>
      <c r="L319" s="45" t="s">
        <v>981</v>
      </c>
      <c r="P319" s="160"/>
      <c r="Q319"/>
      <c r="R319" s="160"/>
      <c r="V319"/>
    </row>
    <row r="320" spans="1:22" ht="15" customHeight="1" x14ac:dyDescent="0.3">
      <c r="A320" s="21">
        <f>IF(Table_246[[#This Row],[Data]]="","",MONTH(Table_246[[#This Row],[Data]]))</f>
        <v>5</v>
      </c>
      <c r="B320" s="25">
        <v>46147</v>
      </c>
      <c r="C320" s="29" t="s">
        <v>1792</v>
      </c>
      <c r="D320" s="36">
        <v>1</v>
      </c>
      <c r="E320" s="41" t="s">
        <v>1973</v>
      </c>
      <c r="F320" s="42">
        <v>4</v>
      </c>
      <c r="G320" s="9">
        <f>Table_246[[#This Row],[QT]]*Table_246[[#This Row],[Custo 
Un]]</f>
        <v>4</v>
      </c>
      <c r="H320" s="45">
        <v>7.23</v>
      </c>
      <c r="I320" s="9">
        <f>H320*D320</f>
        <v>7.23</v>
      </c>
      <c r="J320" s="41" t="s">
        <v>1004</v>
      </c>
      <c r="K320" s="43">
        <f>Table_246[[#This Row],[Valor da 
venda]]-Table_246[[#This Row],[Valor gasto]]</f>
        <v>3.2300000000000004</v>
      </c>
      <c r="L320" s="45" t="s">
        <v>981</v>
      </c>
      <c r="P320" s="160"/>
      <c r="Q320"/>
      <c r="R320" s="160"/>
      <c r="V320"/>
    </row>
    <row r="321" spans="1:22" ht="15" customHeight="1" x14ac:dyDescent="0.3">
      <c r="A321" s="21">
        <f>IF(Table_246[[#This Row],[Data]]="","",MONTH(Table_246[[#This Row],[Data]]))</f>
        <v>5</v>
      </c>
      <c r="B321" s="25">
        <v>46147</v>
      </c>
      <c r="C321" s="84" t="s">
        <v>1114</v>
      </c>
      <c r="D321" s="36">
        <v>1</v>
      </c>
      <c r="E321" s="41" t="s">
        <v>1974</v>
      </c>
      <c r="F321" s="42" t="str">
        <f>IFERROR(VLOOKUP(C321,#REF!,5,0),"0")</f>
        <v>0</v>
      </c>
      <c r="G321" s="9">
        <f>Table_246[[#This Row],[QT]]*Table_246[[#This Row],[Custo 
Un]]</f>
        <v>0</v>
      </c>
      <c r="H321" s="45">
        <v>9.1999999999999993</v>
      </c>
      <c r="I321" s="9">
        <f>H321*D321</f>
        <v>9.1999999999999993</v>
      </c>
      <c r="J321" s="41" t="s">
        <v>1004</v>
      </c>
      <c r="K321" s="43">
        <f>Table_246[[#This Row],[Valor da 
venda]]-Table_246[[#This Row],[Valor gasto]]</f>
        <v>9.1999999999999993</v>
      </c>
      <c r="L321" s="45" t="s">
        <v>981</v>
      </c>
      <c r="P321" s="160"/>
      <c r="Q321"/>
      <c r="R321" s="160"/>
      <c r="V321"/>
    </row>
    <row r="322" spans="1:22" ht="15" customHeight="1" x14ac:dyDescent="0.3">
      <c r="A322" s="21">
        <f>IF(Table_246[[#This Row],[Data]]="","",MONTH(Table_246[[#This Row],[Data]]))</f>
        <v>5</v>
      </c>
      <c r="B322" s="25">
        <v>46147</v>
      </c>
      <c r="C322" s="84" t="s">
        <v>1114</v>
      </c>
      <c r="D322" s="36">
        <v>1</v>
      </c>
      <c r="E322" s="41" t="s">
        <v>1975</v>
      </c>
      <c r="F322" s="159" t="str">
        <f>IFERROR(VLOOKUP(C322,#REF!,5,0),"0")</f>
        <v>0</v>
      </c>
      <c r="G322" s="9">
        <f>Table_246[[#This Row],[QT]]*Table_246[[#This Row],[Custo 
Un]]</f>
        <v>0</v>
      </c>
      <c r="H322" s="45">
        <v>9.1999999999999993</v>
      </c>
      <c r="I322" s="9">
        <f>H322*D322</f>
        <v>9.1999999999999993</v>
      </c>
      <c r="J322" s="41" t="s">
        <v>1004</v>
      </c>
      <c r="K322" s="43">
        <f>Table_246[[#This Row],[Valor da 
venda]]-Table_246[[#This Row],[Valor gasto]]</f>
        <v>9.1999999999999993</v>
      </c>
      <c r="L322" s="45" t="s">
        <v>981</v>
      </c>
      <c r="P322" s="160"/>
      <c r="Q322"/>
      <c r="R322" s="160"/>
      <c r="V322"/>
    </row>
    <row r="323" spans="1:22" ht="15" customHeight="1" x14ac:dyDescent="0.3">
      <c r="A323" s="21">
        <f>IF(Table_246[[#This Row],[Data]]="","",MONTH(Table_246[[#This Row],[Data]]))</f>
        <v>5</v>
      </c>
      <c r="B323" s="25">
        <v>46147</v>
      </c>
      <c r="C323" s="84" t="s">
        <v>1114</v>
      </c>
      <c r="D323" s="36">
        <v>1</v>
      </c>
      <c r="E323" s="41" t="s">
        <v>1976</v>
      </c>
      <c r="F323" s="42" t="str">
        <f>IFERROR(VLOOKUP(C323,#REF!,5,0),"0")</f>
        <v>0</v>
      </c>
      <c r="G323" s="9">
        <f>Table_246[[#This Row],[QT]]*Table_246[[#This Row],[Custo 
Un]]</f>
        <v>0</v>
      </c>
      <c r="H323" s="45">
        <v>25.04</v>
      </c>
      <c r="I323" s="9">
        <f>H323*D323</f>
        <v>25.04</v>
      </c>
      <c r="J323" s="41" t="s">
        <v>1004</v>
      </c>
      <c r="K323" s="43">
        <f>Table_246[[#This Row],[Valor da 
venda]]-Table_246[[#This Row],[Valor gasto]]</f>
        <v>25.04</v>
      </c>
      <c r="L323" s="45" t="s">
        <v>981</v>
      </c>
      <c r="P323" s="160"/>
      <c r="Q323"/>
      <c r="R323" s="160"/>
      <c r="V323"/>
    </row>
    <row r="324" spans="1:22" ht="15" customHeight="1" x14ac:dyDescent="0.3">
      <c r="A324" s="21">
        <f>IF(Table_246[[#This Row],[Data]]="","",MONTH(Table_246[[#This Row],[Data]]))</f>
        <v>5</v>
      </c>
      <c r="B324" s="25">
        <v>46148</v>
      </c>
      <c r="C324" s="84" t="s">
        <v>1114</v>
      </c>
      <c r="D324" s="36">
        <v>1</v>
      </c>
      <c r="E324" s="41" t="s">
        <v>1977</v>
      </c>
      <c r="F324" s="42" t="str">
        <f>IFERROR(VLOOKUP(C324,#REF!,5,0),"0")</f>
        <v>0</v>
      </c>
      <c r="G324" s="9">
        <f>Table_246[[#This Row],[QT]]*Table_246[[#This Row],[Custo 
Un]]</f>
        <v>0</v>
      </c>
      <c r="H324" s="45">
        <v>9.1999999999999993</v>
      </c>
      <c r="I324" s="9">
        <f>H324*D324</f>
        <v>9.1999999999999993</v>
      </c>
      <c r="J324" s="41" t="s">
        <v>1004</v>
      </c>
      <c r="K324" s="43">
        <f>Table_246[[#This Row],[Valor da 
venda]]-Table_246[[#This Row],[Valor gasto]]</f>
        <v>9.1999999999999993</v>
      </c>
      <c r="L324" s="45" t="s">
        <v>981</v>
      </c>
      <c r="P324" s="160"/>
      <c r="Q324"/>
      <c r="R324" s="160"/>
      <c r="V324"/>
    </row>
    <row r="325" spans="1:22" ht="15" customHeight="1" x14ac:dyDescent="0.3">
      <c r="A325" s="21">
        <f>IF(Table_246[[#This Row],[Data]]="","",MONTH(Table_246[[#This Row],[Data]]))</f>
        <v>5</v>
      </c>
      <c r="B325" s="25">
        <v>46148</v>
      </c>
      <c r="C325" s="84" t="s">
        <v>1114</v>
      </c>
      <c r="D325" s="36">
        <v>1</v>
      </c>
      <c r="E325" s="41" t="s">
        <v>1978</v>
      </c>
      <c r="F325" s="42" t="str">
        <f>IFERROR(VLOOKUP(C325,#REF!,5,0),"0")</f>
        <v>0</v>
      </c>
      <c r="G325" s="9">
        <f>Table_246[[#This Row],[QT]]*Table_246[[#This Row],[Custo 
Un]]</f>
        <v>0</v>
      </c>
      <c r="H325" s="45">
        <v>34.24</v>
      </c>
      <c r="I325" s="9">
        <f>H325*D325</f>
        <v>34.24</v>
      </c>
      <c r="J325" s="41" t="s">
        <v>1004</v>
      </c>
      <c r="K325" s="43">
        <f>Table_246[[#This Row],[Valor da 
venda]]-Table_246[[#This Row],[Valor gasto]]</f>
        <v>34.24</v>
      </c>
      <c r="L325" s="45" t="s">
        <v>981</v>
      </c>
      <c r="P325" s="160"/>
      <c r="Q325"/>
      <c r="R325" s="160"/>
      <c r="V325"/>
    </row>
    <row r="326" spans="1:22" ht="15" customHeight="1" x14ac:dyDescent="0.3">
      <c r="A326" s="21">
        <f>IF(Table_246[[#This Row],[Data]]="","",MONTH(Table_246[[#This Row],[Data]]))</f>
        <v>5</v>
      </c>
      <c r="B326" s="25">
        <v>46148</v>
      </c>
      <c r="C326" s="84" t="s">
        <v>1114</v>
      </c>
      <c r="D326" s="36">
        <v>1</v>
      </c>
      <c r="E326" s="41" t="s">
        <v>1979</v>
      </c>
      <c r="F326" s="42" t="str">
        <f>IFERROR(VLOOKUP(C326,#REF!,5,0),"0")</f>
        <v>0</v>
      </c>
      <c r="G326" s="9">
        <f>Table_246[[#This Row],[QT]]*Table_246[[#This Row],[Custo 
Un]]</f>
        <v>0</v>
      </c>
      <c r="H326" s="45">
        <v>9.1999999999999993</v>
      </c>
      <c r="I326" s="9">
        <f>H326*D326</f>
        <v>9.1999999999999993</v>
      </c>
      <c r="J326" s="41" t="s">
        <v>1004</v>
      </c>
      <c r="K326" s="43">
        <f>Table_246[[#This Row],[Valor da 
venda]]-Table_246[[#This Row],[Valor gasto]]</f>
        <v>9.1999999999999993</v>
      </c>
      <c r="L326" s="45" t="s">
        <v>981</v>
      </c>
      <c r="P326" s="160"/>
      <c r="Q326"/>
      <c r="R326" s="160"/>
      <c r="V326"/>
    </row>
    <row r="327" spans="1:22" ht="15" customHeight="1" x14ac:dyDescent="0.3">
      <c r="A327" s="21">
        <f>IF(Table_246[[#This Row],[Data]]="","",MONTH(Table_246[[#This Row],[Data]]))</f>
        <v>5</v>
      </c>
      <c r="B327" s="25">
        <v>46148</v>
      </c>
      <c r="C327" s="84" t="s">
        <v>1114</v>
      </c>
      <c r="D327" s="36">
        <v>1</v>
      </c>
      <c r="E327" s="41" t="s">
        <v>1980</v>
      </c>
      <c r="F327" s="42" t="str">
        <f>IFERROR(VLOOKUP(C327,#REF!,5,0),"0")</f>
        <v>0</v>
      </c>
      <c r="G327" s="9">
        <f>Table_246[[#This Row],[QT]]*Table_246[[#This Row],[Custo 
Un]]</f>
        <v>0</v>
      </c>
      <c r="H327" s="45">
        <v>9.1999999999999993</v>
      </c>
      <c r="I327" s="9">
        <f>H327*D327</f>
        <v>9.1999999999999993</v>
      </c>
      <c r="J327" s="41" t="s">
        <v>1004</v>
      </c>
      <c r="K327" s="43">
        <f>Table_246[[#This Row],[Valor da 
venda]]-Table_246[[#This Row],[Valor gasto]]</f>
        <v>9.1999999999999993</v>
      </c>
      <c r="L327" s="45" t="s">
        <v>981</v>
      </c>
      <c r="P327" s="160"/>
      <c r="Q327"/>
      <c r="R327" s="160"/>
      <c r="V327"/>
    </row>
    <row r="328" spans="1:22" ht="15" customHeight="1" x14ac:dyDescent="0.3">
      <c r="A328" s="21">
        <f>IF(Table_246[[#This Row],[Data]]="","",MONTH(Table_246[[#This Row],[Data]]))</f>
        <v>5</v>
      </c>
      <c r="B328" s="25">
        <v>46149</v>
      </c>
      <c r="C328" s="84" t="s">
        <v>1035</v>
      </c>
      <c r="D328" s="36">
        <v>1</v>
      </c>
      <c r="E328" s="41" t="s">
        <v>1981</v>
      </c>
      <c r="F328" s="42" t="str">
        <f>IFERROR(VLOOKUP(C328,#REF!,5,0),"0")</f>
        <v>0</v>
      </c>
      <c r="G328" s="9">
        <f>Table_246[[#This Row],[QT]]*Table_246[[#This Row],[Custo 
Un]]</f>
        <v>0</v>
      </c>
      <c r="H328" s="45">
        <v>8.18</v>
      </c>
      <c r="I328" s="9">
        <f>H328*D328</f>
        <v>8.18</v>
      </c>
      <c r="J328" s="41" t="s">
        <v>17</v>
      </c>
      <c r="K328" s="43">
        <f>Table_246[[#This Row],[Valor da 
venda]]-Table_246[[#This Row],[Valor gasto]]</f>
        <v>8.18</v>
      </c>
      <c r="L328" s="45" t="s">
        <v>15</v>
      </c>
      <c r="P328" s="160"/>
      <c r="Q328"/>
      <c r="R328" s="160"/>
      <c r="V328"/>
    </row>
    <row r="329" spans="1:22" ht="15" customHeight="1" x14ac:dyDescent="0.3">
      <c r="A329" s="21">
        <f>IF(Table_246[[#This Row],[Data]]="","",MONTH(Table_246[[#This Row],[Data]]))</f>
        <v>5</v>
      </c>
      <c r="B329" s="25">
        <v>46149</v>
      </c>
      <c r="C329" s="29" t="s">
        <v>2061</v>
      </c>
      <c r="D329" s="36">
        <v>1</v>
      </c>
      <c r="E329" s="41" t="s">
        <v>1982</v>
      </c>
      <c r="F329" s="42">
        <v>350</v>
      </c>
      <c r="G329" s="9">
        <f>Table_246[[#This Row],[QT]]*Table_246[[#This Row],[Custo 
Un]]</f>
        <v>350</v>
      </c>
      <c r="H329" s="45">
        <v>413.02</v>
      </c>
      <c r="I329" s="9">
        <f>H329*D329</f>
        <v>413.02</v>
      </c>
      <c r="J329" s="41" t="s">
        <v>17</v>
      </c>
      <c r="K329" s="43">
        <f>Table_246[[#This Row],[Valor da 
venda]]-Table_246[[#This Row],[Valor gasto]]</f>
        <v>63.019999999999982</v>
      </c>
      <c r="L329" s="45" t="s">
        <v>15</v>
      </c>
      <c r="P329" s="160"/>
      <c r="Q329"/>
      <c r="R329" s="160"/>
      <c r="V329"/>
    </row>
    <row r="330" spans="1:22" ht="15" customHeight="1" x14ac:dyDescent="0.3">
      <c r="A330" s="21">
        <f>IF(Table_246[[#This Row],[Data]]="","",MONTH(Table_246[[#This Row],[Data]]))</f>
        <v>5</v>
      </c>
      <c r="B330" s="25">
        <v>46149</v>
      </c>
      <c r="C330" s="29" t="s">
        <v>1787</v>
      </c>
      <c r="D330" s="36">
        <v>1</v>
      </c>
      <c r="E330" s="41" t="s">
        <v>996</v>
      </c>
      <c r="F330" s="42" t="str">
        <f>IFERROR(VLOOKUP(C330,#REF!,5,0),"0")</f>
        <v>0</v>
      </c>
      <c r="G330" s="9">
        <f>Table_246[[#This Row],[QT]]*Table_246[[#This Row],[Custo 
Un]]</f>
        <v>0</v>
      </c>
      <c r="H330" s="45">
        <v>70</v>
      </c>
      <c r="I330" s="9">
        <f>H330*D330</f>
        <v>70</v>
      </c>
      <c r="J330" s="41" t="s">
        <v>545</v>
      </c>
      <c r="K330" s="43">
        <f>Table_246[[#This Row],[Valor da 
venda]]-Table_246[[#This Row],[Valor gasto]]</f>
        <v>70</v>
      </c>
      <c r="L330" s="45" t="s">
        <v>15</v>
      </c>
      <c r="P330" s="160"/>
      <c r="Q330"/>
      <c r="R330" s="160"/>
      <c r="V330"/>
    </row>
    <row r="331" spans="1:22" ht="15" customHeight="1" x14ac:dyDescent="0.3">
      <c r="A331" s="21">
        <f>IF(Table_246[[#This Row],[Data]]="","",MONTH(Table_246[[#This Row],[Data]]))</f>
        <v>5</v>
      </c>
      <c r="B331" s="25">
        <v>46149</v>
      </c>
      <c r="C331" s="29" t="s">
        <v>1954</v>
      </c>
      <c r="D331" s="36">
        <v>1</v>
      </c>
      <c r="E331" s="41" t="s">
        <v>1983</v>
      </c>
      <c r="F331" s="42">
        <v>0.5</v>
      </c>
      <c r="G331" s="9">
        <f>Table_246[[#This Row],[QT]]*Table_246[[#This Row],[Custo 
Un]]</f>
        <v>0.5</v>
      </c>
      <c r="H331" s="45">
        <v>2</v>
      </c>
      <c r="I331" s="9">
        <f>H331*D331</f>
        <v>2</v>
      </c>
      <c r="J331" s="41" t="s">
        <v>545</v>
      </c>
      <c r="K331" s="43">
        <f>Table_246[[#This Row],[Valor da 
venda]]-Table_246[[#This Row],[Valor gasto]]</f>
        <v>1.5</v>
      </c>
      <c r="L331" s="45" t="s">
        <v>15</v>
      </c>
      <c r="P331" s="160"/>
      <c r="Q331"/>
      <c r="R331" s="160"/>
      <c r="V331"/>
    </row>
    <row r="332" spans="1:22" ht="15" customHeight="1" x14ac:dyDescent="0.3">
      <c r="A332" s="21">
        <f>IF(Table_246[[#This Row],[Data]]="","",MONTH(Table_246[[#This Row],[Data]]))</f>
        <v>5</v>
      </c>
      <c r="B332" s="25">
        <v>46150</v>
      </c>
      <c r="C332" s="29" t="s">
        <v>1984</v>
      </c>
      <c r="D332" s="36">
        <v>1</v>
      </c>
      <c r="E332" s="41" t="s">
        <v>996</v>
      </c>
      <c r="F332" s="42">
        <v>4</v>
      </c>
      <c r="G332" s="9">
        <f>Table_246[[#This Row],[QT]]*Table_246[[#This Row],[Custo 
Un]]</f>
        <v>4</v>
      </c>
      <c r="H332" s="45">
        <v>15</v>
      </c>
      <c r="I332" s="9">
        <f>H332*D332</f>
        <v>15</v>
      </c>
      <c r="J332" s="41" t="s">
        <v>545</v>
      </c>
      <c r="K332" s="43">
        <f>Table_246[[#This Row],[Valor da 
venda]]-Table_246[[#This Row],[Valor gasto]]</f>
        <v>11</v>
      </c>
      <c r="L332" s="45" t="s">
        <v>15</v>
      </c>
      <c r="P332" s="160"/>
      <c r="Q332"/>
      <c r="R332" s="160"/>
      <c r="V332"/>
    </row>
    <row r="333" spans="1:22" ht="15" customHeight="1" x14ac:dyDescent="0.3">
      <c r="A333" s="21">
        <f>IF(Table_246[[#This Row],[Data]]="","",MONTH(Table_246[[#This Row],[Data]]))</f>
        <v>5</v>
      </c>
      <c r="B333" s="25">
        <v>46151</v>
      </c>
      <c r="C333" s="157" t="s">
        <v>1985</v>
      </c>
      <c r="D333" s="36">
        <v>1</v>
      </c>
      <c r="E333" s="41" t="s">
        <v>996</v>
      </c>
      <c r="F333" s="42">
        <v>10</v>
      </c>
      <c r="G333" s="9">
        <f>Table_246[[#This Row],[QT]]*Table_246[[#This Row],[Custo 
Un]]</f>
        <v>10</v>
      </c>
      <c r="H333" s="45">
        <v>30</v>
      </c>
      <c r="I333" s="9">
        <f>H333*D333</f>
        <v>30</v>
      </c>
      <c r="J333" s="41" t="s">
        <v>545</v>
      </c>
      <c r="K333" s="43">
        <f>Table_246[[#This Row],[Valor da 
venda]]-Table_246[[#This Row],[Valor gasto]]</f>
        <v>20</v>
      </c>
      <c r="L333" s="45" t="s">
        <v>15</v>
      </c>
      <c r="P333" s="160"/>
      <c r="Q333"/>
      <c r="R333" s="160"/>
      <c r="V333"/>
    </row>
    <row r="334" spans="1:22" ht="15" customHeight="1" x14ac:dyDescent="0.3">
      <c r="A334" s="21">
        <f>IF(Table_246[[#This Row],[Data]]="","",MONTH(Table_246[[#This Row],[Data]]))</f>
        <v>5</v>
      </c>
      <c r="B334" s="25">
        <v>46151</v>
      </c>
      <c r="C334" s="29" t="s">
        <v>1986</v>
      </c>
      <c r="D334" s="36">
        <v>1</v>
      </c>
      <c r="E334" s="41" t="s">
        <v>996</v>
      </c>
      <c r="F334" s="42" t="str">
        <f>IFERROR(VLOOKUP(C334,#REF!,5,0),"0")</f>
        <v>0</v>
      </c>
      <c r="G334" s="9">
        <f>Table_246[[#This Row],[QT]]*Table_246[[#This Row],[Custo 
Un]]</f>
        <v>0</v>
      </c>
      <c r="H334" s="45">
        <v>15</v>
      </c>
      <c r="I334" s="9">
        <f>H334*D334</f>
        <v>15</v>
      </c>
      <c r="J334" s="41" t="s">
        <v>545</v>
      </c>
      <c r="K334" s="43">
        <f>Table_246[[#This Row],[Valor da 
venda]]-Table_246[[#This Row],[Valor gasto]]</f>
        <v>15</v>
      </c>
      <c r="L334" s="45" t="s">
        <v>15</v>
      </c>
      <c r="P334" s="160"/>
      <c r="Q334"/>
      <c r="R334" s="160"/>
      <c r="V334"/>
    </row>
    <row r="335" spans="1:22" ht="15" customHeight="1" x14ac:dyDescent="0.3">
      <c r="A335" s="21">
        <f>IF(Table_246[[#This Row],[Data]]="","",MONTH(Table_246[[#This Row],[Data]]))</f>
        <v>5</v>
      </c>
      <c r="B335" s="25">
        <v>46155</v>
      </c>
      <c r="C335" s="29" t="s">
        <v>1791</v>
      </c>
      <c r="D335" s="36">
        <v>1</v>
      </c>
      <c r="E335" s="41" t="s">
        <v>1987</v>
      </c>
      <c r="F335" s="42">
        <v>600</v>
      </c>
      <c r="G335" s="9">
        <f>Table_246[[#This Row],[QT]]*Table_246[[#This Row],[Custo 
Un]]</f>
        <v>600</v>
      </c>
      <c r="H335" s="45">
        <v>638.20000000000005</v>
      </c>
      <c r="I335" s="9">
        <f>H335*D335</f>
        <v>638.20000000000005</v>
      </c>
      <c r="J335" s="41" t="s">
        <v>17</v>
      </c>
      <c r="K335" s="43">
        <f>Table_246[[#This Row],[Valor da 
venda]]-Table_246[[#This Row],[Valor gasto]]</f>
        <v>38.200000000000045</v>
      </c>
      <c r="L335" s="45" t="s">
        <v>15</v>
      </c>
      <c r="P335" s="160"/>
      <c r="Q335"/>
      <c r="R335" s="160"/>
      <c r="V335"/>
    </row>
    <row r="336" spans="1:22" ht="15" customHeight="1" x14ac:dyDescent="0.3">
      <c r="A336" s="21">
        <f>IF(Table_246[[#This Row],[Data]]="","",MONTH(Table_246[[#This Row],[Data]]))</f>
        <v>5</v>
      </c>
      <c r="B336" s="25">
        <v>46155</v>
      </c>
      <c r="C336" s="29" t="s">
        <v>2061</v>
      </c>
      <c r="D336" s="36">
        <v>1</v>
      </c>
      <c r="E336" s="41" t="s">
        <v>1988</v>
      </c>
      <c r="F336" s="42">
        <v>350</v>
      </c>
      <c r="G336" s="9">
        <f>Table_246[[#This Row],[QT]]*Table_246[[#This Row],[Custo 
Un]]</f>
        <v>350</v>
      </c>
      <c r="H336" s="45">
        <v>413.02</v>
      </c>
      <c r="I336" s="9">
        <f>H336*D336</f>
        <v>413.02</v>
      </c>
      <c r="J336" s="41" t="s">
        <v>17</v>
      </c>
      <c r="K336" s="43">
        <f>Table_246[[#This Row],[Valor da 
venda]]-Table_246[[#This Row],[Valor gasto]]</f>
        <v>63.019999999999982</v>
      </c>
      <c r="L336" s="45" t="s">
        <v>15</v>
      </c>
      <c r="P336" s="160"/>
      <c r="Q336"/>
      <c r="R336" s="160"/>
      <c r="V336"/>
    </row>
    <row r="337" spans="1:22" ht="15" customHeight="1" x14ac:dyDescent="0.3">
      <c r="A337" s="21">
        <f>IF(Table_246[[#This Row],[Data]]="","",MONTH(Table_246[[#This Row],[Data]]))</f>
        <v>5</v>
      </c>
      <c r="B337" s="25">
        <v>46155</v>
      </c>
      <c r="C337" s="84" t="s">
        <v>1035</v>
      </c>
      <c r="D337" s="36">
        <v>1</v>
      </c>
      <c r="E337" s="41" t="s">
        <v>1989</v>
      </c>
      <c r="F337" s="42" t="str">
        <f>IFERROR(VLOOKUP(C337,#REF!,5,0),"0")</f>
        <v>0</v>
      </c>
      <c r="G337" s="9">
        <f>Table_246[[#This Row],[QT]]*Table_246[[#This Row],[Custo 
Un]]</f>
        <v>0</v>
      </c>
      <c r="H337" s="45">
        <v>9.1300000000000008</v>
      </c>
      <c r="I337" s="9">
        <f>H337*D337</f>
        <v>9.1300000000000008</v>
      </c>
      <c r="J337" s="41" t="s">
        <v>17</v>
      </c>
      <c r="K337" s="43">
        <f>Table_246[[#This Row],[Valor da 
venda]]-Table_246[[#This Row],[Valor gasto]]</f>
        <v>9.1300000000000008</v>
      </c>
      <c r="L337" s="45" t="s">
        <v>15</v>
      </c>
      <c r="P337" s="160"/>
      <c r="Q337"/>
      <c r="R337" s="160"/>
      <c r="V337"/>
    </row>
    <row r="338" spans="1:22" ht="15" customHeight="1" x14ac:dyDescent="0.3">
      <c r="A338" s="21">
        <f>IF(Table_246[[#This Row],[Data]]="","",MONTH(Table_246[[#This Row],[Data]]))</f>
        <v>5</v>
      </c>
      <c r="B338" s="25">
        <v>46155</v>
      </c>
      <c r="C338" s="84" t="s">
        <v>1035</v>
      </c>
      <c r="D338" s="36">
        <v>1</v>
      </c>
      <c r="E338" s="41" t="s">
        <v>1990</v>
      </c>
      <c r="F338" s="42" t="str">
        <f>IFERROR(VLOOKUP(C338,#REF!,5,0),"0")</f>
        <v>0</v>
      </c>
      <c r="G338" s="9">
        <f>Table_246[[#This Row],[QT]]*Table_246[[#This Row],[Custo 
Un]]</f>
        <v>0</v>
      </c>
      <c r="H338" s="45">
        <v>9.1300000000000008</v>
      </c>
      <c r="I338" s="9">
        <f>H338*D338</f>
        <v>9.1300000000000008</v>
      </c>
      <c r="J338" s="41" t="s">
        <v>17</v>
      </c>
      <c r="K338" s="43">
        <f>Table_246[[#This Row],[Valor da 
venda]]-Table_246[[#This Row],[Valor gasto]]</f>
        <v>9.1300000000000008</v>
      </c>
      <c r="L338" s="45" t="s">
        <v>15</v>
      </c>
      <c r="P338" s="160"/>
      <c r="Q338"/>
      <c r="R338" s="160"/>
      <c r="V338"/>
    </row>
    <row r="339" spans="1:22" ht="15" customHeight="1" x14ac:dyDescent="0.3">
      <c r="A339" s="21">
        <f>IF(Table_246[[#This Row],[Data]]="","",MONTH(Table_246[[#This Row],[Data]]))</f>
        <v>5</v>
      </c>
      <c r="B339" s="25">
        <v>46155</v>
      </c>
      <c r="C339" s="29" t="s">
        <v>1991</v>
      </c>
      <c r="D339" s="36">
        <v>1</v>
      </c>
      <c r="E339" s="41" t="s">
        <v>996</v>
      </c>
      <c r="F339" s="42">
        <v>10</v>
      </c>
      <c r="G339" s="9">
        <f>Table_246[[#This Row],[QT]]*Table_246[[#This Row],[Custo 
Un]]</f>
        <v>10</v>
      </c>
      <c r="H339" s="45">
        <v>30</v>
      </c>
      <c r="I339" s="9">
        <f>H339*D339</f>
        <v>30</v>
      </c>
      <c r="J339" s="41" t="s">
        <v>545</v>
      </c>
      <c r="K339" s="43">
        <f>Table_246[[#This Row],[Valor da 
venda]]-Table_246[[#This Row],[Valor gasto]]</f>
        <v>20</v>
      </c>
      <c r="L339" s="45" t="s">
        <v>15</v>
      </c>
      <c r="P339" s="160"/>
      <c r="Q339"/>
      <c r="R339" s="160"/>
      <c r="V339"/>
    </row>
    <row r="340" spans="1:22" ht="15" customHeight="1" x14ac:dyDescent="0.3">
      <c r="A340" s="21">
        <f>IF(Table_246[[#This Row],[Data]]="","",MONTH(Table_246[[#This Row],[Data]]))</f>
        <v>5</v>
      </c>
      <c r="B340" s="25">
        <v>46157</v>
      </c>
      <c r="C340" s="29" t="s">
        <v>1904</v>
      </c>
      <c r="D340" s="36">
        <v>1</v>
      </c>
      <c r="E340" s="41" t="s">
        <v>996</v>
      </c>
      <c r="F340" s="42">
        <v>5</v>
      </c>
      <c r="G340" s="9">
        <f>Table_246[[#This Row],[QT]]*Table_246[[#This Row],[Custo 
Un]]</f>
        <v>5</v>
      </c>
      <c r="H340" s="45">
        <v>15</v>
      </c>
      <c r="I340" s="9">
        <f>H340*D340</f>
        <v>15</v>
      </c>
      <c r="J340" s="41" t="s">
        <v>545</v>
      </c>
      <c r="K340" s="43">
        <f>Table_246[[#This Row],[Valor da 
venda]]-Table_246[[#This Row],[Valor gasto]]</f>
        <v>10</v>
      </c>
      <c r="L340" s="45" t="s">
        <v>15</v>
      </c>
      <c r="P340" s="160"/>
      <c r="Q340"/>
      <c r="R340" s="160"/>
      <c r="V340"/>
    </row>
    <row r="341" spans="1:22" ht="15" customHeight="1" x14ac:dyDescent="0.3">
      <c r="A341" s="21">
        <f>IF(Table_246[[#This Row],[Data]]="","",MONTH(Table_246[[#This Row],[Data]]))</f>
        <v>5</v>
      </c>
      <c r="B341" s="25">
        <v>46157</v>
      </c>
      <c r="C341" s="29" t="s">
        <v>1992</v>
      </c>
      <c r="D341" s="36">
        <v>1</v>
      </c>
      <c r="E341" s="41" t="s">
        <v>996</v>
      </c>
      <c r="F341" s="42">
        <v>15</v>
      </c>
      <c r="G341" s="9">
        <f>Table_246[[#This Row],[QT]]*Table_246[[#This Row],[Custo 
Un]]</f>
        <v>15</v>
      </c>
      <c r="H341" s="45">
        <v>35</v>
      </c>
      <c r="I341" s="9">
        <f>H341*D341</f>
        <v>35</v>
      </c>
      <c r="J341" s="41" t="s">
        <v>545</v>
      </c>
      <c r="K341" s="43">
        <f>Table_246[[#This Row],[Valor da 
venda]]-Table_246[[#This Row],[Valor gasto]]</f>
        <v>20</v>
      </c>
      <c r="L341" s="45" t="s">
        <v>15</v>
      </c>
      <c r="P341" s="160"/>
      <c r="Q341"/>
      <c r="R341" s="160"/>
      <c r="V341"/>
    </row>
    <row r="342" spans="1:22" ht="15" customHeight="1" x14ac:dyDescent="0.3">
      <c r="A342" s="21">
        <f>IF(Table_246[[#This Row],[Data]]="","",MONTH(Table_246[[#This Row],[Data]]))</f>
        <v>5</v>
      </c>
      <c r="B342" s="25">
        <v>46157</v>
      </c>
      <c r="C342" s="29" t="s">
        <v>1787</v>
      </c>
      <c r="D342" s="36">
        <v>1</v>
      </c>
      <c r="E342" s="41" t="s">
        <v>996</v>
      </c>
      <c r="F342" s="42" t="str">
        <f>IFERROR(VLOOKUP(C342,#REF!,5,0),"0")</f>
        <v>0</v>
      </c>
      <c r="G342" s="9">
        <f>Table_246[[#This Row],[QT]]*Table_246[[#This Row],[Custo 
Un]]</f>
        <v>0</v>
      </c>
      <c r="H342" s="45">
        <v>50</v>
      </c>
      <c r="I342" s="9">
        <f>H342*D342</f>
        <v>50</v>
      </c>
      <c r="J342" s="41" t="s">
        <v>545</v>
      </c>
      <c r="K342" s="43">
        <f>Table_246[[#This Row],[Valor da 
venda]]-Table_246[[#This Row],[Valor gasto]]</f>
        <v>50</v>
      </c>
      <c r="L342" s="45" t="s">
        <v>15</v>
      </c>
      <c r="P342" s="160"/>
      <c r="Q342"/>
      <c r="R342" s="160"/>
      <c r="V342"/>
    </row>
    <row r="343" spans="1:22" ht="15" customHeight="1" x14ac:dyDescent="0.3">
      <c r="A343" s="21">
        <f>IF(Table_246[[#This Row],[Data]]="","",MONTH(Table_246[[#This Row],[Data]]))</f>
        <v>5</v>
      </c>
      <c r="B343" s="25">
        <v>46157</v>
      </c>
      <c r="C343" s="29" t="s">
        <v>810</v>
      </c>
      <c r="D343" s="36">
        <v>1</v>
      </c>
      <c r="E343" s="41" t="s">
        <v>996</v>
      </c>
      <c r="F343" s="42">
        <v>5</v>
      </c>
      <c r="G343" s="9">
        <f>Table_246[[#This Row],[QT]]*Table_246[[#This Row],[Custo 
Un]]</f>
        <v>5</v>
      </c>
      <c r="H343" s="45">
        <v>15</v>
      </c>
      <c r="I343" s="9">
        <f>H343*D343</f>
        <v>15</v>
      </c>
      <c r="J343" s="41" t="s">
        <v>545</v>
      </c>
      <c r="K343" s="43">
        <f>Table_246[[#This Row],[Valor da 
venda]]-Table_246[[#This Row],[Valor gasto]]</f>
        <v>10</v>
      </c>
      <c r="L343" s="45" t="s">
        <v>15</v>
      </c>
      <c r="P343" s="160"/>
      <c r="Q343"/>
      <c r="R343" s="160"/>
      <c r="V343"/>
    </row>
    <row r="344" spans="1:22" ht="15" customHeight="1" x14ac:dyDescent="0.3">
      <c r="A344" s="21">
        <f>IF(Table_246[[#This Row],[Data]]="","",MONTH(Table_246[[#This Row],[Data]]))</f>
        <v>5</v>
      </c>
      <c r="B344" s="25">
        <v>46158</v>
      </c>
      <c r="C344" s="29" t="s">
        <v>715</v>
      </c>
      <c r="D344" s="36">
        <v>1</v>
      </c>
      <c r="E344" s="41" t="s">
        <v>996</v>
      </c>
      <c r="F344" s="42" t="str">
        <f>IFERROR(VLOOKUP(C344,#REF!,5,0),"0")</f>
        <v>0</v>
      </c>
      <c r="G344" s="9">
        <f>Table_246[[#This Row],[QT]]*Table_246[[#This Row],[Custo 
Un]]</f>
        <v>0</v>
      </c>
      <c r="H344" s="45">
        <v>10</v>
      </c>
      <c r="I344" s="9">
        <f>H344*D344</f>
        <v>10</v>
      </c>
      <c r="J344" s="41" t="s">
        <v>545</v>
      </c>
      <c r="K344" s="43">
        <f>Table_246[[#This Row],[Valor da 
venda]]-Table_246[[#This Row],[Valor gasto]]</f>
        <v>10</v>
      </c>
      <c r="L344" s="45" t="s">
        <v>15</v>
      </c>
      <c r="P344" s="160"/>
      <c r="Q344"/>
      <c r="R344" s="160"/>
      <c r="V344"/>
    </row>
    <row r="345" spans="1:22" ht="15" customHeight="1" x14ac:dyDescent="0.3">
      <c r="A345" s="21">
        <f>IF(Table_246[[#This Row],[Data]]="","",MONTH(Table_246[[#This Row],[Data]]))</f>
        <v>5</v>
      </c>
      <c r="B345" s="25">
        <v>46158</v>
      </c>
      <c r="C345" s="29" t="s">
        <v>1806</v>
      </c>
      <c r="D345" s="36">
        <v>1</v>
      </c>
      <c r="E345" s="41" t="s">
        <v>996</v>
      </c>
      <c r="F345" s="42">
        <v>1</v>
      </c>
      <c r="G345" s="9">
        <f>Table_246[[#This Row],[QT]]*Table_246[[#This Row],[Custo 
Un]]</f>
        <v>1</v>
      </c>
      <c r="H345" s="45">
        <v>5</v>
      </c>
      <c r="I345" s="9">
        <f>H345*D345</f>
        <v>5</v>
      </c>
      <c r="J345" s="41" t="s">
        <v>545</v>
      </c>
      <c r="K345" s="43">
        <f>Table_246[[#This Row],[Valor da 
venda]]-Table_246[[#This Row],[Valor gasto]]</f>
        <v>4</v>
      </c>
      <c r="L345" s="45" t="s">
        <v>15</v>
      </c>
      <c r="P345" s="160"/>
      <c r="Q345"/>
      <c r="R345" s="160"/>
      <c r="V345"/>
    </row>
    <row r="346" spans="1:22" ht="15" customHeight="1" x14ac:dyDescent="0.3">
      <c r="A346" s="21">
        <f>IF(Table_246[[#This Row],[Data]]="","",MONTH(Table_246[[#This Row],[Data]]))</f>
        <v>5</v>
      </c>
      <c r="B346" s="25">
        <v>46158</v>
      </c>
      <c r="C346" s="29" t="s">
        <v>1787</v>
      </c>
      <c r="D346" s="36">
        <v>1</v>
      </c>
      <c r="E346" s="41" t="s">
        <v>996</v>
      </c>
      <c r="F346" s="42" t="str">
        <f>IFERROR(VLOOKUP(C346,#REF!,5,0),"0")</f>
        <v>0</v>
      </c>
      <c r="G346" s="9">
        <f>Table_246[[#This Row],[QT]]*Table_246[[#This Row],[Custo 
Un]]</f>
        <v>0</v>
      </c>
      <c r="H346" s="45">
        <v>100</v>
      </c>
      <c r="I346" s="9">
        <f>H346*D346</f>
        <v>100</v>
      </c>
      <c r="J346" s="41" t="s">
        <v>545</v>
      </c>
      <c r="K346" s="43">
        <f>Table_246[[#This Row],[Valor da 
venda]]-Table_246[[#This Row],[Valor gasto]]</f>
        <v>100</v>
      </c>
      <c r="L346" s="45" t="s">
        <v>15</v>
      </c>
      <c r="P346" s="160"/>
      <c r="Q346"/>
      <c r="R346" s="160"/>
      <c r="V346"/>
    </row>
    <row r="347" spans="1:22" ht="15" customHeight="1" x14ac:dyDescent="0.3">
      <c r="A347" s="21">
        <f>IF(Table_246[[#This Row],[Data]]="","",MONTH(Table_246[[#This Row],[Data]]))</f>
        <v>5</v>
      </c>
      <c r="B347" s="25">
        <v>46160</v>
      </c>
      <c r="C347" s="29" t="s">
        <v>1993</v>
      </c>
      <c r="D347" s="36">
        <v>1</v>
      </c>
      <c r="E347" s="41" t="s">
        <v>996</v>
      </c>
      <c r="F347" s="42">
        <v>7</v>
      </c>
      <c r="G347" s="9">
        <f>Table_246[[#This Row],[QT]]*Table_246[[#This Row],[Custo 
Un]]</f>
        <v>7</v>
      </c>
      <c r="H347" s="45">
        <v>15</v>
      </c>
      <c r="I347" s="9">
        <f>H347*D347</f>
        <v>15</v>
      </c>
      <c r="J347" s="41" t="s">
        <v>545</v>
      </c>
      <c r="K347" s="43">
        <f>Table_246[[#This Row],[Valor da 
venda]]-Table_246[[#This Row],[Valor gasto]]</f>
        <v>8</v>
      </c>
      <c r="L347" s="45" t="s">
        <v>15</v>
      </c>
      <c r="P347" s="160"/>
      <c r="Q347"/>
      <c r="R347" s="160"/>
      <c r="V347"/>
    </row>
    <row r="348" spans="1:22" ht="15" customHeight="1" x14ac:dyDescent="0.3">
      <c r="A348" s="21">
        <f>IF(Table_246[[#This Row],[Data]]="","",MONTH(Table_246[[#This Row],[Data]]))</f>
        <v>5</v>
      </c>
      <c r="B348" s="25">
        <v>46160</v>
      </c>
      <c r="C348" s="29" t="s">
        <v>1994</v>
      </c>
      <c r="D348" s="36">
        <v>1</v>
      </c>
      <c r="E348" s="41" t="s">
        <v>996</v>
      </c>
      <c r="F348" s="42">
        <v>1</v>
      </c>
      <c r="G348" s="9">
        <f>Table_246[[#This Row],[QT]]*Table_246[[#This Row],[Custo 
Un]]</f>
        <v>1</v>
      </c>
      <c r="H348" s="45">
        <v>5</v>
      </c>
      <c r="I348" s="9">
        <f>H348*D348</f>
        <v>5</v>
      </c>
      <c r="J348" s="41" t="s">
        <v>545</v>
      </c>
      <c r="K348" s="43">
        <f>Table_246[[#This Row],[Valor da 
venda]]-Table_246[[#This Row],[Valor gasto]]</f>
        <v>4</v>
      </c>
      <c r="L348" s="45" t="s">
        <v>15</v>
      </c>
      <c r="P348" s="160"/>
      <c r="Q348"/>
      <c r="R348" s="160"/>
      <c r="V348"/>
    </row>
    <row r="349" spans="1:22" ht="15" customHeight="1" x14ac:dyDescent="0.3">
      <c r="A349" s="21">
        <f>IF(Table_246[[#This Row],[Data]]="","",MONTH(Table_246[[#This Row],[Data]]))</f>
        <v>5</v>
      </c>
      <c r="B349" s="25">
        <v>46160</v>
      </c>
      <c r="C349" s="29" t="s">
        <v>672</v>
      </c>
      <c r="D349" s="36">
        <v>1</v>
      </c>
      <c r="E349" s="41" t="s">
        <v>996</v>
      </c>
      <c r="F349" s="42">
        <v>5</v>
      </c>
      <c r="G349" s="9">
        <f>Table_246[[#This Row],[QT]]*Table_246[[#This Row],[Custo 
Un]]</f>
        <v>5</v>
      </c>
      <c r="H349" s="45">
        <v>10</v>
      </c>
      <c r="I349" s="9">
        <f>H349*D349</f>
        <v>10</v>
      </c>
      <c r="J349" s="41" t="s">
        <v>545</v>
      </c>
      <c r="K349" s="43">
        <f>Table_246[[#This Row],[Valor da 
venda]]-Table_246[[#This Row],[Valor gasto]]</f>
        <v>5</v>
      </c>
      <c r="L349" s="45" t="s">
        <v>15</v>
      </c>
      <c r="P349" s="160"/>
      <c r="Q349"/>
      <c r="R349" s="160"/>
      <c r="V349"/>
    </row>
    <row r="350" spans="1:22" ht="15" customHeight="1" x14ac:dyDescent="0.3">
      <c r="A350" s="21">
        <f>IF(Table_246[[#This Row],[Data]]="","",MONTH(Table_246[[#This Row],[Data]]))</f>
        <v>5</v>
      </c>
      <c r="B350" s="25">
        <v>46160</v>
      </c>
      <c r="C350" s="29" t="s">
        <v>1952</v>
      </c>
      <c r="D350" s="36">
        <v>1</v>
      </c>
      <c r="E350" s="41" t="s">
        <v>996</v>
      </c>
      <c r="F350" s="42">
        <v>20</v>
      </c>
      <c r="G350" s="9">
        <f>Table_246[[#This Row],[QT]]*Table_246[[#This Row],[Custo 
Un]]</f>
        <v>20</v>
      </c>
      <c r="H350" s="45">
        <v>50</v>
      </c>
      <c r="I350" s="9">
        <f>H350*D350</f>
        <v>50</v>
      </c>
      <c r="J350" s="41" t="s">
        <v>545</v>
      </c>
      <c r="K350" s="43">
        <f>Table_246[[#This Row],[Valor da 
venda]]-Table_246[[#This Row],[Valor gasto]]</f>
        <v>30</v>
      </c>
      <c r="L350" s="45" t="s">
        <v>15</v>
      </c>
      <c r="P350" s="160"/>
      <c r="Q350"/>
      <c r="R350" s="160"/>
      <c r="V350"/>
    </row>
    <row r="351" spans="1:22" ht="15" customHeight="1" x14ac:dyDescent="0.3">
      <c r="A351" s="21">
        <f>IF(Table_246[[#This Row],[Data]]="","",MONTH(Table_246[[#This Row],[Data]]))</f>
        <v>5</v>
      </c>
      <c r="B351" s="25">
        <v>46161</v>
      </c>
      <c r="C351" s="29" t="s">
        <v>139</v>
      </c>
      <c r="D351" s="36">
        <v>20</v>
      </c>
      <c r="E351" s="41" t="s">
        <v>996</v>
      </c>
      <c r="F351" s="42" t="str">
        <f>IFERROR(VLOOKUP(C351,#REF!,5,0),"0")</f>
        <v>0</v>
      </c>
      <c r="G351" s="9">
        <f>Table_246[[#This Row],[QT]]*Table_246[[#This Row],[Custo 
Un]]</f>
        <v>0</v>
      </c>
      <c r="H351" s="45">
        <v>0.5</v>
      </c>
      <c r="I351" s="9">
        <f>H351*D351</f>
        <v>10</v>
      </c>
      <c r="J351" s="41" t="s">
        <v>545</v>
      </c>
      <c r="K351" s="43">
        <f>Table_246[[#This Row],[Valor da 
venda]]-Table_246[[#This Row],[Valor gasto]]</f>
        <v>10</v>
      </c>
      <c r="L351" s="45" t="s">
        <v>15</v>
      </c>
      <c r="P351" s="160"/>
      <c r="Q351"/>
      <c r="R351" s="160"/>
      <c r="V351"/>
    </row>
    <row r="352" spans="1:22" ht="15" customHeight="1" x14ac:dyDescent="0.3">
      <c r="A352" s="21">
        <f>IF(Table_246[[#This Row],[Data]]="","",MONTH(Table_246[[#This Row],[Data]]))</f>
        <v>5</v>
      </c>
      <c r="B352" s="25">
        <v>46161</v>
      </c>
      <c r="C352" s="29" t="s">
        <v>1995</v>
      </c>
      <c r="D352" s="36">
        <v>3</v>
      </c>
      <c r="E352" s="41" t="s">
        <v>1823</v>
      </c>
      <c r="F352" s="42" t="str">
        <f>IFERROR(VLOOKUP(C352,#REF!,5,0),"0")</f>
        <v>0</v>
      </c>
      <c r="G352" s="9">
        <f>Table_246[[#This Row],[QT]]*Table_246[[#This Row],[Custo 
Un]]</f>
        <v>0</v>
      </c>
      <c r="H352" s="45">
        <v>7</v>
      </c>
      <c r="I352" s="9">
        <f>H352*D352</f>
        <v>21</v>
      </c>
      <c r="J352" s="41" t="s">
        <v>545</v>
      </c>
      <c r="K352" s="43">
        <f>Table_246[[#This Row],[Valor da 
venda]]-Table_246[[#This Row],[Valor gasto]]</f>
        <v>21</v>
      </c>
      <c r="L352" s="45" t="s">
        <v>15</v>
      </c>
      <c r="P352" s="160"/>
      <c r="Q352"/>
      <c r="R352" s="160"/>
      <c r="V352"/>
    </row>
    <row r="353" spans="1:22" ht="15" customHeight="1" x14ac:dyDescent="0.3">
      <c r="A353" s="21">
        <f>IF(Table_246[[#This Row],[Data]]="","",MONTH(Table_246[[#This Row],[Data]]))</f>
        <v>5</v>
      </c>
      <c r="B353" s="25">
        <v>46161</v>
      </c>
      <c r="C353" s="29" t="s">
        <v>1995</v>
      </c>
      <c r="D353" s="36">
        <v>2</v>
      </c>
      <c r="E353" s="41" t="s">
        <v>811</v>
      </c>
      <c r="F353" s="42" t="str">
        <f>IFERROR(VLOOKUP(C353,#REF!,5,0),"0")</f>
        <v>0</v>
      </c>
      <c r="G353" s="9">
        <f>Table_246[[#This Row],[QT]]*Table_246[[#This Row],[Custo 
Un]]</f>
        <v>0</v>
      </c>
      <c r="H353" s="45">
        <v>7</v>
      </c>
      <c r="I353" s="9">
        <f>H353*D353</f>
        <v>14</v>
      </c>
      <c r="J353" s="41" t="s">
        <v>545</v>
      </c>
      <c r="K353" s="43">
        <f>Table_246[[#This Row],[Valor da 
venda]]-Table_246[[#This Row],[Valor gasto]]</f>
        <v>14</v>
      </c>
      <c r="L353" s="45" t="s">
        <v>15</v>
      </c>
      <c r="P353" s="160"/>
      <c r="Q353"/>
      <c r="R353" s="160"/>
      <c r="V353"/>
    </row>
    <row r="354" spans="1:22" ht="15" customHeight="1" x14ac:dyDescent="0.3">
      <c r="A354" s="21">
        <f>IF(Table_246[[#This Row],[Data]]="","",MONTH(Table_246[[#This Row],[Data]]))</f>
        <v>5</v>
      </c>
      <c r="B354" s="25">
        <v>46161</v>
      </c>
      <c r="C354" s="29" t="s">
        <v>1010</v>
      </c>
      <c r="D354" s="36">
        <v>1</v>
      </c>
      <c r="E354" s="41" t="s">
        <v>996</v>
      </c>
      <c r="F354" s="42">
        <v>11</v>
      </c>
      <c r="G354" s="9">
        <f>Table_246[[#This Row],[QT]]*Table_246[[#This Row],[Custo 
Un]]</f>
        <v>11</v>
      </c>
      <c r="H354" s="45">
        <v>20</v>
      </c>
      <c r="I354" s="9">
        <f>H354*D354</f>
        <v>20</v>
      </c>
      <c r="J354" s="41" t="s">
        <v>545</v>
      </c>
      <c r="K354" s="43">
        <f>Table_246[[#This Row],[Valor da 
venda]]-Table_246[[#This Row],[Valor gasto]]</f>
        <v>9</v>
      </c>
      <c r="L354" s="45" t="s">
        <v>15</v>
      </c>
      <c r="P354" s="160"/>
      <c r="Q354"/>
      <c r="R354" s="160"/>
      <c r="V354"/>
    </row>
    <row r="355" spans="1:22" ht="15" customHeight="1" x14ac:dyDescent="0.3">
      <c r="A355" s="21">
        <f>IF(Table_246[[#This Row],[Data]]="","",MONTH(Table_246[[#This Row],[Data]]))</f>
        <v>5</v>
      </c>
      <c r="B355" s="25">
        <v>46161</v>
      </c>
      <c r="C355" s="29" t="s">
        <v>810</v>
      </c>
      <c r="D355" s="36">
        <v>1</v>
      </c>
      <c r="E355" s="41" t="s">
        <v>996</v>
      </c>
      <c r="F355" s="42">
        <v>3</v>
      </c>
      <c r="G355" s="9">
        <f>Table_246[[#This Row],[QT]]*Table_246[[#This Row],[Custo 
Un]]</f>
        <v>3</v>
      </c>
      <c r="H355" s="45">
        <v>15</v>
      </c>
      <c r="I355" s="9">
        <f>H355*D355</f>
        <v>15</v>
      </c>
      <c r="J355" s="41" t="s">
        <v>545</v>
      </c>
      <c r="K355" s="43">
        <f>Table_246[[#This Row],[Valor da 
venda]]-Table_246[[#This Row],[Valor gasto]]</f>
        <v>12</v>
      </c>
      <c r="L355" s="45" t="s">
        <v>15</v>
      </c>
      <c r="P355" s="160"/>
      <c r="Q355"/>
      <c r="R355" s="160"/>
      <c r="V355"/>
    </row>
    <row r="356" spans="1:22" ht="15" customHeight="1" x14ac:dyDescent="0.3">
      <c r="A356" s="21">
        <f>IF(Table_246[[#This Row],[Data]]="","",MONTH(Table_246[[#This Row],[Data]]))</f>
        <v>5</v>
      </c>
      <c r="B356" s="25">
        <v>46164</v>
      </c>
      <c r="C356" s="29" t="s">
        <v>1995</v>
      </c>
      <c r="D356" s="36">
        <v>2</v>
      </c>
      <c r="E356" s="41" t="s">
        <v>1823</v>
      </c>
      <c r="F356" s="42" t="str">
        <f>IFERROR(VLOOKUP(C356,#REF!,5,0),"0")</f>
        <v>0</v>
      </c>
      <c r="G356" s="9">
        <f>Table_246[[#This Row],[QT]]*Table_246[[#This Row],[Custo 
Un]]</f>
        <v>0</v>
      </c>
      <c r="H356" s="45">
        <v>7</v>
      </c>
      <c r="I356" s="9">
        <f>H356*D356</f>
        <v>14</v>
      </c>
      <c r="J356" s="41" t="s">
        <v>545</v>
      </c>
      <c r="K356" s="43">
        <f>Table_246[[#This Row],[Valor da 
venda]]-Table_246[[#This Row],[Valor gasto]]</f>
        <v>14</v>
      </c>
      <c r="L356" s="45" t="s">
        <v>15</v>
      </c>
      <c r="P356" s="160"/>
      <c r="Q356"/>
      <c r="R356" s="160"/>
      <c r="V356"/>
    </row>
    <row r="357" spans="1:22" ht="15" customHeight="1" x14ac:dyDescent="0.3">
      <c r="A357" s="21">
        <f>IF(Table_246[[#This Row],[Data]]="","",MONTH(Table_246[[#This Row],[Data]]))</f>
        <v>5</v>
      </c>
      <c r="B357" s="25">
        <v>46164</v>
      </c>
      <c r="C357" s="29" t="s">
        <v>1995</v>
      </c>
      <c r="D357" s="36">
        <v>2</v>
      </c>
      <c r="E357" s="41" t="s">
        <v>1996</v>
      </c>
      <c r="F357" s="42" t="str">
        <f>IFERROR(VLOOKUP(C357,#REF!,5,0),"0")</f>
        <v>0</v>
      </c>
      <c r="G357" s="9">
        <f>Table_246[[#This Row],[QT]]*Table_246[[#This Row],[Custo 
Un]]</f>
        <v>0</v>
      </c>
      <c r="H357" s="45">
        <v>7</v>
      </c>
      <c r="I357" s="9">
        <f>H357*D357</f>
        <v>14</v>
      </c>
      <c r="J357" s="41" t="s">
        <v>545</v>
      </c>
      <c r="K357" s="43">
        <f>Table_246[[#This Row],[Valor da 
venda]]-Table_246[[#This Row],[Valor gasto]]</f>
        <v>14</v>
      </c>
      <c r="L357" s="45" t="s">
        <v>15</v>
      </c>
      <c r="P357" s="160"/>
      <c r="Q357"/>
      <c r="R357" s="160"/>
      <c r="V357"/>
    </row>
    <row r="358" spans="1:22" ht="15" customHeight="1" x14ac:dyDescent="0.3">
      <c r="A358" s="21">
        <f>IF(Table_246[[#This Row],[Data]]="","",MONTH(Table_246[[#This Row],[Data]]))</f>
        <v>5</v>
      </c>
      <c r="B358" s="25">
        <v>46164</v>
      </c>
      <c r="C358" s="29" t="s">
        <v>139</v>
      </c>
      <c r="D358" s="36">
        <v>1</v>
      </c>
      <c r="E358" s="41" t="s">
        <v>1997</v>
      </c>
      <c r="F358" s="42" t="str">
        <f>IFERROR(VLOOKUP(C358,#REF!,5,0),"0")</f>
        <v>0</v>
      </c>
      <c r="G358" s="9">
        <f>Table_246[[#This Row],[QT]]*Table_246[[#This Row],[Custo 
Un]]</f>
        <v>0</v>
      </c>
      <c r="H358" s="45">
        <v>1</v>
      </c>
      <c r="I358" s="9">
        <f>H358*D358</f>
        <v>1</v>
      </c>
      <c r="J358" s="41" t="s">
        <v>545</v>
      </c>
      <c r="K358" s="43">
        <f>Table_246[[#This Row],[Valor da 
venda]]-Table_246[[#This Row],[Valor gasto]]</f>
        <v>1</v>
      </c>
      <c r="L358" s="45" t="s">
        <v>15</v>
      </c>
      <c r="P358" s="160"/>
      <c r="Q358"/>
      <c r="R358" s="160"/>
      <c r="V358"/>
    </row>
    <row r="359" spans="1:22" ht="15" customHeight="1" x14ac:dyDescent="0.3">
      <c r="A359" s="21">
        <f>IF(Table_246[[#This Row],[Data]]="","",MONTH(Table_246[[#This Row],[Data]]))</f>
        <v>5</v>
      </c>
      <c r="B359" s="25">
        <v>46165</v>
      </c>
      <c r="C359" s="29" t="s">
        <v>1998</v>
      </c>
      <c r="D359" s="36">
        <v>2</v>
      </c>
      <c r="E359" s="41" t="s">
        <v>1999</v>
      </c>
      <c r="F359" s="42" t="str">
        <f>IFERROR(VLOOKUP(C359,#REF!,5,0),"0")</f>
        <v>0</v>
      </c>
      <c r="G359" s="9">
        <f>Table_246[[#This Row],[QT]]*Table_246[[#This Row],[Custo 
Un]]</f>
        <v>0</v>
      </c>
      <c r="H359" s="45">
        <v>1</v>
      </c>
      <c r="I359" s="9">
        <f>H359*D359</f>
        <v>2</v>
      </c>
      <c r="J359" s="41" t="s">
        <v>545</v>
      </c>
      <c r="K359" s="43">
        <f>Table_246[[#This Row],[Valor da 
venda]]-Table_246[[#This Row],[Valor gasto]]</f>
        <v>2</v>
      </c>
      <c r="L359" s="45" t="s">
        <v>15</v>
      </c>
      <c r="P359" s="160"/>
      <c r="Q359"/>
      <c r="R359" s="160"/>
      <c r="V359"/>
    </row>
    <row r="360" spans="1:22" ht="15" customHeight="1" x14ac:dyDescent="0.3">
      <c r="A360" s="21">
        <f>IF(Table_246[[#This Row],[Data]]="","",MONTH(Table_246[[#This Row],[Data]]))</f>
        <v>5</v>
      </c>
      <c r="B360" s="25">
        <v>46165</v>
      </c>
      <c r="C360" s="29" t="s">
        <v>1998</v>
      </c>
      <c r="D360" s="36">
        <v>33</v>
      </c>
      <c r="E360" s="41" t="s">
        <v>1823</v>
      </c>
      <c r="F360" s="42" t="str">
        <f>IFERROR(VLOOKUP(C360,#REF!,5,0),"0")</f>
        <v>0</v>
      </c>
      <c r="G360" s="9">
        <f>Table_246[[#This Row],[QT]]*Table_246[[#This Row],[Custo 
Un]]</f>
        <v>0</v>
      </c>
      <c r="H360" s="45">
        <v>1</v>
      </c>
      <c r="I360" s="9">
        <f>H360*D360</f>
        <v>33</v>
      </c>
      <c r="J360" s="41" t="s">
        <v>545</v>
      </c>
      <c r="K360" s="43">
        <f>Table_246[[#This Row],[Valor da 
venda]]-Table_246[[#This Row],[Valor gasto]]</f>
        <v>33</v>
      </c>
      <c r="L360" s="45" t="s">
        <v>15</v>
      </c>
      <c r="P360" s="160"/>
      <c r="Q360"/>
      <c r="R360" s="160"/>
      <c r="V360"/>
    </row>
    <row r="361" spans="1:22" ht="15" customHeight="1" x14ac:dyDescent="0.3">
      <c r="A361" s="21">
        <f>IF(Table_246[[#This Row],[Data]]="","",MONTH(Table_246[[#This Row],[Data]]))</f>
        <v>5</v>
      </c>
      <c r="B361" s="25">
        <v>46165</v>
      </c>
      <c r="C361" s="29" t="s">
        <v>2000</v>
      </c>
      <c r="D361" s="36">
        <v>1</v>
      </c>
      <c r="E361" s="41" t="s">
        <v>1085</v>
      </c>
      <c r="F361" s="42" t="str">
        <f>IFERROR(VLOOKUP(C361,#REF!,5,0),"0")</f>
        <v>0</v>
      </c>
      <c r="G361" s="9">
        <f>Table_246[[#This Row],[QT]]*Table_246[[#This Row],[Custo 
Un]]</f>
        <v>0</v>
      </c>
      <c r="H361" s="45">
        <v>7</v>
      </c>
      <c r="I361" s="9">
        <f>H361*D361</f>
        <v>7</v>
      </c>
      <c r="J361" s="41" t="s">
        <v>545</v>
      </c>
      <c r="K361" s="43">
        <f>Table_246[[#This Row],[Valor da 
venda]]-Table_246[[#This Row],[Valor gasto]]</f>
        <v>7</v>
      </c>
      <c r="L361" s="45" t="s">
        <v>15</v>
      </c>
      <c r="P361" s="160"/>
      <c r="Q361"/>
      <c r="R361" s="160"/>
      <c r="V361"/>
    </row>
    <row r="362" spans="1:22" ht="15" customHeight="1" x14ac:dyDescent="0.3">
      <c r="A362" s="21">
        <f>IF(Table_246[[#This Row],[Data]]="","",MONTH(Table_246[[#This Row],[Data]]))</f>
        <v>5</v>
      </c>
      <c r="B362" s="25">
        <v>46165</v>
      </c>
      <c r="C362" s="29" t="s">
        <v>2000</v>
      </c>
      <c r="D362" s="36">
        <v>2</v>
      </c>
      <c r="E362" s="41" t="s">
        <v>1024</v>
      </c>
      <c r="F362" s="42" t="str">
        <f>IFERROR(VLOOKUP(C362,#REF!,5,0),"0")</f>
        <v>0</v>
      </c>
      <c r="G362" s="9">
        <f>Table_246[[#This Row],[QT]]*Table_246[[#This Row],[Custo 
Un]]</f>
        <v>0</v>
      </c>
      <c r="H362" s="45">
        <v>7</v>
      </c>
      <c r="I362" s="9">
        <f>H362*D362</f>
        <v>14</v>
      </c>
      <c r="J362" s="41" t="s">
        <v>545</v>
      </c>
      <c r="K362" s="43">
        <f>Table_246[[#This Row],[Valor da 
venda]]-Table_246[[#This Row],[Valor gasto]]</f>
        <v>14</v>
      </c>
      <c r="L362" s="45" t="s">
        <v>15</v>
      </c>
      <c r="P362" s="160"/>
      <c r="Q362"/>
      <c r="R362" s="160"/>
      <c r="V362"/>
    </row>
    <row r="363" spans="1:22" ht="15" customHeight="1" x14ac:dyDescent="0.3">
      <c r="A363" s="21">
        <f>IF(Table_246[[#This Row],[Data]]="","",MONTH(Table_246[[#This Row],[Data]]))</f>
        <v>5</v>
      </c>
      <c r="B363" s="25">
        <v>46165</v>
      </c>
      <c r="C363" s="29" t="s">
        <v>668</v>
      </c>
      <c r="D363" s="36">
        <v>1</v>
      </c>
      <c r="E363" s="41" t="s">
        <v>996</v>
      </c>
      <c r="F363" s="42">
        <v>280</v>
      </c>
      <c r="G363" s="9">
        <f>Table_246[[#This Row],[QT]]*Table_246[[#This Row],[Custo 
Un]]</f>
        <v>280</v>
      </c>
      <c r="H363" s="45">
        <v>350</v>
      </c>
      <c r="I363" s="9">
        <f>H363*D363</f>
        <v>350</v>
      </c>
      <c r="J363" s="41" t="s">
        <v>545</v>
      </c>
      <c r="K363" s="43">
        <f>Table_246[[#This Row],[Valor da 
venda]]-Table_246[[#This Row],[Valor gasto]]</f>
        <v>70</v>
      </c>
      <c r="L363" s="45" t="s">
        <v>15</v>
      </c>
      <c r="P363" s="160"/>
      <c r="Q363"/>
      <c r="R363" s="160"/>
      <c r="V363"/>
    </row>
    <row r="364" spans="1:22" ht="15" customHeight="1" x14ac:dyDescent="0.3">
      <c r="A364" s="21">
        <f>IF(Table_246[[#This Row],[Data]]="","",MONTH(Table_246[[#This Row],[Data]]))</f>
        <v>5</v>
      </c>
      <c r="B364" s="25">
        <v>46165</v>
      </c>
      <c r="C364" s="29" t="s">
        <v>2001</v>
      </c>
      <c r="D364" s="36">
        <v>1</v>
      </c>
      <c r="E364" s="41" t="s">
        <v>996</v>
      </c>
      <c r="F364" s="42">
        <v>30</v>
      </c>
      <c r="G364" s="9">
        <f>Table_246[[#This Row],[QT]]*Table_246[[#This Row],[Custo 
Un]]</f>
        <v>30</v>
      </c>
      <c r="H364" s="45">
        <v>60</v>
      </c>
      <c r="I364" s="9">
        <f>H364*D364</f>
        <v>60</v>
      </c>
      <c r="J364" s="41" t="s">
        <v>545</v>
      </c>
      <c r="K364" s="43">
        <f>Table_246[[#This Row],[Valor da 
venda]]-Table_246[[#This Row],[Valor gasto]]</f>
        <v>30</v>
      </c>
      <c r="L364" s="45" t="s">
        <v>15</v>
      </c>
      <c r="P364" s="160"/>
      <c r="Q364"/>
      <c r="R364" s="160"/>
      <c r="V364"/>
    </row>
    <row r="365" spans="1:22" ht="15" customHeight="1" x14ac:dyDescent="0.3">
      <c r="A365" s="21">
        <f>IF(Table_246[[#This Row],[Data]]="","",MONTH(Table_246[[#This Row],[Data]]))</f>
        <v>5</v>
      </c>
      <c r="B365" s="25">
        <v>46165</v>
      </c>
      <c r="C365" s="29" t="s">
        <v>2002</v>
      </c>
      <c r="D365" s="36">
        <v>1</v>
      </c>
      <c r="E365" s="41" t="s">
        <v>996</v>
      </c>
      <c r="F365" s="42" t="str">
        <f>IFERROR(VLOOKUP(C365,#REF!,5,0),"0")</f>
        <v>0</v>
      </c>
      <c r="G365" s="9">
        <f>Table_246[[#This Row],[QT]]*Table_246[[#This Row],[Custo 
Un]]</f>
        <v>0</v>
      </c>
      <c r="H365" s="45">
        <v>18</v>
      </c>
      <c r="I365" s="9">
        <f>H365*D365</f>
        <v>18</v>
      </c>
      <c r="J365" s="41" t="s">
        <v>545</v>
      </c>
      <c r="K365" s="43">
        <f>Table_246[[#This Row],[Valor da 
venda]]-Table_246[[#This Row],[Valor gasto]]</f>
        <v>18</v>
      </c>
      <c r="L365" s="45" t="s">
        <v>15</v>
      </c>
      <c r="P365" s="160"/>
      <c r="Q365"/>
      <c r="R365" s="160"/>
      <c r="V365"/>
    </row>
    <row r="366" spans="1:22" ht="15" customHeight="1" x14ac:dyDescent="0.3">
      <c r="A366" s="21">
        <f>IF(Table_246[[#This Row],[Data]]="","",MONTH(Table_246[[#This Row],[Data]]))</f>
        <v>5</v>
      </c>
      <c r="B366" s="25">
        <v>46165</v>
      </c>
      <c r="C366" s="29" t="s">
        <v>1787</v>
      </c>
      <c r="D366" s="36">
        <v>1</v>
      </c>
      <c r="E366" s="41" t="s">
        <v>996</v>
      </c>
      <c r="F366" s="42" t="str">
        <f>IFERROR(VLOOKUP(C366,#REF!,5,0),"0")</f>
        <v>0</v>
      </c>
      <c r="G366" s="9">
        <f>Table_246[[#This Row],[QT]]*Table_246[[#This Row],[Custo 
Un]]</f>
        <v>0</v>
      </c>
      <c r="H366" s="45">
        <v>50</v>
      </c>
      <c r="I366" s="9">
        <f>H366*D366</f>
        <v>50</v>
      </c>
      <c r="J366" s="41" t="s">
        <v>545</v>
      </c>
      <c r="K366" s="43">
        <f>Table_246[[#This Row],[Valor da 
venda]]-Table_246[[#This Row],[Valor gasto]]</f>
        <v>50</v>
      </c>
      <c r="L366" s="45" t="s">
        <v>15</v>
      </c>
      <c r="P366" s="160"/>
      <c r="Q366"/>
      <c r="R366" s="160"/>
      <c r="V366"/>
    </row>
    <row r="367" spans="1:22" ht="15" customHeight="1" x14ac:dyDescent="0.3">
      <c r="A367" s="21">
        <f>IF(Table_246[[#This Row],[Data]]="","",MONTH(Table_246[[#This Row],[Data]]))</f>
        <v>5</v>
      </c>
      <c r="B367" s="25">
        <v>46165</v>
      </c>
      <c r="C367" s="29" t="s">
        <v>2003</v>
      </c>
      <c r="D367" s="36">
        <v>1</v>
      </c>
      <c r="E367" s="41" t="s">
        <v>996</v>
      </c>
      <c r="F367" s="42" t="str">
        <f>IFERROR(VLOOKUP(C367,#REF!,5,0),"0")</f>
        <v>0</v>
      </c>
      <c r="G367" s="9">
        <f>Table_246[[#This Row],[QT]]*Table_246[[#This Row],[Custo 
Un]]</f>
        <v>0</v>
      </c>
      <c r="H367" s="45">
        <v>250</v>
      </c>
      <c r="I367" s="9">
        <f>H367*D367</f>
        <v>250</v>
      </c>
      <c r="J367" s="41" t="s">
        <v>545</v>
      </c>
      <c r="K367" s="43">
        <f>Table_246[[#This Row],[Valor da 
venda]]-Table_246[[#This Row],[Valor gasto]]</f>
        <v>250</v>
      </c>
      <c r="L367" s="45" t="s">
        <v>15</v>
      </c>
      <c r="P367" s="160"/>
      <c r="Q367"/>
      <c r="R367" s="160"/>
      <c r="V367"/>
    </row>
    <row r="368" spans="1:22" ht="15" customHeight="1" x14ac:dyDescent="0.3">
      <c r="A368" s="21">
        <f>IF(Table_246[[#This Row],[Data]]="","",MONTH(Table_246[[#This Row],[Data]]))</f>
        <v>5</v>
      </c>
      <c r="B368" s="25">
        <v>46166</v>
      </c>
      <c r="C368" s="29" t="s">
        <v>2004</v>
      </c>
      <c r="D368" s="36">
        <v>25</v>
      </c>
      <c r="E368" s="41" t="s">
        <v>1024</v>
      </c>
      <c r="F368" s="42" t="str">
        <f>IFERROR(VLOOKUP(C368,#REF!,5,0),"0")</f>
        <v>0</v>
      </c>
      <c r="G368" s="9">
        <f>Table_246[[#This Row],[QT]]*Table_246[[#This Row],[Custo 
Un]]</f>
        <v>0</v>
      </c>
      <c r="H368" s="45">
        <v>1</v>
      </c>
      <c r="I368" s="9">
        <f>H368*D368</f>
        <v>25</v>
      </c>
      <c r="J368" s="41" t="s">
        <v>545</v>
      </c>
      <c r="K368" s="43">
        <f>Table_246[[#This Row],[Valor da 
venda]]-Table_246[[#This Row],[Valor gasto]]</f>
        <v>25</v>
      </c>
      <c r="L368" s="158" t="s">
        <v>981</v>
      </c>
      <c r="P368" s="160"/>
      <c r="Q368"/>
      <c r="R368" s="160"/>
      <c r="V368"/>
    </row>
    <row r="369" spans="1:22" ht="15" customHeight="1" x14ac:dyDescent="0.3">
      <c r="A369" s="21">
        <f>IF(Table_246[[#This Row],[Data]]="","",MONTH(Table_246[[#This Row],[Data]]))</f>
        <v>5</v>
      </c>
      <c r="B369" s="25">
        <v>46167</v>
      </c>
      <c r="C369" s="29" t="s">
        <v>2004</v>
      </c>
      <c r="D369" s="36">
        <v>10</v>
      </c>
      <c r="E369" s="41" t="s">
        <v>811</v>
      </c>
      <c r="F369" s="42" t="str">
        <f>IFERROR(VLOOKUP(C369,#REF!,5,0),"0")</f>
        <v>0</v>
      </c>
      <c r="G369" s="9">
        <f>Table_246[[#This Row],[QT]]*Table_246[[#This Row],[Custo 
Un]]</f>
        <v>0</v>
      </c>
      <c r="H369" s="45">
        <v>1</v>
      </c>
      <c r="I369" s="9">
        <f>H369*D369</f>
        <v>10</v>
      </c>
      <c r="J369" s="41" t="s">
        <v>545</v>
      </c>
      <c r="K369" s="43">
        <f>Table_246[[#This Row],[Valor da 
venda]]-Table_246[[#This Row],[Valor gasto]]</f>
        <v>10</v>
      </c>
      <c r="L369" s="45" t="s">
        <v>15</v>
      </c>
      <c r="P369" s="160"/>
      <c r="Q369"/>
      <c r="R369" s="160"/>
      <c r="V369"/>
    </row>
    <row r="370" spans="1:22" ht="15" customHeight="1" x14ac:dyDescent="0.3">
      <c r="A370" s="21">
        <f>IF(Table_246[[#This Row],[Data]]="","",MONTH(Table_246[[#This Row],[Data]]))</f>
        <v>5</v>
      </c>
      <c r="B370" s="25">
        <v>46168</v>
      </c>
      <c r="C370" s="29" t="s">
        <v>2005</v>
      </c>
      <c r="D370" s="36">
        <v>1</v>
      </c>
      <c r="E370" s="41" t="s">
        <v>811</v>
      </c>
      <c r="F370" s="42">
        <f>12*5</f>
        <v>60</v>
      </c>
      <c r="G370" s="9">
        <f>Table_246[[#This Row],[QT]]*Table_246[[#This Row],[Custo 
Un]]</f>
        <v>60</v>
      </c>
      <c r="H370" s="45">
        <v>130</v>
      </c>
      <c r="I370" s="9">
        <f>H370*D370</f>
        <v>130</v>
      </c>
      <c r="J370" s="41" t="s">
        <v>545</v>
      </c>
      <c r="K370" s="43">
        <f>Table_246[[#This Row],[Valor da 
venda]]-Table_246[[#This Row],[Valor gasto]]</f>
        <v>70</v>
      </c>
      <c r="L370" s="45" t="s">
        <v>981</v>
      </c>
      <c r="P370" s="160"/>
      <c r="Q370"/>
      <c r="R370" s="160"/>
      <c r="V370"/>
    </row>
    <row r="371" spans="1:22" ht="15" customHeight="1" x14ac:dyDescent="0.3">
      <c r="A371" s="21">
        <f>IF(Table_246[[#This Row],[Data]]="","",MONTH(Table_246[[#This Row],[Data]]))</f>
        <v>5</v>
      </c>
      <c r="B371" s="25">
        <v>46169</v>
      </c>
      <c r="C371" s="29" t="s">
        <v>1995</v>
      </c>
      <c r="D371" s="36">
        <v>4</v>
      </c>
      <c r="E371" s="41" t="s">
        <v>1999</v>
      </c>
      <c r="F371" s="42">
        <v>5.5</v>
      </c>
      <c r="G371" s="9">
        <f>Table_246[[#This Row],[QT]]*Table_246[[#This Row],[Custo 
Un]]</f>
        <v>22</v>
      </c>
      <c r="H371" s="45">
        <v>7</v>
      </c>
      <c r="I371" s="9">
        <f>H371*D371</f>
        <v>28</v>
      </c>
      <c r="J371" s="41" t="s">
        <v>545</v>
      </c>
      <c r="K371" s="43">
        <f>Table_246[[#This Row],[Valor da 
venda]]-Table_246[[#This Row],[Valor gasto]]</f>
        <v>6</v>
      </c>
      <c r="L371" s="45" t="s">
        <v>981</v>
      </c>
      <c r="P371" s="160"/>
      <c r="Q371"/>
      <c r="R371" s="160"/>
      <c r="V371"/>
    </row>
    <row r="372" spans="1:22" ht="15" customHeight="1" x14ac:dyDescent="0.3">
      <c r="A372" s="21">
        <f>IF(Table_246[[#This Row],[Data]]="","",MONTH(Table_246[[#This Row],[Data]]))</f>
        <v>5</v>
      </c>
      <c r="B372" s="25">
        <v>46170</v>
      </c>
      <c r="C372" s="29" t="s">
        <v>139</v>
      </c>
      <c r="D372" s="36">
        <v>1</v>
      </c>
      <c r="E372" s="41" t="s">
        <v>451</v>
      </c>
      <c r="F372" s="42" t="str">
        <f>IFERROR(VLOOKUP(C372,#REF!,5,0),"0")</f>
        <v>0</v>
      </c>
      <c r="G372" s="9">
        <f>Table_246[[#This Row],[QT]]*Table_246[[#This Row],[Custo 
Un]]</f>
        <v>0</v>
      </c>
      <c r="H372" s="45">
        <v>1</v>
      </c>
      <c r="I372" s="9">
        <f>H372*D372</f>
        <v>1</v>
      </c>
      <c r="J372" s="41" t="s">
        <v>545</v>
      </c>
      <c r="K372" s="43">
        <f>Table_246[[#This Row],[Valor da 
venda]]-Table_246[[#This Row],[Valor gasto]]</f>
        <v>1</v>
      </c>
      <c r="L372" s="45" t="s">
        <v>15</v>
      </c>
      <c r="P372" s="160"/>
      <c r="Q372"/>
      <c r="R372" s="160"/>
      <c r="V372"/>
    </row>
    <row r="373" spans="1:22" ht="15" customHeight="1" x14ac:dyDescent="0.3">
      <c r="A373" s="21">
        <f>IF(Table_246[[#This Row],[Data]]="","",MONTH(Table_246[[#This Row],[Data]]))</f>
        <v>5</v>
      </c>
      <c r="B373" s="25">
        <v>46171</v>
      </c>
      <c r="C373" s="29" t="s">
        <v>2006</v>
      </c>
      <c r="D373" s="36">
        <v>1</v>
      </c>
      <c r="E373" s="41" t="s">
        <v>811</v>
      </c>
      <c r="F373" s="42">
        <v>3.5</v>
      </c>
      <c r="G373" s="9">
        <f>Table_246[[#This Row],[QT]]*Table_246[[#This Row],[Custo 
Un]]</f>
        <v>3.5</v>
      </c>
      <c r="H373" s="45">
        <v>10</v>
      </c>
      <c r="I373" s="9">
        <f>H373*D373</f>
        <v>10</v>
      </c>
      <c r="J373" s="41" t="s">
        <v>545</v>
      </c>
      <c r="K373" s="43">
        <f>Table_246[[#This Row],[Valor da 
venda]]-Table_246[[#This Row],[Valor gasto]]</f>
        <v>6.5</v>
      </c>
      <c r="L373" s="45" t="s">
        <v>15</v>
      </c>
      <c r="P373" s="160"/>
      <c r="Q373"/>
      <c r="R373" s="160"/>
      <c r="V373"/>
    </row>
    <row r="374" spans="1:22" ht="15" customHeight="1" x14ac:dyDescent="0.3">
      <c r="A374" s="21">
        <f>IF(Table_246[[#This Row],[Data]]="","",MONTH(Table_246[[#This Row],[Data]]))</f>
        <v>5</v>
      </c>
      <c r="B374" s="25">
        <v>46172</v>
      </c>
      <c r="C374" s="29" t="s">
        <v>2006</v>
      </c>
      <c r="D374" s="36">
        <v>1</v>
      </c>
      <c r="E374" s="41" t="s">
        <v>232</v>
      </c>
      <c r="F374" s="42">
        <v>3.5</v>
      </c>
      <c r="G374" s="9">
        <f>Table_246[[#This Row],[QT]]*Table_246[[#This Row],[Custo 
Un]]</f>
        <v>3.5</v>
      </c>
      <c r="H374" s="45">
        <v>10</v>
      </c>
      <c r="I374" s="9">
        <f>H374*D374</f>
        <v>10</v>
      </c>
      <c r="J374" s="41" t="s">
        <v>545</v>
      </c>
      <c r="K374" s="43">
        <f>Table_246[[#This Row],[Valor da 
venda]]-Table_246[[#This Row],[Valor gasto]]</f>
        <v>6.5</v>
      </c>
      <c r="L374" s="45" t="s">
        <v>981</v>
      </c>
      <c r="P374" s="160"/>
      <c r="Q374"/>
      <c r="R374" s="160"/>
      <c r="V374"/>
    </row>
    <row r="375" spans="1:22" ht="15" customHeight="1" x14ac:dyDescent="0.3">
      <c r="A375" s="21">
        <f>IF(Table_246[[#This Row],[Data]]="","",MONTH(Table_246[[#This Row],[Data]]))</f>
        <v>5</v>
      </c>
      <c r="B375" s="25">
        <v>46173</v>
      </c>
      <c r="C375" s="29" t="s">
        <v>2007</v>
      </c>
      <c r="D375" s="36">
        <v>1</v>
      </c>
      <c r="E375" s="41" t="s">
        <v>996</v>
      </c>
      <c r="F375" s="42">
        <v>3</v>
      </c>
      <c r="G375" s="9">
        <f>Table_246[[#This Row],[QT]]*Table_246[[#This Row],[Custo 
Un]]</f>
        <v>3</v>
      </c>
      <c r="H375" s="45">
        <v>5</v>
      </c>
      <c r="I375" s="9">
        <f>H375*D375</f>
        <v>5</v>
      </c>
      <c r="J375" s="41" t="s">
        <v>545</v>
      </c>
      <c r="K375" s="43">
        <f>Table_246[[#This Row],[Valor da 
venda]]-Table_246[[#This Row],[Valor gasto]]</f>
        <v>2</v>
      </c>
      <c r="L375" s="45" t="s">
        <v>15</v>
      </c>
      <c r="P375" s="160"/>
      <c r="Q375"/>
      <c r="R375" s="160"/>
      <c r="V375"/>
    </row>
    <row r="376" spans="1:22" ht="15" customHeight="1" x14ac:dyDescent="0.3">
      <c r="A376" s="21">
        <f>IF(Table_246[[#This Row],[Data]]="","",MONTH(Table_246[[#This Row],[Data]]))</f>
        <v>6</v>
      </c>
      <c r="B376" s="25">
        <v>46174</v>
      </c>
      <c r="C376" s="29" t="s">
        <v>1957</v>
      </c>
      <c r="D376" s="36">
        <v>1</v>
      </c>
      <c r="E376" s="41" t="s">
        <v>996</v>
      </c>
      <c r="F376" s="42">
        <v>20</v>
      </c>
      <c r="G376" s="9">
        <f>Table_246[[#This Row],[QT]]*Table_246[[#This Row],[Custo 
Un]]</f>
        <v>20</v>
      </c>
      <c r="H376" s="45">
        <v>40</v>
      </c>
      <c r="I376" s="9">
        <f>H376*D376</f>
        <v>40</v>
      </c>
      <c r="J376" s="41" t="s">
        <v>545</v>
      </c>
      <c r="K376" s="43">
        <f>Table_246[[#This Row],[Valor da 
venda]]-Table_246[[#This Row],[Valor gasto]]</f>
        <v>20</v>
      </c>
      <c r="L376" s="45" t="s">
        <v>15</v>
      </c>
      <c r="P376" s="160"/>
      <c r="Q376"/>
      <c r="R376" s="160"/>
      <c r="V376"/>
    </row>
    <row r="377" spans="1:22" ht="15" customHeight="1" x14ac:dyDescent="0.3">
      <c r="A377" s="21">
        <f>IF(Table_246[[#This Row],[Data]]="","",MONTH(Table_246[[#This Row],[Data]]))</f>
        <v>6</v>
      </c>
      <c r="B377" s="25">
        <v>46175</v>
      </c>
      <c r="C377" s="29" t="s">
        <v>1944</v>
      </c>
      <c r="D377" s="36">
        <v>1</v>
      </c>
      <c r="E377" s="41" t="s">
        <v>996</v>
      </c>
      <c r="F377" s="42">
        <v>10</v>
      </c>
      <c r="G377" s="9">
        <f>Table_246[[#This Row],[QT]]*Table_246[[#This Row],[Custo 
Un]]</f>
        <v>10</v>
      </c>
      <c r="H377" s="45">
        <v>25</v>
      </c>
      <c r="I377" s="9">
        <f>H377*D377</f>
        <v>25</v>
      </c>
      <c r="J377" s="41" t="s">
        <v>545</v>
      </c>
      <c r="K377" s="43">
        <f>Table_246[[#This Row],[Valor da 
venda]]-Table_246[[#This Row],[Valor gasto]]</f>
        <v>15</v>
      </c>
      <c r="L377" s="45" t="s">
        <v>15</v>
      </c>
      <c r="P377" s="160"/>
      <c r="Q377"/>
      <c r="R377" s="160"/>
      <c r="V377"/>
    </row>
    <row r="378" spans="1:22" ht="15" customHeight="1" x14ac:dyDescent="0.3">
      <c r="A378" s="21">
        <f>IF(Table_246[[#This Row],[Data]]="","",MONTH(Table_246[[#This Row],[Data]]))</f>
        <v>6</v>
      </c>
      <c r="B378" s="25">
        <v>46176</v>
      </c>
      <c r="C378" s="29" t="s">
        <v>947</v>
      </c>
      <c r="D378" s="36">
        <v>1</v>
      </c>
      <c r="E378" s="41" t="s">
        <v>2009</v>
      </c>
      <c r="F378" s="42">
        <v>4</v>
      </c>
      <c r="G378" s="9">
        <f>Table_246[[#This Row],[QT]]*Table_246[[#This Row],[Custo 
Un]]</f>
        <v>4</v>
      </c>
      <c r="H378" s="45">
        <v>15</v>
      </c>
      <c r="I378" s="9">
        <f>H378*D378</f>
        <v>15</v>
      </c>
      <c r="J378" s="41" t="s">
        <v>545</v>
      </c>
      <c r="K378" s="43">
        <f>Table_246[[#This Row],[Valor da 
venda]]-Table_246[[#This Row],[Valor gasto]]</f>
        <v>11</v>
      </c>
      <c r="L378" s="45" t="s">
        <v>15</v>
      </c>
      <c r="P378" s="160"/>
      <c r="Q378"/>
      <c r="R378" s="160"/>
      <c r="V378"/>
    </row>
    <row r="379" spans="1:22" ht="15" customHeight="1" x14ac:dyDescent="0.3">
      <c r="A379" s="21">
        <f>IF(Table_246[[#This Row],[Data]]="","",MONTH(Table_246[[#This Row],[Data]]))</f>
        <v>6</v>
      </c>
      <c r="B379" s="25">
        <v>46176</v>
      </c>
      <c r="C379" s="29" t="s">
        <v>1787</v>
      </c>
      <c r="D379" s="36">
        <v>1</v>
      </c>
      <c r="E379" s="41" t="s">
        <v>996</v>
      </c>
      <c r="F379" s="42" t="str">
        <f>IFERROR(VLOOKUP(C379,#REF!,5,0),"0")</f>
        <v>0</v>
      </c>
      <c r="G379" s="9">
        <f>Table_246[[#This Row],[QT]]*Table_246[[#This Row],[Custo 
Un]]</f>
        <v>0</v>
      </c>
      <c r="H379" s="45">
        <v>70</v>
      </c>
      <c r="I379" s="9">
        <f>H379*D379</f>
        <v>70</v>
      </c>
      <c r="J379" s="41" t="s">
        <v>545</v>
      </c>
      <c r="K379" s="43">
        <f>Table_246[[#This Row],[Valor da 
venda]]-Table_246[[#This Row],[Valor gasto]]</f>
        <v>70</v>
      </c>
      <c r="L379" s="45" t="s">
        <v>15</v>
      </c>
      <c r="P379" s="160"/>
      <c r="Q379"/>
      <c r="R379" s="160"/>
      <c r="V379"/>
    </row>
    <row r="380" spans="1:22" ht="15" customHeight="1" x14ac:dyDescent="0.3">
      <c r="A380" s="21">
        <f>IF(Table_246[[#This Row],[Data]]="","",MONTH(Table_246[[#This Row],[Data]]))</f>
        <v>6</v>
      </c>
      <c r="B380" s="25">
        <v>46176</v>
      </c>
      <c r="C380" s="29" t="s">
        <v>2008</v>
      </c>
      <c r="D380" s="36">
        <v>1</v>
      </c>
      <c r="E380" s="41" t="s">
        <v>996</v>
      </c>
      <c r="F380" s="42" t="str">
        <f>IFERROR(VLOOKUP(C380,#REF!,5,0),"0")</f>
        <v>0</v>
      </c>
      <c r="G380" s="9">
        <f>Table_246[[#This Row],[QT]]*Table_246[[#This Row],[Custo 
Un]]</f>
        <v>0</v>
      </c>
      <c r="H380" s="45">
        <v>2</v>
      </c>
      <c r="I380" s="9">
        <f>H380*D380</f>
        <v>2</v>
      </c>
      <c r="J380" s="41" t="s">
        <v>545</v>
      </c>
      <c r="K380" s="43">
        <f>Table_246[[#This Row],[Valor da 
venda]]-Table_246[[#This Row],[Valor gasto]]</f>
        <v>2</v>
      </c>
      <c r="L380" s="45" t="s">
        <v>15</v>
      </c>
      <c r="P380" s="160"/>
      <c r="Q380"/>
      <c r="R380" s="160"/>
      <c r="V380"/>
    </row>
    <row r="381" spans="1:22" ht="15" customHeight="1" x14ac:dyDescent="0.3">
      <c r="A381" s="21">
        <f>IF(Table_246[[#This Row],[Data]]="","",MONTH(Table_246[[#This Row],[Data]]))</f>
        <v>6</v>
      </c>
      <c r="B381" s="25">
        <v>46177</v>
      </c>
      <c r="C381" s="29" t="s">
        <v>2010</v>
      </c>
      <c r="D381" s="36">
        <v>1</v>
      </c>
      <c r="E381" s="41" t="s">
        <v>996</v>
      </c>
      <c r="F381" s="42" t="str">
        <f>IFERROR(VLOOKUP(C381,#REF!,5,0),"0")</f>
        <v>0</v>
      </c>
      <c r="G381" s="9">
        <f>Table_246[[#This Row],[QT]]*Table_246[[#This Row],[Custo 
Un]]</f>
        <v>0</v>
      </c>
      <c r="H381" s="45">
        <v>10</v>
      </c>
      <c r="I381" s="9">
        <f>H381*D381</f>
        <v>10</v>
      </c>
      <c r="J381" s="41" t="s">
        <v>545</v>
      </c>
      <c r="K381" s="43">
        <f>Table_246[[#This Row],[Valor da 
venda]]-Table_246[[#This Row],[Valor gasto]]</f>
        <v>10</v>
      </c>
      <c r="L381" s="45" t="s">
        <v>15</v>
      </c>
      <c r="P381" s="160"/>
      <c r="Q381"/>
      <c r="R381" s="160"/>
      <c r="V381"/>
    </row>
    <row r="382" spans="1:22" ht="15" customHeight="1" x14ac:dyDescent="0.3">
      <c r="A382" s="21">
        <f>IF(Table_246[[#This Row],[Data]]="","",MONTH(Table_246[[#This Row],[Data]]))</f>
        <v>6</v>
      </c>
      <c r="B382" s="25">
        <v>46178</v>
      </c>
      <c r="C382" s="29" t="s">
        <v>2011</v>
      </c>
      <c r="D382" s="36">
        <v>2</v>
      </c>
      <c r="E382" s="41" t="s">
        <v>996</v>
      </c>
      <c r="F382" s="42" t="str">
        <f>IFERROR(VLOOKUP(C382,#REF!,5,0),"0")</f>
        <v>0</v>
      </c>
      <c r="G382" s="9">
        <f>Table_246[[#This Row],[QT]]*Table_246[[#This Row],[Custo 
Un]]</f>
        <v>0</v>
      </c>
      <c r="H382" s="45">
        <v>5</v>
      </c>
      <c r="I382" s="9">
        <f>H382*D382</f>
        <v>10</v>
      </c>
      <c r="J382" s="41" t="s">
        <v>545</v>
      </c>
      <c r="K382" s="43">
        <f>Table_246[[#This Row],[Valor da 
venda]]-Table_246[[#This Row],[Valor gasto]]</f>
        <v>10</v>
      </c>
      <c r="L382" s="45" t="s">
        <v>15</v>
      </c>
      <c r="P382" s="160"/>
      <c r="Q382"/>
      <c r="R382" s="160"/>
      <c r="V382"/>
    </row>
    <row r="383" spans="1:22" ht="15" customHeight="1" x14ac:dyDescent="0.3">
      <c r="A383" s="21">
        <f>IF(Table_246[[#This Row],[Data]]="","",MONTH(Table_246[[#This Row],[Data]]))</f>
        <v>6</v>
      </c>
      <c r="B383" s="25">
        <v>46178</v>
      </c>
      <c r="C383" s="29" t="s">
        <v>2013</v>
      </c>
      <c r="D383" s="36">
        <v>1</v>
      </c>
      <c r="E383" s="41" t="s">
        <v>2012</v>
      </c>
      <c r="F383" s="42">
        <v>650</v>
      </c>
      <c r="G383" s="9">
        <f>Table_246[[#This Row],[QT]]*Table_246[[#This Row],[Custo 
Un]]</f>
        <v>650</v>
      </c>
      <c r="H383" s="45">
        <v>945.51</v>
      </c>
      <c r="I383" s="9">
        <f>H383*D383</f>
        <v>945.51</v>
      </c>
      <c r="J383" s="41" t="s">
        <v>17</v>
      </c>
      <c r="K383" s="43">
        <f>Table_246[[#This Row],[Valor da 
venda]]-Table_246[[#This Row],[Valor gasto]]</f>
        <v>295.51</v>
      </c>
      <c r="L383" s="45" t="s">
        <v>15</v>
      </c>
      <c r="P383" s="160"/>
      <c r="Q383"/>
      <c r="R383" s="160"/>
      <c r="V383"/>
    </row>
    <row r="384" spans="1:22" ht="15" customHeight="1" x14ac:dyDescent="0.3">
      <c r="A384" s="21">
        <f>IF(Table_246[[#This Row],[Data]]="","",MONTH(Table_246[[#This Row],[Data]]))</f>
        <v>6</v>
      </c>
      <c r="B384" s="25">
        <v>46178</v>
      </c>
      <c r="C384" s="29" t="s">
        <v>2013</v>
      </c>
      <c r="D384" s="36">
        <v>1</v>
      </c>
      <c r="E384" s="41" t="s">
        <v>2014</v>
      </c>
      <c r="F384" s="42">
        <v>650</v>
      </c>
      <c r="G384" s="9">
        <f>Table_246[[#This Row],[QT]]*Table_246[[#This Row],[Custo 
Un]]</f>
        <v>650</v>
      </c>
      <c r="H384" s="45">
        <v>945.51</v>
      </c>
      <c r="I384" s="9">
        <f>H384*D384</f>
        <v>945.51</v>
      </c>
      <c r="J384" s="41" t="s">
        <v>17</v>
      </c>
      <c r="K384" s="43">
        <f>Table_246[[#This Row],[Valor da 
venda]]-Table_246[[#This Row],[Valor gasto]]</f>
        <v>295.51</v>
      </c>
      <c r="L384" s="45" t="s">
        <v>15</v>
      </c>
      <c r="P384" s="160"/>
      <c r="Q384"/>
      <c r="R384" s="160"/>
      <c r="V384"/>
    </row>
    <row r="385" spans="1:22" ht="15" customHeight="1" x14ac:dyDescent="0.3">
      <c r="A385" s="21">
        <f>IF(Table_246[[#This Row],[Data]]="","",MONTH(Table_246[[#This Row],[Data]]))</f>
        <v>6</v>
      </c>
      <c r="B385" s="25">
        <v>46178</v>
      </c>
      <c r="C385" s="84" t="s">
        <v>1035</v>
      </c>
      <c r="D385" s="36">
        <v>1</v>
      </c>
      <c r="E385" s="41" t="s">
        <v>2015</v>
      </c>
      <c r="F385" s="42" t="str">
        <f>IFERROR(VLOOKUP(C385,#REF!,5,0),"0")</f>
        <v>0</v>
      </c>
      <c r="G385" s="9">
        <f>Table_246[[#This Row],[QT]]*Table_246[[#This Row],[Custo 
Un]]</f>
        <v>0</v>
      </c>
      <c r="H385" s="45">
        <v>8.64</v>
      </c>
      <c r="I385" s="9">
        <f>H385*D385</f>
        <v>8.64</v>
      </c>
      <c r="J385" s="41" t="s">
        <v>17</v>
      </c>
      <c r="K385" s="43">
        <f>Table_246[[#This Row],[Valor da 
venda]]-Table_246[[#This Row],[Valor gasto]]</f>
        <v>8.64</v>
      </c>
      <c r="L385" s="45" t="s">
        <v>15</v>
      </c>
      <c r="P385" s="160"/>
      <c r="Q385"/>
      <c r="R385" s="160"/>
      <c r="V385"/>
    </row>
    <row r="386" spans="1:22" ht="15" customHeight="1" x14ac:dyDescent="0.3">
      <c r="A386" s="21">
        <f>IF(Table_246[[#This Row],[Data]]="","",MONTH(Table_246[[#This Row],[Data]]))</f>
        <v>6</v>
      </c>
      <c r="B386" s="25">
        <v>46178</v>
      </c>
      <c r="C386" s="84" t="s">
        <v>1035</v>
      </c>
      <c r="D386" s="36">
        <v>1</v>
      </c>
      <c r="E386" s="41" t="s">
        <v>2016</v>
      </c>
      <c r="F386" s="42" t="str">
        <f>IFERROR(VLOOKUP(C386,#REF!,5,0),"0")</f>
        <v>0</v>
      </c>
      <c r="G386" s="9">
        <f>Table_246[[#This Row],[QT]]*Table_246[[#This Row],[Custo 
Un]]</f>
        <v>0</v>
      </c>
      <c r="H386" s="45">
        <v>7.88</v>
      </c>
      <c r="I386" s="9">
        <f>H386*D386</f>
        <v>7.88</v>
      </c>
      <c r="J386" s="41" t="s">
        <v>17</v>
      </c>
      <c r="K386" s="43">
        <f>Table_246[[#This Row],[Valor da 
venda]]-Table_246[[#This Row],[Valor gasto]]</f>
        <v>7.88</v>
      </c>
      <c r="L386" s="45" t="s">
        <v>15</v>
      </c>
      <c r="P386" s="160"/>
      <c r="Q386"/>
      <c r="R386" s="160"/>
      <c r="V386"/>
    </row>
    <row r="387" spans="1:22" ht="15" customHeight="1" x14ac:dyDescent="0.3">
      <c r="A387" s="21">
        <f>IF(Table_246[[#This Row],[Data]]="","",MONTH(Table_246[[#This Row],[Data]]))</f>
        <v>6</v>
      </c>
      <c r="B387" s="25">
        <v>46178</v>
      </c>
      <c r="C387" s="29" t="s">
        <v>2018</v>
      </c>
      <c r="D387" s="36">
        <v>1</v>
      </c>
      <c r="E387" s="41" t="s">
        <v>2017</v>
      </c>
      <c r="F387" s="42" t="str">
        <f>IFERROR(VLOOKUP(C387,#REF!,5,0),"0")</f>
        <v>0</v>
      </c>
      <c r="G387" s="9">
        <f>Table_246[[#This Row],[QT]]*Table_246[[#This Row],[Custo 
Un]]</f>
        <v>0</v>
      </c>
      <c r="H387" s="45">
        <v>24.75</v>
      </c>
      <c r="I387" s="9">
        <f>H387*D387</f>
        <v>24.75</v>
      </c>
      <c r="J387" s="41" t="s">
        <v>17</v>
      </c>
      <c r="K387" s="43">
        <f>Table_246[[#This Row],[Valor da 
venda]]-Table_246[[#This Row],[Valor gasto]]</f>
        <v>24.75</v>
      </c>
      <c r="L387" s="45" t="s">
        <v>15</v>
      </c>
      <c r="P387" s="160"/>
      <c r="Q387"/>
      <c r="R387" s="160"/>
      <c r="V387"/>
    </row>
    <row r="388" spans="1:22" ht="15" customHeight="1" x14ac:dyDescent="0.3">
      <c r="A388" s="21">
        <f>IF(Table_246[[#This Row],[Data]]="","",MONTH(Table_246[[#This Row],[Data]]))</f>
        <v>6</v>
      </c>
      <c r="B388" s="25">
        <v>46178</v>
      </c>
      <c r="C388" s="29" t="s">
        <v>2037</v>
      </c>
      <c r="D388" s="36">
        <v>1</v>
      </c>
      <c r="E388" s="41" t="s">
        <v>2019</v>
      </c>
      <c r="F388" s="42">
        <v>350</v>
      </c>
      <c r="G388" s="9">
        <f>Table_246[[#This Row],[QT]]*Table_246[[#This Row],[Custo 
Un]]</f>
        <v>350</v>
      </c>
      <c r="H388" s="45">
        <v>394.71</v>
      </c>
      <c r="I388" s="9">
        <f>H388*D388</f>
        <v>394.71</v>
      </c>
      <c r="J388" s="41" t="s">
        <v>17</v>
      </c>
      <c r="K388" s="43">
        <f>Table_246[[#This Row],[Valor da 
venda]]-Table_246[[#This Row],[Valor gasto]]</f>
        <v>44.70999999999998</v>
      </c>
      <c r="L388" s="45" t="s">
        <v>15</v>
      </c>
      <c r="P388" s="160"/>
      <c r="Q388"/>
      <c r="R388" s="160"/>
      <c r="V388"/>
    </row>
    <row r="389" spans="1:22" ht="15" customHeight="1" x14ac:dyDescent="0.3">
      <c r="A389" s="21">
        <f>IF(Table_246[[#This Row],[Data]]="","",MONTH(Table_246[[#This Row],[Data]]))</f>
        <v>6</v>
      </c>
      <c r="B389" s="25">
        <v>46178</v>
      </c>
      <c r="C389" s="29" t="s">
        <v>2018</v>
      </c>
      <c r="D389" s="36">
        <v>1</v>
      </c>
      <c r="E389" s="41" t="s">
        <v>2020</v>
      </c>
      <c r="F389" s="42" t="str">
        <f>IFERROR(VLOOKUP(C389,#REF!,5,0),"0")</f>
        <v>0</v>
      </c>
      <c r="G389" s="9">
        <f>Table_246[[#This Row],[QT]]*Table_246[[#This Row],[Custo 
Un]]</f>
        <v>0</v>
      </c>
      <c r="H389" s="45">
        <v>24.75</v>
      </c>
      <c r="I389" s="9">
        <f>H389*D389</f>
        <v>24.75</v>
      </c>
      <c r="J389" s="41" t="s">
        <v>17</v>
      </c>
      <c r="K389" s="43">
        <f>Table_246[[#This Row],[Valor da 
venda]]-Table_246[[#This Row],[Valor gasto]]</f>
        <v>24.75</v>
      </c>
      <c r="L389" s="45" t="s">
        <v>981</v>
      </c>
      <c r="P389" s="160"/>
      <c r="Q389"/>
      <c r="R389" s="160"/>
      <c r="V389"/>
    </row>
    <row r="390" spans="1:22" ht="15" customHeight="1" x14ac:dyDescent="0.3">
      <c r="A390" s="21">
        <f>IF(Table_246[[#This Row],[Data]]="","",MONTH(Table_246[[#This Row],[Data]]))</f>
        <v>6</v>
      </c>
      <c r="B390" s="25">
        <v>46178</v>
      </c>
      <c r="C390" s="29" t="s">
        <v>2018</v>
      </c>
      <c r="D390" s="36">
        <v>1</v>
      </c>
      <c r="E390" s="41" t="s">
        <v>2021</v>
      </c>
      <c r="F390" s="42" t="str">
        <f>IFERROR(VLOOKUP(C390,#REF!,5,0),"0")</f>
        <v>0</v>
      </c>
      <c r="G390" s="9">
        <f>Table_246[[#This Row],[QT]]*Table_246[[#This Row],[Custo 
Un]]</f>
        <v>0</v>
      </c>
      <c r="H390" s="45">
        <v>24.75</v>
      </c>
      <c r="I390" s="9">
        <f>H390*D390</f>
        <v>24.75</v>
      </c>
      <c r="J390" s="41" t="s">
        <v>17</v>
      </c>
      <c r="K390" s="43">
        <f>Table_246[[#This Row],[Valor da 
venda]]-Table_246[[#This Row],[Valor gasto]]</f>
        <v>24.75</v>
      </c>
      <c r="L390" s="45" t="s">
        <v>981</v>
      </c>
      <c r="P390" s="160"/>
      <c r="Q390"/>
      <c r="R390" s="160"/>
      <c r="V390"/>
    </row>
    <row r="391" spans="1:22" ht="15" customHeight="1" x14ac:dyDescent="0.3">
      <c r="A391" s="21">
        <f>IF(Table_246[[#This Row],[Data]]="","",MONTH(Table_246[[#This Row],[Data]]))</f>
        <v>6</v>
      </c>
      <c r="B391" s="25">
        <v>46178</v>
      </c>
      <c r="C391" s="84" t="s">
        <v>1035</v>
      </c>
      <c r="D391" s="36">
        <v>1</v>
      </c>
      <c r="E391" s="41" t="s">
        <v>2022</v>
      </c>
      <c r="F391" s="42" t="str">
        <f>IFERROR(VLOOKUP(C391,#REF!,5,0),"0")</f>
        <v>0</v>
      </c>
      <c r="G391" s="9">
        <f>Table_246[[#This Row],[QT]]*Table_246[[#This Row],[Custo 
Un]]</f>
        <v>0</v>
      </c>
      <c r="H391" s="45">
        <v>7.88</v>
      </c>
      <c r="I391" s="9">
        <f>H391*D391</f>
        <v>7.88</v>
      </c>
      <c r="J391" s="41" t="s">
        <v>17</v>
      </c>
      <c r="K391" s="43">
        <f>Table_246[[#This Row],[Valor da 
venda]]-Table_246[[#This Row],[Valor gasto]]</f>
        <v>7.88</v>
      </c>
      <c r="L391" s="45" t="s">
        <v>981</v>
      </c>
      <c r="P391" s="160"/>
      <c r="Q391"/>
      <c r="R391" s="160"/>
      <c r="V391"/>
    </row>
    <row r="392" spans="1:22" ht="15" customHeight="1" x14ac:dyDescent="0.3">
      <c r="A392" s="21">
        <f>IF(Table_246[[#This Row],[Data]]="","",MONTH(Table_246[[#This Row],[Data]]))</f>
        <v>6</v>
      </c>
      <c r="B392" s="25">
        <v>46178</v>
      </c>
      <c r="C392" s="29" t="s">
        <v>2018</v>
      </c>
      <c r="D392" s="36">
        <v>1</v>
      </c>
      <c r="E392" s="41" t="s">
        <v>2023</v>
      </c>
      <c r="F392" s="42" t="str">
        <f>IFERROR(VLOOKUP(C392,#REF!,5,0),"0")</f>
        <v>0</v>
      </c>
      <c r="G392" s="9">
        <f>Table_246[[#This Row],[QT]]*Table_246[[#This Row],[Custo 
Un]]</f>
        <v>0</v>
      </c>
      <c r="H392" s="45">
        <v>24.75</v>
      </c>
      <c r="I392" s="9">
        <f>H392*D392</f>
        <v>24.75</v>
      </c>
      <c r="J392" s="41" t="s">
        <v>17</v>
      </c>
      <c r="K392" s="43">
        <f>Table_246[[#This Row],[Valor da 
venda]]-Table_246[[#This Row],[Valor gasto]]</f>
        <v>24.75</v>
      </c>
      <c r="L392" s="45" t="s">
        <v>981</v>
      </c>
      <c r="P392" s="160"/>
      <c r="Q392"/>
      <c r="R392" s="160"/>
      <c r="V392"/>
    </row>
    <row r="393" spans="1:22" ht="15" customHeight="1" x14ac:dyDescent="0.3">
      <c r="A393" s="21">
        <f>IF(Table_246[[#This Row],[Data]]="","",MONTH(Table_246[[#This Row],[Data]]))</f>
        <v>6</v>
      </c>
      <c r="B393" s="25">
        <v>46178</v>
      </c>
      <c r="C393" s="29" t="s">
        <v>2018</v>
      </c>
      <c r="D393" s="36">
        <v>1</v>
      </c>
      <c r="E393" s="41" t="s">
        <v>2024</v>
      </c>
      <c r="F393" s="42" t="str">
        <f>IFERROR(VLOOKUP(C393,#REF!,5,0),"0")</f>
        <v>0</v>
      </c>
      <c r="G393" s="9">
        <f>Table_246[[#This Row],[QT]]*Table_246[[#This Row],[Custo 
Un]]</f>
        <v>0</v>
      </c>
      <c r="H393" s="45">
        <v>24.75</v>
      </c>
      <c r="I393" s="9">
        <f>H393*D393</f>
        <v>24.75</v>
      </c>
      <c r="J393" s="41" t="s">
        <v>17</v>
      </c>
      <c r="K393" s="43">
        <f>Table_246[[#This Row],[Valor da 
venda]]-Table_246[[#This Row],[Valor gasto]]</f>
        <v>24.75</v>
      </c>
      <c r="L393" s="45" t="s">
        <v>981</v>
      </c>
      <c r="P393" s="160"/>
      <c r="Q393"/>
      <c r="R393" s="160"/>
      <c r="V393"/>
    </row>
    <row r="394" spans="1:22" ht="15" customHeight="1" x14ac:dyDescent="0.3">
      <c r="A394" s="21">
        <f>IF(Table_246[[#This Row],[Data]]="","",MONTH(Table_246[[#This Row],[Data]]))</f>
        <v>6</v>
      </c>
      <c r="B394" s="25">
        <v>46178</v>
      </c>
      <c r="C394" s="84" t="s">
        <v>1035</v>
      </c>
      <c r="D394" s="36">
        <v>10</v>
      </c>
      <c r="E394" s="41" t="s">
        <v>2025</v>
      </c>
      <c r="F394" s="42" t="str">
        <f>IFERROR(VLOOKUP(C394,#REF!,5,0),"0")</f>
        <v>0</v>
      </c>
      <c r="G394" s="9">
        <f>Table_246[[#This Row],[QT]]*Table_246[[#This Row],[Custo 
Un]]</f>
        <v>0</v>
      </c>
      <c r="H394" s="45">
        <f>44.25/10</f>
        <v>4.4249999999999998</v>
      </c>
      <c r="I394" s="9">
        <f>H394*D394</f>
        <v>44.25</v>
      </c>
      <c r="J394" s="41" t="s">
        <v>17</v>
      </c>
      <c r="K394" s="43">
        <f>Table_246[[#This Row],[Valor da 
venda]]-Table_246[[#This Row],[Valor gasto]]</f>
        <v>44.25</v>
      </c>
      <c r="L394" s="45" t="s">
        <v>981</v>
      </c>
      <c r="P394" s="160"/>
      <c r="Q394"/>
      <c r="R394" s="160"/>
      <c r="V394"/>
    </row>
    <row r="395" spans="1:22" ht="15" customHeight="1" x14ac:dyDescent="0.3">
      <c r="A395" s="21">
        <f>IF(Table_246[[#This Row],[Data]]="","",MONTH(Table_246[[#This Row],[Data]]))</f>
        <v>6</v>
      </c>
      <c r="B395" s="25">
        <v>46178</v>
      </c>
      <c r="C395" s="29" t="s">
        <v>2018</v>
      </c>
      <c r="D395" s="36">
        <v>1</v>
      </c>
      <c r="E395" s="41" t="s">
        <v>2026</v>
      </c>
      <c r="F395" s="42" t="str">
        <f>IFERROR(VLOOKUP(C395,#REF!,5,0),"0")</f>
        <v>0</v>
      </c>
      <c r="G395" s="9">
        <f>Table_246[[#This Row],[QT]]*Table_246[[#This Row],[Custo 
Un]]</f>
        <v>0</v>
      </c>
      <c r="H395" s="45">
        <v>24.75</v>
      </c>
      <c r="I395" s="9">
        <f>H395*D395</f>
        <v>24.75</v>
      </c>
      <c r="J395" s="41" t="s">
        <v>17</v>
      </c>
      <c r="K395" s="43">
        <f>Table_246[[#This Row],[Valor da 
venda]]-Table_246[[#This Row],[Valor gasto]]</f>
        <v>24.75</v>
      </c>
      <c r="L395" s="45" t="s">
        <v>981</v>
      </c>
      <c r="P395" s="160"/>
      <c r="Q395"/>
      <c r="R395" s="160"/>
      <c r="V395"/>
    </row>
    <row r="396" spans="1:22" ht="15" customHeight="1" x14ac:dyDescent="0.3">
      <c r="A396" s="21">
        <f>IF(Table_246[[#This Row],[Data]]="","",MONTH(Table_246[[#This Row],[Data]]))</f>
        <v>6</v>
      </c>
      <c r="B396" s="25">
        <v>46178</v>
      </c>
      <c r="C396" s="29" t="s">
        <v>2018</v>
      </c>
      <c r="D396" s="36">
        <v>1</v>
      </c>
      <c r="E396" s="41" t="s">
        <v>2027</v>
      </c>
      <c r="F396" s="42" t="str">
        <f>IFERROR(VLOOKUP(C396,#REF!,5,0),"0")</f>
        <v>0</v>
      </c>
      <c r="G396" s="9">
        <f>Table_246[[#This Row],[QT]]*Table_246[[#This Row],[Custo 
Un]]</f>
        <v>0</v>
      </c>
      <c r="H396" s="45">
        <v>24.75</v>
      </c>
      <c r="I396" s="9">
        <f>H396*D396</f>
        <v>24.75</v>
      </c>
      <c r="J396" s="41" t="s">
        <v>17</v>
      </c>
      <c r="K396" s="43">
        <f>Table_246[[#This Row],[Valor da 
venda]]-Table_246[[#This Row],[Valor gasto]]</f>
        <v>24.75</v>
      </c>
      <c r="L396" s="45" t="s">
        <v>981</v>
      </c>
      <c r="P396" s="160"/>
      <c r="Q396"/>
      <c r="R396" s="160"/>
      <c r="V396"/>
    </row>
    <row r="397" spans="1:22" ht="15" customHeight="1" x14ac:dyDescent="0.3">
      <c r="A397" s="21">
        <f>IF(Table_246[[#This Row],[Data]]="","",MONTH(Table_246[[#This Row],[Data]]))</f>
        <v>6</v>
      </c>
      <c r="B397" s="25">
        <v>46178</v>
      </c>
      <c r="C397" s="84" t="s">
        <v>1035</v>
      </c>
      <c r="D397" s="36">
        <v>1</v>
      </c>
      <c r="E397" s="41" t="s">
        <v>2028</v>
      </c>
      <c r="F397" s="42" t="str">
        <f>IFERROR(VLOOKUP(C397,#REF!,5,0),"0")</f>
        <v>0</v>
      </c>
      <c r="G397" s="9">
        <f>Table_246[[#This Row],[QT]]*Table_246[[#This Row],[Custo 
Un]]</f>
        <v>0</v>
      </c>
      <c r="H397" s="45">
        <v>8.3699999999999992</v>
      </c>
      <c r="I397" s="9">
        <f>H397*D397</f>
        <v>8.3699999999999992</v>
      </c>
      <c r="J397" s="41" t="s">
        <v>17</v>
      </c>
      <c r="K397" s="43">
        <f>Table_246[[#This Row],[Valor da 
venda]]-Table_246[[#This Row],[Valor gasto]]</f>
        <v>8.3699999999999992</v>
      </c>
      <c r="L397" s="45" t="s">
        <v>981</v>
      </c>
      <c r="P397" s="160"/>
      <c r="Q397"/>
      <c r="R397" s="160"/>
      <c r="V397"/>
    </row>
    <row r="398" spans="1:22" ht="15" customHeight="1" x14ac:dyDescent="0.3">
      <c r="A398" s="21">
        <f>IF(Table_246[[#This Row],[Data]]="","",MONTH(Table_246[[#This Row],[Data]]))</f>
        <v>6</v>
      </c>
      <c r="B398" s="25">
        <v>46178</v>
      </c>
      <c r="C398" s="29" t="s">
        <v>2018</v>
      </c>
      <c r="D398" s="36">
        <v>1</v>
      </c>
      <c r="E398" s="41" t="s">
        <v>2029</v>
      </c>
      <c r="F398" s="42" t="str">
        <f>IFERROR(VLOOKUP(C398,#REF!,5,0),"0")</f>
        <v>0</v>
      </c>
      <c r="G398" s="9">
        <f>Table_246[[#This Row],[QT]]*Table_246[[#This Row],[Custo 
Un]]</f>
        <v>0</v>
      </c>
      <c r="H398" s="45">
        <v>24.75</v>
      </c>
      <c r="I398" s="9">
        <f>H398*D398</f>
        <v>24.75</v>
      </c>
      <c r="J398" s="41" t="s">
        <v>17</v>
      </c>
      <c r="K398" s="43">
        <f>Table_246[[#This Row],[Valor da 
venda]]-Table_246[[#This Row],[Valor gasto]]</f>
        <v>24.75</v>
      </c>
      <c r="L398" s="45" t="s">
        <v>981</v>
      </c>
      <c r="P398" s="160"/>
      <c r="Q398"/>
      <c r="R398" s="160"/>
      <c r="V398"/>
    </row>
    <row r="399" spans="1:22" ht="15" customHeight="1" x14ac:dyDescent="0.3">
      <c r="A399" s="21">
        <f>IF(Table_246[[#This Row],[Data]]="","",MONTH(Table_246[[#This Row],[Data]]))</f>
        <v>6</v>
      </c>
      <c r="B399" s="25">
        <v>46178</v>
      </c>
      <c r="C399" s="84" t="s">
        <v>1035</v>
      </c>
      <c r="D399" s="36">
        <v>1</v>
      </c>
      <c r="E399" s="41" t="s">
        <v>2030</v>
      </c>
      <c r="F399" s="42" t="str">
        <f>IFERROR(VLOOKUP(C399,#REF!,5,0),"0")</f>
        <v>0</v>
      </c>
      <c r="G399" s="9">
        <f>Table_246[[#This Row],[QT]]*Table_246[[#This Row],[Custo 
Un]]</f>
        <v>0</v>
      </c>
      <c r="H399" s="45">
        <v>8.3699999999999992</v>
      </c>
      <c r="I399" s="9">
        <f>H399*D399</f>
        <v>8.3699999999999992</v>
      </c>
      <c r="J399" s="41" t="s">
        <v>17</v>
      </c>
      <c r="K399" s="43">
        <f>Table_246[[#This Row],[Valor da 
venda]]-Table_246[[#This Row],[Valor gasto]]</f>
        <v>8.3699999999999992</v>
      </c>
      <c r="L399" s="45" t="s">
        <v>981</v>
      </c>
      <c r="P399" s="160"/>
      <c r="Q399"/>
      <c r="R399" s="160"/>
      <c r="V399"/>
    </row>
    <row r="400" spans="1:22" ht="15" customHeight="1" x14ac:dyDescent="0.3">
      <c r="A400" s="21">
        <f>IF(Table_246[[#This Row],[Data]]="","",MONTH(Table_246[[#This Row],[Data]]))</f>
        <v>6</v>
      </c>
      <c r="B400" s="25">
        <v>46178</v>
      </c>
      <c r="C400" s="29" t="s">
        <v>2018</v>
      </c>
      <c r="D400" s="36">
        <v>1</v>
      </c>
      <c r="E400" s="41" t="s">
        <v>2031</v>
      </c>
      <c r="F400" s="42" t="str">
        <f>IFERROR(VLOOKUP(C400,#REF!,5,0),"0")</f>
        <v>0</v>
      </c>
      <c r="G400" s="9">
        <f>Table_246[[#This Row],[QT]]*Table_246[[#This Row],[Custo 
Un]]</f>
        <v>0</v>
      </c>
      <c r="H400" s="45">
        <v>24.75</v>
      </c>
      <c r="I400" s="9">
        <f>H400*D400</f>
        <v>24.75</v>
      </c>
      <c r="J400" s="41" t="s">
        <v>17</v>
      </c>
      <c r="K400" s="43">
        <f>Table_246[[#This Row],[Valor da 
venda]]-Table_246[[#This Row],[Valor gasto]]</f>
        <v>24.75</v>
      </c>
      <c r="L400" s="45" t="s">
        <v>981</v>
      </c>
      <c r="P400" s="160"/>
      <c r="Q400"/>
      <c r="R400" s="160"/>
      <c r="V400"/>
    </row>
    <row r="401" spans="1:22" ht="15" customHeight="1" x14ac:dyDescent="0.3">
      <c r="A401" s="21">
        <f>IF(Table_246[[#This Row],[Data]]="","",MONTH(Table_246[[#This Row],[Data]]))</f>
        <v>6</v>
      </c>
      <c r="B401" s="25">
        <v>46178</v>
      </c>
      <c r="C401" s="29" t="s">
        <v>2018</v>
      </c>
      <c r="D401" s="36">
        <v>1</v>
      </c>
      <c r="E401" s="41" t="s">
        <v>2032</v>
      </c>
      <c r="F401" s="42" t="str">
        <f>IFERROR(VLOOKUP(C401,#REF!,5,0),"0")</f>
        <v>0</v>
      </c>
      <c r="G401" s="9">
        <f>Table_246[[#This Row],[QT]]*Table_246[[#This Row],[Custo 
Un]]</f>
        <v>0</v>
      </c>
      <c r="H401" s="45">
        <v>24.75</v>
      </c>
      <c r="I401" s="9">
        <f>H401*D401</f>
        <v>24.75</v>
      </c>
      <c r="J401" s="41" t="s">
        <v>17</v>
      </c>
      <c r="K401" s="43">
        <f>Table_246[[#This Row],[Valor da 
venda]]-Table_246[[#This Row],[Valor gasto]]</f>
        <v>24.75</v>
      </c>
      <c r="L401" s="45" t="s">
        <v>981</v>
      </c>
      <c r="P401" s="160"/>
      <c r="Q401"/>
      <c r="R401" s="160"/>
      <c r="V401"/>
    </row>
    <row r="402" spans="1:22" ht="15" customHeight="1" x14ac:dyDescent="0.3">
      <c r="A402" s="21">
        <f>IF(Table_246[[#This Row],[Data]]="","",MONTH(Table_246[[#This Row],[Data]]))</f>
        <v>6</v>
      </c>
      <c r="B402" s="25">
        <v>46178</v>
      </c>
      <c r="C402" s="29" t="s">
        <v>2018</v>
      </c>
      <c r="D402" s="36">
        <v>1</v>
      </c>
      <c r="E402" s="41" t="s">
        <v>2033</v>
      </c>
      <c r="F402" s="42" t="str">
        <f>IFERROR(VLOOKUP(C402,#REF!,5,0),"0")</f>
        <v>0</v>
      </c>
      <c r="G402" s="9">
        <f>Table_246[[#This Row],[QT]]*Table_246[[#This Row],[Custo 
Un]]</f>
        <v>0</v>
      </c>
      <c r="H402" s="45">
        <v>24.75</v>
      </c>
      <c r="I402" s="9">
        <f>H402*D402</f>
        <v>24.75</v>
      </c>
      <c r="J402" s="41" t="s">
        <v>17</v>
      </c>
      <c r="K402" s="43">
        <f>Table_246[[#This Row],[Valor da 
venda]]-Table_246[[#This Row],[Valor gasto]]</f>
        <v>24.75</v>
      </c>
      <c r="L402" s="45" t="s">
        <v>981</v>
      </c>
      <c r="P402" s="160"/>
      <c r="Q402"/>
      <c r="R402" s="160"/>
      <c r="V402"/>
    </row>
    <row r="403" spans="1:22" ht="15" customHeight="1" x14ac:dyDescent="0.3">
      <c r="A403" s="21">
        <f>IF(Table_246[[#This Row],[Data]]="","",MONTH(Table_246[[#This Row],[Data]]))</f>
        <v>6</v>
      </c>
      <c r="B403" s="25">
        <v>46178</v>
      </c>
      <c r="C403" s="29" t="s">
        <v>2018</v>
      </c>
      <c r="D403" s="36">
        <v>1</v>
      </c>
      <c r="E403" s="41" t="s">
        <v>2034</v>
      </c>
      <c r="F403" s="42" t="str">
        <f>IFERROR(VLOOKUP(C403,#REF!,5,0),"0")</f>
        <v>0</v>
      </c>
      <c r="G403" s="9">
        <f>Table_246[[#This Row],[QT]]*Table_246[[#This Row],[Custo 
Un]]</f>
        <v>0</v>
      </c>
      <c r="H403" s="45">
        <v>24.75</v>
      </c>
      <c r="I403" s="9">
        <f>H403*D403</f>
        <v>24.75</v>
      </c>
      <c r="J403" s="41" t="s">
        <v>17</v>
      </c>
      <c r="K403" s="43">
        <f>Table_246[[#This Row],[Valor da 
venda]]-Table_246[[#This Row],[Valor gasto]]</f>
        <v>24.75</v>
      </c>
      <c r="L403" s="45" t="s">
        <v>981</v>
      </c>
      <c r="P403" s="160"/>
      <c r="Q403"/>
      <c r="R403" s="160"/>
      <c r="V403"/>
    </row>
    <row r="404" spans="1:22" ht="15" customHeight="1" x14ac:dyDescent="0.3">
      <c r="A404" s="21">
        <f>IF(Table_246[[#This Row],[Data]]="","",MONTH(Table_246[[#This Row],[Data]]))</f>
        <v>6</v>
      </c>
      <c r="B404" s="25">
        <v>46178</v>
      </c>
      <c r="C404" s="29" t="s">
        <v>2037</v>
      </c>
      <c r="D404" s="36">
        <v>1</v>
      </c>
      <c r="E404" s="41" t="s">
        <v>2035</v>
      </c>
      <c r="F404" s="42">
        <v>350</v>
      </c>
      <c r="G404" s="9">
        <f>Table_246[[#This Row],[QT]]*Table_246[[#This Row],[Custo 
Un]]</f>
        <v>350</v>
      </c>
      <c r="H404" s="45">
        <v>394.71</v>
      </c>
      <c r="I404" s="9">
        <f>H404*D404</f>
        <v>394.71</v>
      </c>
      <c r="J404" s="41" t="s">
        <v>17</v>
      </c>
      <c r="K404" s="43">
        <f>Table_246[[#This Row],[Valor da 
venda]]-Table_246[[#This Row],[Valor gasto]]</f>
        <v>44.70999999999998</v>
      </c>
      <c r="L404" s="45" t="s">
        <v>981</v>
      </c>
      <c r="P404" s="160"/>
      <c r="Q404"/>
      <c r="R404" s="160"/>
      <c r="V404"/>
    </row>
    <row r="405" spans="1:22" ht="15" customHeight="1" x14ac:dyDescent="0.3">
      <c r="A405" s="21">
        <f>IF(Table_246[[#This Row],[Data]]="","",MONTH(Table_246[[#This Row],[Data]]))</f>
        <v>6</v>
      </c>
      <c r="B405" s="25">
        <v>46178</v>
      </c>
      <c r="C405" s="84" t="s">
        <v>1035</v>
      </c>
      <c r="D405" s="36">
        <v>1</v>
      </c>
      <c r="E405" s="41" t="s">
        <v>2036</v>
      </c>
      <c r="F405" s="42" t="str">
        <f>IFERROR(VLOOKUP(C405,#REF!,5,0),"0")</f>
        <v>0</v>
      </c>
      <c r="G405" s="9">
        <f>Table_246[[#This Row],[QT]]*Table_246[[#This Row],[Custo 
Un]]</f>
        <v>0</v>
      </c>
      <c r="H405" s="45">
        <v>8.3699999999999992</v>
      </c>
      <c r="I405" s="9">
        <f>H405*D405</f>
        <v>8.3699999999999992</v>
      </c>
      <c r="J405" s="41" t="s">
        <v>17</v>
      </c>
      <c r="K405" s="43">
        <f>Table_246[[#This Row],[Valor da 
venda]]-Table_246[[#This Row],[Valor gasto]]</f>
        <v>8.3699999999999992</v>
      </c>
      <c r="L405" s="45" t="s">
        <v>981</v>
      </c>
      <c r="P405" s="160"/>
      <c r="Q405"/>
      <c r="R405" s="160"/>
      <c r="V405"/>
    </row>
    <row r="406" spans="1:22" ht="15" customHeight="1" x14ac:dyDescent="0.3">
      <c r="A406" s="21">
        <f>IF(Table_246[[#This Row],[Data]]="","",MONTH(Table_246[[#This Row],[Data]]))</f>
        <v>6</v>
      </c>
      <c r="B406" s="25">
        <v>46178</v>
      </c>
      <c r="C406" s="84" t="s">
        <v>1035</v>
      </c>
      <c r="D406" s="36">
        <v>1</v>
      </c>
      <c r="E406" s="41" t="s">
        <v>2038</v>
      </c>
      <c r="F406" s="42" t="str">
        <f>IFERROR(VLOOKUP(C406,#REF!,5,0),"0")</f>
        <v>0</v>
      </c>
      <c r="G406" s="9">
        <f>Table_246[[#This Row],[QT]]*Table_246[[#This Row],[Custo 
Un]]</f>
        <v>0</v>
      </c>
      <c r="H406" s="45">
        <v>8.3699999999999992</v>
      </c>
      <c r="I406" s="9">
        <f>H406*D406</f>
        <v>8.3699999999999992</v>
      </c>
      <c r="J406" s="41" t="s">
        <v>17</v>
      </c>
      <c r="K406" s="43">
        <f>Table_246[[#This Row],[Valor da 
venda]]-Table_246[[#This Row],[Valor gasto]]</f>
        <v>8.3699999999999992</v>
      </c>
      <c r="L406" s="45" t="s">
        <v>981</v>
      </c>
      <c r="P406" s="160"/>
      <c r="Q406"/>
      <c r="R406" s="160"/>
      <c r="V406"/>
    </row>
    <row r="407" spans="1:22" ht="15" customHeight="1" x14ac:dyDescent="0.3">
      <c r="A407" s="21">
        <f>IF(Table_246[[#This Row],[Data]]="","",MONTH(Table_246[[#This Row],[Data]]))</f>
        <v>6</v>
      </c>
      <c r="B407" s="25">
        <v>46178</v>
      </c>
      <c r="C407" s="29" t="s">
        <v>2018</v>
      </c>
      <c r="D407" s="36">
        <v>1</v>
      </c>
      <c r="E407" s="41" t="s">
        <v>2039</v>
      </c>
      <c r="F407" s="42" t="str">
        <f>IFERROR(VLOOKUP(C407,#REF!,5,0),"0")</f>
        <v>0</v>
      </c>
      <c r="G407" s="9">
        <f>Table_246[[#This Row],[QT]]*Table_246[[#This Row],[Custo 
Un]]</f>
        <v>0</v>
      </c>
      <c r="H407" s="45">
        <v>24.75</v>
      </c>
      <c r="I407" s="9">
        <f>H407*D407</f>
        <v>24.75</v>
      </c>
      <c r="J407" s="41" t="s">
        <v>17</v>
      </c>
      <c r="K407" s="43">
        <f>Table_246[[#This Row],[Valor da 
venda]]-Table_246[[#This Row],[Valor gasto]]</f>
        <v>24.75</v>
      </c>
      <c r="L407" s="45" t="s">
        <v>981</v>
      </c>
      <c r="P407" s="160"/>
      <c r="Q407"/>
      <c r="R407" s="160"/>
      <c r="V407"/>
    </row>
    <row r="408" spans="1:22" ht="15" customHeight="1" x14ac:dyDescent="0.3">
      <c r="A408" s="21">
        <f>IF(Table_246[[#This Row],[Data]]="","",MONTH(Table_246[[#This Row],[Data]]))</f>
        <v>6</v>
      </c>
      <c r="B408" s="25">
        <v>46178</v>
      </c>
      <c r="C408" s="29" t="s">
        <v>2018</v>
      </c>
      <c r="D408" s="36">
        <v>1</v>
      </c>
      <c r="E408" s="41" t="s">
        <v>2040</v>
      </c>
      <c r="F408" s="42" t="str">
        <f>IFERROR(VLOOKUP(C408,#REF!,5,0),"0")</f>
        <v>0</v>
      </c>
      <c r="G408" s="9">
        <f>Table_246[[#This Row],[QT]]*Table_246[[#This Row],[Custo 
Un]]</f>
        <v>0</v>
      </c>
      <c r="H408" s="45">
        <v>24.75</v>
      </c>
      <c r="I408" s="9">
        <f>H408*D408</f>
        <v>24.75</v>
      </c>
      <c r="J408" s="41" t="s">
        <v>17</v>
      </c>
      <c r="K408" s="43">
        <f>Table_246[[#This Row],[Valor da 
venda]]-Table_246[[#This Row],[Valor gasto]]</f>
        <v>24.75</v>
      </c>
      <c r="L408" s="45" t="s">
        <v>981</v>
      </c>
      <c r="P408" s="160"/>
      <c r="Q408"/>
      <c r="R408" s="160"/>
      <c r="V408"/>
    </row>
    <row r="409" spans="1:22" ht="15" customHeight="1" x14ac:dyDescent="0.3">
      <c r="A409" s="21">
        <f>IF(Table_246[[#This Row],[Data]]="","",MONTH(Table_246[[#This Row],[Data]]))</f>
        <v>6</v>
      </c>
      <c r="B409" s="25">
        <v>46178</v>
      </c>
      <c r="C409" s="29" t="s">
        <v>2018</v>
      </c>
      <c r="D409" s="36">
        <v>1</v>
      </c>
      <c r="E409" s="41" t="s">
        <v>2041</v>
      </c>
      <c r="F409" s="42" t="str">
        <f>IFERROR(VLOOKUP(C409,#REF!,5,0),"0")</f>
        <v>0</v>
      </c>
      <c r="G409" s="9">
        <f>Table_246[[#This Row],[QT]]*Table_246[[#This Row],[Custo 
Un]]</f>
        <v>0</v>
      </c>
      <c r="H409" s="45">
        <v>24.75</v>
      </c>
      <c r="I409" s="9">
        <f>H409*D409</f>
        <v>24.75</v>
      </c>
      <c r="J409" s="41" t="s">
        <v>17</v>
      </c>
      <c r="K409" s="43">
        <f>Table_246[[#This Row],[Valor da 
venda]]-Table_246[[#This Row],[Valor gasto]]</f>
        <v>24.75</v>
      </c>
      <c r="L409" s="45" t="s">
        <v>981</v>
      </c>
      <c r="P409" s="160"/>
      <c r="Q409"/>
      <c r="R409" s="160"/>
      <c r="V409"/>
    </row>
    <row r="410" spans="1:22" ht="15" customHeight="1" x14ac:dyDescent="0.3">
      <c r="A410" s="21">
        <f>IF(Table_246[[#This Row],[Data]]="","",MONTH(Table_246[[#This Row],[Data]]))</f>
        <v>6</v>
      </c>
      <c r="B410" s="25">
        <v>46178</v>
      </c>
      <c r="C410" s="84" t="s">
        <v>1035</v>
      </c>
      <c r="D410" s="36">
        <v>1</v>
      </c>
      <c r="E410" s="41" t="s">
        <v>2042</v>
      </c>
      <c r="F410" s="42" t="str">
        <f>IFERROR(VLOOKUP(C410,#REF!,5,0),"0")</f>
        <v>0</v>
      </c>
      <c r="G410" s="9">
        <f>Table_246[[#This Row],[QT]]*Table_246[[#This Row],[Custo 
Un]]</f>
        <v>0</v>
      </c>
      <c r="H410" s="45">
        <v>8.3699999999999992</v>
      </c>
      <c r="I410" s="9">
        <f>H410*D410</f>
        <v>8.3699999999999992</v>
      </c>
      <c r="J410" s="41" t="s">
        <v>17</v>
      </c>
      <c r="K410" s="43">
        <f>Table_246[[#This Row],[Valor da 
venda]]-Table_246[[#This Row],[Valor gasto]]</f>
        <v>8.3699999999999992</v>
      </c>
      <c r="L410" s="45" t="s">
        <v>981</v>
      </c>
      <c r="P410" s="160"/>
      <c r="Q410"/>
      <c r="R410" s="160"/>
      <c r="V410"/>
    </row>
    <row r="411" spans="1:22" ht="15" customHeight="1" x14ac:dyDescent="0.3">
      <c r="A411" s="21">
        <f>IF(Table_246[[#This Row],[Data]]="","",MONTH(Table_246[[#This Row],[Data]]))</f>
        <v>6</v>
      </c>
      <c r="B411" s="25">
        <v>46178</v>
      </c>
      <c r="C411" s="84" t="s">
        <v>1035</v>
      </c>
      <c r="D411" s="36">
        <v>1</v>
      </c>
      <c r="E411" s="41" t="s">
        <v>2044</v>
      </c>
      <c r="F411" s="42" t="str">
        <f>IFERROR(VLOOKUP(C411,#REF!,5,0),"0")</f>
        <v>0</v>
      </c>
      <c r="G411" s="9">
        <f>Table_246[[#This Row],[QT]]*Table_246[[#This Row],[Custo 
Un]]</f>
        <v>0</v>
      </c>
      <c r="H411" s="45">
        <v>8.3699999999999992</v>
      </c>
      <c r="I411" s="9">
        <f>H411*D411</f>
        <v>8.3699999999999992</v>
      </c>
      <c r="J411" s="41" t="s">
        <v>17</v>
      </c>
      <c r="K411" s="43">
        <f>Table_246[[#This Row],[Valor da 
venda]]-Table_246[[#This Row],[Valor gasto]]</f>
        <v>8.3699999999999992</v>
      </c>
      <c r="L411" s="45" t="s">
        <v>981</v>
      </c>
      <c r="P411" s="160"/>
      <c r="Q411"/>
      <c r="R411" s="160"/>
      <c r="V411"/>
    </row>
    <row r="412" spans="1:22" ht="15" customHeight="1" x14ac:dyDescent="0.3">
      <c r="A412" s="21">
        <f>IF(Table_246[[#This Row],[Data]]="","",MONTH(Table_246[[#This Row],[Data]]))</f>
        <v>6</v>
      </c>
      <c r="B412" s="25">
        <v>46178</v>
      </c>
      <c r="C412" s="29" t="s">
        <v>2045</v>
      </c>
      <c r="D412" s="36">
        <v>3</v>
      </c>
      <c r="E412" s="41" t="s">
        <v>2043</v>
      </c>
      <c r="F412" s="42">
        <v>300</v>
      </c>
      <c r="G412" s="9">
        <f>Table_246[[#This Row],[QT]]*Table_246[[#This Row],[Custo 
Un]]</f>
        <v>900</v>
      </c>
      <c r="H412" s="45">
        <f>1185.6/3</f>
        <v>395.2</v>
      </c>
      <c r="I412" s="9">
        <f>H412*D412</f>
        <v>1185.5999999999999</v>
      </c>
      <c r="J412" s="41" t="s">
        <v>17</v>
      </c>
      <c r="K412" s="43">
        <f>Table_246[[#This Row],[Valor da 
venda]]-Table_246[[#This Row],[Valor gasto]]</f>
        <v>285.59999999999991</v>
      </c>
      <c r="L412" s="45" t="s">
        <v>981</v>
      </c>
      <c r="P412" s="160"/>
      <c r="Q412"/>
      <c r="R412" s="160"/>
      <c r="V412"/>
    </row>
    <row r="413" spans="1:22" ht="15" customHeight="1" x14ac:dyDescent="0.3">
      <c r="A413" s="21">
        <f>IF(Table_246[[#This Row],[Data]]="","",MONTH(Table_246[[#This Row],[Data]]))</f>
        <v>6</v>
      </c>
      <c r="B413" s="25">
        <v>46178</v>
      </c>
      <c r="C413" s="29" t="s">
        <v>2037</v>
      </c>
      <c r="D413" s="36">
        <v>3</v>
      </c>
      <c r="E413" s="41" t="s">
        <v>2046</v>
      </c>
      <c r="F413" s="42">
        <v>350</v>
      </c>
      <c r="G413" s="9">
        <f>Table_246[[#This Row],[QT]]*Table_246[[#This Row],[Custo 
Un]]</f>
        <v>1050</v>
      </c>
      <c r="H413" s="45">
        <f>1185.6/3</f>
        <v>395.2</v>
      </c>
      <c r="I413" s="9">
        <f>H413*D413</f>
        <v>1185.5999999999999</v>
      </c>
      <c r="J413" s="41" t="s">
        <v>17</v>
      </c>
      <c r="K413" s="43">
        <f>Table_246[[#This Row],[Valor da 
venda]]-Table_246[[#This Row],[Valor gasto]]</f>
        <v>135.59999999999991</v>
      </c>
      <c r="L413" s="45" t="s">
        <v>981</v>
      </c>
      <c r="P413" s="160"/>
      <c r="Q413"/>
      <c r="R413" s="160"/>
      <c r="V413"/>
    </row>
    <row r="414" spans="1:22" ht="15" customHeight="1" x14ac:dyDescent="0.3">
      <c r="A414" s="21">
        <f>IF(Table_246[[#This Row],[Data]]="","",MONTH(Table_246[[#This Row],[Data]]))</f>
        <v>6</v>
      </c>
      <c r="B414" s="25">
        <v>46178</v>
      </c>
      <c r="C414" s="29" t="s">
        <v>2047</v>
      </c>
      <c r="D414" s="36">
        <v>1</v>
      </c>
      <c r="E414" s="41" t="s">
        <v>2048</v>
      </c>
      <c r="F414" s="42">
        <v>650</v>
      </c>
      <c r="G414" s="9">
        <f>Table_246[[#This Row],[QT]]*Table_246[[#This Row],[Custo 
Un]]</f>
        <v>650</v>
      </c>
      <c r="H414" s="45">
        <v>751.6</v>
      </c>
      <c r="I414" s="9">
        <f>H414*D414</f>
        <v>751.6</v>
      </c>
      <c r="J414" s="41" t="s">
        <v>17</v>
      </c>
      <c r="K414" s="43">
        <f>Table_246[[#This Row],[Valor da 
venda]]-Table_246[[#This Row],[Valor gasto]]</f>
        <v>101.60000000000002</v>
      </c>
      <c r="L414" s="45" t="s">
        <v>981</v>
      </c>
      <c r="P414" s="160"/>
      <c r="Q414"/>
      <c r="R414" s="160"/>
      <c r="V414"/>
    </row>
    <row r="415" spans="1:22" ht="15" customHeight="1" x14ac:dyDescent="0.3">
      <c r="A415" s="21">
        <f>IF(Table_246[[#This Row],[Data]]="","",MONTH(Table_246[[#This Row],[Data]]))</f>
        <v>6</v>
      </c>
      <c r="B415" s="25">
        <v>46178</v>
      </c>
      <c r="C415" s="29" t="s">
        <v>2018</v>
      </c>
      <c r="D415" s="36">
        <v>1</v>
      </c>
      <c r="E415" s="41" t="s">
        <v>2049</v>
      </c>
      <c r="F415" s="42" t="str">
        <f>IFERROR(VLOOKUP(C415,#REF!,5,0),"0")</f>
        <v>0</v>
      </c>
      <c r="G415" s="9">
        <f>Table_246[[#This Row],[QT]]*Table_246[[#This Row],[Custo 
Un]]</f>
        <v>0</v>
      </c>
      <c r="H415" s="45">
        <v>24.75</v>
      </c>
      <c r="I415" s="9">
        <f>H415*D415</f>
        <v>24.75</v>
      </c>
      <c r="J415" s="41" t="s">
        <v>17</v>
      </c>
      <c r="K415" s="43">
        <f>Table_246[[#This Row],[Valor da 
venda]]-Table_246[[#This Row],[Valor gasto]]</f>
        <v>24.75</v>
      </c>
      <c r="L415" s="45" t="s">
        <v>981</v>
      </c>
      <c r="P415" s="160"/>
      <c r="Q415"/>
      <c r="R415" s="160"/>
      <c r="V415"/>
    </row>
    <row r="416" spans="1:22" ht="15" customHeight="1" x14ac:dyDescent="0.3">
      <c r="A416" s="21">
        <f>IF(Table_246[[#This Row],[Data]]="","",MONTH(Table_246[[#This Row],[Data]]))</f>
        <v>6</v>
      </c>
      <c r="B416" s="25">
        <v>46178</v>
      </c>
      <c r="C416" s="29" t="s">
        <v>2018</v>
      </c>
      <c r="D416" s="36">
        <v>1</v>
      </c>
      <c r="E416" s="41" t="s">
        <v>2050</v>
      </c>
      <c r="F416" s="42" t="str">
        <f>IFERROR(VLOOKUP(C416,#REF!,5,0),"0")</f>
        <v>0</v>
      </c>
      <c r="G416" s="9">
        <f>Table_246[[#This Row],[QT]]*Table_246[[#This Row],[Custo 
Un]]</f>
        <v>0</v>
      </c>
      <c r="H416" s="45">
        <v>24.75</v>
      </c>
      <c r="I416" s="9">
        <f>H416*D416</f>
        <v>24.75</v>
      </c>
      <c r="J416" s="41" t="s">
        <v>17</v>
      </c>
      <c r="K416" s="43">
        <f>Table_246[[#This Row],[Valor da 
venda]]-Table_246[[#This Row],[Valor gasto]]</f>
        <v>24.75</v>
      </c>
      <c r="L416" s="45" t="s">
        <v>981</v>
      </c>
      <c r="P416" s="160"/>
      <c r="Q416"/>
      <c r="R416" s="160"/>
      <c r="V416"/>
    </row>
    <row r="417" spans="1:22" ht="15" customHeight="1" x14ac:dyDescent="0.3">
      <c r="A417" s="21">
        <f>IF(Table_246[[#This Row],[Data]]="","",MONTH(Table_246[[#This Row],[Data]]))</f>
        <v>6</v>
      </c>
      <c r="B417" s="25">
        <v>46178</v>
      </c>
      <c r="C417" s="29" t="s">
        <v>2018</v>
      </c>
      <c r="D417" s="36">
        <v>1</v>
      </c>
      <c r="E417" s="41" t="s">
        <v>2051</v>
      </c>
      <c r="F417" s="42" t="str">
        <f>IFERROR(VLOOKUP(C417,#REF!,5,0),"0")</f>
        <v>0</v>
      </c>
      <c r="G417" s="9">
        <f>Table_246[[#This Row],[QT]]*Table_246[[#This Row],[Custo 
Un]]</f>
        <v>0</v>
      </c>
      <c r="H417" s="45">
        <v>24.75</v>
      </c>
      <c r="I417" s="9">
        <f>H417*D417</f>
        <v>24.75</v>
      </c>
      <c r="J417" s="41" t="s">
        <v>17</v>
      </c>
      <c r="K417" s="43">
        <f>Table_246[[#This Row],[Valor da 
venda]]-Table_246[[#This Row],[Valor gasto]]</f>
        <v>24.75</v>
      </c>
      <c r="L417" s="45" t="s">
        <v>981</v>
      </c>
      <c r="P417" s="160"/>
      <c r="Q417"/>
      <c r="R417" s="160"/>
      <c r="V417"/>
    </row>
    <row r="418" spans="1:22" ht="15" customHeight="1" x14ac:dyDescent="0.3">
      <c r="A418" s="21">
        <f>IF(Table_246[[#This Row],[Data]]="","",MONTH(Table_246[[#This Row],[Data]]))</f>
        <v>6</v>
      </c>
      <c r="B418" s="25">
        <v>46178</v>
      </c>
      <c r="C418" s="29" t="s">
        <v>2018</v>
      </c>
      <c r="D418" s="36">
        <v>1</v>
      </c>
      <c r="E418" s="41" t="s">
        <v>2052</v>
      </c>
      <c r="F418" s="42" t="str">
        <f>IFERROR(VLOOKUP(C418,#REF!,5,0),"0")</f>
        <v>0</v>
      </c>
      <c r="G418" s="9">
        <f>Table_246[[#This Row],[QT]]*Table_246[[#This Row],[Custo 
Un]]</f>
        <v>0</v>
      </c>
      <c r="H418" s="45">
        <v>24.75</v>
      </c>
      <c r="I418" s="9">
        <f>H418*D418</f>
        <v>24.75</v>
      </c>
      <c r="J418" s="41" t="s">
        <v>17</v>
      </c>
      <c r="K418" s="43">
        <f>Table_246[[#This Row],[Valor da 
venda]]-Table_246[[#This Row],[Valor gasto]]</f>
        <v>24.75</v>
      </c>
      <c r="L418" s="45" t="s">
        <v>981</v>
      </c>
      <c r="P418" s="160"/>
      <c r="Q418"/>
      <c r="R418" s="160"/>
      <c r="V418"/>
    </row>
    <row r="419" spans="1:22" ht="15" customHeight="1" x14ac:dyDescent="0.3">
      <c r="A419" s="21">
        <f>IF(Table_246[[#This Row],[Data]]="","",MONTH(Table_246[[#This Row],[Data]]))</f>
        <v>6</v>
      </c>
      <c r="B419" s="25">
        <v>46178</v>
      </c>
      <c r="C419" s="29" t="s">
        <v>2018</v>
      </c>
      <c r="D419" s="36">
        <v>1</v>
      </c>
      <c r="E419" s="41" t="s">
        <v>2053</v>
      </c>
      <c r="F419" s="42" t="str">
        <f>IFERROR(VLOOKUP(C419,#REF!,5,0),"0")</f>
        <v>0</v>
      </c>
      <c r="G419" s="9">
        <f>Table_246[[#This Row],[QT]]*Table_246[[#This Row],[Custo 
Un]]</f>
        <v>0</v>
      </c>
      <c r="H419" s="45">
        <v>24.75</v>
      </c>
      <c r="I419" s="9">
        <f>H419*D419</f>
        <v>24.75</v>
      </c>
      <c r="J419" s="41" t="s">
        <v>17</v>
      </c>
      <c r="K419" s="43">
        <f>Table_246[[#This Row],[Valor da 
venda]]-Table_246[[#This Row],[Valor gasto]]</f>
        <v>24.75</v>
      </c>
      <c r="L419" s="45" t="s">
        <v>981</v>
      </c>
      <c r="P419" s="160"/>
      <c r="Q419"/>
      <c r="R419" s="160"/>
      <c r="V419"/>
    </row>
    <row r="420" spans="1:22" ht="15" customHeight="1" x14ac:dyDescent="0.3">
      <c r="A420" s="21">
        <f>IF(Table_246[[#This Row],[Data]]="","",MONTH(Table_246[[#This Row],[Data]]))</f>
        <v>6</v>
      </c>
      <c r="B420" s="25">
        <v>46178</v>
      </c>
      <c r="C420" s="29" t="s">
        <v>2018</v>
      </c>
      <c r="D420" s="36">
        <v>1</v>
      </c>
      <c r="E420" s="41" t="s">
        <v>2054</v>
      </c>
      <c r="F420" s="42" t="str">
        <f>IFERROR(VLOOKUP(C420,#REF!,5,0),"0")</f>
        <v>0</v>
      </c>
      <c r="G420" s="9">
        <f>Table_246[[#This Row],[QT]]*Table_246[[#This Row],[Custo 
Un]]</f>
        <v>0</v>
      </c>
      <c r="H420" s="45">
        <v>24.75</v>
      </c>
      <c r="I420" s="9">
        <f>H420*D420</f>
        <v>24.75</v>
      </c>
      <c r="J420" s="41" t="s">
        <v>17</v>
      </c>
      <c r="K420" s="43">
        <f>Table_246[[#This Row],[Valor da 
venda]]-Table_246[[#This Row],[Valor gasto]]</f>
        <v>24.75</v>
      </c>
      <c r="L420" s="45" t="s">
        <v>981</v>
      </c>
      <c r="P420" s="160"/>
      <c r="Q420"/>
      <c r="R420" s="160"/>
      <c r="V420"/>
    </row>
    <row r="421" spans="1:22" ht="15" customHeight="1" x14ac:dyDescent="0.3">
      <c r="A421" s="21">
        <f>IF(Table_246[[#This Row],[Data]]="","",MONTH(Table_246[[#This Row],[Data]]))</f>
        <v>6</v>
      </c>
      <c r="B421" s="25">
        <v>46178</v>
      </c>
      <c r="C421" s="29" t="s">
        <v>2018</v>
      </c>
      <c r="D421" s="36">
        <v>1</v>
      </c>
      <c r="E421" s="41" t="s">
        <v>2055</v>
      </c>
      <c r="F421" s="42" t="str">
        <f>IFERROR(VLOOKUP(C421,#REF!,5,0),"0")</f>
        <v>0</v>
      </c>
      <c r="G421" s="9">
        <f>Table_246[[#This Row],[QT]]*Table_246[[#This Row],[Custo 
Un]]</f>
        <v>0</v>
      </c>
      <c r="H421" s="45">
        <v>24.75</v>
      </c>
      <c r="I421" s="9">
        <f>H421*D421</f>
        <v>24.75</v>
      </c>
      <c r="J421" s="41" t="s">
        <v>17</v>
      </c>
      <c r="K421" s="43">
        <f>Table_246[[#This Row],[Valor da 
venda]]-Table_246[[#This Row],[Valor gasto]]</f>
        <v>24.75</v>
      </c>
      <c r="L421" s="45" t="s">
        <v>981</v>
      </c>
      <c r="P421" s="160"/>
      <c r="Q421"/>
      <c r="R421" s="160"/>
      <c r="V421"/>
    </row>
    <row r="422" spans="1:22" ht="15" customHeight="1" x14ac:dyDescent="0.3">
      <c r="A422" s="21">
        <f>IF(Table_246[[#This Row],[Data]]="","",MONTH(Table_246[[#This Row],[Data]]))</f>
        <v>6</v>
      </c>
      <c r="B422" s="25">
        <v>46178</v>
      </c>
      <c r="C422" s="29" t="s">
        <v>2018</v>
      </c>
      <c r="D422" s="36">
        <v>1</v>
      </c>
      <c r="E422" s="41" t="s">
        <v>2056</v>
      </c>
      <c r="F422" s="42" t="str">
        <f>IFERROR(VLOOKUP(C422,#REF!,5,0),"0")</f>
        <v>0</v>
      </c>
      <c r="G422" s="9">
        <f>Table_246[[#This Row],[QT]]*Table_246[[#This Row],[Custo 
Un]]</f>
        <v>0</v>
      </c>
      <c r="H422" s="45">
        <v>24.75</v>
      </c>
      <c r="I422" s="9">
        <f>H422*D422</f>
        <v>24.75</v>
      </c>
      <c r="J422" s="41" t="s">
        <v>17</v>
      </c>
      <c r="K422" s="43">
        <f>Table_246[[#This Row],[Valor da 
venda]]-Table_246[[#This Row],[Valor gasto]]</f>
        <v>24.75</v>
      </c>
      <c r="L422" s="45" t="s">
        <v>981</v>
      </c>
      <c r="P422" s="160"/>
      <c r="Q422"/>
      <c r="R422" s="160"/>
      <c r="V422"/>
    </row>
    <row r="423" spans="1:22" ht="15" customHeight="1" x14ac:dyDescent="0.3">
      <c r="A423" s="21">
        <f>IF(Table_246[[#This Row],[Data]]="","",MONTH(Table_246[[#This Row],[Data]]))</f>
        <v>6</v>
      </c>
      <c r="B423" s="25">
        <v>46178</v>
      </c>
      <c r="C423" s="84" t="s">
        <v>1035</v>
      </c>
      <c r="D423" s="36">
        <v>1</v>
      </c>
      <c r="E423" s="41" t="s">
        <v>2057</v>
      </c>
      <c r="F423" s="42" t="str">
        <f>IFERROR(VLOOKUP(C423,#REF!,5,0),"0")</f>
        <v>0</v>
      </c>
      <c r="G423" s="9">
        <f>Table_246[[#This Row],[QT]]*Table_246[[#This Row],[Custo 
Un]]</f>
        <v>0</v>
      </c>
      <c r="H423" s="45">
        <v>8.3699999999999992</v>
      </c>
      <c r="I423" s="9">
        <f>H423*D423</f>
        <v>8.3699999999999992</v>
      </c>
      <c r="J423" s="41" t="s">
        <v>17</v>
      </c>
      <c r="K423" s="43">
        <f>Table_246[[#This Row],[Valor da 
venda]]-Table_246[[#This Row],[Valor gasto]]</f>
        <v>8.3699999999999992</v>
      </c>
      <c r="L423" s="45" t="s">
        <v>981</v>
      </c>
      <c r="P423" s="160"/>
      <c r="Q423"/>
      <c r="R423" s="160"/>
      <c r="V423"/>
    </row>
    <row r="424" spans="1:22" ht="15" customHeight="1" x14ac:dyDescent="0.3">
      <c r="A424" s="21">
        <f>IF(Table_246[[#This Row],[Data]]="","",MONTH(Table_246[[#This Row],[Data]]))</f>
        <v>6</v>
      </c>
      <c r="B424" s="25">
        <v>46178</v>
      </c>
      <c r="C424" s="29" t="s">
        <v>1000</v>
      </c>
      <c r="D424" s="36">
        <v>1</v>
      </c>
      <c r="E424" s="41" t="s">
        <v>2058</v>
      </c>
      <c r="F424" s="42">
        <v>7</v>
      </c>
      <c r="G424" s="9">
        <f>Table_246[[#This Row],[QT]]*Table_246[[#This Row],[Custo 
Un]]</f>
        <v>7</v>
      </c>
      <c r="H424" s="45">
        <v>11</v>
      </c>
      <c r="I424" s="9">
        <f>H424*D424</f>
        <v>11</v>
      </c>
      <c r="J424" s="41" t="s">
        <v>17</v>
      </c>
      <c r="K424" s="43">
        <f>Table_246[[#This Row],[Valor da 
venda]]-Table_246[[#This Row],[Valor gasto]]</f>
        <v>4</v>
      </c>
      <c r="L424" s="45" t="s">
        <v>981</v>
      </c>
      <c r="P424" s="160"/>
      <c r="Q424"/>
      <c r="R424" s="160"/>
      <c r="V424"/>
    </row>
    <row r="425" spans="1:22" ht="15" customHeight="1" x14ac:dyDescent="0.3">
      <c r="A425" s="21">
        <f>IF(Table_246[[#This Row],[Data]]="","",MONTH(Table_246[[#This Row],[Data]]))</f>
        <v>6</v>
      </c>
      <c r="B425" s="25">
        <v>46178</v>
      </c>
      <c r="C425" s="29" t="s">
        <v>1000</v>
      </c>
      <c r="D425" s="36">
        <v>1</v>
      </c>
      <c r="E425" s="41" t="s">
        <v>2059</v>
      </c>
      <c r="F425" s="42" t="str">
        <f>IFERROR(VLOOKUP(C425,#REF!,5,0),"0")</f>
        <v>0</v>
      </c>
      <c r="G425" s="9">
        <f>Table_246[[#This Row],[QT]]*Table_246[[#This Row],[Custo 
Un]]</f>
        <v>0</v>
      </c>
      <c r="H425" s="45">
        <v>11</v>
      </c>
      <c r="I425" s="9">
        <f>H425*D425</f>
        <v>11</v>
      </c>
      <c r="J425" s="41" t="s">
        <v>17</v>
      </c>
      <c r="K425" s="43">
        <f>Table_246[[#This Row],[Valor da 
venda]]-Table_246[[#This Row],[Valor gasto]]</f>
        <v>11</v>
      </c>
      <c r="L425" s="45" t="s">
        <v>981</v>
      </c>
      <c r="P425" s="160"/>
      <c r="Q425"/>
      <c r="R425" s="160"/>
      <c r="V425"/>
    </row>
    <row r="426" spans="1:22" ht="15" customHeight="1" x14ac:dyDescent="0.3">
      <c r="A426" s="21">
        <f>IF(Table_246[[#This Row],[Data]]="","",MONTH(Table_246[[#This Row],[Data]]))</f>
        <v>6</v>
      </c>
      <c r="B426" s="25">
        <v>46178</v>
      </c>
      <c r="C426" s="29" t="s">
        <v>2037</v>
      </c>
      <c r="D426" s="36">
        <v>1</v>
      </c>
      <c r="E426" s="41" t="s">
        <v>2060</v>
      </c>
      <c r="F426" s="42" t="str">
        <f>IFERROR(VLOOKUP(C426,#REF!,5,0),"0")</f>
        <v>0</v>
      </c>
      <c r="G426" s="9">
        <f>Table_246[[#This Row],[QT]]*Table_246[[#This Row],[Custo 
Un]]</f>
        <v>0</v>
      </c>
      <c r="H426" s="45">
        <v>395.2</v>
      </c>
      <c r="I426" s="9">
        <f>H426*D426</f>
        <v>395.2</v>
      </c>
      <c r="J426" s="41" t="s">
        <v>17</v>
      </c>
      <c r="K426" s="43">
        <f>Table_246[[#This Row],[Valor da 
venda]]-Table_246[[#This Row],[Valor gasto]]</f>
        <v>395.2</v>
      </c>
      <c r="L426" s="45" t="s">
        <v>981</v>
      </c>
      <c r="P426" s="160"/>
      <c r="Q426"/>
      <c r="R426" s="160"/>
      <c r="V426"/>
    </row>
    <row r="427" spans="1:22" ht="15" customHeight="1" x14ac:dyDescent="0.3">
      <c r="A427" s="21">
        <f>IF(Table_246[[#This Row],[Data]]="","",MONTH(Table_246[[#This Row],[Data]]))</f>
        <v>6</v>
      </c>
      <c r="B427" s="25">
        <v>46180</v>
      </c>
      <c r="C427" s="29" t="s">
        <v>2062</v>
      </c>
      <c r="D427" s="36">
        <v>1</v>
      </c>
      <c r="E427" s="41" t="s">
        <v>996</v>
      </c>
      <c r="F427" s="42">
        <v>15</v>
      </c>
      <c r="G427" s="9">
        <f>Table_246[[#This Row],[QT]]*Table_246[[#This Row],[Custo 
Un]]</f>
        <v>15</v>
      </c>
      <c r="H427" s="45">
        <v>40</v>
      </c>
      <c r="I427" s="9">
        <f>H427*D427</f>
        <v>40</v>
      </c>
      <c r="J427" s="41" t="s">
        <v>545</v>
      </c>
      <c r="K427" s="43">
        <f>Table_246[[#This Row],[Valor da 
venda]]-Table_246[[#This Row],[Valor gasto]]</f>
        <v>25</v>
      </c>
      <c r="L427" s="45" t="s">
        <v>15</v>
      </c>
      <c r="P427" s="160"/>
      <c r="Q427"/>
      <c r="R427" s="160"/>
      <c r="V427"/>
    </row>
    <row r="428" spans="1:22" ht="15" customHeight="1" x14ac:dyDescent="0.3">
      <c r="A428" s="21">
        <f>IF(Table_246[[#This Row],[Data]]="","",MONTH(Table_246[[#This Row],[Data]]))</f>
        <v>6</v>
      </c>
      <c r="B428" s="25">
        <v>46180</v>
      </c>
      <c r="C428" s="29" t="s">
        <v>902</v>
      </c>
      <c r="D428" s="36">
        <v>1</v>
      </c>
      <c r="E428" s="41" t="s">
        <v>996</v>
      </c>
      <c r="F428" s="42">
        <v>4</v>
      </c>
      <c r="G428" s="9">
        <f>Table_246[[#This Row],[QT]]*Table_246[[#This Row],[Custo 
Un]]</f>
        <v>4</v>
      </c>
      <c r="H428" s="45">
        <v>10</v>
      </c>
      <c r="I428" s="9">
        <f>H428*D428</f>
        <v>10</v>
      </c>
      <c r="J428" s="41" t="s">
        <v>545</v>
      </c>
      <c r="K428" s="43">
        <f>Table_246[[#This Row],[Valor da 
venda]]-Table_246[[#This Row],[Valor gasto]]</f>
        <v>6</v>
      </c>
      <c r="L428" s="45" t="s">
        <v>15</v>
      </c>
      <c r="P428" s="160"/>
      <c r="Q428"/>
      <c r="R428" s="160"/>
      <c r="V428"/>
    </row>
    <row r="429" spans="1:22" ht="15" customHeight="1" x14ac:dyDescent="0.3">
      <c r="A429" s="21">
        <f>IF(Table_246[[#This Row],[Data]]="","",MONTH(Table_246[[#This Row],[Data]]))</f>
        <v>6</v>
      </c>
      <c r="B429" s="25">
        <v>46180</v>
      </c>
      <c r="C429" s="29" t="s">
        <v>2063</v>
      </c>
      <c r="D429" s="36">
        <v>8</v>
      </c>
      <c r="E429" s="41" t="s">
        <v>811</v>
      </c>
      <c r="F429" s="42" t="str">
        <f>IFERROR(VLOOKUP(C429,#REF!,5,0),"0")</f>
        <v>0</v>
      </c>
      <c r="G429" s="9">
        <f>Table_246[[#This Row],[QT]]*Table_246[[#This Row],[Custo 
Un]]</f>
        <v>0</v>
      </c>
      <c r="H429" s="45">
        <f>10/8</f>
        <v>1.25</v>
      </c>
      <c r="I429" s="9">
        <f>H429*D429</f>
        <v>10</v>
      </c>
      <c r="J429" s="41" t="s">
        <v>545</v>
      </c>
      <c r="K429" s="43">
        <f>Table_246[[#This Row],[Valor da 
venda]]-Table_246[[#This Row],[Valor gasto]]</f>
        <v>10</v>
      </c>
      <c r="L429" s="45" t="s">
        <v>15</v>
      </c>
      <c r="P429" s="160"/>
      <c r="Q429"/>
      <c r="R429" s="160"/>
      <c r="V429"/>
    </row>
    <row r="430" spans="1:22" ht="15" customHeight="1" x14ac:dyDescent="0.3">
      <c r="A430" s="21">
        <f>IF(Table_246[[#This Row],[Data]]="","",MONTH(Table_246[[#This Row],[Data]]))</f>
        <v>6</v>
      </c>
      <c r="B430" s="25">
        <v>46182</v>
      </c>
      <c r="C430" s="29" t="s">
        <v>2063</v>
      </c>
      <c r="D430" s="36">
        <v>2</v>
      </c>
      <c r="E430" s="41" t="s">
        <v>811</v>
      </c>
      <c r="F430" s="42" t="str">
        <f>IFERROR(VLOOKUP(C430,#REF!,5,0),"0")</f>
        <v>0</v>
      </c>
      <c r="G430" s="9">
        <f>Table_246[[#This Row],[QT]]*Table_246[[#This Row],[Custo 
Un]]</f>
        <v>0</v>
      </c>
      <c r="H430" s="45">
        <v>2</v>
      </c>
      <c r="I430" s="9">
        <f>H430*D430</f>
        <v>4</v>
      </c>
      <c r="J430" s="41" t="s">
        <v>545</v>
      </c>
      <c r="K430" s="43">
        <f>Table_246[[#This Row],[Valor da 
venda]]-Table_246[[#This Row],[Valor gasto]]</f>
        <v>4</v>
      </c>
      <c r="L430" s="45" t="s">
        <v>15</v>
      </c>
      <c r="P430" s="160"/>
      <c r="Q430"/>
      <c r="R430" s="160"/>
      <c r="V430"/>
    </row>
    <row r="431" spans="1:22" ht="15" customHeight="1" x14ac:dyDescent="0.3">
      <c r="A431" s="21">
        <f>IF(Table_246[[#This Row],[Data]]="","",MONTH(Table_246[[#This Row],[Data]]))</f>
        <v>6</v>
      </c>
      <c r="B431" s="25">
        <v>46182</v>
      </c>
      <c r="C431" s="29" t="s">
        <v>2070</v>
      </c>
      <c r="D431" s="36">
        <v>1</v>
      </c>
      <c r="E431" s="41" t="s">
        <v>811</v>
      </c>
      <c r="F431" s="42">
        <v>10</v>
      </c>
      <c r="G431" s="9">
        <f>Table_246[[#This Row],[QT]]*Table_246[[#This Row],[Custo 
Un]]</f>
        <v>10</v>
      </c>
      <c r="H431" s="45">
        <v>20</v>
      </c>
      <c r="I431" s="9">
        <f>H431*D431</f>
        <v>20</v>
      </c>
      <c r="J431" s="41" t="s">
        <v>545</v>
      </c>
      <c r="K431" s="43">
        <f>Table_246[[#This Row],[Valor da 
venda]]-Table_246[[#This Row],[Valor gasto]]</f>
        <v>10</v>
      </c>
      <c r="L431" s="45" t="s">
        <v>981</v>
      </c>
      <c r="P431" s="160"/>
      <c r="Q431"/>
      <c r="R431" s="160"/>
      <c r="V431"/>
    </row>
    <row r="432" spans="1:22" ht="15" customHeight="1" x14ac:dyDescent="0.3">
      <c r="A432" s="21">
        <f>IF(Table_246[[#This Row],[Data]]="","",MONTH(Table_246[[#This Row],[Data]]))</f>
        <v>6</v>
      </c>
      <c r="B432" s="25">
        <v>46183</v>
      </c>
      <c r="C432" s="164" t="s">
        <v>2072</v>
      </c>
      <c r="D432" s="165">
        <v>1</v>
      </c>
      <c r="E432" s="166" t="s">
        <v>996</v>
      </c>
      <c r="F432" s="167">
        <v>20</v>
      </c>
      <c r="G432" s="9">
        <f>Table_246[[#This Row],[QT]]*Table_246[[#This Row],[Custo 
Un]]</f>
        <v>20</v>
      </c>
      <c r="H432" s="168">
        <v>25</v>
      </c>
      <c r="I432" s="9">
        <f>H432*D432</f>
        <v>25</v>
      </c>
      <c r="J432" s="166" t="s">
        <v>545</v>
      </c>
      <c r="K432" s="43">
        <f>Table_246[[#This Row],[Valor da 
venda]]-Table_246[[#This Row],[Valor gasto]]</f>
        <v>5</v>
      </c>
      <c r="L432" s="168" t="s">
        <v>15</v>
      </c>
      <c r="P432" s="160"/>
      <c r="Q432"/>
      <c r="R432" s="160"/>
      <c r="V432"/>
    </row>
    <row r="433" spans="1:22" ht="15" customHeight="1" x14ac:dyDescent="0.3">
      <c r="A433" s="21">
        <f>IF(Table_246[[#This Row],[Data]]="","",MONTH(Table_246[[#This Row],[Data]]))</f>
        <v>6</v>
      </c>
      <c r="B433" s="25">
        <v>46184</v>
      </c>
      <c r="C433" s="164" t="s">
        <v>2073</v>
      </c>
      <c r="D433" s="165">
        <v>6</v>
      </c>
      <c r="E433" s="166" t="s">
        <v>996</v>
      </c>
      <c r="F433" s="167">
        <v>6</v>
      </c>
      <c r="G433" s="9">
        <f>Table_246[[#This Row],[QT]]*Table_246[[#This Row],[Custo 
Un]]</f>
        <v>36</v>
      </c>
      <c r="H433" s="168">
        <v>7</v>
      </c>
      <c r="I433" s="9">
        <f>H433*D433</f>
        <v>42</v>
      </c>
      <c r="J433" s="166" t="s">
        <v>545</v>
      </c>
      <c r="K433" s="43">
        <f>Table_246[[#This Row],[Valor da 
venda]]-Table_246[[#This Row],[Valor gasto]]</f>
        <v>6</v>
      </c>
      <c r="L433" s="168" t="s">
        <v>15</v>
      </c>
      <c r="P433" s="160"/>
      <c r="Q433"/>
      <c r="R433" s="160"/>
      <c r="V433"/>
    </row>
    <row r="434" spans="1:22" ht="15" customHeight="1" x14ac:dyDescent="0.3">
      <c r="A434" s="21">
        <f>IF(Table_246[[#This Row],[Data]]="","",MONTH(Table_246[[#This Row],[Data]]))</f>
        <v>6</v>
      </c>
      <c r="B434" s="25">
        <v>46185</v>
      </c>
      <c r="C434" s="164" t="s">
        <v>2074</v>
      </c>
      <c r="D434" s="165">
        <v>1</v>
      </c>
      <c r="E434" s="166" t="s">
        <v>996</v>
      </c>
      <c r="F434" s="167">
        <v>45</v>
      </c>
      <c r="G434" s="9">
        <f>Table_246[[#This Row],[QT]]*Table_246[[#This Row],[Custo 
Un]]</f>
        <v>45</v>
      </c>
      <c r="H434" s="168">
        <v>80</v>
      </c>
      <c r="I434" s="9">
        <f>H434*D434</f>
        <v>80</v>
      </c>
      <c r="J434" s="166" t="s">
        <v>545</v>
      </c>
      <c r="K434" s="43">
        <f>Table_246[[#This Row],[Valor da 
venda]]-Table_246[[#This Row],[Valor gasto]]</f>
        <v>35</v>
      </c>
      <c r="L434" s="168" t="s">
        <v>15</v>
      </c>
      <c r="P434" s="160"/>
      <c r="Q434"/>
      <c r="R434" s="160"/>
      <c r="V434"/>
    </row>
    <row r="435" spans="1:22" ht="15" customHeight="1" x14ac:dyDescent="0.3">
      <c r="A435" s="21">
        <f>IF(Table_246[[#This Row],[Data]]="","",MONTH(Table_246[[#This Row],[Data]]))</f>
        <v>6</v>
      </c>
      <c r="B435" s="25">
        <v>46186</v>
      </c>
      <c r="C435" s="164" t="s">
        <v>2075</v>
      </c>
      <c r="D435" s="165">
        <v>1</v>
      </c>
      <c r="E435" s="166" t="s">
        <v>996</v>
      </c>
      <c r="F435" s="167" t="str">
        <f>IFERROR(VLOOKUP(C435,[1]PROD!$A$2:$F$1204,5,0),"0")</f>
        <v>0</v>
      </c>
      <c r="G435" s="9">
        <f>Table_246[[#This Row],[QT]]*Table_246[[#This Row],[Custo 
Un]]</f>
        <v>0</v>
      </c>
      <c r="H435" s="168">
        <v>15</v>
      </c>
      <c r="I435" s="9">
        <f>H435*D435</f>
        <v>15</v>
      </c>
      <c r="J435" s="166" t="s">
        <v>545</v>
      </c>
      <c r="K435" s="43">
        <f>Table_246[[#This Row],[Valor da 
venda]]-Table_246[[#This Row],[Valor gasto]]</f>
        <v>15</v>
      </c>
      <c r="L435" s="168" t="s">
        <v>15</v>
      </c>
      <c r="P435" s="160"/>
      <c r="Q435"/>
      <c r="R435" s="160"/>
      <c r="V435"/>
    </row>
    <row r="436" spans="1:22" ht="15" customHeight="1" x14ac:dyDescent="0.3">
      <c r="A436" s="21">
        <f>IF(Table_246[[#This Row],[Data]]="","",MONTH(Table_246[[#This Row],[Data]]))</f>
        <v>6</v>
      </c>
      <c r="B436" s="25">
        <v>46187</v>
      </c>
      <c r="C436" s="164" t="s">
        <v>2076</v>
      </c>
      <c r="D436" s="165">
        <v>3</v>
      </c>
      <c r="E436" s="166" t="s">
        <v>996</v>
      </c>
      <c r="F436" s="167">
        <v>5</v>
      </c>
      <c r="G436" s="9">
        <f>Table_246[[#This Row],[QT]]*Table_246[[#This Row],[Custo 
Un]]</f>
        <v>15</v>
      </c>
      <c r="H436" s="168">
        <v>7</v>
      </c>
      <c r="I436" s="9">
        <f>H436*D436</f>
        <v>21</v>
      </c>
      <c r="J436" s="166" t="s">
        <v>545</v>
      </c>
      <c r="K436" s="43">
        <f>Table_246[[#This Row],[Valor da 
venda]]-Table_246[[#This Row],[Valor gasto]]</f>
        <v>6</v>
      </c>
      <c r="L436" s="168" t="s">
        <v>15</v>
      </c>
      <c r="P436" s="160"/>
      <c r="Q436"/>
      <c r="R436" s="160"/>
      <c r="V436"/>
    </row>
    <row r="437" spans="1:22" ht="15" customHeight="1" x14ac:dyDescent="0.3">
      <c r="A437" s="21">
        <f>IF(Table_246[[#This Row],[Data]]="","",MONTH(Table_246[[#This Row],[Data]]))</f>
        <v>6</v>
      </c>
      <c r="B437" s="25">
        <v>46188</v>
      </c>
      <c r="C437" s="164" t="s">
        <v>2077</v>
      </c>
      <c r="D437" s="165">
        <v>1</v>
      </c>
      <c r="E437" s="166" t="s">
        <v>996</v>
      </c>
      <c r="F437" s="167">
        <v>4.5</v>
      </c>
      <c r="G437" s="9">
        <f>Table_246[[#This Row],[QT]]*Table_246[[#This Row],[Custo 
Un]]</f>
        <v>4.5</v>
      </c>
      <c r="H437" s="168">
        <v>10</v>
      </c>
      <c r="I437" s="9">
        <f>H437*D437</f>
        <v>10</v>
      </c>
      <c r="J437" s="166" t="s">
        <v>545</v>
      </c>
      <c r="K437" s="43">
        <f>Table_246[[#This Row],[Valor da 
venda]]-Table_246[[#This Row],[Valor gasto]]</f>
        <v>5.5</v>
      </c>
      <c r="L437" s="168" t="s">
        <v>15</v>
      </c>
      <c r="P437" s="160"/>
      <c r="Q437"/>
      <c r="R437" s="160"/>
      <c r="V437"/>
    </row>
    <row r="438" spans="1:22" ht="15" customHeight="1" x14ac:dyDescent="0.3">
      <c r="A438" s="21">
        <f>IF(Table_246[[#This Row],[Data]]="","",MONTH(Table_246[[#This Row],[Data]]))</f>
        <v>6</v>
      </c>
      <c r="B438" s="25">
        <v>46189</v>
      </c>
      <c r="C438" s="164" t="s">
        <v>2077</v>
      </c>
      <c r="D438" s="165">
        <v>2</v>
      </c>
      <c r="E438" s="166" t="s">
        <v>996</v>
      </c>
      <c r="F438" s="167">
        <v>4.5</v>
      </c>
      <c r="G438" s="9">
        <f>Table_246[[#This Row],[QT]]*Table_246[[#This Row],[Custo 
Un]]</f>
        <v>9</v>
      </c>
      <c r="H438" s="168">
        <v>7</v>
      </c>
      <c r="I438" s="9">
        <f>H438*D438</f>
        <v>14</v>
      </c>
      <c r="J438" s="166" t="s">
        <v>545</v>
      </c>
      <c r="K438" s="43">
        <f>Table_246[[#This Row],[Valor da 
venda]]-Table_246[[#This Row],[Valor gasto]]</f>
        <v>5</v>
      </c>
      <c r="L438" s="168" t="s">
        <v>15</v>
      </c>
      <c r="P438" s="160"/>
      <c r="Q438"/>
      <c r="R438" s="160"/>
      <c r="V438"/>
    </row>
    <row r="439" spans="1:22" ht="15" customHeight="1" x14ac:dyDescent="0.3">
      <c r="A439" s="21">
        <f>IF(Table_246[[#This Row],[Data]]="","",MONTH(Table_246[[#This Row],[Data]]))</f>
        <v>6</v>
      </c>
      <c r="B439" s="25">
        <v>46190</v>
      </c>
      <c r="C439" s="164" t="s">
        <v>216</v>
      </c>
      <c r="D439" s="165">
        <v>1</v>
      </c>
      <c r="E439" s="166" t="s">
        <v>620</v>
      </c>
      <c r="F439" s="167">
        <f>IFERROR(VLOOKUP(C439,[1]PROD!$A$2:$F$1204,5,0),"0")</f>
        <v>0</v>
      </c>
      <c r="G439" s="9">
        <f>Table_246[[#This Row],[QT]]*Table_246[[#This Row],[Custo 
Un]]</f>
        <v>0</v>
      </c>
      <c r="H439" s="168">
        <v>20</v>
      </c>
      <c r="I439" s="9">
        <f>H439*D439</f>
        <v>20</v>
      </c>
      <c r="J439" s="166" t="s">
        <v>545</v>
      </c>
      <c r="K439" s="43">
        <f>Table_246[[#This Row],[Valor da 
venda]]-Table_246[[#This Row],[Valor gasto]]</f>
        <v>20</v>
      </c>
      <c r="L439" s="168" t="s">
        <v>15</v>
      </c>
      <c r="P439" s="160"/>
      <c r="Q439"/>
      <c r="R439" s="160"/>
      <c r="V439"/>
    </row>
    <row r="440" spans="1:22" ht="15" customHeight="1" x14ac:dyDescent="0.3">
      <c r="A440" s="21">
        <f>IF(Table_246[[#This Row],[Data]]="","",MONTH(Table_246[[#This Row],[Data]]))</f>
        <v>6</v>
      </c>
      <c r="B440" s="25">
        <v>46191</v>
      </c>
      <c r="C440" s="164" t="s">
        <v>2074</v>
      </c>
      <c r="D440" s="165">
        <v>1</v>
      </c>
      <c r="E440" s="166" t="s">
        <v>996</v>
      </c>
      <c r="F440" s="167">
        <v>45</v>
      </c>
      <c r="G440" s="9">
        <f>Table_246[[#This Row],[QT]]*Table_246[[#This Row],[Custo 
Un]]</f>
        <v>45</v>
      </c>
      <c r="H440" s="168">
        <v>65</v>
      </c>
      <c r="I440" s="9">
        <f>H440*D440</f>
        <v>65</v>
      </c>
      <c r="J440" s="166" t="s">
        <v>545</v>
      </c>
      <c r="K440" s="43">
        <f>Table_246[[#This Row],[Valor da 
venda]]-Table_246[[#This Row],[Valor gasto]]</f>
        <v>20</v>
      </c>
      <c r="L440" s="168" t="s">
        <v>15</v>
      </c>
      <c r="P440" s="160"/>
      <c r="Q440"/>
      <c r="R440" s="160"/>
      <c r="V440"/>
    </row>
    <row r="441" spans="1:22" ht="15" customHeight="1" x14ac:dyDescent="0.3">
      <c r="A441" s="21">
        <f>IF(Table_246[[#This Row],[Data]]="","",MONTH(Table_246[[#This Row],[Data]]))</f>
        <v>6</v>
      </c>
      <c r="B441" s="25">
        <v>46192</v>
      </c>
      <c r="C441" s="169" t="s">
        <v>2076</v>
      </c>
      <c r="D441" s="165">
        <v>1</v>
      </c>
      <c r="E441" s="166" t="s">
        <v>232</v>
      </c>
      <c r="F441" s="167">
        <v>5</v>
      </c>
      <c r="G441" s="9">
        <f>Table_246[[#This Row],[QT]]*Table_246[[#This Row],[Custo 
Un]]</f>
        <v>5</v>
      </c>
      <c r="H441" s="168">
        <v>10</v>
      </c>
      <c r="I441" s="9">
        <f>H441*D441</f>
        <v>10</v>
      </c>
      <c r="J441" s="166" t="s">
        <v>545</v>
      </c>
      <c r="K441" s="43">
        <f>Table_246[[#This Row],[Valor da 
venda]]-Table_246[[#This Row],[Valor gasto]]</f>
        <v>5</v>
      </c>
      <c r="L441" s="168" t="s">
        <v>15</v>
      </c>
      <c r="P441" s="160"/>
      <c r="Q441"/>
      <c r="R441" s="160"/>
      <c r="V441"/>
    </row>
    <row r="442" spans="1:22" ht="15" customHeight="1" x14ac:dyDescent="0.3">
      <c r="A442" s="21">
        <f>IF(Table_246[[#This Row],[Data]]="","",MONTH(Table_246[[#This Row],[Data]]))</f>
        <v>6</v>
      </c>
      <c r="B442" s="25">
        <v>46193</v>
      </c>
      <c r="C442" s="164" t="s">
        <v>2078</v>
      </c>
      <c r="D442" s="165">
        <v>2</v>
      </c>
      <c r="E442" s="166" t="s">
        <v>763</v>
      </c>
      <c r="F442" s="167">
        <v>2.5</v>
      </c>
      <c r="G442" s="9">
        <f>Table_246[[#This Row],[QT]]*Table_246[[#This Row],[Custo 
Un]]</f>
        <v>5</v>
      </c>
      <c r="H442" s="168">
        <v>5</v>
      </c>
      <c r="I442" s="9">
        <f>H442*D442</f>
        <v>10</v>
      </c>
      <c r="J442" s="166" t="s">
        <v>545</v>
      </c>
      <c r="K442" s="43">
        <f>Table_246[[#This Row],[Valor da 
venda]]-Table_246[[#This Row],[Valor gasto]]</f>
        <v>5</v>
      </c>
      <c r="L442" s="168" t="s">
        <v>15</v>
      </c>
      <c r="P442" s="160"/>
      <c r="Q442"/>
      <c r="R442" s="160"/>
      <c r="V442"/>
    </row>
    <row r="443" spans="1:22" ht="15" customHeight="1" x14ac:dyDescent="0.3">
      <c r="A443" s="21">
        <f>IF(Table_246[[#This Row],[Data]]="","",MONTH(Table_246[[#This Row],[Data]]))</f>
        <v>6</v>
      </c>
      <c r="B443" s="25">
        <v>46194</v>
      </c>
      <c r="C443" s="164" t="s">
        <v>1053</v>
      </c>
      <c r="D443" s="165">
        <v>1</v>
      </c>
      <c r="E443" s="166" t="s">
        <v>996</v>
      </c>
      <c r="F443" s="167">
        <v>10</v>
      </c>
      <c r="G443" s="9">
        <f>Table_246[[#This Row],[QT]]*Table_246[[#This Row],[Custo 
Un]]</f>
        <v>10</v>
      </c>
      <c r="H443" s="168">
        <v>25</v>
      </c>
      <c r="I443" s="9">
        <f>H443*D443</f>
        <v>25</v>
      </c>
      <c r="J443" s="166" t="s">
        <v>545</v>
      </c>
      <c r="K443" s="43">
        <f>Table_246[[#This Row],[Valor da 
venda]]-Table_246[[#This Row],[Valor gasto]]</f>
        <v>15</v>
      </c>
      <c r="L443" s="168" t="s">
        <v>15</v>
      </c>
      <c r="P443" s="160"/>
      <c r="Q443"/>
      <c r="R443" s="160"/>
      <c r="V443"/>
    </row>
    <row r="444" spans="1:22" ht="15" customHeight="1" x14ac:dyDescent="0.3">
      <c r="A444" s="21">
        <f>IF(Table_246[[#This Row],[Data]]="","",MONTH(Table_246[[#This Row],[Data]]))</f>
        <v>6</v>
      </c>
      <c r="B444" s="25">
        <v>46195</v>
      </c>
      <c r="C444" s="164" t="s">
        <v>2079</v>
      </c>
      <c r="D444" s="165">
        <v>1</v>
      </c>
      <c r="E444" s="166" t="s">
        <v>996</v>
      </c>
      <c r="F444" s="167">
        <v>10</v>
      </c>
      <c r="G444" s="9">
        <f>Table_246[[#This Row],[QT]]*Table_246[[#This Row],[Custo 
Un]]</f>
        <v>10</v>
      </c>
      <c r="H444" s="168">
        <v>20</v>
      </c>
      <c r="I444" s="9">
        <f>H444*D444</f>
        <v>20</v>
      </c>
      <c r="J444" s="166" t="s">
        <v>545</v>
      </c>
      <c r="K444" s="43">
        <f>Table_246[[#This Row],[Valor da 
venda]]-Table_246[[#This Row],[Valor gasto]]</f>
        <v>10</v>
      </c>
      <c r="L444" s="168" t="s">
        <v>15</v>
      </c>
      <c r="P444" s="160"/>
      <c r="Q444"/>
      <c r="R444" s="160"/>
      <c r="V444"/>
    </row>
    <row r="445" spans="1:22" ht="15" customHeight="1" x14ac:dyDescent="0.3">
      <c r="A445" s="21">
        <f>IF(Table_246[[#This Row],[Data]]="","",MONTH(Table_246[[#This Row],[Data]]))</f>
        <v>6</v>
      </c>
      <c r="B445" s="25">
        <v>46196</v>
      </c>
      <c r="C445" s="164" t="s">
        <v>2073</v>
      </c>
      <c r="D445" s="165">
        <v>2</v>
      </c>
      <c r="E445" s="166" t="s">
        <v>2080</v>
      </c>
      <c r="F445" s="167">
        <f>51/12</f>
        <v>4.25</v>
      </c>
      <c r="G445" s="9">
        <f>Table_246[[#This Row],[QT]]*Table_246[[#This Row],[Custo 
Un]]</f>
        <v>8.5</v>
      </c>
      <c r="H445" s="168">
        <v>7</v>
      </c>
      <c r="I445" s="9">
        <f>H445*D445</f>
        <v>14</v>
      </c>
      <c r="J445" s="166" t="s">
        <v>545</v>
      </c>
      <c r="K445" s="43">
        <f>Table_246[[#This Row],[Valor da 
venda]]-Table_246[[#This Row],[Valor gasto]]</f>
        <v>5.5</v>
      </c>
      <c r="L445" s="168" t="s">
        <v>981</v>
      </c>
      <c r="P445" s="160"/>
      <c r="Q445"/>
      <c r="R445" s="160"/>
      <c r="V445"/>
    </row>
    <row r="446" spans="1:22" ht="15" customHeight="1" x14ac:dyDescent="0.3">
      <c r="A446" s="21">
        <f>IF(Table_246[[#This Row],[Data]]="","",MONTH(Table_246[[#This Row],[Data]]))</f>
        <v>6</v>
      </c>
      <c r="B446" s="25">
        <v>46197</v>
      </c>
      <c r="C446" s="164" t="s">
        <v>2073</v>
      </c>
      <c r="D446" s="165">
        <v>2</v>
      </c>
      <c r="E446" s="166" t="s">
        <v>763</v>
      </c>
      <c r="F446" s="167">
        <f t="shared" ref="F446:F447" si="3">51/12</f>
        <v>4.25</v>
      </c>
      <c r="G446" s="9">
        <f>Table_246[[#This Row],[QT]]*Table_246[[#This Row],[Custo 
Un]]</f>
        <v>8.5</v>
      </c>
      <c r="H446" s="168">
        <v>7</v>
      </c>
      <c r="I446" s="9">
        <f>H446*D446</f>
        <v>14</v>
      </c>
      <c r="J446" s="166" t="s">
        <v>545</v>
      </c>
      <c r="K446" s="43">
        <f>Table_246[[#This Row],[Valor da 
venda]]-Table_246[[#This Row],[Valor gasto]]</f>
        <v>5.5</v>
      </c>
      <c r="L446" s="168" t="s">
        <v>981</v>
      </c>
      <c r="P446" s="160"/>
      <c r="Q446"/>
      <c r="R446" s="160"/>
      <c r="V446"/>
    </row>
    <row r="447" spans="1:22" ht="15" customHeight="1" x14ac:dyDescent="0.3">
      <c r="A447" s="21">
        <f>IF(Table_246[[#This Row],[Data]]="","",MONTH(Table_246[[#This Row],[Data]]))</f>
        <v>6</v>
      </c>
      <c r="B447" s="25">
        <v>46198</v>
      </c>
      <c r="C447" s="164" t="s">
        <v>2073</v>
      </c>
      <c r="D447" s="165">
        <v>2</v>
      </c>
      <c r="E447" s="166" t="s">
        <v>811</v>
      </c>
      <c r="F447" s="167">
        <f t="shared" si="3"/>
        <v>4.25</v>
      </c>
      <c r="G447" s="9">
        <f>Table_246[[#This Row],[QT]]*Table_246[[#This Row],[Custo 
Un]]</f>
        <v>8.5</v>
      </c>
      <c r="H447" s="168">
        <v>7</v>
      </c>
      <c r="I447" s="9">
        <f>H447*D447</f>
        <v>14</v>
      </c>
      <c r="J447" s="166" t="s">
        <v>545</v>
      </c>
      <c r="K447" s="43">
        <f>Table_246[[#This Row],[Valor da 
venda]]-Table_246[[#This Row],[Valor gasto]]</f>
        <v>5.5</v>
      </c>
      <c r="L447" s="168" t="s">
        <v>15</v>
      </c>
      <c r="P447" s="160"/>
      <c r="Q447"/>
      <c r="R447" s="160"/>
      <c r="V447"/>
    </row>
    <row r="448" spans="1:22" ht="15" customHeight="1" x14ac:dyDescent="0.3">
      <c r="A448" s="21">
        <f>IF(Table_246[[#This Row],[Data]]="","",MONTH(Table_246[[#This Row],[Data]]))</f>
        <v>6</v>
      </c>
      <c r="B448" s="25">
        <v>46199</v>
      </c>
      <c r="C448" s="164" t="s">
        <v>2081</v>
      </c>
      <c r="D448" s="165">
        <v>1</v>
      </c>
      <c r="E448" s="166" t="s">
        <v>996</v>
      </c>
      <c r="F448" s="167" t="str">
        <f>IFERROR(VLOOKUP(C448,[1]PROD!$A$2:$F$1204,5,0),"0")</f>
        <v>0</v>
      </c>
      <c r="G448" s="9">
        <f>Table_246[[#This Row],[QT]]*Table_246[[#This Row],[Custo 
Un]]</f>
        <v>0</v>
      </c>
      <c r="H448" s="168">
        <v>20</v>
      </c>
      <c r="I448" s="9">
        <f>H448*D448</f>
        <v>20</v>
      </c>
      <c r="J448" s="166" t="s">
        <v>545</v>
      </c>
      <c r="K448" s="43">
        <f>Table_246[[#This Row],[Valor da 
venda]]-Table_246[[#This Row],[Valor gasto]]</f>
        <v>20</v>
      </c>
      <c r="L448" s="168" t="s">
        <v>15</v>
      </c>
      <c r="P448" s="160"/>
      <c r="Q448"/>
      <c r="R448" s="160"/>
      <c r="V448"/>
    </row>
    <row r="449" spans="1:22" ht="15" customHeight="1" x14ac:dyDescent="0.3">
      <c r="A449" s="21">
        <f>IF(Table_246[[#This Row],[Data]]="","",MONTH(Table_246[[#This Row],[Data]]))</f>
        <v>6</v>
      </c>
      <c r="B449" s="25">
        <v>46200</v>
      </c>
      <c r="C449" s="164" t="s">
        <v>2082</v>
      </c>
      <c r="D449" s="165">
        <v>2</v>
      </c>
      <c r="E449" s="166" t="s">
        <v>996</v>
      </c>
      <c r="F449" s="167" t="str">
        <f>IFERROR(VLOOKUP(C449,[1]PROD!$A$2:$F$1204,5,0),"0")</f>
        <v>0</v>
      </c>
      <c r="G449" s="9">
        <f>Table_246[[#This Row],[QT]]*Table_246[[#This Row],[Custo 
Un]]</f>
        <v>0</v>
      </c>
      <c r="H449" s="168">
        <v>5</v>
      </c>
      <c r="I449" s="9">
        <f>H449*D449</f>
        <v>10</v>
      </c>
      <c r="J449" s="166" t="s">
        <v>545</v>
      </c>
      <c r="K449" s="43">
        <f>Table_246[[#This Row],[Valor da 
venda]]-Table_246[[#This Row],[Valor gasto]]</f>
        <v>10</v>
      </c>
      <c r="L449" s="168" t="s">
        <v>15</v>
      </c>
      <c r="P449" s="160"/>
      <c r="Q449"/>
      <c r="R449" s="160"/>
      <c r="V449"/>
    </row>
    <row r="450" spans="1:22" ht="15" customHeight="1" x14ac:dyDescent="0.3">
      <c r="A450" s="21">
        <f>IF(Table_246[[#This Row],[Data]]="","",MONTH(Table_246[[#This Row],[Data]]))</f>
        <v>6</v>
      </c>
      <c r="B450" s="25">
        <v>46201</v>
      </c>
      <c r="C450" s="164" t="s">
        <v>2083</v>
      </c>
      <c r="D450" s="165">
        <v>4</v>
      </c>
      <c r="E450" s="166" t="s">
        <v>996</v>
      </c>
      <c r="F450" s="167">
        <v>1.5</v>
      </c>
      <c r="G450" s="9">
        <f>Table_246[[#This Row],[QT]]*Table_246[[#This Row],[Custo 
Un]]</f>
        <v>6</v>
      </c>
      <c r="H450" s="168">
        <v>10</v>
      </c>
      <c r="I450" s="9">
        <f>H450*D450</f>
        <v>40</v>
      </c>
      <c r="J450" s="166" t="s">
        <v>545</v>
      </c>
      <c r="K450" s="43">
        <f>Table_246[[#This Row],[Valor da 
venda]]-Table_246[[#This Row],[Valor gasto]]</f>
        <v>34</v>
      </c>
      <c r="L450" s="168" t="s">
        <v>15</v>
      </c>
      <c r="P450" s="160"/>
      <c r="Q450"/>
      <c r="R450" s="160"/>
      <c r="V450"/>
    </row>
    <row r="451" spans="1:22" ht="15" customHeight="1" x14ac:dyDescent="0.3">
      <c r="A451" s="21">
        <f>IF(Table_246[[#This Row],[Data]]="","",MONTH(Table_246[[#This Row],[Data]]))</f>
        <v>6</v>
      </c>
      <c r="B451" s="25">
        <v>46202</v>
      </c>
      <c r="C451" s="164" t="s">
        <v>2084</v>
      </c>
      <c r="D451" s="165">
        <v>1</v>
      </c>
      <c r="E451" s="166" t="s">
        <v>996</v>
      </c>
      <c r="F451" s="167">
        <v>280</v>
      </c>
      <c r="G451" s="9">
        <f>Table_246[[#This Row],[QT]]*Table_246[[#This Row],[Custo 
Un]]</f>
        <v>280</v>
      </c>
      <c r="H451" s="168">
        <v>350</v>
      </c>
      <c r="I451" s="9">
        <f>H451*D451</f>
        <v>350</v>
      </c>
      <c r="J451" s="166" t="s">
        <v>545</v>
      </c>
      <c r="K451" s="43">
        <f>Table_246[[#This Row],[Valor da 
venda]]-Table_246[[#This Row],[Valor gasto]]</f>
        <v>70</v>
      </c>
      <c r="L451" s="168" t="s">
        <v>15</v>
      </c>
      <c r="P451" s="160"/>
      <c r="Q451"/>
      <c r="R451" s="160"/>
      <c r="V451"/>
    </row>
    <row r="452" spans="1:22" ht="15" customHeight="1" x14ac:dyDescent="0.3">
      <c r="A452" s="21">
        <f>IF(Table_246[[#This Row],[Data]]="","",MONTH(Table_246[[#This Row],[Data]]))</f>
        <v>6</v>
      </c>
      <c r="B452" s="25">
        <v>46203</v>
      </c>
      <c r="C452" s="164" t="s">
        <v>139</v>
      </c>
      <c r="D452" s="165">
        <v>2</v>
      </c>
      <c r="E452" s="166" t="s">
        <v>232</v>
      </c>
      <c r="F452" s="167">
        <f>IFERROR(VLOOKUP(C452,[1]PROD!$A$2:$F$1204,5,0),"0")</f>
        <v>7.0000000000000007E-2</v>
      </c>
      <c r="G452" s="9">
        <f>Table_246[[#This Row],[QT]]*Table_246[[#This Row],[Custo 
Un]]</f>
        <v>0.14000000000000001</v>
      </c>
      <c r="H452" s="168">
        <v>1</v>
      </c>
      <c r="I452" s="9">
        <f>H452*D452</f>
        <v>2</v>
      </c>
      <c r="J452" s="166" t="s">
        <v>545</v>
      </c>
      <c r="K452" s="43">
        <f>Table_246[[#This Row],[Valor da 
venda]]-Table_246[[#This Row],[Valor gasto]]</f>
        <v>1.8599999999999999</v>
      </c>
      <c r="L452" s="168" t="s">
        <v>15</v>
      </c>
      <c r="P452" s="160"/>
      <c r="Q452"/>
      <c r="R452" s="160"/>
      <c r="V452"/>
    </row>
    <row r="453" spans="1:22" ht="15" customHeight="1" x14ac:dyDescent="0.3">
      <c r="A453" s="21"/>
      <c r="B453" s="25"/>
      <c r="C453" s="29"/>
      <c r="D453" s="36"/>
      <c r="E453" s="41"/>
      <c r="F453" s="42"/>
      <c r="G453" s="9"/>
      <c r="H453" s="45"/>
      <c r="I453" s="9"/>
      <c r="J453" s="41"/>
      <c r="K453" s="43">
        <f>Table_246[[#This Row],[Valor da 
venda]]-Table_246[[#This Row],[Valor gasto]]</f>
        <v>0</v>
      </c>
      <c r="L453" s="45"/>
      <c r="P453" s="160"/>
      <c r="Q453"/>
      <c r="R453" s="160"/>
      <c r="V453"/>
    </row>
    <row r="454" spans="1:22" ht="15" customHeight="1" x14ac:dyDescent="0.3">
      <c r="A454" s="21"/>
      <c r="B454" s="25"/>
      <c r="C454" s="29"/>
      <c r="D454" s="36"/>
      <c r="E454" s="41"/>
      <c r="F454" s="42"/>
      <c r="G454" s="9"/>
      <c r="H454" s="45"/>
      <c r="I454" s="9"/>
      <c r="J454" s="41"/>
      <c r="K454" s="43">
        <f>Table_246[[#This Row],[Valor da 
venda]]-Table_246[[#This Row],[Valor gasto]]</f>
        <v>0</v>
      </c>
      <c r="L454" s="45"/>
      <c r="P454" s="160"/>
      <c r="Q454"/>
      <c r="R454" s="160"/>
      <c r="V454"/>
    </row>
    <row r="455" spans="1:22" ht="15" customHeight="1" x14ac:dyDescent="0.3">
      <c r="A455" s="21"/>
      <c r="B455" s="25"/>
      <c r="C455" s="29"/>
      <c r="D455" s="36"/>
      <c r="E455" s="41"/>
      <c r="F455" s="42"/>
      <c r="G455" s="9"/>
      <c r="H455" s="45"/>
      <c r="I455" s="9"/>
      <c r="J455" s="41"/>
      <c r="K455" s="43">
        <f>Table_246[[#This Row],[Valor da 
venda]]-Table_246[[#This Row],[Valor gasto]]</f>
        <v>0</v>
      </c>
      <c r="L455" s="45"/>
      <c r="P455" s="160"/>
      <c r="Q455"/>
      <c r="R455" s="160"/>
      <c r="V455"/>
    </row>
    <row r="456" spans="1:22" ht="15" customHeight="1" x14ac:dyDescent="0.3">
      <c r="A456" s="21"/>
      <c r="B456" s="25"/>
      <c r="C456" s="29"/>
      <c r="D456" s="36"/>
      <c r="E456" s="41"/>
      <c r="F456" s="42"/>
      <c r="G456" s="9"/>
      <c r="H456" s="45"/>
      <c r="I456" s="9"/>
      <c r="J456" s="41"/>
      <c r="K456" s="43">
        <f>Table_246[[#This Row],[Valor da 
venda]]-Table_246[[#This Row],[Valor gasto]]</f>
        <v>0</v>
      </c>
      <c r="L456" s="45"/>
      <c r="P456" s="160"/>
      <c r="Q456"/>
      <c r="R456" s="160"/>
      <c r="V456"/>
    </row>
    <row r="457" spans="1:22" ht="15" customHeight="1" x14ac:dyDescent="0.3">
      <c r="A457" s="21"/>
      <c r="B457" s="25"/>
      <c r="C457" s="29"/>
      <c r="D457" s="36"/>
      <c r="E457" s="41"/>
      <c r="F457" s="42"/>
      <c r="G457" s="9"/>
      <c r="H457" s="45"/>
      <c r="I457" s="9"/>
      <c r="J457" s="41"/>
      <c r="K457" s="43">
        <f>Table_246[[#This Row],[Valor da 
venda]]-Table_246[[#This Row],[Valor gasto]]</f>
        <v>0</v>
      </c>
      <c r="L457" s="45"/>
      <c r="P457" s="160"/>
      <c r="Q457"/>
      <c r="R457" s="160"/>
      <c r="V457"/>
    </row>
    <row r="458" spans="1:22" ht="15" customHeight="1" x14ac:dyDescent="0.3">
      <c r="A458" s="21"/>
      <c r="B458" s="25"/>
      <c r="C458" s="29"/>
      <c r="D458" s="36"/>
      <c r="E458" s="41"/>
      <c r="F458" s="42"/>
      <c r="G458" s="9"/>
      <c r="H458" s="45"/>
      <c r="I458" s="9"/>
      <c r="J458" s="41"/>
      <c r="K458" s="43">
        <f>Table_246[[#This Row],[Valor da 
venda]]-Table_246[[#This Row],[Valor gasto]]</f>
        <v>0</v>
      </c>
      <c r="L458" s="45"/>
      <c r="P458" s="160"/>
      <c r="Q458"/>
      <c r="R458" s="160"/>
      <c r="V458"/>
    </row>
    <row r="459" spans="1:22" ht="15" customHeight="1" x14ac:dyDescent="0.3">
      <c r="A459" s="21"/>
      <c r="B459" s="25"/>
      <c r="C459" s="29"/>
      <c r="D459" s="36"/>
      <c r="E459" s="41"/>
      <c r="F459" s="42"/>
      <c r="G459" s="9"/>
      <c r="H459" s="45"/>
      <c r="I459" s="9"/>
      <c r="J459" s="41"/>
      <c r="K459" s="43">
        <f>Table_246[[#This Row],[Valor da 
venda]]-Table_246[[#This Row],[Valor gasto]]</f>
        <v>0</v>
      </c>
      <c r="L459" s="45"/>
      <c r="P459" s="160"/>
      <c r="Q459"/>
      <c r="R459" s="160"/>
      <c r="V459"/>
    </row>
    <row r="460" spans="1:22" ht="15" customHeight="1" x14ac:dyDescent="0.3">
      <c r="A460" s="21"/>
      <c r="B460" s="25"/>
      <c r="C460" s="29"/>
      <c r="D460" s="36"/>
      <c r="E460" s="41"/>
      <c r="F460" s="42"/>
      <c r="G460" s="9"/>
      <c r="H460" s="45"/>
      <c r="I460" s="9"/>
      <c r="J460" s="41"/>
      <c r="K460" s="43">
        <f>Table_246[[#This Row],[Valor da 
venda]]-Table_246[[#This Row],[Valor gasto]]</f>
        <v>0</v>
      </c>
      <c r="L460" s="45"/>
      <c r="P460" s="160"/>
      <c r="Q460"/>
      <c r="R460" s="160"/>
      <c r="V460"/>
    </row>
    <row r="461" spans="1:22" ht="15" customHeight="1" x14ac:dyDescent="0.3">
      <c r="A461" s="21"/>
      <c r="B461" s="25"/>
      <c r="C461" s="29"/>
      <c r="D461" s="36"/>
      <c r="E461" s="41"/>
      <c r="F461" s="42"/>
      <c r="G461" s="9"/>
      <c r="H461" s="45"/>
      <c r="I461" s="9"/>
      <c r="J461" s="41"/>
      <c r="K461" s="43">
        <f>Table_246[[#This Row],[Valor da 
venda]]-Table_246[[#This Row],[Valor gasto]]</f>
        <v>0</v>
      </c>
      <c r="L461" s="45"/>
      <c r="P461" s="160"/>
      <c r="Q461"/>
      <c r="R461" s="160"/>
      <c r="V461"/>
    </row>
    <row r="462" spans="1:22" ht="15" customHeight="1" x14ac:dyDescent="0.3">
      <c r="A462" s="21"/>
      <c r="B462" s="25"/>
      <c r="C462" s="29"/>
      <c r="D462" s="36"/>
      <c r="E462" s="41"/>
      <c r="F462" s="42"/>
      <c r="G462" s="9"/>
      <c r="H462" s="45"/>
      <c r="I462" s="9"/>
      <c r="J462" s="41"/>
      <c r="K462" s="43">
        <f>Table_246[[#This Row],[Valor da 
venda]]-Table_246[[#This Row],[Valor gasto]]</f>
        <v>0</v>
      </c>
      <c r="L462" s="45"/>
      <c r="P462" s="160"/>
      <c r="Q462"/>
      <c r="R462" s="160"/>
      <c r="V462"/>
    </row>
    <row r="463" spans="1:22" ht="15" customHeight="1" x14ac:dyDescent="0.3">
      <c r="A463" s="21"/>
      <c r="B463" s="25"/>
      <c r="C463" s="29"/>
      <c r="D463" s="36"/>
      <c r="E463" s="41"/>
      <c r="F463" s="42"/>
      <c r="G463" s="9"/>
      <c r="H463" s="45"/>
      <c r="I463" s="9"/>
      <c r="J463" s="41"/>
      <c r="K463" s="43">
        <f>Table_246[[#This Row],[Valor da 
venda]]-Table_246[[#This Row],[Valor gasto]]</f>
        <v>0</v>
      </c>
      <c r="L463" s="45"/>
      <c r="P463" s="160"/>
      <c r="Q463"/>
      <c r="R463" s="160"/>
      <c r="V463"/>
    </row>
    <row r="464" spans="1:22" ht="15" customHeight="1" x14ac:dyDescent="0.3">
      <c r="A464" s="21"/>
      <c r="B464" s="25"/>
      <c r="C464" s="29"/>
      <c r="D464" s="36"/>
      <c r="E464" s="41"/>
      <c r="F464" s="42"/>
      <c r="G464" s="9"/>
      <c r="H464" s="45"/>
      <c r="I464" s="9"/>
      <c r="J464" s="41"/>
      <c r="K464" s="43">
        <f>Table_246[[#This Row],[Valor da 
venda]]-Table_246[[#This Row],[Valor gasto]]</f>
        <v>0</v>
      </c>
      <c r="L464" s="45"/>
      <c r="P464" s="160"/>
      <c r="Q464"/>
      <c r="R464" s="160"/>
      <c r="V464"/>
    </row>
    <row r="465" spans="1:22" ht="15" customHeight="1" x14ac:dyDescent="0.3">
      <c r="A465" s="21"/>
      <c r="B465" s="25"/>
      <c r="C465" s="29"/>
      <c r="D465" s="36"/>
      <c r="E465" s="41"/>
      <c r="F465" s="42"/>
      <c r="G465" s="9"/>
      <c r="H465" s="45"/>
      <c r="I465" s="9"/>
      <c r="J465" s="41"/>
      <c r="K465" s="43">
        <f>Table_246[[#This Row],[Valor da 
venda]]-Table_246[[#This Row],[Valor gasto]]</f>
        <v>0</v>
      </c>
      <c r="L465" s="45"/>
      <c r="P465" s="160"/>
      <c r="Q465"/>
      <c r="R465" s="160"/>
      <c r="V465"/>
    </row>
    <row r="466" spans="1:22" ht="15" customHeight="1" x14ac:dyDescent="0.3">
      <c r="A466" s="21"/>
      <c r="B466" s="25"/>
      <c r="C466" s="29"/>
      <c r="D466" s="36"/>
      <c r="E466" s="41"/>
      <c r="F466" s="42"/>
      <c r="G466" s="9"/>
      <c r="H466" s="45"/>
      <c r="I466" s="9"/>
      <c r="J466" s="41"/>
      <c r="K466" s="43">
        <f>Table_246[[#This Row],[Valor da 
venda]]-Table_246[[#This Row],[Valor gasto]]</f>
        <v>0</v>
      </c>
      <c r="L466" s="45"/>
      <c r="P466" s="160"/>
      <c r="Q466"/>
      <c r="R466" s="160"/>
      <c r="V466"/>
    </row>
    <row r="467" spans="1:22" ht="15" customHeight="1" x14ac:dyDescent="0.3">
      <c r="A467" s="21"/>
      <c r="B467" s="25"/>
      <c r="C467" s="29"/>
      <c r="D467" s="36"/>
      <c r="E467" s="41"/>
      <c r="F467" s="42"/>
      <c r="G467" s="9"/>
      <c r="H467" s="45"/>
      <c r="I467" s="9"/>
      <c r="J467" s="41"/>
      <c r="K467" s="43">
        <f>Table_246[[#This Row],[Valor da 
venda]]-Table_246[[#This Row],[Valor gasto]]</f>
        <v>0</v>
      </c>
      <c r="L467" s="45"/>
      <c r="P467" s="160"/>
      <c r="Q467"/>
      <c r="R467" s="160"/>
      <c r="V467"/>
    </row>
    <row r="468" spans="1:22" ht="15" customHeight="1" x14ac:dyDescent="0.3">
      <c r="A468" s="21"/>
      <c r="B468" s="25"/>
      <c r="C468" s="29"/>
      <c r="D468" s="36"/>
      <c r="E468" s="41"/>
      <c r="F468" s="42"/>
      <c r="G468" s="9"/>
      <c r="H468" s="45"/>
      <c r="I468" s="9"/>
      <c r="J468" s="41"/>
      <c r="K468" s="43">
        <f>Table_246[[#This Row],[Valor da 
venda]]-Table_246[[#This Row],[Valor gasto]]</f>
        <v>0</v>
      </c>
      <c r="L468" s="45"/>
      <c r="P468" s="160"/>
      <c r="Q468"/>
      <c r="R468" s="160"/>
      <c r="V468"/>
    </row>
    <row r="469" spans="1:22" ht="15" customHeight="1" x14ac:dyDescent="0.3">
      <c r="A469" s="21"/>
      <c r="B469" s="25"/>
      <c r="C469" s="29"/>
      <c r="D469" s="36"/>
      <c r="E469" s="41"/>
      <c r="F469" s="42"/>
      <c r="G469" s="9"/>
      <c r="H469" s="45"/>
      <c r="I469" s="9"/>
      <c r="J469" s="41"/>
      <c r="K469" s="43">
        <f>Table_246[[#This Row],[Valor da 
venda]]-Table_246[[#This Row],[Valor gasto]]</f>
        <v>0</v>
      </c>
      <c r="L469" s="45"/>
      <c r="P469" s="160"/>
      <c r="Q469"/>
      <c r="R469" s="160"/>
      <c r="V469"/>
    </row>
    <row r="470" spans="1:22" ht="15" customHeight="1" x14ac:dyDescent="0.3">
      <c r="A470" s="21"/>
      <c r="B470" s="25"/>
      <c r="C470" s="29"/>
      <c r="D470" s="36"/>
      <c r="E470" s="41"/>
      <c r="F470" s="42"/>
      <c r="G470" s="9"/>
      <c r="H470" s="45"/>
      <c r="I470" s="9"/>
      <c r="J470" s="41"/>
      <c r="K470" s="43">
        <f>Table_246[[#This Row],[Valor da 
venda]]-Table_246[[#This Row],[Valor gasto]]</f>
        <v>0</v>
      </c>
      <c r="L470" s="45"/>
      <c r="P470" s="160"/>
      <c r="Q470"/>
      <c r="R470" s="160"/>
      <c r="V470"/>
    </row>
    <row r="471" spans="1:22" ht="15" customHeight="1" x14ac:dyDescent="0.3">
      <c r="A471" s="21"/>
      <c r="B471" s="25"/>
      <c r="C471" s="29"/>
      <c r="D471" s="36"/>
      <c r="E471" s="41"/>
      <c r="F471" s="42"/>
      <c r="G471" s="9"/>
      <c r="H471" s="45"/>
      <c r="I471" s="9"/>
      <c r="J471" s="41"/>
      <c r="K471" s="43">
        <f>Table_246[[#This Row],[Valor da 
venda]]-Table_246[[#This Row],[Valor gasto]]</f>
        <v>0</v>
      </c>
      <c r="L471" s="45"/>
      <c r="P471" s="160"/>
      <c r="Q471"/>
      <c r="R471" s="160"/>
      <c r="V471"/>
    </row>
    <row r="472" spans="1:22" ht="15" customHeight="1" x14ac:dyDescent="0.3">
      <c r="A472" s="21"/>
      <c r="B472" s="25"/>
      <c r="C472" s="29"/>
      <c r="D472" s="36"/>
      <c r="E472" s="41"/>
      <c r="F472" s="42"/>
      <c r="G472" s="9"/>
      <c r="H472" s="45"/>
      <c r="I472" s="9"/>
      <c r="J472" s="41"/>
      <c r="K472" s="43">
        <f>Table_246[[#This Row],[Valor da 
venda]]-Table_246[[#This Row],[Valor gasto]]</f>
        <v>0</v>
      </c>
      <c r="L472" s="45"/>
      <c r="P472" s="160"/>
      <c r="Q472"/>
      <c r="R472" s="160"/>
      <c r="V472"/>
    </row>
    <row r="473" spans="1:22" ht="15" customHeight="1" x14ac:dyDescent="0.3">
      <c r="A473" s="21"/>
      <c r="B473" s="25"/>
      <c r="C473" s="29"/>
      <c r="D473" s="36"/>
      <c r="E473" s="41"/>
      <c r="F473" s="42"/>
      <c r="G473" s="9"/>
      <c r="H473" s="45"/>
      <c r="I473" s="9"/>
      <c r="J473" s="41"/>
      <c r="K473" s="43">
        <f>Table_246[[#This Row],[Valor da 
venda]]-Table_246[[#This Row],[Valor gasto]]</f>
        <v>0</v>
      </c>
      <c r="L473" s="45"/>
      <c r="P473" s="160"/>
      <c r="Q473"/>
      <c r="R473" s="160"/>
      <c r="V473"/>
    </row>
    <row r="474" spans="1:22" ht="15" customHeight="1" x14ac:dyDescent="0.3">
      <c r="A474" s="21"/>
      <c r="B474" s="25"/>
      <c r="C474" s="29"/>
      <c r="D474" s="36"/>
      <c r="E474" s="41"/>
      <c r="F474" s="42"/>
      <c r="G474" s="9"/>
      <c r="H474" s="45"/>
      <c r="I474" s="9"/>
      <c r="J474" s="41"/>
      <c r="K474" s="43">
        <f>Table_246[[#This Row],[Valor da 
venda]]-Table_246[[#This Row],[Valor gasto]]</f>
        <v>0</v>
      </c>
      <c r="L474" s="45"/>
      <c r="P474" s="160"/>
      <c r="Q474"/>
      <c r="R474" s="160"/>
      <c r="V474"/>
    </row>
    <row r="475" spans="1:22" ht="15" customHeight="1" x14ac:dyDescent="0.3">
      <c r="A475" s="21"/>
      <c r="B475" s="25"/>
      <c r="C475" s="29"/>
      <c r="D475" s="36"/>
      <c r="E475" s="41"/>
      <c r="F475" s="42"/>
      <c r="G475" s="9"/>
      <c r="H475" s="45"/>
      <c r="I475" s="9"/>
      <c r="J475" s="41"/>
      <c r="K475" s="43">
        <f>Table_246[[#This Row],[Valor da 
venda]]-Table_246[[#This Row],[Valor gasto]]</f>
        <v>0</v>
      </c>
      <c r="L475" s="45"/>
      <c r="P475" s="160"/>
      <c r="Q475"/>
      <c r="R475" s="160"/>
      <c r="V475"/>
    </row>
    <row r="476" spans="1:22" ht="15" customHeight="1" x14ac:dyDescent="0.3">
      <c r="A476" s="21"/>
      <c r="B476" s="25"/>
      <c r="C476" s="29"/>
      <c r="D476" s="36"/>
      <c r="E476" s="41"/>
      <c r="F476" s="42"/>
      <c r="G476" s="9"/>
      <c r="H476" s="45"/>
      <c r="I476" s="9"/>
      <c r="J476" s="41"/>
      <c r="K476" s="43">
        <f>Table_246[[#This Row],[Valor da 
venda]]-Table_246[[#This Row],[Valor gasto]]</f>
        <v>0</v>
      </c>
      <c r="L476" s="45"/>
      <c r="P476" s="160"/>
      <c r="Q476"/>
      <c r="R476" s="160"/>
      <c r="V476"/>
    </row>
    <row r="477" spans="1:22" ht="15" customHeight="1" x14ac:dyDescent="0.3">
      <c r="A477" s="21"/>
      <c r="B477" s="25"/>
      <c r="C477" s="63"/>
      <c r="D477" s="36"/>
      <c r="E477" s="71"/>
      <c r="F477" s="42"/>
      <c r="G477" s="9"/>
      <c r="H477" s="76"/>
      <c r="I477" s="9"/>
      <c r="J477" s="71"/>
      <c r="K477" s="43">
        <f>Table_246[[#This Row],[Valor da 
venda]]-Table_246[[#This Row],[Valor gasto]]</f>
        <v>0</v>
      </c>
      <c r="L477" s="76"/>
      <c r="P477" s="160"/>
      <c r="Q477"/>
      <c r="R477" s="160"/>
      <c r="V477"/>
    </row>
    <row r="478" spans="1:22" ht="15" customHeight="1" x14ac:dyDescent="0.3">
      <c r="A478" s="21"/>
      <c r="B478" s="25"/>
      <c r="C478" s="64"/>
      <c r="D478" s="36"/>
      <c r="E478" s="72"/>
      <c r="F478" s="42"/>
      <c r="G478" s="9"/>
      <c r="H478" s="77"/>
      <c r="I478" s="9"/>
      <c r="J478" s="72"/>
      <c r="K478" s="43">
        <f>Table_246[[#This Row],[Valor da 
venda]]-Table_246[[#This Row],[Valor gasto]]</f>
        <v>0</v>
      </c>
      <c r="L478" s="77"/>
      <c r="P478" s="160"/>
      <c r="Q478"/>
      <c r="R478" s="160"/>
      <c r="V478"/>
    </row>
    <row r="479" spans="1:22" ht="15" customHeight="1" x14ac:dyDescent="0.3">
      <c r="A479" s="21"/>
      <c r="B479" s="25"/>
      <c r="C479" s="29"/>
      <c r="D479" s="36"/>
      <c r="E479" s="41"/>
      <c r="F479" s="42"/>
      <c r="G479" s="9"/>
      <c r="H479" s="45"/>
      <c r="I479" s="9"/>
      <c r="J479" s="41"/>
      <c r="K479" s="43">
        <f>Table_246[[#This Row],[Valor da 
venda]]-Table_246[[#This Row],[Valor gasto]]</f>
        <v>0</v>
      </c>
      <c r="L479" s="45"/>
      <c r="P479" s="160"/>
      <c r="Q479"/>
      <c r="R479" s="160"/>
      <c r="V479"/>
    </row>
    <row r="480" spans="1:22" ht="15" customHeight="1" x14ac:dyDescent="0.3">
      <c r="A480" s="21"/>
      <c r="B480" s="25"/>
      <c r="C480" s="29"/>
      <c r="D480" s="36"/>
      <c r="E480" s="41"/>
      <c r="F480" s="42"/>
      <c r="G480" s="9"/>
      <c r="H480" s="45"/>
      <c r="I480" s="9"/>
      <c r="J480" s="41"/>
      <c r="K480" s="43">
        <f>Table_246[[#This Row],[Valor da 
venda]]-Table_246[[#This Row],[Valor gasto]]</f>
        <v>0</v>
      </c>
      <c r="L480" s="45"/>
      <c r="P480" s="160"/>
      <c r="Q480"/>
      <c r="R480" s="160"/>
      <c r="V480"/>
    </row>
    <row r="481" spans="1:22" ht="15" customHeight="1" x14ac:dyDescent="0.3">
      <c r="A481" s="21"/>
      <c r="B481" s="25"/>
      <c r="C481" s="29"/>
      <c r="D481" s="36"/>
      <c r="E481" s="41"/>
      <c r="F481" s="42"/>
      <c r="G481" s="9"/>
      <c r="H481" s="45"/>
      <c r="I481" s="9"/>
      <c r="J481" s="41"/>
      <c r="K481" s="43">
        <f>Table_246[[#This Row],[Valor da 
venda]]-Table_246[[#This Row],[Valor gasto]]</f>
        <v>0</v>
      </c>
      <c r="L481" s="45"/>
      <c r="P481" s="160"/>
      <c r="Q481"/>
      <c r="R481" s="160"/>
      <c r="V481"/>
    </row>
    <row r="482" spans="1:22" ht="15" customHeight="1" x14ac:dyDescent="0.3">
      <c r="A482" s="21"/>
      <c r="B482" s="25"/>
      <c r="C482" s="29"/>
      <c r="D482" s="36"/>
      <c r="E482" s="41"/>
      <c r="F482" s="42"/>
      <c r="G482" s="9"/>
      <c r="H482" s="45"/>
      <c r="I482" s="9"/>
      <c r="J482" s="41"/>
      <c r="K482" s="43">
        <f>Table_246[[#This Row],[Valor da 
venda]]-Table_246[[#This Row],[Valor gasto]]</f>
        <v>0</v>
      </c>
      <c r="L482" s="45"/>
      <c r="P482" s="160"/>
      <c r="Q482"/>
      <c r="R482" s="160"/>
      <c r="V482"/>
    </row>
    <row r="483" spans="1:22" ht="15" customHeight="1" x14ac:dyDescent="0.3">
      <c r="A483" s="21"/>
      <c r="B483" s="25"/>
      <c r="C483" s="29"/>
      <c r="D483" s="36"/>
      <c r="E483" s="41"/>
      <c r="F483" s="42"/>
      <c r="G483" s="9"/>
      <c r="H483" s="45"/>
      <c r="I483" s="9"/>
      <c r="J483" s="41"/>
      <c r="K483" s="43">
        <f>Table_246[[#This Row],[Valor da 
venda]]-Table_246[[#This Row],[Valor gasto]]</f>
        <v>0</v>
      </c>
      <c r="L483" s="45"/>
      <c r="P483" s="160"/>
      <c r="Q483"/>
      <c r="R483" s="160"/>
      <c r="V483"/>
    </row>
    <row r="484" spans="1:22" ht="15" customHeight="1" x14ac:dyDescent="0.3">
      <c r="A484" s="21"/>
      <c r="B484" s="25"/>
      <c r="C484" s="29"/>
      <c r="D484" s="36"/>
      <c r="E484" s="41"/>
      <c r="F484" s="42"/>
      <c r="G484" s="9"/>
      <c r="H484" s="45"/>
      <c r="I484" s="9"/>
      <c r="J484" s="41"/>
      <c r="K484" s="43">
        <f>Table_246[[#This Row],[Valor da 
venda]]-Table_246[[#This Row],[Valor gasto]]</f>
        <v>0</v>
      </c>
      <c r="L484" s="45"/>
      <c r="P484" s="160"/>
      <c r="Q484"/>
      <c r="R484" s="160"/>
      <c r="V484"/>
    </row>
    <row r="485" spans="1:22" ht="15" customHeight="1" x14ac:dyDescent="0.3">
      <c r="A485" s="21"/>
      <c r="B485" s="25"/>
      <c r="C485" s="64"/>
      <c r="D485" s="36"/>
      <c r="E485" s="72"/>
      <c r="F485" s="42"/>
      <c r="G485" s="9"/>
      <c r="H485" s="77"/>
      <c r="I485" s="9"/>
      <c r="J485" s="72"/>
      <c r="K485" s="43">
        <f>Table_246[[#This Row],[Valor da 
venda]]-Table_246[[#This Row],[Valor gasto]]</f>
        <v>0</v>
      </c>
      <c r="L485" s="77"/>
      <c r="P485" s="160"/>
      <c r="Q485"/>
      <c r="R485" s="160"/>
      <c r="V485"/>
    </row>
    <row r="486" spans="1:22" ht="15" customHeight="1" x14ac:dyDescent="0.3">
      <c r="A486" s="21"/>
      <c r="B486" s="25"/>
      <c r="C486" s="29"/>
      <c r="D486" s="36"/>
      <c r="E486" s="41"/>
      <c r="F486" s="42"/>
      <c r="G486" s="9"/>
      <c r="H486" s="45"/>
      <c r="I486" s="9"/>
      <c r="J486" s="41"/>
      <c r="K486" s="43">
        <f>Table_246[[#This Row],[Valor da 
venda]]-Table_246[[#This Row],[Valor gasto]]</f>
        <v>0</v>
      </c>
      <c r="L486" s="45"/>
      <c r="P486" s="160"/>
      <c r="Q486"/>
      <c r="R486" s="160"/>
      <c r="V486"/>
    </row>
    <row r="487" spans="1:22" ht="15" customHeight="1" x14ac:dyDescent="0.3">
      <c r="A487" s="21"/>
      <c r="B487" s="25"/>
      <c r="C487" s="29"/>
      <c r="D487" s="36"/>
      <c r="E487" s="41"/>
      <c r="F487" s="42"/>
      <c r="G487" s="9"/>
      <c r="H487" s="45"/>
      <c r="I487" s="9"/>
      <c r="J487" s="41"/>
      <c r="K487" s="43">
        <f>Table_246[[#This Row],[Valor da 
venda]]-Table_246[[#This Row],[Valor gasto]]</f>
        <v>0</v>
      </c>
      <c r="L487" s="45"/>
      <c r="P487" s="160"/>
      <c r="Q487"/>
      <c r="R487" s="160"/>
      <c r="V487"/>
    </row>
    <row r="488" spans="1:22" ht="15" customHeight="1" x14ac:dyDescent="0.3">
      <c r="A488" s="21"/>
      <c r="B488" s="25"/>
      <c r="C488" s="29"/>
      <c r="D488" s="36"/>
      <c r="E488" s="41"/>
      <c r="F488" s="42"/>
      <c r="G488" s="9"/>
      <c r="H488" s="45"/>
      <c r="I488" s="9"/>
      <c r="J488" s="41"/>
      <c r="K488" s="43">
        <f>Table_246[[#This Row],[Valor da 
venda]]-Table_246[[#This Row],[Valor gasto]]</f>
        <v>0</v>
      </c>
      <c r="L488" s="45"/>
      <c r="P488" s="160"/>
      <c r="Q488"/>
      <c r="R488" s="160"/>
      <c r="V488"/>
    </row>
    <row r="489" spans="1:22" ht="15" customHeight="1" x14ac:dyDescent="0.3">
      <c r="A489" s="21"/>
      <c r="B489" s="25"/>
      <c r="C489" s="29"/>
      <c r="D489" s="36"/>
      <c r="E489" s="41"/>
      <c r="F489" s="42"/>
      <c r="G489" s="9"/>
      <c r="H489" s="45"/>
      <c r="I489" s="9"/>
      <c r="J489" s="41"/>
      <c r="K489" s="43">
        <f>Table_246[[#This Row],[Valor da 
venda]]-Table_246[[#This Row],[Valor gasto]]</f>
        <v>0</v>
      </c>
      <c r="L489" s="45"/>
      <c r="P489" s="160"/>
      <c r="Q489"/>
      <c r="R489" s="160"/>
      <c r="V489"/>
    </row>
    <row r="490" spans="1:22" ht="15" customHeight="1" x14ac:dyDescent="0.3">
      <c r="A490" s="21"/>
      <c r="B490" s="25"/>
      <c r="C490" s="29"/>
      <c r="D490" s="36"/>
      <c r="E490" s="41"/>
      <c r="F490" s="42"/>
      <c r="G490" s="9"/>
      <c r="H490" s="45"/>
      <c r="I490" s="9"/>
      <c r="J490" s="41"/>
      <c r="K490" s="43">
        <f>Table_246[[#This Row],[Valor da 
venda]]-Table_246[[#This Row],[Valor gasto]]</f>
        <v>0</v>
      </c>
      <c r="L490" s="45"/>
      <c r="P490" s="160"/>
      <c r="Q490"/>
      <c r="R490" s="160"/>
      <c r="V490"/>
    </row>
    <row r="491" spans="1:22" ht="15" customHeight="1" x14ac:dyDescent="0.3">
      <c r="A491" s="21"/>
      <c r="B491" s="25"/>
      <c r="C491" s="29"/>
      <c r="D491" s="36"/>
      <c r="E491" s="41"/>
      <c r="F491" s="42"/>
      <c r="G491" s="9"/>
      <c r="H491" s="45"/>
      <c r="I491" s="9"/>
      <c r="J491" s="41"/>
      <c r="K491" s="43">
        <f>Table_246[[#This Row],[Valor da 
venda]]-Table_246[[#This Row],[Valor gasto]]</f>
        <v>0</v>
      </c>
      <c r="L491" s="45"/>
      <c r="P491" s="160"/>
      <c r="Q491"/>
      <c r="R491" s="160"/>
      <c r="V491"/>
    </row>
    <row r="492" spans="1:22" ht="15" customHeight="1" x14ac:dyDescent="0.3">
      <c r="A492" s="21"/>
      <c r="B492" s="25"/>
      <c r="C492" s="64"/>
      <c r="D492" s="36"/>
      <c r="E492" s="72"/>
      <c r="F492" s="42"/>
      <c r="G492" s="9"/>
      <c r="H492" s="77"/>
      <c r="I492" s="9"/>
      <c r="J492" s="72"/>
      <c r="K492" s="43">
        <f>Table_246[[#This Row],[Valor da 
venda]]-Table_246[[#This Row],[Valor gasto]]</f>
        <v>0</v>
      </c>
      <c r="L492" s="77"/>
      <c r="P492" s="160"/>
      <c r="Q492"/>
      <c r="R492" s="160"/>
      <c r="V492"/>
    </row>
    <row r="493" spans="1:22" ht="15" customHeight="1" x14ac:dyDescent="0.3">
      <c r="A493" s="21"/>
      <c r="B493" s="25"/>
      <c r="C493" s="29"/>
      <c r="D493" s="36"/>
      <c r="E493" s="41"/>
      <c r="F493" s="42"/>
      <c r="G493" s="9"/>
      <c r="H493" s="45"/>
      <c r="I493" s="9"/>
      <c r="J493" s="41"/>
      <c r="K493" s="43">
        <f>Table_246[[#This Row],[Valor da 
venda]]-Table_246[[#This Row],[Valor gasto]]</f>
        <v>0</v>
      </c>
      <c r="L493" s="45"/>
      <c r="P493" s="160"/>
      <c r="Q493"/>
      <c r="R493" s="160"/>
      <c r="V493"/>
    </row>
    <row r="494" spans="1:22" ht="15" customHeight="1" x14ac:dyDescent="0.3">
      <c r="A494" s="21"/>
      <c r="B494" s="25"/>
      <c r="C494" s="29"/>
      <c r="D494" s="36"/>
      <c r="E494" s="41"/>
      <c r="F494" s="42"/>
      <c r="G494" s="9"/>
      <c r="H494" s="45"/>
      <c r="I494" s="9"/>
      <c r="J494" s="41"/>
      <c r="K494" s="43">
        <f>Table_246[[#This Row],[Valor da 
venda]]-Table_246[[#This Row],[Valor gasto]]</f>
        <v>0</v>
      </c>
      <c r="L494" s="45"/>
      <c r="P494" s="160"/>
      <c r="Q494"/>
      <c r="R494" s="160"/>
      <c r="V494"/>
    </row>
    <row r="495" spans="1:22" ht="15" customHeight="1" x14ac:dyDescent="0.3">
      <c r="A495" s="21"/>
      <c r="B495" s="25"/>
      <c r="C495" s="29"/>
      <c r="D495" s="36"/>
      <c r="E495" s="41"/>
      <c r="F495" s="42"/>
      <c r="G495" s="9"/>
      <c r="H495" s="45"/>
      <c r="I495" s="9"/>
      <c r="J495" s="41"/>
      <c r="K495" s="43">
        <f>Table_246[[#This Row],[Valor da 
venda]]-Table_246[[#This Row],[Valor gasto]]</f>
        <v>0</v>
      </c>
      <c r="L495" s="45"/>
      <c r="P495" s="160"/>
      <c r="Q495"/>
      <c r="R495" s="160"/>
      <c r="V495"/>
    </row>
    <row r="496" spans="1:22" ht="15" customHeight="1" x14ac:dyDescent="0.3">
      <c r="A496" s="21"/>
      <c r="B496" s="25"/>
      <c r="C496" s="64"/>
      <c r="D496" s="36"/>
      <c r="E496" s="72"/>
      <c r="F496" s="42"/>
      <c r="G496" s="9"/>
      <c r="H496" s="77"/>
      <c r="I496" s="9"/>
      <c r="J496" s="72"/>
      <c r="K496" s="43">
        <f>Table_246[[#This Row],[Valor da 
venda]]-Table_246[[#This Row],[Valor gasto]]</f>
        <v>0</v>
      </c>
      <c r="L496" s="77"/>
      <c r="P496" s="160"/>
      <c r="Q496"/>
      <c r="R496" s="160"/>
      <c r="V496"/>
    </row>
    <row r="497" spans="1:22" ht="15" customHeight="1" x14ac:dyDescent="0.3">
      <c r="A497" s="21"/>
      <c r="B497" s="25"/>
      <c r="C497" s="29"/>
      <c r="D497" s="36"/>
      <c r="E497" s="41"/>
      <c r="F497" s="42"/>
      <c r="G497" s="9"/>
      <c r="H497" s="45"/>
      <c r="I497" s="9"/>
      <c r="J497" s="41"/>
      <c r="K497" s="43">
        <f>Table_246[[#This Row],[Valor da 
venda]]-Table_246[[#This Row],[Valor gasto]]</f>
        <v>0</v>
      </c>
      <c r="L497" s="45"/>
      <c r="P497" s="160"/>
      <c r="Q497"/>
      <c r="R497" s="160"/>
      <c r="V497"/>
    </row>
    <row r="498" spans="1:22" ht="15" customHeight="1" x14ac:dyDescent="0.3">
      <c r="A498" s="21"/>
      <c r="B498" s="25"/>
      <c r="C498" s="29"/>
      <c r="D498" s="36"/>
      <c r="E498" s="41"/>
      <c r="F498" s="42"/>
      <c r="G498" s="9"/>
      <c r="H498" s="45"/>
      <c r="I498" s="9"/>
      <c r="J498" s="41"/>
      <c r="K498" s="43">
        <f>Table_246[[#This Row],[Valor da 
venda]]-Table_246[[#This Row],[Valor gasto]]</f>
        <v>0</v>
      </c>
      <c r="L498" s="45"/>
      <c r="P498" s="160"/>
      <c r="Q498"/>
      <c r="R498" s="160"/>
      <c r="V498"/>
    </row>
    <row r="499" spans="1:22" ht="15" customHeight="1" x14ac:dyDescent="0.3">
      <c r="A499" s="21"/>
      <c r="B499" s="25"/>
      <c r="C499" s="29"/>
      <c r="D499" s="36"/>
      <c r="E499" s="41"/>
      <c r="F499" s="42"/>
      <c r="G499" s="9"/>
      <c r="H499" s="45"/>
      <c r="I499" s="9"/>
      <c r="J499" s="41"/>
      <c r="K499" s="43">
        <f>Table_246[[#This Row],[Valor da 
venda]]-Table_246[[#This Row],[Valor gasto]]</f>
        <v>0</v>
      </c>
      <c r="L499" s="45"/>
      <c r="P499" s="160"/>
      <c r="Q499"/>
      <c r="R499" s="160"/>
      <c r="V499"/>
    </row>
    <row r="500" spans="1:22" ht="15" customHeight="1" x14ac:dyDescent="0.3">
      <c r="A500" s="21"/>
      <c r="B500" s="25"/>
      <c r="C500" s="29"/>
      <c r="D500" s="36"/>
      <c r="E500" s="41"/>
      <c r="F500" s="42"/>
      <c r="G500" s="9"/>
      <c r="H500" s="45"/>
      <c r="I500" s="9"/>
      <c r="J500" s="41"/>
      <c r="K500" s="43">
        <f>Table_246[[#This Row],[Valor da 
venda]]-Table_246[[#This Row],[Valor gasto]]</f>
        <v>0</v>
      </c>
      <c r="L500" s="45"/>
      <c r="P500" s="160"/>
      <c r="Q500"/>
      <c r="R500" s="160"/>
      <c r="V500"/>
    </row>
    <row r="501" spans="1:22" ht="15" customHeight="1" x14ac:dyDescent="0.3">
      <c r="A501" s="21"/>
      <c r="B501" s="25"/>
      <c r="C501" s="29"/>
      <c r="D501" s="36"/>
      <c r="E501" s="41"/>
      <c r="F501" s="42"/>
      <c r="G501" s="9"/>
      <c r="H501" s="45"/>
      <c r="I501" s="9"/>
      <c r="J501" s="41"/>
      <c r="K501" s="43">
        <f>Table_246[[#This Row],[Valor da 
venda]]-Table_246[[#This Row],[Valor gasto]]</f>
        <v>0</v>
      </c>
      <c r="L501" s="45"/>
      <c r="P501" s="160"/>
      <c r="Q501"/>
      <c r="R501" s="160"/>
      <c r="V501"/>
    </row>
    <row r="502" spans="1:22" ht="15" customHeight="1" x14ac:dyDescent="0.3">
      <c r="A502" s="21"/>
      <c r="B502" s="25"/>
      <c r="C502" s="29"/>
      <c r="D502" s="36"/>
      <c r="E502" s="41"/>
      <c r="F502" s="42"/>
      <c r="G502" s="9"/>
      <c r="H502" s="45"/>
      <c r="I502" s="9"/>
      <c r="J502" s="41"/>
      <c r="K502" s="43">
        <f>Table_246[[#This Row],[Valor da 
venda]]-Table_246[[#This Row],[Valor gasto]]</f>
        <v>0</v>
      </c>
      <c r="L502" s="45"/>
      <c r="P502" s="160"/>
      <c r="Q502"/>
      <c r="R502" s="160"/>
      <c r="V502"/>
    </row>
    <row r="503" spans="1:22" ht="15" customHeight="1" x14ac:dyDescent="0.3">
      <c r="A503" s="21"/>
      <c r="B503" s="25"/>
      <c r="C503" s="64"/>
      <c r="D503" s="36"/>
      <c r="E503" s="72"/>
      <c r="F503" s="42"/>
      <c r="G503" s="9"/>
      <c r="H503" s="77"/>
      <c r="I503" s="9"/>
      <c r="J503" s="72"/>
      <c r="K503" s="43">
        <f>Table_246[[#This Row],[Valor da 
venda]]-Table_246[[#This Row],[Valor gasto]]</f>
        <v>0</v>
      </c>
      <c r="L503" s="77"/>
      <c r="P503" s="160"/>
      <c r="Q503"/>
      <c r="R503" s="160"/>
      <c r="V503"/>
    </row>
    <row r="504" spans="1:22" ht="15" customHeight="1" x14ac:dyDescent="0.3">
      <c r="A504" s="21"/>
      <c r="B504" s="25"/>
      <c r="C504" s="29"/>
      <c r="D504" s="36"/>
      <c r="E504" s="41"/>
      <c r="F504" s="42"/>
      <c r="G504" s="9"/>
      <c r="H504" s="45"/>
      <c r="I504" s="9"/>
      <c r="J504" s="41"/>
      <c r="K504" s="43">
        <f>Table_246[[#This Row],[Valor da 
venda]]-Table_246[[#This Row],[Valor gasto]]</f>
        <v>0</v>
      </c>
      <c r="L504" s="45"/>
      <c r="P504" s="160"/>
      <c r="Q504"/>
      <c r="R504" s="160"/>
      <c r="V504"/>
    </row>
    <row r="505" spans="1:22" ht="15" customHeight="1" x14ac:dyDescent="0.3">
      <c r="A505" s="21"/>
      <c r="B505" s="25"/>
      <c r="C505" s="29"/>
      <c r="D505" s="36"/>
      <c r="E505" s="41"/>
      <c r="F505" s="42"/>
      <c r="G505" s="9"/>
      <c r="H505" s="45"/>
      <c r="I505" s="9"/>
      <c r="J505" s="41"/>
      <c r="K505" s="43">
        <f>Table_246[[#This Row],[Valor da 
venda]]-Table_246[[#This Row],[Valor gasto]]</f>
        <v>0</v>
      </c>
      <c r="L505" s="45"/>
      <c r="P505" s="160"/>
      <c r="Q505"/>
      <c r="R505" s="160"/>
      <c r="V505"/>
    </row>
    <row r="506" spans="1:22" ht="15" customHeight="1" x14ac:dyDescent="0.3">
      <c r="A506" s="21"/>
      <c r="B506" s="25"/>
      <c r="C506" s="29"/>
      <c r="D506" s="36"/>
      <c r="E506" s="41"/>
      <c r="F506" s="42"/>
      <c r="G506" s="9"/>
      <c r="H506" s="45"/>
      <c r="I506" s="9"/>
      <c r="J506" s="41"/>
      <c r="K506" s="43">
        <f>Table_246[[#This Row],[Valor da 
venda]]-Table_246[[#This Row],[Valor gasto]]</f>
        <v>0</v>
      </c>
      <c r="L506" s="45"/>
      <c r="P506" s="160"/>
      <c r="Q506"/>
      <c r="R506" s="160"/>
      <c r="V506"/>
    </row>
    <row r="507" spans="1:22" ht="15" customHeight="1" x14ac:dyDescent="0.3">
      <c r="A507" s="21"/>
      <c r="B507" s="25"/>
      <c r="C507" s="29"/>
      <c r="D507" s="36"/>
      <c r="E507" s="41"/>
      <c r="F507" s="42"/>
      <c r="G507" s="9"/>
      <c r="H507" s="45"/>
      <c r="I507" s="9"/>
      <c r="J507" s="41"/>
      <c r="K507" s="43">
        <f>Table_246[[#This Row],[Valor da 
venda]]-Table_246[[#This Row],[Valor gasto]]</f>
        <v>0</v>
      </c>
      <c r="L507" s="45"/>
      <c r="P507" s="160"/>
      <c r="Q507"/>
      <c r="R507" s="160"/>
      <c r="V507"/>
    </row>
    <row r="508" spans="1:22" ht="15" customHeight="1" x14ac:dyDescent="0.3">
      <c r="A508" s="21"/>
      <c r="B508" s="25"/>
      <c r="C508" s="29"/>
      <c r="D508" s="36"/>
      <c r="E508" s="41"/>
      <c r="F508" s="42"/>
      <c r="G508" s="9"/>
      <c r="H508" s="45"/>
      <c r="I508" s="9"/>
      <c r="J508" s="41"/>
      <c r="K508" s="43">
        <f>Table_246[[#This Row],[Valor da 
venda]]-Table_246[[#This Row],[Valor gasto]]</f>
        <v>0</v>
      </c>
      <c r="L508" s="45"/>
      <c r="P508" s="160"/>
      <c r="Q508"/>
      <c r="R508" s="160"/>
      <c r="V508"/>
    </row>
    <row r="509" spans="1:22" ht="15" customHeight="1" x14ac:dyDescent="0.3">
      <c r="A509" s="21"/>
      <c r="B509" s="25"/>
      <c r="C509" s="29"/>
      <c r="D509" s="36"/>
      <c r="E509" s="41"/>
      <c r="F509" s="42"/>
      <c r="G509" s="9"/>
      <c r="H509" s="45"/>
      <c r="I509" s="9"/>
      <c r="J509" s="41"/>
      <c r="K509" s="43">
        <f>Table_246[[#This Row],[Valor da 
venda]]-Table_246[[#This Row],[Valor gasto]]</f>
        <v>0</v>
      </c>
      <c r="L509" s="45"/>
      <c r="P509" s="160"/>
      <c r="Q509"/>
      <c r="R509" s="160"/>
      <c r="V509"/>
    </row>
    <row r="510" spans="1:22" ht="15" customHeight="1" x14ac:dyDescent="0.3">
      <c r="A510" s="21"/>
      <c r="B510" s="25"/>
      <c r="C510" s="64"/>
      <c r="D510" s="36"/>
      <c r="E510" s="72"/>
      <c r="F510" s="42"/>
      <c r="G510" s="9"/>
      <c r="H510" s="77"/>
      <c r="I510" s="9"/>
      <c r="J510" s="72"/>
      <c r="K510" s="43">
        <f>Table_246[[#This Row],[Valor da 
venda]]-Table_246[[#This Row],[Valor gasto]]</f>
        <v>0</v>
      </c>
      <c r="L510" s="77"/>
      <c r="P510" s="160"/>
      <c r="Q510"/>
      <c r="R510" s="160"/>
      <c r="V510"/>
    </row>
    <row r="511" spans="1:22" ht="15" customHeight="1" x14ac:dyDescent="0.3">
      <c r="A511" s="21"/>
      <c r="B511" s="25"/>
      <c r="C511" s="29"/>
      <c r="D511" s="36"/>
      <c r="E511" s="41"/>
      <c r="F511" s="42"/>
      <c r="G511" s="9"/>
      <c r="H511" s="45"/>
      <c r="I511" s="9"/>
      <c r="J511" s="41"/>
      <c r="K511" s="43">
        <f>Table_246[[#This Row],[Valor da 
venda]]-Table_246[[#This Row],[Valor gasto]]</f>
        <v>0</v>
      </c>
      <c r="L511" s="45"/>
      <c r="P511" s="160"/>
      <c r="Q511"/>
      <c r="R511" s="160"/>
      <c r="V511"/>
    </row>
    <row r="512" spans="1:22" ht="15" customHeight="1" x14ac:dyDescent="0.3">
      <c r="A512" s="21"/>
      <c r="B512" s="25"/>
      <c r="C512" s="29"/>
      <c r="D512" s="36"/>
      <c r="E512" s="41"/>
      <c r="F512" s="42"/>
      <c r="G512" s="9"/>
      <c r="H512" s="45"/>
      <c r="I512" s="9"/>
      <c r="J512" s="41"/>
      <c r="K512" s="43">
        <f>Table_246[[#This Row],[Valor da 
venda]]-Table_246[[#This Row],[Valor gasto]]</f>
        <v>0</v>
      </c>
      <c r="L512" s="45"/>
      <c r="P512" s="160"/>
      <c r="Q512"/>
      <c r="R512" s="160"/>
      <c r="V512"/>
    </row>
    <row r="513" spans="1:22" ht="15" customHeight="1" x14ac:dyDescent="0.3">
      <c r="A513" s="21"/>
      <c r="B513" s="25"/>
      <c r="C513" s="29"/>
      <c r="D513" s="36"/>
      <c r="E513" s="41"/>
      <c r="F513" s="42"/>
      <c r="G513" s="9"/>
      <c r="H513" s="45"/>
      <c r="I513" s="9"/>
      <c r="J513" s="41"/>
      <c r="K513" s="43">
        <f>Table_246[[#This Row],[Valor da 
venda]]-Table_246[[#This Row],[Valor gasto]]</f>
        <v>0</v>
      </c>
      <c r="L513" s="45"/>
      <c r="P513" s="160"/>
      <c r="Q513"/>
      <c r="R513" s="160"/>
      <c r="V513"/>
    </row>
    <row r="514" spans="1:22" ht="15" customHeight="1" x14ac:dyDescent="0.3">
      <c r="A514" s="21"/>
      <c r="B514" s="25"/>
      <c r="C514" s="29"/>
      <c r="D514" s="36"/>
      <c r="E514" s="41"/>
      <c r="F514" s="42"/>
      <c r="G514" s="9"/>
      <c r="H514" s="45"/>
      <c r="I514" s="9"/>
      <c r="J514" s="41"/>
      <c r="K514" s="43">
        <f>Table_246[[#This Row],[Valor da 
venda]]-Table_246[[#This Row],[Valor gasto]]</f>
        <v>0</v>
      </c>
      <c r="L514" s="45"/>
      <c r="P514" s="160"/>
      <c r="Q514"/>
      <c r="R514" s="160"/>
      <c r="V514"/>
    </row>
    <row r="515" spans="1:22" ht="15" customHeight="1" x14ac:dyDescent="0.3">
      <c r="A515" s="21"/>
      <c r="B515" s="25"/>
      <c r="C515" s="29"/>
      <c r="D515" s="36"/>
      <c r="E515" s="41"/>
      <c r="F515" s="42"/>
      <c r="G515" s="9"/>
      <c r="H515" s="45"/>
      <c r="I515" s="9"/>
      <c r="J515" s="41"/>
      <c r="K515" s="43">
        <f>Table_246[[#This Row],[Valor da 
venda]]-Table_246[[#This Row],[Valor gasto]]</f>
        <v>0</v>
      </c>
      <c r="L515" s="45"/>
      <c r="P515" s="160"/>
      <c r="Q515"/>
      <c r="R515" s="160"/>
      <c r="V515"/>
    </row>
    <row r="516" spans="1:22" ht="15" customHeight="1" x14ac:dyDescent="0.3">
      <c r="A516" s="21"/>
      <c r="B516" s="25"/>
      <c r="C516" s="29"/>
      <c r="D516" s="36"/>
      <c r="E516" s="41"/>
      <c r="F516" s="42"/>
      <c r="G516" s="9"/>
      <c r="H516" s="45"/>
      <c r="I516" s="9"/>
      <c r="J516" s="41"/>
      <c r="K516" s="43">
        <f>Table_246[[#This Row],[Valor da 
venda]]-Table_246[[#This Row],[Valor gasto]]</f>
        <v>0</v>
      </c>
      <c r="L516" s="45"/>
      <c r="P516" s="160"/>
      <c r="Q516"/>
      <c r="R516" s="160"/>
      <c r="V516"/>
    </row>
    <row r="517" spans="1:22" ht="15" customHeight="1" x14ac:dyDescent="0.3">
      <c r="A517" s="21"/>
      <c r="B517" s="25"/>
      <c r="C517" s="64"/>
      <c r="D517" s="36"/>
      <c r="E517" s="72"/>
      <c r="F517" s="42"/>
      <c r="G517" s="9"/>
      <c r="H517" s="77"/>
      <c r="I517" s="9"/>
      <c r="J517" s="72"/>
      <c r="K517" s="43">
        <f>Table_246[[#This Row],[Valor da 
venda]]-Table_246[[#This Row],[Valor gasto]]</f>
        <v>0</v>
      </c>
      <c r="L517" s="77"/>
      <c r="P517" s="160"/>
      <c r="Q517"/>
      <c r="R517" s="160"/>
      <c r="V517"/>
    </row>
    <row r="518" spans="1:22" ht="15" customHeight="1" x14ac:dyDescent="0.3">
      <c r="A518" s="21"/>
      <c r="B518" s="25"/>
      <c r="C518" s="29"/>
      <c r="D518" s="36"/>
      <c r="E518" s="41"/>
      <c r="F518" s="42"/>
      <c r="G518" s="9"/>
      <c r="H518" s="45"/>
      <c r="I518" s="9"/>
      <c r="J518" s="41"/>
      <c r="K518" s="43">
        <f>Table_246[[#This Row],[Valor da 
venda]]-Table_246[[#This Row],[Valor gasto]]</f>
        <v>0</v>
      </c>
      <c r="L518" s="45"/>
      <c r="P518" s="160"/>
      <c r="Q518"/>
      <c r="R518" s="160"/>
      <c r="V518"/>
    </row>
    <row r="519" spans="1:22" ht="15" customHeight="1" x14ac:dyDescent="0.3">
      <c r="A519" s="21"/>
      <c r="B519" s="25"/>
      <c r="C519" s="29"/>
      <c r="D519" s="36"/>
      <c r="E519" s="41"/>
      <c r="F519" s="42"/>
      <c r="G519" s="9"/>
      <c r="H519" s="45"/>
      <c r="I519" s="9"/>
      <c r="J519" s="41"/>
      <c r="K519" s="43">
        <f>Table_246[[#This Row],[Valor da 
venda]]-Table_246[[#This Row],[Valor gasto]]</f>
        <v>0</v>
      </c>
      <c r="L519" s="45"/>
      <c r="P519" s="160"/>
      <c r="Q519"/>
      <c r="R519" s="160"/>
      <c r="V519"/>
    </row>
    <row r="520" spans="1:22" ht="15" customHeight="1" x14ac:dyDescent="0.3">
      <c r="A520" s="21"/>
      <c r="B520" s="25"/>
      <c r="C520" s="29"/>
      <c r="D520" s="36"/>
      <c r="E520" s="41"/>
      <c r="F520" s="42"/>
      <c r="G520" s="9"/>
      <c r="H520" s="45"/>
      <c r="I520" s="9"/>
      <c r="J520" s="41"/>
      <c r="K520" s="43">
        <f>Table_246[[#This Row],[Valor da 
venda]]-Table_246[[#This Row],[Valor gasto]]</f>
        <v>0</v>
      </c>
      <c r="L520" s="45"/>
      <c r="P520" s="160"/>
      <c r="Q520"/>
      <c r="R520" s="160"/>
      <c r="V520"/>
    </row>
    <row r="521" spans="1:22" ht="15" customHeight="1" x14ac:dyDescent="0.3">
      <c r="A521" s="21"/>
      <c r="B521" s="25"/>
      <c r="C521" s="29"/>
      <c r="D521" s="36"/>
      <c r="E521" s="41"/>
      <c r="F521" s="42"/>
      <c r="G521" s="9"/>
      <c r="H521" s="45"/>
      <c r="I521" s="9"/>
      <c r="J521" s="41"/>
      <c r="K521" s="43">
        <f>Table_246[[#This Row],[Valor da 
venda]]-Table_246[[#This Row],[Valor gasto]]</f>
        <v>0</v>
      </c>
      <c r="L521" s="45"/>
      <c r="P521" s="160"/>
      <c r="Q521"/>
      <c r="R521" s="160"/>
      <c r="V521"/>
    </row>
    <row r="522" spans="1:22" ht="15" customHeight="1" x14ac:dyDescent="0.3">
      <c r="A522" s="21"/>
      <c r="B522" s="25"/>
      <c r="C522" s="29"/>
      <c r="D522" s="36"/>
      <c r="E522" s="41"/>
      <c r="F522" s="42"/>
      <c r="G522" s="9"/>
      <c r="H522" s="45"/>
      <c r="I522" s="9"/>
      <c r="J522" s="41"/>
      <c r="K522" s="43">
        <f>Table_246[[#This Row],[Valor da 
venda]]-Table_246[[#This Row],[Valor gasto]]</f>
        <v>0</v>
      </c>
      <c r="L522" s="45"/>
      <c r="P522" s="160"/>
      <c r="Q522"/>
      <c r="R522" s="160"/>
      <c r="V522"/>
    </row>
    <row r="523" spans="1:22" ht="15" customHeight="1" x14ac:dyDescent="0.3">
      <c r="A523" s="21"/>
      <c r="B523" s="25"/>
      <c r="C523" s="29"/>
      <c r="D523" s="36"/>
      <c r="E523" s="41"/>
      <c r="F523" s="42"/>
      <c r="G523" s="9"/>
      <c r="H523" s="45"/>
      <c r="I523" s="9"/>
      <c r="J523" s="41"/>
      <c r="K523" s="43">
        <f>Table_246[[#This Row],[Valor da 
venda]]-Table_246[[#This Row],[Valor gasto]]</f>
        <v>0</v>
      </c>
      <c r="L523" s="45"/>
      <c r="P523" s="160"/>
      <c r="Q523"/>
      <c r="R523" s="160"/>
      <c r="V523"/>
    </row>
    <row r="524" spans="1:22" ht="15" customHeight="1" x14ac:dyDescent="0.3">
      <c r="A524" s="21"/>
      <c r="B524" s="25"/>
      <c r="C524" s="64"/>
      <c r="D524" s="36"/>
      <c r="E524" s="72"/>
      <c r="F524" s="42"/>
      <c r="G524" s="9"/>
      <c r="H524" s="77"/>
      <c r="I524" s="9"/>
      <c r="J524" s="72"/>
      <c r="K524" s="43">
        <f>Table_246[[#This Row],[Valor da 
venda]]-Table_246[[#This Row],[Valor gasto]]</f>
        <v>0</v>
      </c>
      <c r="L524" s="77"/>
      <c r="P524" s="160"/>
      <c r="Q524"/>
      <c r="R524" s="160"/>
      <c r="V524"/>
    </row>
    <row r="525" spans="1:22" ht="15" customHeight="1" x14ac:dyDescent="0.3">
      <c r="A525" s="21"/>
      <c r="B525" s="25"/>
      <c r="C525" s="29"/>
      <c r="D525" s="36"/>
      <c r="E525" s="41"/>
      <c r="F525" s="42"/>
      <c r="G525" s="9"/>
      <c r="H525" s="45"/>
      <c r="I525" s="9"/>
      <c r="J525" s="41"/>
      <c r="K525" s="43">
        <f>Table_246[[#This Row],[Valor da 
venda]]-Table_246[[#This Row],[Valor gasto]]</f>
        <v>0</v>
      </c>
      <c r="L525" s="45"/>
      <c r="P525" s="160"/>
      <c r="Q525"/>
      <c r="R525" s="160"/>
      <c r="V525"/>
    </row>
    <row r="526" spans="1:22" ht="15" customHeight="1" x14ac:dyDescent="0.3">
      <c r="A526" s="21"/>
      <c r="B526" s="25"/>
      <c r="C526" s="29"/>
      <c r="D526" s="36"/>
      <c r="E526" s="41"/>
      <c r="F526" s="42"/>
      <c r="G526" s="9"/>
      <c r="H526" s="45"/>
      <c r="I526" s="9"/>
      <c r="J526" s="41"/>
      <c r="K526" s="43">
        <f>Table_246[[#This Row],[Valor da 
venda]]-Table_246[[#This Row],[Valor gasto]]</f>
        <v>0</v>
      </c>
      <c r="L526" s="45"/>
      <c r="P526" s="160"/>
      <c r="Q526"/>
      <c r="R526" s="160"/>
      <c r="V526"/>
    </row>
    <row r="527" spans="1:22" ht="15" customHeight="1" x14ac:dyDescent="0.3">
      <c r="A527" s="21"/>
      <c r="B527" s="25"/>
      <c r="C527" s="29"/>
      <c r="D527" s="36"/>
      <c r="E527" s="41"/>
      <c r="F527" s="42"/>
      <c r="G527" s="9"/>
      <c r="H527" s="45"/>
      <c r="I527" s="9"/>
      <c r="J527" s="41"/>
      <c r="K527" s="43">
        <f>Table_246[[#This Row],[Valor da 
venda]]-Table_246[[#This Row],[Valor gasto]]</f>
        <v>0</v>
      </c>
      <c r="L527" s="45"/>
      <c r="P527" s="160"/>
      <c r="Q527"/>
      <c r="R527" s="160"/>
      <c r="V527"/>
    </row>
    <row r="528" spans="1:22" ht="15" customHeight="1" x14ac:dyDescent="0.3">
      <c r="A528" s="21"/>
      <c r="B528" s="25"/>
      <c r="C528" s="64"/>
      <c r="D528" s="36"/>
      <c r="E528" s="72"/>
      <c r="F528" s="42"/>
      <c r="G528" s="9"/>
      <c r="H528" s="77"/>
      <c r="I528" s="9"/>
      <c r="J528" s="72"/>
      <c r="K528" s="43">
        <f>Table_246[[#This Row],[Valor da 
venda]]-Table_246[[#This Row],[Valor gasto]]</f>
        <v>0</v>
      </c>
      <c r="L528" s="77"/>
      <c r="P528" s="160"/>
      <c r="Q528"/>
      <c r="R528" s="160"/>
      <c r="V528"/>
    </row>
    <row r="529" spans="1:22" ht="15" customHeight="1" x14ac:dyDescent="0.3">
      <c r="A529" s="21"/>
      <c r="B529" s="25"/>
      <c r="C529" s="29"/>
      <c r="D529" s="36"/>
      <c r="E529" s="41"/>
      <c r="F529" s="42"/>
      <c r="G529" s="9"/>
      <c r="H529" s="45"/>
      <c r="I529" s="9"/>
      <c r="J529" s="41"/>
      <c r="K529" s="43">
        <f>Table_246[[#This Row],[Valor da 
venda]]-Table_246[[#This Row],[Valor gasto]]</f>
        <v>0</v>
      </c>
      <c r="L529" s="45"/>
      <c r="P529" s="160"/>
      <c r="Q529"/>
      <c r="R529" s="160"/>
      <c r="V529"/>
    </row>
    <row r="530" spans="1:22" ht="15" customHeight="1" x14ac:dyDescent="0.3">
      <c r="A530" s="21"/>
      <c r="B530" s="25"/>
      <c r="C530" s="29"/>
      <c r="D530" s="36"/>
      <c r="E530" s="41"/>
      <c r="F530" s="42"/>
      <c r="G530" s="9"/>
      <c r="H530" s="45"/>
      <c r="I530" s="9"/>
      <c r="J530" s="41"/>
      <c r="K530" s="43">
        <f>Table_246[[#This Row],[Valor da 
venda]]-Table_246[[#This Row],[Valor gasto]]</f>
        <v>0</v>
      </c>
      <c r="L530" s="45"/>
      <c r="P530" s="160"/>
      <c r="Q530"/>
      <c r="R530" s="160"/>
      <c r="V530"/>
    </row>
    <row r="531" spans="1:22" ht="15" customHeight="1" x14ac:dyDescent="0.3">
      <c r="A531" s="21"/>
      <c r="B531" s="25"/>
      <c r="C531" s="29"/>
      <c r="D531" s="36"/>
      <c r="E531" s="41"/>
      <c r="F531" s="42"/>
      <c r="G531" s="9"/>
      <c r="H531" s="45"/>
      <c r="I531" s="9"/>
      <c r="J531" s="41"/>
      <c r="K531" s="43">
        <f>Table_246[[#This Row],[Valor da 
venda]]-Table_246[[#This Row],[Valor gasto]]</f>
        <v>0</v>
      </c>
      <c r="L531" s="45"/>
      <c r="P531" s="160"/>
      <c r="Q531"/>
      <c r="R531" s="160"/>
      <c r="V531"/>
    </row>
    <row r="532" spans="1:22" ht="15" customHeight="1" x14ac:dyDescent="0.3">
      <c r="A532" s="21"/>
      <c r="B532" s="25"/>
      <c r="C532" s="29"/>
      <c r="D532" s="36"/>
      <c r="E532" s="41"/>
      <c r="F532" s="42"/>
      <c r="G532" s="9"/>
      <c r="H532" s="45"/>
      <c r="I532" s="9"/>
      <c r="J532" s="41"/>
      <c r="K532" s="43">
        <f>Table_246[[#This Row],[Valor da 
venda]]-Table_246[[#This Row],[Valor gasto]]</f>
        <v>0</v>
      </c>
      <c r="L532" s="45"/>
      <c r="P532" s="160"/>
      <c r="Q532"/>
      <c r="R532" s="160"/>
      <c r="V532"/>
    </row>
    <row r="533" spans="1:22" ht="15" customHeight="1" x14ac:dyDescent="0.3">
      <c r="A533" s="21"/>
      <c r="B533" s="25"/>
      <c r="C533" s="29"/>
      <c r="D533" s="36"/>
      <c r="E533" s="41"/>
      <c r="F533" s="42"/>
      <c r="G533" s="9"/>
      <c r="H533" s="45"/>
      <c r="I533" s="9"/>
      <c r="J533" s="41"/>
      <c r="K533" s="43">
        <f>Table_246[[#This Row],[Valor da 
venda]]-Table_246[[#This Row],[Valor gasto]]</f>
        <v>0</v>
      </c>
      <c r="L533" s="45"/>
      <c r="P533" s="160"/>
      <c r="Q533"/>
      <c r="R533" s="160"/>
      <c r="V533"/>
    </row>
    <row r="534" spans="1:22" ht="15" customHeight="1" x14ac:dyDescent="0.3">
      <c r="A534" s="21"/>
      <c r="B534" s="25"/>
      <c r="C534" s="29"/>
      <c r="D534" s="36"/>
      <c r="E534" s="41"/>
      <c r="F534" s="42"/>
      <c r="G534" s="9"/>
      <c r="H534" s="45"/>
      <c r="I534" s="9"/>
      <c r="J534" s="41"/>
      <c r="K534" s="43">
        <f>Table_246[[#This Row],[Valor da 
venda]]-Table_246[[#This Row],[Valor gasto]]</f>
        <v>0</v>
      </c>
      <c r="L534" s="45"/>
      <c r="P534" s="160"/>
      <c r="Q534"/>
      <c r="R534" s="160"/>
      <c r="V534"/>
    </row>
    <row r="535" spans="1:22" ht="15" customHeight="1" x14ac:dyDescent="0.3">
      <c r="A535" s="21"/>
      <c r="B535" s="25"/>
      <c r="C535" s="64"/>
      <c r="D535" s="36"/>
      <c r="E535" s="72"/>
      <c r="F535" s="42"/>
      <c r="G535" s="9"/>
      <c r="H535" s="77"/>
      <c r="I535" s="9"/>
      <c r="J535" s="72"/>
      <c r="K535" s="43">
        <f>Table_246[[#This Row],[Valor da 
venda]]-Table_246[[#This Row],[Valor gasto]]</f>
        <v>0</v>
      </c>
      <c r="L535" s="77"/>
      <c r="P535" s="160"/>
      <c r="Q535"/>
      <c r="R535" s="160"/>
      <c r="V535"/>
    </row>
    <row r="536" spans="1:22" ht="15" customHeight="1" x14ac:dyDescent="0.3">
      <c r="A536" s="21"/>
      <c r="B536" s="25"/>
      <c r="C536" s="29"/>
      <c r="D536" s="36"/>
      <c r="E536" s="41"/>
      <c r="F536" s="42"/>
      <c r="G536" s="9"/>
      <c r="H536" s="45"/>
      <c r="I536" s="9"/>
      <c r="J536" s="41"/>
      <c r="K536" s="43">
        <f>Table_246[[#This Row],[Valor da 
venda]]-Table_246[[#This Row],[Valor gasto]]</f>
        <v>0</v>
      </c>
      <c r="L536" s="45"/>
      <c r="P536" s="160"/>
      <c r="Q536"/>
      <c r="R536" s="160"/>
      <c r="V536"/>
    </row>
    <row r="537" spans="1:22" ht="15" customHeight="1" x14ac:dyDescent="0.3">
      <c r="A537" s="21"/>
      <c r="B537" s="25"/>
      <c r="C537" s="29"/>
      <c r="D537" s="36"/>
      <c r="E537" s="41"/>
      <c r="F537" s="42"/>
      <c r="G537" s="9"/>
      <c r="H537" s="45"/>
      <c r="I537" s="9"/>
      <c r="J537" s="41"/>
      <c r="K537" s="43">
        <f>Table_246[[#This Row],[Valor da 
venda]]-Table_246[[#This Row],[Valor gasto]]</f>
        <v>0</v>
      </c>
      <c r="L537" s="45"/>
      <c r="P537" s="160"/>
      <c r="Q537"/>
      <c r="R537" s="160"/>
      <c r="V537"/>
    </row>
    <row r="538" spans="1:22" ht="15" customHeight="1" x14ac:dyDescent="0.3">
      <c r="A538" s="21"/>
      <c r="B538" s="25"/>
      <c r="C538" s="29"/>
      <c r="D538" s="36"/>
      <c r="E538" s="41"/>
      <c r="F538" s="42"/>
      <c r="G538" s="9"/>
      <c r="H538" s="45"/>
      <c r="I538" s="9"/>
      <c r="J538" s="41"/>
      <c r="K538" s="43">
        <f>Table_246[[#This Row],[Valor da 
venda]]-Table_246[[#This Row],[Valor gasto]]</f>
        <v>0</v>
      </c>
      <c r="L538" s="45"/>
      <c r="P538" s="160"/>
      <c r="Q538"/>
      <c r="R538" s="160"/>
      <c r="V538"/>
    </row>
    <row r="539" spans="1:22" ht="15" customHeight="1" x14ac:dyDescent="0.3">
      <c r="A539" s="21"/>
      <c r="B539" s="25"/>
      <c r="C539" s="29"/>
      <c r="D539" s="36"/>
      <c r="E539" s="41"/>
      <c r="F539" s="42"/>
      <c r="G539" s="9"/>
      <c r="H539" s="45"/>
      <c r="I539" s="9"/>
      <c r="J539" s="41"/>
      <c r="K539" s="43">
        <f>Table_246[[#This Row],[Valor da 
venda]]-Table_246[[#This Row],[Valor gasto]]</f>
        <v>0</v>
      </c>
      <c r="L539" s="45"/>
      <c r="P539" s="160"/>
      <c r="Q539"/>
      <c r="R539" s="160"/>
      <c r="V539"/>
    </row>
    <row r="540" spans="1:22" ht="15" customHeight="1" x14ac:dyDescent="0.3">
      <c r="A540" s="21"/>
      <c r="B540" s="25"/>
      <c r="C540" s="29"/>
      <c r="D540" s="36"/>
      <c r="E540" s="41"/>
      <c r="F540" s="42"/>
      <c r="G540" s="9"/>
      <c r="H540" s="45"/>
      <c r="I540" s="9"/>
      <c r="J540" s="41"/>
      <c r="K540" s="43">
        <f>Table_246[[#This Row],[Valor da 
venda]]-Table_246[[#This Row],[Valor gasto]]</f>
        <v>0</v>
      </c>
      <c r="L540" s="45"/>
      <c r="P540" s="160"/>
      <c r="Q540"/>
      <c r="R540" s="160"/>
      <c r="V540"/>
    </row>
    <row r="541" spans="1:22" ht="15" customHeight="1" x14ac:dyDescent="0.3">
      <c r="A541" s="21"/>
      <c r="B541" s="25"/>
      <c r="C541" s="29"/>
      <c r="D541" s="36"/>
      <c r="E541" s="41"/>
      <c r="F541" s="42"/>
      <c r="G541" s="9"/>
      <c r="H541" s="45"/>
      <c r="I541" s="9"/>
      <c r="J541" s="41"/>
      <c r="K541" s="43">
        <f>Table_246[[#This Row],[Valor da 
venda]]-Table_246[[#This Row],[Valor gasto]]</f>
        <v>0</v>
      </c>
      <c r="L541" s="45"/>
      <c r="P541" s="160"/>
      <c r="Q541"/>
      <c r="R541" s="160"/>
      <c r="V541"/>
    </row>
    <row r="542" spans="1:22" ht="15" customHeight="1" x14ac:dyDescent="0.3">
      <c r="A542" s="21"/>
      <c r="B542" s="25"/>
      <c r="C542" s="64"/>
      <c r="D542" s="36"/>
      <c r="E542" s="72"/>
      <c r="F542" s="42"/>
      <c r="G542" s="9"/>
      <c r="H542" s="77"/>
      <c r="I542" s="9"/>
      <c r="J542" s="72"/>
      <c r="K542" s="43">
        <f>Table_246[[#This Row],[Valor da 
venda]]-Table_246[[#This Row],[Valor gasto]]</f>
        <v>0</v>
      </c>
      <c r="L542" s="77"/>
      <c r="P542" s="160"/>
      <c r="Q542"/>
      <c r="R542" s="160"/>
      <c r="V542"/>
    </row>
    <row r="543" spans="1:22" ht="15" customHeight="1" x14ac:dyDescent="0.3">
      <c r="A543" s="21"/>
      <c r="B543" s="25"/>
      <c r="C543" s="29"/>
      <c r="D543" s="36"/>
      <c r="E543" s="41"/>
      <c r="F543" s="42"/>
      <c r="G543" s="9"/>
      <c r="H543" s="45"/>
      <c r="I543" s="9"/>
      <c r="J543" s="41"/>
      <c r="K543" s="43">
        <f>Table_246[[#This Row],[Valor da 
venda]]-Table_246[[#This Row],[Valor gasto]]</f>
        <v>0</v>
      </c>
      <c r="L543" s="45"/>
      <c r="P543" s="160"/>
      <c r="Q543"/>
      <c r="R543" s="160"/>
      <c r="V543"/>
    </row>
    <row r="544" spans="1:22" ht="15" customHeight="1" x14ac:dyDescent="0.3">
      <c r="A544" s="21"/>
      <c r="B544" s="25"/>
      <c r="C544" s="29"/>
      <c r="D544" s="36"/>
      <c r="E544" s="41"/>
      <c r="F544" s="42"/>
      <c r="G544" s="9"/>
      <c r="H544" s="45"/>
      <c r="I544" s="9"/>
      <c r="J544" s="41"/>
      <c r="K544" s="43">
        <f>Table_246[[#This Row],[Valor da 
venda]]-Table_246[[#This Row],[Valor gasto]]</f>
        <v>0</v>
      </c>
      <c r="L544" s="45"/>
      <c r="P544" s="160"/>
      <c r="Q544"/>
      <c r="R544" s="160"/>
      <c r="V544"/>
    </row>
    <row r="545" spans="1:22" ht="15" customHeight="1" x14ac:dyDescent="0.3">
      <c r="A545" s="21"/>
      <c r="B545" s="25"/>
      <c r="C545" s="29"/>
      <c r="D545" s="36"/>
      <c r="E545" s="41"/>
      <c r="F545" s="42"/>
      <c r="G545" s="9"/>
      <c r="H545" s="45"/>
      <c r="I545" s="9"/>
      <c r="J545" s="41"/>
      <c r="K545" s="43">
        <f>Table_246[[#This Row],[Valor da 
venda]]-Table_246[[#This Row],[Valor gasto]]</f>
        <v>0</v>
      </c>
      <c r="L545" s="45"/>
      <c r="P545" s="160"/>
      <c r="Q545"/>
      <c r="R545" s="160"/>
      <c r="V545"/>
    </row>
    <row r="546" spans="1:22" ht="15" customHeight="1" x14ac:dyDescent="0.3">
      <c r="A546" s="21"/>
      <c r="B546" s="25"/>
      <c r="C546" s="29"/>
      <c r="D546" s="36"/>
      <c r="E546" s="41"/>
      <c r="F546" s="42"/>
      <c r="G546" s="9"/>
      <c r="H546" s="45"/>
      <c r="I546" s="9"/>
      <c r="J546" s="41"/>
      <c r="K546" s="43">
        <f>Table_246[[#This Row],[Valor da 
venda]]-Table_246[[#This Row],[Valor gasto]]</f>
        <v>0</v>
      </c>
      <c r="L546" s="45"/>
      <c r="P546" s="160"/>
      <c r="Q546"/>
      <c r="R546" s="160"/>
      <c r="V546"/>
    </row>
    <row r="547" spans="1:22" ht="15" customHeight="1" x14ac:dyDescent="0.3">
      <c r="A547" s="21"/>
      <c r="B547" s="25"/>
      <c r="C547" s="29"/>
      <c r="D547" s="36"/>
      <c r="E547" s="41"/>
      <c r="F547" s="42"/>
      <c r="G547" s="9"/>
      <c r="H547" s="45"/>
      <c r="I547" s="9"/>
      <c r="J547" s="41"/>
      <c r="K547" s="43">
        <f>Table_246[[#This Row],[Valor da 
venda]]-Table_246[[#This Row],[Valor gasto]]</f>
        <v>0</v>
      </c>
      <c r="L547" s="45"/>
      <c r="P547" s="160"/>
      <c r="Q547"/>
      <c r="R547" s="160"/>
      <c r="V547"/>
    </row>
    <row r="548" spans="1:22" ht="15" customHeight="1" x14ac:dyDescent="0.3">
      <c r="A548" s="21"/>
      <c r="B548" s="25"/>
      <c r="C548" s="29"/>
      <c r="D548" s="36"/>
      <c r="E548" s="41"/>
      <c r="F548" s="42"/>
      <c r="G548" s="9"/>
      <c r="H548" s="45"/>
      <c r="I548" s="9"/>
      <c r="J548" s="41"/>
      <c r="K548" s="43">
        <f>Table_246[[#This Row],[Valor da 
venda]]-Table_246[[#This Row],[Valor gasto]]</f>
        <v>0</v>
      </c>
      <c r="L548" s="45"/>
      <c r="P548" s="160"/>
      <c r="Q548"/>
      <c r="R548" s="160"/>
      <c r="V548"/>
    </row>
    <row r="549" spans="1:22" ht="15" customHeight="1" x14ac:dyDescent="0.3">
      <c r="A549" s="21"/>
      <c r="B549" s="25"/>
      <c r="C549" s="64"/>
      <c r="D549" s="36"/>
      <c r="E549" s="72"/>
      <c r="F549" s="42"/>
      <c r="G549" s="9"/>
      <c r="H549" s="77"/>
      <c r="I549" s="9"/>
      <c r="J549" s="72"/>
      <c r="K549" s="43">
        <f>Table_246[[#This Row],[Valor da 
venda]]-Table_246[[#This Row],[Valor gasto]]</f>
        <v>0</v>
      </c>
      <c r="L549" s="77"/>
      <c r="P549" s="160"/>
      <c r="Q549"/>
      <c r="R549" s="160"/>
      <c r="V549"/>
    </row>
    <row r="550" spans="1:22" ht="15" customHeight="1" x14ac:dyDescent="0.3">
      <c r="A550" s="21"/>
      <c r="B550" s="25"/>
      <c r="C550" s="29"/>
      <c r="D550" s="36"/>
      <c r="E550" s="41"/>
      <c r="F550" s="42"/>
      <c r="G550" s="9"/>
      <c r="H550" s="45"/>
      <c r="I550" s="9"/>
      <c r="J550" s="41"/>
      <c r="K550" s="43">
        <f>Table_246[[#This Row],[Valor da 
venda]]-Table_246[[#This Row],[Valor gasto]]</f>
        <v>0</v>
      </c>
      <c r="L550" s="45"/>
      <c r="P550" s="160"/>
      <c r="Q550"/>
      <c r="R550" s="160"/>
      <c r="V550"/>
    </row>
    <row r="551" spans="1:22" ht="15" customHeight="1" x14ac:dyDescent="0.3">
      <c r="A551" s="21"/>
      <c r="B551" s="25"/>
      <c r="C551" s="29"/>
      <c r="D551" s="36"/>
      <c r="E551" s="41"/>
      <c r="F551" s="42"/>
      <c r="G551" s="9"/>
      <c r="H551" s="45"/>
      <c r="I551" s="9"/>
      <c r="J551" s="41"/>
      <c r="K551" s="43">
        <f>Table_246[[#This Row],[Valor da 
venda]]-Table_246[[#This Row],[Valor gasto]]</f>
        <v>0</v>
      </c>
      <c r="L551" s="45"/>
      <c r="P551" s="160"/>
      <c r="Q551"/>
      <c r="R551" s="160"/>
      <c r="V551"/>
    </row>
    <row r="552" spans="1:22" ht="15" customHeight="1" x14ac:dyDescent="0.3">
      <c r="A552" s="21"/>
      <c r="B552" s="25"/>
      <c r="C552" s="29"/>
      <c r="D552" s="36"/>
      <c r="E552" s="41"/>
      <c r="F552" s="42"/>
      <c r="G552" s="9"/>
      <c r="H552" s="45"/>
      <c r="I552" s="9"/>
      <c r="J552" s="41"/>
      <c r="K552" s="43">
        <f>Table_246[[#This Row],[Valor da 
venda]]-Table_246[[#This Row],[Valor gasto]]</f>
        <v>0</v>
      </c>
      <c r="L552" s="45"/>
      <c r="P552" s="160"/>
      <c r="Q552"/>
      <c r="R552" s="160"/>
      <c r="V552"/>
    </row>
    <row r="553" spans="1:22" ht="15" customHeight="1" x14ac:dyDescent="0.3">
      <c r="A553" s="21"/>
      <c r="B553" s="25"/>
      <c r="C553" s="29"/>
      <c r="D553" s="36"/>
      <c r="E553" s="41"/>
      <c r="F553" s="42"/>
      <c r="G553" s="9"/>
      <c r="H553" s="45"/>
      <c r="I553" s="9"/>
      <c r="J553" s="41"/>
      <c r="K553" s="43">
        <f>Table_246[[#This Row],[Valor da 
venda]]-Table_246[[#This Row],[Valor gasto]]</f>
        <v>0</v>
      </c>
      <c r="L553" s="45"/>
      <c r="P553" s="160"/>
      <c r="Q553"/>
      <c r="R553" s="160"/>
      <c r="V553"/>
    </row>
    <row r="554" spans="1:22" ht="15" customHeight="1" x14ac:dyDescent="0.3">
      <c r="A554" s="21"/>
      <c r="B554" s="25"/>
      <c r="C554" s="29"/>
      <c r="D554" s="36"/>
      <c r="E554" s="41"/>
      <c r="F554" s="42"/>
      <c r="G554" s="9"/>
      <c r="H554" s="45"/>
      <c r="I554" s="9"/>
      <c r="J554" s="41"/>
      <c r="K554" s="43">
        <f>Table_246[[#This Row],[Valor da 
venda]]-Table_246[[#This Row],[Valor gasto]]</f>
        <v>0</v>
      </c>
      <c r="L554" s="45"/>
      <c r="P554" s="160"/>
      <c r="Q554"/>
      <c r="R554" s="160"/>
      <c r="V554"/>
    </row>
    <row r="555" spans="1:22" ht="15" customHeight="1" x14ac:dyDescent="0.3">
      <c r="A555" s="21"/>
      <c r="B555" s="25"/>
      <c r="C555" s="29"/>
      <c r="D555" s="36"/>
      <c r="E555" s="41"/>
      <c r="F555" s="42"/>
      <c r="G555" s="9"/>
      <c r="H555" s="45"/>
      <c r="I555" s="9"/>
      <c r="J555" s="41"/>
      <c r="K555" s="43">
        <f>Table_246[[#This Row],[Valor da 
venda]]-Table_246[[#This Row],[Valor gasto]]</f>
        <v>0</v>
      </c>
      <c r="L555" s="45"/>
      <c r="P555" s="160"/>
      <c r="Q555"/>
      <c r="R555" s="160"/>
      <c r="V555"/>
    </row>
    <row r="556" spans="1:22" ht="15" customHeight="1" x14ac:dyDescent="0.3">
      <c r="A556" s="21"/>
      <c r="B556" s="25"/>
      <c r="C556" s="64"/>
      <c r="D556" s="36"/>
      <c r="E556" s="72"/>
      <c r="F556" s="42"/>
      <c r="G556" s="9"/>
      <c r="H556" s="77"/>
      <c r="I556" s="9"/>
      <c r="J556" s="72"/>
      <c r="K556" s="43">
        <f>Table_246[[#This Row],[Valor da 
venda]]-Table_246[[#This Row],[Valor gasto]]</f>
        <v>0</v>
      </c>
      <c r="L556" s="77"/>
      <c r="P556" s="160"/>
      <c r="Q556"/>
      <c r="R556" s="160"/>
      <c r="V556"/>
    </row>
    <row r="557" spans="1:22" ht="15" customHeight="1" x14ac:dyDescent="0.3">
      <c r="A557" s="21"/>
      <c r="B557" s="25"/>
      <c r="C557" s="29"/>
      <c r="D557" s="36"/>
      <c r="E557" s="41"/>
      <c r="F557" s="42"/>
      <c r="G557" s="9"/>
      <c r="H557" s="45"/>
      <c r="I557" s="9"/>
      <c r="J557" s="41"/>
      <c r="K557" s="43">
        <f>Table_246[[#This Row],[Valor da 
venda]]-Table_246[[#This Row],[Valor gasto]]</f>
        <v>0</v>
      </c>
      <c r="L557" s="45"/>
      <c r="P557" s="160"/>
      <c r="Q557"/>
      <c r="R557" s="160"/>
      <c r="V557"/>
    </row>
    <row r="558" spans="1:22" ht="15" customHeight="1" x14ac:dyDescent="0.3">
      <c r="A558" s="21"/>
      <c r="B558" s="25"/>
      <c r="C558" s="29"/>
      <c r="D558" s="36"/>
      <c r="E558" s="41"/>
      <c r="F558" s="42"/>
      <c r="G558" s="9"/>
      <c r="H558" s="45"/>
      <c r="I558" s="9"/>
      <c r="J558" s="41"/>
      <c r="K558" s="43">
        <f>Table_246[[#This Row],[Valor da 
venda]]-Table_246[[#This Row],[Valor gasto]]</f>
        <v>0</v>
      </c>
      <c r="L558" s="45"/>
      <c r="P558" s="160"/>
      <c r="Q558"/>
      <c r="R558" s="160"/>
      <c r="V558"/>
    </row>
    <row r="559" spans="1:22" ht="15" customHeight="1" x14ac:dyDescent="0.3">
      <c r="A559" s="21"/>
      <c r="B559" s="25"/>
      <c r="C559" s="29"/>
      <c r="D559" s="36"/>
      <c r="E559" s="41"/>
      <c r="F559" s="42"/>
      <c r="G559" s="9"/>
      <c r="H559" s="45"/>
      <c r="I559" s="9"/>
      <c r="J559" s="41"/>
      <c r="K559" s="43">
        <f>Table_246[[#This Row],[Valor da 
venda]]-Table_246[[#This Row],[Valor gasto]]</f>
        <v>0</v>
      </c>
      <c r="L559" s="45"/>
      <c r="P559" s="160"/>
      <c r="Q559"/>
      <c r="R559" s="160"/>
      <c r="V559"/>
    </row>
    <row r="560" spans="1:22" ht="15" customHeight="1" x14ac:dyDescent="0.3">
      <c r="A560" s="21"/>
      <c r="B560" s="25"/>
      <c r="C560" s="64"/>
      <c r="D560" s="36"/>
      <c r="E560" s="72"/>
      <c r="F560" s="42"/>
      <c r="G560" s="9"/>
      <c r="H560" s="77"/>
      <c r="I560" s="9"/>
      <c r="J560" s="72"/>
      <c r="K560" s="43">
        <f>Table_246[[#This Row],[Valor da 
venda]]-Table_246[[#This Row],[Valor gasto]]</f>
        <v>0</v>
      </c>
      <c r="L560" s="77"/>
      <c r="P560" s="160"/>
      <c r="Q560"/>
      <c r="R560" s="160"/>
      <c r="V560"/>
    </row>
    <row r="561" spans="1:22" ht="15" customHeight="1" x14ac:dyDescent="0.3">
      <c r="A561" s="21"/>
      <c r="B561" s="25"/>
      <c r="C561" s="29"/>
      <c r="D561" s="36"/>
      <c r="E561" s="41"/>
      <c r="F561" s="42"/>
      <c r="G561" s="9"/>
      <c r="H561" s="45"/>
      <c r="I561" s="9"/>
      <c r="J561" s="41"/>
      <c r="K561" s="43">
        <f>Table_246[[#This Row],[Valor da 
venda]]-Table_246[[#This Row],[Valor gasto]]</f>
        <v>0</v>
      </c>
      <c r="L561" s="45"/>
      <c r="P561" s="160"/>
      <c r="Q561"/>
      <c r="R561" s="160"/>
      <c r="V561"/>
    </row>
    <row r="562" spans="1:22" ht="15" customHeight="1" x14ac:dyDescent="0.3">
      <c r="A562" s="21"/>
      <c r="B562" s="25"/>
      <c r="C562" s="29"/>
      <c r="D562" s="36"/>
      <c r="E562" s="41"/>
      <c r="F562" s="42"/>
      <c r="G562" s="9"/>
      <c r="H562" s="45"/>
      <c r="I562" s="9"/>
      <c r="J562" s="41"/>
      <c r="K562" s="43">
        <f>Table_246[[#This Row],[Valor da 
venda]]-Table_246[[#This Row],[Valor gasto]]</f>
        <v>0</v>
      </c>
      <c r="L562" s="45"/>
      <c r="P562" s="160"/>
      <c r="Q562"/>
      <c r="R562" s="160"/>
      <c r="V562"/>
    </row>
    <row r="563" spans="1:22" ht="15" customHeight="1" x14ac:dyDescent="0.3">
      <c r="A563" s="21"/>
      <c r="B563" s="25"/>
      <c r="C563" s="29"/>
      <c r="D563" s="36"/>
      <c r="E563" s="41"/>
      <c r="F563" s="42"/>
      <c r="G563" s="9"/>
      <c r="H563" s="45"/>
      <c r="I563" s="9"/>
      <c r="J563" s="41"/>
      <c r="K563" s="43">
        <f>Table_246[[#This Row],[Valor da 
venda]]-Table_246[[#This Row],[Valor gasto]]</f>
        <v>0</v>
      </c>
      <c r="L563" s="45"/>
      <c r="P563" s="160"/>
      <c r="Q563"/>
      <c r="R563" s="160"/>
      <c r="V563"/>
    </row>
    <row r="564" spans="1:22" ht="15" customHeight="1" x14ac:dyDescent="0.3">
      <c r="A564" s="21"/>
      <c r="B564" s="25"/>
      <c r="C564" s="29"/>
      <c r="D564" s="36"/>
      <c r="E564" s="41"/>
      <c r="F564" s="42"/>
      <c r="G564" s="9"/>
      <c r="H564" s="45"/>
      <c r="I564" s="9"/>
      <c r="J564" s="41"/>
      <c r="K564" s="43">
        <f>Table_246[[#This Row],[Valor da 
venda]]-Table_246[[#This Row],[Valor gasto]]</f>
        <v>0</v>
      </c>
      <c r="L564" s="45"/>
      <c r="P564" s="160"/>
      <c r="Q564"/>
      <c r="R564" s="160"/>
      <c r="V564"/>
    </row>
    <row r="565" spans="1:22" ht="15" customHeight="1" x14ac:dyDescent="0.3">
      <c r="A565" s="21"/>
      <c r="B565" s="25"/>
      <c r="C565" s="29"/>
      <c r="D565" s="36"/>
      <c r="E565" s="41"/>
      <c r="F565" s="42"/>
      <c r="G565" s="9"/>
      <c r="H565" s="45"/>
      <c r="I565" s="9"/>
      <c r="J565" s="41"/>
      <c r="K565" s="43">
        <f>Table_246[[#This Row],[Valor da 
venda]]-Table_246[[#This Row],[Valor gasto]]</f>
        <v>0</v>
      </c>
      <c r="L565" s="45"/>
      <c r="P565" s="160"/>
      <c r="Q565"/>
      <c r="R565" s="160"/>
      <c r="V565"/>
    </row>
    <row r="566" spans="1:22" ht="15" customHeight="1" x14ac:dyDescent="0.3">
      <c r="A566" s="21"/>
      <c r="B566" s="25"/>
      <c r="C566" s="29"/>
      <c r="D566" s="36"/>
      <c r="E566" s="41"/>
      <c r="F566" s="42"/>
      <c r="G566" s="9"/>
      <c r="H566" s="45"/>
      <c r="I566" s="9"/>
      <c r="J566" s="41"/>
      <c r="K566" s="43">
        <f>Table_246[[#This Row],[Valor da 
venda]]-Table_246[[#This Row],[Valor gasto]]</f>
        <v>0</v>
      </c>
      <c r="L566" s="45"/>
      <c r="P566" s="160"/>
      <c r="Q566"/>
      <c r="R566" s="160"/>
      <c r="V566"/>
    </row>
    <row r="567" spans="1:22" ht="15" customHeight="1" x14ac:dyDescent="0.3">
      <c r="A567" s="21"/>
      <c r="B567" s="25"/>
      <c r="C567" s="64"/>
      <c r="D567" s="36"/>
      <c r="E567" s="72"/>
      <c r="F567" s="42"/>
      <c r="G567" s="9"/>
      <c r="H567" s="77"/>
      <c r="I567" s="9"/>
      <c r="J567" s="72"/>
      <c r="K567" s="43">
        <f>Table_246[[#This Row],[Valor da 
venda]]-Table_246[[#This Row],[Valor gasto]]</f>
        <v>0</v>
      </c>
      <c r="L567" s="77"/>
      <c r="P567" s="160"/>
      <c r="Q567"/>
      <c r="R567" s="160"/>
      <c r="V567"/>
    </row>
    <row r="568" spans="1:22" ht="15" customHeight="1" x14ac:dyDescent="0.3">
      <c r="A568" s="21"/>
      <c r="B568" s="25"/>
      <c r="C568" s="29"/>
      <c r="D568" s="36"/>
      <c r="E568" s="41"/>
      <c r="F568" s="42"/>
      <c r="G568" s="9"/>
      <c r="H568" s="45"/>
      <c r="I568" s="9"/>
      <c r="J568" s="41"/>
      <c r="K568" s="43">
        <f>Table_246[[#This Row],[Valor da 
venda]]-Table_246[[#This Row],[Valor gasto]]</f>
        <v>0</v>
      </c>
      <c r="L568" s="45"/>
      <c r="P568" s="160"/>
      <c r="Q568"/>
      <c r="R568" s="160"/>
      <c r="V568"/>
    </row>
    <row r="569" spans="1:22" ht="15" customHeight="1" x14ac:dyDescent="0.3">
      <c r="A569" s="21"/>
      <c r="B569" s="25"/>
      <c r="C569" s="29"/>
      <c r="D569" s="36"/>
      <c r="E569" s="41"/>
      <c r="F569" s="42"/>
      <c r="G569" s="9"/>
      <c r="H569" s="45"/>
      <c r="I569" s="9"/>
      <c r="J569" s="41"/>
      <c r="K569" s="43">
        <f>Table_246[[#This Row],[Valor da 
venda]]-Table_246[[#This Row],[Valor gasto]]</f>
        <v>0</v>
      </c>
      <c r="L569" s="45"/>
      <c r="P569" s="160"/>
      <c r="Q569"/>
      <c r="R569" s="160"/>
      <c r="V569"/>
    </row>
    <row r="570" spans="1:22" ht="15" customHeight="1" x14ac:dyDescent="0.3">
      <c r="A570" s="21"/>
      <c r="B570" s="25"/>
      <c r="C570" s="29"/>
      <c r="D570" s="36"/>
      <c r="E570" s="41"/>
      <c r="F570" s="42"/>
      <c r="G570" s="9"/>
      <c r="H570" s="45"/>
      <c r="I570" s="9"/>
      <c r="J570" s="41"/>
      <c r="K570" s="43">
        <f>Table_246[[#This Row],[Valor da 
venda]]-Table_246[[#This Row],[Valor gasto]]</f>
        <v>0</v>
      </c>
      <c r="L570" s="45"/>
      <c r="P570" s="160"/>
      <c r="Q570"/>
      <c r="R570" s="160"/>
      <c r="V570"/>
    </row>
    <row r="571" spans="1:22" ht="15" customHeight="1" x14ac:dyDescent="0.3">
      <c r="A571" s="21"/>
      <c r="B571" s="25"/>
      <c r="C571" s="29"/>
      <c r="D571" s="36"/>
      <c r="E571" s="41"/>
      <c r="F571" s="42"/>
      <c r="G571" s="9"/>
      <c r="H571" s="45"/>
      <c r="I571" s="9"/>
      <c r="J571" s="41"/>
      <c r="K571" s="43">
        <f>Table_246[[#This Row],[Valor da 
venda]]-Table_246[[#This Row],[Valor gasto]]</f>
        <v>0</v>
      </c>
      <c r="L571" s="45"/>
      <c r="P571" s="160"/>
      <c r="Q571"/>
      <c r="R571" s="160"/>
      <c r="V571"/>
    </row>
    <row r="572" spans="1:22" ht="15" customHeight="1" x14ac:dyDescent="0.3">
      <c r="A572" s="21"/>
      <c r="B572" s="25"/>
      <c r="C572" s="29"/>
      <c r="D572" s="36"/>
      <c r="E572" s="41"/>
      <c r="F572" s="42"/>
      <c r="G572" s="9"/>
      <c r="H572" s="45"/>
      <c r="I572" s="9"/>
      <c r="J572" s="41"/>
      <c r="K572" s="43">
        <f>Table_246[[#This Row],[Valor da 
venda]]-Table_246[[#This Row],[Valor gasto]]</f>
        <v>0</v>
      </c>
      <c r="L572" s="45"/>
      <c r="P572" s="160"/>
      <c r="Q572"/>
      <c r="R572" s="160"/>
      <c r="V572"/>
    </row>
    <row r="573" spans="1:22" ht="15" customHeight="1" x14ac:dyDescent="0.3">
      <c r="A573" s="21"/>
      <c r="B573" s="25"/>
      <c r="C573" s="29"/>
      <c r="D573" s="36"/>
      <c r="E573" s="41"/>
      <c r="F573" s="42"/>
      <c r="G573" s="9"/>
      <c r="H573" s="45"/>
      <c r="I573" s="9"/>
      <c r="J573" s="41"/>
      <c r="K573" s="43">
        <f>Table_246[[#This Row],[Valor da 
venda]]-Table_246[[#This Row],[Valor gasto]]</f>
        <v>0</v>
      </c>
      <c r="L573" s="45"/>
      <c r="P573" s="160"/>
      <c r="Q573"/>
      <c r="R573" s="160"/>
      <c r="V573"/>
    </row>
    <row r="574" spans="1:22" ht="15" customHeight="1" x14ac:dyDescent="0.3">
      <c r="A574" s="21"/>
      <c r="B574" s="25"/>
      <c r="C574" s="64"/>
      <c r="D574" s="36"/>
      <c r="E574" s="72"/>
      <c r="F574" s="42"/>
      <c r="G574" s="9"/>
      <c r="H574" s="77"/>
      <c r="I574" s="9"/>
      <c r="J574" s="72"/>
      <c r="K574" s="43">
        <f>Table_246[[#This Row],[Valor da 
venda]]-Table_246[[#This Row],[Valor gasto]]</f>
        <v>0</v>
      </c>
      <c r="L574" s="77"/>
      <c r="P574" s="160"/>
      <c r="Q574"/>
      <c r="R574" s="160"/>
      <c r="V574"/>
    </row>
    <row r="575" spans="1:22" ht="15" customHeight="1" x14ac:dyDescent="0.3">
      <c r="A575" s="21"/>
      <c r="B575" s="25"/>
      <c r="C575" s="29"/>
      <c r="D575" s="36"/>
      <c r="E575" s="41"/>
      <c r="F575" s="42"/>
      <c r="G575" s="9"/>
      <c r="H575" s="45"/>
      <c r="I575" s="9"/>
      <c r="J575" s="41"/>
      <c r="K575" s="43">
        <f>Table_246[[#This Row],[Valor da 
venda]]-Table_246[[#This Row],[Valor gasto]]</f>
        <v>0</v>
      </c>
      <c r="L575" s="45"/>
      <c r="P575" s="160"/>
      <c r="Q575"/>
      <c r="R575" s="160"/>
      <c r="V575"/>
    </row>
    <row r="576" spans="1:22" ht="15" customHeight="1" x14ac:dyDescent="0.3">
      <c r="A576" s="21"/>
      <c r="B576" s="25"/>
      <c r="C576" s="29"/>
      <c r="D576" s="36"/>
      <c r="E576" s="41"/>
      <c r="F576" s="42"/>
      <c r="G576" s="9"/>
      <c r="H576" s="45"/>
      <c r="I576" s="9"/>
      <c r="J576" s="41"/>
      <c r="K576" s="43">
        <f>Table_246[[#This Row],[Valor da 
venda]]-Table_246[[#This Row],[Valor gasto]]</f>
        <v>0</v>
      </c>
      <c r="L576" s="45"/>
      <c r="P576" s="160"/>
      <c r="Q576"/>
      <c r="R576" s="160"/>
      <c r="V576"/>
    </row>
    <row r="577" spans="1:22" ht="15" customHeight="1" x14ac:dyDescent="0.3">
      <c r="A577" s="21"/>
      <c r="B577" s="25"/>
      <c r="C577" s="29"/>
      <c r="D577" s="36"/>
      <c r="E577" s="41"/>
      <c r="F577" s="42"/>
      <c r="G577" s="9"/>
      <c r="H577" s="45"/>
      <c r="I577" s="9"/>
      <c r="J577" s="41"/>
      <c r="K577" s="43">
        <f>Table_246[[#This Row],[Valor da 
venda]]-Table_246[[#This Row],[Valor gasto]]</f>
        <v>0</v>
      </c>
      <c r="L577" s="45"/>
      <c r="P577" s="160"/>
      <c r="Q577"/>
      <c r="R577" s="160"/>
      <c r="V577"/>
    </row>
    <row r="578" spans="1:22" ht="15" customHeight="1" x14ac:dyDescent="0.3">
      <c r="A578" s="21"/>
      <c r="B578" s="25"/>
      <c r="C578" s="29"/>
      <c r="D578" s="36"/>
      <c r="E578" s="41"/>
      <c r="F578" s="42"/>
      <c r="G578" s="9"/>
      <c r="H578" s="45"/>
      <c r="I578" s="9"/>
      <c r="J578" s="41"/>
      <c r="K578" s="43">
        <f>Table_246[[#This Row],[Valor da 
venda]]-Table_246[[#This Row],[Valor gasto]]</f>
        <v>0</v>
      </c>
      <c r="L578" s="45"/>
      <c r="P578" s="160"/>
      <c r="Q578"/>
      <c r="R578" s="160"/>
      <c r="V578"/>
    </row>
    <row r="579" spans="1:22" ht="15" customHeight="1" x14ac:dyDescent="0.3">
      <c r="A579" s="21"/>
      <c r="B579" s="25"/>
      <c r="C579" s="29"/>
      <c r="D579" s="36"/>
      <c r="E579" s="41"/>
      <c r="F579" s="42"/>
      <c r="G579" s="9"/>
      <c r="H579" s="45"/>
      <c r="I579" s="9"/>
      <c r="J579" s="41"/>
      <c r="K579" s="43">
        <f>Table_246[[#This Row],[Valor da 
venda]]-Table_246[[#This Row],[Valor gasto]]</f>
        <v>0</v>
      </c>
      <c r="L579" s="45"/>
      <c r="P579" s="160"/>
      <c r="Q579"/>
      <c r="R579" s="160"/>
      <c r="V579"/>
    </row>
    <row r="580" spans="1:22" ht="15" customHeight="1" x14ac:dyDescent="0.3">
      <c r="A580" s="21"/>
      <c r="B580" s="25"/>
      <c r="C580" s="29"/>
      <c r="D580" s="36"/>
      <c r="E580" s="41"/>
      <c r="F580" s="42"/>
      <c r="G580" s="9"/>
      <c r="H580" s="45"/>
      <c r="I580" s="9"/>
      <c r="J580" s="41"/>
      <c r="K580" s="43">
        <f>Table_246[[#This Row],[Valor da 
venda]]-Table_246[[#This Row],[Valor gasto]]</f>
        <v>0</v>
      </c>
      <c r="L580" s="45"/>
      <c r="P580" s="160"/>
      <c r="Q580"/>
      <c r="R580" s="160"/>
      <c r="V580"/>
    </row>
    <row r="581" spans="1:22" ht="15" customHeight="1" x14ac:dyDescent="0.3">
      <c r="A581" s="21"/>
      <c r="B581" s="25"/>
      <c r="C581" s="64"/>
      <c r="D581" s="36"/>
      <c r="E581" s="72"/>
      <c r="F581" s="42"/>
      <c r="G581" s="9"/>
      <c r="H581" s="77"/>
      <c r="I581" s="9"/>
      <c r="J581" s="72"/>
      <c r="K581" s="43">
        <f>Table_246[[#This Row],[Valor da 
venda]]-Table_246[[#This Row],[Valor gasto]]</f>
        <v>0</v>
      </c>
      <c r="L581" s="77"/>
      <c r="P581" s="160"/>
      <c r="Q581"/>
      <c r="R581" s="160"/>
      <c r="V581"/>
    </row>
    <row r="582" spans="1:22" ht="15" customHeight="1" x14ac:dyDescent="0.3">
      <c r="A582" s="21"/>
      <c r="B582" s="25"/>
      <c r="C582" s="29"/>
      <c r="D582" s="36"/>
      <c r="E582" s="41"/>
      <c r="F582" s="42"/>
      <c r="G582" s="9"/>
      <c r="H582" s="45"/>
      <c r="I582" s="9"/>
      <c r="J582" s="41"/>
      <c r="K582" s="43">
        <f>Table_246[[#This Row],[Valor da 
venda]]-Table_246[[#This Row],[Valor gasto]]</f>
        <v>0</v>
      </c>
      <c r="L582" s="45"/>
      <c r="P582" s="160"/>
      <c r="Q582"/>
      <c r="R582" s="160"/>
      <c r="V582"/>
    </row>
    <row r="583" spans="1:22" ht="15" customHeight="1" x14ac:dyDescent="0.3">
      <c r="A583" s="21"/>
      <c r="B583" s="25"/>
      <c r="C583" s="29"/>
      <c r="D583" s="36"/>
      <c r="E583" s="41"/>
      <c r="F583" s="42"/>
      <c r="G583" s="9"/>
      <c r="H583" s="45"/>
      <c r="I583" s="9"/>
      <c r="J583" s="41"/>
      <c r="K583" s="43">
        <f>Table_246[[#This Row],[Valor da 
venda]]-Table_246[[#This Row],[Valor gasto]]</f>
        <v>0</v>
      </c>
      <c r="L583" s="45"/>
      <c r="P583" s="160"/>
      <c r="Q583"/>
      <c r="R583" s="160"/>
      <c r="V583"/>
    </row>
    <row r="584" spans="1:22" ht="15" customHeight="1" x14ac:dyDescent="0.3">
      <c r="A584" s="21"/>
      <c r="B584" s="25"/>
      <c r="C584" s="29"/>
      <c r="D584" s="36"/>
      <c r="E584" s="41"/>
      <c r="F584" s="42"/>
      <c r="G584" s="9"/>
      <c r="H584" s="45"/>
      <c r="I584" s="9"/>
      <c r="J584" s="41"/>
      <c r="K584" s="43">
        <f>Table_246[[#This Row],[Valor da 
venda]]-Table_246[[#This Row],[Valor gasto]]</f>
        <v>0</v>
      </c>
      <c r="L584" s="45"/>
      <c r="P584" s="160"/>
      <c r="Q584"/>
      <c r="R584" s="160"/>
      <c r="V584"/>
    </row>
    <row r="585" spans="1:22" ht="15" customHeight="1" x14ac:dyDescent="0.3">
      <c r="A585" s="21"/>
      <c r="B585" s="25"/>
      <c r="C585" s="29"/>
      <c r="D585" s="36"/>
      <c r="E585" s="41"/>
      <c r="F585" s="42"/>
      <c r="G585" s="9"/>
      <c r="H585" s="45"/>
      <c r="I585" s="9"/>
      <c r="J585" s="41"/>
      <c r="K585" s="43">
        <f>Table_246[[#This Row],[Valor da 
venda]]-Table_246[[#This Row],[Valor gasto]]</f>
        <v>0</v>
      </c>
      <c r="L585" s="45"/>
      <c r="P585" s="160"/>
      <c r="Q585"/>
      <c r="R585" s="160"/>
      <c r="V585"/>
    </row>
    <row r="586" spans="1:22" ht="15" customHeight="1" x14ac:dyDescent="0.3">
      <c r="A586" s="21"/>
      <c r="B586" s="25"/>
      <c r="C586" s="29"/>
      <c r="D586" s="36"/>
      <c r="E586" s="41"/>
      <c r="F586" s="42"/>
      <c r="G586" s="9"/>
      <c r="H586" s="45"/>
      <c r="I586" s="9"/>
      <c r="J586" s="41"/>
      <c r="K586" s="43">
        <f>Table_246[[#This Row],[Valor da 
venda]]-Table_246[[#This Row],[Valor gasto]]</f>
        <v>0</v>
      </c>
      <c r="L586" s="45"/>
      <c r="P586" s="160"/>
      <c r="Q586"/>
      <c r="R586" s="160"/>
      <c r="V586"/>
    </row>
    <row r="587" spans="1:22" ht="15" customHeight="1" x14ac:dyDescent="0.3">
      <c r="A587" s="21"/>
      <c r="B587" s="25"/>
      <c r="C587" s="29"/>
      <c r="D587" s="36"/>
      <c r="E587" s="41"/>
      <c r="F587" s="42"/>
      <c r="G587" s="9"/>
      <c r="H587" s="45"/>
      <c r="I587" s="9"/>
      <c r="J587" s="41"/>
      <c r="K587" s="43">
        <f>Table_246[[#This Row],[Valor da 
venda]]-Table_246[[#This Row],[Valor gasto]]</f>
        <v>0</v>
      </c>
      <c r="L587" s="45"/>
      <c r="P587" s="160"/>
      <c r="Q587"/>
      <c r="R587" s="160"/>
      <c r="V587"/>
    </row>
    <row r="588" spans="1:22" ht="15" customHeight="1" x14ac:dyDescent="0.3">
      <c r="A588" s="21"/>
      <c r="B588" s="25"/>
      <c r="C588" s="64"/>
      <c r="D588" s="36"/>
      <c r="E588" s="72"/>
      <c r="F588" s="42"/>
      <c r="G588" s="9"/>
      <c r="H588" s="77"/>
      <c r="I588" s="9"/>
      <c r="J588" s="72"/>
      <c r="K588" s="43">
        <f>Table_246[[#This Row],[Valor da 
venda]]-Table_246[[#This Row],[Valor gasto]]</f>
        <v>0</v>
      </c>
      <c r="L588" s="77"/>
      <c r="P588" s="160"/>
      <c r="Q588"/>
      <c r="R588" s="160"/>
      <c r="V588"/>
    </row>
    <row r="589" spans="1:22" ht="15" customHeight="1" x14ac:dyDescent="0.3">
      <c r="A589" s="21"/>
      <c r="B589" s="25"/>
      <c r="C589" s="29"/>
      <c r="D589" s="36"/>
      <c r="E589" s="41"/>
      <c r="F589" s="42"/>
      <c r="G589" s="9"/>
      <c r="H589" s="45"/>
      <c r="I589" s="9"/>
      <c r="J589" s="41"/>
      <c r="K589" s="43">
        <f>Table_246[[#This Row],[Valor da 
venda]]-Table_246[[#This Row],[Valor gasto]]</f>
        <v>0</v>
      </c>
      <c r="L589" s="45"/>
      <c r="P589" s="160"/>
      <c r="Q589"/>
      <c r="R589" s="160"/>
      <c r="V589"/>
    </row>
    <row r="590" spans="1:22" ht="15" customHeight="1" x14ac:dyDescent="0.3">
      <c r="A590" s="21"/>
      <c r="B590" s="25"/>
      <c r="C590" s="29"/>
      <c r="D590" s="36"/>
      <c r="E590" s="41"/>
      <c r="F590" s="42"/>
      <c r="G590" s="9"/>
      <c r="H590" s="45"/>
      <c r="I590" s="9"/>
      <c r="J590" s="41"/>
      <c r="K590" s="43">
        <f>Table_246[[#This Row],[Valor da 
venda]]-Table_246[[#This Row],[Valor gasto]]</f>
        <v>0</v>
      </c>
      <c r="L590" s="45"/>
      <c r="P590" s="160"/>
      <c r="Q590"/>
      <c r="R590" s="160"/>
      <c r="V590"/>
    </row>
    <row r="591" spans="1:22" ht="15" customHeight="1" x14ac:dyDescent="0.3">
      <c r="A591" s="21"/>
      <c r="B591" s="25"/>
      <c r="C591" s="29"/>
      <c r="D591" s="36"/>
      <c r="E591" s="41"/>
      <c r="F591" s="42"/>
      <c r="G591" s="9"/>
      <c r="H591" s="45"/>
      <c r="I591" s="9"/>
      <c r="J591" s="41"/>
      <c r="K591" s="43">
        <f>Table_246[[#This Row],[Valor da 
venda]]-Table_246[[#This Row],[Valor gasto]]</f>
        <v>0</v>
      </c>
      <c r="L591" s="45"/>
      <c r="P591" s="160"/>
      <c r="Q591"/>
      <c r="R591" s="160"/>
      <c r="V591"/>
    </row>
    <row r="592" spans="1:22" ht="15" customHeight="1" x14ac:dyDescent="0.3">
      <c r="A592" s="21"/>
      <c r="B592" s="25"/>
      <c r="C592" s="64"/>
      <c r="D592" s="36"/>
      <c r="E592" s="72"/>
      <c r="F592" s="42"/>
      <c r="G592" s="9"/>
      <c r="H592" s="77"/>
      <c r="I592" s="9"/>
      <c r="J592" s="72"/>
      <c r="K592" s="43">
        <f>Table_246[[#This Row],[Valor da 
venda]]-Table_246[[#This Row],[Valor gasto]]</f>
        <v>0</v>
      </c>
      <c r="L592" s="77"/>
      <c r="P592" s="160"/>
      <c r="Q592"/>
      <c r="R592" s="160"/>
      <c r="V592"/>
    </row>
    <row r="593" spans="1:22" ht="15" customHeight="1" x14ac:dyDescent="0.3">
      <c r="A593" s="21"/>
      <c r="B593" s="25"/>
      <c r="C593" s="29"/>
      <c r="D593" s="36"/>
      <c r="E593" s="41"/>
      <c r="F593" s="42"/>
      <c r="G593" s="9"/>
      <c r="H593" s="45"/>
      <c r="I593" s="9"/>
      <c r="J593" s="41"/>
      <c r="K593" s="43">
        <f>Table_246[[#This Row],[Valor da 
venda]]-Table_246[[#This Row],[Valor gasto]]</f>
        <v>0</v>
      </c>
      <c r="L593" s="45"/>
      <c r="P593" s="160"/>
      <c r="Q593"/>
      <c r="R593" s="160"/>
      <c r="V593"/>
    </row>
    <row r="594" spans="1:22" ht="15" customHeight="1" x14ac:dyDescent="0.3">
      <c r="A594" s="21"/>
      <c r="B594" s="25"/>
      <c r="C594" s="29"/>
      <c r="D594" s="36"/>
      <c r="E594" s="41"/>
      <c r="F594" s="42"/>
      <c r="G594" s="9"/>
      <c r="H594" s="45"/>
      <c r="I594" s="9"/>
      <c r="J594" s="41"/>
      <c r="K594" s="43">
        <f>Table_246[[#This Row],[Valor da 
venda]]-Table_246[[#This Row],[Valor gasto]]</f>
        <v>0</v>
      </c>
      <c r="L594" s="45"/>
      <c r="P594" s="160"/>
      <c r="Q594"/>
      <c r="R594" s="160"/>
      <c r="V594"/>
    </row>
    <row r="595" spans="1:22" ht="15" customHeight="1" x14ac:dyDescent="0.3">
      <c r="A595" s="21"/>
      <c r="B595" s="25"/>
      <c r="C595" s="29"/>
      <c r="D595" s="36"/>
      <c r="E595" s="41"/>
      <c r="F595" s="42"/>
      <c r="G595" s="9"/>
      <c r="H595" s="45"/>
      <c r="I595" s="9"/>
      <c r="J595" s="41"/>
      <c r="K595" s="43">
        <f>Table_246[[#This Row],[Valor da 
venda]]-Table_246[[#This Row],[Valor gasto]]</f>
        <v>0</v>
      </c>
      <c r="L595" s="45"/>
      <c r="P595" s="160"/>
      <c r="Q595"/>
      <c r="R595" s="160"/>
      <c r="V595"/>
    </row>
    <row r="596" spans="1:22" ht="15" customHeight="1" x14ac:dyDescent="0.3">
      <c r="A596" s="21"/>
      <c r="B596" s="25"/>
      <c r="C596" s="29"/>
      <c r="D596" s="36"/>
      <c r="E596" s="41"/>
      <c r="F596" s="42"/>
      <c r="G596" s="9"/>
      <c r="H596" s="45"/>
      <c r="I596" s="9"/>
      <c r="J596" s="41"/>
      <c r="K596" s="43">
        <f>Table_246[[#This Row],[Valor da 
venda]]-Table_246[[#This Row],[Valor gasto]]</f>
        <v>0</v>
      </c>
      <c r="L596" s="45"/>
      <c r="P596" s="160"/>
      <c r="Q596"/>
      <c r="R596" s="160"/>
      <c r="V596"/>
    </row>
    <row r="597" spans="1:22" ht="15" customHeight="1" x14ac:dyDescent="0.3">
      <c r="A597" s="21"/>
      <c r="B597" s="25"/>
      <c r="C597" s="29"/>
      <c r="D597" s="36"/>
      <c r="E597" s="41"/>
      <c r="F597" s="42"/>
      <c r="G597" s="9"/>
      <c r="H597" s="45"/>
      <c r="I597" s="9"/>
      <c r="J597" s="41"/>
      <c r="K597" s="43">
        <f>Table_246[[#This Row],[Valor da 
venda]]-Table_246[[#This Row],[Valor gasto]]</f>
        <v>0</v>
      </c>
      <c r="L597" s="45"/>
      <c r="P597" s="160"/>
      <c r="Q597"/>
      <c r="R597" s="160"/>
      <c r="V597"/>
    </row>
    <row r="598" spans="1:22" ht="15" customHeight="1" x14ac:dyDescent="0.3">
      <c r="A598" s="21"/>
      <c r="B598" s="25"/>
      <c r="C598" s="29"/>
      <c r="D598" s="36"/>
      <c r="E598" s="41"/>
      <c r="F598" s="42"/>
      <c r="G598" s="9"/>
      <c r="H598" s="45"/>
      <c r="I598" s="9"/>
      <c r="J598" s="41"/>
      <c r="K598" s="43">
        <f>Table_246[[#This Row],[Valor da 
venda]]-Table_246[[#This Row],[Valor gasto]]</f>
        <v>0</v>
      </c>
      <c r="L598" s="45"/>
      <c r="P598" s="160"/>
      <c r="Q598"/>
      <c r="R598" s="160"/>
      <c r="V598"/>
    </row>
    <row r="599" spans="1:22" ht="15" customHeight="1" x14ac:dyDescent="0.3">
      <c r="A599" s="21"/>
      <c r="B599" s="25"/>
      <c r="C599" s="64"/>
      <c r="D599" s="36"/>
      <c r="E599" s="72"/>
      <c r="F599" s="42"/>
      <c r="G599" s="9"/>
      <c r="H599" s="77"/>
      <c r="I599" s="9"/>
      <c r="J599" s="72"/>
      <c r="K599" s="43">
        <f>Table_246[[#This Row],[Valor da 
venda]]-Table_246[[#This Row],[Valor gasto]]</f>
        <v>0</v>
      </c>
      <c r="L599" s="77"/>
      <c r="P599" s="160"/>
      <c r="Q599"/>
      <c r="R599" s="160"/>
      <c r="V599"/>
    </row>
    <row r="600" spans="1:22" ht="15" customHeight="1" x14ac:dyDescent="0.3">
      <c r="A600" s="21"/>
      <c r="B600" s="25"/>
      <c r="C600" s="29"/>
      <c r="D600" s="36"/>
      <c r="E600" s="41"/>
      <c r="F600" s="42"/>
      <c r="G600" s="9"/>
      <c r="H600" s="45"/>
      <c r="I600" s="9"/>
      <c r="J600" s="41"/>
      <c r="K600" s="43">
        <f>Table_246[[#This Row],[Valor da 
venda]]-Table_246[[#This Row],[Valor gasto]]</f>
        <v>0</v>
      </c>
      <c r="L600" s="45"/>
      <c r="P600" s="160"/>
      <c r="Q600"/>
      <c r="R600" s="160"/>
      <c r="V600"/>
    </row>
    <row r="601" spans="1:22" ht="15" customHeight="1" x14ac:dyDescent="0.3">
      <c r="A601" s="21"/>
      <c r="B601" s="25"/>
      <c r="C601" s="29"/>
      <c r="D601" s="36"/>
      <c r="E601" s="41"/>
      <c r="F601" s="42"/>
      <c r="G601" s="9"/>
      <c r="H601" s="45"/>
      <c r="I601" s="9"/>
      <c r="J601" s="41"/>
      <c r="K601" s="43">
        <f>Table_246[[#This Row],[Valor da 
venda]]-Table_246[[#This Row],[Valor gasto]]</f>
        <v>0</v>
      </c>
      <c r="L601" s="45"/>
      <c r="P601" s="160"/>
      <c r="Q601"/>
      <c r="R601" s="160"/>
      <c r="V601"/>
    </row>
    <row r="602" spans="1:22" ht="15" customHeight="1" x14ac:dyDescent="0.3">
      <c r="A602" s="21"/>
      <c r="B602" s="25"/>
      <c r="C602" s="29"/>
      <c r="D602" s="36"/>
      <c r="E602" s="41"/>
      <c r="F602" s="42"/>
      <c r="G602" s="9"/>
      <c r="H602" s="45"/>
      <c r="I602" s="9"/>
      <c r="J602" s="41"/>
      <c r="K602" s="43">
        <f>Table_246[[#This Row],[Valor da 
venda]]-Table_246[[#This Row],[Valor gasto]]</f>
        <v>0</v>
      </c>
      <c r="L602" s="45"/>
      <c r="P602" s="160"/>
      <c r="Q602"/>
      <c r="R602" s="160"/>
      <c r="V602"/>
    </row>
    <row r="603" spans="1:22" ht="15" customHeight="1" x14ac:dyDescent="0.3">
      <c r="A603" s="21"/>
      <c r="B603" s="25"/>
      <c r="C603" s="29"/>
      <c r="D603" s="36"/>
      <c r="E603" s="41"/>
      <c r="F603" s="42"/>
      <c r="G603" s="9"/>
      <c r="H603" s="45"/>
      <c r="I603" s="9"/>
      <c r="J603" s="41"/>
      <c r="K603" s="43">
        <f>Table_246[[#This Row],[Valor da 
venda]]-Table_246[[#This Row],[Valor gasto]]</f>
        <v>0</v>
      </c>
      <c r="L603" s="45"/>
      <c r="P603" s="160"/>
      <c r="Q603"/>
      <c r="R603" s="160"/>
      <c r="V603"/>
    </row>
    <row r="604" spans="1:22" ht="15" customHeight="1" x14ac:dyDescent="0.3">
      <c r="A604" s="21"/>
      <c r="B604" s="25"/>
      <c r="C604" s="29"/>
      <c r="D604" s="36"/>
      <c r="E604" s="41"/>
      <c r="F604" s="42"/>
      <c r="G604" s="9"/>
      <c r="H604" s="45"/>
      <c r="I604" s="9"/>
      <c r="J604" s="41"/>
      <c r="K604" s="43">
        <f>Table_246[[#This Row],[Valor da 
venda]]-Table_246[[#This Row],[Valor gasto]]</f>
        <v>0</v>
      </c>
      <c r="L604" s="45"/>
      <c r="P604" s="160"/>
      <c r="Q604"/>
      <c r="R604" s="160"/>
      <c r="V604"/>
    </row>
    <row r="605" spans="1:22" ht="15" customHeight="1" x14ac:dyDescent="0.3">
      <c r="A605" s="21"/>
      <c r="B605" s="25"/>
      <c r="C605" s="29"/>
      <c r="D605" s="36"/>
      <c r="E605" s="41"/>
      <c r="F605" s="42"/>
      <c r="G605" s="9"/>
      <c r="H605" s="45"/>
      <c r="I605" s="9"/>
      <c r="J605" s="41"/>
      <c r="K605" s="43">
        <f>Table_246[[#This Row],[Valor da 
venda]]-Table_246[[#This Row],[Valor gasto]]</f>
        <v>0</v>
      </c>
      <c r="L605" s="45"/>
      <c r="P605" s="160"/>
      <c r="Q605"/>
      <c r="R605" s="160"/>
      <c r="V605"/>
    </row>
    <row r="606" spans="1:22" ht="15" customHeight="1" x14ac:dyDescent="0.3">
      <c r="A606" s="21"/>
      <c r="B606" s="25"/>
      <c r="C606" s="64"/>
      <c r="D606" s="36"/>
      <c r="E606" s="72"/>
      <c r="F606" s="42"/>
      <c r="G606" s="9"/>
      <c r="H606" s="77"/>
      <c r="I606" s="9"/>
      <c r="J606" s="72"/>
      <c r="K606" s="43">
        <f>Table_246[[#This Row],[Valor da 
venda]]-Table_246[[#This Row],[Valor gasto]]</f>
        <v>0</v>
      </c>
      <c r="L606" s="77"/>
      <c r="P606" s="160"/>
      <c r="Q606"/>
      <c r="R606" s="160"/>
      <c r="V606"/>
    </row>
    <row r="607" spans="1:22" ht="15" customHeight="1" x14ac:dyDescent="0.3">
      <c r="A607" s="21"/>
      <c r="B607" s="25"/>
      <c r="C607" s="29"/>
      <c r="D607" s="36"/>
      <c r="E607" s="41"/>
      <c r="F607" s="42"/>
      <c r="G607" s="9"/>
      <c r="H607" s="45"/>
      <c r="I607" s="9"/>
      <c r="J607" s="41"/>
      <c r="K607" s="43">
        <f>Table_246[[#This Row],[Valor da 
venda]]-Table_246[[#This Row],[Valor gasto]]</f>
        <v>0</v>
      </c>
      <c r="L607" s="45"/>
      <c r="P607" s="160"/>
      <c r="Q607"/>
      <c r="R607" s="160"/>
      <c r="V607"/>
    </row>
    <row r="608" spans="1:22" ht="15" customHeight="1" x14ac:dyDescent="0.3">
      <c r="A608" s="21"/>
      <c r="B608" s="25"/>
      <c r="C608" s="29"/>
      <c r="D608" s="36"/>
      <c r="E608" s="41"/>
      <c r="F608" s="42"/>
      <c r="G608" s="9"/>
      <c r="H608" s="45"/>
      <c r="I608" s="9"/>
      <c r="J608" s="41"/>
      <c r="K608" s="43">
        <f>Table_246[[#This Row],[Valor da 
venda]]-Table_246[[#This Row],[Valor gasto]]</f>
        <v>0</v>
      </c>
      <c r="L608" s="45"/>
      <c r="P608" s="160"/>
      <c r="Q608"/>
      <c r="R608" s="160"/>
      <c r="V608"/>
    </row>
    <row r="609" spans="1:22" ht="15" customHeight="1" x14ac:dyDescent="0.3">
      <c r="A609" s="21"/>
      <c r="B609" s="25"/>
      <c r="C609" s="29"/>
      <c r="D609" s="36"/>
      <c r="E609" s="41"/>
      <c r="F609" s="42"/>
      <c r="G609" s="9"/>
      <c r="H609" s="45"/>
      <c r="I609" s="9"/>
      <c r="J609" s="41"/>
      <c r="K609" s="43">
        <f>Table_246[[#This Row],[Valor da 
venda]]-Table_246[[#This Row],[Valor gasto]]</f>
        <v>0</v>
      </c>
      <c r="L609" s="45"/>
      <c r="P609" s="160"/>
      <c r="Q609"/>
      <c r="R609" s="160"/>
      <c r="V609"/>
    </row>
    <row r="610" spans="1:22" ht="15" customHeight="1" x14ac:dyDescent="0.3">
      <c r="A610" s="21"/>
      <c r="B610" s="25"/>
      <c r="C610" s="29"/>
      <c r="D610" s="36"/>
      <c r="E610" s="41"/>
      <c r="F610" s="42"/>
      <c r="G610" s="9"/>
      <c r="H610" s="45"/>
      <c r="I610" s="9"/>
      <c r="J610" s="41"/>
      <c r="K610" s="43">
        <f>Table_246[[#This Row],[Valor da 
venda]]-Table_246[[#This Row],[Valor gasto]]</f>
        <v>0</v>
      </c>
      <c r="L610" s="45"/>
      <c r="P610" s="160"/>
      <c r="Q610"/>
      <c r="R610" s="160"/>
      <c r="V610"/>
    </row>
    <row r="611" spans="1:22" ht="15" customHeight="1" x14ac:dyDescent="0.3">
      <c r="A611" s="21"/>
      <c r="B611" s="25"/>
      <c r="C611" s="29"/>
      <c r="D611" s="36"/>
      <c r="E611" s="41"/>
      <c r="F611" s="42"/>
      <c r="G611" s="9"/>
      <c r="H611" s="45"/>
      <c r="I611" s="9"/>
      <c r="J611" s="41"/>
      <c r="K611" s="43">
        <f>Table_246[[#This Row],[Valor da 
venda]]-Table_246[[#This Row],[Valor gasto]]</f>
        <v>0</v>
      </c>
      <c r="L611" s="45"/>
      <c r="P611" s="160"/>
      <c r="Q611"/>
      <c r="R611" s="160"/>
      <c r="V611"/>
    </row>
    <row r="612" spans="1:22" ht="15" customHeight="1" x14ac:dyDescent="0.3">
      <c r="A612" s="21"/>
      <c r="B612" s="25"/>
      <c r="C612" s="29"/>
      <c r="D612" s="36"/>
      <c r="E612" s="41"/>
      <c r="F612" s="42"/>
      <c r="G612" s="9"/>
      <c r="H612" s="45"/>
      <c r="I612" s="9"/>
      <c r="J612" s="41"/>
      <c r="K612" s="43">
        <f>Table_246[[#This Row],[Valor da 
venda]]-Table_246[[#This Row],[Valor gasto]]</f>
        <v>0</v>
      </c>
      <c r="L612" s="45"/>
      <c r="P612" s="160"/>
      <c r="Q612"/>
      <c r="R612" s="160"/>
      <c r="V612"/>
    </row>
    <row r="613" spans="1:22" ht="15" customHeight="1" x14ac:dyDescent="0.3">
      <c r="A613" s="21"/>
      <c r="B613" s="25"/>
      <c r="C613" s="64"/>
      <c r="D613" s="36"/>
      <c r="E613" s="72"/>
      <c r="F613" s="42"/>
      <c r="G613" s="9"/>
      <c r="H613" s="77"/>
      <c r="I613" s="9"/>
      <c r="J613" s="72"/>
      <c r="K613" s="43">
        <f>Table_246[[#This Row],[Valor da 
venda]]-Table_246[[#This Row],[Valor gasto]]</f>
        <v>0</v>
      </c>
      <c r="L613" s="77"/>
      <c r="P613" s="160"/>
      <c r="Q613"/>
      <c r="R613" s="160"/>
      <c r="V613"/>
    </row>
    <row r="614" spans="1:22" ht="15" customHeight="1" x14ac:dyDescent="0.3">
      <c r="A614" s="21"/>
      <c r="B614" s="25"/>
      <c r="C614" s="29"/>
      <c r="D614" s="36"/>
      <c r="E614" s="41"/>
      <c r="F614" s="42"/>
      <c r="G614" s="9"/>
      <c r="H614" s="45"/>
      <c r="I614" s="9"/>
      <c r="J614" s="41"/>
      <c r="K614" s="43">
        <f>Table_246[[#This Row],[Valor da 
venda]]-Table_246[[#This Row],[Valor gasto]]</f>
        <v>0</v>
      </c>
      <c r="L614" s="45"/>
      <c r="P614" s="160"/>
      <c r="Q614"/>
      <c r="R614" s="160"/>
      <c r="V614"/>
    </row>
    <row r="615" spans="1:22" ht="15" customHeight="1" x14ac:dyDescent="0.3">
      <c r="A615" s="21"/>
      <c r="B615" s="25"/>
      <c r="C615" s="29"/>
      <c r="D615" s="36"/>
      <c r="E615" s="41"/>
      <c r="F615" s="42"/>
      <c r="G615" s="9"/>
      <c r="H615" s="45"/>
      <c r="I615" s="9"/>
      <c r="J615" s="41"/>
      <c r="K615" s="43">
        <f>Table_246[[#This Row],[Valor da 
venda]]-Table_246[[#This Row],[Valor gasto]]</f>
        <v>0</v>
      </c>
      <c r="L615" s="45"/>
      <c r="P615" s="160"/>
      <c r="Q615"/>
      <c r="R615" s="160"/>
      <c r="V615"/>
    </row>
    <row r="616" spans="1:22" ht="15" customHeight="1" x14ac:dyDescent="0.3">
      <c r="A616" s="21"/>
      <c r="B616" s="25"/>
      <c r="C616" s="29"/>
      <c r="D616" s="36"/>
      <c r="E616" s="41"/>
      <c r="F616" s="42"/>
      <c r="G616" s="9"/>
      <c r="H616" s="45"/>
      <c r="I616" s="9"/>
      <c r="J616" s="41"/>
      <c r="K616" s="43">
        <f>Table_246[[#This Row],[Valor da 
venda]]-Table_246[[#This Row],[Valor gasto]]</f>
        <v>0</v>
      </c>
      <c r="L616" s="45"/>
      <c r="P616" s="160"/>
      <c r="Q616"/>
      <c r="R616" s="160"/>
      <c r="V616"/>
    </row>
    <row r="617" spans="1:22" ht="15" customHeight="1" x14ac:dyDescent="0.3">
      <c r="A617" s="21"/>
      <c r="B617" s="25"/>
      <c r="C617" s="29"/>
      <c r="D617" s="36"/>
      <c r="E617" s="41"/>
      <c r="F617" s="42"/>
      <c r="G617" s="9"/>
      <c r="H617" s="45"/>
      <c r="I617" s="9"/>
      <c r="J617" s="41"/>
      <c r="K617" s="43">
        <f>Table_246[[#This Row],[Valor da 
venda]]-Table_246[[#This Row],[Valor gasto]]</f>
        <v>0</v>
      </c>
      <c r="L617" s="45"/>
      <c r="P617" s="160"/>
      <c r="Q617"/>
      <c r="R617" s="160"/>
      <c r="V617"/>
    </row>
    <row r="618" spans="1:22" ht="15" customHeight="1" x14ac:dyDescent="0.3">
      <c r="A618" s="21"/>
      <c r="B618" s="25"/>
      <c r="C618" s="29"/>
      <c r="D618" s="36"/>
      <c r="E618" s="41"/>
      <c r="F618" s="42"/>
      <c r="G618" s="9"/>
      <c r="H618" s="45"/>
      <c r="I618" s="9"/>
      <c r="J618" s="41"/>
      <c r="K618" s="43">
        <f>Table_246[[#This Row],[Valor da 
venda]]-Table_246[[#This Row],[Valor gasto]]</f>
        <v>0</v>
      </c>
      <c r="L618" s="45"/>
      <c r="P618" s="160"/>
      <c r="Q618"/>
      <c r="R618" s="160"/>
      <c r="V618"/>
    </row>
    <row r="619" spans="1:22" ht="15" customHeight="1" x14ac:dyDescent="0.3">
      <c r="A619" s="21"/>
      <c r="B619" s="25"/>
      <c r="C619" s="66"/>
      <c r="D619" s="36"/>
      <c r="E619" s="41"/>
      <c r="F619" s="42"/>
      <c r="G619" s="9"/>
      <c r="H619" s="45"/>
      <c r="I619" s="9"/>
      <c r="J619" s="41"/>
      <c r="K619" s="43">
        <f>Table_246[[#This Row],[Valor da 
venda]]-Table_246[[#This Row],[Valor gasto]]</f>
        <v>0</v>
      </c>
      <c r="L619" s="45"/>
      <c r="P619" s="160"/>
      <c r="Q619"/>
      <c r="R619" s="160"/>
      <c r="V619"/>
    </row>
    <row r="620" spans="1:22" ht="15" customHeight="1" x14ac:dyDescent="0.3">
      <c r="A620" s="21"/>
      <c r="B620" s="25"/>
      <c r="C620" s="64"/>
      <c r="D620" s="36"/>
      <c r="E620" s="72"/>
      <c r="F620" s="42"/>
      <c r="G620" s="9"/>
      <c r="H620" s="77"/>
      <c r="I620" s="9"/>
      <c r="J620" s="72"/>
      <c r="K620" s="43">
        <f>Table_246[[#This Row],[Valor da 
venda]]-Table_246[[#This Row],[Valor gasto]]</f>
        <v>0</v>
      </c>
      <c r="L620" s="77"/>
      <c r="P620" s="160"/>
      <c r="Q620"/>
      <c r="R620" s="160"/>
      <c r="V620"/>
    </row>
    <row r="621" spans="1:22" ht="15" customHeight="1" x14ac:dyDescent="0.3">
      <c r="A621" s="21"/>
      <c r="B621" s="25"/>
      <c r="C621" s="29"/>
      <c r="D621" s="36"/>
      <c r="E621" s="41"/>
      <c r="F621" s="42"/>
      <c r="G621" s="9"/>
      <c r="H621" s="45"/>
      <c r="I621" s="9"/>
      <c r="J621" s="41"/>
      <c r="K621" s="43">
        <f>Table_246[[#This Row],[Valor da 
venda]]-Table_246[[#This Row],[Valor gasto]]</f>
        <v>0</v>
      </c>
      <c r="L621" s="45"/>
      <c r="P621" s="160"/>
      <c r="Q621"/>
      <c r="R621" s="160"/>
      <c r="V621"/>
    </row>
    <row r="622" spans="1:22" ht="15" customHeight="1" x14ac:dyDescent="0.3">
      <c r="A622" s="21"/>
      <c r="B622" s="25"/>
      <c r="C622" s="29"/>
      <c r="D622" s="36"/>
      <c r="E622" s="41"/>
      <c r="F622" s="42"/>
      <c r="G622" s="9"/>
      <c r="H622" s="45"/>
      <c r="I622" s="9"/>
      <c r="J622" s="41"/>
      <c r="K622" s="43">
        <f>Table_246[[#This Row],[Valor da 
venda]]-Table_246[[#This Row],[Valor gasto]]</f>
        <v>0</v>
      </c>
      <c r="L622" s="45"/>
      <c r="P622" s="160"/>
      <c r="Q622"/>
      <c r="R622" s="160"/>
      <c r="V622"/>
    </row>
    <row r="623" spans="1:22" ht="15" customHeight="1" x14ac:dyDescent="0.3">
      <c r="A623" s="21"/>
      <c r="B623" s="25"/>
      <c r="C623" s="29"/>
      <c r="D623" s="36"/>
      <c r="E623" s="41"/>
      <c r="F623" s="42"/>
      <c r="G623" s="9"/>
      <c r="H623" s="45"/>
      <c r="I623" s="9"/>
      <c r="J623" s="41"/>
      <c r="K623" s="43">
        <f>Table_246[[#This Row],[Valor da 
venda]]-Table_246[[#This Row],[Valor gasto]]</f>
        <v>0</v>
      </c>
      <c r="L623" s="45"/>
      <c r="P623" s="160"/>
      <c r="Q623"/>
      <c r="R623" s="160"/>
      <c r="V623"/>
    </row>
    <row r="624" spans="1:22" ht="15" customHeight="1" x14ac:dyDescent="0.3">
      <c r="A624" s="21"/>
      <c r="B624" s="25"/>
      <c r="C624" s="29"/>
      <c r="D624" s="36"/>
      <c r="E624" s="41"/>
      <c r="F624" s="42"/>
      <c r="G624" s="9"/>
      <c r="H624" s="45"/>
      <c r="I624" s="9"/>
      <c r="J624" s="41"/>
      <c r="K624" s="43">
        <f>Table_246[[#This Row],[Valor da 
venda]]-Table_246[[#This Row],[Valor gasto]]</f>
        <v>0</v>
      </c>
      <c r="L624" s="45"/>
      <c r="P624" s="160"/>
      <c r="Q624"/>
      <c r="R624" s="160"/>
      <c r="V624"/>
    </row>
    <row r="625" spans="1:22" ht="15" customHeight="1" x14ac:dyDescent="0.3">
      <c r="A625" s="21"/>
      <c r="B625" s="25"/>
      <c r="C625" s="29"/>
      <c r="D625" s="36"/>
      <c r="E625" s="41"/>
      <c r="F625" s="42"/>
      <c r="G625" s="9"/>
      <c r="H625" s="45"/>
      <c r="I625" s="9"/>
      <c r="J625" s="41"/>
      <c r="K625" s="43">
        <f>Table_246[[#This Row],[Valor da 
venda]]-Table_246[[#This Row],[Valor gasto]]</f>
        <v>0</v>
      </c>
      <c r="L625" s="45"/>
      <c r="P625" s="160"/>
      <c r="Q625"/>
      <c r="R625" s="160"/>
      <c r="V625"/>
    </row>
    <row r="626" spans="1:22" ht="15" customHeight="1" x14ac:dyDescent="0.3">
      <c r="A626" s="21"/>
      <c r="B626" s="25"/>
      <c r="C626" s="29"/>
      <c r="D626" s="36"/>
      <c r="E626" s="41"/>
      <c r="F626" s="42"/>
      <c r="G626" s="9"/>
      <c r="H626" s="45"/>
      <c r="I626" s="9"/>
      <c r="J626" s="41"/>
      <c r="K626" s="43">
        <f>Table_246[[#This Row],[Valor da 
venda]]-Table_246[[#This Row],[Valor gasto]]</f>
        <v>0</v>
      </c>
      <c r="L626" s="45"/>
      <c r="P626" s="160"/>
      <c r="Q626"/>
      <c r="R626" s="160"/>
      <c r="V626"/>
    </row>
    <row r="627" spans="1:22" ht="15" customHeight="1" x14ac:dyDescent="0.3">
      <c r="A627" s="21"/>
      <c r="B627" s="25"/>
      <c r="C627" s="29"/>
      <c r="D627" s="36"/>
      <c r="E627" s="41"/>
      <c r="F627" s="42"/>
      <c r="G627" s="9"/>
      <c r="H627" s="45"/>
      <c r="I627" s="9"/>
      <c r="J627" s="41"/>
      <c r="K627" s="43">
        <f>Table_246[[#This Row],[Valor da 
venda]]-Table_246[[#This Row],[Valor gasto]]</f>
        <v>0</v>
      </c>
      <c r="L627" s="45"/>
      <c r="P627" s="160"/>
      <c r="Q627"/>
      <c r="R627" s="160"/>
      <c r="V627"/>
    </row>
    <row r="628" spans="1:22" ht="15" customHeight="1" x14ac:dyDescent="0.3">
      <c r="A628" s="21"/>
      <c r="B628" s="25"/>
      <c r="C628" s="29"/>
      <c r="D628" s="36"/>
      <c r="E628" s="41"/>
      <c r="F628" s="42"/>
      <c r="G628" s="9"/>
      <c r="H628" s="45"/>
      <c r="I628" s="9"/>
      <c r="J628" s="41"/>
      <c r="K628" s="43">
        <f>Table_246[[#This Row],[Valor da 
venda]]-Table_246[[#This Row],[Valor gasto]]</f>
        <v>0</v>
      </c>
      <c r="L628" s="45"/>
      <c r="P628" s="160"/>
      <c r="Q628"/>
      <c r="R628" s="160"/>
      <c r="V628"/>
    </row>
    <row r="629" spans="1:22" ht="15" customHeight="1" x14ac:dyDescent="0.3">
      <c r="A629" s="21"/>
      <c r="B629" s="25"/>
      <c r="C629" s="29"/>
      <c r="D629" s="36"/>
      <c r="E629" s="41"/>
      <c r="F629" s="42"/>
      <c r="G629" s="9"/>
      <c r="H629" s="45"/>
      <c r="I629" s="9"/>
      <c r="J629" s="41"/>
      <c r="K629" s="43">
        <f>Table_246[[#This Row],[Valor da 
venda]]-Table_246[[#This Row],[Valor gasto]]</f>
        <v>0</v>
      </c>
      <c r="L629" s="45"/>
      <c r="P629" s="160"/>
      <c r="Q629"/>
      <c r="R629" s="160"/>
      <c r="V629"/>
    </row>
    <row r="630" spans="1:22" ht="15" customHeight="1" x14ac:dyDescent="0.3">
      <c r="A630" s="21"/>
      <c r="B630" s="25"/>
      <c r="C630" s="29"/>
      <c r="D630" s="36"/>
      <c r="E630" s="41"/>
      <c r="F630" s="42"/>
      <c r="G630" s="9"/>
      <c r="H630" s="45"/>
      <c r="I630" s="9"/>
      <c r="J630" s="41"/>
      <c r="K630" s="43">
        <f>Table_246[[#This Row],[Valor da 
venda]]-Table_246[[#This Row],[Valor gasto]]</f>
        <v>0</v>
      </c>
      <c r="L630" s="45"/>
      <c r="P630" s="160"/>
      <c r="Q630"/>
      <c r="R630" s="160"/>
      <c r="V630"/>
    </row>
    <row r="631" spans="1:22" ht="15" customHeight="1" x14ac:dyDescent="0.3">
      <c r="A631" s="21"/>
      <c r="B631" s="25"/>
      <c r="C631" s="29"/>
      <c r="D631" s="36"/>
      <c r="E631" s="41"/>
      <c r="F631" s="42"/>
      <c r="G631" s="9"/>
      <c r="H631" s="45"/>
      <c r="I631" s="9"/>
      <c r="J631" s="41"/>
      <c r="K631" s="43">
        <f>Table_246[[#This Row],[Valor da 
venda]]-Table_246[[#This Row],[Valor gasto]]</f>
        <v>0</v>
      </c>
      <c r="L631" s="45"/>
      <c r="P631" s="160"/>
      <c r="Q631"/>
      <c r="R631" s="160"/>
      <c r="V631"/>
    </row>
    <row r="632" spans="1:22" ht="15" customHeight="1" x14ac:dyDescent="0.3">
      <c r="A632" s="21"/>
      <c r="B632" s="25"/>
      <c r="C632" s="29"/>
      <c r="D632" s="36"/>
      <c r="E632" s="41"/>
      <c r="F632" s="42"/>
      <c r="G632" s="9"/>
      <c r="H632" s="45"/>
      <c r="I632" s="9"/>
      <c r="J632" s="41"/>
      <c r="K632" s="43">
        <f>Table_246[[#This Row],[Valor da 
venda]]-Table_246[[#This Row],[Valor gasto]]</f>
        <v>0</v>
      </c>
      <c r="L632" s="45"/>
      <c r="P632" s="160"/>
      <c r="Q632"/>
      <c r="R632" s="160"/>
      <c r="V632"/>
    </row>
    <row r="633" spans="1:22" ht="15" customHeight="1" x14ac:dyDescent="0.3">
      <c r="A633" s="21"/>
      <c r="B633" s="25"/>
      <c r="C633" s="29"/>
      <c r="D633" s="36"/>
      <c r="E633" s="41"/>
      <c r="F633" s="42"/>
      <c r="G633" s="9"/>
      <c r="H633" s="45"/>
      <c r="I633" s="9"/>
      <c r="J633" s="41"/>
      <c r="K633" s="43">
        <f>Table_246[[#This Row],[Valor da 
venda]]-Table_246[[#This Row],[Valor gasto]]</f>
        <v>0</v>
      </c>
      <c r="L633" s="45"/>
      <c r="P633" s="160"/>
      <c r="Q633"/>
      <c r="R633" s="160"/>
      <c r="V633"/>
    </row>
    <row r="634" spans="1:22" ht="15" customHeight="1" x14ac:dyDescent="0.3">
      <c r="A634" s="21"/>
      <c r="B634" s="25"/>
      <c r="C634" s="29"/>
      <c r="D634" s="36"/>
      <c r="E634" s="41"/>
      <c r="F634" s="42"/>
      <c r="G634" s="9"/>
      <c r="H634" s="45"/>
      <c r="I634" s="9"/>
      <c r="J634" s="41"/>
      <c r="K634" s="43">
        <f>Table_246[[#This Row],[Valor da 
venda]]-Table_246[[#This Row],[Valor gasto]]</f>
        <v>0</v>
      </c>
      <c r="L634" s="45"/>
      <c r="P634" s="160"/>
      <c r="Q634"/>
      <c r="R634" s="160"/>
      <c r="V634"/>
    </row>
    <row r="635" spans="1:22" ht="15" customHeight="1" x14ac:dyDescent="0.3">
      <c r="A635" s="21"/>
      <c r="B635" s="25"/>
      <c r="C635" s="29"/>
      <c r="D635" s="36"/>
      <c r="E635" s="41"/>
      <c r="F635" s="42"/>
      <c r="G635" s="9"/>
      <c r="H635" s="45"/>
      <c r="I635" s="9"/>
      <c r="J635" s="41"/>
      <c r="K635" s="43">
        <f>Table_246[[#This Row],[Valor da 
venda]]-Table_246[[#This Row],[Valor gasto]]</f>
        <v>0</v>
      </c>
      <c r="L635" s="45"/>
      <c r="P635" s="160"/>
      <c r="Q635"/>
      <c r="R635" s="160"/>
      <c r="V635"/>
    </row>
    <row r="636" spans="1:22" ht="15" customHeight="1" x14ac:dyDescent="0.3">
      <c r="A636" s="21"/>
      <c r="B636" s="25"/>
      <c r="C636" s="29"/>
      <c r="D636" s="36"/>
      <c r="E636" s="41"/>
      <c r="F636" s="42"/>
      <c r="G636" s="9"/>
      <c r="H636" s="45"/>
      <c r="I636" s="9"/>
      <c r="J636" s="41"/>
      <c r="K636" s="43">
        <f>Table_246[[#This Row],[Valor da 
venda]]-Table_246[[#This Row],[Valor gasto]]</f>
        <v>0</v>
      </c>
      <c r="L636" s="45"/>
      <c r="P636" s="160"/>
      <c r="Q636"/>
      <c r="R636" s="160"/>
      <c r="V636"/>
    </row>
    <row r="637" spans="1:22" ht="15" customHeight="1" x14ac:dyDescent="0.3">
      <c r="A637" s="21"/>
      <c r="B637" s="25"/>
      <c r="C637" s="29"/>
      <c r="D637" s="36"/>
      <c r="E637" s="41"/>
      <c r="F637" s="42"/>
      <c r="G637" s="9"/>
      <c r="H637" s="45"/>
      <c r="I637" s="9"/>
      <c r="J637" s="41"/>
      <c r="K637" s="43">
        <f>Table_246[[#This Row],[Valor da 
venda]]-Table_246[[#This Row],[Valor gasto]]</f>
        <v>0</v>
      </c>
      <c r="L637" s="45"/>
      <c r="P637" s="160"/>
      <c r="Q637"/>
      <c r="R637" s="160"/>
      <c r="V637"/>
    </row>
    <row r="638" spans="1:22" ht="15" customHeight="1" x14ac:dyDescent="0.3">
      <c r="A638" s="21"/>
      <c r="B638" s="25"/>
      <c r="C638" s="29"/>
      <c r="D638" s="36"/>
      <c r="E638" s="41"/>
      <c r="F638" s="42"/>
      <c r="G638" s="9"/>
      <c r="H638" s="45"/>
      <c r="I638" s="9"/>
      <c r="J638" s="41"/>
      <c r="K638" s="43">
        <f>Table_246[[#This Row],[Valor da 
venda]]-Table_246[[#This Row],[Valor gasto]]</f>
        <v>0</v>
      </c>
      <c r="L638" s="45"/>
      <c r="P638" s="160"/>
      <c r="Q638"/>
      <c r="R638" s="160"/>
      <c r="V638"/>
    </row>
    <row r="639" spans="1:22" ht="15" customHeight="1" x14ac:dyDescent="0.3">
      <c r="A639" s="21"/>
      <c r="B639" s="25"/>
      <c r="C639" s="29"/>
      <c r="D639" s="36"/>
      <c r="E639" s="41"/>
      <c r="F639" s="42"/>
      <c r="G639" s="9"/>
      <c r="H639" s="45"/>
      <c r="I639" s="9"/>
      <c r="J639" s="41"/>
      <c r="K639" s="43">
        <f>Table_246[[#This Row],[Valor da 
venda]]-Table_246[[#This Row],[Valor gasto]]</f>
        <v>0</v>
      </c>
      <c r="L639" s="45"/>
      <c r="P639" s="160"/>
      <c r="Q639"/>
      <c r="R639" s="160"/>
      <c r="V639"/>
    </row>
    <row r="640" spans="1:22" ht="15" customHeight="1" x14ac:dyDescent="0.3">
      <c r="A640" s="21"/>
      <c r="B640" s="25"/>
      <c r="C640" s="29"/>
      <c r="D640" s="36"/>
      <c r="E640" s="41"/>
      <c r="F640" s="42"/>
      <c r="G640" s="9"/>
      <c r="H640" s="45"/>
      <c r="I640" s="9"/>
      <c r="J640" s="41"/>
      <c r="K640" s="43">
        <f>Table_246[[#This Row],[Valor da 
venda]]-Table_246[[#This Row],[Valor gasto]]</f>
        <v>0</v>
      </c>
      <c r="L640" s="45"/>
      <c r="P640" s="160"/>
      <c r="Q640"/>
      <c r="R640" s="160"/>
      <c r="V640"/>
    </row>
    <row r="641" spans="1:22" ht="15" customHeight="1" x14ac:dyDescent="0.3">
      <c r="A641" s="21"/>
      <c r="B641" s="25"/>
      <c r="C641" s="29"/>
      <c r="D641" s="36"/>
      <c r="E641" s="41"/>
      <c r="F641" s="42"/>
      <c r="G641" s="9"/>
      <c r="H641" s="45"/>
      <c r="I641" s="9"/>
      <c r="J641" s="41"/>
      <c r="K641" s="43">
        <f>Table_246[[#This Row],[Valor da 
venda]]-Table_246[[#This Row],[Valor gasto]]</f>
        <v>0</v>
      </c>
      <c r="L641" s="45"/>
      <c r="P641" s="160"/>
      <c r="Q641"/>
      <c r="R641" s="160"/>
      <c r="V641"/>
    </row>
    <row r="642" spans="1:22" ht="15" customHeight="1" x14ac:dyDescent="0.3">
      <c r="A642" s="21"/>
      <c r="B642" s="25"/>
      <c r="C642" s="29"/>
      <c r="D642" s="36"/>
      <c r="E642" s="41"/>
      <c r="F642" s="42"/>
      <c r="G642" s="9"/>
      <c r="H642" s="45"/>
      <c r="I642" s="9"/>
      <c r="J642" s="41"/>
      <c r="K642" s="43">
        <f>Table_246[[#This Row],[Valor da 
venda]]-Table_246[[#This Row],[Valor gasto]]</f>
        <v>0</v>
      </c>
      <c r="L642" s="45"/>
      <c r="P642" s="160"/>
      <c r="Q642"/>
      <c r="R642" s="160"/>
      <c r="V642"/>
    </row>
    <row r="643" spans="1:22" ht="15" customHeight="1" x14ac:dyDescent="0.3">
      <c r="A643" s="21"/>
      <c r="B643" s="25"/>
      <c r="C643" s="29"/>
      <c r="D643" s="36"/>
      <c r="E643" s="41"/>
      <c r="F643" s="42"/>
      <c r="G643" s="9"/>
      <c r="H643" s="45"/>
      <c r="I643" s="9"/>
      <c r="J643" s="41"/>
      <c r="K643" s="43">
        <f>Table_246[[#This Row],[Valor da 
venda]]-Table_246[[#This Row],[Valor gasto]]</f>
        <v>0</v>
      </c>
      <c r="L643" s="45"/>
      <c r="P643" s="160"/>
      <c r="Q643"/>
      <c r="R643" s="160"/>
      <c r="V643"/>
    </row>
    <row r="644" spans="1:22" ht="15" customHeight="1" x14ac:dyDescent="0.3">
      <c r="A644" s="21"/>
      <c r="B644" s="25"/>
      <c r="C644" s="29"/>
      <c r="D644" s="36"/>
      <c r="E644" s="41"/>
      <c r="F644" s="42"/>
      <c r="G644" s="9"/>
      <c r="H644" s="45"/>
      <c r="I644" s="9"/>
      <c r="J644" s="41"/>
      <c r="K644" s="43">
        <f>Table_246[[#This Row],[Valor da 
venda]]-Table_246[[#This Row],[Valor gasto]]</f>
        <v>0</v>
      </c>
      <c r="L644" s="45"/>
      <c r="P644" s="160"/>
      <c r="Q644"/>
      <c r="R644" s="160"/>
      <c r="V644"/>
    </row>
    <row r="645" spans="1:22" ht="15" customHeight="1" x14ac:dyDescent="0.3">
      <c r="A645" s="21"/>
      <c r="B645" s="25"/>
      <c r="C645" s="29"/>
      <c r="D645" s="36"/>
      <c r="E645" s="41"/>
      <c r="F645" s="42"/>
      <c r="G645" s="9"/>
      <c r="H645" s="45"/>
      <c r="I645" s="9"/>
      <c r="J645" s="41"/>
      <c r="K645" s="43">
        <f>Table_246[[#This Row],[Valor da 
venda]]-Table_246[[#This Row],[Valor gasto]]</f>
        <v>0</v>
      </c>
      <c r="L645" s="45"/>
      <c r="P645" s="160"/>
      <c r="Q645"/>
      <c r="R645" s="160"/>
      <c r="V645"/>
    </row>
    <row r="646" spans="1:22" ht="15" customHeight="1" x14ac:dyDescent="0.3">
      <c r="A646" s="21"/>
      <c r="B646" s="25"/>
      <c r="C646" s="29"/>
      <c r="D646" s="36"/>
      <c r="E646" s="41"/>
      <c r="F646" s="42"/>
      <c r="G646" s="9"/>
      <c r="H646" s="45"/>
      <c r="I646" s="9"/>
      <c r="J646" s="41"/>
      <c r="K646" s="43">
        <f>Table_246[[#This Row],[Valor da 
venda]]-Table_246[[#This Row],[Valor gasto]]</f>
        <v>0</v>
      </c>
      <c r="L646" s="45"/>
      <c r="P646" s="160"/>
      <c r="Q646"/>
      <c r="R646" s="160"/>
      <c r="V646"/>
    </row>
    <row r="647" spans="1:22" ht="15" customHeight="1" x14ac:dyDescent="0.3">
      <c r="A647" s="21"/>
      <c r="B647" s="25"/>
      <c r="C647" s="29"/>
      <c r="D647" s="36"/>
      <c r="E647" s="41"/>
      <c r="F647" s="42"/>
      <c r="G647" s="9"/>
      <c r="H647" s="45"/>
      <c r="I647" s="9"/>
      <c r="J647" s="41"/>
      <c r="K647" s="43">
        <f>Table_246[[#This Row],[Valor da 
venda]]-Table_246[[#This Row],[Valor gasto]]</f>
        <v>0</v>
      </c>
      <c r="L647" s="45"/>
      <c r="P647" s="160"/>
      <c r="Q647"/>
      <c r="R647" s="160"/>
      <c r="V647"/>
    </row>
    <row r="648" spans="1:22" ht="15" customHeight="1" x14ac:dyDescent="0.3">
      <c r="A648" s="21"/>
      <c r="B648" s="25"/>
      <c r="C648" s="29"/>
      <c r="D648" s="36"/>
      <c r="E648" s="41"/>
      <c r="F648" s="42"/>
      <c r="G648" s="9"/>
      <c r="H648" s="45"/>
      <c r="I648" s="9"/>
      <c r="J648" s="41"/>
      <c r="K648" s="43">
        <f>Table_246[[#This Row],[Valor da 
venda]]-Table_246[[#This Row],[Valor gasto]]</f>
        <v>0</v>
      </c>
      <c r="L648" s="45"/>
      <c r="P648" s="160"/>
      <c r="Q648"/>
      <c r="R648" s="160"/>
      <c r="V648"/>
    </row>
    <row r="649" spans="1:22" ht="15" customHeight="1" x14ac:dyDescent="0.3">
      <c r="A649" s="21"/>
      <c r="B649" s="25"/>
      <c r="C649" s="29"/>
      <c r="D649" s="36"/>
      <c r="E649" s="41"/>
      <c r="F649" s="42"/>
      <c r="G649" s="9"/>
      <c r="H649" s="45"/>
      <c r="I649" s="9"/>
      <c r="J649" s="41"/>
      <c r="K649" s="43">
        <f>Table_246[[#This Row],[Valor da 
venda]]-Table_246[[#This Row],[Valor gasto]]</f>
        <v>0</v>
      </c>
      <c r="L649" s="45"/>
      <c r="P649" s="160"/>
      <c r="Q649"/>
      <c r="R649" s="160"/>
      <c r="V649"/>
    </row>
    <row r="650" spans="1:22" ht="15" customHeight="1" x14ac:dyDescent="0.3">
      <c r="A650" s="21"/>
      <c r="B650" s="25"/>
      <c r="C650" s="29"/>
      <c r="D650" s="36"/>
      <c r="E650" s="41"/>
      <c r="F650" s="42"/>
      <c r="G650" s="9"/>
      <c r="H650" s="45"/>
      <c r="I650" s="9"/>
      <c r="J650" s="41"/>
      <c r="K650" s="43">
        <f>Table_246[[#This Row],[Valor da 
venda]]-Table_246[[#This Row],[Valor gasto]]</f>
        <v>0</v>
      </c>
      <c r="L650" s="45"/>
      <c r="P650" s="160"/>
      <c r="Q650"/>
      <c r="R650" s="160"/>
      <c r="V650"/>
    </row>
    <row r="651" spans="1:22" ht="15" customHeight="1" x14ac:dyDescent="0.3">
      <c r="A651" s="21"/>
      <c r="B651" s="25"/>
      <c r="C651" s="29"/>
      <c r="D651" s="36"/>
      <c r="E651" s="41"/>
      <c r="F651" s="42"/>
      <c r="G651" s="9"/>
      <c r="H651" s="45"/>
      <c r="I651" s="9"/>
      <c r="J651" s="41"/>
      <c r="K651" s="43">
        <f>Table_246[[#This Row],[Valor da 
venda]]-Table_246[[#This Row],[Valor gasto]]</f>
        <v>0</v>
      </c>
      <c r="L651" s="45"/>
      <c r="P651" s="160"/>
      <c r="Q651"/>
      <c r="R651" s="160"/>
      <c r="V651"/>
    </row>
    <row r="652" spans="1:22" ht="15" customHeight="1" x14ac:dyDescent="0.3">
      <c r="A652" s="21"/>
      <c r="B652" s="25"/>
      <c r="C652" s="29"/>
      <c r="D652" s="36"/>
      <c r="E652" s="41"/>
      <c r="F652" s="42"/>
      <c r="G652" s="9"/>
      <c r="H652" s="45"/>
      <c r="I652" s="9"/>
      <c r="J652" s="41"/>
      <c r="K652" s="43">
        <f>Table_246[[#This Row],[Valor da 
venda]]-Table_246[[#This Row],[Valor gasto]]</f>
        <v>0</v>
      </c>
      <c r="L652" s="45"/>
      <c r="P652" s="160"/>
      <c r="Q652"/>
      <c r="R652" s="160"/>
      <c r="V652"/>
    </row>
    <row r="653" spans="1:22" ht="15" customHeight="1" x14ac:dyDescent="0.3">
      <c r="A653" s="21"/>
      <c r="B653" s="25"/>
      <c r="C653" s="29"/>
      <c r="D653" s="36"/>
      <c r="E653" s="41"/>
      <c r="F653" s="42"/>
      <c r="G653" s="9"/>
      <c r="H653" s="45"/>
      <c r="I653" s="9"/>
      <c r="J653" s="41"/>
      <c r="K653" s="43">
        <f>Table_246[[#This Row],[Valor da 
venda]]-Table_246[[#This Row],[Valor gasto]]</f>
        <v>0</v>
      </c>
      <c r="L653" s="45"/>
      <c r="P653" s="160"/>
      <c r="Q653"/>
      <c r="R653" s="160"/>
      <c r="V653"/>
    </row>
    <row r="654" spans="1:22" ht="15" customHeight="1" x14ac:dyDescent="0.3">
      <c r="A654" s="21"/>
      <c r="B654" s="25"/>
      <c r="C654" s="29"/>
      <c r="D654" s="36"/>
      <c r="E654" s="41"/>
      <c r="F654" s="42"/>
      <c r="G654" s="9"/>
      <c r="H654" s="45"/>
      <c r="I654" s="9"/>
      <c r="J654" s="41"/>
      <c r="K654" s="43">
        <f>Table_246[[#This Row],[Valor da 
venda]]-Table_246[[#This Row],[Valor gasto]]</f>
        <v>0</v>
      </c>
      <c r="L654" s="45"/>
      <c r="P654" s="160"/>
      <c r="Q654"/>
      <c r="R654" s="160"/>
      <c r="V654"/>
    </row>
    <row r="655" spans="1:22" ht="15" customHeight="1" x14ac:dyDescent="0.3">
      <c r="A655" s="21"/>
      <c r="B655" s="25"/>
      <c r="C655" s="29"/>
      <c r="D655" s="36"/>
      <c r="E655" s="41"/>
      <c r="F655" s="42"/>
      <c r="G655" s="9"/>
      <c r="H655" s="45"/>
      <c r="I655" s="9"/>
      <c r="J655" s="41"/>
      <c r="K655" s="43">
        <f>Table_246[[#This Row],[Valor da 
venda]]-Table_246[[#This Row],[Valor gasto]]</f>
        <v>0</v>
      </c>
      <c r="L655" s="45"/>
      <c r="P655" s="160"/>
      <c r="Q655"/>
      <c r="R655" s="160"/>
      <c r="V655"/>
    </row>
    <row r="656" spans="1:22" ht="15" customHeight="1" x14ac:dyDescent="0.3">
      <c r="A656" s="21"/>
      <c r="B656" s="25"/>
      <c r="C656" s="29"/>
      <c r="D656" s="36"/>
      <c r="E656" s="41"/>
      <c r="F656" s="42"/>
      <c r="G656" s="9"/>
      <c r="H656" s="45"/>
      <c r="I656" s="9"/>
      <c r="J656" s="41"/>
      <c r="K656" s="43">
        <f>Table_246[[#This Row],[Valor da 
venda]]-Table_246[[#This Row],[Valor gasto]]</f>
        <v>0</v>
      </c>
      <c r="L656" s="45"/>
      <c r="P656" s="160"/>
      <c r="Q656"/>
      <c r="R656" s="160"/>
      <c r="V656"/>
    </row>
    <row r="657" spans="1:22" ht="15" customHeight="1" x14ac:dyDescent="0.3">
      <c r="A657" s="21"/>
      <c r="B657" s="25"/>
      <c r="C657" s="29"/>
      <c r="D657" s="36"/>
      <c r="E657" s="41"/>
      <c r="F657" s="42"/>
      <c r="G657" s="9"/>
      <c r="H657" s="45"/>
      <c r="I657" s="9"/>
      <c r="J657" s="41"/>
      <c r="K657" s="43">
        <f>Table_246[[#This Row],[Valor da 
venda]]-Table_246[[#This Row],[Valor gasto]]</f>
        <v>0</v>
      </c>
      <c r="L657" s="45"/>
      <c r="P657" s="160"/>
      <c r="Q657"/>
      <c r="R657" s="160"/>
      <c r="V657"/>
    </row>
    <row r="658" spans="1:22" ht="15" customHeight="1" x14ac:dyDescent="0.3">
      <c r="A658" s="21"/>
      <c r="B658" s="25"/>
      <c r="C658" s="29"/>
      <c r="D658" s="36"/>
      <c r="E658" s="41"/>
      <c r="F658" s="42"/>
      <c r="G658" s="9"/>
      <c r="H658" s="45"/>
      <c r="I658" s="9"/>
      <c r="J658" s="41"/>
      <c r="K658" s="43">
        <f>Table_246[[#This Row],[Valor da 
venda]]-Table_246[[#This Row],[Valor gasto]]</f>
        <v>0</v>
      </c>
      <c r="L658" s="45"/>
      <c r="P658" s="160"/>
      <c r="Q658"/>
      <c r="R658" s="160"/>
      <c r="V658"/>
    </row>
    <row r="659" spans="1:22" ht="15" customHeight="1" x14ac:dyDescent="0.3">
      <c r="A659" s="21"/>
      <c r="B659" s="25"/>
      <c r="C659" s="29"/>
      <c r="D659" s="36"/>
      <c r="E659" s="41"/>
      <c r="F659" s="42"/>
      <c r="G659" s="9"/>
      <c r="H659" s="45"/>
      <c r="I659" s="9"/>
      <c r="J659" s="41"/>
      <c r="K659" s="43">
        <f>Table_246[[#This Row],[Valor da 
venda]]-Table_246[[#This Row],[Valor gasto]]</f>
        <v>0</v>
      </c>
      <c r="L659" s="45"/>
      <c r="P659" s="160"/>
      <c r="Q659"/>
      <c r="R659" s="160"/>
      <c r="V659"/>
    </row>
    <row r="660" spans="1:22" ht="15" customHeight="1" x14ac:dyDescent="0.3">
      <c r="A660" s="21"/>
      <c r="B660" s="25"/>
      <c r="C660" s="29"/>
      <c r="D660" s="36"/>
      <c r="E660" s="41"/>
      <c r="F660" s="42"/>
      <c r="G660" s="9"/>
      <c r="H660" s="45"/>
      <c r="I660" s="9"/>
      <c r="J660" s="41"/>
      <c r="K660" s="43">
        <f>Table_246[[#This Row],[Valor da 
venda]]-Table_246[[#This Row],[Valor gasto]]</f>
        <v>0</v>
      </c>
      <c r="L660" s="45"/>
      <c r="P660" s="160"/>
      <c r="Q660"/>
      <c r="R660" s="160"/>
      <c r="V660"/>
    </row>
    <row r="661" spans="1:22" ht="15" customHeight="1" x14ac:dyDescent="0.3">
      <c r="A661" s="21"/>
      <c r="B661" s="25"/>
      <c r="C661" s="29"/>
      <c r="D661" s="36"/>
      <c r="E661" s="41"/>
      <c r="F661" s="42"/>
      <c r="G661" s="9"/>
      <c r="H661" s="45"/>
      <c r="I661" s="9"/>
      <c r="J661" s="41"/>
      <c r="K661" s="43">
        <f>Table_246[[#This Row],[Valor da 
venda]]-Table_246[[#This Row],[Valor gasto]]</f>
        <v>0</v>
      </c>
      <c r="L661" s="45"/>
      <c r="P661" s="160"/>
      <c r="Q661"/>
      <c r="R661" s="160"/>
      <c r="V661"/>
    </row>
    <row r="662" spans="1:22" ht="15" customHeight="1" x14ac:dyDescent="0.3">
      <c r="A662" s="21"/>
      <c r="B662" s="25"/>
      <c r="C662" s="29"/>
      <c r="D662" s="36"/>
      <c r="E662" s="41"/>
      <c r="F662" s="42"/>
      <c r="G662" s="9"/>
      <c r="H662" s="45"/>
      <c r="I662" s="9"/>
      <c r="J662" s="41"/>
      <c r="K662" s="43">
        <f>Table_246[[#This Row],[Valor da 
venda]]-Table_246[[#This Row],[Valor gasto]]</f>
        <v>0</v>
      </c>
      <c r="L662" s="45"/>
      <c r="P662" s="160"/>
      <c r="Q662"/>
      <c r="R662" s="160"/>
      <c r="V662"/>
    </row>
    <row r="663" spans="1:22" ht="15" customHeight="1" x14ac:dyDescent="0.3">
      <c r="A663" s="21"/>
      <c r="B663" s="25"/>
      <c r="C663" s="29"/>
      <c r="D663" s="36"/>
      <c r="E663" s="41"/>
      <c r="F663" s="42"/>
      <c r="G663" s="9"/>
      <c r="H663" s="45"/>
      <c r="I663" s="9"/>
      <c r="J663" s="41"/>
      <c r="K663" s="43">
        <f>Table_246[[#This Row],[Valor da 
venda]]-Table_246[[#This Row],[Valor gasto]]</f>
        <v>0</v>
      </c>
      <c r="L663" s="45"/>
      <c r="P663" s="160"/>
      <c r="Q663"/>
      <c r="R663" s="160"/>
      <c r="V663"/>
    </row>
    <row r="664" spans="1:22" ht="15" customHeight="1" x14ac:dyDescent="0.3">
      <c r="A664" s="21"/>
      <c r="B664" s="25"/>
      <c r="C664" s="29"/>
      <c r="D664" s="36"/>
      <c r="E664" s="41"/>
      <c r="F664" s="42"/>
      <c r="G664" s="9"/>
      <c r="H664" s="45"/>
      <c r="I664" s="9"/>
      <c r="J664" s="41"/>
      <c r="K664" s="43">
        <f>Table_246[[#This Row],[Valor da 
venda]]-Table_246[[#This Row],[Valor gasto]]</f>
        <v>0</v>
      </c>
      <c r="L664" s="45"/>
      <c r="P664" s="160"/>
      <c r="Q664"/>
      <c r="R664" s="160"/>
      <c r="V664"/>
    </row>
    <row r="665" spans="1:22" ht="15" customHeight="1" x14ac:dyDescent="0.3">
      <c r="A665" s="21"/>
      <c r="B665" s="25"/>
      <c r="C665" s="29"/>
      <c r="D665" s="36"/>
      <c r="E665" s="41"/>
      <c r="F665" s="42"/>
      <c r="G665" s="9"/>
      <c r="H665" s="45"/>
      <c r="I665" s="9"/>
      <c r="J665" s="41"/>
      <c r="K665" s="43">
        <f>Table_246[[#This Row],[Valor da 
venda]]-Table_246[[#This Row],[Valor gasto]]</f>
        <v>0</v>
      </c>
      <c r="L665" s="45"/>
      <c r="P665" s="160"/>
      <c r="Q665"/>
      <c r="R665" s="160"/>
      <c r="V665"/>
    </row>
    <row r="666" spans="1:22" ht="15" customHeight="1" x14ac:dyDescent="0.3">
      <c r="A666" s="21"/>
      <c r="B666" s="25"/>
      <c r="C666" s="29"/>
      <c r="D666" s="36"/>
      <c r="E666" s="41"/>
      <c r="F666" s="42"/>
      <c r="G666" s="9"/>
      <c r="H666" s="45"/>
      <c r="I666" s="9"/>
      <c r="J666" s="41"/>
      <c r="K666" s="43">
        <f>Table_246[[#This Row],[Valor da 
venda]]-Table_246[[#This Row],[Valor gasto]]</f>
        <v>0</v>
      </c>
      <c r="L666" s="45"/>
      <c r="P666" s="160"/>
      <c r="Q666"/>
      <c r="R666" s="160"/>
      <c r="V666"/>
    </row>
    <row r="667" spans="1:22" ht="15" customHeight="1" x14ac:dyDescent="0.3">
      <c r="A667" s="21"/>
      <c r="B667" s="25"/>
      <c r="C667" s="29"/>
      <c r="D667" s="36"/>
      <c r="E667" s="41"/>
      <c r="F667" s="42"/>
      <c r="G667" s="9"/>
      <c r="H667" s="45"/>
      <c r="I667" s="9"/>
      <c r="J667" s="41"/>
      <c r="K667" s="43">
        <f>Table_246[[#This Row],[Valor da 
venda]]-Table_246[[#This Row],[Valor gasto]]</f>
        <v>0</v>
      </c>
      <c r="L667" s="45"/>
      <c r="P667" s="160"/>
      <c r="Q667"/>
      <c r="R667" s="160"/>
      <c r="V667"/>
    </row>
    <row r="668" spans="1:22" ht="15" customHeight="1" x14ac:dyDescent="0.3">
      <c r="A668" s="21"/>
      <c r="B668" s="25"/>
      <c r="C668" s="29"/>
      <c r="D668" s="36"/>
      <c r="E668" s="41"/>
      <c r="F668" s="42"/>
      <c r="G668" s="9"/>
      <c r="H668" s="45"/>
      <c r="I668" s="9"/>
      <c r="J668" s="41"/>
      <c r="K668" s="43">
        <f>Table_246[[#This Row],[Valor da 
venda]]-Table_246[[#This Row],[Valor gasto]]</f>
        <v>0</v>
      </c>
      <c r="L668" s="45"/>
      <c r="P668" s="160"/>
      <c r="Q668"/>
      <c r="R668" s="160"/>
      <c r="V668"/>
    </row>
    <row r="669" spans="1:22" ht="15" customHeight="1" x14ac:dyDescent="0.3">
      <c r="A669" s="21"/>
      <c r="B669" s="25"/>
      <c r="C669" s="29"/>
      <c r="D669" s="36"/>
      <c r="E669" s="41"/>
      <c r="F669" s="42"/>
      <c r="G669" s="9"/>
      <c r="H669" s="45"/>
      <c r="I669" s="9"/>
      <c r="J669" s="41"/>
      <c r="K669" s="43">
        <f>Table_246[[#This Row],[Valor da 
venda]]-Table_246[[#This Row],[Valor gasto]]</f>
        <v>0</v>
      </c>
      <c r="L669" s="45"/>
      <c r="P669" s="160"/>
      <c r="Q669"/>
      <c r="R669" s="160"/>
      <c r="V669"/>
    </row>
    <row r="670" spans="1:22" ht="15" customHeight="1" x14ac:dyDescent="0.3">
      <c r="A670" s="21"/>
      <c r="B670" s="25"/>
      <c r="C670" s="29"/>
      <c r="D670" s="36"/>
      <c r="E670" s="41"/>
      <c r="F670" s="42"/>
      <c r="G670" s="9"/>
      <c r="H670" s="45"/>
      <c r="I670" s="9"/>
      <c r="J670" s="41"/>
      <c r="K670" s="43">
        <f>Table_246[[#This Row],[Valor da 
venda]]-Table_246[[#This Row],[Valor gasto]]</f>
        <v>0</v>
      </c>
      <c r="L670" s="45"/>
      <c r="P670" s="160"/>
      <c r="Q670"/>
      <c r="R670" s="160"/>
      <c r="V670"/>
    </row>
    <row r="671" spans="1:22" ht="15" customHeight="1" x14ac:dyDescent="0.3">
      <c r="A671" s="21"/>
      <c r="B671" s="25"/>
      <c r="C671" s="29"/>
      <c r="D671" s="36"/>
      <c r="E671" s="41"/>
      <c r="F671" s="42"/>
      <c r="G671" s="9"/>
      <c r="H671" s="45"/>
      <c r="I671" s="9"/>
      <c r="J671" s="41"/>
      <c r="K671" s="43">
        <f>Table_246[[#This Row],[Valor da 
venda]]-Table_246[[#This Row],[Valor gasto]]</f>
        <v>0</v>
      </c>
      <c r="L671" s="45"/>
      <c r="P671" s="160"/>
      <c r="Q671"/>
      <c r="R671" s="160"/>
      <c r="V671"/>
    </row>
    <row r="672" spans="1:22" ht="15" customHeight="1" x14ac:dyDescent="0.3">
      <c r="A672" s="21"/>
      <c r="B672" s="25"/>
      <c r="C672" s="29"/>
      <c r="D672" s="36"/>
      <c r="E672" s="41"/>
      <c r="F672" s="42"/>
      <c r="G672" s="9"/>
      <c r="H672" s="45"/>
      <c r="I672" s="9"/>
      <c r="J672" s="41"/>
      <c r="K672" s="43">
        <f>Table_246[[#This Row],[Valor da 
venda]]-Table_246[[#This Row],[Valor gasto]]</f>
        <v>0</v>
      </c>
      <c r="L672" s="45"/>
      <c r="P672" s="160"/>
      <c r="Q672"/>
      <c r="R672" s="160"/>
      <c r="V672"/>
    </row>
    <row r="673" spans="1:22" ht="15" customHeight="1" x14ac:dyDescent="0.3">
      <c r="A673" s="21"/>
      <c r="B673" s="25"/>
      <c r="C673" s="29"/>
      <c r="D673" s="36"/>
      <c r="E673" s="41"/>
      <c r="F673" s="42"/>
      <c r="G673" s="9"/>
      <c r="H673" s="45"/>
      <c r="I673" s="9"/>
      <c r="J673" s="41"/>
      <c r="K673" s="43">
        <f>Table_246[[#This Row],[Valor da 
venda]]-Table_246[[#This Row],[Valor gasto]]</f>
        <v>0</v>
      </c>
      <c r="L673" s="45"/>
      <c r="P673" s="160"/>
      <c r="Q673"/>
      <c r="R673" s="160"/>
      <c r="V673"/>
    </row>
    <row r="674" spans="1:22" ht="15" customHeight="1" x14ac:dyDescent="0.3">
      <c r="A674" s="21"/>
      <c r="B674" s="25"/>
      <c r="C674" s="29"/>
      <c r="D674" s="36"/>
      <c r="E674" s="41"/>
      <c r="F674" s="42"/>
      <c r="G674" s="9"/>
      <c r="H674" s="45"/>
      <c r="I674" s="9"/>
      <c r="J674" s="41"/>
      <c r="K674" s="43">
        <f>Table_246[[#This Row],[Valor da 
venda]]-Table_246[[#This Row],[Valor gasto]]</f>
        <v>0</v>
      </c>
      <c r="L674" s="45"/>
      <c r="P674" s="160"/>
      <c r="Q674"/>
      <c r="R674" s="160"/>
      <c r="V674"/>
    </row>
    <row r="675" spans="1:22" ht="15" customHeight="1" x14ac:dyDescent="0.3">
      <c r="A675" s="21"/>
      <c r="B675" s="25"/>
      <c r="C675" s="29"/>
      <c r="D675" s="36"/>
      <c r="E675" s="41"/>
      <c r="F675" s="42"/>
      <c r="G675" s="9"/>
      <c r="H675" s="45"/>
      <c r="I675" s="9"/>
      <c r="J675" s="41"/>
      <c r="K675" s="43">
        <f>Table_246[[#This Row],[Valor da 
venda]]-Table_246[[#This Row],[Valor gasto]]</f>
        <v>0</v>
      </c>
      <c r="L675" s="45"/>
      <c r="P675" s="160"/>
      <c r="Q675"/>
      <c r="R675" s="160"/>
      <c r="V675"/>
    </row>
    <row r="676" spans="1:22" ht="15" customHeight="1" x14ac:dyDescent="0.3">
      <c r="A676" s="21"/>
      <c r="B676" s="25"/>
      <c r="C676" s="29"/>
      <c r="D676" s="36"/>
      <c r="E676" s="41"/>
      <c r="F676" s="42"/>
      <c r="G676" s="9"/>
      <c r="H676" s="45"/>
      <c r="I676" s="9"/>
      <c r="J676" s="41"/>
      <c r="K676" s="43">
        <f>Table_246[[#This Row],[Valor da 
venda]]-Table_246[[#This Row],[Valor gasto]]</f>
        <v>0</v>
      </c>
      <c r="L676" s="45"/>
      <c r="P676" s="160"/>
      <c r="Q676"/>
      <c r="R676" s="160"/>
      <c r="V676"/>
    </row>
    <row r="677" spans="1:22" ht="15" customHeight="1" x14ac:dyDescent="0.3">
      <c r="A677" s="21"/>
      <c r="B677" s="25"/>
      <c r="C677" s="29"/>
      <c r="D677" s="36"/>
      <c r="E677" s="41"/>
      <c r="F677" s="42"/>
      <c r="G677" s="9"/>
      <c r="H677" s="45"/>
      <c r="I677" s="9"/>
      <c r="J677" s="41"/>
      <c r="K677" s="43">
        <f>Table_246[[#This Row],[Valor da 
venda]]-Table_246[[#This Row],[Valor gasto]]</f>
        <v>0</v>
      </c>
      <c r="L677" s="45"/>
      <c r="P677" s="160"/>
      <c r="Q677"/>
      <c r="R677" s="160"/>
      <c r="V677"/>
    </row>
    <row r="678" spans="1:22" ht="15" customHeight="1" x14ac:dyDescent="0.3">
      <c r="A678" s="21"/>
      <c r="B678" s="25"/>
      <c r="C678" s="29"/>
      <c r="D678" s="36"/>
      <c r="E678" s="41"/>
      <c r="F678" s="42"/>
      <c r="G678" s="9"/>
      <c r="H678" s="45"/>
      <c r="I678" s="9"/>
      <c r="J678" s="41"/>
      <c r="K678" s="43">
        <f>Table_246[[#This Row],[Valor da 
venda]]-Table_246[[#This Row],[Valor gasto]]</f>
        <v>0</v>
      </c>
      <c r="L678" s="45"/>
      <c r="P678" s="160"/>
      <c r="Q678"/>
      <c r="R678" s="160"/>
      <c r="V678"/>
    </row>
    <row r="679" spans="1:22" ht="15" customHeight="1" x14ac:dyDescent="0.3">
      <c r="A679" s="21"/>
      <c r="B679" s="25"/>
      <c r="C679" s="29"/>
      <c r="D679" s="36"/>
      <c r="E679" s="41"/>
      <c r="F679" s="42"/>
      <c r="G679" s="9"/>
      <c r="H679" s="45"/>
      <c r="I679" s="9"/>
      <c r="J679" s="41"/>
      <c r="K679" s="43">
        <f>Table_246[[#This Row],[Valor da 
venda]]-Table_246[[#This Row],[Valor gasto]]</f>
        <v>0</v>
      </c>
      <c r="L679" s="45"/>
      <c r="P679" s="160"/>
      <c r="Q679"/>
      <c r="R679" s="160"/>
      <c r="V679"/>
    </row>
    <row r="680" spans="1:22" ht="15" customHeight="1" x14ac:dyDescent="0.3">
      <c r="A680" s="21"/>
      <c r="B680" s="25"/>
      <c r="C680" s="29"/>
      <c r="D680" s="36"/>
      <c r="E680" s="41"/>
      <c r="F680" s="42"/>
      <c r="G680" s="9"/>
      <c r="H680" s="45"/>
      <c r="I680" s="9"/>
      <c r="J680" s="41"/>
      <c r="K680" s="43">
        <f>Table_246[[#This Row],[Valor da 
venda]]-Table_246[[#This Row],[Valor gasto]]</f>
        <v>0</v>
      </c>
      <c r="L680" s="45"/>
      <c r="P680" s="160"/>
      <c r="Q680"/>
      <c r="R680" s="160"/>
      <c r="V680"/>
    </row>
    <row r="681" spans="1:22" ht="15" customHeight="1" x14ac:dyDescent="0.3">
      <c r="A681" s="21"/>
      <c r="B681" s="25"/>
      <c r="C681" s="29"/>
      <c r="D681" s="36"/>
      <c r="E681" s="41"/>
      <c r="F681" s="42"/>
      <c r="G681" s="9"/>
      <c r="H681" s="45"/>
      <c r="I681" s="9"/>
      <c r="J681" s="41"/>
      <c r="K681" s="43">
        <f>Table_246[[#This Row],[Valor da 
venda]]-Table_246[[#This Row],[Valor gasto]]</f>
        <v>0</v>
      </c>
      <c r="L681" s="45"/>
      <c r="P681" s="160"/>
      <c r="Q681"/>
      <c r="R681" s="160"/>
      <c r="V681"/>
    </row>
    <row r="682" spans="1:22" ht="15" customHeight="1" x14ac:dyDescent="0.3">
      <c r="A682" s="21"/>
      <c r="B682" s="25"/>
      <c r="C682" s="29"/>
      <c r="D682" s="36"/>
      <c r="E682" s="41"/>
      <c r="F682" s="42"/>
      <c r="G682" s="9"/>
      <c r="H682" s="45"/>
      <c r="I682" s="9"/>
      <c r="J682" s="41"/>
      <c r="K682" s="43">
        <f>Table_246[[#This Row],[Valor da 
venda]]-Table_246[[#This Row],[Valor gasto]]</f>
        <v>0</v>
      </c>
      <c r="L682" s="45"/>
      <c r="P682" s="160"/>
      <c r="Q682"/>
      <c r="R682" s="160"/>
      <c r="V682"/>
    </row>
    <row r="683" spans="1:22" ht="15" customHeight="1" x14ac:dyDescent="0.3">
      <c r="A683" s="21"/>
      <c r="B683" s="25"/>
      <c r="C683" s="29"/>
      <c r="D683" s="36"/>
      <c r="E683" s="41"/>
      <c r="F683" s="42"/>
      <c r="G683" s="9"/>
      <c r="H683" s="45"/>
      <c r="I683" s="9"/>
      <c r="J683" s="41"/>
      <c r="K683" s="43">
        <f>Table_246[[#This Row],[Valor da 
venda]]-Table_246[[#This Row],[Valor gasto]]</f>
        <v>0</v>
      </c>
      <c r="L683" s="45"/>
      <c r="P683" s="160"/>
      <c r="Q683"/>
      <c r="R683" s="160"/>
      <c r="V683"/>
    </row>
    <row r="684" spans="1:22" ht="15" customHeight="1" x14ac:dyDescent="0.3">
      <c r="A684" s="21"/>
      <c r="B684" s="25"/>
      <c r="C684" s="29"/>
      <c r="D684" s="36"/>
      <c r="E684" s="41"/>
      <c r="F684" s="42"/>
      <c r="G684" s="9"/>
      <c r="H684" s="45"/>
      <c r="I684" s="9"/>
      <c r="J684" s="41"/>
      <c r="K684" s="43">
        <f>Table_246[[#This Row],[Valor da 
venda]]-Table_246[[#This Row],[Valor gasto]]</f>
        <v>0</v>
      </c>
      <c r="L684" s="45"/>
      <c r="P684" s="160"/>
      <c r="Q684"/>
      <c r="R684" s="160"/>
      <c r="V684"/>
    </row>
    <row r="685" spans="1:22" ht="15" customHeight="1" x14ac:dyDescent="0.3">
      <c r="A685" s="21"/>
      <c r="B685" s="25"/>
      <c r="C685" s="29"/>
      <c r="D685" s="36"/>
      <c r="E685" s="41"/>
      <c r="F685" s="42"/>
      <c r="G685" s="9"/>
      <c r="H685" s="45"/>
      <c r="I685" s="9"/>
      <c r="J685" s="41"/>
      <c r="K685" s="43">
        <f>Table_246[[#This Row],[Valor da 
venda]]-Table_246[[#This Row],[Valor gasto]]</f>
        <v>0</v>
      </c>
      <c r="L685" s="45"/>
      <c r="P685" s="160"/>
      <c r="Q685"/>
      <c r="R685" s="160"/>
      <c r="V685"/>
    </row>
    <row r="686" spans="1:22" ht="15" customHeight="1" x14ac:dyDescent="0.3">
      <c r="A686" s="21"/>
      <c r="B686" s="25"/>
      <c r="C686" s="29"/>
      <c r="D686" s="36"/>
      <c r="E686" s="41"/>
      <c r="F686" s="42"/>
      <c r="G686" s="9"/>
      <c r="H686" s="45"/>
      <c r="I686" s="9"/>
      <c r="J686" s="41"/>
      <c r="K686" s="43">
        <f>Table_246[[#This Row],[Valor da 
venda]]-Table_246[[#This Row],[Valor gasto]]</f>
        <v>0</v>
      </c>
      <c r="L686" s="45"/>
      <c r="P686" s="160"/>
      <c r="Q686"/>
      <c r="R686" s="160"/>
      <c r="V686"/>
    </row>
    <row r="687" spans="1:22" ht="15" customHeight="1" x14ac:dyDescent="0.3">
      <c r="A687" s="21"/>
      <c r="B687" s="25"/>
      <c r="C687" s="29"/>
      <c r="D687" s="36"/>
      <c r="E687" s="41"/>
      <c r="F687" s="42"/>
      <c r="G687" s="9"/>
      <c r="H687" s="45"/>
      <c r="I687" s="9"/>
      <c r="J687" s="41"/>
      <c r="K687" s="43">
        <f>Table_246[[#This Row],[Valor da 
venda]]-Table_246[[#This Row],[Valor gasto]]</f>
        <v>0</v>
      </c>
      <c r="L687" s="45"/>
      <c r="P687" s="160"/>
      <c r="Q687"/>
      <c r="R687" s="160"/>
      <c r="V687"/>
    </row>
    <row r="688" spans="1:22" ht="15" customHeight="1" x14ac:dyDescent="0.3">
      <c r="A688" s="21"/>
      <c r="B688" s="25"/>
      <c r="C688" s="29"/>
      <c r="D688" s="36"/>
      <c r="E688" s="41"/>
      <c r="F688" s="42"/>
      <c r="G688" s="9"/>
      <c r="H688" s="45"/>
      <c r="I688" s="9"/>
      <c r="J688" s="41"/>
      <c r="K688" s="43">
        <f>Table_246[[#This Row],[Valor da 
venda]]-Table_246[[#This Row],[Valor gasto]]</f>
        <v>0</v>
      </c>
      <c r="L688" s="45"/>
      <c r="P688" s="160"/>
      <c r="Q688"/>
      <c r="R688" s="160"/>
      <c r="V688"/>
    </row>
    <row r="689" spans="1:22" ht="15" customHeight="1" x14ac:dyDescent="0.3">
      <c r="A689" s="21"/>
      <c r="B689" s="25"/>
      <c r="C689" s="29"/>
      <c r="D689" s="36"/>
      <c r="E689" s="41"/>
      <c r="F689" s="42"/>
      <c r="G689" s="9"/>
      <c r="H689" s="45"/>
      <c r="I689" s="9"/>
      <c r="J689" s="41"/>
      <c r="K689" s="43">
        <f>Table_246[[#This Row],[Valor da 
venda]]-Table_246[[#This Row],[Valor gasto]]</f>
        <v>0</v>
      </c>
      <c r="L689" s="45"/>
      <c r="P689" s="160"/>
      <c r="Q689"/>
      <c r="R689" s="160"/>
      <c r="V689"/>
    </row>
    <row r="690" spans="1:22" ht="15" customHeight="1" x14ac:dyDescent="0.3">
      <c r="A690" s="21"/>
      <c r="B690" s="25"/>
      <c r="C690" s="29"/>
      <c r="D690" s="36"/>
      <c r="E690" s="41"/>
      <c r="F690" s="42"/>
      <c r="G690" s="9"/>
      <c r="H690" s="45"/>
      <c r="I690" s="9"/>
      <c r="J690" s="41"/>
      <c r="K690" s="43">
        <f>Table_246[[#This Row],[Valor da 
venda]]-Table_246[[#This Row],[Valor gasto]]</f>
        <v>0</v>
      </c>
      <c r="L690" s="45"/>
      <c r="P690" s="160"/>
      <c r="Q690"/>
      <c r="R690" s="160"/>
      <c r="V690"/>
    </row>
    <row r="691" spans="1:22" ht="15" customHeight="1" x14ac:dyDescent="0.3">
      <c r="A691" s="21"/>
      <c r="B691" s="25"/>
      <c r="C691" s="29"/>
      <c r="D691" s="36"/>
      <c r="E691" s="41"/>
      <c r="F691" s="42"/>
      <c r="G691" s="9"/>
      <c r="H691" s="45"/>
      <c r="I691" s="9"/>
      <c r="J691" s="41"/>
      <c r="K691" s="43">
        <f>Table_246[[#This Row],[Valor da 
venda]]-Table_246[[#This Row],[Valor gasto]]</f>
        <v>0</v>
      </c>
      <c r="L691" s="45"/>
      <c r="P691" s="160"/>
      <c r="Q691"/>
      <c r="R691" s="160"/>
      <c r="V691"/>
    </row>
    <row r="692" spans="1:22" ht="15" customHeight="1" x14ac:dyDescent="0.3">
      <c r="A692" s="21"/>
      <c r="B692" s="25"/>
      <c r="C692" s="29"/>
      <c r="D692" s="36"/>
      <c r="E692" s="41"/>
      <c r="F692" s="42"/>
      <c r="G692" s="9"/>
      <c r="H692" s="45"/>
      <c r="I692" s="9"/>
      <c r="J692" s="41"/>
      <c r="K692" s="43">
        <f>Table_246[[#This Row],[Valor da 
venda]]-Table_246[[#This Row],[Valor gasto]]</f>
        <v>0</v>
      </c>
      <c r="L692" s="45"/>
      <c r="P692" s="160"/>
      <c r="Q692"/>
      <c r="R692" s="160"/>
      <c r="V692"/>
    </row>
    <row r="693" spans="1:22" ht="15" customHeight="1" x14ac:dyDescent="0.3">
      <c r="A693" s="21"/>
      <c r="B693" s="25"/>
      <c r="C693" s="29"/>
      <c r="D693" s="36"/>
      <c r="E693" s="41"/>
      <c r="F693" s="42"/>
      <c r="G693" s="9"/>
      <c r="H693" s="45"/>
      <c r="I693" s="9"/>
      <c r="J693" s="41"/>
      <c r="K693" s="43">
        <f>Table_246[[#This Row],[Valor da 
venda]]-Table_246[[#This Row],[Valor gasto]]</f>
        <v>0</v>
      </c>
      <c r="L693" s="45"/>
      <c r="P693" s="160"/>
      <c r="Q693"/>
      <c r="R693" s="160"/>
      <c r="V693"/>
    </row>
    <row r="694" spans="1:22" ht="15" customHeight="1" x14ac:dyDescent="0.3">
      <c r="A694" s="21"/>
      <c r="B694" s="25"/>
      <c r="C694" s="29"/>
      <c r="D694" s="36"/>
      <c r="E694" s="41"/>
      <c r="F694" s="42"/>
      <c r="G694" s="9"/>
      <c r="H694" s="45"/>
      <c r="I694" s="9"/>
      <c r="J694" s="41"/>
      <c r="K694" s="43">
        <f>Table_246[[#This Row],[Valor da 
venda]]-Table_246[[#This Row],[Valor gasto]]</f>
        <v>0</v>
      </c>
      <c r="L694" s="45"/>
      <c r="P694" s="160"/>
      <c r="Q694"/>
      <c r="R694" s="160"/>
      <c r="V694"/>
    </row>
    <row r="695" spans="1:22" ht="15" customHeight="1" x14ac:dyDescent="0.3">
      <c r="A695" s="21"/>
      <c r="B695" s="25"/>
      <c r="C695" s="29"/>
      <c r="D695" s="36"/>
      <c r="E695" s="41"/>
      <c r="F695" s="42"/>
      <c r="G695" s="9"/>
      <c r="H695" s="45"/>
      <c r="I695" s="9"/>
      <c r="J695" s="41"/>
      <c r="K695" s="43">
        <f>Table_246[[#This Row],[Valor da 
venda]]-Table_246[[#This Row],[Valor gasto]]</f>
        <v>0</v>
      </c>
      <c r="L695" s="45"/>
      <c r="P695" s="160"/>
      <c r="Q695"/>
      <c r="R695" s="160"/>
      <c r="V695"/>
    </row>
    <row r="696" spans="1:22" ht="15" customHeight="1" x14ac:dyDescent="0.3">
      <c r="A696" s="21"/>
      <c r="B696" s="25"/>
      <c r="C696" s="29"/>
      <c r="D696" s="36"/>
      <c r="E696" s="41"/>
      <c r="F696" s="42"/>
      <c r="G696" s="9"/>
      <c r="H696" s="45"/>
      <c r="I696" s="9"/>
      <c r="J696" s="41"/>
      <c r="K696" s="43">
        <f>Table_246[[#This Row],[Valor da 
venda]]-Table_246[[#This Row],[Valor gasto]]</f>
        <v>0</v>
      </c>
      <c r="L696" s="45"/>
      <c r="P696" s="160"/>
      <c r="Q696"/>
      <c r="R696" s="160"/>
      <c r="V696"/>
    </row>
    <row r="697" spans="1:22" ht="15" customHeight="1" x14ac:dyDescent="0.3">
      <c r="A697" s="21"/>
      <c r="B697" s="25"/>
      <c r="C697" s="29"/>
      <c r="D697" s="36"/>
      <c r="E697" s="41"/>
      <c r="F697" s="42"/>
      <c r="G697" s="9"/>
      <c r="H697" s="45"/>
      <c r="I697" s="9"/>
      <c r="J697" s="41"/>
      <c r="K697" s="43">
        <f>Table_246[[#This Row],[Valor da 
venda]]-Table_246[[#This Row],[Valor gasto]]</f>
        <v>0</v>
      </c>
      <c r="L697" s="45"/>
      <c r="P697" s="160"/>
      <c r="Q697"/>
      <c r="R697" s="160"/>
      <c r="V697"/>
    </row>
    <row r="698" spans="1:22" ht="15" customHeight="1" x14ac:dyDescent="0.3">
      <c r="A698" s="21"/>
      <c r="B698" s="25"/>
      <c r="C698" s="29"/>
      <c r="D698" s="36"/>
      <c r="E698" s="41"/>
      <c r="F698" s="42"/>
      <c r="G698" s="9"/>
      <c r="H698" s="45"/>
      <c r="I698" s="9"/>
      <c r="J698" s="41"/>
      <c r="K698" s="43">
        <f>Table_246[[#This Row],[Valor da 
venda]]-Table_246[[#This Row],[Valor gasto]]</f>
        <v>0</v>
      </c>
      <c r="L698" s="45"/>
      <c r="P698" s="160"/>
      <c r="Q698"/>
      <c r="R698" s="160"/>
      <c r="V698"/>
    </row>
    <row r="699" spans="1:22" ht="15" customHeight="1" x14ac:dyDescent="0.3">
      <c r="A699" s="21"/>
      <c r="B699" s="25"/>
      <c r="C699" s="29"/>
      <c r="D699" s="36"/>
      <c r="E699" s="41"/>
      <c r="F699" s="42"/>
      <c r="G699" s="9"/>
      <c r="H699" s="45"/>
      <c r="I699" s="9"/>
      <c r="J699" s="41"/>
      <c r="K699" s="43">
        <f>Table_246[[#This Row],[Valor da 
venda]]-Table_246[[#This Row],[Valor gasto]]</f>
        <v>0</v>
      </c>
      <c r="L699" s="45"/>
      <c r="P699" s="160"/>
      <c r="Q699"/>
      <c r="R699" s="160"/>
      <c r="V699"/>
    </row>
    <row r="700" spans="1:22" ht="15" customHeight="1" x14ac:dyDescent="0.3">
      <c r="A700" s="21"/>
      <c r="B700" s="25"/>
      <c r="C700" s="29"/>
      <c r="D700" s="36"/>
      <c r="E700" s="41"/>
      <c r="F700" s="42"/>
      <c r="G700" s="9"/>
      <c r="H700" s="45"/>
      <c r="I700" s="9"/>
      <c r="J700" s="41"/>
      <c r="K700" s="43">
        <f>Table_246[[#This Row],[Valor da 
venda]]-Table_246[[#This Row],[Valor gasto]]</f>
        <v>0</v>
      </c>
      <c r="L700" s="45"/>
      <c r="P700" s="160"/>
      <c r="Q700"/>
      <c r="R700" s="160"/>
      <c r="V700"/>
    </row>
    <row r="701" spans="1:22" ht="15" customHeight="1" x14ac:dyDescent="0.3">
      <c r="A701" s="21"/>
      <c r="B701" s="25"/>
      <c r="C701" s="29"/>
      <c r="D701" s="36"/>
      <c r="E701" s="41"/>
      <c r="F701" s="42"/>
      <c r="G701" s="9"/>
      <c r="H701" s="45"/>
      <c r="I701" s="9"/>
      <c r="J701" s="41"/>
      <c r="K701" s="43">
        <f>Table_246[[#This Row],[Valor da 
venda]]-Table_246[[#This Row],[Valor gasto]]</f>
        <v>0</v>
      </c>
      <c r="L701" s="45"/>
      <c r="P701" s="160"/>
      <c r="Q701"/>
      <c r="R701" s="160"/>
      <c r="V701"/>
    </row>
    <row r="702" spans="1:22" ht="15" customHeight="1" x14ac:dyDescent="0.3">
      <c r="A702" s="21"/>
      <c r="B702" s="25"/>
      <c r="C702" s="29"/>
      <c r="D702" s="36"/>
      <c r="E702" s="41"/>
      <c r="F702" s="42"/>
      <c r="G702" s="9"/>
      <c r="H702" s="45"/>
      <c r="I702" s="9"/>
      <c r="J702" s="41"/>
      <c r="K702" s="43">
        <f>Table_246[[#This Row],[Valor da 
venda]]-Table_246[[#This Row],[Valor gasto]]</f>
        <v>0</v>
      </c>
      <c r="L702" s="45"/>
      <c r="P702" s="160"/>
      <c r="Q702"/>
      <c r="R702" s="160"/>
      <c r="V702"/>
    </row>
    <row r="703" spans="1:22" ht="15" customHeight="1" x14ac:dyDescent="0.3">
      <c r="A703" s="21"/>
      <c r="B703" s="25"/>
      <c r="C703" s="29"/>
      <c r="D703" s="36"/>
      <c r="E703" s="41"/>
      <c r="F703" s="42"/>
      <c r="G703" s="9"/>
      <c r="H703" s="45"/>
      <c r="I703" s="9"/>
      <c r="J703" s="41"/>
      <c r="K703" s="43">
        <f>Table_246[[#This Row],[Valor da 
venda]]-Table_246[[#This Row],[Valor gasto]]</f>
        <v>0</v>
      </c>
      <c r="L703" s="45"/>
      <c r="P703" s="160"/>
      <c r="Q703"/>
      <c r="R703" s="160"/>
      <c r="V703"/>
    </row>
    <row r="704" spans="1:22" ht="15" customHeight="1" x14ac:dyDescent="0.3">
      <c r="A704" s="21"/>
      <c r="B704" s="25"/>
      <c r="C704" s="29"/>
      <c r="D704" s="36"/>
      <c r="E704" s="41"/>
      <c r="F704" s="42"/>
      <c r="G704" s="9"/>
      <c r="H704" s="45"/>
      <c r="I704" s="9"/>
      <c r="J704" s="41"/>
      <c r="K704" s="43">
        <f>Table_246[[#This Row],[Valor da 
venda]]-Table_246[[#This Row],[Valor gasto]]</f>
        <v>0</v>
      </c>
      <c r="L704" s="45"/>
      <c r="P704" s="160"/>
      <c r="Q704"/>
      <c r="R704" s="160"/>
      <c r="V704"/>
    </row>
    <row r="705" spans="1:22" ht="15" customHeight="1" x14ac:dyDescent="0.3">
      <c r="A705" s="21"/>
      <c r="B705" s="25"/>
      <c r="C705" s="29"/>
      <c r="D705" s="36"/>
      <c r="E705" s="41"/>
      <c r="F705" s="42"/>
      <c r="G705" s="9"/>
      <c r="H705" s="45"/>
      <c r="I705" s="9"/>
      <c r="J705" s="41"/>
      <c r="K705" s="43">
        <f>Table_246[[#This Row],[Valor da 
venda]]-Table_246[[#This Row],[Valor gasto]]</f>
        <v>0</v>
      </c>
      <c r="L705" s="45"/>
      <c r="P705" s="160"/>
      <c r="Q705"/>
      <c r="R705" s="160"/>
      <c r="V705"/>
    </row>
    <row r="706" spans="1:22" ht="15" customHeight="1" x14ac:dyDescent="0.3">
      <c r="A706" s="21"/>
      <c r="B706" s="25"/>
      <c r="C706" s="29"/>
      <c r="D706" s="36"/>
      <c r="E706" s="41"/>
      <c r="F706" s="42"/>
      <c r="G706" s="9"/>
      <c r="H706" s="45"/>
      <c r="I706" s="9"/>
      <c r="J706" s="41"/>
      <c r="K706" s="43">
        <f>Table_246[[#This Row],[Valor da 
venda]]-Table_246[[#This Row],[Valor gasto]]</f>
        <v>0</v>
      </c>
      <c r="L706" s="45"/>
      <c r="P706" s="160"/>
      <c r="Q706"/>
      <c r="R706" s="160"/>
      <c r="V706"/>
    </row>
    <row r="707" spans="1:22" ht="15" customHeight="1" x14ac:dyDescent="0.3">
      <c r="A707" s="21"/>
      <c r="B707" s="25"/>
      <c r="C707" s="29"/>
      <c r="D707" s="36"/>
      <c r="E707" s="41"/>
      <c r="F707" s="42"/>
      <c r="G707" s="9"/>
      <c r="H707" s="45"/>
      <c r="I707" s="9"/>
      <c r="J707" s="41"/>
      <c r="K707" s="43">
        <f>Table_246[[#This Row],[Valor da 
venda]]-Table_246[[#This Row],[Valor gasto]]</f>
        <v>0</v>
      </c>
      <c r="L707" s="45"/>
      <c r="P707" s="160"/>
      <c r="Q707"/>
      <c r="R707" s="160"/>
      <c r="V707"/>
    </row>
    <row r="708" spans="1:22" ht="15" customHeight="1" x14ac:dyDescent="0.3">
      <c r="A708" s="21"/>
      <c r="B708" s="25"/>
      <c r="C708" s="29"/>
      <c r="D708" s="36"/>
      <c r="E708" s="41"/>
      <c r="F708" s="42"/>
      <c r="G708" s="9"/>
      <c r="H708" s="45"/>
      <c r="I708" s="9"/>
      <c r="J708" s="41"/>
      <c r="K708" s="43">
        <f>Table_246[[#This Row],[Valor da 
venda]]-Table_246[[#This Row],[Valor gasto]]</f>
        <v>0</v>
      </c>
      <c r="L708" s="45"/>
      <c r="P708" s="160"/>
      <c r="Q708"/>
      <c r="R708" s="160"/>
      <c r="V708"/>
    </row>
    <row r="709" spans="1:22" ht="15" customHeight="1" x14ac:dyDescent="0.3">
      <c r="A709" s="21"/>
      <c r="B709" s="25"/>
      <c r="C709" s="29"/>
      <c r="D709" s="36"/>
      <c r="E709" s="41"/>
      <c r="F709" s="42"/>
      <c r="G709" s="9"/>
      <c r="H709" s="45"/>
      <c r="I709" s="9"/>
      <c r="J709" s="41"/>
      <c r="K709" s="43">
        <f>Table_246[[#This Row],[Valor da 
venda]]-Table_246[[#This Row],[Valor gasto]]</f>
        <v>0</v>
      </c>
      <c r="L709" s="45"/>
      <c r="P709" s="160"/>
      <c r="Q709"/>
      <c r="R709" s="160"/>
      <c r="V709"/>
    </row>
    <row r="710" spans="1:22" ht="15" customHeight="1" x14ac:dyDescent="0.3">
      <c r="A710" s="21"/>
      <c r="B710" s="25"/>
      <c r="C710" s="29"/>
      <c r="D710" s="36"/>
      <c r="E710" s="41"/>
      <c r="F710" s="42"/>
      <c r="G710" s="9"/>
      <c r="H710" s="45"/>
      <c r="I710" s="9"/>
      <c r="J710" s="41"/>
      <c r="K710" s="43">
        <f>Table_246[[#This Row],[Valor da 
venda]]-Table_246[[#This Row],[Valor gasto]]</f>
        <v>0</v>
      </c>
      <c r="L710" s="45"/>
      <c r="P710" s="160"/>
      <c r="Q710"/>
      <c r="R710" s="160"/>
      <c r="V710"/>
    </row>
    <row r="711" spans="1:22" ht="15" customHeight="1" x14ac:dyDescent="0.3">
      <c r="A711" s="21"/>
      <c r="B711" s="25"/>
      <c r="C711" s="29"/>
      <c r="D711" s="36"/>
      <c r="E711" s="41"/>
      <c r="F711" s="42"/>
      <c r="G711" s="9"/>
      <c r="H711" s="45"/>
      <c r="I711" s="9"/>
      <c r="J711" s="41"/>
      <c r="K711" s="43">
        <f>Table_246[[#This Row],[Valor da 
venda]]-Table_246[[#This Row],[Valor gasto]]</f>
        <v>0</v>
      </c>
      <c r="L711" s="45"/>
      <c r="P711" s="160"/>
      <c r="Q711"/>
      <c r="R711" s="160"/>
      <c r="V711"/>
    </row>
    <row r="712" spans="1:22" ht="15" customHeight="1" x14ac:dyDescent="0.3">
      <c r="A712" s="21"/>
      <c r="B712" s="25"/>
      <c r="C712" s="29"/>
      <c r="D712" s="36"/>
      <c r="E712" s="41"/>
      <c r="F712" s="42"/>
      <c r="G712" s="9"/>
      <c r="H712" s="45"/>
      <c r="I712" s="9"/>
      <c r="J712" s="41"/>
      <c r="K712" s="43">
        <f>Table_246[[#This Row],[Valor da 
venda]]-Table_246[[#This Row],[Valor gasto]]</f>
        <v>0</v>
      </c>
      <c r="L712" s="45"/>
      <c r="P712" s="160"/>
      <c r="Q712"/>
      <c r="R712" s="160"/>
      <c r="V712"/>
    </row>
    <row r="713" spans="1:22" ht="15" customHeight="1" x14ac:dyDescent="0.3">
      <c r="A713" s="21"/>
      <c r="B713" s="25"/>
      <c r="C713" s="29"/>
      <c r="D713" s="36"/>
      <c r="E713" s="41"/>
      <c r="F713" s="42"/>
      <c r="G713" s="9"/>
      <c r="H713" s="45"/>
      <c r="I713" s="9"/>
      <c r="J713" s="41"/>
      <c r="K713" s="43">
        <f>Table_246[[#This Row],[Valor da 
venda]]-Table_246[[#This Row],[Valor gasto]]</f>
        <v>0</v>
      </c>
      <c r="L713" s="45"/>
      <c r="P713" s="160"/>
      <c r="Q713"/>
      <c r="R713" s="160"/>
      <c r="V713"/>
    </row>
    <row r="714" spans="1:22" ht="15" customHeight="1" x14ac:dyDescent="0.3">
      <c r="A714" s="21"/>
      <c r="B714" s="25"/>
      <c r="C714" s="29"/>
      <c r="D714" s="36"/>
      <c r="E714" s="41"/>
      <c r="F714" s="42"/>
      <c r="G714" s="9"/>
      <c r="H714" s="45"/>
      <c r="I714" s="9"/>
      <c r="J714" s="41"/>
      <c r="K714" s="43">
        <f>Table_246[[#This Row],[Valor da 
venda]]-Table_246[[#This Row],[Valor gasto]]</f>
        <v>0</v>
      </c>
      <c r="L714" s="86"/>
      <c r="P714" s="160"/>
      <c r="Q714"/>
      <c r="R714" s="160"/>
      <c r="V714"/>
    </row>
    <row r="715" spans="1:22" ht="15" customHeight="1" x14ac:dyDescent="0.3">
      <c r="A715" s="21"/>
      <c r="B715" s="25"/>
      <c r="C715" s="29"/>
      <c r="D715" s="36"/>
      <c r="E715" s="41"/>
      <c r="F715" s="42"/>
      <c r="G715" s="9"/>
      <c r="H715" s="45"/>
      <c r="I715" s="9"/>
      <c r="J715" s="41"/>
      <c r="K715" s="43">
        <f>Table_246[[#This Row],[Valor da 
venda]]-Table_246[[#This Row],[Valor gasto]]</f>
        <v>0</v>
      </c>
      <c r="L715" s="86"/>
      <c r="P715" s="160"/>
      <c r="Q715"/>
      <c r="R715" s="160"/>
      <c r="V715"/>
    </row>
    <row r="716" spans="1:22" ht="15" customHeight="1" x14ac:dyDescent="0.3">
      <c r="A716" s="21"/>
      <c r="B716" s="25"/>
      <c r="C716" s="29"/>
      <c r="D716" s="36"/>
      <c r="E716" s="41"/>
      <c r="F716" s="42"/>
      <c r="G716" s="9"/>
      <c r="H716" s="45"/>
      <c r="I716" s="9"/>
      <c r="J716" s="41"/>
      <c r="K716" s="43">
        <f>Table_246[[#This Row],[Valor da 
venda]]-Table_246[[#This Row],[Valor gasto]]</f>
        <v>0</v>
      </c>
      <c r="L716" s="86"/>
      <c r="P716" s="160"/>
      <c r="Q716"/>
      <c r="R716" s="160"/>
      <c r="V716"/>
    </row>
    <row r="717" spans="1:22" ht="15" customHeight="1" x14ac:dyDescent="0.3">
      <c r="A717" s="21"/>
      <c r="B717" s="25"/>
      <c r="C717" s="29"/>
      <c r="D717" s="36"/>
      <c r="E717" s="41"/>
      <c r="F717" s="42"/>
      <c r="G717" s="9"/>
      <c r="H717" s="45"/>
      <c r="I717" s="9"/>
      <c r="J717" s="41"/>
      <c r="K717" s="43">
        <f>Table_246[[#This Row],[Valor da 
venda]]-Table_246[[#This Row],[Valor gasto]]</f>
        <v>0</v>
      </c>
      <c r="L717" s="86"/>
      <c r="P717" s="160"/>
      <c r="Q717"/>
      <c r="R717" s="160"/>
      <c r="V717"/>
    </row>
    <row r="718" spans="1:22" ht="15" customHeight="1" x14ac:dyDescent="0.3">
      <c r="A718" s="21"/>
      <c r="B718" s="25"/>
      <c r="C718" s="29"/>
      <c r="D718" s="36"/>
      <c r="E718" s="41"/>
      <c r="F718" s="42"/>
      <c r="G718" s="9"/>
      <c r="H718" s="45"/>
      <c r="I718" s="9"/>
      <c r="J718" s="41"/>
      <c r="K718" s="43">
        <f>Table_246[[#This Row],[Valor da 
venda]]-Table_246[[#This Row],[Valor gasto]]</f>
        <v>0</v>
      </c>
      <c r="L718" s="86"/>
      <c r="P718" s="160"/>
      <c r="Q718"/>
      <c r="R718" s="160"/>
      <c r="V718"/>
    </row>
    <row r="719" spans="1:22" ht="15" customHeight="1" x14ac:dyDescent="0.3">
      <c r="A719" s="21"/>
      <c r="B719" s="25"/>
      <c r="C719" s="29"/>
      <c r="D719" s="36"/>
      <c r="E719" s="41"/>
      <c r="F719" s="42"/>
      <c r="G719" s="9"/>
      <c r="H719" s="45"/>
      <c r="I719" s="9"/>
      <c r="J719" s="41"/>
      <c r="K719" s="43">
        <f>Table_246[[#This Row],[Valor da 
venda]]-Table_246[[#This Row],[Valor gasto]]</f>
        <v>0</v>
      </c>
      <c r="L719" s="86"/>
      <c r="P719" s="160"/>
      <c r="Q719"/>
      <c r="R719" s="160"/>
      <c r="V719"/>
    </row>
    <row r="720" spans="1:22" ht="15" customHeight="1" x14ac:dyDescent="0.3">
      <c r="A720" s="21"/>
      <c r="B720" s="25"/>
      <c r="C720" s="29"/>
      <c r="D720" s="36"/>
      <c r="E720" s="41"/>
      <c r="F720" s="42"/>
      <c r="G720" s="9"/>
      <c r="H720" s="45"/>
      <c r="I720" s="9"/>
      <c r="J720" s="41"/>
      <c r="K720" s="43">
        <f>Table_246[[#This Row],[Valor da 
venda]]-Table_246[[#This Row],[Valor gasto]]</f>
        <v>0</v>
      </c>
      <c r="L720" s="86"/>
      <c r="P720" s="160"/>
      <c r="Q720"/>
      <c r="R720" s="160"/>
      <c r="V720"/>
    </row>
    <row r="721" spans="1:22" ht="15" customHeight="1" x14ac:dyDescent="0.3">
      <c r="A721" s="21"/>
      <c r="B721" s="25"/>
      <c r="C721" s="29"/>
      <c r="D721" s="36"/>
      <c r="E721" s="41"/>
      <c r="F721" s="42"/>
      <c r="G721" s="9"/>
      <c r="H721" s="45"/>
      <c r="I721" s="9"/>
      <c r="J721" s="41"/>
      <c r="K721" s="43">
        <f>Table_246[[#This Row],[Valor da 
venda]]-Table_246[[#This Row],[Valor gasto]]</f>
        <v>0</v>
      </c>
      <c r="L721" s="86"/>
      <c r="P721" s="160"/>
      <c r="Q721"/>
      <c r="R721" s="160"/>
      <c r="V721"/>
    </row>
    <row r="722" spans="1:22" ht="15" customHeight="1" x14ac:dyDescent="0.3">
      <c r="A722" s="21"/>
      <c r="B722" s="25"/>
      <c r="C722" s="29"/>
      <c r="D722" s="36"/>
      <c r="E722" s="41"/>
      <c r="F722" s="42"/>
      <c r="G722" s="9"/>
      <c r="H722" s="45"/>
      <c r="I722" s="9"/>
      <c r="J722" s="41"/>
      <c r="K722" s="43">
        <f>Table_246[[#This Row],[Valor da 
venda]]-Table_246[[#This Row],[Valor gasto]]</f>
        <v>0</v>
      </c>
      <c r="L722" s="86"/>
      <c r="P722" s="160"/>
      <c r="Q722"/>
      <c r="R722" s="160"/>
      <c r="V722"/>
    </row>
    <row r="723" spans="1:22" ht="15" customHeight="1" x14ac:dyDescent="0.3">
      <c r="A723" s="21"/>
      <c r="B723" s="25"/>
      <c r="C723" s="29"/>
      <c r="D723" s="36"/>
      <c r="E723" s="41"/>
      <c r="F723" s="42"/>
      <c r="G723" s="9"/>
      <c r="H723" s="45"/>
      <c r="I723" s="9"/>
      <c r="J723" s="41"/>
      <c r="K723" s="43">
        <f>Table_246[[#This Row],[Valor da 
venda]]-Table_246[[#This Row],[Valor gasto]]</f>
        <v>0</v>
      </c>
      <c r="L723" s="86"/>
      <c r="P723" s="160"/>
      <c r="Q723"/>
      <c r="R723" s="160"/>
      <c r="V723"/>
    </row>
    <row r="724" spans="1:22" ht="15" customHeight="1" x14ac:dyDescent="0.3">
      <c r="A724" s="21"/>
      <c r="B724" s="25"/>
      <c r="C724" s="29"/>
      <c r="D724" s="36"/>
      <c r="E724" s="41"/>
      <c r="F724" s="42"/>
      <c r="G724" s="9"/>
      <c r="H724" s="45"/>
      <c r="I724" s="9"/>
      <c r="J724" s="41"/>
      <c r="K724" s="43">
        <f>Table_246[[#This Row],[Valor da 
venda]]-Table_246[[#This Row],[Valor gasto]]</f>
        <v>0</v>
      </c>
      <c r="L724" s="86"/>
      <c r="P724" s="160"/>
      <c r="Q724"/>
      <c r="R724" s="160"/>
      <c r="V724"/>
    </row>
    <row r="725" spans="1:22" ht="15" customHeight="1" x14ac:dyDescent="0.3">
      <c r="A725" s="21"/>
      <c r="B725" s="25"/>
      <c r="C725" s="29"/>
      <c r="D725" s="36"/>
      <c r="E725" s="41"/>
      <c r="F725" s="42"/>
      <c r="G725" s="9"/>
      <c r="H725" s="45"/>
      <c r="I725" s="9"/>
      <c r="J725" s="41"/>
      <c r="K725" s="43">
        <f>Table_246[[#This Row],[Valor da 
venda]]-Table_246[[#This Row],[Valor gasto]]</f>
        <v>0</v>
      </c>
      <c r="L725" s="86"/>
      <c r="P725" s="160"/>
      <c r="Q725"/>
      <c r="R725" s="160"/>
      <c r="V725"/>
    </row>
    <row r="726" spans="1:22" ht="15" customHeight="1" x14ac:dyDescent="0.3">
      <c r="A726" s="21"/>
      <c r="B726" s="25"/>
      <c r="C726" s="29"/>
      <c r="D726" s="36"/>
      <c r="E726" s="41"/>
      <c r="F726" s="42"/>
      <c r="G726" s="9"/>
      <c r="H726" s="45"/>
      <c r="I726" s="9"/>
      <c r="J726" s="41"/>
      <c r="K726" s="43">
        <f>Table_246[[#This Row],[Valor da 
venda]]-Table_246[[#This Row],[Valor gasto]]</f>
        <v>0</v>
      </c>
      <c r="L726" s="86"/>
      <c r="P726" s="160"/>
      <c r="Q726"/>
      <c r="R726" s="160"/>
      <c r="V726"/>
    </row>
    <row r="727" spans="1:22" ht="15" customHeight="1" x14ac:dyDescent="0.3">
      <c r="A727" s="21"/>
      <c r="B727" s="25"/>
      <c r="C727" s="29"/>
      <c r="D727" s="36"/>
      <c r="E727" s="41"/>
      <c r="F727" s="42"/>
      <c r="G727" s="9"/>
      <c r="H727" s="45"/>
      <c r="I727" s="9"/>
      <c r="J727" s="41"/>
      <c r="K727" s="43">
        <f>Table_246[[#This Row],[Valor da 
venda]]-Table_246[[#This Row],[Valor gasto]]</f>
        <v>0</v>
      </c>
      <c r="L727" s="86"/>
      <c r="P727" s="160"/>
      <c r="Q727"/>
      <c r="R727" s="160"/>
      <c r="V727"/>
    </row>
    <row r="728" spans="1:22" ht="15" customHeight="1" x14ac:dyDescent="0.3">
      <c r="A728" s="21"/>
      <c r="B728" s="25"/>
      <c r="C728" s="29"/>
      <c r="D728" s="36"/>
      <c r="E728" s="41"/>
      <c r="F728" s="42"/>
      <c r="G728" s="9"/>
      <c r="H728" s="45"/>
      <c r="I728" s="9"/>
      <c r="J728" s="41"/>
      <c r="K728" s="43">
        <f>Table_246[[#This Row],[Valor da 
venda]]-Table_246[[#This Row],[Valor gasto]]</f>
        <v>0</v>
      </c>
      <c r="L728" s="86"/>
      <c r="P728" s="160"/>
      <c r="Q728"/>
      <c r="R728" s="160"/>
      <c r="V728"/>
    </row>
    <row r="729" spans="1:22" ht="15" customHeight="1" x14ac:dyDescent="0.3">
      <c r="A729" s="21"/>
      <c r="B729" s="25"/>
      <c r="C729" s="29"/>
      <c r="D729" s="36"/>
      <c r="E729" s="41"/>
      <c r="F729" s="42"/>
      <c r="G729" s="9"/>
      <c r="H729" s="45"/>
      <c r="I729" s="9"/>
      <c r="J729" s="41"/>
      <c r="K729" s="43">
        <f>Table_246[[#This Row],[Valor da 
venda]]-Table_246[[#This Row],[Valor gasto]]</f>
        <v>0</v>
      </c>
      <c r="L729" s="86"/>
      <c r="P729" s="160"/>
      <c r="Q729"/>
      <c r="R729" s="160"/>
      <c r="V729"/>
    </row>
    <row r="730" spans="1:22" ht="15" customHeight="1" x14ac:dyDescent="0.3">
      <c r="A730" s="21"/>
      <c r="B730" s="25"/>
      <c r="C730" s="29"/>
      <c r="D730" s="36"/>
      <c r="E730" s="41"/>
      <c r="F730" s="42"/>
      <c r="G730" s="9"/>
      <c r="H730" s="45"/>
      <c r="I730" s="9"/>
      <c r="J730" s="41"/>
      <c r="K730" s="43">
        <f>Table_246[[#This Row],[Valor da 
venda]]-Table_246[[#This Row],[Valor gasto]]</f>
        <v>0</v>
      </c>
      <c r="L730" s="86"/>
      <c r="P730" s="160"/>
      <c r="Q730"/>
      <c r="R730" s="160"/>
      <c r="V730"/>
    </row>
    <row r="731" spans="1:22" ht="15" customHeight="1" x14ac:dyDescent="0.3">
      <c r="A731" s="21"/>
      <c r="B731" s="25"/>
      <c r="C731" s="29"/>
      <c r="D731" s="36"/>
      <c r="E731" s="41"/>
      <c r="F731" s="42"/>
      <c r="G731" s="9"/>
      <c r="H731" s="45"/>
      <c r="I731" s="9"/>
      <c r="J731" s="41"/>
      <c r="K731" s="43">
        <f>Table_246[[#This Row],[Valor da 
venda]]-Table_246[[#This Row],[Valor gasto]]</f>
        <v>0</v>
      </c>
      <c r="L731" s="86"/>
      <c r="P731" s="160"/>
      <c r="Q731"/>
      <c r="R731" s="160"/>
      <c r="V731"/>
    </row>
    <row r="732" spans="1:22" ht="15" customHeight="1" x14ac:dyDescent="0.3">
      <c r="A732" s="21"/>
      <c r="B732" s="25"/>
      <c r="C732" s="29"/>
      <c r="D732" s="36"/>
      <c r="E732" s="41"/>
      <c r="F732" s="42"/>
      <c r="G732" s="9"/>
      <c r="H732" s="45"/>
      <c r="I732" s="9"/>
      <c r="J732" s="41"/>
      <c r="K732" s="43">
        <f>Table_246[[#This Row],[Valor da 
venda]]-Table_246[[#This Row],[Valor gasto]]</f>
        <v>0</v>
      </c>
      <c r="L732" s="86"/>
      <c r="P732" s="160"/>
      <c r="Q732"/>
      <c r="R732" s="160"/>
      <c r="V732"/>
    </row>
    <row r="733" spans="1:22" ht="15" customHeight="1" x14ac:dyDescent="0.3">
      <c r="A733" s="21"/>
      <c r="B733" s="25"/>
      <c r="C733" s="29"/>
      <c r="D733" s="36"/>
      <c r="E733" s="41"/>
      <c r="F733" s="42"/>
      <c r="G733" s="9"/>
      <c r="H733" s="45"/>
      <c r="I733" s="9"/>
      <c r="J733" s="41"/>
      <c r="K733" s="43">
        <f>Table_246[[#This Row],[Valor da 
venda]]-Table_246[[#This Row],[Valor gasto]]</f>
        <v>0</v>
      </c>
      <c r="L733" s="86"/>
      <c r="P733" s="160"/>
      <c r="Q733"/>
      <c r="R733" s="160"/>
      <c r="V733"/>
    </row>
    <row r="734" spans="1:22" ht="15" customHeight="1" x14ac:dyDescent="0.3">
      <c r="A734" s="21"/>
      <c r="B734" s="25"/>
      <c r="C734" s="29"/>
      <c r="D734" s="36"/>
      <c r="E734" s="41"/>
      <c r="F734" s="42"/>
      <c r="G734" s="9"/>
      <c r="H734" s="45"/>
      <c r="I734" s="9"/>
      <c r="J734" s="41"/>
      <c r="K734" s="43">
        <f>Table_246[[#This Row],[Valor da 
venda]]-Table_246[[#This Row],[Valor gasto]]</f>
        <v>0</v>
      </c>
      <c r="L734" s="86"/>
      <c r="P734" s="160"/>
      <c r="Q734"/>
      <c r="R734" s="160"/>
      <c r="V734"/>
    </row>
    <row r="735" spans="1:22" ht="15" customHeight="1" x14ac:dyDescent="0.3">
      <c r="A735" s="21"/>
      <c r="B735" s="25"/>
      <c r="C735" s="29"/>
      <c r="D735" s="36"/>
      <c r="E735" s="41"/>
      <c r="F735" s="42"/>
      <c r="G735" s="9"/>
      <c r="H735" s="45"/>
      <c r="I735" s="9"/>
      <c r="J735" s="41"/>
      <c r="K735" s="43">
        <f>Table_246[[#This Row],[Valor da 
venda]]-Table_246[[#This Row],[Valor gasto]]</f>
        <v>0</v>
      </c>
      <c r="L735" s="86"/>
      <c r="P735" s="160"/>
      <c r="Q735"/>
      <c r="R735" s="160"/>
      <c r="V735"/>
    </row>
    <row r="736" spans="1:22" ht="15" customHeight="1" x14ac:dyDescent="0.3">
      <c r="A736" s="21"/>
      <c r="B736" s="25"/>
      <c r="C736" s="29"/>
      <c r="D736" s="36"/>
      <c r="E736" s="41"/>
      <c r="F736" s="42"/>
      <c r="G736" s="9"/>
      <c r="H736" s="45"/>
      <c r="I736" s="9"/>
      <c r="J736" s="41"/>
      <c r="K736" s="43">
        <f>Table_246[[#This Row],[Valor da 
venda]]-Table_246[[#This Row],[Valor gasto]]</f>
        <v>0</v>
      </c>
      <c r="L736" s="86"/>
      <c r="P736" s="160"/>
      <c r="Q736"/>
      <c r="R736" s="160"/>
      <c r="V736"/>
    </row>
    <row r="737" spans="1:22" ht="15" customHeight="1" x14ac:dyDescent="0.3">
      <c r="A737" s="21"/>
      <c r="B737" s="25"/>
      <c r="C737" s="29"/>
      <c r="D737" s="36"/>
      <c r="E737" s="41"/>
      <c r="F737" s="42"/>
      <c r="G737" s="9"/>
      <c r="H737" s="45"/>
      <c r="I737" s="9"/>
      <c r="J737" s="41"/>
      <c r="K737" s="43">
        <f>Table_246[[#This Row],[Valor da 
venda]]-Table_246[[#This Row],[Valor gasto]]</f>
        <v>0</v>
      </c>
      <c r="L737" s="86"/>
      <c r="P737" s="160"/>
      <c r="Q737"/>
      <c r="R737" s="160"/>
      <c r="V737"/>
    </row>
    <row r="738" spans="1:22" ht="15" customHeight="1" x14ac:dyDescent="0.3">
      <c r="A738" s="21"/>
      <c r="B738" s="25"/>
      <c r="C738" s="29"/>
      <c r="D738" s="36"/>
      <c r="E738" s="41"/>
      <c r="F738" s="42"/>
      <c r="G738" s="9"/>
      <c r="H738" s="45"/>
      <c r="I738" s="9"/>
      <c r="J738" s="41"/>
      <c r="K738" s="43">
        <f>Table_246[[#This Row],[Valor da 
venda]]-Table_246[[#This Row],[Valor gasto]]</f>
        <v>0</v>
      </c>
      <c r="L738" s="86"/>
      <c r="P738" s="160"/>
      <c r="Q738"/>
      <c r="R738" s="160"/>
      <c r="V738"/>
    </row>
    <row r="739" spans="1:22" ht="15" customHeight="1" x14ac:dyDescent="0.3">
      <c r="A739" s="21"/>
      <c r="B739" s="25"/>
      <c r="C739" s="29"/>
      <c r="D739" s="36"/>
      <c r="E739" s="41"/>
      <c r="F739" s="42"/>
      <c r="G739" s="9"/>
      <c r="H739" s="45"/>
      <c r="I739" s="9"/>
      <c r="J739" s="41"/>
      <c r="K739" s="43">
        <f>Table_246[[#This Row],[Valor da 
venda]]-Table_246[[#This Row],[Valor gasto]]</f>
        <v>0</v>
      </c>
      <c r="L739" s="86"/>
      <c r="P739" s="160"/>
      <c r="Q739"/>
      <c r="R739" s="160"/>
      <c r="V739"/>
    </row>
    <row r="740" spans="1:22" ht="15" customHeight="1" x14ac:dyDescent="0.3">
      <c r="A740" s="21"/>
      <c r="B740" s="25"/>
      <c r="C740" s="29"/>
      <c r="D740" s="36"/>
      <c r="E740" s="41"/>
      <c r="F740" s="42"/>
      <c r="G740" s="9"/>
      <c r="H740" s="45"/>
      <c r="I740" s="9"/>
      <c r="J740" s="41"/>
      <c r="K740" s="43">
        <f>Table_246[[#This Row],[Valor da 
venda]]-Table_246[[#This Row],[Valor gasto]]</f>
        <v>0</v>
      </c>
      <c r="L740" s="86"/>
      <c r="P740" s="160"/>
      <c r="Q740"/>
      <c r="R740" s="160"/>
      <c r="V740"/>
    </row>
    <row r="741" spans="1:22" ht="15" customHeight="1" x14ac:dyDescent="0.3">
      <c r="A741" s="21"/>
      <c r="B741" s="25"/>
      <c r="C741" s="29"/>
      <c r="D741" s="36"/>
      <c r="E741" s="41"/>
      <c r="F741" s="42"/>
      <c r="G741" s="9"/>
      <c r="H741" s="45"/>
      <c r="I741" s="9"/>
      <c r="J741" s="41"/>
      <c r="K741" s="43">
        <f>Table_246[[#This Row],[Valor da 
venda]]-Table_246[[#This Row],[Valor gasto]]</f>
        <v>0</v>
      </c>
      <c r="L741" s="86"/>
      <c r="P741" s="160"/>
      <c r="Q741"/>
      <c r="R741" s="160"/>
      <c r="V741"/>
    </row>
    <row r="742" spans="1:22" ht="15" customHeight="1" x14ac:dyDescent="0.3">
      <c r="A742" s="21"/>
      <c r="B742" s="25"/>
      <c r="C742" s="29"/>
      <c r="D742" s="36"/>
      <c r="E742" s="41"/>
      <c r="F742" s="42"/>
      <c r="G742" s="9"/>
      <c r="H742" s="45"/>
      <c r="I742" s="9"/>
      <c r="J742" s="41"/>
      <c r="K742" s="43">
        <f>Table_246[[#This Row],[Valor da 
venda]]-Table_246[[#This Row],[Valor gasto]]</f>
        <v>0</v>
      </c>
      <c r="L742" s="86"/>
      <c r="P742" s="160"/>
      <c r="Q742"/>
      <c r="R742" s="160"/>
      <c r="V742"/>
    </row>
    <row r="743" spans="1:22" ht="15" customHeight="1" x14ac:dyDescent="0.3">
      <c r="A743" s="21"/>
      <c r="B743" s="25"/>
      <c r="C743" s="29"/>
      <c r="D743" s="36"/>
      <c r="E743" s="41"/>
      <c r="F743" s="42"/>
      <c r="G743" s="9"/>
      <c r="H743" s="45"/>
      <c r="I743" s="9"/>
      <c r="J743" s="41"/>
      <c r="K743" s="43">
        <f>Table_246[[#This Row],[Valor da 
venda]]-Table_246[[#This Row],[Valor gasto]]</f>
        <v>0</v>
      </c>
      <c r="L743" s="86"/>
      <c r="P743" s="160"/>
      <c r="Q743"/>
      <c r="R743" s="160"/>
      <c r="V743"/>
    </row>
    <row r="744" spans="1:22" ht="15" customHeight="1" x14ac:dyDescent="0.3">
      <c r="A744" s="21"/>
      <c r="B744" s="25"/>
      <c r="C744" s="29"/>
      <c r="D744" s="36"/>
      <c r="E744" s="41"/>
      <c r="F744" s="42"/>
      <c r="G744" s="9"/>
      <c r="H744" s="45"/>
      <c r="I744" s="9"/>
      <c r="J744" s="41"/>
      <c r="K744" s="43">
        <f>Table_246[[#This Row],[Valor da 
venda]]-Table_246[[#This Row],[Valor gasto]]</f>
        <v>0</v>
      </c>
      <c r="L744" s="86"/>
      <c r="P744" s="160"/>
      <c r="Q744"/>
      <c r="R744" s="160"/>
      <c r="V744"/>
    </row>
    <row r="745" spans="1:22" ht="15" customHeight="1" x14ac:dyDescent="0.3">
      <c r="A745" s="21"/>
      <c r="B745" s="25"/>
      <c r="C745" s="29"/>
      <c r="D745" s="36"/>
      <c r="E745" s="41"/>
      <c r="F745" s="42"/>
      <c r="G745" s="9"/>
      <c r="H745" s="45"/>
      <c r="I745" s="9"/>
      <c r="J745" s="41"/>
      <c r="K745" s="43">
        <f>Table_246[[#This Row],[Valor da 
venda]]-Table_246[[#This Row],[Valor gasto]]</f>
        <v>0</v>
      </c>
      <c r="L745" s="86"/>
      <c r="P745" s="160"/>
      <c r="Q745"/>
      <c r="R745" s="160"/>
      <c r="V745"/>
    </row>
    <row r="746" spans="1:22" ht="15" customHeight="1" x14ac:dyDescent="0.3">
      <c r="A746" s="21"/>
      <c r="B746" s="25"/>
      <c r="C746" s="29"/>
      <c r="D746" s="36"/>
      <c r="E746" s="41"/>
      <c r="F746" s="42"/>
      <c r="G746" s="9"/>
      <c r="H746" s="45"/>
      <c r="I746" s="9"/>
      <c r="J746" s="41"/>
      <c r="K746" s="43">
        <f>Table_246[[#This Row],[Valor da 
venda]]-Table_246[[#This Row],[Valor gasto]]</f>
        <v>0</v>
      </c>
      <c r="L746" s="86"/>
      <c r="P746" s="160"/>
      <c r="Q746"/>
      <c r="R746" s="160"/>
      <c r="V746"/>
    </row>
    <row r="747" spans="1:22" ht="15" customHeight="1" x14ac:dyDescent="0.3">
      <c r="A747" s="21"/>
      <c r="B747" s="25"/>
      <c r="C747" s="29"/>
      <c r="D747" s="36"/>
      <c r="E747" s="41"/>
      <c r="F747" s="42"/>
      <c r="G747" s="9"/>
      <c r="H747" s="45"/>
      <c r="I747" s="9"/>
      <c r="J747" s="41"/>
      <c r="K747" s="43">
        <f>Table_246[[#This Row],[Valor da 
venda]]-Table_246[[#This Row],[Valor gasto]]</f>
        <v>0</v>
      </c>
      <c r="L747" s="86"/>
      <c r="P747" s="160"/>
      <c r="Q747"/>
      <c r="R747" s="160"/>
      <c r="V747"/>
    </row>
    <row r="748" spans="1:22" ht="15" customHeight="1" x14ac:dyDescent="0.3">
      <c r="A748" s="21"/>
      <c r="B748" s="25"/>
      <c r="C748" s="29"/>
      <c r="D748" s="36"/>
      <c r="E748" s="41"/>
      <c r="F748" s="42"/>
      <c r="G748" s="9"/>
      <c r="H748" s="45"/>
      <c r="I748" s="9"/>
      <c r="J748" s="41"/>
      <c r="K748" s="43">
        <f>Table_246[[#This Row],[Valor da 
venda]]-Table_246[[#This Row],[Valor gasto]]</f>
        <v>0</v>
      </c>
      <c r="L748" s="86"/>
      <c r="P748" s="160"/>
      <c r="Q748"/>
      <c r="R748" s="160"/>
      <c r="V748"/>
    </row>
    <row r="749" spans="1:22" ht="15" customHeight="1" x14ac:dyDescent="0.3">
      <c r="A749" s="21"/>
      <c r="B749" s="25"/>
      <c r="C749" s="29"/>
      <c r="D749" s="36"/>
      <c r="E749" s="41"/>
      <c r="F749" s="42"/>
      <c r="G749" s="9"/>
      <c r="H749" s="45"/>
      <c r="I749" s="9"/>
      <c r="J749" s="41"/>
      <c r="K749" s="43">
        <f>Table_246[[#This Row],[Valor da 
venda]]-Table_246[[#This Row],[Valor gasto]]</f>
        <v>0</v>
      </c>
      <c r="L749" s="86"/>
      <c r="P749" s="160"/>
      <c r="Q749"/>
      <c r="R749" s="160"/>
      <c r="V749"/>
    </row>
    <row r="750" spans="1:22" ht="15" customHeight="1" x14ac:dyDescent="0.3">
      <c r="A750" s="21"/>
      <c r="B750" s="25"/>
      <c r="C750" s="29"/>
      <c r="D750" s="36"/>
      <c r="E750" s="41"/>
      <c r="F750" s="42"/>
      <c r="G750" s="9"/>
      <c r="H750" s="45"/>
      <c r="I750" s="9"/>
      <c r="J750" s="41"/>
      <c r="K750" s="43">
        <f>Table_246[[#This Row],[Valor da 
venda]]-Table_246[[#This Row],[Valor gasto]]</f>
        <v>0</v>
      </c>
      <c r="L750" s="86"/>
      <c r="P750" s="160"/>
      <c r="Q750"/>
      <c r="R750" s="160"/>
      <c r="V750"/>
    </row>
    <row r="751" spans="1:22" ht="15" customHeight="1" x14ac:dyDescent="0.3">
      <c r="A751" s="21"/>
      <c r="B751" s="25"/>
      <c r="C751" s="29"/>
      <c r="D751" s="36"/>
      <c r="E751" s="41"/>
      <c r="F751" s="42"/>
      <c r="G751" s="9"/>
      <c r="H751" s="45"/>
      <c r="I751" s="9"/>
      <c r="J751" s="41"/>
      <c r="K751" s="43">
        <f>Table_246[[#This Row],[Valor da 
venda]]-Table_246[[#This Row],[Valor gasto]]</f>
        <v>0</v>
      </c>
      <c r="L751" s="86"/>
      <c r="P751" s="160"/>
      <c r="Q751"/>
      <c r="R751" s="160"/>
      <c r="V751"/>
    </row>
    <row r="752" spans="1:22" ht="15" customHeight="1" x14ac:dyDescent="0.3">
      <c r="A752" s="21"/>
      <c r="B752" s="25"/>
      <c r="C752" s="29"/>
      <c r="D752" s="36"/>
      <c r="E752" s="41"/>
      <c r="F752" s="42"/>
      <c r="G752" s="9"/>
      <c r="H752" s="45"/>
      <c r="I752" s="9"/>
      <c r="J752" s="41"/>
      <c r="K752" s="43">
        <f>Table_246[[#This Row],[Valor da 
venda]]-Table_246[[#This Row],[Valor gasto]]</f>
        <v>0</v>
      </c>
      <c r="L752" s="86"/>
      <c r="P752" s="160"/>
      <c r="Q752"/>
      <c r="R752" s="160"/>
      <c r="V752"/>
    </row>
    <row r="753" spans="1:22" ht="15" customHeight="1" x14ac:dyDescent="0.3">
      <c r="A753" s="21"/>
      <c r="B753" s="25"/>
      <c r="C753" s="29"/>
      <c r="D753" s="36"/>
      <c r="E753" s="41"/>
      <c r="F753" s="42"/>
      <c r="G753" s="9"/>
      <c r="H753" s="45"/>
      <c r="I753" s="9"/>
      <c r="J753" s="41"/>
      <c r="K753" s="43">
        <f>Table_246[[#This Row],[Valor da 
venda]]-Table_246[[#This Row],[Valor gasto]]</f>
        <v>0</v>
      </c>
      <c r="L753" s="86"/>
      <c r="P753" s="160"/>
      <c r="Q753"/>
      <c r="R753" s="160"/>
      <c r="V753"/>
    </row>
    <row r="754" spans="1:22" ht="15" customHeight="1" x14ac:dyDescent="0.3">
      <c r="A754" s="21"/>
      <c r="B754" s="25"/>
      <c r="C754" s="29"/>
      <c r="D754" s="36"/>
      <c r="E754" s="41"/>
      <c r="F754" s="42"/>
      <c r="G754" s="9"/>
      <c r="H754" s="45"/>
      <c r="I754" s="9"/>
      <c r="J754" s="41"/>
      <c r="K754" s="43">
        <f>Table_246[[#This Row],[Valor da 
venda]]-Table_246[[#This Row],[Valor gasto]]</f>
        <v>0</v>
      </c>
      <c r="L754" s="86"/>
      <c r="P754" s="160"/>
      <c r="Q754"/>
      <c r="R754" s="160"/>
      <c r="V754"/>
    </row>
    <row r="755" spans="1:22" ht="15" customHeight="1" x14ac:dyDescent="0.3">
      <c r="A755" s="21"/>
      <c r="B755" s="25"/>
      <c r="C755" s="29"/>
      <c r="D755" s="36"/>
      <c r="E755" s="41"/>
      <c r="F755" s="42"/>
      <c r="G755" s="9"/>
      <c r="H755" s="45"/>
      <c r="I755" s="9"/>
      <c r="J755" s="41"/>
      <c r="K755" s="43">
        <f>Table_246[[#This Row],[Valor da 
venda]]-Table_246[[#This Row],[Valor gasto]]</f>
        <v>0</v>
      </c>
      <c r="L755" s="86"/>
      <c r="P755" s="160"/>
      <c r="Q755"/>
      <c r="R755" s="160"/>
      <c r="V755"/>
    </row>
    <row r="756" spans="1:22" ht="15" customHeight="1" x14ac:dyDescent="0.3">
      <c r="A756" s="21"/>
      <c r="B756" s="25"/>
      <c r="C756" s="29"/>
      <c r="D756" s="36"/>
      <c r="E756" s="41"/>
      <c r="F756" s="42"/>
      <c r="G756" s="9"/>
      <c r="H756" s="45"/>
      <c r="I756" s="9"/>
      <c r="J756" s="41"/>
      <c r="K756" s="43">
        <f>Table_246[[#This Row],[Valor da 
venda]]-Table_246[[#This Row],[Valor gasto]]</f>
        <v>0</v>
      </c>
      <c r="L756" s="86"/>
      <c r="P756" s="160"/>
      <c r="Q756"/>
      <c r="R756" s="160"/>
      <c r="V756"/>
    </row>
    <row r="757" spans="1:22" ht="15" customHeight="1" x14ac:dyDescent="0.3">
      <c r="A757" s="21"/>
      <c r="B757" s="25"/>
      <c r="C757" s="29"/>
      <c r="D757" s="36"/>
      <c r="E757" s="41"/>
      <c r="F757" s="42"/>
      <c r="G757" s="9"/>
      <c r="H757" s="45"/>
      <c r="I757" s="9"/>
      <c r="J757" s="41"/>
      <c r="K757" s="43">
        <f>Table_246[[#This Row],[Valor da 
venda]]-Table_246[[#This Row],[Valor gasto]]</f>
        <v>0</v>
      </c>
      <c r="L757" s="86"/>
      <c r="P757" s="160"/>
      <c r="Q757"/>
      <c r="R757" s="160"/>
      <c r="V757"/>
    </row>
    <row r="758" spans="1:22" ht="15" customHeight="1" x14ac:dyDescent="0.3">
      <c r="A758" s="21"/>
      <c r="B758" s="25"/>
      <c r="C758" s="29"/>
      <c r="D758" s="36"/>
      <c r="E758" s="41"/>
      <c r="F758" s="42"/>
      <c r="G758" s="9"/>
      <c r="H758" s="45"/>
      <c r="I758" s="9"/>
      <c r="J758" s="41"/>
      <c r="K758" s="43">
        <f>Table_246[[#This Row],[Valor da 
venda]]-Table_246[[#This Row],[Valor gasto]]</f>
        <v>0</v>
      </c>
      <c r="L758" s="86"/>
      <c r="P758" s="160"/>
      <c r="Q758"/>
      <c r="R758" s="160"/>
      <c r="V758"/>
    </row>
    <row r="759" spans="1:22" ht="15" customHeight="1" x14ac:dyDescent="0.3">
      <c r="A759" s="21"/>
      <c r="B759" s="25"/>
      <c r="C759" s="29"/>
      <c r="D759" s="36"/>
      <c r="E759" s="41"/>
      <c r="F759" s="42"/>
      <c r="G759" s="9"/>
      <c r="H759" s="45"/>
      <c r="I759" s="9"/>
      <c r="J759" s="41"/>
      <c r="K759" s="43">
        <f>Table_246[[#This Row],[Valor da 
venda]]-Table_246[[#This Row],[Valor gasto]]</f>
        <v>0</v>
      </c>
      <c r="L759" s="86"/>
      <c r="P759" s="160"/>
      <c r="Q759"/>
      <c r="R759" s="160"/>
      <c r="V759"/>
    </row>
    <row r="760" spans="1:22" ht="15" customHeight="1" x14ac:dyDescent="0.3">
      <c r="A760" s="21"/>
      <c r="B760" s="25"/>
      <c r="C760" s="29"/>
      <c r="D760" s="36"/>
      <c r="E760" s="41"/>
      <c r="F760" s="42"/>
      <c r="G760" s="9"/>
      <c r="H760" s="45"/>
      <c r="I760" s="9"/>
      <c r="J760" s="41"/>
      <c r="K760" s="43">
        <f>Table_246[[#This Row],[Valor da 
venda]]-Table_246[[#This Row],[Valor gasto]]</f>
        <v>0</v>
      </c>
      <c r="L760" s="86"/>
      <c r="P760" s="160"/>
      <c r="Q760"/>
      <c r="R760" s="160"/>
      <c r="V760"/>
    </row>
    <row r="761" spans="1:22" ht="15" customHeight="1" x14ac:dyDescent="0.3">
      <c r="A761" s="21"/>
      <c r="B761" s="25"/>
      <c r="C761" s="29"/>
      <c r="D761" s="36"/>
      <c r="E761" s="41"/>
      <c r="F761" s="42"/>
      <c r="G761" s="9"/>
      <c r="H761" s="45"/>
      <c r="I761" s="9"/>
      <c r="J761" s="41"/>
      <c r="K761" s="43">
        <f>Table_246[[#This Row],[Valor da 
venda]]-Table_246[[#This Row],[Valor gasto]]</f>
        <v>0</v>
      </c>
      <c r="L761" s="86"/>
      <c r="P761" s="160"/>
      <c r="Q761"/>
      <c r="R761" s="160"/>
      <c r="V761"/>
    </row>
    <row r="762" spans="1:22" ht="15" customHeight="1" x14ac:dyDescent="0.3">
      <c r="A762" s="21"/>
      <c r="B762" s="25"/>
      <c r="C762" s="29"/>
      <c r="D762" s="36"/>
      <c r="E762" s="41"/>
      <c r="F762" s="42"/>
      <c r="G762" s="9"/>
      <c r="H762" s="45"/>
      <c r="I762" s="9"/>
      <c r="J762" s="41"/>
      <c r="K762" s="43">
        <f>Table_246[[#This Row],[Valor da 
venda]]-Table_246[[#This Row],[Valor gasto]]</f>
        <v>0</v>
      </c>
      <c r="L762" s="86"/>
      <c r="P762" s="160"/>
      <c r="Q762"/>
      <c r="R762" s="160"/>
      <c r="V762"/>
    </row>
    <row r="763" spans="1:22" ht="15" customHeight="1" x14ac:dyDescent="0.3">
      <c r="A763" s="21"/>
      <c r="B763" s="25"/>
      <c r="C763" s="29"/>
      <c r="D763" s="36"/>
      <c r="E763" s="41"/>
      <c r="F763" s="42"/>
      <c r="G763" s="9"/>
      <c r="H763" s="45"/>
      <c r="I763" s="9"/>
      <c r="J763" s="41"/>
      <c r="K763" s="43">
        <f>Table_246[[#This Row],[Valor da 
venda]]-Table_246[[#This Row],[Valor gasto]]</f>
        <v>0</v>
      </c>
      <c r="L763" s="86"/>
      <c r="P763" s="160"/>
      <c r="Q763"/>
      <c r="R763" s="160"/>
      <c r="V763"/>
    </row>
    <row r="764" spans="1:22" ht="15" customHeight="1" x14ac:dyDescent="0.3">
      <c r="A764" s="21"/>
      <c r="B764" s="25"/>
      <c r="C764" s="29"/>
      <c r="D764" s="36"/>
      <c r="E764" s="41"/>
      <c r="F764" s="42"/>
      <c r="G764" s="9"/>
      <c r="H764" s="45"/>
      <c r="I764" s="9"/>
      <c r="J764" s="41"/>
      <c r="K764" s="43">
        <f>Table_246[[#This Row],[Valor da 
venda]]-Table_246[[#This Row],[Valor gasto]]</f>
        <v>0</v>
      </c>
      <c r="L764" s="86"/>
      <c r="P764" s="160"/>
      <c r="Q764"/>
      <c r="R764" s="160"/>
      <c r="V764"/>
    </row>
    <row r="765" spans="1:22" ht="15" customHeight="1" x14ac:dyDescent="0.3">
      <c r="A765" s="21"/>
      <c r="B765" s="25"/>
      <c r="C765" s="29"/>
      <c r="D765" s="36"/>
      <c r="E765" s="41"/>
      <c r="F765" s="42"/>
      <c r="G765" s="9"/>
      <c r="H765" s="45"/>
      <c r="I765" s="9"/>
      <c r="J765" s="41"/>
      <c r="K765" s="43">
        <f>Table_246[[#This Row],[Valor da 
venda]]-Table_246[[#This Row],[Valor gasto]]</f>
        <v>0</v>
      </c>
      <c r="L765" s="86"/>
      <c r="P765" s="160"/>
      <c r="Q765"/>
      <c r="R765" s="160"/>
      <c r="V765"/>
    </row>
    <row r="766" spans="1:22" ht="15" customHeight="1" x14ac:dyDescent="0.3">
      <c r="A766" s="21"/>
      <c r="B766" s="25"/>
      <c r="C766" s="29"/>
      <c r="D766" s="36"/>
      <c r="E766" s="41"/>
      <c r="F766" s="42"/>
      <c r="G766" s="9"/>
      <c r="H766" s="45"/>
      <c r="I766" s="9"/>
      <c r="J766" s="41"/>
      <c r="K766" s="43">
        <f>Table_246[[#This Row],[Valor da 
venda]]-Table_246[[#This Row],[Valor gasto]]</f>
        <v>0</v>
      </c>
      <c r="L766" s="86"/>
      <c r="P766" s="160"/>
      <c r="Q766"/>
      <c r="R766" s="160"/>
      <c r="V766"/>
    </row>
    <row r="767" spans="1:22" ht="15" customHeight="1" x14ac:dyDescent="0.3">
      <c r="A767" s="21"/>
      <c r="B767" s="25"/>
      <c r="C767" s="29"/>
      <c r="D767" s="36"/>
      <c r="E767" s="41"/>
      <c r="F767" s="42"/>
      <c r="G767" s="9"/>
      <c r="H767" s="45"/>
      <c r="I767" s="9"/>
      <c r="J767" s="41"/>
      <c r="K767" s="43">
        <f>Table_246[[#This Row],[Valor da 
venda]]-Table_246[[#This Row],[Valor gasto]]</f>
        <v>0</v>
      </c>
      <c r="L767" s="86"/>
      <c r="P767" s="160"/>
      <c r="Q767"/>
      <c r="R767" s="160"/>
      <c r="V767"/>
    </row>
    <row r="768" spans="1:22" ht="15" customHeight="1" x14ac:dyDescent="0.3">
      <c r="A768" s="21"/>
      <c r="B768" s="25"/>
      <c r="C768" s="29"/>
      <c r="D768" s="36"/>
      <c r="E768" s="41"/>
      <c r="F768" s="42"/>
      <c r="G768" s="9"/>
      <c r="H768" s="45"/>
      <c r="I768" s="9"/>
      <c r="J768" s="41"/>
      <c r="K768" s="43">
        <f>Table_246[[#This Row],[Valor da 
venda]]-Table_246[[#This Row],[Valor gasto]]</f>
        <v>0</v>
      </c>
      <c r="L768" s="86"/>
      <c r="P768" s="160"/>
      <c r="Q768"/>
      <c r="R768" s="160"/>
      <c r="V768"/>
    </row>
    <row r="769" spans="1:22" ht="15" customHeight="1" x14ac:dyDescent="0.3">
      <c r="A769" s="21"/>
      <c r="B769" s="25"/>
      <c r="C769" s="29"/>
      <c r="D769" s="36"/>
      <c r="E769" s="41"/>
      <c r="F769" s="42"/>
      <c r="G769" s="9"/>
      <c r="H769" s="45"/>
      <c r="I769" s="9"/>
      <c r="J769" s="41"/>
      <c r="K769" s="43">
        <f>Table_246[[#This Row],[Valor da 
venda]]-Table_246[[#This Row],[Valor gasto]]</f>
        <v>0</v>
      </c>
      <c r="L769" s="86"/>
      <c r="P769" s="160"/>
      <c r="Q769"/>
      <c r="R769" s="160"/>
      <c r="V769"/>
    </row>
    <row r="770" spans="1:22" ht="15" customHeight="1" x14ac:dyDescent="0.3">
      <c r="A770" s="21"/>
      <c r="B770" s="25"/>
      <c r="C770" s="29"/>
      <c r="D770" s="36"/>
      <c r="E770" s="41"/>
      <c r="F770" s="42"/>
      <c r="G770" s="9"/>
      <c r="H770" s="45"/>
      <c r="I770" s="9"/>
      <c r="J770" s="41"/>
      <c r="K770" s="43">
        <f>Table_246[[#This Row],[Valor da 
venda]]-Table_246[[#This Row],[Valor gasto]]</f>
        <v>0</v>
      </c>
      <c r="L770" s="86"/>
      <c r="P770" s="160"/>
      <c r="Q770"/>
      <c r="R770" s="160"/>
      <c r="V770"/>
    </row>
    <row r="771" spans="1:22" ht="15" customHeight="1" x14ac:dyDescent="0.3">
      <c r="A771" s="21"/>
      <c r="B771" s="25"/>
      <c r="C771" s="29"/>
      <c r="D771" s="36"/>
      <c r="E771" s="41"/>
      <c r="F771" s="42"/>
      <c r="G771" s="9"/>
      <c r="H771" s="45"/>
      <c r="I771" s="9"/>
      <c r="J771" s="41"/>
      <c r="K771" s="43">
        <f>Table_246[[#This Row],[Valor da 
venda]]-Table_246[[#This Row],[Valor gasto]]</f>
        <v>0</v>
      </c>
      <c r="L771" s="86"/>
      <c r="P771" s="160"/>
      <c r="Q771"/>
      <c r="R771" s="160"/>
      <c r="V771"/>
    </row>
    <row r="772" spans="1:22" ht="15" customHeight="1" x14ac:dyDescent="0.3">
      <c r="A772" s="21"/>
      <c r="B772" s="25"/>
      <c r="C772" s="29"/>
      <c r="D772" s="36"/>
      <c r="E772" s="41"/>
      <c r="F772" s="42"/>
      <c r="G772" s="9"/>
      <c r="H772" s="45"/>
      <c r="I772" s="9"/>
      <c r="J772" s="41"/>
      <c r="K772" s="43">
        <f>Table_246[[#This Row],[Valor da 
venda]]-Table_246[[#This Row],[Valor gasto]]</f>
        <v>0</v>
      </c>
      <c r="L772" s="86"/>
      <c r="P772" s="160"/>
      <c r="Q772"/>
      <c r="R772" s="160"/>
      <c r="V772"/>
    </row>
    <row r="773" spans="1:22" ht="15" customHeight="1" x14ac:dyDescent="0.3">
      <c r="A773" s="21"/>
      <c r="B773" s="25"/>
      <c r="C773" s="29"/>
      <c r="D773" s="36"/>
      <c r="E773" s="41"/>
      <c r="F773" s="42"/>
      <c r="G773" s="9"/>
      <c r="H773" s="45"/>
      <c r="I773" s="9"/>
      <c r="J773" s="41"/>
      <c r="K773" s="43">
        <f>Table_246[[#This Row],[Valor da 
venda]]-Table_246[[#This Row],[Valor gasto]]</f>
        <v>0</v>
      </c>
      <c r="L773" s="86"/>
      <c r="P773" s="160"/>
      <c r="Q773"/>
      <c r="R773" s="160"/>
      <c r="V773"/>
    </row>
    <row r="774" spans="1:22" ht="15" customHeight="1" x14ac:dyDescent="0.3">
      <c r="A774" s="21"/>
      <c r="B774" s="25"/>
      <c r="C774" s="29"/>
      <c r="D774" s="36"/>
      <c r="E774" s="41"/>
      <c r="F774" s="42"/>
      <c r="G774" s="9"/>
      <c r="H774" s="45"/>
      <c r="I774" s="9"/>
      <c r="J774" s="41"/>
      <c r="K774" s="43">
        <f>Table_246[[#This Row],[Valor da 
venda]]-Table_246[[#This Row],[Valor gasto]]</f>
        <v>0</v>
      </c>
      <c r="L774" s="86"/>
      <c r="P774" s="160"/>
      <c r="Q774"/>
      <c r="R774" s="160"/>
      <c r="V774"/>
    </row>
    <row r="775" spans="1:22" ht="15" customHeight="1" x14ac:dyDescent="0.3">
      <c r="A775" s="21"/>
      <c r="B775" s="25"/>
      <c r="C775" s="29"/>
      <c r="D775" s="36"/>
      <c r="E775" s="41"/>
      <c r="F775" s="42"/>
      <c r="G775" s="9"/>
      <c r="H775" s="45"/>
      <c r="I775" s="9"/>
      <c r="J775" s="41"/>
      <c r="K775" s="43">
        <f>Table_246[[#This Row],[Valor da 
venda]]-Table_246[[#This Row],[Valor gasto]]</f>
        <v>0</v>
      </c>
      <c r="L775" s="86"/>
      <c r="P775" s="160"/>
      <c r="Q775"/>
      <c r="R775" s="160"/>
      <c r="V775"/>
    </row>
    <row r="776" spans="1:22" ht="15" customHeight="1" x14ac:dyDescent="0.3">
      <c r="A776" s="21"/>
      <c r="B776" s="25"/>
      <c r="C776" s="29"/>
      <c r="D776" s="36"/>
      <c r="E776" s="41"/>
      <c r="F776" s="42"/>
      <c r="G776" s="9"/>
      <c r="H776" s="45"/>
      <c r="I776" s="9"/>
      <c r="J776" s="41"/>
      <c r="K776" s="43">
        <f>Table_246[[#This Row],[Valor da 
venda]]-Table_246[[#This Row],[Valor gasto]]</f>
        <v>0</v>
      </c>
      <c r="L776" s="86"/>
      <c r="P776" s="160"/>
      <c r="Q776"/>
      <c r="R776" s="160"/>
      <c r="V776"/>
    </row>
    <row r="777" spans="1:22" ht="15" customHeight="1" x14ac:dyDescent="0.3">
      <c r="A777" s="21"/>
      <c r="B777" s="25"/>
      <c r="C777" s="29"/>
      <c r="D777" s="36"/>
      <c r="E777" s="41"/>
      <c r="F777" s="42"/>
      <c r="G777" s="9"/>
      <c r="H777" s="45"/>
      <c r="I777" s="9"/>
      <c r="J777" s="41"/>
      <c r="K777" s="43">
        <f>Table_246[[#This Row],[Valor da 
venda]]-Table_246[[#This Row],[Valor gasto]]</f>
        <v>0</v>
      </c>
      <c r="L777" s="86"/>
      <c r="P777" s="160"/>
      <c r="Q777"/>
      <c r="R777" s="160"/>
      <c r="V777"/>
    </row>
    <row r="778" spans="1:22" ht="15" customHeight="1" x14ac:dyDescent="0.3">
      <c r="A778" s="21"/>
      <c r="B778" s="25"/>
      <c r="C778" s="29"/>
      <c r="D778" s="36"/>
      <c r="E778" s="41"/>
      <c r="F778" s="42"/>
      <c r="G778" s="9"/>
      <c r="H778" s="45"/>
      <c r="I778" s="9"/>
      <c r="J778" s="41"/>
      <c r="K778" s="43">
        <f>Table_246[[#This Row],[Valor da 
venda]]-Table_246[[#This Row],[Valor gasto]]</f>
        <v>0</v>
      </c>
      <c r="L778" s="86"/>
      <c r="P778" s="160"/>
      <c r="Q778"/>
      <c r="R778" s="160"/>
      <c r="V778"/>
    </row>
    <row r="779" spans="1:22" ht="15" customHeight="1" x14ac:dyDescent="0.3">
      <c r="A779" s="21"/>
      <c r="B779" s="25"/>
      <c r="C779" s="29"/>
      <c r="D779" s="36"/>
      <c r="E779" s="41"/>
      <c r="F779" s="42"/>
      <c r="G779" s="9"/>
      <c r="H779" s="45"/>
      <c r="I779" s="9"/>
      <c r="J779" s="41"/>
      <c r="K779" s="43">
        <f>Table_246[[#This Row],[Valor da 
venda]]-Table_246[[#This Row],[Valor gasto]]</f>
        <v>0</v>
      </c>
      <c r="L779" s="86"/>
      <c r="P779" s="160"/>
      <c r="Q779"/>
      <c r="R779" s="160"/>
      <c r="V779"/>
    </row>
    <row r="780" spans="1:22" ht="15" customHeight="1" x14ac:dyDescent="0.3">
      <c r="A780" s="21"/>
      <c r="B780" s="25"/>
      <c r="C780" s="29"/>
      <c r="D780" s="36"/>
      <c r="E780" s="41"/>
      <c r="F780" s="42"/>
      <c r="G780" s="9"/>
      <c r="H780" s="45"/>
      <c r="I780" s="9"/>
      <c r="J780" s="41"/>
      <c r="K780" s="43">
        <f>Table_246[[#This Row],[Valor da 
venda]]-Table_246[[#This Row],[Valor gasto]]</f>
        <v>0</v>
      </c>
      <c r="L780" s="86"/>
      <c r="P780" s="160"/>
      <c r="Q780"/>
      <c r="R780" s="160"/>
      <c r="V780"/>
    </row>
    <row r="781" spans="1:22" ht="15" customHeight="1" x14ac:dyDescent="0.3">
      <c r="A781" s="21"/>
      <c r="B781" s="25"/>
      <c r="C781" s="29"/>
      <c r="D781" s="36"/>
      <c r="E781" s="41"/>
      <c r="F781" s="42"/>
      <c r="G781" s="9"/>
      <c r="H781" s="45"/>
      <c r="I781" s="9"/>
      <c r="J781" s="41"/>
      <c r="K781" s="43">
        <f>Table_246[[#This Row],[Valor da 
venda]]-Table_246[[#This Row],[Valor gasto]]</f>
        <v>0</v>
      </c>
      <c r="L781" s="86"/>
      <c r="P781" s="160"/>
      <c r="Q781"/>
      <c r="R781" s="160"/>
      <c r="V781"/>
    </row>
    <row r="782" spans="1:22" ht="15" customHeight="1" x14ac:dyDescent="0.3">
      <c r="A782" s="21"/>
      <c r="B782" s="25"/>
      <c r="C782" s="29"/>
      <c r="D782" s="36"/>
      <c r="E782" s="41"/>
      <c r="F782" s="42"/>
      <c r="G782" s="9"/>
      <c r="H782" s="45"/>
      <c r="I782" s="9"/>
      <c r="J782" s="41"/>
      <c r="K782" s="43">
        <f>Table_246[[#This Row],[Valor da 
venda]]-Table_246[[#This Row],[Valor gasto]]</f>
        <v>0</v>
      </c>
      <c r="L782" s="86"/>
      <c r="P782" s="160"/>
      <c r="Q782"/>
      <c r="R782" s="160"/>
      <c r="V782"/>
    </row>
    <row r="783" spans="1:22" ht="15" customHeight="1" x14ac:dyDescent="0.3">
      <c r="A783" s="21"/>
      <c r="B783" s="25"/>
      <c r="C783" s="29"/>
      <c r="D783" s="36"/>
      <c r="E783" s="41"/>
      <c r="F783" s="42"/>
      <c r="G783" s="9"/>
      <c r="H783" s="45"/>
      <c r="I783" s="9"/>
      <c r="J783" s="41"/>
      <c r="K783" s="43">
        <f>Table_246[[#This Row],[Valor da 
venda]]-Table_246[[#This Row],[Valor gasto]]</f>
        <v>0</v>
      </c>
      <c r="L783" s="86"/>
      <c r="P783" s="160"/>
      <c r="Q783"/>
      <c r="R783" s="160"/>
      <c r="V783"/>
    </row>
    <row r="784" spans="1:22" ht="15" customHeight="1" x14ac:dyDescent="0.3">
      <c r="A784" s="21"/>
      <c r="B784" s="25"/>
      <c r="C784" s="29"/>
      <c r="D784" s="36"/>
      <c r="E784" s="41"/>
      <c r="F784" s="42"/>
      <c r="G784" s="9"/>
      <c r="H784" s="45"/>
      <c r="I784" s="9"/>
      <c r="J784" s="41"/>
      <c r="K784" s="43">
        <f>Table_246[[#This Row],[Valor da 
venda]]-Table_246[[#This Row],[Valor gasto]]</f>
        <v>0</v>
      </c>
      <c r="L784" s="86"/>
      <c r="P784" s="160"/>
      <c r="Q784"/>
      <c r="R784" s="160"/>
      <c r="V784"/>
    </row>
    <row r="785" spans="1:22" ht="15" customHeight="1" x14ac:dyDescent="0.3">
      <c r="A785" s="21"/>
      <c r="B785" s="25"/>
      <c r="C785" s="29"/>
      <c r="D785" s="36"/>
      <c r="E785" s="41"/>
      <c r="F785" s="42"/>
      <c r="G785" s="9"/>
      <c r="H785" s="45"/>
      <c r="I785" s="9"/>
      <c r="J785" s="41"/>
      <c r="K785" s="43">
        <f>Table_246[[#This Row],[Valor da 
venda]]-Table_246[[#This Row],[Valor gasto]]</f>
        <v>0</v>
      </c>
      <c r="L785" s="86"/>
      <c r="P785" s="160"/>
      <c r="Q785"/>
      <c r="R785" s="160"/>
      <c r="V785"/>
    </row>
    <row r="786" spans="1:22" ht="15" customHeight="1" x14ac:dyDescent="0.3">
      <c r="A786" s="21"/>
      <c r="B786" s="25"/>
      <c r="C786" s="29"/>
      <c r="D786" s="36"/>
      <c r="E786" s="41"/>
      <c r="F786" s="42"/>
      <c r="G786" s="9"/>
      <c r="H786" s="45"/>
      <c r="I786" s="9"/>
      <c r="J786" s="41"/>
      <c r="K786" s="43">
        <f>Table_246[[#This Row],[Valor da 
venda]]-Table_246[[#This Row],[Valor gasto]]</f>
        <v>0</v>
      </c>
      <c r="L786" s="86"/>
      <c r="P786" s="160"/>
      <c r="Q786"/>
      <c r="R786" s="160"/>
      <c r="V786"/>
    </row>
    <row r="787" spans="1:22" ht="15" customHeight="1" x14ac:dyDescent="0.3">
      <c r="A787" s="21"/>
      <c r="B787" s="25"/>
      <c r="C787" s="29"/>
      <c r="D787" s="36"/>
      <c r="E787" s="41"/>
      <c r="F787" s="42"/>
      <c r="G787" s="9"/>
      <c r="H787" s="45"/>
      <c r="I787" s="9"/>
      <c r="J787" s="41"/>
      <c r="K787" s="43">
        <f>Table_246[[#This Row],[Valor da 
venda]]-Table_246[[#This Row],[Valor gasto]]</f>
        <v>0</v>
      </c>
      <c r="L787" s="86"/>
      <c r="P787" s="160"/>
      <c r="Q787"/>
      <c r="R787" s="160"/>
      <c r="V787"/>
    </row>
    <row r="788" spans="1:22" ht="15" customHeight="1" x14ac:dyDescent="0.3">
      <c r="A788" s="21"/>
      <c r="B788" s="25"/>
      <c r="C788" s="29"/>
      <c r="D788" s="36"/>
      <c r="E788" s="41"/>
      <c r="F788" s="42"/>
      <c r="G788" s="9"/>
      <c r="H788" s="45"/>
      <c r="I788" s="9"/>
      <c r="J788" s="41"/>
      <c r="K788" s="43">
        <f>Table_246[[#This Row],[Valor da 
venda]]-Table_246[[#This Row],[Valor gasto]]</f>
        <v>0</v>
      </c>
      <c r="L788" s="86"/>
      <c r="P788" s="160"/>
      <c r="Q788"/>
      <c r="R788" s="160"/>
      <c r="V788"/>
    </row>
    <row r="789" spans="1:22" ht="15" customHeight="1" x14ac:dyDescent="0.3">
      <c r="A789" s="21"/>
      <c r="B789" s="25"/>
      <c r="C789" s="29"/>
      <c r="D789" s="36"/>
      <c r="E789" s="41"/>
      <c r="F789" s="42"/>
      <c r="G789" s="9"/>
      <c r="H789" s="45"/>
      <c r="I789" s="9"/>
      <c r="J789" s="41"/>
      <c r="K789" s="43">
        <f>Table_246[[#This Row],[Valor da 
venda]]-Table_246[[#This Row],[Valor gasto]]</f>
        <v>0</v>
      </c>
      <c r="L789" s="86"/>
      <c r="P789" s="160"/>
      <c r="Q789"/>
      <c r="R789" s="160"/>
      <c r="V789"/>
    </row>
    <row r="790" spans="1:22" ht="15" customHeight="1" x14ac:dyDescent="0.3">
      <c r="A790" s="21"/>
      <c r="B790" s="25"/>
      <c r="C790" s="29"/>
      <c r="D790" s="36"/>
      <c r="E790" s="41"/>
      <c r="F790" s="42"/>
      <c r="G790" s="9"/>
      <c r="H790" s="45"/>
      <c r="I790" s="9"/>
      <c r="J790" s="41"/>
      <c r="K790" s="43">
        <f>Table_246[[#This Row],[Valor da 
venda]]-Table_246[[#This Row],[Valor gasto]]</f>
        <v>0</v>
      </c>
      <c r="L790" s="86"/>
      <c r="P790" s="160"/>
      <c r="Q790"/>
      <c r="R790" s="160"/>
      <c r="V790"/>
    </row>
    <row r="791" spans="1:22" ht="15" customHeight="1" x14ac:dyDescent="0.3">
      <c r="A791" s="21"/>
      <c r="B791" s="25"/>
      <c r="C791" s="29"/>
      <c r="D791" s="36"/>
      <c r="E791" s="41"/>
      <c r="F791" s="42"/>
      <c r="G791" s="9"/>
      <c r="H791" s="45"/>
      <c r="I791" s="9"/>
      <c r="J791" s="41"/>
      <c r="K791" s="43">
        <f>Table_246[[#This Row],[Valor da 
venda]]-Table_246[[#This Row],[Valor gasto]]</f>
        <v>0</v>
      </c>
      <c r="L791" s="86"/>
      <c r="P791" s="160"/>
      <c r="Q791"/>
      <c r="R791" s="160"/>
      <c r="V791"/>
    </row>
    <row r="792" spans="1:22" ht="15" customHeight="1" x14ac:dyDescent="0.3">
      <c r="A792" s="21"/>
      <c r="B792" s="25"/>
      <c r="C792" s="67"/>
      <c r="D792" s="36"/>
      <c r="E792" s="41"/>
      <c r="F792" s="42"/>
      <c r="G792" s="9"/>
      <c r="H792" s="45"/>
      <c r="I792" s="9"/>
      <c r="J792" s="41"/>
      <c r="K792" s="43">
        <f>Table_246[[#This Row],[Valor da 
venda]]-Table_246[[#This Row],[Valor gasto]]</f>
        <v>0</v>
      </c>
      <c r="L792" s="86"/>
      <c r="P792" s="160"/>
      <c r="Q792"/>
      <c r="R792" s="160"/>
      <c r="V792"/>
    </row>
    <row r="793" spans="1:22" ht="15" customHeight="1" x14ac:dyDescent="0.3">
      <c r="A793" s="21"/>
      <c r="B793" s="25"/>
      <c r="C793" s="29"/>
      <c r="D793" s="36"/>
      <c r="E793" s="41"/>
      <c r="F793" s="42"/>
      <c r="G793" s="9"/>
      <c r="H793" s="45"/>
      <c r="I793" s="9"/>
      <c r="J793" s="41"/>
      <c r="K793" s="43">
        <f>Table_246[[#This Row],[Valor da 
venda]]-Table_246[[#This Row],[Valor gasto]]</f>
        <v>0</v>
      </c>
      <c r="L793" s="86"/>
      <c r="P793" s="160"/>
      <c r="Q793"/>
      <c r="R793" s="160"/>
      <c r="V793"/>
    </row>
    <row r="794" spans="1:22" ht="15" customHeight="1" x14ac:dyDescent="0.3">
      <c r="A794" s="21"/>
      <c r="B794" s="25"/>
      <c r="C794" s="29"/>
      <c r="D794" s="36"/>
      <c r="E794" s="41"/>
      <c r="F794" s="42"/>
      <c r="G794" s="9"/>
      <c r="H794" s="45"/>
      <c r="I794" s="9"/>
      <c r="J794" s="41"/>
      <c r="K794" s="43">
        <f>Table_246[[#This Row],[Valor da 
venda]]-Table_246[[#This Row],[Valor gasto]]</f>
        <v>0</v>
      </c>
      <c r="L794" s="86"/>
      <c r="P794" s="160"/>
      <c r="Q794"/>
      <c r="R794" s="160"/>
      <c r="V794"/>
    </row>
    <row r="795" spans="1:22" ht="15" customHeight="1" x14ac:dyDescent="0.3">
      <c r="A795" s="21"/>
      <c r="B795" s="25"/>
      <c r="C795" s="29"/>
      <c r="D795" s="36"/>
      <c r="E795" s="41"/>
      <c r="F795" s="42"/>
      <c r="G795" s="9"/>
      <c r="H795" s="45"/>
      <c r="I795" s="9"/>
      <c r="J795" s="41"/>
      <c r="K795" s="43">
        <f>Table_246[[#This Row],[Valor da 
venda]]-Table_246[[#This Row],[Valor gasto]]</f>
        <v>0</v>
      </c>
      <c r="L795" s="86"/>
      <c r="P795" s="160"/>
      <c r="Q795"/>
      <c r="R795" s="160"/>
      <c r="V795"/>
    </row>
    <row r="796" spans="1:22" ht="15" customHeight="1" x14ac:dyDescent="0.3">
      <c r="A796" s="21"/>
      <c r="B796" s="25"/>
      <c r="C796" s="29"/>
      <c r="D796" s="36"/>
      <c r="E796" s="41"/>
      <c r="F796" s="42"/>
      <c r="G796" s="9"/>
      <c r="H796" s="45"/>
      <c r="I796" s="9"/>
      <c r="J796" s="41"/>
      <c r="K796" s="43">
        <f>Table_246[[#This Row],[Valor da 
venda]]-Table_246[[#This Row],[Valor gasto]]</f>
        <v>0</v>
      </c>
      <c r="L796" s="86"/>
      <c r="P796" s="160"/>
      <c r="Q796"/>
      <c r="R796" s="160"/>
      <c r="V796"/>
    </row>
    <row r="797" spans="1:22" ht="15" customHeight="1" x14ac:dyDescent="0.3">
      <c r="A797" s="21"/>
      <c r="B797" s="25"/>
      <c r="C797" s="29"/>
      <c r="D797" s="36"/>
      <c r="E797" s="41"/>
      <c r="F797" s="42"/>
      <c r="G797" s="9"/>
      <c r="H797" s="45"/>
      <c r="I797" s="9"/>
      <c r="J797" s="41"/>
      <c r="K797" s="43">
        <f>Table_246[[#This Row],[Valor da 
venda]]-Table_246[[#This Row],[Valor gasto]]</f>
        <v>0</v>
      </c>
      <c r="L797" s="86"/>
      <c r="P797" s="160"/>
      <c r="Q797"/>
      <c r="R797" s="160"/>
      <c r="V797"/>
    </row>
    <row r="798" spans="1:22" ht="15" customHeight="1" x14ac:dyDescent="0.3">
      <c r="A798" s="21"/>
      <c r="B798" s="25"/>
      <c r="C798" s="29"/>
      <c r="D798" s="36"/>
      <c r="E798" s="41"/>
      <c r="F798" s="42"/>
      <c r="G798" s="9"/>
      <c r="H798" s="45"/>
      <c r="I798" s="9"/>
      <c r="J798" s="41"/>
      <c r="K798" s="43">
        <f>Table_246[[#This Row],[Valor da 
venda]]-Table_246[[#This Row],[Valor gasto]]</f>
        <v>0</v>
      </c>
      <c r="L798" s="86"/>
      <c r="P798" s="160"/>
      <c r="Q798"/>
      <c r="R798" s="160"/>
      <c r="V798"/>
    </row>
    <row r="799" spans="1:22" ht="15" customHeight="1" x14ac:dyDescent="0.3">
      <c r="A799" s="21"/>
      <c r="B799" s="25"/>
      <c r="C799" s="29"/>
      <c r="D799" s="36"/>
      <c r="E799" s="41"/>
      <c r="F799" s="42"/>
      <c r="G799" s="9"/>
      <c r="H799" s="45"/>
      <c r="I799" s="9"/>
      <c r="J799" s="41"/>
      <c r="K799" s="43">
        <f>Table_246[[#This Row],[Valor da 
venda]]-Table_246[[#This Row],[Valor gasto]]</f>
        <v>0</v>
      </c>
      <c r="L799" s="86"/>
      <c r="P799" s="160"/>
      <c r="Q799"/>
      <c r="R799" s="160"/>
      <c r="V799"/>
    </row>
    <row r="800" spans="1:22" ht="15" customHeight="1" x14ac:dyDescent="0.3">
      <c r="A800" s="21"/>
      <c r="B800" s="25"/>
      <c r="C800" s="29"/>
      <c r="D800" s="36"/>
      <c r="E800" s="41"/>
      <c r="F800" s="42"/>
      <c r="G800" s="9"/>
      <c r="H800" s="45"/>
      <c r="I800" s="9"/>
      <c r="J800" s="41"/>
      <c r="K800" s="43">
        <f>Table_246[[#This Row],[Valor da 
venda]]-Table_246[[#This Row],[Valor gasto]]</f>
        <v>0</v>
      </c>
      <c r="L800" s="86"/>
      <c r="P800" s="160"/>
      <c r="Q800"/>
      <c r="R800" s="160"/>
      <c r="V800"/>
    </row>
    <row r="801" spans="1:22" ht="15" customHeight="1" x14ac:dyDescent="0.3">
      <c r="A801" s="21"/>
      <c r="B801" s="25"/>
      <c r="C801" s="29"/>
      <c r="D801" s="36"/>
      <c r="E801" s="41"/>
      <c r="F801" s="42"/>
      <c r="G801" s="9"/>
      <c r="H801" s="45"/>
      <c r="I801" s="9"/>
      <c r="J801" s="41"/>
      <c r="K801" s="43">
        <f>Table_246[[#This Row],[Valor da 
venda]]-Table_246[[#This Row],[Valor gasto]]</f>
        <v>0</v>
      </c>
      <c r="L801" s="86"/>
      <c r="P801" s="160"/>
      <c r="Q801"/>
      <c r="R801" s="160"/>
      <c r="V801"/>
    </row>
    <row r="802" spans="1:22" ht="15" customHeight="1" x14ac:dyDescent="0.3">
      <c r="A802" s="21"/>
      <c r="B802" s="25"/>
      <c r="C802" s="29"/>
      <c r="D802" s="36"/>
      <c r="E802" s="41"/>
      <c r="F802" s="42"/>
      <c r="G802" s="9"/>
      <c r="H802" s="45"/>
      <c r="I802" s="9"/>
      <c r="J802" s="41"/>
      <c r="K802" s="43">
        <f>Table_246[[#This Row],[Valor da 
venda]]-Table_246[[#This Row],[Valor gasto]]</f>
        <v>0</v>
      </c>
      <c r="L802" s="86"/>
      <c r="P802" s="160"/>
      <c r="Q802"/>
      <c r="R802" s="160"/>
      <c r="V802"/>
    </row>
    <row r="803" spans="1:22" ht="15" customHeight="1" x14ac:dyDescent="0.3">
      <c r="A803" s="21"/>
      <c r="B803" s="25"/>
      <c r="C803" s="29"/>
      <c r="D803" s="36"/>
      <c r="E803" s="41"/>
      <c r="F803" s="42"/>
      <c r="G803" s="9"/>
      <c r="H803" s="45"/>
      <c r="I803" s="9"/>
      <c r="J803" s="41"/>
      <c r="K803" s="43">
        <f>Table_246[[#This Row],[Valor da 
venda]]-Table_246[[#This Row],[Valor gasto]]</f>
        <v>0</v>
      </c>
      <c r="L803" s="86"/>
      <c r="P803" s="160"/>
      <c r="Q803"/>
      <c r="R803" s="160"/>
      <c r="V803"/>
    </row>
    <row r="804" spans="1:22" ht="15" customHeight="1" x14ac:dyDescent="0.3">
      <c r="A804" s="21"/>
      <c r="B804" s="25"/>
      <c r="C804" s="29"/>
      <c r="D804" s="36"/>
      <c r="E804" s="41"/>
      <c r="F804" s="42"/>
      <c r="G804" s="9"/>
      <c r="H804" s="45"/>
      <c r="I804" s="9"/>
      <c r="J804" s="41"/>
      <c r="K804" s="43">
        <f>Table_246[[#This Row],[Valor da 
venda]]-Table_246[[#This Row],[Valor gasto]]</f>
        <v>0</v>
      </c>
      <c r="L804" s="86"/>
      <c r="P804" s="160"/>
      <c r="Q804"/>
      <c r="R804" s="160"/>
      <c r="V804"/>
    </row>
    <row r="805" spans="1:22" ht="15" customHeight="1" x14ac:dyDescent="0.3">
      <c r="A805" s="21"/>
      <c r="B805" s="25"/>
      <c r="C805" s="29"/>
      <c r="D805" s="36"/>
      <c r="E805" s="41"/>
      <c r="F805" s="42"/>
      <c r="G805" s="9"/>
      <c r="H805" s="45"/>
      <c r="I805" s="9"/>
      <c r="J805" s="41"/>
      <c r="K805" s="43">
        <f>Table_246[[#This Row],[Valor da 
venda]]-Table_246[[#This Row],[Valor gasto]]</f>
        <v>0</v>
      </c>
      <c r="L805" s="86"/>
      <c r="P805" s="160"/>
      <c r="Q805"/>
      <c r="R805" s="160"/>
      <c r="V805"/>
    </row>
    <row r="806" spans="1:22" ht="15" customHeight="1" x14ac:dyDescent="0.3">
      <c r="A806" s="21"/>
      <c r="B806" s="25"/>
      <c r="C806" s="29"/>
      <c r="D806" s="36"/>
      <c r="E806" s="41"/>
      <c r="F806" s="42"/>
      <c r="G806" s="9"/>
      <c r="H806" s="45"/>
      <c r="I806" s="9"/>
      <c r="J806" s="41"/>
      <c r="K806" s="43">
        <f>Table_246[[#This Row],[Valor da 
venda]]-Table_246[[#This Row],[Valor gasto]]</f>
        <v>0</v>
      </c>
      <c r="L806" s="86"/>
      <c r="P806" s="160"/>
      <c r="Q806"/>
      <c r="R806" s="160"/>
      <c r="V806"/>
    </row>
    <row r="807" spans="1:22" ht="15" customHeight="1" x14ac:dyDescent="0.3">
      <c r="A807" s="21"/>
      <c r="B807" s="25"/>
      <c r="C807" s="29"/>
      <c r="D807" s="36"/>
      <c r="E807" s="41"/>
      <c r="F807" s="42"/>
      <c r="G807" s="9"/>
      <c r="H807" s="45"/>
      <c r="I807" s="9"/>
      <c r="J807" s="41"/>
      <c r="K807" s="43">
        <f>Table_246[[#This Row],[Valor da 
venda]]-Table_246[[#This Row],[Valor gasto]]</f>
        <v>0</v>
      </c>
      <c r="L807" s="86"/>
      <c r="P807" s="160"/>
      <c r="Q807"/>
      <c r="R807" s="160"/>
      <c r="V807"/>
    </row>
    <row r="808" spans="1:22" ht="15" customHeight="1" x14ac:dyDescent="0.3">
      <c r="A808" s="21"/>
      <c r="B808" s="25"/>
      <c r="C808" s="29"/>
      <c r="D808" s="36"/>
      <c r="E808" s="41"/>
      <c r="F808" s="42"/>
      <c r="G808" s="9"/>
      <c r="H808" s="45"/>
      <c r="I808" s="9"/>
      <c r="J808" s="41"/>
      <c r="K808" s="43">
        <f>Table_246[[#This Row],[Valor da 
venda]]-Table_246[[#This Row],[Valor gasto]]</f>
        <v>0</v>
      </c>
      <c r="L808" s="86"/>
      <c r="P808" s="160"/>
      <c r="Q808"/>
      <c r="R808" s="160"/>
      <c r="V808"/>
    </row>
    <row r="809" spans="1:22" ht="15" customHeight="1" x14ac:dyDescent="0.3">
      <c r="A809" s="21"/>
      <c r="B809" s="25"/>
      <c r="C809" s="29"/>
      <c r="D809" s="36"/>
      <c r="E809" s="41"/>
      <c r="F809" s="42"/>
      <c r="G809" s="9"/>
      <c r="H809" s="45"/>
      <c r="I809" s="9"/>
      <c r="J809" s="41"/>
      <c r="K809" s="43">
        <f>Table_246[[#This Row],[Valor da 
venda]]-Table_246[[#This Row],[Valor gasto]]</f>
        <v>0</v>
      </c>
      <c r="L809" s="86"/>
      <c r="P809" s="160"/>
      <c r="Q809"/>
      <c r="R809" s="160"/>
      <c r="V809"/>
    </row>
    <row r="810" spans="1:22" ht="15" customHeight="1" x14ac:dyDescent="0.3">
      <c r="A810" s="21"/>
      <c r="B810" s="25"/>
      <c r="C810" s="29"/>
      <c r="D810" s="36"/>
      <c r="E810" s="41"/>
      <c r="F810" s="42"/>
      <c r="G810" s="9"/>
      <c r="H810" s="45"/>
      <c r="I810" s="9"/>
      <c r="J810" s="41"/>
      <c r="K810" s="43">
        <f>Table_246[[#This Row],[Valor da 
venda]]-Table_246[[#This Row],[Valor gasto]]</f>
        <v>0</v>
      </c>
      <c r="L810" s="86"/>
      <c r="P810" s="160"/>
      <c r="Q810"/>
      <c r="R810" s="160"/>
      <c r="V810"/>
    </row>
    <row r="811" spans="1:22" ht="15" customHeight="1" x14ac:dyDescent="0.3">
      <c r="A811" s="21"/>
      <c r="B811" s="25"/>
      <c r="C811" s="29"/>
      <c r="D811" s="36"/>
      <c r="E811" s="41"/>
      <c r="F811" s="42"/>
      <c r="G811" s="9"/>
      <c r="H811" s="45"/>
      <c r="I811" s="9"/>
      <c r="J811" s="41"/>
      <c r="K811" s="43">
        <f>Table_246[[#This Row],[Valor da 
venda]]-Table_246[[#This Row],[Valor gasto]]</f>
        <v>0</v>
      </c>
      <c r="L811" s="86"/>
      <c r="P811" s="160"/>
      <c r="Q811"/>
      <c r="R811" s="160"/>
      <c r="V811"/>
    </row>
    <row r="812" spans="1:22" ht="15" customHeight="1" x14ac:dyDescent="0.3">
      <c r="A812" s="21"/>
      <c r="B812" s="25"/>
      <c r="C812" s="29"/>
      <c r="D812" s="36"/>
      <c r="E812" s="41"/>
      <c r="F812" s="42"/>
      <c r="G812" s="9"/>
      <c r="H812" s="45"/>
      <c r="I812" s="9"/>
      <c r="J812" s="41"/>
      <c r="K812" s="43">
        <f>Table_246[[#This Row],[Valor da 
venda]]-Table_246[[#This Row],[Valor gasto]]</f>
        <v>0</v>
      </c>
      <c r="L812" s="86"/>
      <c r="P812" s="160"/>
      <c r="Q812"/>
      <c r="R812" s="160"/>
      <c r="V812"/>
    </row>
    <row r="813" spans="1:22" ht="15" customHeight="1" x14ac:dyDescent="0.3">
      <c r="A813" s="21"/>
      <c r="B813" s="25"/>
      <c r="C813" s="29"/>
      <c r="D813" s="36"/>
      <c r="E813" s="41"/>
      <c r="F813" s="42"/>
      <c r="G813" s="9"/>
      <c r="H813" s="45"/>
      <c r="I813" s="9"/>
      <c r="J813" s="41"/>
      <c r="K813" s="43">
        <f>Table_246[[#This Row],[Valor da 
venda]]-Table_246[[#This Row],[Valor gasto]]</f>
        <v>0</v>
      </c>
      <c r="L813" s="86"/>
      <c r="P813" s="160"/>
      <c r="Q813"/>
      <c r="R813" s="160"/>
      <c r="V813"/>
    </row>
    <row r="814" spans="1:22" ht="15" customHeight="1" x14ac:dyDescent="0.3">
      <c r="A814" s="21"/>
      <c r="B814" s="25"/>
      <c r="C814" s="29"/>
      <c r="D814" s="36"/>
      <c r="E814" s="41"/>
      <c r="F814" s="42"/>
      <c r="G814" s="9"/>
      <c r="H814" s="45"/>
      <c r="I814" s="9"/>
      <c r="J814" s="41"/>
      <c r="K814" s="43">
        <f>Table_246[[#This Row],[Valor da 
venda]]-Table_246[[#This Row],[Valor gasto]]</f>
        <v>0</v>
      </c>
      <c r="L814" s="86"/>
      <c r="P814" s="160"/>
      <c r="Q814"/>
      <c r="R814" s="160"/>
      <c r="V814"/>
    </row>
    <row r="815" spans="1:22" ht="15" customHeight="1" x14ac:dyDescent="0.3">
      <c r="A815" s="21"/>
      <c r="B815" s="25"/>
      <c r="C815" s="29"/>
      <c r="D815" s="36"/>
      <c r="E815" s="41"/>
      <c r="F815" s="42"/>
      <c r="G815" s="9"/>
      <c r="H815" s="45"/>
      <c r="I815" s="9"/>
      <c r="J815" s="41"/>
      <c r="K815" s="43">
        <f>Table_246[[#This Row],[Valor da 
venda]]-Table_246[[#This Row],[Valor gasto]]</f>
        <v>0</v>
      </c>
      <c r="L815" s="86"/>
      <c r="P815" s="160"/>
      <c r="Q815"/>
      <c r="R815" s="160"/>
      <c r="V815"/>
    </row>
    <row r="816" spans="1:22" ht="15" customHeight="1" x14ac:dyDescent="0.3">
      <c r="A816" s="21"/>
      <c r="B816" s="25"/>
      <c r="C816" s="29"/>
      <c r="D816" s="36"/>
      <c r="E816" s="41"/>
      <c r="F816" s="42"/>
      <c r="G816" s="9"/>
      <c r="H816" s="45"/>
      <c r="I816" s="9"/>
      <c r="J816" s="41"/>
      <c r="K816" s="43">
        <f>Table_246[[#This Row],[Valor da 
venda]]-Table_246[[#This Row],[Valor gasto]]</f>
        <v>0</v>
      </c>
      <c r="L816" s="86"/>
      <c r="P816" s="160"/>
      <c r="Q816"/>
      <c r="R816" s="160"/>
      <c r="V816"/>
    </row>
    <row r="817" spans="1:22" ht="15" customHeight="1" x14ac:dyDescent="0.3">
      <c r="A817" s="21"/>
      <c r="B817" s="25"/>
      <c r="C817" s="29"/>
      <c r="D817" s="36"/>
      <c r="E817" s="41"/>
      <c r="F817" s="42"/>
      <c r="G817" s="9"/>
      <c r="H817" s="45"/>
      <c r="I817" s="9"/>
      <c r="J817" s="41"/>
      <c r="K817" s="43">
        <f>Table_246[[#This Row],[Valor da 
venda]]-Table_246[[#This Row],[Valor gasto]]</f>
        <v>0</v>
      </c>
      <c r="L817" s="86"/>
      <c r="P817" s="160"/>
      <c r="Q817"/>
      <c r="R817" s="160"/>
      <c r="V817"/>
    </row>
    <row r="818" spans="1:22" ht="15" customHeight="1" x14ac:dyDescent="0.3">
      <c r="A818" s="21"/>
      <c r="B818" s="25"/>
      <c r="C818" s="29"/>
      <c r="D818" s="36"/>
      <c r="E818" s="41"/>
      <c r="F818" s="42"/>
      <c r="G818" s="9"/>
      <c r="H818" s="45"/>
      <c r="I818" s="9"/>
      <c r="J818" s="41"/>
      <c r="K818" s="43">
        <f>Table_246[[#This Row],[Valor da 
venda]]-Table_246[[#This Row],[Valor gasto]]</f>
        <v>0</v>
      </c>
      <c r="L818" s="86"/>
      <c r="P818" s="160"/>
      <c r="Q818"/>
      <c r="R818" s="160"/>
      <c r="V818"/>
    </row>
    <row r="819" spans="1:22" ht="15" customHeight="1" x14ac:dyDescent="0.3">
      <c r="A819" s="21"/>
      <c r="B819" s="25"/>
      <c r="C819" s="29"/>
      <c r="D819" s="36"/>
      <c r="E819" s="41"/>
      <c r="F819" s="42"/>
      <c r="G819" s="9"/>
      <c r="H819" s="45"/>
      <c r="I819" s="9"/>
      <c r="J819" s="41"/>
      <c r="K819" s="43">
        <f>Table_246[[#This Row],[Valor da 
venda]]-Table_246[[#This Row],[Valor gasto]]</f>
        <v>0</v>
      </c>
      <c r="L819" s="86"/>
      <c r="P819" s="160"/>
      <c r="Q819"/>
      <c r="R819" s="160"/>
      <c r="V819"/>
    </row>
    <row r="820" spans="1:22" ht="15" customHeight="1" x14ac:dyDescent="0.3">
      <c r="A820" s="21"/>
      <c r="B820" s="25"/>
      <c r="C820" s="29"/>
      <c r="D820" s="36"/>
      <c r="E820" s="41"/>
      <c r="F820" s="42"/>
      <c r="G820" s="9"/>
      <c r="H820" s="45"/>
      <c r="I820" s="9"/>
      <c r="J820" s="41"/>
      <c r="K820" s="43">
        <f>Table_246[[#This Row],[Valor da 
venda]]-Table_246[[#This Row],[Valor gasto]]</f>
        <v>0</v>
      </c>
      <c r="L820" s="86"/>
      <c r="P820" s="160"/>
      <c r="Q820"/>
      <c r="R820" s="160"/>
      <c r="V820"/>
    </row>
    <row r="821" spans="1:22" ht="15" customHeight="1" x14ac:dyDescent="0.3">
      <c r="A821" s="21"/>
      <c r="B821" s="25"/>
      <c r="C821" s="29"/>
      <c r="D821" s="36"/>
      <c r="E821" s="41"/>
      <c r="F821" s="42"/>
      <c r="G821" s="9"/>
      <c r="H821" s="45"/>
      <c r="I821" s="9"/>
      <c r="J821" s="41"/>
      <c r="K821" s="43">
        <f>Table_246[[#This Row],[Valor da 
venda]]-Table_246[[#This Row],[Valor gasto]]</f>
        <v>0</v>
      </c>
      <c r="L821" s="86"/>
      <c r="P821" s="160"/>
      <c r="Q821"/>
      <c r="R821" s="160"/>
      <c r="V821"/>
    </row>
    <row r="822" spans="1:22" ht="15" customHeight="1" x14ac:dyDescent="0.3">
      <c r="A822" s="21"/>
      <c r="B822" s="25"/>
      <c r="C822" s="29"/>
      <c r="D822" s="36"/>
      <c r="E822" s="41"/>
      <c r="F822" s="42"/>
      <c r="G822" s="9"/>
      <c r="H822" s="45"/>
      <c r="I822" s="9"/>
      <c r="J822" s="41"/>
      <c r="K822" s="43">
        <f>Table_246[[#This Row],[Valor da 
venda]]-Table_246[[#This Row],[Valor gasto]]</f>
        <v>0</v>
      </c>
      <c r="L822" s="86"/>
      <c r="P822" s="160"/>
      <c r="Q822"/>
      <c r="R822" s="160"/>
      <c r="V822"/>
    </row>
    <row r="823" spans="1:22" ht="15" customHeight="1" x14ac:dyDescent="0.3">
      <c r="A823" s="21"/>
      <c r="B823" s="25"/>
      <c r="C823" s="29"/>
      <c r="D823" s="36"/>
      <c r="E823" s="41"/>
      <c r="F823" s="42"/>
      <c r="G823" s="9"/>
      <c r="H823" s="45"/>
      <c r="I823" s="9"/>
      <c r="J823" s="41"/>
      <c r="K823" s="43">
        <f>Table_246[[#This Row],[Valor da 
venda]]-Table_246[[#This Row],[Valor gasto]]</f>
        <v>0</v>
      </c>
      <c r="L823" s="86"/>
      <c r="P823" s="160"/>
      <c r="Q823"/>
      <c r="R823" s="160"/>
      <c r="V823"/>
    </row>
    <row r="824" spans="1:22" ht="15" customHeight="1" x14ac:dyDescent="0.3">
      <c r="A824" s="21"/>
      <c r="B824" s="25"/>
      <c r="C824" s="29"/>
      <c r="D824" s="36"/>
      <c r="E824" s="41"/>
      <c r="F824" s="42"/>
      <c r="G824" s="9"/>
      <c r="H824" s="45"/>
      <c r="I824" s="9"/>
      <c r="J824" s="41"/>
      <c r="K824" s="43">
        <f>Table_246[[#This Row],[Valor da 
venda]]-Table_246[[#This Row],[Valor gasto]]</f>
        <v>0</v>
      </c>
      <c r="L824" s="86"/>
      <c r="P824" s="160"/>
      <c r="Q824"/>
      <c r="R824" s="160"/>
      <c r="V824"/>
    </row>
    <row r="825" spans="1:22" ht="15" customHeight="1" x14ac:dyDescent="0.3">
      <c r="A825" s="21"/>
      <c r="B825" s="25"/>
      <c r="C825" s="29"/>
      <c r="D825" s="36"/>
      <c r="E825" s="41"/>
      <c r="F825" s="42"/>
      <c r="G825" s="9"/>
      <c r="H825" s="45"/>
      <c r="I825" s="9"/>
      <c r="J825" s="41"/>
      <c r="K825" s="43">
        <f>Table_246[[#This Row],[Valor da 
venda]]-Table_246[[#This Row],[Valor gasto]]</f>
        <v>0</v>
      </c>
      <c r="L825" s="86"/>
      <c r="P825" s="160"/>
      <c r="Q825"/>
      <c r="R825" s="160"/>
      <c r="V825"/>
    </row>
    <row r="826" spans="1:22" ht="15" customHeight="1" x14ac:dyDescent="0.3">
      <c r="A826" s="21"/>
      <c r="B826" s="25"/>
      <c r="C826" s="29"/>
      <c r="D826" s="36"/>
      <c r="E826" s="41"/>
      <c r="F826" s="42"/>
      <c r="G826" s="9"/>
      <c r="H826" s="45"/>
      <c r="I826" s="9"/>
      <c r="J826" s="41"/>
      <c r="K826" s="43">
        <f>Table_246[[#This Row],[Valor da 
venda]]-Table_246[[#This Row],[Valor gasto]]</f>
        <v>0</v>
      </c>
      <c r="L826" s="86"/>
      <c r="P826" s="160"/>
      <c r="Q826"/>
      <c r="R826" s="160"/>
      <c r="V826"/>
    </row>
    <row r="827" spans="1:22" ht="15" customHeight="1" x14ac:dyDescent="0.3">
      <c r="A827" s="21"/>
      <c r="B827" s="25"/>
      <c r="C827" s="29"/>
      <c r="D827" s="36"/>
      <c r="E827" s="41"/>
      <c r="F827" s="42"/>
      <c r="G827" s="9"/>
      <c r="H827" s="45"/>
      <c r="I827" s="9"/>
      <c r="J827" s="41"/>
      <c r="K827" s="43">
        <f>Table_246[[#This Row],[Valor da 
venda]]-Table_246[[#This Row],[Valor gasto]]</f>
        <v>0</v>
      </c>
      <c r="L827" s="86"/>
      <c r="P827" s="160"/>
      <c r="Q827"/>
      <c r="R827" s="160"/>
      <c r="V827"/>
    </row>
    <row r="828" spans="1:22" ht="15" customHeight="1" x14ac:dyDescent="0.3">
      <c r="A828" s="21"/>
      <c r="B828" s="25"/>
      <c r="C828" s="29"/>
      <c r="D828" s="36"/>
      <c r="E828" s="41"/>
      <c r="F828" s="42"/>
      <c r="G828" s="9"/>
      <c r="H828" s="45"/>
      <c r="I828" s="9"/>
      <c r="J828" s="41"/>
      <c r="K828" s="43">
        <f>Table_246[[#This Row],[Valor da 
venda]]-Table_246[[#This Row],[Valor gasto]]</f>
        <v>0</v>
      </c>
      <c r="L828" s="86"/>
      <c r="P828" s="160"/>
      <c r="Q828"/>
      <c r="R828" s="160"/>
      <c r="V828"/>
    </row>
    <row r="829" spans="1:22" ht="15" customHeight="1" x14ac:dyDescent="0.3">
      <c r="A829" s="21"/>
      <c r="B829" s="25"/>
      <c r="C829" s="29"/>
      <c r="D829" s="36"/>
      <c r="E829" s="41"/>
      <c r="F829" s="42"/>
      <c r="G829" s="9"/>
      <c r="H829" s="45"/>
      <c r="I829" s="9"/>
      <c r="J829" s="41"/>
      <c r="K829" s="43">
        <f>Table_246[[#This Row],[Valor da 
venda]]-Table_246[[#This Row],[Valor gasto]]</f>
        <v>0</v>
      </c>
      <c r="L829" s="86"/>
      <c r="P829" s="160"/>
      <c r="Q829"/>
      <c r="R829" s="160"/>
      <c r="V829"/>
    </row>
    <row r="830" spans="1:22" ht="15" customHeight="1" x14ac:dyDescent="0.3">
      <c r="A830" s="21"/>
      <c r="B830" s="25"/>
      <c r="C830" s="29"/>
      <c r="D830" s="36"/>
      <c r="E830" s="41"/>
      <c r="F830" s="42"/>
      <c r="G830" s="9"/>
      <c r="H830" s="45"/>
      <c r="I830" s="9"/>
      <c r="J830" s="41"/>
      <c r="K830" s="43">
        <f>Table_246[[#This Row],[Valor da 
venda]]-Table_246[[#This Row],[Valor gasto]]</f>
        <v>0</v>
      </c>
      <c r="L830" s="86"/>
      <c r="P830" s="160"/>
      <c r="Q830"/>
      <c r="R830" s="160"/>
      <c r="V830"/>
    </row>
    <row r="831" spans="1:22" ht="15" customHeight="1" x14ac:dyDescent="0.3">
      <c r="A831" s="21"/>
      <c r="B831" s="25"/>
      <c r="C831" s="29"/>
      <c r="D831" s="36"/>
      <c r="E831" s="41"/>
      <c r="F831" s="42"/>
      <c r="G831" s="9"/>
      <c r="H831" s="45"/>
      <c r="I831" s="9"/>
      <c r="J831" s="41"/>
      <c r="K831" s="43">
        <f>Table_246[[#This Row],[Valor da 
venda]]-Table_246[[#This Row],[Valor gasto]]</f>
        <v>0</v>
      </c>
      <c r="L831" s="86"/>
      <c r="P831" s="160"/>
      <c r="Q831"/>
      <c r="R831" s="160"/>
      <c r="V831"/>
    </row>
    <row r="832" spans="1:22" ht="15" customHeight="1" x14ac:dyDescent="0.3">
      <c r="A832" s="21"/>
      <c r="B832" s="25"/>
      <c r="C832" s="29"/>
      <c r="D832" s="36"/>
      <c r="E832" s="41"/>
      <c r="F832" s="42"/>
      <c r="G832" s="9"/>
      <c r="H832" s="45"/>
      <c r="I832" s="9"/>
      <c r="J832" s="41"/>
      <c r="K832" s="43">
        <f>Table_246[[#This Row],[Valor da 
venda]]-Table_246[[#This Row],[Valor gasto]]</f>
        <v>0</v>
      </c>
      <c r="L832" s="86"/>
      <c r="P832" s="160"/>
      <c r="Q832"/>
      <c r="R832" s="160"/>
      <c r="V832"/>
    </row>
    <row r="833" spans="1:22" ht="15" customHeight="1" x14ac:dyDescent="0.3">
      <c r="A833" s="21"/>
      <c r="B833" s="25"/>
      <c r="C833" s="29"/>
      <c r="D833" s="36"/>
      <c r="E833" s="41"/>
      <c r="F833" s="42"/>
      <c r="G833" s="9"/>
      <c r="H833" s="45"/>
      <c r="I833" s="9"/>
      <c r="J833" s="41"/>
      <c r="K833" s="43">
        <f>Table_246[[#This Row],[Valor da 
venda]]-Table_246[[#This Row],[Valor gasto]]</f>
        <v>0</v>
      </c>
      <c r="L833" s="86"/>
      <c r="P833" s="160"/>
      <c r="Q833"/>
      <c r="R833" s="160"/>
      <c r="V833"/>
    </row>
    <row r="834" spans="1:22" ht="15" customHeight="1" x14ac:dyDescent="0.3">
      <c r="A834" s="21"/>
      <c r="B834" s="25"/>
      <c r="C834" s="29"/>
      <c r="D834" s="36"/>
      <c r="E834" s="41"/>
      <c r="F834" s="42"/>
      <c r="G834" s="9"/>
      <c r="H834" s="45"/>
      <c r="I834" s="9"/>
      <c r="J834" s="41"/>
      <c r="K834" s="43">
        <f>Table_246[[#This Row],[Valor da 
venda]]-Table_246[[#This Row],[Valor gasto]]</f>
        <v>0</v>
      </c>
      <c r="L834" s="86"/>
      <c r="P834" s="160"/>
      <c r="Q834"/>
      <c r="R834" s="160"/>
      <c r="V834"/>
    </row>
    <row r="835" spans="1:22" ht="15" customHeight="1" x14ac:dyDescent="0.3">
      <c r="A835" s="21"/>
      <c r="B835" s="25"/>
      <c r="C835" s="29"/>
      <c r="D835" s="36"/>
      <c r="E835" s="41"/>
      <c r="F835" s="42"/>
      <c r="G835" s="9"/>
      <c r="H835" s="45"/>
      <c r="I835" s="9"/>
      <c r="J835" s="41"/>
      <c r="K835" s="43">
        <f>Table_246[[#This Row],[Valor da 
venda]]-Table_246[[#This Row],[Valor gasto]]</f>
        <v>0</v>
      </c>
      <c r="L835" s="86"/>
      <c r="P835" s="160"/>
      <c r="Q835"/>
      <c r="R835" s="160"/>
      <c r="V835"/>
    </row>
    <row r="836" spans="1:22" ht="15" customHeight="1" x14ac:dyDescent="0.3">
      <c r="A836" s="21"/>
      <c r="B836" s="25"/>
      <c r="C836" s="29"/>
      <c r="D836" s="36"/>
      <c r="E836" s="41"/>
      <c r="F836" s="42"/>
      <c r="G836" s="9"/>
      <c r="H836" s="45"/>
      <c r="I836" s="9"/>
      <c r="J836" s="41"/>
      <c r="K836" s="43">
        <f>Table_246[[#This Row],[Valor da 
venda]]-Table_246[[#This Row],[Valor gasto]]</f>
        <v>0</v>
      </c>
      <c r="L836" s="86"/>
      <c r="P836" s="160"/>
      <c r="Q836"/>
      <c r="R836" s="160"/>
      <c r="V836"/>
    </row>
    <row r="837" spans="1:22" ht="15" customHeight="1" x14ac:dyDescent="0.3">
      <c r="A837" s="21"/>
      <c r="B837" s="25"/>
      <c r="C837" s="29"/>
      <c r="D837" s="36"/>
      <c r="E837" s="41"/>
      <c r="F837" s="42"/>
      <c r="G837" s="9"/>
      <c r="H837" s="45"/>
      <c r="I837" s="9"/>
      <c r="J837" s="41"/>
      <c r="K837" s="43">
        <f>Table_246[[#This Row],[Valor da 
venda]]-Table_246[[#This Row],[Valor gasto]]</f>
        <v>0</v>
      </c>
      <c r="L837" s="86"/>
      <c r="P837" s="160"/>
      <c r="Q837"/>
      <c r="R837" s="160"/>
      <c r="V837"/>
    </row>
    <row r="838" spans="1:22" ht="15" customHeight="1" x14ac:dyDescent="0.3">
      <c r="A838" s="21"/>
      <c r="B838" s="25"/>
      <c r="C838" s="29"/>
      <c r="D838" s="36"/>
      <c r="E838" s="41"/>
      <c r="F838" s="42"/>
      <c r="G838" s="9"/>
      <c r="H838" s="45"/>
      <c r="I838" s="9"/>
      <c r="J838" s="41"/>
      <c r="K838" s="43">
        <f>Table_246[[#This Row],[Valor da 
venda]]-Table_246[[#This Row],[Valor gasto]]</f>
        <v>0</v>
      </c>
      <c r="L838" s="86"/>
      <c r="P838" s="160"/>
      <c r="Q838"/>
      <c r="R838" s="160"/>
      <c r="V838"/>
    </row>
    <row r="839" spans="1:22" ht="15" customHeight="1" x14ac:dyDescent="0.3">
      <c r="A839" s="21"/>
      <c r="B839" s="25"/>
      <c r="C839" s="29"/>
      <c r="D839" s="36"/>
      <c r="E839" s="41"/>
      <c r="F839" s="42"/>
      <c r="G839" s="9"/>
      <c r="H839" s="45"/>
      <c r="I839" s="9"/>
      <c r="J839" s="41"/>
      <c r="K839" s="43">
        <f>Table_246[[#This Row],[Valor da 
venda]]-Table_246[[#This Row],[Valor gasto]]</f>
        <v>0</v>
      </c>
      <c r="L839" s="86"/>
      <c r="P839" s="160"/>
      <c r="Q839"/>
      <c r="R839" s="160"/>
      <c r="V839"/>
    </row>
    <row r="840" spans="1:22" ht="15" customHeight="1" x14ac:dyDescent="0.3">
      <c r="A840" s="21"/>
      <c r="B840" s="25"/>
      <c r="C840" s="29"/>
      <c r="D840" s="36"/>
      <c r="E840" s="41"/>
      <c r="F840" s="42"/>
      <c r="G840" s="9"/>
      <c r="H840" s="45"/>
      <c r="I840" s="9"/>
      <c r="J840" s="41"/>
      <c r="K840" s="43">
        <f>Table_246[[#This Row],[Valor da 
venda]]-Table_246[[#This Row],[Valor gasto]]</f>
        <v>0</v>
      </c>
      <c r="L840" s="86"/>
      <c r="P840" s="160"/>
      <c r="Q840"/>
      <c r="R840" s="160"/>
      <c r="V840"/>
    </row>
    <row r="841" spans="1:22" ht="15" customHeight="1" x14ac:dyDescent="0.3">
      <c r="A841" s="21"/>
      <c r="B841" s="25"/>
      <c r="C841" s="29"/>
      <c r="D841" s="36"/>
      <c r="E841" s="41"/>
      <c r="F841" s="42"/>
      <c r="G841" s="9"/>
      <c r="H841" s="45"/>
      <c r="I841" s="9"/>
      <c r="J841" s="41"/>
      <c r="K841" s="43">
        <f>Table_246[[#This Row],[Valor da 
venda]]-Table_246[[#This Row],[Valor gasto]]</f>
        <v>0</v>
      </c>
      <c r="L841" s="86"/>
      <c r="P841" s="160"/>
      <c r="Q841"/>
      <c r="R841" s="160"/>
      <c r="V841"/>
    </row>
    <row r="842" spans="1:22" ht="15" customHeight="1" x14ac:dyDescent="0.3">
      <c r="A842" s="21"/>
      <c r="B842" s="25"/>
      <c r="C842" s="29"/>
      <c r="D842" s="36"/>
      <c r="E842" s="41"/>
      <c r="F842" s="42"/>
      <c r="G842" s="9"/>
      <c r="H842" s="45"/>
      <c r="I842" s="9"/>
      <c r="J842" s="41"/>
      <c r="K842" s="43">
        <f>Table_246[[#This Row],[Valor da 
venda]]-Table_246[[#This Row],[Valor gasto]]</f>
        <v>0</v>
      </c>
      <c r="L842" s="86"/>
      <c r="P842" s="160"/>
      <c r="Q842"/>
      <c r="R842" s="160"/>
      <c r="V842"/>
    </row>
    <row r="843" spans="1:22" ht="15" customHeight="1" x14ac:dyDescent="0.3">
      <c r="A843" s="21"/>
      <c r="B843" s="25"/>
      <c r="C843" s="29"/>
      <c r="D843" s="36"/>
      <c r="E843" s="41"/>
      <c r="F843" s="42"/>
      <c r="G843" s="9"/>
      <c r="H843" s="45"/>
      <c r="I843" s="9"/>
      <c r="J843" s="41"/>
      <c r="K843" s="43">
        <f>Table_246[[#This Row],[Valor da 
venda]]-Table_246[[#This Row],[Valor gasto]]</f>
        <v>0</v>
      </c>
      <c r="L843" s="86"/>
      <c r="P843" s="160"/>
      <c r="Q843"/>
      <c r="R843" s="160"/>
      <c r="V843"/>
    </row>
    <row r="844" spans="1:22" ht="15" customHeight="1" x14ac:dyDescent="0.3">
      <c r="A844" s="21"/>
      <c r="B844" s="25"/>
      <c r="C844" s="29"/>
      <c r="D844" s="36"/>
      <c r="E844" s="41"/>
      <c r="F844" s="42"/>
      <c r="G844" s="9"/>
      <c r="H844" s="45"/>
      <c r="I844" s="9"/>
      <c r="J844" s="41"/>
      <c r="K844" s="43">
        <f>Table_246[[#This Row],[Valor da 
venda]]-Table_246[[#This Row],[Valor gasto]]</f>
        <v>0</v>
      </c>
      <c r="L844" s="86"/>
      <c r="P844" s="160"/>
      <c r="Q844"/>
      <c r="R844" s="160"/>
      <c r="V844"/>
    </row>
    <row r="845" spans="1:22" ht="15" customHeight="1" x14ac:dyDescent="0.3">
      <c r="A845" s="21"/>
      <c r="B845" s="25"/>
      <c r="C845" s="29"/>
      <c r="D845" s="36"/>
      <c r="E845" s="41"/>
      <c r="F845" s="42"/>
      <c r="G845" s="9"/>
      <c r="H845" s="45"/>
      <c r="I845" s="9"/>
      <c r="J845" s="41"/>
      <c r="K845" s="43">
        <f>Table_246[[#This Row],[Valor da 
venda]]-Table_246[[#This Row],[Valor gasto]]</f>
        <v>0</v>
      </c>
      <c r="L845" s="86"/>
      <c r="P845" s="160"/>
      <c r="Q845"/>
      <c r="R845" s="160"/>
      <c r="V845"/>
    </row>
    <row r="846" spans="1:22" ht="15" customHeight="1" x14ac:dyDescent="0.3">
      <c r="A846" s="21"/>
      <c r="B846" s="25"/>
      <c r="C846" s="29"/>
      <c r="D846" s="36"/>
      <c r="E846" s="41"/>
      <c r="F846" s="42"/>
      <c r="G846" s="9"/>
      <c r="H846" s="45"/>
      <c r="I846" s="9"/>
      <c r="J846" s="41"/>
      <c r="K846" s="43">
        <f>Table_246[[#This Row],[Valor da 
venda]]-Table_246[[#This Row],[Valor gasto]]</f>
        <v>0</v>
      </c>
      <c r="L846" s="86"/>
      <c r="P846" s="160"/>
      <c r="Q846"/>
      <c r="R846" s="160"/>
      <c r="V846"/>
    </row>
    <row r="847" spans="1:22" ht="15" customHeight="1" x14ac:dyDescent="0.3">
      <c r="A847" s="21"/>
      <c r="B847" s="25"/>
      <c r="C847" s="29"/>
      <c r="D847" s="36"/>
      <c r="E847" s="41"/>
      <c r="F847" s="42"/>
      <c r="G847" s="9"/>
      <c r="H847" s="45"/>
      <c r="I847" s="9"/>
      <c r="J847" s="41"/>
      <c r="K847" s="43">
        <f>Table_246[[#This Row],[Valor da 
venda]]-Table_246[[#This Row],[Valor gasto]]</f>
        <v>0</v>
      </c>
      <c r="L847" s="86"/>
      <c r="P847" s="160"/>
      <c r="Q847"/>
      <c r="R847" s="160"/>
      <c r="V847"/>
    </row>
    <row r="848" spans="1:22" ht="15" customHeight="1" x14ac:dyDescent="0.3">
      <c r="A848" s="21"/>
      <c r="B848" s="25"/>
      <c r="C848" s="29"/>
      <c r="D848" s="36"/>
      <c r="E848" s="41"/>
      <c r="F848" s="42"/>
      <c r="G848" s="9"/>
      <c r="H848" s="45"/>
      <c r="I848" s="9"/>
      <c r="J848" s="41"/>
      <c r="K848" s="43">
        <f>Table_246[[#This Row],[Valor da 
venda]]-Table_246[[#This Row],[Valor gasto]]</f>
        <v>0</v>
      </c>
      <c r="L848" s="86"/>
      <c r="P848" s="160"/>
      <c r="Q848"/>
      <c r="R848" s="160"/>
      <c r="V848"/>
    </row>
    <row r="849" spans="1:22" ht="15" customHeight="1" x14ac:dyDescent="0.3">
      <c r="A849" s="21"/>
      <c r="B849" s="25"/>
      <c r="C849" s="29"/>
      <c r="D849" s="36"/>
      <c r="E849" s="41"/>
      <c r="F849" s="42"/>
      <c r="G849" s="9"/>
      <c r="H849" s="45"/>
      <c r="I849" s="9"/>
      <c r="J849" s="41"/>
      <c r="K849" s="43">
        <f>Table_246[[#This Row],[Valor da 
venda]]-Table_246[[#This Row],[Valor gasto]]</f>
        <v>0</v>
      </c>
      <c r="L849" s="86"/>
      <c r="P849" s="160"/>
      <c r="Q849"/>
      <c r="R849" s="160"/>
      <c r="V849"/>
    </row>
    <row r="850" spans="1:22" ht="15" customHeight="1" x14ac:dyDescent="0.3">
      <c r="A850" s="21"/>
      <c r="B850" s="25"/>
      <c r="C850" s="29"/>
      <c r="D850" s="36"/>
      <c r="E850" s="41"/>
      <c r="F850" s="42"/>
      <c r="G850" s="9"/>
      <c r="H850" s="45"/>
      <c r="I850" s="9"/>
      <c r="J850" s="41"/>
      <c r="K850" s="43">
        <f>Table_246[[#This Row],[Valor da 
venda]]-Table_246[[#This Row],[Valor gasto]]</f>
        <v>0</v>
      </c>
      <c r="L850" s="86"/>
      <c r="P850" s="160"/>
      <c r="Q850"/>
      <c r="R850" s="160"/>
      <c r="V850"/>
    </row>
    <row r="851" spans="1:22" ht="15" customHeight="1" x14ac:dyDescent="0.3">
      <c r="A851" s="21"/>
      <c r="B851" s="25"/>
      <c r="C851" s="29"/>
      <c r="D851" s="36"/>
      <c r="E851" s="41"/>
      <c r="F851" s="42"/>
      <c r="G851" s="9"/>
      <c r="H851" s="45"/>
      <c r="I851" s="9"/>
      <c r="J851" s="41"/>
      <c r="K851" s="43">
        <f>Table_246[[#This Row],[Valor da 
venda]]-Table_246[[#This Row],[Valor gasto]]</f>
        <v>0</v>
      </c>
      <c r="L851" s="86"/>
      <c r="P851" s="160"/>
      <c r="Q851"/>
      <c r="R851" s="160"/>
      <c r="V851"/>
    </row>
    <row r="852" spans="1:22" ht="15" customHeight="1" x14ac:dyDescent="0.3">
      <c r="A852" s="21"/>
      <c r="B852" s="25"/>
      <c r="C852" s="29"/>
      <c r="D852" s="36"/>
      <c r="E852" s="41"/>
      <c r="F852" s="42"/>
      <c r="G852" s="9"/>
      <c r="H852" s="45"/>
      <c r="I852" s="9"/>
      <c r="J852" s="41"/>
      <c r="K852" s="43">
        <f>Table_246[[#This Row],[Valor da 
venda]]-Table_246[[#This Row],[Valor gasto]]</f>
        <v>0</v>
      </c>
      <c r="L852" s="86"/>
      <c r="P852" s="160"/>
      <c r="Q852"/>
      <c r="R852" s="160"/>
      <c r="V852"/>
    </row>
    <row r="853" spans="1:22" ht="15" customHeight="1" x14ac:dyDescent="0.3">
      <c r="A853" s="21"/>
      <c r="B853" s="25"/>
      <c r="C853" s="29"/>
      <c r="D853" s="36"/>
      <c r="E853" s="41"/>
      <c r="F853" s="42"/>
      <c r="G853" s="9"/>
      <c r="H853" s="45"/>
      <c r="I853" s="9"/>
      <c r="J853" s="41"/>
      <c r="K853" s="43">
        <f>Table_246[[#This Row],[Valor da 
venda]]-Table_246[[#This Row],[Valor gasto]]</f>
        <v>0</v>
      </c>
      <c r="L853" s="86"/>
      <c r="P853" s="160"/>
      <c r="Q853"/>
      <c r="R853" s="160"/>
      <c r="V853"/>
    </row>
    <row r="854" spans="1:22" ht="15" customHeight="1" x14ac:dyDescent="0.3">
      <c r="A854" s="21"/>
      <c r="B854" s="25"/>
      <c r="C854" s="29"/>
      <c r="D854" s="36"/>
      <c r="E854" s="41"/>
      <c r="F854" s="42"/>
      <c r="G854" s="9"/>
      <c r="H854" s="45"/>
      <c r="I854" s="9"/>
      <c r="J854" s="41"/>
      <c r="K854" s="43">
        <f>Table_246[[#This Row],[Valor da 
venda]]-Table_246[[#This Row],[Valor gasto]]</f>
        <v>0</v>
      </c>
      <c r="L854" s="86"/>
      <c r="P854" s="160"/>
      <c r="Q854"/>
      <c r="R854" s="160"/>
      <c r="V854"/>
    </row>
    <row r="855" spans="1:22" ht="15" customHeight="1" x14ac:dyDescent="0.3">
      <c r="A855" s="21"/>
      <c r="B855" s="25"/>
      <c r="C855" s="29"/>
      <c r="D855" s="36"/>
      <c r="E855" s="41"/>
      <c r="F855" s="42"/>
      <c r="G855" s="9"/>
      <c r="H855" s="45"/>
      <c r="I855" s="9"/>
      <c r="J855" s="41"/>
      <c r="K855" s="43">
        <f>Table_246[[#This Row],[Valor da 
venda]]-Table_246[[#This Row],[Valor gasto]]</f>
        <v>0</v>
      </c>
      <c r="L855" s="86"/>
      <c r="P855" s="160"/>
      <c r="Q855"/>
      <c r="R855" s="160"/>
      <c r="V855"/>
    </row>
    <row r="856" spans="1:22" ht="15" customHeight="1" x14ac:dyDescent="0.3">
      <c r="A856" s="21"/>
      <c r="B856" s="25"/>
      <c r="C856" s="29"/>
      <c r="D856" s="36"/>
      <c r="E856" s="41"/>
      <c r="F856" s="42"/>
      <c r="G856" s="9"/>
      <c r="H856" s="45"/>
      <c r="I856" s="9"/>
      <c r="J856" s="41"/>
      <c r="K856" s="43">
        <f>Table_246[[#This Row],[Valor da 
venda]]-Table_246[[#This Row],[Valor gasto]]</f>
        <v>0</v>
      </c>
      <c r="L856" s="86"/>
      <c r="P856" s="160"/>
      <c r="Q856"/>
      <c r="R856" s="160"/>
      <c r="V856"/>
    </row>
    <row r="857" spans="1:22" ht="15" customHeight="1" x14ac:dyDescent="0.3">
      <c r="A857" s="21"/>
      <c r="B857" s="25"/>
      <c r="C857" s="29"/>
      <c r="D857" s="36"/>
      <c r="E857" s="41"/>
      <c r="F857" s="42"/>
      <c r="G857" s="9"/>
      <c r="H857" s="45"/>
      <c r="I857" s="9"/>
      <c r="J857" s="41"/>
      <c r="K857" s="43">
        <f>Table_246[[#This Row],[Valor da 
venda]]-Table_246[[#This Row],[Valor gasto]]</f>
        <v>0</v>
      </c>
      <c r="L857" s="86"/>
      <c r="P857" s="160"/>
      <c r="Q857"/>
      <c r="R857" s="160"/>
      <c r="V857"/>
    </row>
    <row r="858" spans="1:22" ht="15" customHeight="1" x14ac:dyDescent="0.3">
      <c r="A858" s="21"/>
      <c r="B858" s="25"/>
      <c r="C858" s="29"/>
      <c r="D858" s="36"/>
      <c r="E858" s="41"/>
      <c r="F858" s="42"/>
      <c r="G858" s="9"/>
      <c r="H858" s="45"/>
      <c r="I858" s="9"/>
      <c r="J858" s="41"/>
      <c r="K858" s="43">
        <f>Table_246[[#This Row],[Valor da 
venda]]-Table_246[[#This Row],[Valor gasto]]</f>
        <v>0</v>
      </c>
      <c r="L858" s="86"/>
      <c r="P858" s="160"/>
      <c r="Q858"/>
      <c r="R858" s="160"/>
      <c r="V858"/>
    </row>
    <row r="859" spans="1:22" ht="15" customHeight="1" x14ac:dyDescent="0.3">
      <c r="A859" s="21"/>
      <c r="B859" s="25"/>
      <c r="C859" s="29"/>
      <c r="D859" s="36"/>
      <c r="E859" s="41"/>
      <c r="F859" s="42"/>
      <c r="G859" s="9"/>
      <c r="H859" s="45"/>
      <c r="I859" s="9"/>
      <c r="J859" s="41"/>
      <c r="K859" s="43">
        <f>Table_246[[#This Row],[Valor da 
venda]]-Table_246[[#This Row],[Valor gasto]]</f>
        <v>0</v>
      </c>
      <c r="L859" s="86"/>
      <c r="P859" s="160"/>
      <c r="Q859"/>
      <c r="R859" s="160"/>
      <c r="V859"/>
    </row>
    <row r="860" spans="1:22" ht="15" customHeight="1" x14ac:dyDescent="0.3">
      <c r="A860" s="21"/>
      <c r="B860" s="25"/>
      <c r="C860" s="29"/>
      <c r="D860" s="36"/>
      <c r="E860" s="41"/>
      <c r="F860" s="42"/>
      <c r="G860" s="9"/>
      <c r="H860" s="45"/>
      <c r="I860" s="9"/>
      <c r="J860" s="41"/>
      <c r="K860" s="43">
        <f>Table_246[[#This Row],[Valor da 
venda]]-Table_246[[#This Row],[Valor gasto]]</f>
        <v>0</v>
      </c>
      <c r="L860" s="86"/>
      <c r="P860" s="160"/>
      <c r="Q860"/>
      <c r="R860" s="160"/>
      <c r="V860"/>
    </row>
    <row r="861" spans="1:22" ht="15" customHeight="1" x14ac:dyDescent="0.3">
      <c r="A861" s="21"/>
      <c r="B861" s="25"/>
      <c r="C861" s="29"/>
      <c r="D861" s="36"/>
      <c r="E861" s="41"/>
      <c r="F861" s="42"/>
      <c r="G861" s="9"/>
      <c r="H861" s="45"/>
      <c r="I861" s="9"/>
      <c r="J861" s="41"/>
      <c r="K861" s="43">
        <f>Table_246[[#This Row],[Valor da 
venda]]-Table_246[[#This Row],[Valor gasto]]</f>
        <v>0</v>
      </c>
      <c r="L861" s="86"/>
      <c r="P861" s="160"/>
      <c r="Q861"/>
      <c r="R861" s="160"/>
      <c r="V861"/>
    </row>
    <row r="862" spans="1:22" ht="15" customHeight="1" x14ac:dyDescent="0.3">
      <c r="A862" s="21"/>
      <c r="B862" s="25"/>
      <c r="C862" s="29"/>
      <c r="D862" s="36"/>
      <c r="E862" s="41"/>
      <c r="F862" s="42"/>
      <c r="G862" s="9"/>
      <c r="H862" s="45"/>
      <c r="I862" s="9"/>
      <c r="J862" s="41"/>
      <c r="K862" s="43">
        <f>Table_246[[#This Row],[Valor da 
venda]]-Table_246[[#This Row],[Valor gasto]]</f>
        <v>0</v>
      </c>
      <c r="L862" s="86"/>
      <c r="P862" s="160"/>
      <c r="Q862"/>
      <c r="R862" s="160"/>
      <c r="V862"/>
    </row>
    <row r="863" spans="1:22" ht="15" customHeight="1" x14ac:dyDescent="0.3">
      <c r="A863" s="21"/>
      <c r="B863" s="25"/>
      <c r="C863" s="29"/>
      <c r="D863" s="36"/>
      <c r="E863" s="41"/>
      <c r="F863" s="42"/>
      <c r="G863" s="9"/>
      <c r="H863" s="45"/>
      <c r="I863" s="9"/>
      <c r="J863" s="41"/>
      <c r="K863" s="43">
        <f>Table_246[[#This Row],[Valor da 
venda]]-Table_246[[#This Row],[Valor gasto]]</f>
        <v>0</v>
      </c>
      <c r="L863" s="86"/>
      <c r="P863" s="160"/>
      <c r="Q863"/>
      <c r="R863" s="160"/>
      <c r="V863"/>
    </row>
    <row r="864" spans="1:22" ht="15" customHeight="1" x14ac:dyDescent="0.3">
      <c r="A864" s="21"/>
      <c r="B864" s="25"/>
      <c r="C864" s="29"/>
      <c r="D864" s="36"/>
      <c r="E864" s="41"/>
      <c r="F864" s="42"/>
      <c r="G864" s="9"/>
      <c r="H864" s="45"/>
      <c r="I864" s="9"/>
      <c r="J864" s="41"/>
      <c r="K864" s="43">
        <f>Table_246[[#This Row],[Valor da 
venda]]-Table_246[[#This Row],[Valor gasto]]</f>
        <v>0</v>
      </c>
      <c r="L864" s="86"/>
      <c r="P864" s="160"/>
      <c r="Q864"/>
      <c r="R864" s="160"/>
      <c r="V864"/>
    </row>
    <row r="865" spans="1:22" ht="15" customHeight="1" x14ac:dyDescent="0.3">
      <c r="A865" s="21"/>
      <c r="B865" s="25"/>
      <c r="C865" s="29"/>
      <c r="D865" s="36"/>
      <c r="E865" s="41"/>
      <c r="F865" s="42"/>
      <c r="G865" s="9"/>
      <c r="H865" s="45"/>
      <c r="I865" s="9"/>
      <c r="J865" s="41"/>
      <c r="K865" s="43">
        <f>Table_246[[#This Row],[Valor da 
venda]]-Table_246[[#This Row],[Valor gasto]]</f>
        <v>0</v>
      </c>
      <c r="L865" s="86"/>
      <c r="P865" s="160"/>
      <c r="Q865"/>
      <c r="R865" s="160"/>
      <c r="V865"/>
    </row>
    <row r="866" spans="1:22" ht="15" customHeight="1" x14ac:dyDescent="0.3">
      <c r="A866" s="21"/>
      <c r="B866" s="25"/>
      <c r="C866" s="29"/>
      <c r="D866" s="36"/>
      <c r="E866" s="41"/>
      <c r="F866" s="42"/>
      <c r="G866" s="9"/>
      <c r="H866" s="45"/>
      <c r="I866" s="9"/>
      <c r="J866" s="41"/>
      <c r="K866" s="43">
        <f>Table_246[[#This Row],[Valor da 
venda]]-Table_246[[#This Row],[Valor gasto]]</f>
        <v>0</v>
      </c>
      <c r="L866" s="86"/>
      <c r="P866" s="160"/>
      <c r="Q866"/>
      <c r="R866" s="160"/>
      <c r="V866"/>
    </row>
    <row r="867" spans="1:22" ht="15" customHeight="1" x14ac:dyDescent="0.3">
      <c r="A867" s="21"/>
      <c r="B867" s="25"/>
      <c r="C867" s="29"/>
      <c r="D867" s="36"/>
      <c r="E867" s="41"/>
      <c r="F867" s="42"/>
      <c r="G867" s="9"/>
      <c r="H867" s="45"/>
      <c r="I867" s="9"/>
      <c r="J867" s="41"/>
      <c r="K867" s="43">
        <f>Table_246[[#This Row],[Valor da 
venda]]-Table_246[[#This Row],[Valor gasto]]</f>
        <v>0</v>
      </c>
      <c r="L867" s="86"/>
      <c r="P867" s="160"/>
      <c r="Q867"/>
      <c r="R867" s="160"/>
      <c r="V867"/>
    </row>
    <row r="868" spans="1:22" ht="15" customHeight="1" x14ac:dyDescent="0.3">
      <c r="A868" s="21"/>
      <c r="B868" s="25"/>
      <c r="C868" s="29"/>
      <c r="D868" s="36"/>
      <c r="E868" s="41"/>
      <c r="F868" s="42"/>
      <c r="G868" s="9"/>
      <c r="H868" s="45"/>
      <c r="I868" s="9"/>
      <c r="J868" s="41"/>
      <c r="K868" s="43">
        <f>Table_246[[#This Row],[Valor da 
venda]]-Table_246[[#This Row],[Valor gasto]]</f>
        <v>0</v>
      </c>
      <c r="L868" s="86"/>
      <c r="P868" s="160"/>
      <c r="Q868"/>
      <c r="R868" s="160"/>
      <c r="V868"/>
    </row>
    <row r="869" spans="1:22" ht="15" customHeight="1" x14ac:dyDescent="0.3">
      <c r="A869" s="21"/>
      <c r="B869" s="25"/>
      <c r="C869" s="29"/>
      <c r="D869" s="36"/>
      <c r="E869" s="41"/>
      <c r="F869" s="42"/>
      <c r="G869" s="9"/>
      <c r="H869" s="45"/>
      <c r="I869" s="9"/>
      <c r="J869" s="41"/>
      <c r="K869" s="43">
        <f>Table_246[[#This Row],[Valor da 
venda]]-Table_246[[#This Row],[Valor gasto]]</f>
        <v>0</v>
      </c>
      <c r="L869" s="86"/>
      <c r="P869" s="160"/>
      <c r="Q869"/>
      <c r="R869" s="160"/>
      <c r="V869"/>
    </row>
    <row r="870" spans="1:22" ht="15" customHeight="1" x14ac:dyDescent="0.3">
      <c r="A870" s="21"/>
      <c r="B870" s="25"/>
      <c r="C870" s="29"/>
      <c r="D870" s="36"/>
      <c r="E870" s="41"/>
      <c r="F870" s="42"/>
      <c r="G870" s="9"/>
      <c r="H870" s="45"/>
      <c r="I870" s="9"/>
      <c r="J870" s="41"/>
      <c r="K870" s="43">
        <f>Table_246[[#This Row],[Valor da 
venda]]-Table_246[[#This Row],[Valor gasto]]</f>
        <v>0</v>
      </c>
      <c r="L870" s="86"/>
      <c r="P870" s="160"/>
      <c r="Q870"/>
      <c r="R870" s="160"/>
      <c r="V870"/>
    </row>
    <row r="871" spans="1:22" ht="15" customHeight="1" x14ac:dyDescent="0.3">
      <c r="A871" s="21"/>
      <c r="B871" s="25"/>
      <c r="C871" s="29"/>
      <c r="D871" s="36"/>
      <c r="E871" s="41"/>
      <c r="F871" s="42"/>
      <c r="G871" s="9"/>
      <c r="H871" s="45"/>
      <c r="I871" s="9"/>
      <c r="J871" s="41"/>
      <c r="K871" s="43">
        <f>Table_246[[#This Row],[Valor da 
venda]]-Table_246[[#This Row],[Valor gasto]]</f>
        <v>0</v>
      </c>
      <c r="L871" s="86"/>
      <c r="P871" s="160"/>
      <c r="Q871"/>
      <c r="R871" s="160"/>
      <c r="V871"/>
    </row>
    <row r="872" spans="1:22" ht="15" customHeight="1" x14ac:dyDescent="0.3">
      <c r="A872" s="21"/>
      <c r="B872" s="25"/>
      <c r="C872" s="29"/>
      <c r="D872" s="36"/>
      <c r="E872" s="41"/>
      <c r="F872" s="42"/>
      <c r="G872" s="9"/>
      <c r="H872" s="45"/>
      <c r="I872" s="9"/>
      <c r="J872" s="41"/>
      <c r="K872" s="43">
        <f>Table_246[[#This Row],[Valor da 
venda]]-Table_246[[#This Row],[Valor gasto]]</f>
        <v>0</v>
      </c>
      <c r="L872" s="86"/>
      <c r="P872" s="160"/>
      <c r="Q872"/>
      <c r="R872" s="160"/>
      <c r="V872"/>
    </row>
    <row r="873" spans="1:22" ht="15" customHeight="1" x14ac:dyDescent="0.3">
      <c r="A873" s="21"/>
      <c r="B873" s="25"/>
      <c r="C873" s="29"/>
      <c r="D873" s="36"/>
      <c r="E873" s="41"/>
      <c r="F873" s="42"/>
      <c r="G873" s="9"/>
      <c r="H873" s="45"/>
      <c r="I873" s="9"/>
      <c r="J873" s="41"/>
      <c r="K873" s="43">
        <f>Table_246[[#This Row],[Valor da 
venda]]-Table_246[[#This Row],[Valor gasto]]</f>
        <v>0</v>
      </c>
      <c r="L873" s="86"/>
      <c r="P873" s="160"/>
      <c r="Q873"/>
      <c r="R873" s="160"/>
      <c r="V873"/>
    </row>
    <row r="874" spans="1:22" ht="15" customHeight="1" x14ac:dyDescent="0.3">
      <c r="A874" s="21"/>
      <c r="B874" s="25"/>
      <c r="C874" s="29"/>
      <c r="D874" s="36"/>
      <c r="E874" s="41"/>
      <c r="F874" s="42"/>
      <c r="G874" s="9"/>
      <c r="H874" s="45"/>
      <c r="I874" s="9"/>
      <c r="J874" s="41"/>
      <c r="K874" s="43">
        <f>Table_246[[#This Row],[Valor da 
venda]]-Table_246[[#This Row],[Valor gasto]]</f>
        <v>0</v>
      </c>
      <c r="L874" s="86"/>
      <c r="P874" s="160"/>
      <c r="Q874"/>
      <c r="R874" s="160"/>
      <c r="V874"/>
    </row>
    <row r="875" spans="1:22" ht="15" customHeight="1" x14ac:dyDescent="0.3">
      <c r="A875" s="21"/>
      <c r="B875" s="25"/>
      <c r="C875" s="29"/>
      <c r="D875" s="36"/>
      <c r="E875" s="41"/>
      <c r="F875" s="42"/>
      <c r="G875" s="9"/>
      <c r="H875" s="45"/>
      <c r="I875" s="9"/>
      <c r="J875" s="41"/>
      <c r="K875" s="43">
        <f>Table_246[[#This Row],[Valor da 
venda]]-Table_246[[#This Row],[Valor gasto]]</f>
        <v>0</v>
      </c>
      <c r="L875" s="86"/>
      <c r="P875" s="160"/>
      <c r="Q875"/>
      <c r="R875" s="160"/>
      <c r="V875"/>
    </row>
    <row r="876" spans="1:22" ht="15" customHeight="1" x14ac:dyDescent="0.3">
      <c r="A876" s="21"/>
      <c r="B876" s="25"/>
      <c r="C876" s="29"/>
      <c r="D876" s="36"/>
      <c r="E876" s="41"/>
      <c r="F876" s="42"/>
      <c r="G876" s="9"/>
      <c r="H876" s="45"/>
      <c r="I876" s="9"/>
      <c r="J876" s="41"/>
      <c r="K876" s="43">
        <f>Table_246[[#This Row],[Valor da 
venda]]-Table_246[[#This Row],[Valor gasto]]</f>
        <v>0</v>
      </c>
      <c r="L876" s="86"/>
      <c r="P876" s="160"/>
      <c r="Q876"/>
      <c r="R876" s="160"/>
      <c r="V876"/>
    </row>
    <row r="877" spans="1:22" ht="15" customHeight="1" x14ac:dyDescent="0.3">
      <c r="A877" s="21"/>
      <c r="B877" s="25"/>
      <c r="C877" s="29"/>
      <c r="D877" s="36"/>
      <c r="E877" s="41"/>
      <c r="F877" s="42"/>
      <c r="G877" s="9"/>
      <c r="H877" s="45"/>
      <c r="I877" s="9"/>
      <c r="J877" s="41"/>
      <c r="K877" s="43">
        <f>Table_246[[#This Row],[Valor da 
venda]]-Table_246[[#This Row],[Valor gasto]]</f>
        <v>0</v>
      </c>
      <c r="L877" s="86"/>
      <c r="P877" s="160"/>
      <c r="Q877"/>
      <c r="R877" s="160"/>
      <c r="V877"/>
    </row>
    <row r="878" spans="1:22" ht="15" customHeight="1" x14ac:dyDescent="0.3">
      <c r="A878" s="21"/>
      <c r="B878" s="25"/>
      <c r="C878" s="29"/>
      <c r="D878" s="36"/>
      <c r="E878" s="41"/>
      <c r="F878" s="42"/>
      <c r="G878" s="9"/>
      <c r="H878" s="45"/>
      <c r="I878" s="9"/>
      <c r="J878" s="41"/>
      <c r="K878" s="43">
        <f>Table_246[[#This Row],[Valor da 
venda]]-Table_246[[#This Row],[Valor gasto]]</f>
        <v>0</v>
      </c>
      <c r="L878" s="86"/>
      <c r="P878" s="160"/>
      <c r="Q878"/>
      <c r="R878" s="160"/>
      <c r="V878"/>
    </row>
    <row r="879" spans="1:22" ht="15" customHeight="1" x14ac:dyDescent="0.3">
      <c r="A879" s="21"/>
      <c r="B879" s="25"/>
      <c r="C879" s="29"/>
      <c r="D879" s="36"/>
      <c r="E879" s="41"/>
      <c r="F879" s="42"/>
      <c r="G879" s="9"/>
      <c r="H879" s="45"/>
      <c r="I879" s="9"/>
      <c r="J879" s="41"/>
      <c r="K879" s="43">
        <f>Table_246[[#This Row],[Valor da 
venda]]-Table_246[[#This Row],[Valor gasto]]</f>
        <v>0</v>
      </c>
      <c r="L879" s="86"/>
      <c r="P879" s="160"/>
      <c r="Q879"/>
      <c r="R879" s="160"/>
      <c r="V879"/>
    </row>
    <row r="880" spans="1:22" ht="15" customHeight="1" x14ac:dyDescent="0.3">
      <c r="A880" s="21"/>
      <c r="B880" s="25"/>
      <c r="C880" s="29"/>
      <c r="D880" s="36"/>
      <c r="E880" s="41"/>
      <c r="F880" s="42"/>
      <c r="G880" s="9"/>
      <c r="H880" s="45"/>
      <c r="I880" s="9"/>
      <c r="J880" s="41"/>
      <c r="K880" s="43">
        <f>Table_246[[#This Row],[Valor da 
venda]]-Table_246[[#This Row],[Valor gasto]]</f>
        <v>0</v>
      </c>
      <c r="L880" s="86"/>
      <c r="P880" s="160"/>
      <c r="Q880"/>
      <c r="R880" s="160"/>
      <c r="V880"/>
    </row>
    <row r="881" spans="1:22" ht="15" customHeight="1" x14ac:dyDescent="0.3">
      <c r="A881" s="21"/>
      <c r="B881" s="25"/>
      <c r="C881" s="29"/>
      <c r="D881" s="36"/>
      <c r="E881" s="41"/>
      <c r="F881" s="42"/>
      <c r="G881" s="9"/>
      <c r="H881" s="45"/>
      <c r="I881" s="9"/>
      <c r="J881" s="41"/>
      <c r="K881" s="43">
        <f>Table_246[[#This Row],[Valor da 
venda]]-Table_246[[#This Row],[Valor gasto]]</f>
        <v>0</v>
      </c>
      <c r="L881" s="86"/>
      <c r="P881" s="160"/>
      <c r="Q881"/>
      <c r="R881" s="160"/>
      <c r="V881"/>
    </row>
    <row r="882" spans="1:22" ht="15" customHeight="1" x14ac:dyDescent="0.3">
      <c r="A882" s="21"/>
      <c r="B882" s="25"/>
      <c r="C882" s="29"/>
      <c r="D882" s="36"/>
      <c r="E882" s="41"/>
      <c r="F882" s="42"/>
      <c r="G882" s="9"/>
      <c r="H882" s="45"/>
      <c r="I882" s="9"/>
      <c r="J882" s="41"/>
      <c r="K882" s="43">
        <f>Table_246[[#This Row],[Valor da 
venda]]-Table_246[[#This Row],[Valor gasto]]</f>
        <v>0</v>
      </c>
      <c r="L882" s="86"/>
      <c r="P882" s="160"/>
      <c r="Q882"/>
      <c r="R882" s="160"/>
      <c r="V882"/>
    </row>
    <row r="883" spans="1:22" ht="15" customHeight="1" x14ac:dyDescent="0.3">
      <c r="A883" s="21"/>
      <c r="B883" s="25"/>
      <c r="C883" s="29"/>
      <c r="D883" s="36"/>
      <c r="E883" s="41"/>
      <c r="F883" s="42"/>
      <c r="G883" s="9"/>
      <c r="H883" s="45"/>
      <c r="I883" s="9"/>
      <c r="J883" s="41"/>
      <c r="K883" s="43">
        <f>Table_246[[#This Row],[Valor da 
venda]]-Table_246[[#This Row],[Valor gasto]]</f>
        <v>0</v>
      </c>
      <c r="L883" s="86"/>
      <c r="P883" s="160"/>
      <c r="Q883"/>
      <c r="R883" s="160"/>
      <c r="V883"/>
    </row>
    <row r="884" spans="1:22" ht="15" customHeight="1" x14ac:dyDescent="0.3">
      <c r="A884" s="21"/>
      <c r="B884" s="25"/>
      <c r="C884" s="29"/>
      <c r="D884" s="36"/>
      <c r="E884" s="41"/>
      <c r="F884" s="42"/>
      <c r="G884" s="9"/>
      <c r="H884" s="45"/>
      <c r="I884" s="9"/>
      <c r="J884" s="41"/>
      <c r="K884" s="43">
        <f>Table_246[[#This Row],[Valor da 
venda]]-Table_246[[#This Row],[Valor gasto]]</f>
        <v>0</v>
      </c>
      <c r="L884" s="86"/>
      <c r="P884" s="160"/>
      <c r="Q884"/>
      <c r="R884" s="160"/>
      <c r="V884"/>
    </row>
    <row r="885" spans="1:22" ht="15" customHeight="1" x14ac:dyDescent="0.3">
      <c r="A885" s="21"/>
      <c r="B885" s="25"/>
      <c r="C885" s="29"/>
      <c r="D885" s="36"/>
      <c r="E885" s="41"/>
      <c r="F885" s="42"/>
      <c r="G885" s="9"/>
      <c r="H885" s="45"/>
      <c r="I885" s="9"/>
      <c r="J885" s="41"/>
      <c r="K885" s="43">
        <f>Table_246[[#This Row],[Valor da 
venda]]-Table_246[[#This Row],[Valor gasto]]</f>
        <v>0</v>
      </c>
      <c r="L885" s="86"/>
      <c r="P885" s="160"/>
      <c r="Q885"/>
      <c r="R885" s="160"/>
      <c r="V885"/>
    </row>
    <row r="886" spans="1:22" ht="15" customHeight="1" x14ac:dyDescent="0.3">
      <c r="A886" s="21"/>
      <c r="B886" s="25"/>
      <c r="C886" s="29"/>
      <c r="D886" s="36"/>
      <c r="E886" s="41"/>
      <c r="F886" s="42"/>
      <c r="G886" s="9"/>
      <c r="H886" s="45"/>
      <c r="I886" s="9"/>
      <c r="J886" s="41"/>
      <c r="K886" s="43">
        <f>Table_246[[#This Row],[Valor da 
venda]]-Table_246[[#This Row],[Valor gasto]]</f>
        <v>0</v>
      </c>
      <c r="L886" s="86"/>
      <c r="P886" s="160"/>
      <c r="Q886"/>
      <c r="R886" s="160"/>
      <c r="V886"/>
    </row>
    <row r="887" spans="1:22" ht="15" customHeight="1" x14ac:dyDescent="0.3">
      <c r="A887" s="21"/>
      <c r="B887" s="25"/>
      <c r="C887" s="29"/>
      <c r="D887" s="36"/>
      <c r="E887" s="41"/>
      <c r="F887" s="42"/>
      <c r="G887" s="9"/>
      <c r="H887" s="45"/>
      <c r="I887" s="9"/>
      <c r="J887" s="41"/>
      <c r="K887" s="43">
        <f>Table_246[[#This Row],[Valor da 
venda]]-Table_246[[#This Row],[Valor gasto]]</f>
        <v>0</v>
      </c>
      <c r="L887" s="86"/>
      <c r="P887" s="160"/>
      <c r="Q887"/>
      <c r="R887" s="160"/>
      <c r="V887"/>
    </row>
    <row r="888" spans="1:22" ht="15" customHeight="1" x14ac:dyDescent="0.3">
      <c r="A888" s="21"/>
      <c r="B888" s="25"/>
      <c r="C888" s="29"/>
      <c r="D888" s="36"/>
      <c r="E888" s="41"/>
      <c r="F888" s="42"/>
      <c r="G888" s="9"/>
      <c r="H888" s="45"/>
      <c r="I888" s="9"/>
      <c r="J888" s="41"/>
      <c r="K888" s="43">
        <f>Table_246[[#This Row],[Valor da 
venda]]-Table_246[[#This Row],[Valor gasto]]</f>
        <v>0</v>
      </c>
      <c r="L888" s="86"/>
      <c r="P888" s="160"/>
      <c r="Q888"/>
      <c r="R888" s="160"/>
      <c r="V888"/>
    </row>
    <row r="889" spans="1:22" ht="15" customHeight="1" x14ac:dyDescent="0.3">
      <c r="A889" s="21"/>
      <c r="B889" s="25"/>
      <c r="C889" s="29"/>
      <c r="D889" s="36"/>
      <c r="E889" s="41"/>
      <c r="F889" s="42"/>
      <c r="G889" s="9"/>
      <c r="H889" s="45"/>
      <c r="I889" s="9"/>
      <c r="J889" s="41"/>
      <c r="K889" s="43">
        <f>Table_246[[#This Row],[Valor da 
venda]]-Table_246[[#This Row],[Valor gasto]]</f>
        <v>0</v>
      </c>
      <c r="L889" s="86"/>
      <c r="P889" s="160"/>
      <c r="Q889"/>
      <c r="R889" s="160"/>
      <c r="V889"/>
    </row>
    <row r="890" spans="1:22" ht="15" customHeight="1" x14ac:dyDescent="0.3">
      <c r="A890" s="21"/>
      <c r="B890" s="25"/>
      <c r="C890" s="29"/>
      <c r="D890" s="36"/>
      <c r="E890" s="41"/>
      <c r="F890" s="42"/>
      <c r="G890" s="9"/>
      <c r="H890" s="45"/>
      <c r="I890" s="9"/>
      <c r="J890" s="41"/>
      <c r="K890" s="43">
        <f>Table_246[[#This Row],[Valor da 
venda]]-Table_246[[#This Row],[Valor gasto]]</f>
        <v>0</v>
      </c>
      <c r="L890" s="86"/>
      <c r="P890" s="160"/>
      <c r="Q890"/>
      <c r="R890" s="160"/>
      <c r="V890"/>
    </row>
    <row r="891" spans="1:22" ht="15" customHeight="1" x14ac:dyDescent="0.3">
      <c r="A891" s="21"/>
      <c r="B891" s="25"/>
      <c r="C891" s="29"/>
      <c r="D891" s="36"/>
      <c r="E891" s="41"/>
      <c r="F891" s="42"/>
      <c r="G891" s="9"/>
      <c r="H891" s="45"/>
      <c r="I891" s="9"/>
      <c r="J891" s="41"/>
      <c r="K891" s="43">
        <f>Table_246[[#This Row],[Valor da 
venda]]-Table_246[[#This Row],[Valor gasto]]</f>
        <v>0</v>
      </c>
      <c r="L891" s="86"/>
      <c r="P891" s="160"/>
      <c r="Q891"/>
      <c r="R891" s="160"/>
      <c r="V891"/>
    </row>
    <row r="892" spans="1:22" ht="15" customHeight="1" x14ac:dyDescent="0.3">
      <c r="A892" s="21"/>
      <c r="B892" s="25"/>
      <c r="C892" s="29"/>
      <c r="D892" s="36"/>
      <c r="E892" s="41"/>
      <c r="F892" s="42"/>
      <c r="G892" s="9"/>
      <c r="H892" s="45"/>
      <c r="I892" s="9"/>
      <c r="J892" s="41"/>
      <c r="K892" s="43">
        <f>Table_246[[#This Row],[Valor da 
venda]]-Table_246[[#This Row],[Valor gasto]]</f>
        <v>0</v>
      </c>
      <c r="L892" s="86"/>
      <c r="P892" s="160"/>
      <c r="Q892"/>
      <c r="R892" s="160"/>
      <c r="V892"/>
    </row>
    <row r="893" spans="1:22" ht="15" customHeight="1" x14ac:dyDescent="0.3">
      <c r="A893" s="21"/>
      <c r="B893" s="25"/>
      <c r="C893" s="29"/>
      <c r="D893" s="36"/>
      <c r="E893" s="41"/>
      <c r="F893" s="42"/>
      <c r="G893" s="9"/>
      <c r="H893" s="45"/>
      <c r="I893" s="9"/>
      <c r="J893" s="41"/>
      <c r="K893" s="43">
        <f>Table_246[[#This Row],[Valor da 
venda]]-Table_246[[#This Row],[Valor gasto]]</f>
        <v>0</v>
      </c>
      <c r="L893" s="86"/>
      <c r="P893" s="160"/>
      <c r="Q893"/>
      <c r="R893" s="160"/>
      <c r="V893"/>
    </row>
    <row r="894" spans="1:22" ht="15" customHeight="1" x14ac:dyDescent="0.3">
      <c r="A894" s="21"/>
      <c r="B894" s="25"/>
      <c r="C894" s="29"/>
      <c r="D894" s="36"/>
      <c r="E894" s="41"/>
      <c r="F894" s="42"/>
      <c r="G894" s="9"/>
      <c r="H894" s="45"/>
      <c r="I894" s="9"/>
      <c r="J894" s="41"/>
      <c r="K894" s="43">
        <f>Table_246[[#This Row],[Valor da 
venda]]-Table_246[[#This Row],[Valor gasto]]</f>
        <v>0</v>
      </c>
      <c r="L894" s="86"/>
      <c r="P894" s="160"/>
      <c r="Q894"/>
      <c r="R894" s="160"/>
      <c r="V894"/>
    </row>
    <row r="895" spans="1:22" ht="15" customHeight="1" x14ac:dyDescent="0.3">
      <c r="A895" s="21"/>
      <c r="B895" s="25"/>
      <c r="C895" s="29"/>
      <c r="D895" s="36"/>
      <c r="E895" s="41"/>
      <c r="F895" s="42"/>
      <c r="G895" s="9"/>
      <c r="H895" s="45"/>
      <c r="I895" s="9"/>
      <c r="J895" s="41"/>
      <c r="K895" s="43">
        <f>Table_246[[#This Row],[Valor da 
venda]]-Table_246[[#This Row],[Valor gasto]]</f>
        <v>0</v>
      </c>
      <c r="L895" s="86"/>
      <c r="P895" s="160"/>
      <c r="Q895"/>
      <c r="R895" s="160"/>
      <c r="V895"/>
    </row>
    <row r="896" spans="1:22" ht="15" customHeight="1" x14ac:dyDescent="0.3">
      <c r="A896" s="21"/>
      <c r="B896" s="25"/>
      <c r="C896" s="29"/>
      <c r="D896" s="36"/>
      <c r="E896" s="41"/>
      <c r="F896" s="42"/>
      <c r="G896" s="9"/>
      <c r="H896" s="45"/>
      <c r="I896" s="9"/>
      <c r="J896" s="41"/>
      <c r="K896" s="43">
        <f>Table_246[[#This Row],[Valor da 
venda]]-Table_246[[#This Row],[Valor gasto]]</f>
        <v>0</v>
      </c>
      <c r="L896" s="86"/>
      <c r="P896" s="160"/>
      <c r="Q896"/>
      <c r="R896" s="160"/>
      <c r="V896"/>
    </row>
    <row r="897" spans="1:22" ht="15" customHeight="1" x14ac:dyDescent="0.3">
      <c r="A897" s="21"/>
      <c r="B897" s="25"/>
      <c r="C897" s="29"/>
      <c r="D897" s="36"/>
      <c r="E897" s="41"/>
      <c r="F897" s="42"/>
      <c r="G897" s="9"/>
      <c r="H897" s="45"/>
      <c r="I897" s="9"/>
      <c r="J897" s="41"/>
      <c r="K897" s="43">
        <f>Table_246[[#This Row],[Valor da 
venda]]-Table_246[[#This Row],[Valor gasto]]</f>
        <v>0</v>
      </c>
      <c r="L897" s="86"/>
      <c r="P897" s="160"/>
      <c r="Q897"/>
      <c r="R897" s="160"/>
      <c r="V897"/>
    </row>
    <row r="898" spans="1:22" ht="15" customHeight="1" x14ac:dyDescent="0.3">
      <c r="A898" s="21"/>
      <c r="B898" s="25"/>
      <c r="C898" s="29"/>
      <c r="D898" s="36"/>
      <c r="E898" s="41"/>
      <c r="F898" s="42"/>
      <c r="G898" s="9"/>
      <c r="H898" s="45"/>
      <c r="I898" s="9"/>
      <c r="J898" s="41"/>
      <c r="K898" s="43">
        <f>Table_246[[#This Row],[Valor da 
venda]]-Table_246[[#This Row],[Valor gasto]]</f>
        <v>0</v>
      </c>
      <c r="L898" s="86"/>
      <c r="P898" s="160"/>
      <c r="Q898"/>
      <c r="R898" s="160"/>
      <c r="V898"/>
    </row>
    <row r="899" spans="1:22" ht="15" customHeight="1" x14ac:dyDescent="0.3">
      <c r="A899" s="21"/>
      <c r="B899" s="25"/>
      <c r="C899" s="29"/>
      <c r="D899" s="36"/>
      <c r="E899" s="41"/>
      <c r="F899" s="42"/>
      <c r="G899" s="9"/>
      <c r="H899" s="45"/>
      <c r="I899" s="9"/>
      <c r="J899" s="41"/>
      <c r="K899" s="43">
        <f>Table_246[[#This Row],[Valor da 
venda]]-Table_246[[#This Row],[Valor gasto]]</f>
        <v>0</v>
      </c>
      <c r="L899" s="86"/>
      <c r="P899" s="160"/>
      <c r="Q899"/>
      <c r="R899" s="160"/>
      <c r="V899"/>
    </row>
    <row r="900" spans="1:22" ht="15" customHeight="1" x14ac:dyDescent="0.3">
      <c r="A900" s="21"/>
      <c r="B900" s="25"/>
      <c r="C900" s="29"/>
      <c r="D900" s="36"/>
      <c r="E900" s="41"/>
      <c r="F900" s="42"/>
      <c r="G900" s="9"/>
      <c r="H900" s="45"/>
      <c r="I900" s="9"/>
      <c r="J900" s="41"/>
      <c r="K900" s="43">
        <f>Table_246[[#This Row],[Valor da 
venda]]-Table_246[[#This Row],[Valor gasto]]</f>
        <v>0</v>
      </c>
      <c r="L900" s="45"/>
      <c r="P900" s="160"/>
      <c r="Q900"/>
      <c r="R900" s="160"/>
      <c r="V900"/>
    </row>
    <row r="901" spans="1:22" ht="15" customHeight="1" x14ac:dyDescent="0.3">
      <c r="A901" s="21"/>
      <c r="B901" s="25"/>
      <c r="C901" s="29"/>
      <c r="D901" s="36"/>
      <c r="E901" s="41"/>
      <c r="F901" s="42"/>
      <c r="G901" s="9"/>
      <c r="H901" s="45"/>
      <c r="I901" s="9"/>
      <c r="J901" s="41"/>
      <c r="K901" s="43">
        <f>Table_246[[#This Row],[Valor da 
venda]]-Table_246[[#This Row],[Valor gasto]]</f>
        <v>0</v>
      </c>
      <c r="L901" s="45"/>
      <c r="P901" s="160"/>
      <c r="Q901"/>
      <c r="R901" s="160"/>
      <c r="V901"/>
    </row>
    <row r="902" spans="1:22" ht="15" customHeight="1" x14ac:dyDescent="0.3">
      <c r="A902" s="21"/>
      <c r="B902" s="25"/>
      <c r="C902" s="29"/>
      <c r="D902" s="36"/>
      <c r="E902" s="41"/>
      <c r="F902" s="42"/>
      <c r="G902" s="9"/>
      <c r="H902" s="45"/>
      <c r="I902" s="9"/>
      <c r="J902" s="41"/>
      <c r="K902" s="43">
        <f>Table_246[[#This Row],[Valor da 
venda]]-Table_246[[#This Row],[Valor gasto]]</f>
        <v>0</v>
      </c>
      <c r="L902" s="45"/>
      <c r="P902" s="160"/>
      <c r="Q902"/>
      <c r="R902" s="160"/>
      <c r="V902"/>
    </row>
    <row r="903" spans="1:22" ht="15" customHeight="1" x14ac:dyDescent="0.3">
      <c r="A903" s="21"/>
      <c r="B903" s="25"/>
      <c r="C903" s="29"/>
      <c r="D903" s="36"/>
      <c r="E903" s="41"/>
      <c r="F903" s="42"/>
      <c r="G903" s="9"/>
      <c r="H903" s="45"/>
      <c r="I903" s="9"/>
      <c r="J903" s="41"/>
      <c r="K903" s="43">
        <f>Table_246[[#This Row],[Valor da 
venda]]-Table_246[[#This Row],[Valor gasto]]</f>
        <v>0</v>
      </c>
      <c r="L903" s="45"/>
      <c r="P903" s="160"/>
      <c r="Q903"/>
      <c r="R903" s="160"/>
      <c r="V903"/>
    </row>
    <row r="904" spans="1:22" ht="15" customHeight="1" x14ac:dyDescent="0.3">
      <c r="A904" s="21"/>
      <c r="B904" s="25"/>
      <c r="C904" s="29"/>
      <c r="D904" s="36"/>
      <c r="E904" s="41"/>
      <c r="F904" s="42"/>
      <c r="G904" s="9"/>
      <c r="H904" s="45"/>
      <c r="I904" s="9"/>
      <c r="J904" s="41"/>
      <c r="K904" s="43">
        <f>Table_246[[#This Row],[Valor da 
venda]]-Table_246[[#This Row],[Valor gasto]]</f>
        <v>0</v>
      </c>
      <c r="L904" s="45"/>
      <c r="P904" s="160"/>
      <c r="Q904"/>
      <c r="R904" s="160"/>
      <c r="V904"/>
    </row>
    <row r="905" spans="1:22" ht="15" customHeight="1" x14ac:dyDescent="0.3">
      <c r="A905" s="21"/>
      <c r="B905" s="25"/>
      <c r="C905" s="29"/>
      <c r="D905" s="36"/>
      <c r="E905" s="41"/>
      <c r="F905" s="42"/>
      <c r="G905" s="9"/>
      <c r="H905" s="45"/>
      <c r="I905" s="9"/>
      <c r="J905" s="41"/>
      <c r="K905" s="43">
        <f>Table_246[[#This Row],[Valor da 
venda]]-Table_246[[#This Row],[Valor gasto]]</f>
        <v>0</v>
      </c>
      <c r="L905" s="45"/>
      <c r="P905" s="160"/>
      <c r="Q905"/>
      <c r="R905" s="160"/>
      <c r="V905"/>
    </row>
    <row r="906" spans="1:22" ht="15" customHeight="1" x14ac:dyDescent="0.3">
      <c r="A906" s="21"/>
      <c r="B906" s="25"/>
      <c r="C906" s="29"/>
      <c r="D906" s="36"/>
      <c r="E906" s="41"/>
      <c r="F906" s="42"/>
      <c r="G906" s="9"/>
      <c r="H906" s="45"/>
      <c r="I906" s="9"/>
      <c r="J906" s="41"/>
      <c r="K906" s="43">
        <f>Table_246[[#This Row],[Valor da 
venda]]-Table_246[[#This Row],[Valor gasto]]</f>
        <v>0</v>
      </c>
      <c r="L906" s="45"/>
      <c r="P906" s="160"/>
      <c r="Q906"/>
      <c r="R906" s="160"/>
      <c r="V906"/>
    </row>
    <row r="907" spans="1:22" ht="15" customHeight="1" x14ac:dyDescent="0.3">
      <c r="A907" s="21"/>
      <c r="B907" s="25"/>
      <c r="C907" s="29"/>
      <c r="D907" s="36"/>
      <c r="E907" s="41"/>
      <c r="F907" s="42"/>
      <c r="G907" s="9"/>
      <c r="H907" s="45"/>
      <c r="I907" s="9"/>
      <c r="J907" s="41"/>
      <c r="K907" s="43">
        <f>Table_246[[#This Row],[Valor da 
venda]]-Table_246[[#This Row],[Valor gasto]]</f>
        <v>0</v>
      </c>
      <c r="L907" s="45"/>
      <c r="P907" s="160"/>
      <c r="Q907"/>
      <c r="R907" s="160"/>
      <c r="V907"/>
    </row>
    <row r="908" spans="1:22" ht="15" customHeight="1" x14ac:dyDescent="0.3">
      <c r="A908" s="21"/>
      <c r="B908" s="25"/>
      <c r="C908" s="29"/>
      <c r="D908" s="36"/>
      <c r="E908" s="41"/>
      <c r="F908" s="42"/>
      <c r="G908" s="9"/>
      <c r="H908" s="45"/>
      <c r="I908" s="9"/>
      <c r="J908" s="41"/>
      <c r="K908" s="43">
        <f>Table_246[[#This Row],[Valor da 
venda]]-Table_246[[#This Row],[Valor gasto]]</f>
        <v>0</v>
      </c>
      <c r="L908" s="45"/>
      <c r="P908" s="160"/>
      <c r="Q908"/>
      <c r="R908" s="160"/>
      <c r="V908"/>
    </row>
    <row r="909" spans="1:22" ht="15" customHeight="1" x14ac:dyDescent="0.3">
      <c r="A909" s="21"/>
      <c r="B909" s="25"/>
      <c r="C909" s="29"/>
      <c r="D909" s="36"/>
      <c r="E909" s="41"/>
      <c r="F909" s="42"/>
      <c r="G909" s="9"/>
      <c r="H909" s="45"/>
      <c r="I909" s="9"/>
      <c r="J909" s="41"/>
      <c r="K909" s="43">
        <f>Table_246[[#This Row],[Valor da 
venda]]-Table_246[[#This Row],[Valor gasto]]</f>
        <v>0</v>
      </c>
      <c r="L909" s="45"/>
      <c r="P909" s="160"/>
      <c r="Q909"/>
      <c r="R909" s="160"/>
      <c r="V909"/>
    </row>
    <row r="910" spans="1:22" ht="15" customHeight="1" x14ac:dyDescent="0.3">
      <c r="A910" s="21"/>
      <c r="B910" s="25"/>
      <c r="C910" s="29"/>
      <c r="D910" s="36"/>
      <c r="E910" s="41"/>
      <c r="F910" s="42"/>
      <c r="G910" s="9"/>
      <c r="H910" s="45"/>
      <c r="I910" s="9"/>
      <c r="J910" s="41"/>
      <c r="K910" s="43">
        <f>Table_246[[#This Row],[Valor da 
venda]]-Table_246[[#This Row],[Valor gasto]]</f>
        <v>0</v>
      </c>
      <c r="L910" s="45"/>
      <c r="P910" s="160"/>
      <c r="Q910"/>
      <c r="R910" s="160"/>
      <c r="V910"/>
    </row>
    <row r="911" spans="1:22" ht="15" customHeight="1" x14ac:dyDescent="0.3">
      <c r="A911" s="21"/>
      <c r="B911" s="25"/>
      <c r="C911" s="29"/>
      <c r="D911" s="36"/>
      <c r="E911" s="41"/>
      <c r="F911" s="42"/>
      <c r="G911" s="9"/>
      <c r="H911" s="45"/>
      <c r="I911" s="9"/>
      <c r="J911" s="41"/>
      <c r="K911" s="43">
        <f>Table_246[[#This Row],[Valor da 
venda]]-Table_246[[#This Row],[Valor gasto]]</f>
        <v>0</v>
      </c>
      <c r="L911" s="45"/>
      <c r="P911" s="160"/>
      <c r="Q911"/>
      <c r="R911" s="160"/>
      <c r="V911"/>
    </row>
    <row r="912" spans="1:22" ht="15" customHeight="1" x14ac:dyDescent="0.3">
      <c r="A912" s="21"/>
      <c r="B912" s="25"/>
      <c r="C912" s="29"/>
      <c r="D912" s="36"/>
      <c r="E912" s="41"/>
      <c r="F912" s="42"/>
      <c r="G912" s="9"/>
      <c r="H912" s="45"/>
      <c r="I912" s="9"/>
      <c r="J912" s="41"/>
      <c r="K912" s="43">
        <f>Table_246[[#This Row],[Valor da 
venda]]-Table_246[[#This Row],[Valor gasto]]</f>
        <v>0</v>
      </c>
      <c r="L912" s="45"/>
      <c r="P912" s="160"/>
      <c r="Q912"/>
      <c r="R912" s="160"/>
      <c r="V912"/>
    </row>
    <row r="913" spans="1:22" ht="15" customHeight="1" x14ac:dyDescent="0.3">
      <c r="A913" s="21"/>
      <c r="B913" s="25"/>
      <c r="C913" s="29"/>
      <c r="D913" s="36"/>
      <c r="E913" s="41"/>
      <c r="F913" s="42"/>
      <c r="G913" s="9"/>
      <c r="H913" s="45"/>
      <c r="I913" s="9"/>
      <c r="J913" s="41"/>
      <c r="K913" s="43">
        <f>Table_246[[#This Row],[Valor da 
venda]]-Table_246[[#This Row],[Valor gasto]]</f>
        <v>0</v>
      </c>
      <c r="L913" s="45"/>
      <c r="P913" s="160"/>
      <c r="Q913"/>
      <c r="R913" s="160"/>
      <c r="V913"/>
    </row>
    <row r="914" spans="1:22" ht="15" customHeight="1" x14ac:dyDescent="0.3">
      <c r="A914" s="21"/>
      <c r="B914" s="25"/>
      <c r="C914" s="29"/>
      <c r="D914" s="36"/>
      <c r="E914" s="41"/>
      <c r="F914" s="42"/>
      <c r="G914" s="9"/>
      <c r="H914" s="45"/>
      <c r="I914" s="9"/>
      <c r="J914" s="41"/>
      <c r="K914" s="43">
        <f>Table_246[[#This Row],[Valor da 
venda]]-Table_246[[#This Row],[Valor gasto]]</f>
        <v>0</v>
      </c>
      <c r="L914" s="45"/>
      <c r="P914" s="160"/>
      <c r="Q914"/>
      <c r="R914" s="160"/>
      <c r="V914"/>
    </row>
    <row r="915" spans="1:22" ht="15" customHeight="1" x14ac:dyDescent="0.3">
      <c r="A915" s="21"/>
      <c r="B915" s="25"/>
      <c r="C915" s="29"/>
      <c r="D915" s="36"/>
      <c r="E915" s="41"/>
      <c r="F915" s="42"/>
      <c r="G915" s="9"/>
      <c r="H915" s="45"/>
      <c r="I915" s="9"/>
      <c r="J915" s="41"/>
      <c r="K915" s="43">
        <f>Table_246[[#This Row],[Valor da 
venda]]-Table_246[[#This Row],[Valor gasto]]</f>
        <v>0</v>
      </c>
      <c r="L915" s="45"/>
      <c r="P915" s="160"/>
      <c r="Q915"/>
      <c r="R915" s="160"/>
      <c r="V915"/>
    </row>
    <row r="916" spans="1:22" ht="15" customHeight="1" x14ac:dyDescent="0.3">
      <c r="A916" s="21"/>
      <c r="B916" s="25"/>
      <c r="C916" s="29"/>
      <c r="D916" s="36"/>
      <c r="E916" s="41"/>
      <c r="F916" s="42"/>
      <c r="G916" s="9"/>
      <c r="H916" s="45"/>
      <c r="I916" s="9"/>
      <c r="J916" s="41"/>
      <c r="K916" s="43">
        <f>Table_246[[#This Row],[Valor da 
venda]]-Table_246[[#This Row],[Valor gasto]]</f>
        <v>0</v>
      </c>
      <c r="L916" s="45"/>
      <c r="P916" s="160"/>
      <c r="Q916"/>
      <c r="R916" s="160"/>
      <c r="V916"/>
    </row>
    <row r="917" spans="1:22" ht="15" customHeight="1" x14ac:dyDescent="0.3">
      <c r="A917" s="21"/>
      <c r="B917" s="25"/>
      <c r="C917" s="29"/>
      <c r="D917" s="36"/>
      <c r="E917" s="41"/>
      <c r="F917" s="42"/>
      <c r="G917" s="9"/>
      <c r="H917" s="45"/>
      <c r="I917" s="9"/>
      <c r="J917" s="41"/>
      <c r="K917" s="43">
        <f>Table_246[[#This Row],[Valor da 
venda]]-Table_246[[#This Row],[Valor gasto]]</f>
        <v>0</v>
      </c>
      <c r="L917" s="45"/>
      <c r="P917" s="160"/>
      <c r="Q917"/>
      <c r="R917" s="160"/>
      <c r="V917"/>
    </row>
    <row r="918" spans="1:22" ht="15" customHeight="1" x14ac:dyDescent="0.3">
      <c r="A918" s="21"/>
      <c r="B918" s="25"/>
      <c r="C918" s="29"/>
      <c r="D918" s="36"/>
      <c r="E918" s="41"/>
      <c r="F918" s="42"/>
      <c r="G918" s="9"/>
      <c r="H918" s="45"/>
      <c r="I918" s="9"/>
      <c r="J918" s="41"/>
      <c r="K918" s="43">
        <f>Table_246[[#This Row],[Valor da 
venda]]-Table_246[[#This Row],[Valor gasto]]</f>
        <v>0</v>
      </c>
      <c r="L918" s="45"/>
      <c r="P918" s="160"/>
      <c r="Q918"/>
      <c r="R918" s="160"/>
      <c r="V918"/>
    </row>
    <row r="919" spans="1:22" ht="15" customHeight="1" x14ac:dyDescent="0.3">
      <c r="A919" s="21"/>
      <c r="B919" s="25"/>
      <c r="C919" s="29"/>
      <c r="D919" s="36"/>
      <c r="E919" s="41"/>
      <c r="F919" s="42"/>
      <c r="G919" s="9"/>
      <c r="H919" s="45"/>
      <c r="I919" s="9"/>
      <c r="J919" s="41"/>
      <c r="K919" s="43">
        <f>Table_246[[#This Row],[Valor da 
venda]]-Table_246[[#This Row],[Valor gasto]]</f>
        <v>0</v>
      </c>
      <c r="L919" s="45"/>
      <c r="P919" s="160"/>
      <c r="Q919"/>
      <c r="R919" s="160"/>
      <c r="V919"/>
    </row>
    <row r="920" spans="1:22" ht="15" customHeight="1" x14ac:dyDescent="0.3">
      <c r="A920" s="21"/>
      <c r="B920" s="25"/>
      <c r="C920" s="29"/>
      <c r="D920" s="36"/>
      <c r="E920" s="41"/>
      <c r="F920" s="42"/>
      <c r="G920" s="9"/>
      <c r="H920" s="45"/>
      <c r="I920" s="9"/>
      <c r="J920" s="41"/>
      <c r="K920" s="43">
        <f>Table_246[[#This Row],[Valor da 
venda]]-Table_246[[#This Row],[Valor gasto]]</f>
        <v>0</v>
      </c>
      <c r="L920" s="45"/>
      <c r="P920" s="160"/>
      <c r="Q920"/>
      <c r="R920" s="160"/>
      <c r="V920"/>
    </row>
    <row r="921" spans="1:22" ht="15" customHeight="1" x14ac:dyDescent="0.3">
      <c r="A921" s="21"/>
      <c r="B921" s="25"/>
      <c r="C921" s="29"/>
      <c r="D921" s="36"/>
      <c r="E921" s="41"/>
      <c r="F921" s="42"/>
      <c r="G921" s="9"/>
      <c r="H921" s="45"/>
      <c r="I921" s="9"/>
      <c r="J921" s="41"/>
      <c r="K921" s="43">
        <f>Table_246[[#This Row],[Valor da 
venda]]-Table_246[[#This Row],[Valor gasto]]</f>
        <v>0</v>
      </c>
      <c r="L921" s="45"/>
      <c r="P921" s="160"/>
      <c r="Q921"/>
      <c r="R921" s="160"/>
      <c r="V921"/>
    </row>
    <row r="922" spans="1:22" ht="15" customHeight="1" x14ac:dyDescent="0.3">
      <c r="A922" s="21"/>
      <c r="B922" s="25"/>
      <c r="C922" s="29"/>
      <c r="D922" s="36"/>
      <c r="E922" s="41"/>
      <c r="F922" s="42"/>
      <c r="G922" s="9"/>
      <c r="H922" s="45"/>
      <c r="I922" s="9"/>
      <c r="J922" s="41"/>
      <c r="K922" s="43">
        <f>Table_246[[#This Row],[Valor da 
venda]]-Table_246[[#This Row],[Valor gasto]]</f>
        <v>0</v>
      </c>
      <c r="L922" s="45"/>
      <c r="P922" s="160"/>
      <c r="Q922"/>
      <c r="R922" s="160"/>
      <c r="V922"/>
    </row>
    <row r="923" spans="1:22" ht="15" customHeight="1" x14ac:dyDescent="0.3">
      <c r="A923" s="21"/>
      <c r="B923" s="25"/>
      <c r="C923" s="29"/>
      <c r="D923" s="36"/>
      <c r="E923" s="41"/>
      <c r="F923" s="42"/>
      <c r="G923" s="9"/>
      <c r="H923" s="45"/>
      <c r="I923" s="9"/>
      <c r="J923" s="41"/>
      <c r="K923" s="43">
        <f>Table_246[[#This Row],[Valor da 
venda]]-Table_246[[#This Row],[Valor gasto]]</f>
        <v>0</v>
      </c>
      <c r="L923" s="45"/>
      <c r="P923" s="160"/>
      <c r="Q923"/>
      <c r="R923" s="160"/>
      <c r="V923"/>
    </row>
    <row r="924" spans="1:22" ht="15" customHeight="1" x14ac:dyDescent="0.3">
      <c r="A924" s="21"/>
      <c r="B924" s="25"/>
      <c r="C924" s="29"/>
      <c r="D924" s="36"/>
      <c r="E924" s="41"/>
      <c r="F924" s="42"/>
      <c r="G924" s="9"/>
      <c r="H924" s="45"/>
      <c r="I924" s="9"/>
      <c r="J924" s="41"/>
      <c r="K924" s="43">
        <f>Table_246[[#This Row],[Valor da 
venda]]-Table_246[[#This Row],[Valor gasto]]</f>
        <v>0</v>
      </c>
      <c r="L924" s="45"/>
      <c r="P924" s="160"/>
      <c r="Q924"/>
      <c r="R924" s="160"/>
      <c r="V924"/>
    </row>
    <row r="925" spans="1:22" ht="15" customHeight="1" x14ac:dyDescent="0.3">
      <c r="A925" s="21"/>
      <c r="B925" s="25"/>
      <c r="C925" s="29"/>
      <c r="D925" s="36"/>
      <c r="E925" s="41"/>
      <c r="F925" s="42"/>
      <c r="G925" s="9"/>
      <c r="H925" s="45"/>
      <c r="I925" s="9"/>
      <c r="J925" s="41"/>
      <c r="K925" s="43">
        <f>Table_246[[#This Row],[Valor da 
venda]]-Table_246[[#This Row],[Valor gasto]]</f>
        <v>0</v>
      </c>
      <c r="L925" s="45"/>
      <c r="P925" s="160"/>
      <c r="Q925"/>
      <c r="R925" s="160"/>
      <c r="V925"/>
    </row>
    <row r="926" spans="1:22" ht="15" customHeight="1" x14ac:dyDescent="0.3">
      <c r="A926" s="21"/>
      <c r="B926" s="25"/>
      <c r="C926" s="29"/>
      <c r="D926" s="36"/>
      <c r="E926" s="41"/>
      <c r="F926" s="42"/>
      <c r="G926" s="9"/>
      <c r="H926" s="45"/>
      <c r="I926" s="9"/>
      <c r="J926" s="41"/>
      <c r="K926" s="43">
        <f>Table_246[[#This Row],[Valor da 
venda]]-Table_246[[#This Row],[Valor gasto]]</f>
        <v>0</v>
      </c>
      <c r="L926" s="45"/>
      <c r="P926" s="160"/>
      <c r="Q926"/>
      <c r="R926" s="160"/>
      <c r="V926"/>
    </row>
    <row r="927" spans="1:22" ht="15" customHeight="1" x14ac:dyDescent="0.3">
      <c r="A927" s="21"/>
      <c r="B927" s="25"/>
      <c r="C927" s="29"/>
      <c r="D927" s="36"/>
      <c r="E927" s="41"/>
      <c r="F927" s="42"/>
      <c r="G927" s="9"/>
      <c r="H927" s="45"/>
      <c r="I927" s="9"/>
      <c r="J927" s="41"/>
      <c r="K927" s="43">
        <f>Table_246[[#This Row],[Valor da 
venda]]-Table_246[[#This Row],[Valor gasto]]</f>
        <v>0</v>
      </c>
      <c r="L927" s="45"/>
      <c r="P927" s="160"/>
      <c r="Q927"/>
      <c r="R927" s="160"/>
      <c r="V927"/>
    </row>
    <row r="928" spans="1:22" ht="15" customHeight="1" x14ac:dyDescent="0.3">
      <c r="A928" s="21"/>
      <c r="B928" s="25"/>
      <c r="C928" s="29"/>
      <c r="D928" s="36"/>
      <c r="E928" s="41"/>
      <c r="F928" s="42"/>
      <c r="G928" s="9"/>
      <c r="H928" s="45"/>
      <c r="I928" s="9"/>
      <c r="J928" s="41"/>
      <c r="K928" s="43">
        <f>Table_246[[#This Row],[Valor da 
venda]]-Table_246[[#This Row],[Valor gasto]]</f>
        <v>0</v>
      </c>
      <c r="L928" s="45"/>
      <c r="P928" s="160"/>
      <c r="Q928"/>
      <c r="R928" s="160"/>
      <c r="V928"/>
    </row>
    <row r="929" spans="1:22" ht="15" customHeight="1" x14ac:dyDescent="0.3">
      <c r="A929" s="21"/>
      <c r="B929" s="25"/>
      <c r="C929" s="29"/>
      <c r="D929" s="36"/>
      <c r="E929" s="41"/>
      <c r="F929" s="42"/>
      <c r="G929" s="9"/>
      <c r="H929" s="45"/>
      <c r="I929" s="9"/>
      <c r="J929" s="41"/>
      <c r="K929" s="43">
        <f>Table_246[[#This Row],[Valor da 
venda]]-Table_246[[#This Row],[Valor gasto]]</f>
        <v>0</v>
      </c>
      <c r="L929" s="45"/>
      <c r="P929" s="160"/>
      <c r="Q929"/>
      <c r="R929" s="160"/>
      <c r="V929"/>
    </row>
    <row r="930" spans="1:22" ht="15" customHeight="1" x14ac:dyDescent="0.3">
      <c r="A930" s="21"/>
      <c r="B930" s="25"/>
      <c r="C930" s="29"/>
      <c r="D930" s="36"/>
      <c r="E930" s="41"/>
      <c r="F930" s="42"/>
      <c r="G930" s="9"/>
      <c r="H930" s="45"/>
      <c r="I930" s="9"/>
      <c r="J930" s="41"/>
      <c r="K930" s="43">
        <f>Table_246[[#This Row],[Valor da 
venda]]-Table_246[[#This Row],[Valor gasto]]</f>
        <v>0</v>
      </c>
      <c r="L930" s="45"/>
      <c r="P930" s="160"/>
      <c r="Q930"/>
      <c r="R930" s="160"/>
      <c r="V930"/>
    </row>
    <row r="931" spans="1:22" ht="15" customHeight="1" x14ac:dyDescent="0.3">
      <c r="A931" s="21"/>
      <c r="B931" s="25"/>
      <c r="C931" s="29"/>
      <c r="D931" s="36"/>
      <c r="E931" s="41"/>
      <c r="F931" s="42"/>
      <c r="G931" s="9"/>
      <c r="H931" s="45"/>
      <c r="I931" s="9"/>
      <c r="J931" s="41"/>
      <c r="K931" s="43">
        <f>Table_246[[#This Row],[Valor da 
venda]]-Table_246[[#This Row],[Valor gasto]]</f>
        <v>0</v>
      </c>
      <c r="L931" s="45"/>
      <c r="P931" s="160"/>
      <c r="Q931"/>
      <c r="R931" s="160"/>
      <c r="V931"/>
    </row>
    <row r="932" spans="1:22" ht="15" customHeight="1" x14ac:dyDescent="0.3">
      <c r="A932" s="21"/>
      <c r="B932" s="25"/>
      <c r="C932" s="29"/>
      <c r="D932" s="36"/>
      <c r="E932" s="41"/>
      <c r="F932" s="42"/>
      <c r="G932" s="9"/>
      <c r="H932" s="45"/>
      <c r="I932" s="9"/>
      <c r="J932" s="41"/>
      <c r="K932" s="43">
        <f>Table_246[[#This Row],[Valor da 
venda]]-Table_246[[#This Row],[Valor gasto]]</f>
        <v>0</v>
      </c>
      <c r="L932" s="45"/>
      <c r="P932" s="160"/>
      <c r="Q932"/>
      <c r="R932" s="160"/>
      <c r="V932"/>
    </row>
    <row r="933" spans="1:22" ht="15" customHeight="1" x14ac:dyDescent="0.3">
      <c r="A933" s="21"/>
      <c r="B933" s="25"/>
      <c r="C933" s="29"/>
      <c r="D933" s="36"/>
      <c r="E933" s="41"/>
      <c r="F933" s="42"/>
      <c r="G933" s="9"/>
      <c r="H933" s="45"/>
      <c r="I933" s="9"/>
      <c r="J933" s="41"/>
      <c r="K933" s="43">
        <f>Table_246[[#This Row],[Valor da 
venda]]-Table_246[[#This Row],[Valor gasto]]</f>
        <v>0</v>
      </c>
      <c r="L933" s="45"/>
      <c r="P933" s="160"/>
      <c r="Q933"/>
      <c r="R933" s="160"/>
      <c r="V933"/>
    </row>
    <row r="934" spans="1:22" ht="15" customHeight="1" x14ac:dyDescent="0.3">
      <c r="A934" s="21"/>
      <c r="B934" s="25"/>
      <c r="C934" s="29"/>
      <c r="D934" s="36"/>
      <c r="E934" s="41"/>
      <c r="F934" s="42"/>
      <c r="G934" s="9"/>
      <c r="H934" s="45"/>
      <c r="I934" s="9"/>
      <c r="J934" s="41"/>
      <c r="K934" s="43">
        <f>Table_246[[#This Row],[Valor da 
venda]]-Table_246[[#This Row],[Valor gasto]]</f>
        <v>0</v>
      </c>
      <c r="L934" s="45"/>
      <c r="P934" s="160"/>
      <c r="Q934"/>
      <c r="R934" s="160"/>
      <c r="V934"/>
    </row>
    <row r="935" spans="1:22" ht="15" customHeight="1" x14ac:dyDescent="0.3">
      <c r="A935" s="21"/>
      <c r="B935" s="25"/>
      <c r="C935" s="29"/>
      <c r="D935" s="36"/>
      <c r="E935" s="41"/>
      <c r="F935" s="42"/>
      <c r="G935" s="9"/>
      <c r="H935" s="45"/>
      <c r="I935" s="9"/>
      <c r="J935" s="41"/>
      <c r="K935" s="43">
        <f>Table_246[[#This Row],[Valor da 
venda]]-Table_246[[#This Row],[Valor gasto]]</f>
        <v>0</v>
      </c>
      <c r="L935" s="45"/>
      <c r="P935" s="160"/>
      <c r="Q935"/>
      <c r="R935" s="160"/>
      <c r="V935"/>
    </row>
    <row r="936" spans="1:22" ht="15" customHeight="1" x14ac:dyDescent="0.3">
      <c r="A936" s="21"/>
      <c r="B936" s="25"/>
      <c r="C936" s="29"/>
      <c r="D936" s="36"/>
      <c r="E936" s="41"/>
      <c r="F936" s="42"/>
      <c r="G936" s="9"/>
      <c r="H936" s="45"/>
      <c r="I936" s="9"/>
      <c r="J936" s="41"/>
      <c r="K936" s="43">
        <f>Table_246[[#This Row],[Valor da 
venda]]-Table_246[[#This Row],[Valor gasto]]</f>
        <v>0</v>
      </c>
      <c r="L936" s="45"/>
      <c r="P936" s="160"/>
      <c r="Q936"/>
      <c r="R936" s="160"/>
      <c r="V936"/>
    </row>
    <row r="937" spans="1:22" ht="15" customHeight="1" x14ac:dyDescent="0.3">
      <c r="A937" s="21"/>
      <c r="B937" s="25"/>
      <c r="C937" s="29"/>
      <c r="D937" s="36"/>
      <c r="E937" s="41"/>
      <c r="F937" s="42"/>
      <c r="G937" s="9"/>
      <c r="H937" s="45"/>
      <c r="I937" s="9"/>
      <c r="J937" s="41"/>
      <c r="K937" s="43">
        <f>Table_246[[#This Row],[Valor da 
venda]]-Table_246[[#This Row],[Valor gasto]]</f>
        <v>0</v>
      </c>
      <c r="L937" s="45"/>
      <c r="P937" s="160"/>
      <c r="Q937"/>
      <c r="R937" s="160"/>
      <c r="V937"/>
    </row>
    <row r="938" spans="1:22" ht="15" customHeight="1" x14ac:dyDescent="0.3">
      <c r="A938" s="21"/>
      <c r="B938" s="25"/>
      <c r="C938" s="29"/>
      <c r="D938" s="36"/>
      <c r="E938" s="41"/>
      <c r="F938" s="42"/>
      <c r="G938" s="9"/>
      <c r="H938" s="45"/>
      <c r="I938" s="9"/>
      <c r="J938" s="41"/>
      <c r="K938" s="43">
        <f>Table_246[[#This Row],[Valor da 
venda]]-Table_246[[#This Row],[Valor gasto]]</f>
        <v>0</v>
      </c>
      <c r="L938" s="45"/>
      <c r="P938" s="160"/>
      <c r="Q938"/>
      <c r="R938" s="160"/>
      <c r="V938"/>
    </row>
    <row r="939" spans="1:22" ht="15" customHeight="1" x14ac:dyDescent="0.3">
      <c r="A939" s="21"/>
      <c r="B939" s="25"/>
      <c r="C939" s="29"/>
      <c r="D939" s="36"/>
      <c r="E939" s="41"/>
      <c r="F939" s="42"/>
      <c r="G939" s="9"/>
      <c r="H939" s="45"/>
      <c r="I939" s="9"/>
      <c r="J939" s="41"/>
      <c r="K939" s="43">
        <f>Table_246[[#This Row],[Valor da 
venda]]-Table_246[[#This Row],[Valor gasto]]</f>
        <v>0</v>
      </c>
      <c r="L939" s="45"/>
      <c r="P939" s="160"/>
      <c r="Q939"/>
      <c r="R939" s="160"/>
      <c r="V939"/>
    </row>
    <row r="940" spans="1:22" ht="15" customHeight="1" x14ac:dyDescent="0.3">
      <c r="A940" s="21"/>
      <c r="B940" s="25"/>
      <c r="C940" s="29"/>
      <c r="D940" s="36"/>
      <c r="E940" s="41"/>
      <c r="F940" s="42"/>
      <c r="G940" s="9"/>
      <c r="H940" s="45"/>
      <c r="I940" s="9"/>
      <c r="J940" s="41"/>
      <c r="K940" s="43">
        <f>Table_246[[#This Row],[Valor da 
venda]]-Table_246[[#This Row],[Valor gasto]]</f>
        <v>0</v>
      </c>
      <c r="L940" s="45"/>
      <c r="P940" s="160"/>
      <c r="Q940"/>
      <c r="R940" s="160"/>
      <c r="V940"/>
    </row>
    <row r="941" spans="1:22" ht="15" customHeight="1" x14ac:dyDescent="0.3">
      <c r="A941" s="21"/>
      <c r="B941" s="25"/>
      <c r="C941" s="29"/>
      <c r="D941" s="36"/>
      <c r="E941" s="41"/>
      <c r="F941" s="42"/>
      <c r="G941" s="9"/>
      <c r="H941" s="45"/>
      <c r="I941" s="9"/>
      <c r="J941" s="41"/>
      <c r="K941" s="43">
        <f>Table_246[[#This Row],[Valor da 
venda]]-Table_246[[#This Row],[Valor gasto]]</f>
        <v>0</v>
      </c>
      <c r="L941" s="45"/>
      <c r="P941" s="160"/>
      <c r="Q941"/>
      <c r="R941" s="160"/>
      <c r="V941"/>
    </row>
    <row r="942" spans="1:22" ht="15" customHeight="1" x14ac:dyDescent="0.3">
      <c r="A942" s="21"/>
      <c r="B942" s="25"/>
      <c r="C942" s="29"/>
      <c r="D942" s="36"/>
      <c r="E942" s="41"/>
      <c r="F942" s="42"/>
      <c r="G942" s="9"/>
      <c r="H942" s="45"/>
      <c r="I942" s="9"/>
      <c r="J942" s="41"/>
      <c r="K942" s="43">
        <f>Table_246[[#This Row],[Valor da 
venda]]-Table_246[[#This Row],[Valor gasto]]</f>
        <v>0</v>
      </c>
      <c r="L942" s="45"/>
      <c r="P942" s="160"/>
      <c r="Q942"/>
      <c r="R942" s="160"/>
      <c r="V942"/>
    </row>
    <row r="943" spans="1:22" ht="15" customHeight="1" x14ac:dyDescent="0.3">
      <c r="A943" s="21"/>
      <c r="B943" s="25"/>
      <c r="C943" s="29"/>
      <c r="D943" s="36"/>
      <c r="E943" s="41"/>
      <c r="F943" s="42"/>
      <c r="G943" s="9"/>
      <c r="H943" s="45"/>
      <c r="I943" s="9"/>
      <c r="J943" s="41"/>
      <c r="K943" s="43">
        <f>Table_246[[#This Row],[Valor da 
venda]]-Table_246[[#This Row],[Valor gasto]]</f>
        <v>0</v>
      </c>
      <c r="L943" s="45"/>
      <c r="P943" s="160"/>
      <c r="Q943"/>
      <c r="R943" s="160"/>
      <c r="V943"/>
    </row>
    <row r="944" spans="1:22" ht="15" customHeight="1" x14ac:dyDescent="0.3">
      <c r="A944" s="21"/>
      <c r="B944" s="25"/>
      <c r="C944" s="29"/>
      <c r="D944" s="36"/>
      <c r="E944" s="41"/>
      <c r="F944" s="42"/>
      <c r="G944" s="9"/>
      <c r="H944" s="45"/>
      <c r="I944" s="9"/>
      <c r="J944" s="41"/>
      <c r="K944" s="43">
        <f>Table_246[[#This Row],[Valor da 
venda]]-Table_246[[#This Row],[Valor gasto]]</f>
        <v>0</v>
      </c>
      <c r="L944" s="45"/>
      <c r="P944" s="160"/>
      <c r="Q944"/>
      <c r="R944" s="160"/>
      <c r="V944"/>
    </row>
    <row r="945" spans="1:22" ht="15" customHeight="1" x14ac:dyDescent="0.3">
      <c r="A945" s="21"/>
      <c r="B945" s="25"/>
      <c r="C945" s="29"/>
      <c r="D945" s="36"/>
      <c r="E945" s="41"/>
      <c r="F945" s="42"/>
      <c r="G945" s="9"/>
      <c r="H945" s="45"/>
      <c r="I945" s="9"/>
      <c r="J945" s="41"/>
      <c r="K945" s="43">
        <f>Table_246[[#This Row],[Valor da 
venda]]-Table_246[[#This Row],[Valor gasto]]</f>
        <v>0</v>
      </c>
      <c r="L945" s="45"/>
      <c r="P945" s="160"/>
      <c r="Q945"/>
      <c r="R945" s="160"/>
      <c r="V945"/>
    </row>
    <row r="946" spans="1:22" ht="15" customHeight="1" x14ac:dyDescent="0.3">
      <c r="A946" s="21"/>
      <c r="B946" s="25"/>
      <c r="C946" s="29"/>
      <c r="D946" s="36"/>
      <c r="E946" s="41"/>
      <c r="F946" s="42"/>
      <c r="G946" s="9"/>
      <c r="H946" s="45"/>
      <c r="I946" s="9"/>
      <c r="J946" s="41"/>
      <c r="K946" s="43">
        <f>Table_246[[#This Row],[Valor da 
venda]]-Table_246[[#This Row],[Valor gasto]]</f>
        <v>0</v>
      </c>
      <c r="L946" s="45"/>
      <c r="P946" s="160"/>
      <c r="Q946"/>
      <c r="R946" s="160"/>
      <c r="V946"/>
    </row>
    <row r="947" spans="1:22" ht="15" customHeight="1" x14ac:dyDescent="0.3">
      <c r="A947" s="21"/>
      <c r="B947" s="25"/>
      <c r="C947" s="29"/>
      <c r="D947" s="36"/>
      <c r="E947" s="41"/>
      <c r="F947" s="42"/>
      <c r="G947" s="9"/>
      <c r="H947" s="45"/>
      <c r="I947" s="9"/>
      <c r="J947" s="41"/>
      <c r="K947" s="43">
        <f>Table_246[[#This Row],[Valor da 
venda]]-Table_246[[#This Row],[Valor gasto]]</f>
        <v>0</v>
      </c>
      <c r="L947" s="45"/>
      <c r="P947" s="160"/>
      <c r="Q947"/>
      <c r="R947" s="160"/>
      <c r="V947"/>
    </row>
    <row r="948" spans="1:22" ht="15" customHeight="1" x14ac:dyDescent="0.3">
      <c r="A948" s="21"/>
      <c r="B948" s="25"/>
      <c r="C948" s="29"/>
      <c r="D948" s="36"/>
      <c r="E948" s="41"/>
      <c r="F948" s="42"/>
      <c r="G948" s="9"/>
      <c r="H948" s="45"/>
      <c r="I948" s="9"/>
      <c r="J948" s="41"/>
      <c r="K948" s="43">
        <f>Table_246[[#This Row],[Valor da 
venda]]-Table_246[[#This Row],[Valor gasto]]</f>
        <v>0</v>
      </c>
      <c r="L948" s="45"/>
      <c r="P948" s="160"/>
      <c r="Q948"/>
      <c r="R948" s="160"/>
      <c r="V948"/>
    </row>
    <row r="949" spans="1:22" ht="15" customHeight="1" x14ac:dyDescent="0.3">
      <c r="A949" s="21"/>
      <c r="B949" s="25"/>
      <c r="C949" s="29"/>
      <c r="D949" s="36"/>
      <c r="E949" s="41"/>
      <c r="F949" s="42"/>
      <c r="G949" s="9"/>
      <c r="H949" s="45"/>
      <c r="I949" s="9"/>
      <c r="J949" s="41"/>
      <c r="K949" s="43">
        <f>Table_246[[#This Row],[Valor da 
venda]]-Table_246[[#This Row],[Valor gasto]]</f>
        <v>0</v>
      </c>
      <c r="L949" s="45"/>
      <c r="P949" s="160"/>
      <c r="Q949"/>
      <c r="R949" s="160"/>
      <c r="V949"/>
    </row>
    <row r="950" spans="1:22" ht="15" customHeight="1" x14ac:dyDescent="0.3">
      <c r="A950" s="21"/>
      <c r="B950" s="25"/>
      <c r="C950" s="29"/>
      <c r="D950" s="36"/>
      <c r="E950" s="41"/>
      <c r="F950" s="42"/>
      <c r="G950" s="9"/>
      <c r="H950" s="45"/>
      <c r="I950" s="9"/>
      <c r="J950" s="41"/>
      <c r="K950" s="43">
        <f>Table_246[[#This Row],[Valor da 
venda]]-Table_246[[#This Row],[Valor gasto]]</f>
        <v>0</v>
      </c>
      <c r="L950" s="45"/>
      <c r="P950" s="160"/>
      <c r="Q950"/>
      <c r="R950" s="160"/>
      <c r="V950"/>
    </row>
    <row r="951" spans="1:22" ht="15" customHeight="1" x14ac:dyDescent="0.3">
      <c r="A951" s="21"/>
      <c r="B951" s="25"/>
      <c r="C951" s="29"/>
      <c r="D951" s="36"/>
      <c r="E951" s="41"/>
      <c r="F951" s="42"/>
      <c r="G951" s="9"/>
      <c r="H951" s="45"/>
      <c r="I951" s="9"/>
      <c r="J951" s="41"/>
      <c r="K951" s="43">
        <f>Table_246[[#This Row],[Valor da 
venda]]-Table_246[[#This Row],[Valor gasto]]</f>
        <v>0</v>
      </c>
      <c r="L951" s="45"/>
      <c r="P951" s="160"/>
      <c r="Q951"/>
      <c r="R951" s="160"/>
      <c r="V951"/>
    </row>
    <row r="952" spans="1:22" ht="15" customHeight="1" x14ac:dyDescent="0.3">
      <c r="A952" s="21"/>
      <c r="B952" s="25"/>
      <c r="C952" s="29"/>
      <c r="D952" s="36"/>
      <c r="E952" s="41"/>
      <c r="F952" s="42"/>
      <c r="G952" s="9"/>
      <c r="H952" s="45"/>
      <c r="I952" s="9"/>
      <c r="J952" s="41"/>
      <c r="K952" s="43">
        <f>Table_246[[#This Row],[Valor da 
venda]]-Table_246[[#This Row],[Valor gasto]]</f>
        <v>0</v>
      </c>
      <c r="L952" s="45"/>
      <c r="P952" s="160"/>
      <c r="Q952"/>
      <c r="R952" s="160"/>
      <c r="V952"/>
    </row>
    <row r="953" spans="1:22" ht="15" customHeight="1" x14ac:dyDescent="0.3">
      <c r="A953" s="21"/>
      <c r="B953" s="25"/>
      <c r="C953" s="29"/>
      <c r="D953" s="36"/>
      <c r="E953" s="41"/>
      <c r="F953" s="42"/>
      <c r="G953" s="9"/>
      <c r="H953" s="45"/>
      <c r="I953" s="9"/>
      <c r="J953" s="41"/>
      <c r="K953" s="43">
        <f>Table_246[[#This Row],[Valor da 
venda]]-Table_246[[#This Row],[Valor gasto]]</f>
        <v>0</v>
      </c>
      <c r="L953" s="45"/>
      <c r="P953" s="160"/>
      <c r="Q953"/>
      <c r="R953" s="160"/>
      <c r="V953"/>
    </row>
    <row r="954" spans="1:22" ht="15" customHeight="1" x14ac:dyDescent="0.3">
      <c r="A954" s="21"/>
      <c r="B954" s="25"/>
      <c r="C954" s="29"/>
      <c r="D954" s="36"/>
      <c r="E954" s="41"/>
      <c r="F954" s="42"/>
      <c r="G954" s="9"/>
      <c r="H954" s="45"/>
      <c r="I954" s="9"/>
      <c r="J954" s="41"/>
      <c r="K954" s="43">
        <f>Table_246[[#This Row],[Valor da 
venda]]-Table_246[[#This Row],[Valor gasto]]</f>
        <v>0</v>
      </c>
      <c r="L954" s="45"/>
      <c r="P954" s="160"/>
      <c r="Q954"/>
      <c r="R954" s="160"/>
      <c r="V954"/>
    </row>
    <row r="955" spans="1:22" ht="15" customHeight="1" x14ac:dyDescent="0.3">
      <c r="A955" s="21"/>
      <c r="B955" s="25"/>
      <c r="C955" s="29"/>
      <c r="D955" s="36"/>
      <c r="E955" s="41"/>
      <c r="F955" s="42"/>
      <c r="G955" s="9"/>
      <c r="H955" s="45"/>
      <c r="I955" s="9"/>
      <c r="J955" s="41"/>
      <c r="K955" s="43">
        <f>Table_246[[#This Row],[Valor da 
venda]]-Table_246[[#This Row],[Valor gasto]]</f>
        <v>0</v>
      </c>
      <c r="L955" s="45"/>
      <c r="P955" s="160"/>
      <c r="Q955"/>
      <c r="R955" s="160"/>
      <c r="V955"/>
    </row>
    <row r="956" spans="1:22" ht="15" customHeight="1" x14ac:dyDescent="0.3">
      <c r="A956" s="21"/>
      <c r="B956" s="25"/>
      <c r="C956" s="29"/>
      <c r="D956" s="36"/>
      <c r="E956" s="41"/>
      <c r="F956" s="42"/>
      <c r="G956" s="9"/>
      <c r="H956" s="45"/>
      <c r="I956" s="9"/>
      <c r="J956" s="41"/>
      <c r="K956" s="43">
        <f>Table_246[[#This Row],[Valor da 
venda]]-Table_246[[#This Row],[Valor gasto]]</f>
        <v>0</v>
      </c>
      <c r="L956" s="45"/>
      <c r="P956" s="160"/>
      <c r="Q956"/>
      <c r="R956" s="160"/>
      <c r="V956"/>
    </row>
    <row r="957" spans="1:22" ht="15" customHeight="1" x14ac:dyDescent="0.3">
      <c r="A957" s="21"/>
      <c r="B957" s="25"/>
      <c r="C957" s="29"/>
      <c r="D957" s="36"/>
      <c r="E957" s="41"/>
      <c r="F957" s="42"/>
      <c r="G957" s="9"/>
      <c r="H957" s="45"/>
      <c r="I957" s="9"/>
      <c r="J957" s="41"/>
      <c r="K957" s="43">
        <f>Table_246[[#This Row],[Valor da 
venda]]-Table_246[[#This Row],[Valor gasto]]</f>
        <v>0</v>
      </c>
      <c r="L957" s="45"/>
      <c r="P957" s="160"/>
      <c r="Q957"/>
      <c r="R957" s="160"/>
      <c r="V957"/>
    </row>
    <row r="958" spans="1:22" ht="15" customHeight="1" x14ac:dyDescent="0.3">
      <c r="A958" s="21"/>
      <c r="B958" s="25"/>
      <c r="C958" s="29"/>
      <c r="D958" s="36"/>
      <c r="E958" s="41"/>
      <c r="F958" s="42"/>
      <c r="G958" s="9"/>
      <c r="H958" s="45"/>
      <c r="I958" s="9"/>
      <c r="J958" s="41"/>
      <c r="K958" s="43">
        <f>Table_246[[#This Row],[Valor da 
venda]]-Table_246[[#This Row],[Valor gasto]]</f>
        <v>0</v>
      </c>
      <c r="L958" s="45"/>
      <c r="P958" s="160"/>
      <c r="Q958"/>
      <c r="R958" s="160"/>
      <c r="V958"/>
    </row>
    <row r="959" spans="1:22" ht="15" customHeight="1" x14ac:dyDescent="0.3">
      <c r="A959" s="21"/>
      <c r="B959" s="25"/>
      <c r="C959" s="29"/>
      <c r="D959" s="36"/>
      <c r="E959" s="41"/>
      <c r="F959" s="42"/>
      <c r="G959" s="9"/>
      <c r="H959" s="45"/>
      <c r="I959" s="9"/>
      <c r="J959" s="41"/>
      <c r="K959" s="43">
        <f>Table_246[[#This Row],[Valor da 
venda]]-Table_246[[#This Row],[Valor gasto]]</f>
        <v>0</v>
      </c>
      <c r="L959" s="45"/>
      <c r="P959" s="160"/>
      <c r="Q959"/>
      <c r="R959" s="160"/>
      <c r="V959"/>
    </row>
    <row r="960" spans="1:22" ht="15" customHeight="1" x14ac:dyDescent="0.3">
      <c r="A960" s="21"/>
      <c r="B960" s="25"/>
      <c r="C960" s="29"/>
      <c r="D960" s="36"/>
      <c r="E960" s="41"/>
      <c r="F960" s="42"/>
      <c r="G960" s="9"/>
      <c r="H960" s="45"/>
      <c r="I960" s="9"/>
      <c r="J960" s="41"/>
      <c r="K960" s="43">
        <f>Table_246[[#This Row],[Valor da 
venda]]-Table_246[[#This Row],[Valor gasto]]</f>
        <v>0</v>
      </c>
      <c r="L960" s="45"/>
      <c r="P960" s="160"/>
      <c r="Q960"/>
      <c r="R960" s="160"/>
      <c r="V960"/>
    </row>
    <row r="961" spans="1:22" ht="15" customHeight="1" x14ac:dyDescent="0.3">
      <c r="A961" s="21"/>
      <c r="B961" s="25"/>
      <c r="C961" s="29"/>
      <c r="D961" s="36"/>
      <c r="E961" s="41"/>
      <c r="F961" s="42"/>
      <c r="G961" s="9"/>
      <c r="H961" s="45"/>
      <c r="I961" s="9"/>
      <c r="J961" s="41"/>
      <c r="K961" s="43">
        <f>Table_246[[#This Row],[Valor da 
venda]]-Table_246[[#This Row],[Valor gasto]]</f>
        <v>0</v>
      </c>
      <c r="L961" s="45"/>
      <c r="P961" s="160"/>
      <c r="Q961"/>
      <c r="R961" s="160"/>
      <c r="V961"/>
    </row>
    <row r="962" spans="1:22" ht="15" customHeight="1" x14ac:dyDescent="0.3">
      <c r="A962" s="21"/>
      <c r="B962" s="25"/>
      <c r="C962" s="29"/>
      <c r="D962" s="36"/>
      <c r="E962" s="41"/>
      <c r="F962" s="42"/>
      <c r="G962" s="9"/>
      <c r="H962" s="45"/>
      <c r="I962" s="9"/>
      <c r="J962" s="41"/>
      <c r="K962" s="43">
        <f>Table_246[[#This Row],[Valor da 
venda]]-Table_246[[#This Row],[Valor gasto]]</f>
        <v>0</v>
      </c>
      <c r="L962" s="45"/>
      <c r="P962" s="160"/>
      <c r="Q962"/>
      <c r="R962" s="160"/>
      <c r="V962"/>
    </row>
    <row r="963" spans="1:22" ht="15" customHeight="1" x14ac:dyDescent="0.3">
      <c r="A963" s="21"/>
      <c r="B963" s="25"/>
      <c r="C963" s="29"/>
      <c r="D963" s="36"/>
      <c r="E963" s="41"/>
      <c r="F963" s="42"/>
      <c r="G963" s="9"/>
      <c r="H963" s="45"/>
      <c r="I963" s="9"/>
      <c r="J963" s="41"/>
      <c r="K963" s="43">
        <f>Table_246[[#This Row],[Valor da 
venda]]-Table_246[[#This Row],[Valor gasto]]</f>
        <v>0</v>
      </c>
      <c r="L963" s="45"/>
      <c r="P963" s="160"/>
      <c r="Q963"/>
      <c r="R963" s="160"/>
      <c r="V963"/>
    </row>
    <row r="964" spans="1:22" ht="15" customHeight="1" x14ac:dyDescent="0.3">
      <c r="A964" s="21"/>
      <c r="B964" s="25"/>
      <c r="C964" s="29"/>
      <c r="D964" s="36"/>
      <c r="E964" s="41"/>
      <c r="F964" s="42"/>
      <c r="G964" s="9"/>
      <c r="H964" s="45"/>
      <c r="I964" s="9"/>
      <c r="J964" s="41"/>
      <c r="K964" s="43">
        <f>Table_246[[#This Row],[Valor da 
venda]]-Table_246[[#This Row],[Valor gasto]]</f>
        <v>0</v>
      </c>
      <c r="L964" s="45"/>
      <c r="P964" s="160"/>
      <c r="Q964"/>
      <c r="R964" s="160"/>
      <c r="V964"/>
    </row>
    <row r="965" spans="1:22" ht="15" customHeight="1" x14ac:dyDescent="0.3">
      <c r="A965" s="21"/>
      <c r="B965" s="25"/>
      <c r="C965" s="29"/>
      <c r="D965" s="36"/>
      <c r="E965" s="41"/>
      <c r="F965" s="42"/>
      <c r="G965" s="9"/>
      <c r="H965" s="45"/>
      <c r="I965" s="9"/>
      <c r="J965" s="41"/>
      <c r="K965" s="43">
        <f>Table_246[[#This Row],[Valor da 
venda]]-Table_246[[#This Row],[Valor gasto]]</f>
        <v>0</v>
      </c>
      <c r="L965" s="45"/>
      <c r="P965" s="160"/>
      <c r="Q965"/>
      <c r="R965" s="160"/>
      <c r="V965"/>
    </row>
    <row r="966" spans="1:22" ht="15" customHeight="1" x14ac:dyDescent="0.3">
      <c r="A966" s="21"/>
      <c r="B966" s="25"/>
      <c r="C966" s="29"/>
      <c r="D966" s="36"/>
      <c r="E966" s="41"/>
      <c r="F966" s="42"/>
      <c r="G966" s="9"/>
      <c r="H966" s="45"/>
      <c r="I966" s="9"/>
      <c r="J966" s="41"/>
      <c r="K966" s="43">
        <f>Table_246[[#This Row],[Valor da 
venda]]-Table_246[[#This Row],[Valor gasto]]</f>
        <v>0</v>
      </c>
      <c r="L966" s="45"/>
      <c r="P966" s="160"/>
      <c r="Q966"/>
      <c r="R966" s="160"/>
      <c r="V966"/>
    </row>
    <row r="967" spans="1:22" ht="15" customHeight="1" x14ac:dyDescent="0.3">
      <c r="A967" s="21"/>
      <c r="B967" s="25"/>
      <c r="C967" s="29"/>
      <c r="D967" s="36"/>
      <c r="E967" s="41"/>
      <c r="F967" s="42"/>
      <c r="G967" s="9"/>
      <c r="H967" s="45"/>
      <c r="I967" s="9"/>
      <c r="J967" s="41"/>
      <c r="K967" s="43">
        <f>Table_246[[#This Row],[Valor da 
venda]]-Table_246[[#This Row],[Valor gasto]]</f>
        <v>0</v>
      </c>
      <c r="L967" s="45"/>
      <c r="P967" s="160"/>
      <c r="Q967"/>
      <c r="R967" s="160"/>
      <c r="V967"/>
    </row>
    <row r="968" spans="1:22" ht="15" customHeight="1" x14ac:dyDescent="0.3">
      <c r="A968" s="21"/>
      <c r="B968" s="25"/>
      <c r="C968" s="29"/>
      <c r="D968" s="36"/>
      <c r="E968" s="41"/>
      <c r="F968" s="42"/>
      <c r="G968" s="9"/>
      <c r="H968" s="45"/>
      <c r="I968" s="9"/>
      <c r="J968" s="41"/>
      <c r="K968" s="43">
        <f>Table_246[[#This Row],[Valor da 
venda]]-Table_246[[#This Row],[Valor gasto]]</f>
        <v>0</v>
      </c>
      <c r="L968" s="45"/>
      <c r="P968" s="160"/>
      <c r="Q968"/>
      <c r="R968" s="160"/>
      <c r="V968"/>
    </row>
    <row r="969" spans="1:22" ht="15" customHeight="1" x14ac:dyDescent="0.3">
      <c r="A969" s="21"/>
      <c r="B969" s="25"/>
      <c r="C969" s="29"/>
      <c r="D969" s="36"/>
      <c r="E969" s="41"/>
      <c r="F969" s="42"/>
      <c r="G969" s="9"/>
      <c r="H969" s="45"/>
      <c r="I969" s="9"/>
      <c r="J969" s="41"/>
      <c r="K969" s="43">
        <f>Table_246[[#This Row],[Valor da 
venda]]-Table_246[[#This Row],[Valor gasto]]</f>
        <v>0</v>
      </c>
      <c r="L969" s="45"/>
      <c r="P969" s="160"/>
      <c r="Q969"/>
      <c r="R969" s="160"/>
      <c r="V969"/>
    </row>
    <row r="970" spans="1:22" ht="15" customHeight="1" x14ac:dyDescent="0.3">
      <c r="A970" s="21"/>
      <c r="B970" s="25"/>
      <c r="C970" s="29"/>
      <c r="D970" s="36"/>
      <c r="E970" s="41"/>
      <c r="F970" s="42"/>
      <c r="G970" s="9"/>
      <c r="H970" s="45"/>
      <c r="I970" s="9"/>
      <c r="J970" s="41"/>
      <c r="K970" s="43">
        <f>Table_246[[#This Row],[Valor da 
venda]]-Table_246[[#This Row],[Valor gasto]]</f>
        <v>0</v>
      </c>
      <c r="L970" s="45"/>
      <c r="P970" s="160"/>
      <c r="Q970"/>
      <c r="R970" s="160"/>
      <c r="V970"/>
    </row>
    <row r="971" spans="1:22" ht="15" customHeight="1" x14ac:dyDescent="0.3">
      <c r="A971" s="21"/>
      <c r="B971" s="25"/>
      <c r="C971" s="29"/>
      <c r="D971" s="36"/>
      <c r="E971" s="41"/>
      <c r="F971" s="42"/>
      <c r="G971" s="9"/>
      <c r="H971" s="45"/>
      <c r="I971" s="9"/>
      <c r="J971" s="41"/>
      <c r="K971" s="43">
        <f>Table_246[[#This Row],[Valor da 
venda]]-Table_246[[#This Row],[Valor gasto]]</f>
        <v>0</v>
      </c>
      <c r="L971" s="45"/>
      <c r="P971" s="160"/>
      <c r="Q971"/>
      <c r="R971" s="160"/>
      <c r="V971"/>
    </row>
    <row r="972" spans="1:22" ht="15" customHeight="1" x14ac:dyDescent="0.3">
      <c r="A972" s="21"/>
      <c r="B972" s="25"/>
      <c r="C972" s="29"/>
      <c r="D972" s="36"/>
      <c r="E972" s="41"/>
      <c r="F972" s="42"/>
      <c r="G972" s="9"/>
      <c r="H972" s="45"/>
      <c r="I972" s="9"/>
      <c r="J972" s="41"/>
      <c r="K972" s="43">
        <f>Table_246[[#This Row],[Valor da 
venda]]-Table_246[[#This Row],[Valor gasto]]</f>
        <v>0</v>
      </c>
      <c r="L972" s="45"/>
      <c r="P972" s="160"/>
      <c r="Q972"/>
      <c r="R972" s="160"/>
      <c r="V972"/>
    </row>
    <row r="973" spans="1:22" ht="15" customHeight="1" x14ac:dyDescent="0.3">
      <c r="A973" s="21"/>
      <c r="B973" s="25"/>
      <c r="C973" s="29"/>
      <c r="D973" s="36"/>
      <c r="E973" s="41"/>
      <c r="F973" s="42"/>
      <c r="G973" s="9"/>
      <c r="H973" s="45"/>
      <c r="I973" s="9"/>
      <c r="J973" s="41"/>
      <c r="K973" s="43">
        <f>Table_246[[#This Row],[Valor da 
venda]]-Table_246[[#This Row],[Valor gasto]]</f>
        <v>0</v>
      </c>
      <c r="L973" s="45"/>
      <c r="P973" s="160"/>
      <c r="Q973"/>
      <c r="R973" s="160"/>
      <c r="V973"/>
    </row>
    <row r="974" spans="1:22" ht="15" customHeight="1" x14ac:dyDescent="0.3">
      <c r="A974" s="21"/>
      <c r="B974" s="25"/>
      <c r="C974" s="29"/>
      <c r="D974" s="36"/>
      <c r="E974" s="41"/>
      <c r="F974" s="42"/>
      <c r="G974" s="9"/>
      <c r="H974" s="45"/>
      <c r="I974" s="9"/>
      <c r="J974" s="41"/>
      <c r="K974" s="43">
        <f>Table_246[[#This Row],[Valor da 
venda]]-Table_246[[#This Row],[Valor gasto]]</f>
        <v>0</v>
      </c>
      <c r="L974" s="45"/>
      <c r="P974" s="160"/>
      <c r="Q974"/>
      <c r="R974" s="160"/>
      <c r="V974"/>
    </row>
    <row r="975" spans="1:22" ht="15" customHeight="1" x14ac:dyDescent="0.3">
      <c r="A975" s="21"/>
      <c r="B975" s="25"/>
      <c r="C975" s="29"/>
      <c r="D975" s="36"/>
      <c r="E975" s="41"/>
      <c r="F975" s="42"/>
      <c r="G975" s="9"/>
      <c r="H975" s="45"/>
      <c r="I975" s="9"/>
      <c r="J975" s="41"/>
      <c r="K975" s="43">
        <f>Table_246[[#This Row],[Valor da 
venda]]-Table_246[[#This Row],[Valor gasto]]</f>
        <v>0</v>
      </c>
      <c r="L975" s="45"/>
      <c r="P975" s="160"/>
      <c r="Q975"/>
      <c r="R975" s="160"/>
      <c r="V975"/>
    </row>
    <row r="976" spans="1:22" ht="15" customHeight="1" x14ac:dyDescent="0.3">
      <c r="A976" s="21"/>
      <c r="B976" s="25"/>
      <c r="C976" s="29"/>
      <c r="D976" s="36"/>
      <c r="E976" s="41"/>
      <c r="F976" s="42"/>
      <c r="G976" s="9"/>
      <c r="H976" s="45"/>
      <c r="I976" s="9"/>
      <c r="J976" s="41"/>
      <c r="K976" s="43">
        <f>Table_246[[#This Row],[Valor da 
venda]]-Table_246[[#This Row],[Valor gasto]]</f>
        <v>0</v>
      </c>
      <c r="L976" s="45"/>
      <c r="P976" s="160"/>
      <c r="Q976"/>
      <c r="R976" s="160"/>
      <c r="V976"/>
    </row>
    <row r="977" spans="1:22" ht="15" customHeight="1" x14ac:dyDescent="0.3">
      <c r="A977" s="21"/>
      <c r="B977" s="25"/>
      <c r="C977" s="29"/>
      <c r="D977" s="36"/>
      <c r="E977" s="41"/>
      <c r="F977" s="42"/>
      <c r="G977" s="9"/>
      <c r="H977" s="45"/>
      <c r="I977" s="9"/>
      <c r="J977" s="41"/>
      <c r="K977" s="43">
        <f>Table_246[[#This Row],[Valor da 
venda]]-Table_246[[#This Row],[Valor gasto]]</f>
        <v>0</v>
      </c>
      <c r="L977" s="45"/>
      <c r="P977" s="160"/>
      <c r="Q977"/>
      <c r="R977" s="160"/>
      <c r="V977"/>
    </row>
    <row r="978" spans="1:22" ht="15" customHeight="1" x14ac:dyDescent="0.3">
      <c r="A978" s="21"/>
      <c r="B978" s="25"/>
      <c r="C978" s="29"/>
      <c r="D978" s="36"/>
      <c r="E978" s="41"/>
      <c r="F978" s="42"/>
      <c r="G978" s="9"/>
      <c r="H978" s="45"/>
      <c r="I978" s="9"/>
      <c r="J978" s="41"/>
      <c r="K978" s="43">
        <f>Table_246[[#This Row],[Valor da 
venda]]-Table_246[[#This Row],[Valor gasto]]</f>
        <v>0</v>
      </c>
      <c r="L978" s="45"/>
      <c r="P978" s="160"/>
      <c r="Q978"/>
      <c r="R978" s="160"/>
      <c r="V978"/>
    </row>
    <row r="979" spans="1:22" ht="15" customHeight="1" x14ac:dyDescent="0.3">
      <c r="A979" s="21"/>
      <c r="B979" s="25"/>
      <c r="C979" s="29"/>
      <c r="D979" s="36"/>
      <c r="E979" s="41"/>
      <c r="F979" s="42"/>
      <c r="G979" s="9"/>
      <c r="H979" s="45"/>
      <c r="I979" s="9"/>
      <c r="J979" s="41"/>
      <c r="K979" s="43">
        <f>Table_246[[#This Row],[Valor da 
venda]]-Table_246[[#This Row],[Valor gasto]]</f>
        <v>0</v>
      </c>
      <c r="L979" s="45"/>
      <c r="P979" s="160"/>
      <c r="Q979"/>
      <c r="R979" s="160"/>
      <c r="V979"/>
    </row>
    <row r="980" spans="1:22" ht="15" customHeight="1" x14ac:dyDescent="0.3">
      <c r="A980" s="21"/>
      <c r="B980" s="25"/>
      <c r="C980" s="29"/>
      <c r="D980" s="36"/>
      <c r="E980" s="41"/>
      <c r="F980" s="42"/>
      <c r="G980" s="9"/>
      <c r="H980" s="45"/>
      <c r="I980" s="9"/>
      <c r="J980" s="41"/>
      <c r="K980" s="43">
        <f>Table_246[[#This Row],[Valor da 
venda]]-Table_246[[#This Row],[Valor gasto]]</f>
        <v>0</v>
      </c>
      <c r="L980" s="45"/>
      <c r="P980" s="160"/>
      <c r="Q980"/>
      <c r="R980" s="160"/>
      <c r="V980"/>
    </row>
    <row r="981" spans="1:22" ht="15" customHeight="1" x14ac:dyDescent="0.3">
      <c r="A981" s="21"/>
      <c r="B981" s="25"/>
      <c r="C981" s="29"/>
      <c r="D981" s="36"/>
      <c r="E981" s="41"/>
      <c r="F981" s="42"/>
      <c r="G981" s="9"/>
      <c r="H981" s="45"/>
      <c r="I981" s="9"/>
      <c r="J981" s="41"/>
      <c r="K981" s="43">
        <f>Table_246[[#This Row],[Valor da 
venda]]-Table_246[[#This Row],[Valor gasto]]</f>
        <v>0</v>
      </c>
      <c r="L981" s="45"/>
      <c r="P981" s="160"/>
      <c r="Q981"/>
      <c r="R981" s="160"/>
      <c r="V981"/>
    </row>
    <row r="982" spans="1:22" ht="15" customHeight="1" x14ac:dyDescent="0.3">
      <c r="A982" s="21"/>
      <c r="B982" s="25"/>
      <c r="C982" s="29"/>
      <c r="D982" s="36"/>
      <c r="E982" s="41"/>
      <c r="F982" s="42"/>
      <c r="G982" s="9"/>
      <c r="H982" s="45"/>
      <c r="I982" s="9"/>
      <c r="J982" s="41"/>
      <c r="K982" s="43">
        <f>Table_246[[#This Row],[Valor da 
venda]]-Table_246[[#This Row],[Valor gasto]]</f>
        <v>0</v>
      </c>
      <c r="L982" s="45"/>
      <c r="P982" s="160"/>
      <c r="Q982"/>
      <c r="R982" s="160"/>
      <c r="V982"/>
    </row>
    <row r="983" spans="1:22" ht="15" customHeight="1" x14ac:dyDescent="0.3">
      <c r="A983" s="21"/>
      <c r="B983" s="25"/>
      <c r="C983" s="29"/>
      <c r="D983" s="36"/>
      <c r="E983" s="41"/>
      <c r="F983" s="42"/>
      <c r="G983" s="9"/>
      <c r="H983" s="45"/>
      <c r="I983" s="9"/>
      <c r="J983" s="41"/>
      <c r="K983" s="43">
        <f>Table_246[[#This Row],[Valor da 
venda]]-Table_246[[#This Row],[Valor gasto]]</f>
        <v>0</v>
      </c>
      <c r="L983" s="45"/>
      <c r="P983" s="160"/>
      <c r="Q983"/>
      <c r="R983" s="160"/>
      <c r="V983"/>
    </row>
    <row r="984" spans="1:22" ht="15" customHeight="1" x14ac:dyDescent="0.3">
      <c r="A984" s="21"/>
      <c r="B984" s="25"/>
      <c r="C984" s="29"/>
      <c r="D984" s="36"/>
      <c r="E984" s="41"/>
      <c r="F984" s="42"/>
      <c r="G984" s="9"/>
      <c r="H984" s="45"/>
      <c r="I984" s="9"/>
      <c r="J984" s="41"/>
      <c r="K984" s="43">
        <f>Table_246[[#This Row],[Valor da 
venda]]-Table_246[[#This Row],[Valor gasto]]</f>
        <v>0</v>
      </c>
      <c r="L984" s="45"/>
      <c r="P984" s="160"/>
      <c r="Q984"/>
      <c r="R984" s="160"/>
      <c r="V984"/>
    </row>
    <row r="985" spans="1:22" ht="15" customHeight="1" x14ac:dyDescent="0.3">
      <c r="A985" s="21"/>
      <c r="B985" s="25"/>
      <c r="C985" s="29"/>
      <c r="D985" s="36"/>
      <c r="E985" s="41"/>
      <c r="F985" s="42"/>
      <c r="G985" s="9"/>
      <c r="H985" s="45"/>
      <c r="I985" s="9"/>
      <c r="J985" s="41"/>
      <c r="K985" s="43">
        <f>Table_246[[#This Row],[Valor da 
venda]]-Table_246[[#This Row],[Valor gasto]]</f>
        <v>0</v>
      </c>
      <c r="L985" s="45"/>
      <c r="P985" s="160"/>
      <c r="Q985"/>
      <c r="R985" s="160"/>
      <c r="V985"/>
    </row>
    <row r="986" spans="1:22" ht="15" customHeight="1" x14ac:dyDescent="0.3">
      <c r="A986" s="21"/>
      <c r="B986" s="25"/>
      <c r="C986" s="29"/>
      <c r="D986" s="36"/>
      <c r="E986" s="41"/>
      <c r="F986" s="42"/>
      <c r="G986" s="9"/>
      <c r="H986" s="45"/>
      <c r="I986" s="9"/>
      <c r="J986" s="41"/>
      <c r="K986" s="43">
        <f>Table_246[[#This Row],[Valor da 
venda]]-Table_246[[#This Row],[Valor gasto]]</f>
        <v>0</v>
      </c>
      <c r="L986" s="45"/>
      <c r="P986" s="160"/>
      <c r="Q986"/>
      <c r="R986" s="160"/>
      <c r="V986"/>
    </row>
    <row r="987" spans="1:22" ht="15" customHeight="1" x14ac:dyDescent="0.3">
      <c r="A987" s="21"/>
      <c r="B987" s="25"/>
      <c r="C987" s="29"/>
      <c r="D987" s="36"/>
      <c r="E987" s="41"/>
      <c r="F987" s="42"/>
      <c r="G987" s="9"/>
      <c r="H987" s="45"/>
      <c r="I987" s="9"/>
      <c r="J987" s="41"/>
      <c r="K987" s="43">
        <f>Table_246[[#This Row],[Valor da 
venda]]-Table_246[[#This Row],[Valor gasto]]</f>
        <v>0</v>
      </c>
      <c r="L987" s="45"/>
      <c r="P987" s="160"/>
      <c r="Q987"/>
      <c r="R987" s="160"/>
      <c r="V987"/>
    </row>
    <row r="988" spans="1:22" ht="15" customHeight="1" x14ac:dyDescent="0.3">
      <c r="A988" s="21"/>
      <c r="B988" s="25"/>
      <c r="C988" s="29"/>
      <c r="D988" s="36"/>
      <c r="E988" s="41"/>
      <c r="F988" s="42"/>
      <c r="G988" s="9"/>
      <c r="H988" s="45"/>
      <c r="I988" s="9"/>
      <c r="J988" s="41"/>
      <c r="K988" s="43">
        <f>Table_246[[#This Row],[Valor da 
venda]]-Table_246[[#This Row],[Valor gasto]]</f>
        <v>0</v>
      </c>
      <c r="L988" s="45"/>
      <c r="P988" s="160"/>
      <c r="Q988"/>
      <c r="R988" s="160"/>
      <c r="V988"/>
    </row>
    <row r="989" spans="1:22" ht="15" customHeight="1" x14ac:dyDescent="0.3">
      <c r="A989" s="21"/>
      <c r="B989" s="25"/>
      <c r="C989" s="29"/>
      <c r="D989" s="36"/>
      <c r="E989" s="41"/>
      <c r="F989" s="42"/>
      <c r="G989" s="9"/>
      <c r="H989" s="45"/>
      <c r="I989" s="9"/>
      <c r="J989" s="41"/>
      <c r="K989" s="43">
        <f>Table_246[[#This Row],[Valor da 
venda]]-Table_246[[#This Row],[Valor gasto]]</f>
        <v>0</v>
      </c>
      <c r="L989" s="45"/>
      <c r="P989" s="160"/>
      <c r="Q989"/>
      <c r="R989" s="160"/>
      <c r="V989"/>
    </row>
    <row r="990" spans="1:22" ht="15" customHeight="1" x14ac:dyDescent="0.3">
      <c r="A990" s="21"/>
      <c r="B990" s="25"/>
      <c r="C990" s="29"/>
      <c r="D990" s="36"/>
      <c r="E990" s="41"/>
      <c r="F990" s="42"/>
      <c r="G990" s="9"/>
      <c r="H990" s="45"/>
      <c r="I990" s="9"/>
      <c r="J990" s="41"/>
      <c r="K990" s="43">
        <f>Table_246[[#This Row],[Valor da 
venda]]-Table_246[[#This Row],[Valor gasto]]</f>
        <v>0</v>
      </c>
      <c r="L990" s="45"/>
      <c r="P990" s="160"/>
      <c r="Q990"/>
      <c r="R990" s="160"/>
      <c r="V990"/>
    </row>
    <row r="991" spans="1:22" ht="15" customHeight="1" x14ac:dyDescent="0.3">
      <c r="A991" s="21"/>
      <c r="B991" s="25"/>
      <c r="C991" s="29"/>
      <c r="D991" s="36"/>
      <c r="E991" s="41"/>
      <c r="F991" s="42"/>
      <c r="G991" s="9"/>
      <c r="H991" s="45"/>
      <c r="I991" s="9"/>
      <c r="J991" s="41"/>
      <c r="K991" s="43">
        <f>Table_246[[#This Row],[Valor da 
venda]]-Table_246[[#This Row],[Valor gasto]]</f>
        <v>0</v>
      </c>
      <c r="L991" s="45"/>
      <c r="P991" s="160"/>
      <c r="Q991"/>
      <c r="R991" s="160"/>
      <c r="V991"/>
    </row>
    <row r="992" spans="1:22" ht="15" customHeight="1" x14ac:dyDescent="0.3">
      <c r="A992" s="21"/>
      <c r="B992" s="25"/>
      <c r="C992" s="29"/>
      <c r="D992" s="36"/>
      <c r="E992" s="41"/>
      <c r="F992" s="42"/>
      <c r="G992" s="9"/>
      <c r="H992" s="45"/>
      <c r="I992" s="9"/>
      <c r="J992" s="41"/>
      <c r="K992" s="43">
        <f>Table_246[[#This Row],[Valor da 
venda]]-Table_246[[#This Row],[Valor gasto]]</f>
        <v>0</v>
      </c>
      <c r="L992" s="45"/>
      <c r="P992" s="160"/>
      <c r="Q992"/>
      <c r="R992" s="160"/>
      <c r="V992"/>
    </row>
    <row r="993" spans="1:22" ht="15" customHeight="1" x14ac:dyDescent="0.3">
      <c r="A993" s="21"/>
      <c r="B993" s="25"/>
      <c r="C993" s="29"/>
      <c r="D993" s="36"/>
      <c r="E993" s="41"/>
      <c r="F993" s="42"/>
      <c r="G993" s="9"/>
      <c r="H993" s="45"/>
      <c r="I993" s="9"/>
      <c r="J993" s="41"/>
      <c r="K993" s="43">
        <f>Table_246[[#This Row],[Valor da 
venda]]-Table_246[[#This Row],[Valor gasto]]</f>
        <v>0</v>
      </c>
      <c r="L993" s="45"/>
      <c r="P993" s="160"/>
      <c r="Q993"/>
      <c r="R993" s="160"/>
      <c r="V993"/>
    </row>
    <row r="994" spans="1:22" ht="15" customHeight="1" x14ac:dyDescent="0.3">
      <c r="A994" s="21"/>
      <c r="B994" s="25"/>
      <c r="C994" s="29"/>
      <c r="D994" s="36"/>
      <c r="E994" s="41"/>
      <c r="F994" s="42"/>
      <c r="G994" s="9"/>
      <c r="H994" s="45"/>
      <c r="I994" s="9"/>
      <c r="J994" s="41"/>
      <c r="K994" s="43">
        <f>Table_246[[#This Row],[Valor da 
venda]]-Table_246[[#This Row],[Valor gasto]]</f>
        <v>0</v>
      </c>
      <c r="L994" s="45"/>
      <c r="P994" s="160"/>
      <c r="Q994"/>
      <c r="R994" s="160"/>
      <c r="V994"/>
    </row>
    <row r="995" spans="1:22" ht="15" customHeight="1" x14ac:dyDescent="0.3">
      <c r="A995" s="21"/>
      <c r="B995" s="25"/>
      <c r="C995" s="29"/>
      <c r="D995" s="36"/>
      <c r="E995" s="41"/>
      <c r="F995" s="42"/>
      <c r="G995" s="9"/>
      <c r="H995" s="45"/>
      <c r="I995" s="9"/>
      <c r="J995" s="41"/>
      <c r="K995" s="43">
        <f>Table_246[[#This Row],[Valor da 
venda]]-Table_246[[#This Row],[Valor gasto]]</f>
        <v>0</v>
      </c>
      <c r="L995" s="45"/>
      <c r="P995" s="160"/>
      <c r="Q995"/>
      <c r="R995" s="160"/>
      <c r="V995"/>
    </row>
    <row r="996" spans="1:22" ht="15" customHeight="1" x14ac:dyDescent="0.3">
      <c r="A996" s="21"/>
      <c r="B996" s="25"/>
      <c r="C996" s="29"/>
      <c r="D996" s="36"/>
      <c r="E996" s="41"/>
      <c r="F996" s="42"/>
      <c r="G996" s="9"/>
      <c r="H996" s="45"/>
      <c r="I996" s="9"/>
      <c r="J996" s="41"/>
      <c r="K996" s="43">
        <f>Table_246[[#This Row],[Valor da 
venda]]-Table_246[[#This Row],[Valor gasto]]</f>
        <v>0</v>
      </c>
      <c r="L996" s="45"/>
      <c r="P996" s="160"/>
      <c r="Q996"/>
      <c r="R996" s="160"/>
      <c r="V996"/>
    </row>
    <row r="997" spans="1:22" ht="15" customHeight="1" x14ac:dyDescent="0.3">
      <c r="A997" s="21"/>
      <c r="B997" s="25"/>
      <c r="C997" s="29"/>
      <c r="D997" s="36"/>
      <c r="E997" s="41"/>
      <c r="F997" s="42"/>
      <c r="G997" s="9"/>
      <c r="H997" s="45"/>
      <c r="I997" s="9"/>
      <c r="J997" s="41"/>
      <c r="K997" s="43">
        <f>Table_246[[#This Row],[Valor da 
venda]]-Table_246[[#This Row],[Valor gasto]]</f>
        <v>0</v>
      </c>
      <c r="L997" s="45"/>
      <c r="P997" s="160"/>
      <c r="Q997"/>
      <c r="R997" s="160"/>
      <c r="V997"/>
    </row>
    <row r="998" spans="1:22" ht="15" customHeight="1" x14ac:dyDescent="0.3">
      <c r="A998" s="21"/>
      <c r="B998" s="25"/>
      <c r="C998" s="29"/>
      <c r="D998" s="36"/>
      <c r="E998" s="41"/>
      <c r="F998" s="42"/>
      <c r="G998" s="9"/>
      <c r="H998" s="45"/>
      <c r="I998" s="9"/>
      <c r="J998" s="41"/>
      <c r="K998" s="43">
        <f>Table_246[[#This Row],[Valor da 
venda]]-Table_246[[#This Row],[Valor gasto]]</f>
        <v>0</v>
      </c>
      <c r="L998" s="45"/>
      <c r="P998" s="160"/>
      <c r="Q998"/>
      <c r="R998" s="160"/>
      <c r="V998"/>
    </row>
    <row r="999" spans="1:22" ht="15" customHeight="1" x14ac:dyDescent="0.3">
      <c r="A999" s="21"/>
      <c r="B999" s="25"/>
      <c r="C999" s="29"/>
      <c r="D999" s="36"/>
      <c r="E999" s="41"/>
      <c r="F999" s="42"/>
      <c r="G999" s="9"/>
      <c r="H999" s="45"/>
      <c r="I999" s="9"/>
      <c r="J999" s="41"/>
      <c r="K999" s="43">
        <f>Table_246[[#This Row],[Valor da 
venda]]-Table_246[[#This Row],[Valor gasto]]</f>
        <v>0</v>
      </c>
      <c r="L999" s="45"/>
      <c r="P999" s="160"/>
      <c r="Q999"/>
      <c r="R999" s="160"/>
      <c r="V999"/>
    </row>
    <row r="1000" spans="1:22" ht="15" customHeight="1" x14ac:dyDescent="0.3">
      <c r="A1000" s="21"/>
      <c r="B1000" s="25"/>
      <c r="C1000" s="29"/>
      <c r="D1000" s="36"/>
      <c r="E1000" s="41"/>
      <c r="F1000" s="42"/>
      <c r="G1000" s="9"/>
      <c r="H1000" s="45"/>
      <c r="I1000" s="9"/>
      <c r="J1000" s="41"/>
      <c r="K1000" s="43">
        <f>Table_246[[#This Row],[Valor da 
venda]]-Table_246[[#This Row],[Valor gasto]]</f>
        <v>0</v>
      </c>
      <c r="L1000" s="45"/>
      <c r="P1000" s="160"/>
      <c r="Q1000"/>
      <c r="R1000" s="160"/>
      <c r="V1000"/>
    </row>
    <row r="1001" spans="1:22" ht="15" customHeight="1" x14ac:dyDescent="0.3">
      <c r="A1001" s="21"/>
      <c r="B1001" s="25"/>
      <c r="C1001" s="29"/>
      <c r="D1001" s="36"/>
      <c r="E1001" s="41"/>
      <c r="F1001" s="42"/>
      <c r="G1001" s="9"/>
      <c r="H1001" s="45"/>
      <c r="I1001" s="9"/>
      <c r="J1001" s="41"/>
      <c r="K1001" s="43">
        <f>Table_246[[#This Row],[Valor da 
venda]]-Table_246[[#This Row],[Valor gasto]]</f>
        <v>0</v>
      </c>
      <c r="L1001" s="45"/>
      <c r="P1001" s="160"/>
      <c r="Q1001"/>
      <c r="R1001" s="160"/>
      <c r="V1001"/>
    </row>
    <row r="1002" spans="1:22" ht="15" customHeight="1" x14ac:dyDescent="0.3">
      <c r="A1002" s="21"/>
      <c r="B1002" s="25"/>
      <c r="C1002" s="29"/>
      <c r="D1002" s="36"/>
      <c r="E1002" s="41"/>
      <c r="F1002" s="42"/>
      <c r="G1002" s="9"/>
      <c r="H1002" s="45"/>
      <c r="I1002" s="9"/>
      <c r="J1002" s="41"/>
      <c r="K1002" s="43">
        <f>Table_246[[#This Row],[Valor da 
venda]]-Table_246[[#This Row],[Valor gasto]]</f>
        <v>0</v>
      </c>
      <c r="L1002" s="45"/>
      <c r="P1002" s="160"/>
      <c r="Q1002"/>
      <c r="R1002" s="160"/>
      <c r="V1002"/>
    </row>
    <row r="1003" spans="1:22" ht="15" customHeight="1" x14ac:dyDescent="0.3">
      <c r="A1003" s="21"/>
      <c r="B1003" s="25"/>
      <c r="C1003" s="29"/>
      <c r="D1003" s="36"/>
      <c r="E1003" s="41"/>
      <c r="F1003" s="42"/>
      <c r="G1003" s="9"/>
      <c r="H1003" s="45"/>
      <c r="I1003" s="9"/>
      <c r="J1003" s="41"/>
      <c r="K1003" s="43">
        <f>Table_246[[#This Row],[Valor da 
venda]]-Table_246[[#This Row],[Valor gasto]]</f>
        <v>0</v>
      </c>
      <c r="L1003" s="45"/>
      <c r="P1003" s="160"/>
      <c r="Q1003"/>
      <c r="R1003" s="160"/>
      <c r="V1003"/>
    </row>
    <row r="1004" spans="1:22" ht="15" customHeight="1" x14ac:dyDescent="0.3">
      <c r="A1004" s="21"/>
      <c r="B1004" s="25"/>
      <c r="C1004" s="29"/>
      <c r="D1004" s="36"/>
      <c r="E1004" s="41"/>
      <c r="F1004" s="42"/>
      <c r="G1004" s="9"/>
      <c r="H1004" s="45"/>
      <c r="I1004" s="9"/>
      <c r="J1004" s="41"/>
      <c r="K1004" s="43">
        <f>Table_246[[#This Row],[Valor da 
venda]]-Table_246[[#This Row],[Valor gasto]]</f>
        <v>0</v>
      </c>
      <c r="L1004" s="45"/>
      <c r="P1004" s="160"/>
      <c r="Q1004"/>
      <c r="R1004" s="160"/>
      <c r="V1004"/>
    </row>
    <row r="1005" spans="1:22" ht="15" customHeight="1" x14ac:dyDescent="0.3">
      <c r="A1005" s="21"/>
      <c r="B1005" s="25"/>
      <c r="C1005" s="29"/>
      <c r="D1005" s="36"/>
      <c r="E1005" s="41"/>
      <c r="F1005" s="42"/>
      <c r="G1005" s="9"/>
      <c r="H1005" s="45"/>
      <c r="I1005" s="9"/>
      <c r="J1005" s="41"/>
      <c r="K1005" s="43">
        <f>Table_246[[#This Row],[Valor da 
venda]]-Table_246[[#This Row],[Valor gasto]]</f>
        <v>0</v>
      </c>
      <c r="L1005" s="45"/>
      <c r="P1005" s="160"/>
      <c r="Q1005"/>
      <c r="R1005" s="160"/>
      <c r="V1005"/>
    </row>
    <row r="1006" spans="1:22" ht="15" customHeight="1" x14ac:dyDescent="0.3">
      <c r="A1006" s="21"/>
      <c r="B1006" s="25"/>
      <c r="C1006" s="29"/>
      <c r="D1006" s="36"/>
      <c r="E1006" s="41"/>
      <c r="F1006" s="42"/>
      <c r="G1006" s="9"/>
      <c r="H1006" s="45"/>
      <c r="I1006" s="9"/>
      <c r="J1006" s="41"/>
      <c r="K1006" s="43">
        <f>Table_246[[#This Row],[Valor da 
venda]]-Table_246[[#This Row],[Valor gasto]]</f>
        <v>0</v>
      </c>
      <c r="L1006" s="45"/>
      <c r="P1006" s="160"/>
      <c r="Q1006"/>
      <c r="R1006" s="160"/>
      <c r="V1006"/>
    </row>
    <row r="1007" spans="1:22" ht="15" customHeight="1" x14ac:dyDescent="0.3">
      <c r="A1007" s="21"/>
      <c r="B1007" s="25"/>
      <c r="C1007" s="29"/>
      <c r="D1007" s="36"/>
      <c r="E1007" s="41"/>
      <c r="F1007" s="42"/>
      <c r="G1007" s="9"/>
      <c r="H1007" s="45"/>
      <c r="I1007" s="9"/>
      <c r="J1007" s="41"/>
      <c r="K1007" s="43">
        <f>Table_246[[#This Row],[Valor da 
venda]]-Table_246[[#This Row],[Valor gasto]]</f>
        <v>0</v>
      </c>
      <c r="L1007" s="45"/>
      <c r="P1007" s="160"/>
      <c r="Q1007"/>
      <c r="R1007" s="160"/>
      <c r="V1007"/>
    </row>
    <row r="1008" spans="1:22" ht="15" customHeight="1" x14ac:dyDescent="0.3">
      <c r="A1008" s="21"/>
      <c r="B1008" s="25"/>
      <c r="C1008" s="29"/>
      <c r="D1008" s="36"/>
      <c r="E1008" s="41"/>
      <c r="F1008" s="42"/>
      <c r="G1008" s="9"/>
      <c r="H1008" s="45"/>
      <c r="I1008" s="9"/>
      <c r="J1008" s="41"/>
      <c r="K1008" s="43">
        <f>Table_246[[#This Row],[Valor da 
venda]]-Table_246[[#This Row],[Valor gasto]]</f>
        <v>0</v>
      </c>
      <c r="L1008" s="45"/>
      <c r="P1008" s="160"/>
      <c r="Q1008"/>
      <c r="R1008" s="160"/>
      <c r="V1008"/>
    </row>
    <row r="1009" spans="1:22" ht="15" customHeight="1" x14ac:dyDescent="0.3">
      <c r="A1009" s="21"/>
      <c r="B1009" s="25"/>
      <c r="C1009" s="29"/>
      <c r="D1009" s="36"/>
      <c r="E1009" s="41"/>
      <c r="F1009" s="42"/>
      <c r="G1009" s="9"/>
      <c r="H1009" s="45"/>
      <c r="I1009" s="9"/>
      <c r="J1009" s="41"/>
      <c r="K1009" s="43">
        <f>Table_246[[#This Row],[Valor da 
venda]]-Table_246[[#This Row],[Valor gasto]]</f>
        <v>0</v>
      </c>
      <c r="L1009" s="45"/>
      <c r="P1009" s="160"/>
      <c r="Q1009"/>
      <c r="R1009" s="160"/>
      <c r="V1009"/>
    </row>
    <row r="1010" spans="1:22" ht="15" customHeight="1" x14ac:dyDescent="0.3">
      <c r="A1010" s="21"/>
      <c r="B1010" s="25"/>
      <c r="C1010" s="29"/>
      <c r="D1010" s="36"/>
      <c r="E1010" s="41"/>
      <c r="F1010" s="42"/>
      <c r="G1010" s="9"/>
      <c r="H1010" s="45"/>
      <c r="I1010" s="9"/>
      <c r="J1010" s="41"/>
      <c r="K1010" s="43">
        <f>Table_246[[#This Row],[Valor da 
venda]]-Table_246[[#This Row],[Valor gasto]]</f>
        <v>0</v>
      </c>
      <c r="L1010" s="45"/>
      <c r="P1010" s="160"/>
      <c r="Q1010"/>
      <c r="R1010" s="160"/>
      <c r="V1010"/>
    </row>
    <row r="1011" spans="1:22" ht="15" customHeight="1" x14ac:dyDescent="0.3">
      <c r="A1011" s="21"/>
      <c r="B1011" s="25"/>
      <c r="C1011" s="29"/>
      <c r="D1011" s="36"/>
      <c r="E1011" s="41"/>
      <c r="F1011" s="42"/>
      <c r="G1011" s="9"/>
      <c r="H1011" s="45"/>
      <c r="I1011" s="9"/>
      <c r="J1011" s="41"/>
      <c r="K1011" s="43">
        <f>Table_246[[#This Row],[Valor da 
venda]]-Table_246[[#This Row],[Valor gasto]]</f>
        <v>0</v>
      </c>
      <c r="L1011" s="45"/>
      <c r="P1011" s="160"/>
      <c r="Q1011"/>
      <c r="R1011" s="160"/>
      <c r="V1011"/>
    </row>
    <row r="1012" spans="1:22" ht="15" customHeight="1" x14ac:dyDescent="0.3">
      <c r="A1012" s="21"/>
      <c r="B1012" s="25"/>
      <c r="C1012" s="29"/>
      <c r="D1012" s="36"/>
      <c r="E1012" s="41"/>
      <c r="F1012" s="42"/>
      <c r="G1012" s="9"/>
      <c r="H1012" s="45"/>
      <c r="I1012" s="9"/>
      <c r="J1012" s="41"/>
      <c r="K1012" s="43">
        <f>Table_246[[#This Row],[Valor da 
venda]]-Table_246[[#This Row],[Valor gasto]]</f>
        <v>0</v>
      </c>
      <c r="L1012" s="45"/>
      <c r="P1012" s="160"/>
      <c r="Q1012"/>
      <c r="R1012" s="160"/>
      <c r="V1012"/>
    </row>
    <row r="1013" spans="1:22" ht="15" customHeight="1" x14ac:dyDescent="0.3">
      <c r="A1013" s="21"/>
      <c r="B1013" s="25"/>
      <c r="C1013" s="29"/>
      <c r="D1013" s="36"/>
      <c r="E1013" s="41"/>
      <c r="F1013" s="42"/>
      <c r="G1013" s="9"/>
      <c r="H1013" s="45"/>
      <c r="I1013" s="9"/>
      <c r="J1013" s="41"/>
      <c r="K1013" s="43">
        <f>Table_246[[#This Row],[Valor da 
venda]]-Table_246[[#This Row],[Valor gasto]]</f>
        <v>0</v>
      </c>
      <c r="L1013" s="45"/>
      <c r="P1013" s="160"/>
      <c r="Q1013"/>
      <c r="R1013" s="160"/>
      <c r="V1013"/>
    </row>
    <row r="1014" spans="1:22" ht="15" customHeight="1" x14ac:dyDescent="0.3">
      <c r="A1014" s="21"/>
      <c r="B1014" s="25"/>
      <c r="C1014" s="29"/>
      <c r="D1014" s="36"/>
      <c r="E1014" s="41"/>
      <c r="F1014" s="42"/>
      <c r="G1014" s="9"/>
      <c r="H1014" s="45"/>
      <c r="I1014" s="9"/>
      <c r="J1014" s="41"/>
      <c r="K1014" s="43">
        <f>Table_246[[#This Row],[Valor da 
venda]]-Table_246[[#This Row],[Valor gasto]]</f>
        <v>0</v>
      </c>
      <c r="L1014" s="45"/>
      <c r="P1014" s="160"/>
      <c r="Q1014"/>
      <c r="R1014" s="160"/>
      <c r="V1014"/>
    </row>
    <row r="1015" spans="1:22" ht="14.25" customHeight="1" x14ac:dyDescent="0.3">
      <c r="A1015" s="21"/>
      <c r="B1015" s="25"/>
      <c r="C1015" s="29"/>
      <c r="D1015" s="36"/>
      <c r="E1015" s="41"/>
      <c r="F1015" s="42"/>
      <c r="G1015" s="9"/>
      <c r="H1015" s="45"/>
      <c r="I1015" s="9"/>
      <c r="J1015" s="41"/>
      <c r="K1015" s="43">
        <f>Table_246[[#This Row],[Valor da 
venda]]-Table_246[[#This Row],[Valor gasto]]</f>
        <v>0</v>
      </c>
      <c r="L1015" s="45"/>
      <c r="P1015" s="160"/>
      <c r="Q1015"/>
      <c r="R1015" s="160"/>
      <c r="V1015"/>
    </row>
    <row r="1016" spans="1:22" ht="15" customHeight="1" x14ac:dyDescent="0.3">
      <c r="A1016" s="21"/>
      <c r="B1016" s="25"/>
      <c r="C1016" s="29"/>
      <c r="D1016" s="36"/>
      <c r="E1016" s="41"/>
      <c r="F1016" s="42"/>
      <c r="G1016" s="9"/>
      <c r="H1016" s="45"/>
      <c r="I1016" s="9"/>
      <c r="J1016" s="41"/>
      <c r="K1016" s="43">
        <f>Table_246[[#This Row],[Valor da 
venda]]-Table_246[[#This Row],[Valor gasto]]</f>
        <v>0</v>
      </c>
      <c r="L1016" s="45"/>
      <c r="P1016" s="160"/>
      <c r="Q1016"/>
      <c r="R1016" s="160"/>
      <c r="V1016"/>
    </row>
    <row r="1017" spans="1:22" ht="15" customHeight="1" x14ac:dyDescent="0.3">
      <c r="A1017" s="21"/>
      <c r="B1017" s="25"/>
      <c r="C1017" s="29"/>
      <c r="D1017" s="36"/>
      <c r="E1017" s="41"/>
      <c r="F1017" s="42"/>
      <c r="G1017" s="9"/>
      <c r="H1017" s="45"/>
      <c r="I1017" s="9"/>
      <c r="J1017" s="41"/>
      <c r="K1017" s="43">
        <f>Table_246[[#This Row],[Valor da 
venda]]-Table_246[[#This Row],[Valor gasto]]</f>
        <v>0</v>
      </c>
      <c r="L1017" s="45"/>
      <c r="P1017" s="160"/>
      <c r="Q1017"/>
      <c r="R1017" s="160"/>
      <c r="V1017"/>
    </row>
    <row r="1018" spans="1:22" ht="15" customHeight="1" x14ac:dyDescent="0.3">
      <c r="A1018" s="21"/>
      <c r="B1018" s="25"/>
      <c r="C1018" s="29"/>
      <c r="D1018" s="36"/>
      <c r="E1018" s="41"/>
      <c r="F1018" s="42"/>
      <c r="G1018" s="9"/>
      <c r="H1018" s="45"/>
      <c r="I1018" s="9"/>
      <c r="J1018" s="41"/>
      <c r="K1018" s="43">
        <f>Table_246[[#This Row],[Valor da 
venda]]-Table_246[[#This Row],[Valor gasto]]</f>
        <v>0</v>
      </c>
      <c r="L1018" s="45"/>
      <c r="P1018" s="160"/>
      <c r="Q1018"/>
      <c r="R1018" s="160"/>
      <c r="V1018"/>
    </row>
    <row r="1019" spans="1:22" ht="15" customHeight="1" x14ac:dyDescent="0.3">
      <c r="A1019" s="21"/>
      <c r="B1019" s="25"/>
      <c r="C1019" s="29"/>
      <c r="D1019" s="36"/>
      <c r="E1019" s="41"/>
      <c r="F1019" s="42"/>
      <c r="G1019" s="9"/>
      <c r="H1019" s="45"/>
      <c r="I1019" s="9"/>
      <c r="J1019" s="41"/>
      <c r="K1019" s="43">
        <f>Table_246[[#This Row],[Valor da 
venda]]-Table_246[[#This Row],[Valor gasto]]</f>
        <v>0</v>
      </c>
      <c r="L1019" s="45"/>
      <c r="P1019" s="160"/>
      <c r="Q1019"/>
      <c r="R1019" s="160"/>
      <c r="V1019"/>
    </row>
    <row r="1020" spans="1:22" ht="15" customHeight="1" x14ac:dyDescent="0.3">
      <c r="A1020" s="21"/>
      <c r="B1020" s="25"/>
      <c r="C1020" s="29"/>
      <c r="D1020" s="36"/>
      <c r="E1020" s="41"/>
      <c r="F1020" s="42"/>
      <c r="G1020" s="9"/>
      <c r="H1020" s="45"/>
      <c r="I1020" s="9"/>
      <c r="J1020" s="41"/>
      <c r="K1020" s="43">
        <f>Table_246[[#This Row],[Valor da 
venda]]-Table_246[[#This Row],[Valor gasto]]</f>
        <v>0</v>
      </c>
      <c r="L1020" s="45"/>
      <c r="P1020" s="160"/>
      <c r="Q1020"/>
      <c r="R1020" s="160"/>
      <c r="V1020"/>
    </row>
    <row r="1021" spans="1:22" ht="15" customHeight="1" x14ac:dyDescent="0.3">
      <c r="A1021" s="21"/>
      <c r="B1021" s="25"/>
      <c r="C1021" s="29"/>
      <c r="D1021" s="36"/>
      <c r="E1021" s="41"/>
      <c r="F1021" s="42"/>
      <c r="G1021" s="9"/>
      <c r="H1021" s="45"/>
      <c r="I1021" s="9"/>
      <c r="J1021" s="41"/>
      <c r="K1021" s="43">
        <f>Table_246[[#This Row],[Valor da 
venda]]-Table_246[[#This Row],[Valor gasto]]</f>
        <v>0</v>
      </c>
      <c r="L1021" s="45"/>
      <c r="P1021" s="160"/>
      <c r="Q1021"/>
      <c r="R1021" s="160"/>
      <c r="V1021"/>
    </row>
    <row r="1022" spans="1:22" ht="15" customHeight="1" x14ac:dyDescent="0.3">
      <c r="A1022" s="21"/>
      <c r="B1022" s="25"/>
      <c r="C1022" s="29"/>
      <c r="D1022" s="36"/>
      <c r="E1022" s="41"/>
      <c r="F1022" s="42"/>
      <c r="G1022" s="9"/>
      <c r="H1022" s="45"/>
      <c r="I1022" s="9"/>
      <c r="J1022" s="41"/>
      <c r="K1022" s="43">
        <f>Table_246[[#This Row],[Valor da 
venda]]-Table_246[[#This Row],[Valor gasto]]</f>
        <v>0</v>
      </c>
      <c r="L1022" s="45"/>
      <c r="P1022" s="160"/>
      <c r="Q1022"/>
      <c r="R1022" s="160"/>
      <c r="V1022"/>
    </row>
    <row r="1023" spans="1:22" ht="15" customHeight="1" x14ac:dyDescent="0.3">
      <c r="A1023" s="21"/>
      <c r="B1023" s="25"/>
      <c r="C1023" s="29"/>
      <c r="D1023" s="36"/>
      <c r="E1023" s="41"/>
      <c r="F1023" s="42"/>
      <c r="G1023" s="9"/>
      <c r="H1023" s="45"/>
      <c r="I1023" s="9"/>
      <c r="J1023" s="41"/>
      <c r="K1023" s="43">
        <f>Table_246[[#This Row],[Valor da 
venda]]-Table_246[[#This Row],[Valor gasto]]</f>
        <v>0</v>
      </c>
      <c r="L1023" s="45"/>
      <c r="P1023" s="160"/>
      <c r="Q1023"/>
      <c r="R1023" s="160"/>
      <c r="V1023"/>
    </row>
    <row r="1024" spans="1:22" ht="15" customHeight="1" x14ac:dyDescent="0.3">
      <c r="A1024" s="21"/>
      <c r="B1024" s="25"/>
      <c r="C1024" s="29"/>
      <c r="D1024" s="36"/>
      <c r="E1024" s="41"/>
      <c r="F1024" s="42"/>
      <c r="G1024" s="9"/>
      <c r="H1024" s="45"/>
      <c r="I1024" s="9"/>
      <c r="J1024" s="41"/>
      <c r="K1024" s="43">
        <f>Table_246[[#This Row],[Valor da 
venda]]-Table_246[[#This Row],[Valor gasto]]</f>
        <v>0</v>
      </c>
      <c r="L1024" s="45"/>
      <c r="P1024" s="160"/>
      <c r="Q1024"/>
      <c r="R1024" s="160"/>
      <c r="V1024"/>
    </row>
    <row r="1025" spans="1:22" ht="15" customHeight="1" x14ac:dyDescent="0.3">
      <c r="A1025" s="21"/>
      <c r="B1025" s="25"/>
      <c r="C1025" s="29"/>
      <c r="D1025" s="36"/>
      <c r="E1025" s="41"/>
      <c r="F1025" s="42"/>
      <c r="G1025" s="9"/>
      <c r="H1025" s="45"/>
      <c r="I1025" s="9"/>
      <c r="J1025" s="41"/>
      <c r="K1025" s="43">
        <f>Table_246[[#This Row],[Valor da 
venda]]-Table_246[[#This Row],[Valor gasto]]</f>
        <v>0</v>
      </c>
      <c r="L1025" s="45"/>
      <c r="P1025" s="160"/>
      <c r="Q1025"/>
      <c r="R1025" s="160"/>
      <c r="V1025"/>
    </row>
    <row r="1026" spans="1:22" ht="15" customHeight="1" x14ac:dyDescent="0.3">
      <c r="A1026" s="21"/>
      <c r="B1026" s="25"/>
      <c r="C1026" s="29"/>
      <c r="D1026" s="36"/>
      <c r="E1026" s="41"/>
      <c r="F1026" s="42"/>
      <c r="G1026" s="9"/>
      <c r="H1026" s="45"/>
      <c r="I1026" s="9"/>
      <c r="J1026" s="41"/>
      <c r="K1026" s="43">
        <f>Table_246[[#This Row],[Valor da 
venda]]-Table_246[[#This Row],[Valor gasto]]</f>
        <v>0</v>
      </c>
      <c r="L1026" s="45"/>
      <c r="P1026" s="160"/>
      <c r="Q1026"/>
      <c r="R1026" s="160"/>
      <c r="V1026"/>
    </row>
    <row r="1027" spans="1:22" ht="15" customHeight="1" x14ac:dyDescent="0.3">
      <c r="A1027" s="21"/>
      <c r="B1027" s="25"/>
      <c r="C1027" s="29"/>
      <c r="D1027" s="36"/>
      <c r="E1027" s="41"/>
      <c r="F1027" s="42"/>
      <c r="G1027" s="9"/>
      <c r="H1027" s="45"/>
      <c r="I1027" s="9"/>
      <c r="J1027" s="41"/>
      <c r="K1027" s="43">
        <f>Table_246[[#This Row],[Valor da 
venda]]-Table_246[[#This Row],[Valor gasto]]</f>
        <v>0</v>
      </c>
      <c r="L1027" s="45"/>
      <c r="P1027" s="160"/>
      <c r="Q1027"/>
      <c r="R1027" s="160"/>
      <c r="V1027"/>
    </row>
    <row r="1028" spans="1:22" ht="15" customHeight="1" x14ac:dyDescent="0.3">
      <c r="A1028" s="21"/>
      <c r="B1028" s="25"/>
      <c r="C1028" s="29"/>
      <c r="D1028" s="36"/>
      <c r="E1028" s="41"/>
      <c r="F1028" s="42"/>
      <c r="G1028" s="9"/>
      <c r="H1028" s="45"/>
      <c r="I1028" s="9"/>
      <c r="J1028" s="41"/>
      <c r="K1028" s="43">
        <f>Table_246[[#This Row],[Valor da 
venda]]-Table_246[[#This Row],[Valor gasto]]</f>
        <v>0</v>
      </c>
      <c r="L1028" s="45"/>
      <c r="P1028" s="160"/>
      <c r="Q1028"/>
      <c r="R1028" s="160"/>
      <c r="V1028"/>
    </row>
    <row r="1029" spans="1:22" ht="15" customHeight="1" x14ac:dyDescent="0.3">
      <c r="A1029" s="21"/>
      <c r="B1029" s="25"/>
      <c r="C1029" s="29"/>
      <c r="D1029" s="36"/>
      <c r="E1029" s="41"/>
      <c r="F1029" s="42"/>
      <c r="G1029" s="9"/>
      <c r="H1029" s="45"/>
      <c r="I1029" s="9"/>
      <c r="J1029" s="41"/>
      <c r="K1029" s="43">
        <f>Table_246[[#This Row],[Valor da 
venda]]-Table_246[[#This Row],[Valor gasto]]</f>
        <v>0</v>
      </c>
      <c r="L1029" s="45"/>
      <c r="P1029" s="160"/>
      <c r="Q1029"/>
      <c r="R1029" s="160"/>
      <c r="V1029"/>
    </row>
    <row r="1030" spans="1:22" ht="15" customHeight="1" x14ac:dyDescent="0.3">
      <c r="A1030" s="21"/>
      <c r="B1030" s="25"/>
      <c r="C1030" s="29"/>
      <c r="D1030" s="36"/>
      <c r="E1030" s="41"/>
      <c r="F1030" s="42"/>
      <c r="G1030" s="9"/>
      <c r="H1030" s="45"/>
      <c r="I1030" s="9"/>
      <c r="J1030" s="41"/>
      <c r="K1030" s="43">
        <f>Table_246[[#This Row],[Valor da 
venda]]-Table_246[[#This Row],[Valor gasto]]</f>
        <v>0</v>
      </c>
      <c r="L1030" s="45"/>
      <c r="P1030" s="160"/>
      <c r="Q1030"/>
      <c r="R1030" s="160"/>
      <c r="V1030"/>
    </row>
    <row r="1031" spans="1:22" ht="15" customHeight="1" x14ac:dyDescent="0.3">
      <c r="A1031" s="21"/>
      <c r="B1031" s="25"/>
      <c r="C1031" s="29"/>
      <c r="D1031" s="36"/>
      <c r="E1031" s="41"/>
      <c r="F1031" s="42"/>
      <c r="G1031" s="9"/>
      <c r="H1031" s="45"/>
      <c r="I1031" s="9"/>
      <c r="J1031" s="41"/>
      <c r="K1031" s="43">
        <f>Table_246[[#This Row],[Valor da 
venda]]-Table_246[[#This Row],[Valor gasto]]</f>
        <v>0</v>
      </c>
      <c r="L1031" s="45"/>
      <c r="P1031" s="160"/>
      <c r="Q1031"/>
      <c r="R1031" s="160"/>
      <c r="V1031"/>
    </row>
    <row r="1032" spans="1:22" ht="15" customHeight="1" x14ac:dyDescent="0.3">
      <c r="A1032" s="21"/>
      <c r="B1032" s="25"/>
      <c r="C1032" s="29"/>
      <c r="D1032" s="36"/>
      <c r="E1032" s="41"/>
      <c r="F1032" s="42"/>
      <c r="G1032" s="9"/>
      <c r="H1032" s="45"/>
      <c r="I1032" s="9"/>
      <c r="J1032" s="41"/>
      <c r="K1032" s="43">
        <f>Table_246[[#This Row],[Valor da 
venda]]-Table_246[[#This Row],[Valor gasto]]</f>
        <v>0</v>
      </c>
      <c r="L1032" s="45"/>
      <c r="P1032" s="160"/>
      <c r="Q1032"/>
      <c r="R1032" s="160"/>
      <c r="V1032"/>
    </row>
    <row r="1033" spans="1:22" ht="15" customHeight="1" x14ac:dyDescent="0.3">
      <c r="A1033" s="21"/>
      <c r="B1033" s="25"/>
      <c r="C1033" s="29"/>
      <c r="D1033" s="36"/>
      <c r="E1033" s="41"/>
      <c r="F1033" s="42"/>
      <c r="G1033" s="9"/>
      <c r="H1033" s="45"/>
      <c r="I1033" s="9"/>
      <c r="J1033" s="41"/>
      <c r="K1033" s="43">
        <f>Table_246[[#This Row],[Valor da 
venda]]-Table_246[[#This Row],[Valor gasto]]</f>
        <v>0</v>
      </c>
      <c r="L1033" s="45"/>
      <c r="P1033" s="160"/>
      <c r="Q1033"/>
      <c r="R1033" s="160"/>
      <c r="V1033"/>
    </row>
    <row r="1034" spans="1:22" ht="15" customHeight="1" x14ac:dyDescent="0.3">
      <c r="A1034" s="21"/>
      <c r="B1034" s="25"/>
      <c r="C1034" s="29"/>
      <c r="D1034" s="36"/>
      <c r="E1034" s="41"/>
      <c r="F1034" s="42"/>
      <c r="G1034" s="9"/>
      <c r="H1034" s="45"/>
      <c r="I1034" s="9"/>
      <c r="J1034" s="41"/>
      <c r="K1034" s="43">
        <f>Table_246[[#This Row],[Valor da 
venda]]-Table_246[[#This Row],[Valor gasto]]</f>
        <v>0</v>
      </c>
      <c r="L1034" s="45"/>
      <c r="P1034" s="160"/>
      <c r="Q1034"/>
      <c r="R1034" s="160"/>
      <c r="V1034"/>
    </row>
    <row r="1035" spans="1:22" ht="15" customHeight="1" x14ac:dyDescent="0.3">
      <c r="A1035" s="21"/>
      <c r="B1035" s="25"/>
      <c r="C1035" s="29"/>
      <c r="D1035" s="36"/>
      <c r="E1035" s="41"/>
      <c r="F1035" s="42"/>
      <c r="G1035" s="9"/>
      <c r="H1035" s="45"/>
      <c r="I1035" s="9"/>
      <c r="J1035" s="41"/>
      <c r="K1035" s="43">
        <f>Table_246[[#This Row],[Valor da 
venda]]-Table_246[[#This Row],[Valor gasto]]</f>
        <v>0</v>
      </c>
      <c r="L1035" s="45"/>
      <c r="P1035" s="160"/>
      <c r="Q1035"/>
      <c r="R1035" s="160"/>
      <c r="V1035"/>
    </row>
    <row r="1036" spans="1:22" ht="15" customHeight="1" x14ac:dyDescent="0.3">
      <c r="A1036" s="21"/>
      <c r="B1036" s="25"/>
      <c r="C1036" s="29"/>
      <c r="D1036" s="36"/>
      <c r="E1036" s="41"/>
      <c r="F1036" s="42"/>
      <c r="G1036" s="9"/>
      <c r="H1036" s="45"/>
      <c r="I1036" s="9"/>
      <c r="J1036" s="41"/>
      <c r="K1036" s="43">
        <f>Table_246[[#This Row],[Valor da 
venda]]-Table_246[[#This Row],[Valor gasto]]</f>
        <v>0</v>
      </c>
      <c r="L1036" s="45"/>
      <c r="P1036" s="160"/>
      <c r="Q1036"/>
      <c r="R1036" s="160"/>
      <c r="V1036"/>
    </row>
    <row r="1037" spans="1:22" ht="15" customHeight="1" x14ac:dyDescent="0.3">
      <c r="A1037" s="21"/>
      <c r="B1037" s="25"/>
      <c r="C1037" s="29"/>
      <c r="D1037" s="36"/>
      <c r="E1037" s="41"/>
      <c r="F1037" s="42"/>
      <c r="G1037" s="9"/>
      <c r="H1037" s="45"/>
      <c r="I1037" s="9"/>
      <c r="J1037" s="41"/>
      <c r="K1037" s="43">
        <f>Table_246[[#This Row],[Valor da 
venda]]-Table_246[[#This Row],[Valor gasto]]</f>
        <v>0</v>
      </c>
      <c r="L1037" s="45"/>
      <c r="P1037" s="160"/>
      <c r="Q1037"/>
      <c r="R1037" s="160"/>
      <c r="V1037"/>
    </row>
    <row r="1038" spans="1:22" ht="15" customHeight="1" x14ac:dyDescent="0.3">
      <c r="A1038" s="21"/>
      <c r="B1038" s="25"/>
      <c r="C1038" s="29"/>
      <c r="D1038" s="36"/>
      <c r="E1038" s="41"/>
      <c r="F1038" s="42"/>
      <c r="G1038" s="9"/>
      <c r="H1038" s="45"/>
      <c r="I1038" s="9"/>
      <c r="J1038" s="41"/>
      <c r="K1038" s="43">
        <f>Table_246[[#This Row],[Valor da 
venda]]-Table_246[[#This Row],[Valor gasto]]</f>
        <v>0</v>
      </c>
      <c r="L1038" s="45"/>
      <c r="P1038" s="160"/>
      <c r="Q1038"/>
      <c r="R1038" s="160"/>
      <c r="V1038"/>
    </row>
    <row r="1039" spans="1:22" ht="15" customHeight="1" x14ac:dyDescent="0.3">
      <c r="A1039" s="21"/>
      <c r="B1039" s="25"/>
      <c r="C1039" s="29"/>
      <c r="D1039" s="36"/>
      <c r="E1039" s="41"/>
      <c r="F1039" s="42"/>
      <c r="G1039" s="9"/>
      <c r="H1039" s="45"/>
      <c r="I1039" s="9"/>
      <c r="J1039" s="41"/>
      <c r="K1039" s="43">
        <f>Table_246[[#This Row],[Valor da 
venda]]-Table_246[[#This Row],[Valor gasto]]</f>
        <v>0</v>
      </c>
      <c r="L1039" s="45"/>
      <c r="P1039" s="160"/>
      <c r="Q1039"/>
      <c r="R1039" s="160"/>
      <c r="V1039"/>
    </row>
    <row r="1040" spans="1:22" ht="15" customHeight="1" x14ac:dyDescent="0.3">
      <c r="A1040" s="21"/>
      <c r="B1040" s="25"/>
      <c r="C1040" s="29"/>
      <c r="D1040" s="36"/>
      <c r="E1040" s="41"/>
      <c r="F1040" s="42"/>
      <c r="G1040" s="9"/>
      <c r="H1040" s="45"/>
      <c r="I1040" s="9"/>
      <c r="J1040" s="41"/>
      <c r="K1040" s="43">
        <f>Table_246[[#This Row],[Valor da 
venda]]-Table_246[[#This Row],[Valor gasto]]</f>
        <v>0</v>
      </c>
      <c r="L1040" s="45"/>
      <c r="P1040" s="160"/>
      <c r="Q1040"/>
      <c r="R1040" s="160"/>
      <c r="V1040"/>
    </row>
    <row r="1041" spans="1:22" ht="15" customHeight="1" x14ac:dyDescent="0.3">
      <c r="A1041" s="21"/>
      <c r="B1041" s="25"/>
      <c r="C1041" s="29"/>
      <c r="D1041" s="36"/>
      <c r="E1041" s="41"/>
      <c r="F1041" s="42"/>
      <c r="G1041" s="9"/>
      <c r="H1041" s="45"/>
      <c r="I1041" s="9"/>
      <c r="J1041" s="41"/>
      <c r="K1041" s="43">
        <f>Table_246[[#This Row],[Valor da 
venda]]-Table_246[[#This Row],[Valor gasto]]</f>
        <v>0</v>
      </c>
      <c r="L1041" s="45"/>
      <c r="P1041" s="160"/>
      <c r="Q1041"/>
      <c r="R1041" s="160"/>
      <c r="V1041"/>
    </row>
    <row r="1042" spans="1:22" ht="15" customHeight="1" x14ac:dyDescent="0.3">
      <c r="A1042" s="21"/>
      <c r="B1042" s="25"/>
      <c r="C1042" s="29"/>
      <c r="D1042" s="36"/>
      <c r="E1042" s="41"/>
      <c r="F1042" s="42"/>
      <c r="G1042" s="9"/>
      <c r="H1042" s="45"/>
      <c r="I1042" s="9"/>
      <c r="J1042" s="41"/>
      <c r="K1042" s="43">
        <f>Table_246[[#This Row],[Valor da 
venda]]-Table_246[[#This Row],[Valor gasto]]</f>
        <v>0</v>
      </c>
      <c r="L1042" s="45"/>
      <c r="P1042" s="160"/>
      <c r="Q1042"/>
      <c r="R1042" s="160"/>
      <c r="V1042"/>
    </row>
    <row r="1043" spans="1:22" ht="15" customHeight="1" x14ac:dyDescent="0.3">
      <c r="A1043" s="21"/>
      <c r="B1043" s="25"/>
      <c r="C1043" s="29"/>
      <c r="D1043" s="36"/>
      <c r="E1043" s="41"/>
      <c r="F1043" s="42"/>
      <c r="G1043" s="9"/>
      <c r="H1043" s="45"/>
      <c r="I1043" s="9"/>
      <c r="J1043" s="41"/>
      <c r="K1043" s="43">
        <f>Table_246[[#This Row],[Valor da 
venda]]-Table_246[[#This Row],[Valor gasto]]</f>
        <v>0</v>
      </c>
      <c r="L1043" s="45"/>
      <c r="P1043" s="160"/>
      <c r="Q1043"/>
      <c r="R1043" s="160"/>
      <c r="V1043"/>
    </row>
    <row r="1044" spans="1:22" ht="15" customHeight="1" x14ac:dyDescent="0.3">
      <c r="A1044" s="21"/>
      <c r="B1044" s="25"/>
      <c r="C1044" s="29"/>
      <c r="D1044" s="36"/>
      <c r="E1044" s="41"/>
      <c r="F1044" s="42"/>
      <c r="G1044" s="9"/>
      <c r="H1044" s="45"/>
      <c r="I1044" s="9"/>
      <c r="J1044" s="41"/>
      <c r="K1044" s="43">
        <f>Table_246[[#This Row],[Valor da 
venda]]-Table_246[[#This Row],[Valor gasto]]</f>
        <v>0</v>
      </c>
      <c r="L1044" s="86"/>
      <c r="P1044" s="160"/>
      <c r="Q1044"/>
      <c r="R1044" s="160"/>
      <c r="V1044"/>
    </row>
    <row r="1045" spans="1:22" ht="15" customHeight="1" x14ac:dyDescent="0.3">
      <c r="A1045" s="21"/>
      <c r="B1045" s="25"/>
      <c r="C1045" s="29"/>
      <c r="D1045" s="36"/>
      <c r="E1045" s="41"/>
      <c r="F1045" s="42"/>
      <c r="G1045" s="9"/>
      <c r="H1045" s="45"/>
      <c r="I1045" s="9"/>
      <c r="J1045" s="41"/>
      <c r="K1045" s="43">
        <f>Table_246[[#This Row],[Valor da 
venda]]-Table_246[[#This Row],[Valor gasto]]</f>
        <v>0</v>
      </c>
      <c r="L1045" s="86"/>
      <c r="P1045" s="160"/>
      <c r="Q1045"/>
      <c r="R1045" s="160"/>
      <c r="V1045"/>
    </row>
    <row r="1046" spans="1:22" ht="15" customHeight="1" x14ac:dyDescent="0.3">
      <c r="A1046" s="21"/>
      <c r="B1046" s="25"/>
      <c r="C1046" s="29"/>
      <c r="D1046" s="36"/>
      <c r="E1046" s="41"/>
      <c r="F1046" s="42"/>
      <c r="G1046" s="9"/>
      <c r="H1046" s="45"/>
      <c r="I1046" s="9"/>
      <c r="J1046" s="41"/>
      <c r="K1046" s="43">
        <f>Table_246[[#This Row],[Valor da 
venda]]-Table_246[[#This Row],[Valor gasto]]</f>
        <v>0</v>
      </c>
      <c r="L1046" s="86"/>
      <c r="P1046" s="160"/>
      <c r="Q1046"/>
      <c r="R1046" s="160"/>
      <c r="V1046"/>
    </row>
    <row r="1047" spans="1:22" ht="15" customHeight="1" x14ac:dyDescent="0.3">
      <c r="A1047" s="21"/>
      <c r="B1047" s="25"/>
      <c r="C1047" s="29"/>
      <c r="D1047" s="36"/>
      <c r="E1047" s="41"/>
      <c r="F1047" s="42"/>
      <c r="G1047" s="9"/>
      <c r="H1047" s="45"/>
      <c r="I1047" s="9"/>
      <c r="J1047" s="41"/>
      <c r="K1047" s="43">
        <f>Table_246[[#This Row],[Valor da 
venda]]-Table_246[[#This Row],[Valor gasto]]</f>
        <v>0</v>
      </c>
      <c r="L1047" s="86"/>
      <c r="P1047" s="160"/>
      <c r="Q1047"/>
      <c r="R1047" s="160"/>
      <c r="V1047"/>
    </row>
    <row r="1048" spans="1:22" ht="15" customHeight="1" x14ac:dyDescent="0.3">
      <c r="A1048" s="21"/>
      <c r="B1048" s="25"/>
      <c r="C1048" s="29"/>
      <c r="D1048" s="36"/>
      <c r="E1048" s="41"/>
      <c r="F1048" s="42"/>
      <c r="G1048" s="9"/>
      <c r="H1048" s="45"/>
      <c r="I1048" s="9"/>
      <c r="J1048" s="41"/>
      <c r="K1048" s="43">
        <f>Table_246[[#This Row],[Valor da 
venda]]-Table_246[[#This Row],[Valor gasto]]</f>
        <v>0</v>
      </c>
      <c r="L1048" s="86"/>
      <c r="P1048" s="160"/>
      <c r="Q1048"/>
      <c r="R1048" s="160"/>
      <c r="V1048"/>
    </row>
    <row r="1049" spans="1:22" ht="15" customHeight="1" x14ac:dyDescent="0.3">
      <c r="A1049" s="21"/>
      <c r="B1049" s="25"/>
      <c r="C1049" s="29"/>
      <c r="D1049" s="36"/>
      <c r="E1049" s="41"/>
      <c r="F1049" s="42"/>
      <c r="G1049" s="9"/>
      <c r="H1049" s="45"/>
      <c r="I1049" s="9"/>
      <c r="J1049" s="41"/>
      <c r="K1049" s="43">
        <f>Table_246[[#This Row],[Valor da 
venda]]-Table_246[[#This Row],[Valor gasto]]</f>
        <v>0</v>
      </c>
      <c r="L1049" s="86"/>
      <c r="P1049" s="160"/>
      <c r="Q1049"/>
      <c r="R1049" s="160"/>
      <c r="V1049"/>
    </row>
    <row r="1050" spans="1:22" ht="15" customHeight="1" x14ac:dyDescent="0.3">
      <c r="A1050" s="21"/>
      <c r="B1050" s="25"/>
      <c r="C1050" s="29"/>
      <c r="D1050" s="36"/>
      <c r="E1050" s="41"/>
      <c r="F1050" s="42"/>
      <c r="G1050" s="9"/>
      <c r="H1050" s="45"/>
      <c r="I1050" s="9"/>
      <c r="J1050" s="41"/>
      <c r="K1050" s="43">
        <f>Table_246[[#This Row],[Valor da 
venda]]-Table_246[[#This Row],[Valor gasto]]</f>
        <v>0</v>
      </c>
      <c r="L1050" s="86"/>
      <c r="P1050" s="160"/>
      <c r="Q1050"/>
      <c r="R1050" s="160"/>
      <c r="V1050"/>
    </row>
    <row r="1051" spans="1:22" ht="15" customHeight="1" x14ac:dyDescent="0.3">
      <c r="A1051" s="21"/>
      <c r="B1051" s="25"/>
      <c r="C1051" s="29"/>
      <c r="D1051" s="36"/>
      <c r="E1051" s="41"/>
      <c r="F1051" s="42"/>
      <c r="G1051" s="9"/>
      <c r="H1051" s="45"/>
      <c r="I1051" s="9"/>
      <c r="J1051" s="41"/>
      <c r="K1051" s="43">
        <f>Table_246[[#This Row],[Valor da 
venda]]-Table_246[[#This Row],[Valor gasto]]</f>
        <v>0</v>
      </c>
      <c r="L1051" s="86"/>
      <c r="P1051" s="160"/>
      <c r="Q1051"/>
      <c r="R1051" s="160"/>
      <c r="V1051"/>
    </row>
    <row r="1052" spans="1:22" ht="15" customHeight="1" x14ac:dyDescent="0.3">
      <c r="A1052" s="21"/>
      <c r="B1052" s="25"/>
      <c r="C1052" s="29"/>
      <c r="D1052" s="36"/>
      <c r="E1052" s="41"/>
      <c r="F1052" s="42"/>
      <c r="G1052" s="9"/>
      <c r="H1052" s="45"/>
      <c r="I1052" s="9"/>
      <c r="J1052" s="41"/>
      <c r="K1052" s="43">
        <f>Table_246[[#This Row],[Valor da 
venda]]-Table_246[[#This Row],[Valor gasto]]</f>
        <v>0</v>
      </c>
      <c r="L1052" s="86"/>
      <c r="P1052" s="160"/>
      <c r="Q1052"/>
      <c r="R1052" s="160"/>
      <c r="V1052"/>
    </row>
    <row r="1053" spans="1:22" ht="15" customHeight="1" x14ac:dyDescent="0.3">
      <c r="A1053" s="21"/>
      <c r="B1053" s="25"/>
      <c r="C1053" s="29"/>
      <c r="D1053" s="36"/>
      <c r="E1053" s="41"/>
      <c r="F1053" s="42"/>
      <c r="G1053" s="9"/>
      <c r="H1053" s="45"/>
      <c r="I1053" s="9"/>
      <c r="J1053" s="41"/>
      <c r="K1053" s="43">
        <f>Table_246[[#This Row],[Valor da 
venda]]-Table_246[[#This Row],[Valor gasto]]</f>
        <v>0</v>
      </c>
      <c r="L1053" s="86"/>
      <c r="P1053" s="160"/>
      <c r="Q1053"/>
      <c r="R1053" s="160"/>
      <c r="V1053"/>
    </row>
    <row r="1054" spans="1:22" ht="15" customHeight="1" x14ac:dyDescent="0.3">
      <c r="A1054" s="21"/>
      <c r="B1054" s="25"/>
      <c r="C1054" s="29"/>
      <c r="D1054" s="36"/>
      <c r="E1054" s="41"/>
      <c r="F1054" s="42"/>
      <c r="G1054" s="9"/>
      <c r="H1054" s="45"/>
      <c r="I1054" s="9"/>
      <c r="J1054" s="41"/>
      <c r="K1054" s="43">
        <f>Table_246[[#This Row],[Valor da 
venda]]-Table_246[[#This Row],[Valor gasto]]</f>
        <v>0</v>
      </c>
      <c r="L1054" s="86"/>
      <c r="P1054" s="160"/>
      <c r="Q1054"/>
      <c r="R1054" s="160"/>
      <c r="V1054"/>
    </row>
    <row r="1055" spans="1:22" ht="15" customHeight="1" x14ac:dyDescent="0.3">
      <c r="A1055" s="21"/>
      <c r="B1055" s="25"/>
      <c r="C1055" s="29"/>
      <c r="D1055" s="36"/>
      <c r="E1055" s="41"/>
      <c r="F1055" s="42"/>
      <c r="G1055" s="9"/>
      <c r="H1055" s="45"/>
      <c r="I1055" s="9"/>
      <c r="J1055" s="41"/>
      <c r="K1055" s="43">
        <f>Table_246[[#This Row],[Valor da 
venda]]-Table_246[[#This Row],[Valor gasto]]</f>
        <v>0</v>
      </c>
      <c r="L1055" s="86"/>
      <c r="P1055" s="160"/>
      <c r="Q1055"/>
      <c r="R1055" s="160"/>
      <c r="V1055"/>
    </row>
    <row r="1056" spans="1:22" ht="15" customHeight="1" x14ac:dyDescent="0.3">
      <c r="A1056" s="21"/>
      <c r="B1056" s="25"/>
      <c r="C1056" s="29"/>
      <c r="D1056" s="36"/>
      <c r="E1056" s="41"/>
      <c r="F1056" s="42"/>
      <c r="G1056" s="9"/>
      <c r="H1056" s="45"/>
      <c r="I1056" s="9"/>
      <c r="J1056" s="41"/>
      <c r="K1056" s="43">
        <f>Table_246[[#This Row],[Valor da 
venda]]-Table_246[[#This Row],[Valor gasto]]</f>
        <v>0</v>
      </c>
      <c r="L1056" s="86"/>
      <c r="P1056" s="160"/>
      <c r="Q1056"/>
      <c r="R1056" s="160"/>
      <c r="V1056"/>
    </row>
    <row r="1057" spans="1:22" ht="15" customHeight="1" x14ac:dyDescent="0.3">
      <c r="A1057" s="21"/>
      <c r="B1057" s="25"/>
      <c r="C1057" s="29"/>
      <c r="D1057" s="36"/>
      <c r="E1057" s="41"/>
      <c r="F1057" s="42"/>
      <c r="G1057" s="9"/>
      <c r="H1057" s="45"/>
      <c r="I1057" s="9"/>
      <c r="J1057" s="41"/>
      <c r="K1057" s="43">
        <f>Table_246[[#This Row],[Valor da 
venda]]-Table_246[[#This Row],[Valor gasto]]</f>
        <v>0</v>
      </c>
      <c r="L1057" s="86"/>
      <c r="P1057" s="160"/>
      <c r="Q1057"/>
      <c r="R1057" s="160"/>
      <c r="V1057"/>
    </row>
    <row r="1058" spans="1:22" ht="15" customHeight="1" x14ac:dyDescent="0.3">
      <c r="A1058" s="21"/>
      <c r="B1058" s="25"/>
      <c r="C1058" s="29"/>
      <c r="D1058" s="36"/>
      <c r="E1058" s="41"/>
      <c r="F1058" s="42"/>
      <c r="G1058" s="9"/>
      <c r="H1058" s="45"/>
      <c r="I1058" s="9"/>
      <c r="J1058" s="41"/>
      <c r="K1058" s="43">
        <f>Table_246[[#This Row],[Valor da 
venda]]-Table_246[[#This Row],[Valor gasto]]</f>
        <v>0</v>
      </c>
      <c r="L1058" s="86"/>
      <c r="P1058" s="160"/>
      <c r="Q1058"/>
      <c r="R1058" s="160"/>
      <c r="V1058"/>
    </row>
    <row r="1059" spans="1:22" ht="15" customHeight="1" x14ac:dyDescent="0.3">
      <c r="A1059" s="21"/>
      <c r="B1059" s="25"/>
      <c r="C1059" s="29"/>
      <c r="D1059" s="36"/>
      <c r="E1059" s="41"/>
      <c r="F1059" s="42"/>
      <c r="G1059" s="9"/>
      <c r="H1059" s="45"/>
      <c r="I1059" s="9"/>
      <c r="J1059" s="41"/>
      <c r="K1059" s="43">
        <f>Table_246[[#This Row],[Valor da 
venda]]-Table_246[[#This Row],[Valor gasto]]</f>
        <v>0</v>
      </c>
      <c r="L1059" s="86"/>
      <c r="P1059" s="160"/>
      <c r="Q1059"/>
      <c r="R1059" s="160"/>
      <c r="V1059"/>
    </row>
    <row r="1060" spans="1:22" ht="15" customHeight="1" x14ac:dyDescent="0.3">
      <c r="A1060" s="21"/>
      <c r="B1060" s="25"/>
      <c r="C1060" s="29"/>
      <c r="D1060" s="36"/>
      <c r="E1060" s="41"/>
      <c r="F1060" s="42"/>
      <c r="G1060" s="9"/>
      <c r="H1060" s="45"/>
      <c r="I1060" s="9"/>
      <c r="J1060" s="41"/>
      <c r="K1060" s="43">
        <f>Table_246[[#This Row],[Valor da 
venda]]-Table_246[[#This Row],[Valor gasto]]</f>
        <v>0</v>
      </c>
      <c r="L1060" s="86"/>
      <c r="P1060" s="160"/>
      <c r="Q1060"/>
      <c r="R1060" s="160"/>
      <c r="V1060"/>
    </row>
    <row r="1061" spans="1:22" ht="15" customHeight="1" x14ac:dyDescent="0.3">
      <c r="A1061" s="21"/>
      <c r="B1061" s="25"/>
      <c r="C1061" s="29"/>
      <c r="D1061" s="36"/>
      <c r="E1061" s="41"/>
      <c r="F1061" s="42"/>
      <c r="G1061" s="9"/>
      <c r="H1061" s="45"/>
      <c r="I1061" s="9"/>
      <c r="J1061" s="41"/>
      <c r="K1061" s="43">
        <f>Table_246[[#This Row],[Valor da 
venda]]-Table_246[[#This Row],[Valor gasto]]</f>
        <v>0</v>
      </c>
      <c r="L1061" s="86"/>
      <c r="P1061" s="160"/>
      <c r="Q1061"/>
      <c r="R1061" s="160"/>
      <c r="V1061"/>
    </row>
    <row r="1062" spans="1:22" ht="15" customHeight="1" x14ac:dyDescent="0.3">
      <c r="A1062" s="21"/>
      <c r="B1062" s="25"/>
      <c r="C1062" s="29"/>
      <c r="D1062" s="36"/>
      <c r="E1062" s="41"/>
      <c r="F1062" s="42"/>
      <c r="G1062" s="9"/>
      <c r="H1062" s="45"/>
      <c r="I1062" s="9"/>
      <c r="J1062" s="41"/>
      <c r="K1062" s="43">
        <f>Table_246[[#This Row],[Valor da 
venda]]-Table_246[[#This Row],[Valor gasto]]</f>
        <v>0</v>
      </c>
      <c r="L1062" s="86"/>
      <c r="P1062" s="160"/>
      <c r="Q1062"/>
      <c r="R1062" s="160"/>
      <c r="V1062"/>
    </row>
    <row r="1063" spans="1:22" ht="15" customHeight="1" x14ac:dyDescent="0.3">
      <c r="A1063" s="21"/>
      <c r="B1063" s="25"/>
      <c r="C1063" s="29"/>
      <c r="D1063" s="36"/>
      <c r="E1063" s="41"/>
      <c r="F1063" s="42"/>
      <c r="G1063" s="9"/>
      <c r="H1063" s="45"/>
      <c r="I1063" s="9"/>
      <c r="J1063" s="41"/>
      <c r="K1063" s="43">
        <f>Table_246[[#This Row],[Valor da 
venda]]-Table_246[[#This Row],[Valor gasto]]</f>
        <v>0</v>
      </c>
      <c r="L1063" s="86"/>
      <c r="P1063" s="160"/>
      <c r="Q1063"/>
      <c r="R1063" s="160"/>
      <c r="V1063"/>
    </row>
    <row r="1064" spans="1:22" ht="15" customHeight="1" x14ac:dyDescent="0.3">
      <c r="A1064" s="21"/>
      <c r="B1064" s="25"/>
      <c r="C1064" s="29"/>
      <c r="D1064" s="36"/>
      <c r="E1064" s="41"/>
      <c r="F1064" s="42"/>
      <c r="G1064" s="9"/>
      <c r="H1064" s="45"/>
      <c r="I1064" s="9"/>
      <c r="J1064" s="41"/>
      <c r="K1064" s="43">
        <f>Table_246[[#This Row],[Valor da 
venda]]-Table_246[[#This Row],[Valor gasto]]</f>
        <v>0</v>
      </c>
      <c r="L1064" s="86"/>
      <c r="P1064" s="160"/>
      <c r="Q1064"/>
      <c r="R1064" s="160"/>
      <c r="V1064"/>
    </row>
    <row r="1065" spans="1:22" ht="15" customHeight="1" x14ac:dyDescent="0.3">
      <c r="A1065" s="21"/>
      <c r="B1065" s="25"/>
      <c r="C1065" s="29"/>
      <c r="D1065" s="36"/>
      <c r="E1065" s="41"/>
      <c r="F1065" s="42"/>
      <c r="G1065" s="9"/>
      <c r="H1065" s="45"/>
      <c r="I1065" s="9"/>
      <c r="J1065" s="41"/>
      <c r="K1065" s="43">
        <f>Table_246[[#This Row],[Valor da 
venda]]-Table_246[[#This Row],[Valor gasto]]</f>
        <v>0</v>
      </c>
      <c r="L1065" s="86"/>
      <c r="P1065" s="160"/>
      <c r="Q1065"/>
      <c r="R1065" s="160"/>
      <c r="V1065"/>
    </row>
    <row r="1066" spans="1:22" ht="15" customHeight="1" x14ac:dyDescent="0.3">
      <c r="A1066" s="21"/>
      <c r="B1066" s="25"/>
      <c r="C1066" s="29"/>
      <c r="D1066" s="36"/>
      <c r="E1066" s="41"/>
      <c r="F1066" s="42"/>
      <c r="G1066" s="9"/>
      <c r="H1066" s="45"/>
      <c r="I1066" s="9"/>
      <c r="J1066" s="41"/>
      <c r="K1066" s="43">
        <f>Table_246[[#This Row],[Valor da 
venda]]-Table_246[[#This Row],[Valor gasto]]</f>
        <v>0</v>
      </c>
      <c r="L1066" s="86"/>
      <c r="P1066" s="160"/>
      <c r="Q1066"/>
      <c r="R1066" s="160"/>
      <c r="V1066"/>
    </row>
    <row r="1067" spans="1:22" ht="15" customHeight="1" x14ac:dyDescent="0.3">
      <c r="A1067" s="21"/>
      <c r="B1067" s="25"/>
      <c r="C1067" s="29"/>
      <c r="D1067" s="36"/>
      <c r="E1067" s="41"/>
      <c r="F1067" s="42"/>
      <c r="G1067" s="9"/>
      <c r="H1067" s="45"/>
      <c r="I1067" s="9"/>
      <c r="J1067" s="41"/>
      <c r="K1067" s="43">
        <f>Table_246[[#This Row],[Valor da 
venda]]-Table_246[[#This Row],[Valor gasto]]</f>
        <v>0</v>
      </c>
      <c r="L1067" s="86"/>
      <c r="P1067" s="160"/>
      <c r="Q1067"/>
      <c r="R1067" s="160"/>
      <c r="V1067"/>
    </row>
    <row r="1068" spans="1:22" ht="15" customHeight="1" x14ac:dyDescent="0.3">
      <c r="A1068" s="21"/>
      <c r="B1068" s="25"/>
      <c r="C1068" s="29"/>
      <c r="D1068" s="36"/>
      <c r="E1068" s="41"/>
      <c r="F1068" s="42"/>
      <c r="G1068" s="9"/>
      <c r="H1068" s="45"/>
      <c r="I1068" s="9"/>
      <c r="J1068" s="41"/>
      <c r="K1068" s="43">
        <f>Table_246[[#This Row],[Valor da 
venda]]-Table_246[[#This Row],[Valor gasto]]</f>
        <v>0</v>
      </c>
      <c r="L1068" s="86"/>
      <c r="P1068" s="160"/>
      <c r="Q1068"/>
      <c r="R1068" s="160"/>
      <c r="V1068"/>
    </row>
    <row r="1069" spans="1:22" ht="15" customHeight="1" x14ac:dyDescent="0.3">
      <c r="A1069" s="21"/>
      <c r="B1069" s="25"/>
      <c r="C1069" s="29"/>
      <c r="D1069" s="36"/>
      <c r="E1069" s="41"/>
      <c r="F1069" s="42"/>
      <c r="G1069" s="9"/>
      <c r="H1069" s="45"/>
      <c r="I1069" s="9"/>
      <c r="J1069" s="41"/>
      <c r="K1069" s="43">
        <f>Table_246[[#This Row],[Valor da 
venda]]-Table_246[[#This Row],[Valor gasto]]</f>
        <v>0</v>
      </c>
      <c r="L1069" s="86"/>
      <c r="P1069" s="160"/>
      <c r="Q1069"/>
      <c r="R1069" s="160"/>
      <c r="V1069"/>
    </row>
    <row r="1070" spans="1:22" ht="15" customHeight="1" x14ac:dyDescent="0.3">
      <c r="A1070" s="21"/>
      <c r="B1070" s="25"/>
      <c r="C1070" s="29"/>
      <c r="D1070" s="36"/>
      <c r="E1070" s="41"/>
      <c r="F1070" s="42"/>
      <c r="G1070" s="9"/>
      <c r="H1070" s="45"/>
      <c r="I1070" s="9"/>
      <c r="J1070" s="41"/>
      <c r="K1070" s="43">
        <f>Table_246[[#This Row],[Valor da 
venda]]-Table_246[[#This Row],[Valor gasto]]</f>
        <v>0</v>
      </c>
      <c r="L1070" s="86"/>
      <c r="P1070" s="160"/>
      <c r="Q1070"/>
      <c r="R1070" s="160"/>
      <c r="V1070"/>
    </row>
    <row r="1071" spans="1:22" ht="15" customHeight="1" x14ac:dyDescent="0.3">
      <c r="A1071" s="21"/>
      <c r="B1071" s="25"/>
      <c r="C1071" s="29"/>
      <c r="D1071" s="36"/>
      <c r="E1071" s="41"/>
      <c r="F1071" s="42"/>
      <c r="G1071" s="9"/>
      <c r="H1071" s="45"/>
      <c r="I1071" s="9"/>
      <c r="J1071" s="41"/>
      <c r="K1071" s="43">
        <f>Table_246[[#This Row],[Valor da 
venda]]-Table_246[[#This Row],[Valor gasto]]</f>
        <v>0</v>
      </c>
      <c r="L1071" s="86"/>
      <c r="P1071" s="160"/>
      <c r="Q1071"/>
      <c r="R1071" s="160"/>
      <c r="V1071"/>
    </row>
    <row r="1072" spans="1:22" ht="15" customHeight="1" x14ac:dyDescent="0.3">
      <c r="A1072" s="21"/>
      <c r="B1072" s="25"/>
      <c r="C1072" s="29"/>
      <c r="D1072" s="36"/>
      <c r="E1072" s="41"/>
      <c r="F1072" s="42"/>
      <c r="G1072" s="9"/>
      <c r="H1072" s="45"/>
      <c r="I1072" s="9"/>
      <c r="J1072" s="41"/>
      <c r="K1072" s="43">
        <f>Table_246[[#This Row],[Valor da 
venda]]-Table_246[[#This Row],[Valor gasto]]</f>
        <v>0</v>
      </c>
      <c r="L1072" s="86"/>
      <c r="P1072" s="160"/>
      <c r="Q1072"/>
      <c r="R1072" s="160"/>
      <c r="V1072"/>
    </row>
    <row r="1073" spans="1:22" ht="15" customHeight="1" x14ac:dyDescent="0.3">
      <c r="A1073" s="21"/>
      <c r="B1073" s="25"/>
      <c r="C1073" s="29"/>
      <c r="D1073" s="36"/>
      <c r="E1073" s="41"/>
      <c r="F1073" s="42"/>
      <c r="G1073" s="9"/>
      <c r="H1073" s="45"/>
      <c r="I1073" s="9"/>
      <c r="J1073" s="41"/>
      <c r="K1073" s="43">
        <f>Table_246[[#This Row],[Valor da 
venda]]-Table_246[[#This Row],[Valor gasto]]</f>
        <v>0</v>
      </c>
      <c r="L1073" s="86"/>
      <c r="P1073" s="160"/>
      <c r="Q1073"/>
      <c r="R1073" s="160"/>
      <c r="V1073"/>
    </row>
    <row r="1074" spans="1:22" ht="15" customHeight="1" x14ac:dyDescent="0.3">
      <c r="A1074" s="21"/>
      <c r="B1074" s="25"/>
      <c r="C1074" s="29"/>
      <c r="D1074" s="36"/>
      <c r="E1074" s="41"/>
      <c r="F1074" s="42"/>
      <c r="G1074" s="9"/>
      <c r="H1074" s="45"/>
      <c r="I1074" s="9"/>
      <c r="J1074" s="41"/>
      <c r="K1074" s="43">
        <f>Table_246[[#This Row],[Valor da 
venda]]-Table_246[[#This Row],[Valor gasto]]</f>
        <v>0</v>
      </c>
      <c r="L1074" s="86"/>
      <c r="P1074" s="160"/>
      <c r="Q1074"/>
      <c r="R1074" s="160"/>
      <c r="V1074"/>
    </row>
    <row r="1075" spans="1:22" ht="15" customHeight="1" x14ac:dyDescent="0.3">
      <c r="A1075" s="21"/>
      <c r="B1075" s="25"/>
      <c r="C1075" s="29"/>
      <c r="D1075" s="36"/>
      <c r="E1075" s="41"/>
      <c r="F1075" s="42"/>
      <c r="G1075" s="9"/>
      <c r="H1075" s="45"/>
      <c r="I1075" s="9"/>
      <c r="J1075" s="41"/>
      <c r="K1075" s="43">
        <f>Table_246[[#This Row],[Valor da 
venda]]-Table_246[[#This Row],[Valor gasto]]</f>
        <v>0</v>
      </c>
      <c r="L1075" s="86"/>
      <c r="P1075" s="160"/>
      <c r="Q1075"/>
      <c r="R1075" s="160"/>
      <c r="V1075"/>
    </row>
    <row r="1076" spans="1:22" ht="15" customHeight="1" x14ac:dyDescent="0.3">
      <c r="A1076" s="21"/>
      <c r="B1076" s="25"/>
      <c r="C1076" s="29"/>
      <c r="D1076" s="36"/>
      <c r="E1076" s="41"/>
      <c r="F1076" s="42"/>
      <c r="G1076" s="9"/>
      <c r="H1076" s="45"/>
      <c r="I1076" s="9"/>
      <c r="J1076" s="41"/>
      <c r="K1076" s="43">
        <f>Table_246[[#This Row],[Valor da 
venda]]-Table_246[[#This Row],[Valor gasto]]</f>
        <v>0</v>
      </c>
      <c r="L1076" s="86"/>
      <c r="P1076" s="160"/>
      <c r="Q1076"/>
      <c r="R1076" s="160"/>
      <c r="V1076"/>
    </row>
    <row r="1077" spans="1:22" ht="15" customHeight="1" x14ac:dyDescent="0.3">
      <c r="A1077" s="21"/>
      <c r="B1077" s="25"/>
      <c r="C1077" s="29"/>
      <c r="D1077" s="36"/>
      <c r="E1077" s="41"/>
      <c r="F1077" s="42"/>
      <c r="G1077" s="9"/>
      <c r="H1077" s="45"/>
      <c r="I1077" s="9"/>
      <c r="J1077" s="41"/>
      <c r="K1077" s="43">
        <f>Table_246[[#This Row],[Valor da 
venda]]-Table_246[[#This Row],[Valor gasto]]</f>
        <v>0</v>
      </c>
      <c r="L1077" s="86"/>
      <c r="P1077" s="160"/>
      <c r="Q1077"/>
      <c r="R1077" s="160"/>
      <c r="V1077"/>
    </row>
    <row r="1078" spans="1:22" ht="15" customHeight="1" x14ac:dyDescent="0.3">
      <c r="A1078" s="21"/>
      <c r="B1078" s="25"/>
      <c r="C1078" s="29"/>
      <c r="D1078" s="36"/>
      <c r="E1078" s="41"/>
      <c r="F1078" s="42"/>
      <c r="G1078" s="9"/>
      <c r="H1078" s="45"/>
      <c r="I1078" s="9"/>
      <c r="J1078" s="41"/>
      <c r="K1078" s="43">
        <f>Table_246[[#This Row],[Valor da 
venda]]-Table_246[[#This Row],[Valor gasto]]</f>
        <v>0</v>
      </c>
      <c r="L1078" s="86"/>
      <c r="P1078" s="160"/>
      <c r="Q1078"/>
      <c r="R1078" s="160"/>
      <c r="V1078"/>
    </row>
    <row r="1079" spans="1:22" ht="15" customHeight="1" x14ac:dyDescent="0.3">
      <c r="A1079" s="21"/>
      <c r="B1079" s="25"/>
      <c r="C1079" s="29"/>
      <c r="D1079" s="36"/>
      <c r="E1079" s="41"/>
      <c r="F1079" s="42"/>
      <c r="G1079" s="9"/>
      <c r="H1079" s="45"/>
      <c r="I1079" s="9"/>
      <c r="J1079" s="41"/>
      <c r="K1079" s="43">
        <f>Table_246[[#This Row],[Valor da 
venda]]-Table_246[[#This Row],[Valor gasto]]</f>
        <v>0</v>
      </c>
      <c r="L1079" s="86"/>
      <c r="P1079" s="160"/>
      <c r="Q1079"/>
      <c r="R1079" s="160"/>
      <c r="V1079"/>
    </row>
    <row r="1080" spans="1:22" ht="15" customHeight="1" x14ac:dyDescent="0.3">
      <c r="A1080" s="21"/>
      <c r="B1080" s="25"/>
      <c r="C1080" s="29"/>
      <c r="D1080" s="36"/>
      <c r="E1080" s="41"/>
      <c r="F1080" s="42"/>
      <c r="G1080" s="9"/>
      <c r="H1080" s="45"/>
      <c r="I1080" s="9"/>
      <c r="J1080" s="41"/>
      <c r="K1080" s="43">
        <f>Table_246[[#This Row],[Valor da 
venda]]-Table_246[[#This Row],[Valor gasto]]</f>
        <v>0</v>
      </c>
      <c r="L1080" s="86"/>
      <c r="P1080" s="160"/>
      <c r="Q1080"/>
      <c r="R1080" s="160"/>
      <c r="V1080"/>
    </row>
    <row r="1081" spans="1:22" ht="15" customHeight="1" x14ac:dyDescent="0.3">
      <c r="A1081" s="21"/>
      <c r="B1081" s="25"/>
      <c r="C1081" s="29"/>
      <c r="D1081" s="36"/>
      <c r="E1081" s="41"/>
      <c r="F1081" s="42"/>
      <c r="G1081" s="9"/>
      <c r="H1081" s="45"/>
      <c r="I1081" s="9"/>
      <c r="J1081" s="41"/>
      <c r="K1081" s="43">
        <f>Table_246[[#This Row],[Valor da 
venda]]-Table_246[[#This Row],[Valor gasto]]</f>
        <v>0</v>
      </c>
      <c r="L1081" s="86"/>
      <c r="P1081" s="160"/>
      <c r="Q1081"/>
      <c r="R1081" s="160"/>
      <c r="V1081"/>
    </row>
    <row r="1082" spans="1:22" ht="15" customHeight="1" x14ac:dyDescent="0.3">
      <c r="A1082" s="21"/>
      <c r="B1082" s="25"/>
      <c r="C1082" s="29"/>
      <c r="D1082" s="36"/>
      <c r="E1082" s="41"/>
      <c r="F1082" s="42"/>
      <c r="G1082" s="9"/>
      <c r="H1082" s="45"/>
      <c r="I1082" s="9"/>
      <c r="J1082" s="41"/>
      <c r="K1082" s="43">
        <f>Table_246[[#This Row],[Valor da 
venda]]-Table_246[[#This Row],[Valor gasto]]</f>
        <v>0</v>
      </c>
      <c r="L1082" s="86"/>
      <c r="P1082" s="160"/>
      <c r="Q1082"/>
      <c r="R1082" s="160"/>
      <c r="V1082"/>
    </row>
    <row r="1083" spans="1:22" ht="15" customHeight="1" x14ac:dyDescent="0.3">
      <c r="A1083" s="21"/>
      <c r="B1083" s="25"/>
      <c r="C1083" s="29"/>
      <c r="D1083" s="36"/>
      <c r="E1083" s="41"/>
      <c r="F1083" s="42"/>
      <c r="G1083" s="9"/>
      <c r="H1083" s="45"/>
      <c r="I1083" s="9"/>
      <c r="J1083" s="41"/>
      <c r="K1083" s="43">
        <f>Table_246[[#This Row],[Valor da 
venda]]-Table_246[[#This Row],[Valor gasto]]</f>
        <v>0</v>
      </c>
      <c r="L1083" s="86"/>
      <c r="P1083" s="160"/>
      <c r="Q1083"/>
      <c r="R1083" s="160"/>
      <c r="V1083"/>
    </row>
    <row r="1084" spans="1:22" ht="15" customHeight="1" x14ac:dyDescent="0.3">
      <c r="A1084" s="21"/>
      <c r="B1084" s="25"/>
      <c r="C1084" s="29"/>
      <c r="D1084" s="36"/>
      <c r="E1084" s="41"/>
      <c r="F1084" s="42"/>
      <c r="G1084" s="9"/>
      <c r="H1084" s="45"/>
      <c r="I1084" s="9"/>
      <c r="J1084" s="41"/>
      <c r="K1084" s="43">
        <f>Table_246[[#This Row],[Valor da 
venda]]-Table_246[[#This Row],[Valor gasto]]</f>
        <v>0</v>
      </c>
      <c r="L1084" s="86"/>
      <c r="P1084" s="160"/>
      <c r="Q1084"/>
      <c r="R1084" s="160"/>
      <c r="V1084"/>
    </row>
    <row r="1085" spans="1:22" ht="15" customHeight="1" x14ac:dyDescent="0.3">
      <c r="A1085" s="21"/>
      <c r="B1085" s="25"/>
      <c r="C1085" s="29"/>
      <c r="D1085" s="36"/>
      <c r="E1085" s="41"/>
      <c r="F1085" s="42"/>
      <c r="G1085" s="9"/>
      <c r="H1085" s="45"/>
      <c r="I1085" s="9"/>
      <c r="J1085" s="41"/>
      <c r="K1085" s="43">
        <f>Table_246[[#This Row],[Valor da 
venda]]-Table_246[[#This Row],[Valor gasto]]</f>
        <v>0</v>
      </c>
      <c r="L1085" s="86"/>
      <c r="P1085" s="160"/>
      <c r="Q1085"/>
      <c r="R1085" s="160"/>
      <c r="V1085"/>
    </row>
    <row r="1086" spans="1:22" ht="15" customHeight="1" x14ac:dyDescent="0.3">
      <c r="A1086" s="21"/>
      <c r="B1086" s="25"/>
      <c r="C1086" s="29"/>
      <c r="D1086" s="36"/>
      <c r="E1086" s="41"/>
      <c r="F1086" s="42"/>
      <c r="G1086" s="9"/>
      <c r="H1086" s="45"/>
      <c r="I1086" s="9"/>
      <c r="J1086" s="41"/>
      <c r="K1086" s="43">
        <f>Table_246[[#This Row],[Valor da 
venda]]-Table_246[[#This Row],[Valor gasto]]</f>
        <v>0</v>
      </c>
      <c r="L1086" s="86"/>
      <c r="P1086" s="160"/>
      <c r="Q1086"/>
      <c r="R1086" s="160"/>
      <c r="V1086"/>
    </row>
    <row r="1087" spans="1:22" ht="15" customHeight="1" x14ac:dyDescent="0.3">
      <c r="A1087" s="21"/>
      <c r="B1087" s="25"/>
      <c r="C1087" s="29"/>
      <c r="D1087" s="36"/>
      <c r="E1087" s="41"/>
      <c r="F1087" s="42"/>
      <c r="G1087" s="9"/>
      <c r="H1087" s="45"/>
      <c r="I1087" s="9"/>
      <c r="J1087" s="41"/>
      <c r="K1087" s="43">
        <f>Table_246[[#This Row],[Valor da 
venda]]-Table_246[[#This Row],[Valor gasto]]</f>
        <v>0</v>
      </c>
      <c r="L1087" s="86"/>
      <c r="P1087" s="160"/>
      <c r="Q1087"/>
      <c r="R1087" s="160"/>
      <c r="V1087"/>
    </row>
    <row r="1088" spans="1:22" ht="15" customHeight="1" x14ac:dyDescent="0.3">
      <c r="A1088" s="21"/>
      <c r="B1088" s="25"/>
      <c r="C1088" s="29"/>
      <c r="D1088" s="36"/>
      <c r="E1088" s="41"/>
      <c r="F1088" s="42"/>
      <c r="G1088" s="9"/>
      <c r="H1088" s="45"/>
      <c r="I1088" s="9"/>
      <c r="J1088" s="41"/>
      <c r="K1088" s="43">
        <f>Table_246[[#This Row],[Valor da 
venda]]-Table_246[[#This Row],[Valor gasto]]</f>
        <v>0</v>
      </c>
      <c r="L1088" s="86"/>
      <c r="P1088" s="160"/>
      <c r="Q1088"/>
      <c r="R1088" s="160"/>
      <c r="V1088"/>
    </row>
    <row r="1089" spans="1:22" ht="15" customHeight="1" x14ac:dyDescent="0.3">
      <c r="A1089" s="21"/>
      <c r="B1089" s="25"/>
      <c r="C1089" s="29"/>
      <c r="D1089" s="36"/>
      <c r="E1089" s="41"/>
      <c r="F1089" s="42"/>
      <c r="G1089" s="9"/>
      <c r="H1089" s="45"/>
      <c r="I1089" s="9"/>
      <c r="J1089" s="41"/>
      <c r="K1089" s="43">
        <f>Table_246[[#This Row],[Valor da 
venda]]-Table_246[[#This Row],[Valor gasto]]</f>
        <v>0</v>
      </c>
      <c r="L1089" s="86"/>
      <c r="P1089" s="160"/>
      <c r="Q1089"/>
      <c r="R1089" s="160"/>
      <c r="V1089"/>
    </row>
    <row r="1090" spans="1:22" ht="15" customHeight="1" x14ac:dyDescent="0.3">
      <c r="A1090" s="21"/>
      <c r="B1090" s="25"/>
      <c r="C1090" s="29"/>
      <c r="D1090" s="36"/>
      <c r="E1090" s="41"/>
      <c r="F1090" s="42"/>
      <c r="G1090" s="9"/>
      <c r="H1090" s="45"/>
      <c r="I1090" s="9"/>
      <c r="J1090" s="41"/>
      <c r="K1090" s="43">
        <f>Table_246[[#This Row],[Valor da 
venda]]-Table_246[[#This Row],[Valor gasto]]</f>
        <v>0</v>
      </c>
      <c r="L1090" s="86"/>
      <c r="P1090" s="160"/>
      <c r="Q1090"/>
      <c r="R1090" s="160"/>
      <c r="V1090"/>
    </row>
    <row r="1091" spans="1:22" ht="15" customHeight="1" x14ac:dyDescent="0.3">
      <c r="A1091" s="21"/>
      <c r="B1091" s="25"/>
      <c r="C1091" s="29"/>
      <c r="D1091" s="36"/>
      <c r="E1091" s="41"/>
      <c r="F1091" s="42"/>
      <c r="G1091" s="9"/>
      <c r="H1091" s="45"/>
      <c r="I1091" s="9"/>
      <c r="J1091" s="41"/>
      <c r="K1091" s="43">
        <f>Table_246[[#This Row],[Valor da 
venda]]-Table_246[[#This Row],[Valor gasto]]</f>
        <v>0</v>
      </c>
      <c r="L1091" s="86"/>
      <c r="P1091" s="160"/>
      <c r="Q1091"/>
      <c r="R1091" s="160"/>
      <c r="V1091"/>
    </row>
    <row r="1092" spans="1:22" ht="15" customHeight="1" x14ac:dyDescent="0.3">
      <c r="A1092" s="21"/>
      <c r="B1092" s="25"/>
      <c r="C1092" s="29"/>
      <c r="D1092" s="36"/>
      <c r="E1092" s="41"/>
      <c r="F1092" s="42"/>
      <c r="G1092" s="9"/>
      <c r="H1092" s="45"/>
      <c r="I1092" s="9"/>
      <c r="J1092" s="41"/>
      <c r="K1092" s="43">
        <f>Table_246[[#This Row],[Valor da 
venda]]-Table_246[[#This Row],[Valor gasto]]</f>
        <v>0</v>
      </c>
      <c r="L1092" s="86"/>
      <c r="P1092" s="160"/>
      <c r="Q1092"/>
      <c r="R1092" s="160"/>
      <c r="V1092"/>
    </row>
    <row r="1093" spans="1:22" ht="15" customHeight="1" x14ac:dyDescent="0.3">
      <c r="A1093" s="21"/>
      <c r="B1093" s="25"/>
      <c r="C1093" s="29"/>
      <c r="D1093" s="36"/>
      <c r="E1093" s="41"/>
      <c r="F1093" s="42"/>
      <c r="G1093" s="9"/>
      <c r="H1093" s="45"/>
      <c r="I1093" s="9"/>
      <c r="J1093" s="41"/>
      <c r="K1093" s="43">
        <f>Table_246[[#This Row],[Valor da 
venda]]-Table_246[[#This Row],[Valor gasto]]</f>
        <v>0</v>
      </c>
      <c r="L1093" s="86"/>
      <c r="P1093" s="160"/>
      <c r="Q1093"/>
      <c r="R1093" s="160"/>
      <c r="V1093"/>
    </row>
    <row r="1094" spans="1:22" ht="15" customHeight="1" x14ac:dyDescent="0.3">
      <c r="A1094" s="21"/>
      <c r="B1094" s="25"/>
      <c r="C1094" s="29"/>
      <c r="D1094" s="36"/>
      <c r="E1094" s="41"/>
      <c r="F1094" s="42"/>
      <c r="G1094" s="9"/>
      <c r="H1094" s="45"/>
      <c r="I1094" s="9"/>
      <c r="J1094" s="41"/>
      <c r="K1094" s="43">
        <f>Table_246[[#This Row],[Valor da 
venda]]-Table_246[[#This Row],[Valor gasto]]</f>
        <v>0</v>
      </c>
      <c r="L1094" s="86"/>
      <c r="P1094" s="160"/>
      <c r="Q1094"/>
      <c r="R1094" s="160"/>
      <c r="V1094"/>
    </row>
    <row r="1095" spans="1:22" ht="15" customHeight="1" x14ac:dyDescent="0.3">
      <c r="A1095" s="21"/>
      <c r="B1095" s="25"/>
      <c r="C1095" s="29"/>
      <c r="D1095" s="36"/>
      <c r="E1095" s="41"/>
      <c r="F1095" s="42"/>
      <c r="G1095" s="9"/>
      <c r="H1095" s="45"/>
      <c r="I1095" s="9"/>
      <c r="J1095" s="41"/>
      <c r="K1095" s="43">
        <f>Table_246[[#This Row],[Valor da 
venda]]-Table_246[[#This Row],[Valor gasto]]</f>
        <v>0</v>
      </c>
      <c r="L1095" s="86"/>
      <c r="P1095" s="160"/>
      <c r="Q1095"/>
      <c r="R1095" s="160"/>
      <c r="V1095"/>
    </row>
    <row r="1096" spans="1:22" ht="15" customHeight="1" x14ac:dyDescent="0.3">
      <c r="A1096" s="21"/>
      <c r="B1096" s="25"/>
      <c r="C1096" s="29"/>
      <c r="D1096" s="36"/>
      <c r="E1096" s="41"/>
      <c r="F1096" s="42"/>
      <c r="G1096" s="9"/>
      <c r="H1096" s="45"/>
      <c r="I1096" s="9"/>
      <c r="J1096" s="41"/>
      <c r="K1096" s="43">
        <f>Table_246[[#This Row],[Valor da 
venda]]-Table_246[[#This Row],[Valor gasto]]</f>
        <v>0</v>
      </c>
      <c r="L1096" s="86"/>
      <c r="P1096" s="160"/>
      <c r="Q1096"/>
      <c r="R1096" s="160"/>
      <c r="V1096"/>
    </row>
    <row r="1097" spans="1:22" ht="15" customHeight="1" x14ac:dyDescent="0.3">
      <c r="A1097" s="21"/>
      <c r="B1097" s="25"/>
      <c r="C1097" s="29"/>
      <c r="D1097" s="36"/>
      <c r="E1097" s="41"/>
      <c r="F1097" s="42"/>
      <c r="G1097" s="9"/>
      <c r="H1097" s="45"/>
      <c r="I1097" s="9"/>
      <c r="J1097" s="41"/>
      <c r="K1097" s="43">
        <f>Table_246[[#This Row],[Valor da 
venda]]-Table_246[[#This Row],[Valor gasto]]</f>
        <v>0</v>
      </c>
      <c r="L1097" s="86"/>
      <c r="P1097" s="160"/>
      <c r="Q1097"/>
      <c r="R1097" s="160"/>
      <c r="V1097"/>
    </row>
    <row r="1098" spans="1:22" ht="15" customHeight="1" x14ac:dyDescent="0.3">
      <c r="A1098" s="21"/>
      <c r="B1098" s="25"/>
      <c r="C1098" s="29"/>
      <c r="D1098" s="36"/>
      <c r="E1098" s="41"/>
      <c r="F1098" s="42"/>
      <c r="G1098" s="9"/>
      <c r="H1098" s="45"/>
      <c r="I1098" s="9"/>
      <c r="J1098" s="41"/>
      <c r="K1098" s="43">
        <f>Table_246[[#This Row],[Valor da 
venda]]-Table_246[[#This Row],[Valor gasto]]</f>
        <v>0</v>
      </c>
      <c r="L1098" s="86"/>
      <c r="P1098" s="160"/>
      <c r="Q1098"/>
      <c r="R1098" s="160"/>
      <c r="V1098"/>
    </row>
    <row r="1099" spans="1:22" ht="15" customHeight="1" x14ac:dyDescent="0.3">
      <c r="A1099" s="21"/>
      <c r="B1099" s="25"/>
      <c r="C1099" s="29"/>
      <c r="D1099" s="36"/>
      <c r="E1099" s="41"/>
      <c r="F1099" s="42"/>
      <c r="G1099" s="9"/>
      <c r="H1099" s="45"/>
      <c r="I1099" s="9"/>
      <c r="J1099" s="41"/>
      <c r="K1099" s="43">
        <f>Table_246[[#This Row],[Valor da 
venda]]-Table_246[[#This Row],[Valor gasto]]</f>
        <v>0</v>
      </c>
      <c r="L1099" s="86"/>
      <c r="P1099" s="160"/>
      <c r="Q1099"/>
      <c r="R1099" s="160"/>
      <c r="V1099"/>
    </row>
    <row r="1100" spans="1:22" ht="15" customHeight="1" x14ac:dyDescent="0.3">
      <c r="A1100" s="21"/>
      <c r="B1100" s="25"/>
      <c r="C1100" s="29"/>
      <c r="D1100" s="36"/>
      <c r="E1100" s="41"/>
      <c r="F1100" s="42"/>
      <c r="G1100" s="9"/>
      <c r="H1100" s="45"/>
      <c r="I1100" s="9"/>
      <c r="J1100" s="41"/>
      <c r="K1100" s="43">
        <f>Table_246[[#This Row],[Valor da 
venda]]-Table_246[[#This Row],[Valor gasto]]</f>
        <v>0</v>
      </c>
      <c r="L1100" s="86"/>
      <c r="P1100" s="160"/>
      <c r="Q1100"/>
      <c r="R1100" s="160"/>
      <c r="V1100"/>
    </row>
    <row r="1101" spans="1:22" ht="15" customHeight="1" x14ac:dyDescent="0.3">
      <c r="A1101" s="21"/>
      <c r="B1101" s="25"/>
      <c r="C1101" s="29"/>
      <c r="D1101" s="36"/>
      <c r="E1101" s="41"/>
      <c r="F1101" s="42"/>
      <c r="G1101" s="9"/>
      <c r="H1101" s="45"/>
      <c r="I1101" s="9"/>
      <c r="J1101" s="41"/>
      <c r="K1101" s="43">
        <f>Table_246[[#This Row],[Valor da 
venda]]-Table_246[[#This Row],[Valor gasto]]</f>
        <v>0</v>
      </c>
      <c r="L1101" s="86"/>
      <c r="P1101" s="160"/>
      <c r="Q1101"/>
      <c r="R1101" s="160"/>
      <c r="V1101"/>
    </row>
    <row r="1102" spans="1:22" ht="15" customHeight="1" x14ac:dyDescent="0.3">
      <c r="A1102" s="21"/>
      <c r="B1102" s="25"/>
      <c r="C1102" s="29"/>
      <c r="D1102" s="36"/>
      <c r="E1102" s="41"/>
      <c r="F1102" s="42"/>
      <c r="G1102" s="9"/>
      <c r="H1102" s="45"/>
      <c r="I1102" s="9"/>
      <c r="J1102" s="41"/>
      <c r="K1102" s="43">
        <f>Table_246[[#This Row],[Valor da 
venda]]-Table_246[[#This Row],[Valor gasto]]</f>
        <v>0</v>
      </c>
      <c r="L1102" s="86"/>
      <c r="P1102" s="160"/>
      <c r="Q1102"/>
      <c r="R1102" s="160"/>
      <c r="V1102"/>
    </row>
    <row r="1103" spans="1:22" ht="15" customHeight="1" x14ac:dyDescent="0.3">
      <c r="A1103" s="21"/>
      <c r="B1103" s="25"/>
      <c r="C1103" s="29"/>
      <c r="D1103" s="36"/>
      <c r="E1103" s="41"/>
      <c r="F1103" s="42"/>
      <c r="G1103" s="9"/>
      <c r="H1103" s="45"/>
      <c r="I1103" s="9"/>
      <c r="J1103" s="41"/>
      <c r="K1103" s="43">
        <f>Table_246[[#This Row],[Valor da 
venda]]-Table_246[[#This Row],[Valor gasto]]</f>
        <v>0</v>
      </c>
      <c r="L1103" s="86"/>
      <c r="P1103" s="160"/>
      <c r="Q1103"/>
      <c r="R1103" s="160"/>
      <c r="V1103"/>
    </row>
    <row r="1104" spans="1:22" ht="15" customHeight="1" x14ac:dyDescent="0.3">
      <c r="A1104" s="21"/>
      <c r="B1104" s="25"/>
      <c r="C1104" s="29"/>
      <c r="D1104" s="36"/>
      <c r="E1104" s="41"/>
      <c r="F1104" s="42"/>
      <c r="G1104" s="9"/>
      <c r="H1104" s="45"/>
      <c r="I1104" s="9"/>
      <c r="J1104" s="41"/>
      <c r="K1104" s="43">
        <f>Table_246[[#This Row],[Valor da 
venda]]-Table_246[[#This Row],[Valor gasto]]</f>
        <v>0</v>
      </c>
      <c r="L1104" s="86"/>
      <c r="P1104" s="160"/>
      <c r="Q1104"/>
      <c r="R1104" s="160"/>
      <c r="V1104"/>
    </row>
    <row r="1105" spans="1:22" ht="15" customHeight="1" x14ac:dyDescent="0.3">
      <c r="A1105" s="21"/>
      <c r="B1105" s="25"/>
      <c r="C1105" s="29"/>
      <c r="D1105" s="36"/>
      <c r="E1105" s="41"/>
      <c r="F1105" s="42"/>
      <c r="G1105" s="9"/>
      <c r="H1105" s="45"/>
      <c r="I1105" s="9"/>
      <c r="J1105" s="41"/>
      <c r="K1105" s="43">
        <f>Table_246[[#This Row],[Valor da 
venda]]-Table_246[[#This Row],[Valor gasto]]</f>
        <v>0</v>
      </c>
      <c r="L1105" s="86"/>
      <c r="P1105" s="160"/>
      <c r="Q1105"/>
      <c r="R1105" s="160"/>
      <c r="V1105"/>
    </row>
    <row r="1106" spans="1:22" ht="15" customHeight="1" x14ac:dyDescent="0.3">
      <c r="A1106" s="21"/>
      <c r="B1106" s="25"/>
      <c r="C1106" s="29"/>
      <c r="D1106" s="36"/>
      <c r="E1106" s="41"/>
      <c r="F1106" s="42"/>
      <c r="G1106" s="9"/>
      <c r="H1106" s="45"/>
      <c r="I1106" s="9"/>
      <c r="J1106" s="41"/>
      <c r="K1106" s="43">
        <f>Table_246[[#This Row],[Valor da 
venda]]-Table_246[[#This Row],[Valor gasto]]</f>
        <v>0</v>
      </c>
      <c r="L1106" s="86"/>
      <c r="P1106" s="160"/>
      <c r="Q1106"/>
      <c r="R1106" s="160"/>
      <c r="V1106"/>
    </row>
    <row r="1107" spans="1:22" ht="15" customHeight="1" x14ac:dyDescent="0.3">
      <c r="A1107" s="21"/>
      <c r="B1107" s="25"/>
      <c r="C1107" s="29"/>
      <c r="D1107" s="36"/>
      <c r="E1107" s="41"/>
      <c r="F1107" s="42"/>
      <c r="G1107" s="9"/>
      <c r="H1107" s="45"/>
      <c r="I1107" s="9"/>
      <c r="J1107" s="41"/>
      <c r="K1107" s="43">
        <f>Table_246[[#This Row],[Valor da 
venda]]-Table_246[[#This Row],[Valor gasto]]</f>
        <v>0</v>
      </c>
      <c r="L1107" s="86"/>
      <c r="P1107" s="160"/>
      <c r="Q1107"/>
      <c r="R1107" s="160"/>
      <c r="V1107"/>
    </row>
    <row r="1108" spans="1:22" ht="15" customHeight="1" x14ac:dyDescent="0.3">
      <c r="A1108" s="21"/>
      <c r="B1108" s="25"/>
      <c r="C1108" s="29"/>
      <c r="D1108" s="36"/>
      <c r="E1108" s="41"/>
      <c r="F1108" s="42"/>
      <c r="G1108" s="9"/>
      <c r="H1108" s="45"/>
      <c r="I1108" s="9"/>
      <c r="J1108" s="41"/>
      <c r="K1108" s="43">
        <f>Table_246[[#This Row],[Valor da 
venda]]-Table_246[[#This Row],[Valor gasto]]</f>
        <v>0</v>
      </c>
      <c r="L1108" s="86"/>
      <c r="P1108" s="160"/>
      <c r="Q1108"/>
      <c r="R1108" s="160"/>
      <c r="V1108"/>
    </row>
    <row r="1109" spans="1:22" ht="15" customHeight="1" x14ac:dyDescent="0.3">
      <c r="A1109" s="21"/>
      <c r="B1109" s="25"/>
      <c r="C1109" s="29"/>
      <c r="D1109" s="36"/>
      <c r="E1109" s="41"/>
      <c r="F1109" s="42"/>
      <c r="G1109" s="9"/>
      <c r="H1109" s="45"/>
      <c r="I1109" s="9"/>
      <c r="J1109" s="41"/>
      <c r="K1109" s="43">
        <f>Table_246[[#This Row],[Valor da 
venda]]-Table_246[[#This Row],[Valor gasto]]</f>
        <v>0</v>
      </c>
      <c r="L1109" s="86"/>
      <c r="P1109" s="160"/>
      <c r="Q1109"/>
      <c r="R1109" s="160"/>
      <c r="V1109"/>
    </row>
    <row r="1110" spans="1:22" ht="15" customHeight="1" x14ac:dyDescent="0.3">
      <c r="A1110" s="21"/>
      <c r="B1110" s="25"/>
      <c r="C1110" s="29"/>
      <c r="D1110" s="36"/>
      <c r="E1110" s="41"/>
      <c r="F1110" s="42"/>
      <c r="G1110" s="9"/>
      <c r="H1110" s="45"/>
      <c r="I1110" s="9"/>
      <c r="J1110" s="41"/>
      <c r="K1110" s="43">
        <f>Table_246[[#This Row],[Valor da 
venda]]-Table_246[[#This Row],[Valor gasto]]</f>
        <v>0</v>
      </c>
      <c r="L1110" s="86"/>
      <c r="P1110" s="160"/>
      <c r="Q1110"/>
      <c r="R1110" s="160"/>
      <c r="V1110"/>
    </row>
    <row r="1111" spans="1:22" ht="15" customHeight="1" x14ac:dyDescent="0.3">
      <c r="A1111" s="151"/>
      <c r="B1111" s="151"/>
      <c r="C1111" s="152"/>
      <c r="D1111" s="151"/>
      <c r="E1111" s="151"/>
      <c r="F1111" s="153"/>
      <c r="G1111" s="154"/>
      <c r="H1111" s="155"/>
      <c r="I1111" s="154"/>
      <c r="J1111" s="151"/>
      <c r="K1111" s="156"/>
      <c r="L1111" s="155"/>
      <c r="P1111" s="160"/>
      <c r="Q1111"/>
      <c r="R1111" s="160"/>
      <c r="V1111"/>
    </row>
  </sheetData>
  <conditionalFormatting sqref="C1:C431 C453:C1110">
    <cfRule type="expression" dxfId="36" priority="175">
      <formula>L1="Aguardando"</formula>
    </cfRule>
    <cfRule type="expression" dxfId="35" priority="176">
      <formula>L1="Transferido"</formula>
    </cfRule>
  </conditionalFormatting>
  <conditionalFormatting sqref="C432:C452">
    <cfRule type="expression" dxfId="34" priority="440">
      <formula>L432 ="Aguardando"</formula>
    </cfRule>
    <cfRule type="expression" dxfId="33" priority="441">
      <formula>L432 ="Transferido"</formula>
    </cfRule>
  </conditionalFormatting>
  <conditionalFormatting sqref="C1112:C1048576">
    <cfRule type="expression" dxfId="32" priority="444">
      <formula>#REF!="Aguardando"</formula>
    </cfRule>
    <cfRule type="expression" dxfId="31" priority="445">
      <formula>#REF!="Transferido"</formula>
    </cfRule>
  </conditionalFormatting>
  <conditionalFormatting sqref="E1:E431 E453:E1111">
    <cfRule type="expression" dxfId="30" priority="10">
      <formula>L1="Transferido"</formula>
    </cfRule>
    <cfRule type="expression" dxfId="29" priority="13">
      <formula>L1="Aguardando"</formula>
    </cfRule>
  </conditionalFormatting>
  <conditionalFormatting sqref="E2:E431 E453:E1110">
    <cfRule type="duplicateValues" dxfId="28" priority="436"/>
  </conditionalFormatting>
  <conditionalFormatting sqref="J2:J431 J453:J818">
    <cfRule type="expression" dxfId="27" priority="29">
      <formula>J2="Fisica"</formula>
    </cfRule>
  </conditionalFormatting>
  <conditionalFormatting sqref="J2:J431 J453:J1110">
    <cfRule type="expression" dxfId="26" priority="22">
      <formula>J2="TikTok"</formula>
    </cfRule>
    <cfRule type="expression" dxfId="25" priority="23">
      <formula>J2="Shopee"</formula>
    </cfRule>
    <cfRule type="expression" dxfId="24" priority="25">
      <formula>N2="Transferido"</formula>
    </cfRule>
  </conditionalFormatting>
  <conditionalFormatting sqref="J432:J452">
    <cfRule type="expression" dxfId="23" priority="2">
      <formula>J432 = "TikTok"</formula>
    </cfRule>
    <cfRule type="expression" dxfId="22" priority="3">
      <formula>J432 ="Shopee"</formula>
    </cfRule>
    <cfRule type="expression" dxfId="21" priority="4">
      <formula>M432 ="Aguardando"</formula>
    </cfRule>
    <cfRule type="expression" dxfId="20" priority="5">
      <formula>M432 ="Transferido"</formula>
    </cfRule>
    <cfRule type="expression" dxfId="19" priority="6">
      <formula>J432 = "Fisica"</formula>
    </cfRule>
  </conditionalFormatting>
  <conditionalFormatting sqref="K1112">
    <cfRule type="expression" dxfId="18" priority="183">
      <formula>N1111="Aguardando"</formula>
    </cfRule>
    <cfRule type="expression" dxfId="17" priority="184">
      <formula>N1111="Transferido"</formula>
    </cfRule>
  </conditionalFormatting>
  <conditionalFormatting sqref="K1112:K1048576">
    <cfRule type="expression" dxfId="16" priority="168">
      <formula>K1112="TikTok"</formula>
    </cfRule>
    <cfRule type="expression" dxfId="15" priority="169">
      <formula>K1112="Shopee"</formula>
    </cfRule>
  </conditionalFormatting>
  <conditionalFormatting sqref="K1113:K1048576">
    <cfRule type="expression" dxfId="14" priority="170">
      <formula>N1112="Aguardando"</formula>
    </cfRule>
    <cfRule type="expression" dxfId="13" priority="171">
      <formula>N1112="Transferido"</formula>
    </cfRule>
  </conditionalFormatting>
  <conditionalFormatting sqref="K1:K1110 J1112:K1048576">
    <cfRule type="cellIs" dxfId="12" priority="38" operator="lessThan">
      <formula>0</formula>
    </cfRule>
  </conditionalFormatting>
  <conditionalFormatting sqref="L1112:L1048576">
    <cfRule type="cellIs" dxfId="11" priority="17" operator="lessThan">
      <formula>0.3</formula>
    </cfRule>
  </conditionalFormatting>
  <conditionalFormatting sqref="L1:L431 M1112:M1048576 L453:L1111">
    <cfRule type="expression" dxfId="10" priority="11">
      <formula>L1="Transferido"</formula>
    </cfRule>
    <cfRule type="expression" dxfId="9" priority="12">
      <formula>L1="Aguardando"</formula>
    </cfRule>
  </conditionalFormatting>
  <conditionalFormatting sqref="E1112:E1048576">
    <cfRule type="expression" dxfId="8" priority="460">
      <formula>M1112="Transferido"</formula>
    </cfRule>
    <cfRule type="expression" dxfId="7" priority="461">
      <formula>M1112="Aguardando"</formula>
    </cfRule>
  </conditionalFormatting>
  <pageMargins left="0.51" right="0.51" top="0.79" bottom="0.79" header="0" footer="0"/>
  <pageSetup paperSize="9" orientation="portrait" r:id="rId1"/>
  <headerFooter>
    <oddHeader>&amp;L&amp;C&amp;R</oddHeader>
    <oddFooter>&amp;L&amp;C&amp;R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9245-61BC-B8C4-3796-E83E8C36B8AD}">
  <dimension ref="A1:AD474"/>
  <sheetViews>
    <sheetView topLeftCell="W1" workbookViewId="0">
      <selection activeCell="AB7" sqref="AB7"/>
    </sheetView>
  </sheetViews>
  <sheetFormatPr defaultColWidth="9.140625" defaultRowHeight="15" customHeight="1" x14ac:dyDescent="0.25"/>
  <cols>
    <col min="1" max="1" width="9" customWidth="1"/>
    <col min="2" max="2" width="10.42578125" customWidth="1"/>
    <col min="3" max="3" width="19.28515625" customWidth="1"/>
    <col min="4" max="4" width="13.5703125" customWidth="1"/>
    <col min="5" max="5" width="16.5703125" customWidth="1"/>
    <col min="6" max="6" width="9.5703125" customWidth="1"/>
    <col min="7" max="7" width="13.42578125" customWidth="1"/>
    <col min="9" max="9" width="14" customWidth="1"/>
    <col min="10" max="10" width="12.140625" customWidth="1"/>
    <col min="11" max="12" width="5.140625" customWidth="1"/>
    <col min="14" max="14" width="20.5703125" customWidth="1"/>
    <col min="15" max="15" width="12.5703125" style="96" customWidth="1"/>
    <col min="16" max="16" width="10.5703125" customWidth="1"/>
    <col min="17" max="17" width="11.7109375" customWidth="1"/>
    <col min="19" max="19" width="14.42578125" customWidth="1"/>
    <col min="20" max="20" width="22" style="97" customWidth="1"/>
    <col min="21" max="21" width="22.28515625" style="97" customWidth="1"/>
    <col min="23" max="23" width="20.85546875" customWidth="1"/>
    <col min="24" max="24" width="10.5703125" style="97" customWidth="1"/>
    <col min="28" max="28" width="71.42578125" customWidth="1"/>
  </cols>
  <sheetData>
    <row r="1" spans="1:30" ht="36" customHeight="1" x14ac:dyDescent="0.25">
      <c r="A1" s="176" t="s">
        <v>1160</v>
      </c>
      <c r="B1" s="170"/>
      <c r="C1" s="170"/>
      <c r="D1" s="170"/>
      <c r="E1" s="170"/>
      <c r="F1" s="170"/>
      <c r="G1" s="177"/>
      <c r="I1" s="171" t="s">
        <v>1161</v>
      </c>
      <c r="J1" s="175"/>
      <c r="K1" s="175"/>
      <c r="L1" s="90"/>
      <c r="N1" s="172" t="s">
        <v>1162</v>
      </c>
      <c r="O1" s="172"/>
      <c r="P1" s="172"/>
      <c r="S1" s="172" t="s">
        <v>1163</v>
      </c>
      <c r="T1" s="172"/>
      <c r="U1" s="172"/>
      <c r="V1" s="91"/>
      <c r="W1" s="173" t="s">
        <v>1164</v>
      </c>
      <c r="X1" s="173"/>
      <c r="Y1" s="173"/>
      <c r="AB1" s="92" t="s">
        <v>1097</v>
      </c>
      <c r="AC1" s="93" t="s">
        <v>1098</v>
      </c>
      <c r="AD1" s="94" t="s">
        <v>1099</v>
      </c>
    </row>
    <row r="2" spans="1:30" ht="18" customHeight="1" x14ac:dyDescent="0.25">
      <c r="A2" s="95" t="s">
        <v>1165</v>
      </c>
      <c r="B2" s="95" t="s">
        <v>1165</v>
      </c>
      <c r="C2" s="95" t="s">
        <v>1166</v>
      </c>
      <c r="D2" s="95" t="s">
        <v>1167</v>
      </c>
      <c r="E2" s="95" t="s">
        <v>1168</v>
      </c>
      <c r="F2" s="95" t="s">
        <v>1169</v>
      </c>
      <c r="G2" s="95" t="s">
        <v>1170</v>
      </c>
      <c r="I2" t="s">
        <v>1171</v>
      </c>
      <c r="J2" t="s">
        <v>1171</v>
      </c>
      <c r="K2" t="s">
        <v>1172</v>
      </c>
      <c r="N2" t="s">
        <v>1173</v>
      </c>
      <c r="O2" s="96" t="s">
        <v>1174</v>
      </c>
      <c r="P2" s="97">
        <v>50</v>
      </c>
      <c r="S2" s="98" t="s">
        <v>1175</v>
      </c>
      <c r="T2" s="99" t="s">
        <v>1176</v>
      </c>
      <c r="U2" s="100" t="s">
        <v>1177</v>
      </c>
      <c r="V2" s="91"/>
      <c r="W2" s="101" t="s">
        <v>1178</v>
      </c>
      <c r="X2" s="102">
        <f>600</f>
        <v>600</v>
      </c>
      <c r="AB2" s="103" t="s">
        <v>1179</v>
      </c>
      <c r="AC2" s="104">
        <v>1</v>
      </c>
      <c r="AD2" s="105">
        <f t="shared" ref="AD2:AD256" si="0">AC2-AE2</f>
        <v>1</v>
      </c>
    </row>
    <row r="3" spans="1:30" ht="18" customHeight="1" x14ac:dyDescent="0.25">
      <c r="A3" s="106">
        <v>1</v>
      </c>
      <c r="B3" s="106" t="s">
        <v>1180</v>
      </c>
      <c r="C3" s="107">
        <v>1528.12</v>
      </c>
      <c r="D3" s="107">
        <v>120</v>
      </c>
      <c r="E3" s="107">
        <v>0</v>
      </c>
      <c r="F3" s="107"/>
      <c r="G3" s="107"/>
      <c r="I3" t="s">
        <v>1181</v>
      </c>
      <c r="J3" s="97">
        <v>600</v>
      </c>
      <c r="K3">
        <v>10</v>
      </c>
      <c r="N3" t="s">
        <v>1182</v>
      </c>
      <c r="O3" s="108">
        <f>70+20+50</f>
        <v>140</v>
      </c>
      <c r="P3" s="97">
        <v>500</v>
      </c>
      <c r="S3" s="109" t="s">
        <v>1183</v>
      </c>
      <c r="T3" s="97">
        <v>537.49</v>
      </c>
      <c r="U3" s="97">
        <v>227.95</v>
      </c>
      <c r="W3" s="110" t="s">
        <v>1184</v>
      </c>
      <c r="X3" s="111">
        <f>X2-X13</f>
        <v>390</v>
      </c>
      <c r="AB3" s="112" t="s">
        <v>407</v>
      </c>
      <c r="AC3" s="113">
        <v>2</v>
      </c>
      <c r="AD3" s="114">
        <f t="shared" si="0"/>
        <v>2</v>
      </c>
    </row>
    <row r="4" spans="1:30" ht="18" customHeight="1" x14ac:dyDescent="0.25">
      <c r="A4" s="106">
        <v>2</v>
      </c>
      <c r="B4" s="106" t="s">
        <v>1185</v>
      </c>
      <c r="C4" s="107">
        <v>1018.94</v>
      </c>
      <c r="D4" s="107">
        <v>0</v>
      </c>
      <c r="E4" s="107">
        <v>0</v>
      </c>
      <c r="F4" s="107"/>
      <c r="G4" s="107"/>
      <c r="I4" t="s">
        <v>1186</v>
      </c>
      <c r="J4" s="97">
        <v>100</v>
      </c>
      <c r="K4">
        <v>10</v>
      </c>
      <c r="O4" s="108"/>
      <c r="P4" s="97"/>
      <c r="S4" s="109" t="s">
        <v>1187</v>
      </c>
      <c r="T4" s="97">
        <v>394.89</v>
      </c>
      <c r="U4" s="97">
        <v>177.71</v>
      </c>
      <c r="W4" s="110" t="s">
        <v>1188</v>
      </c>
      <c r="X4" s="110" t="s">
        <v>1189</v>
      </c>
      <c r="AB4" s="103" t="s">
        <v>1190</v>
      </c>
      <c r="AC4" s="104">
        <v>1</v>
      </c>
      <c r="AD4" s="105">
        <f t="shared" si="0"/>
        <v>1</v>
      </c>
    </row>
    <row r="5" spans="1:30" ht="18.75" customHeight="1" x14ac:dyDescent="0.3">
      <c r="A5" s="106">
        <v>3</v>
      </c>
      <c r="B5" s="106" t="s">
        <v>1191</v>
      </c>
      <c r="C5" s="107">
        <v>300.48</v>
      </c>
      <c r="D5" s="107">
        <v>0</v>
      </c>
      <c r="E5" s="107">
        <v>50</v>
      </c>
      <c r="F5" s="107"/>
      <c r="G5" s="107"/>
      <c r="I5" t="s">
        <v>1192</v>
      </c>
      <c r="J5" s="97">
        <v>100</v>
      </c>
      <c r="K5">
        <v>10</v>
      </c>
      <c r="N5" t="s">
        <v>1193</v>
      </c>
      <c r="O5" s="108">
        <f>O3-500</f>
        <v>-360</v>
      </c>
      <c r="P5" s="97"/>
      <c r="S5" s="109" t="s">
        <v>1194</v>
      </c>
      <c r="T5" s="97">
        <v>7046.09</v>
      </c>
      <c r="U5" s="97">
        <v>3107.47</v>
      </c>
      <c r="W5" s="174" t="s">
        <v>1195</v>
      </c>
      <c r="X5" s="174"/>
      <c r="AB5" s="112" t="s">
        <v>380</v>
      </c>
      <c r="AC5" s="113">
        <v>2</v>
      </c>
      <c r="AD5" s="114">
        <f t="shared" si="0"/>
        <v>2</v>
      </c>
    </row>
    <row r="6" spans="1:30" ht="18" customHeight="1" x14ac:dyDescent="0.25">
      <c r="A6" s="106">
        <v>4</v>
      </c>
      <c r="B6" s="106" t="s">
        <v>1196</v>
      </c>
      <c r="C6" s="107">
        <v>481.53</v>
      </c>
      <c r="D6" s="107">
        <v>350</v>
      </c>
      <c r="E6" s="107">
        <f>SUM(2500+30+55+40+65+1805)</f>
        <v>4495</v>
      </c>
      <c r="F6" s="107"/>
      <c r="G6" s="107"/>
      <c r="I6" t="s">
        <v>1197</v>
      </c>
      <c r="J6" s="97">
        <v>545.16</v>
      </c>
      <c r="K6">
        <v>15</v>
      </c>
      <c r="S6" s="109">
        <v>99</v>
      </c>
      <c r="T6" s="97">
        <v>11194.34</v>
      </c>
      <c r="U6" s="97">
        <v>11194.34</v>
      </c>
      <c r="W6" s="115" t="s">
        <v>1198</v>
      </c>
      <c r="X6" s="97">
        <v>65</v>
      </c>
      <c r="AB6" s="103" t="s">
        <v>1101</v>
      </c>
      <c r="AC6" s="104">
        <v>1</v>
      </c>
      <c r="AD6" s="105">
        <f t="shared" si="0"/>
        <v>1</v>
      </c>
    </row>
    <row r="7" spans="1:30" ht="18" customHeight="1" x14ac:dyDescent="0.25">
      <c r="A7" s="106">
        <v>5</v>
      </c>
      <c r="B7" s="106" t="s">
        <v>1199</v>
      </c>
      <c r="C7" s="107">
        <v>201.6</v>
      </c>
      <c r="D7" s="107">
        <v>0</v>
      </c>
      <c r="E7" s="107">
        <f>SUM(60+20+650)</f>
        <v>730</v>
      </c>
      <c r="F7" s="107"/>
      <c r="G7" s="107"/>
      <c r="I7" t="s">
        <v>1200</v>
      </c>
      <c r="J7" s="97">
        <v>10</v>
      </c>
      <c r="K7">
        <v>15</v>
      </c>
      <c r="S7" s="109" t="s">
        <v>1201</v>
      </c>
      <c r="T7" s="97">
        <v>27027.55</v>
      </c>
      <c r="U7" s="97">
        <v>13427.4</v>
      </c>
      <c r="W7" t="s">
        <v>1202</v>
      </c>
      <c r="X7" s="97">
        <v>30</v>
      </c>
      <c r="AB7" s="112" t="s">
        <v>1203</v>
      </c>
      <c r="AC7" s="113">
        <v>1</v>
      </c>
      <c r="AD7" s="114">
        <f t="shared" si="0"/>
        <v>1</v>
      </c>
    </row>
    <row r="8" spans="1:30" ht="18" customHeight="1" x14ac:dyDescent="0.25">
      <c r="A8" s="106">
        <v>6</v>
      </c>
      <c r="B8" s="106" t="s">
        <v>1204</v>
      </c>
      <c r="C8" s="107">
        <v>291.79000000000002</v>
      </c>
      <c r="D8" s="107">
        <v>0</v>
      </c>
      <c r="E8" s="107">
        <f>SUM(14+5+50+45+25+2+360+60+44+3+4+3+20+200)</f>
        <v>835</v>
      </c>
      <c r="F8" s="107"/>
      <c r="G8" s="107"/>
      <c r="I8" t="s">
        <v>1205</v>
      </c>
      <c r="J8" s="97"/>
      <c r="S8" s="109" t="s">
        <v>1206</v>
      </c>
      <c r="T8" s="97">
        <f>1021.42+14105.35</f>
        <v>15126.77</v>
      </c>
      <c r="U8" s="97">
        <f>532.34+7388.86</f>
        <v>7921.2</v>
      </c>
      <c r="W8" t="s">
        <v>1207</v>
      </c>
      <c r="X8" s="97">
        <v>35</v>
      </c>
      <c r="AB8" s="103" t="s">
        <v>346</v>
      </c>
      <c r="AC8" s="104">
        <v>7</v>
      </c>
      <c r="AD8" s="105">
        <f t="shared" si="0"/>
        <v>7</v>
      </c>
    </row>
    <row r="9" spans="1:30" ht="18" customHeight="1" x14ac:dyDescent="0.25">
      <c r="A9" s="106">
        <v>7</v>
      </c>
      <c r="B9" s="106" t="s">
        <v>1208</v>
      </c>
      <c r="C9" s="107">
        <v>444.24</v>
      </c>
      <c r="D9" s="107">
        <v>0</v>
      </c>
      <c r="E9" s="107">
        <f>SUM(7+95+2+2500+30+70+30+50+330+15+18+45+10+2+150+10+10+15)</f>
        <v>3389</v>
      </c>
      <c r="F9" s="107"/>
      <c r="G9" s="107"/>
      <c r="I9" t="s">
        <v>1209</v>
      </c>
      <c r="J9" s="97">
        <v>220.8</v>
      </c>
      <c r="K9">
        <v>20</v>
      </c>
      <c r="S9" s="109" t="s">
        <v>1210</v>
      </c>
      <c r="T9" s="97">
        <v>3303.72</v>
      </c>
      <c r="U9" s="97">
        <v>2758.75</v>
      </c>
      <c r="W9" t="s">
        <v>1211</v>
      </c>
      <c r="X9" s="97">
        <v>80</v>
      </c>
      <c r="AB9" s="116" t="s">
        <v>1212</v>
      </c>
      <c r="AC9" s="117">
        <v>2</v>
      </c>
      <c r="AD9" s="114">
        <f t="shared" si="0"/>
        <v>2</v>
      </c>
    </row>
    <row r="10" spans="1:30" ht="18" customHeight="1" x14ac:dyDescent="0.25">
      <c r="A10" s="106">
        <v>8</v>
      </c>
      <c r="B10" s="106" t="s">
        <v>1213</v>
      </c>
      <c r="C10" s="107">
        <v>552.75</v>
      </c>
      <c r="D10" s="107">
        <v>0</v>
      </c>
      <c r="E10" s="107">
        <f>SUM(2+10+6+22.5+3+2+5+2+11)</f>
        <v>63.5</v>
      </c>
      <c r="F10" s="107"/>
      <c r="G10" s="107"/>
      <c r="I10" t="s">
        <v>1214</v>
      </c>
      <c r="J10" s="97">
        <v>220.8</v>
      </c>
      <c r="K10">
        <v>20</v>
      </c>
      <c r="S10" s="109" t="s">
        <v>1215</v>
      </c>
      <c r="T10" s="97">
        <v>2434.54</v>
      </c>
      <c r="U10" s="97">
        <v>1544.43</v>
      </c>
      <c r="AB10" s="103" t="s">
        <v>1216</v>
      </c>
      <c r="AC10" s="104">
        <v>2</v>
      </c>
      <c r="AD10" s="105">
        <f t="shared" si="0"/>
        <v>2</v>
      </c>
    </row>
    <row r="11" spans="1:30" ht="18" customHeight="1" x14ac:dyDescent="0.25">
      <c r="A11" s="106">
        <v>9</v>
      </c>
      <c r="B11" s="106" t="s">
        <v>1217</v>
      </c>
      <c r="C11" s="107">
        <v>234.8</v>
      </c>
      <c r="D11" s="107">
        <v>0</v>
      </c>
      <c r="E11" s="107">
        <f>SUM(50+2+42+30+10+5)</f>
        <v>139</v>
      </c>
      <c r="F11" s="107"/>
      <c r="G11" s="107"/>
      <c r="I11" t="s">
        <v>1218</v>
      </c>
      <c r="J11" s="97">
        <v>81</v>
      </c>
      <c r="K11">
        <v>20</v>
      </c>
      <c r="AB11" s="112" t="s">
        <v>321</v>
      </c>
      <c r="AC11" s="113">
        <v>3</v>
      </c>
      <c r="AD11" s="114">
        <f t="shared" si="0"/>
        <v>3</v>
      </c>
    </row>
    <row r="12" spans="1:30" ht="18" customHeight="1" x14ac:dyDescent="0.25">
      <c r="A12" s="106">
        <v>10</v>
      </c>
      <c r="B12" s="106" t="s">
        <v>1219</v>
      </c>
      <c r="C12" s="107">
        <v>312.44</v>
      </c>
      <c r="D12" s="107">
        <v>0</v>
      </c>
      <c r="E12" s="107">
        <f>SUM(30+10)</f>
        <v>40</v>
      </c>
      <c r="F12" s="107"/>
      <c r="G12" s="107"/>
      <c r="I12" t="s">
        <v>1220</v>
      </c>
      <c r="J12" s="97">
        <v>54.47</v>
      </c>
      <c r="K12">
        <v>20</v>
      </c>
      <c r="S12" t="s">
        <v>1096</v>
      </c>
      <c r="T12" s="97">
        <f t="shared" ref="T12:U12" si="1">SUM(T3:T11)</f>
        <v>67065.39</v>
      </c>
      <c r="U12" s="97">
        <f t="shared" si="1"/>
        <v>40359.25</v>
      </c>
      <c r="AB12" s="103" t="s">
        <v>575</v>
      </c>
      <c r="AC12" s="104">
        <v>3</v>
      </c>
      <c r="AD12" s="105">
        <f t="shared" si="0"/>
        <v>3</v>
      </c>
    </row>
    <row r="13" spans="1:30" ht="18" customHeight="1" x14ac:dyDescent="0.25">
      <c r="A13" s="106">
        <v>11</v>
      </c>
      <c r="B13" s="106" t="s">
        <v>1221</v>
      </c>
      <c r="C13" s="107">
        <v>564.38</v>
      </c>
      <c r="D13" s="107">
        <v>0</v>
      </c>
      <c r="E13" s="107"/>
      <c r="F13" s="107"/>
      <c r="G13" s="107">
        <v>669.7</v>
      </c>
      <c r="I13" t="s">
        <v>1222</v>
      </c>
      <c r="J13" s="97">
        <v>100</v>
      </c>
      <c r="K13">
        <v>21</v>
      </c>
      <c r="W13" t="s">
        <v>1223</v>
      </c>
      <c r="X13" s="97">
        <f>SUM(X6:X12)</f>
        <v>210</v>
      </c>
      <c r="AB13" s="112" t="s">
        <v>1103</v>
      </c>
      <c r="AC13" s="113">
        <v>1</v>
      </c>
      <c r="AD13" s="114">
        <f t="shared" si="0"/>
        <v>1</v>
      </c>
    </row>
    <row r="14" spans="1:30" ht="18" customHeight="1" x14ac:dyDescent="0.25">
      <c r="A14" s="106">
        <v>12</v>
      </c>
      <c r="B14" s="106" t="s">
        <v>1224</v>
      </c>
      <c r="C14" s="107">
        <v>3223.22</v>
      </c>
      <c r="D14" s="107"/>
      <c r="E14" s="107"/>
      <c r="F14" s="107"/>
      <c r="G14" s="107"/>
      <c r="I14" t="s">
        <v>1225</v>
      </c>
      <c r="J14" s="97">
        <v>100</v>
      </c>
      <c r="K14">
        <v>21</v>
      </c>
      <c r="AB14" s="103" t="s">
        <v>444</v>
      </c>
      <c r="AC14" s="104">
        <v>1</v>
      </c>
      <c r="AD14" s="105">
        <f t="shared" si="0"/>
        <v>1</v>
      </c>
    </row>
    <row r="15" spans="1:30" ht="18" customHeight="1" x14ac:dyDescent="0.25">
      <c r="A15" s="176" t="s">
        <v>1226</v>
      </c>
      <c r="B15" s="177"/>
      <c r="C15" s="95">
        <f t="shared" ref="C15:G32" si="2">SUM(C3:C14)</f>
        <v>9154.2899999999991</v>
      </c>
      <c r="D15" s="95">
        <f t="shared" si="2"/>
        <v>470</v>
      </c>
      <c r="E15" s="95">
        <v>9759.5</v>
      </c>
      <c r="F15" s="95">
        <f t="shared" si="2"/>
        <v>0</v>
      </c>
      <c r="G15" s="95">
        <f t="shared" si="2"/>
        <v>669.7</v>
      </c>
      <c r="I15" t="s">
        <v>1227</v>
      </c>
      <c r="J15" s="97">
        <v>100</v>
      </c>
      <c r="K15">
        <v>27</v>
      </c>
      <c r="S15" s="109"/>
      <c r="AB15" s="112" t="s">
        <v>1104</v>
      </c>
      <c r="AC15" s="117">
        <v>1</v>
      </c>
      <c r="AD15" s="114">
        <f t="shared" si="0"/>
        <v>1</v>
      </c>
    </row>
    <row r="16" spans="1:30" ht="18" customHeight="1" x14ac:dyDescent="0.25">
      <c r="A16" s="176" t="s">
        <v>1096</v>
      </c>
      <c r="B16" s="177"/>
      <c r="C16" s="95">
        <f t="shared" ref="C16:C33" si="3">SUM(C15:G15)</f>
        <v>20053.490000000002</v>
      </c>
      <c r="D16" s="95" t="s">
        <v>1228</v>
      </c>
      <c r="E16" s="95">
        <f t="shared" ref="E16:E33" si="4">81000-C16</f>
        <v>60946.509999999995</v>
      </c>
      <c r="F16" s="95"/>
      <c r="G16" s="95"/>
      <c r="AB16" s="103" t="s">
        <v>221</v>
      </c>
      <c r="AC16" s="104">
        <v>2</v>
      </c>
      <c r="AD16" s="105">
        <f t="shared" si="0"/>
        <v>2</v>
      </c>
    </row>
    <row r="17" spans="1:30" ht="18" customHeight="1" x14ac:dyDescent="0.25">
      <c r="I17" t="s">
        <v>1229</v>
      </c>
      <c r="J17" s="118">
        <f>SUM(J3:J15)</f>
        <v>2232.2299999999996</v>
      </c>
      <c r="AB17" s="112" t="s">
        <v>1230</v>
      </c>
      <c r="AC17" s="113">
        <v>0</v>
      </c>
      <c r="AD17" s="114">
        <f t="shared" si="0"/>
        <v>0</v>
      </c>
    </row>
    <row r="18" spans="1:30" ht="18" customHeight="1" x14ac:dyDescent="0.25">
      <c r="A18" s="176" t="s">
        <v>1160</v>
      </c>
      <c r="B18" s="170"/>
      <c r="C18" s="170"/>
      <c r="D18" s="170"/>
      <c r="E18" s="170"/>
      <c r="F18" s="170"/>
      <c r="G18" s="177"/>
      <c r="AB18" s="103" t="s">
        <v>237</v>
      </c>
      <c r="AC18" s="104">
        <v>2</v>
      </c>
      <c r="AD18" s="105">
        <f t="shared" si="0"/>
        <v>2</v>
      </c>
    </row>
    <row r="19" spans="1:30" ht="18" customHeight="1" x14ac:dyDescent="0.25">
      <c r="A19" s="95" t="s">
        <v>1165</v>
      </c>
      <c r="B19" s="95" t="s">
        <v>1165</v>
      </c>
      <c r="C19" s="95" t="s">
        <v>1166</v>
      </c>
      <c r="D19" s="95" t="s">
        <v>1167</v>
      </c>
      <c r="E19" s="95" t="s">
        <v>1231</v>
      </c>
      <c r="F19" s="95"/>
      <c r="G19" s="95"/>
      <c r="AB19" s="112" t="s">
        <v>330</v>
      </c>
      <c r="AC19" s="113">
        <v>1</v>
      </c>
      <c r="AD19" s="114">
        <f t="shared" si="0"/>
        <v>1</v>
      </c>
    </row>
    <row r="20" spans="1:30" ht="18" customHeight="1" x14ac:dyDescent="0.25">
      <c r="A20" s="106">
        <v>1</v>
      </c>
      <c r="B20" s="106" t="s">
        <v>1180</v>
      </c>
      <c r="C20" s="107"/>
      <c r="D20" s="107"/>
      <c r="E20" s="107"/>
      <c r="F20" s="107"/>
      <c r="G20" s="107"/>
      <c r="AB20" s="103" t="s">
        <v>1105</v>
      </c>
      <c r="AC20" s="119">
        <v>3</v>
      </c>
      <c r="AD20" s="105">
        <f t="shared" si="0"/>
        <v>3</v>
      </c>
    </row>
    <row r="21" spans="1:30" ht="18" customHeight="1" x14ac:dyDescent="0.25">
      <c r="A21" s="106">
        <v>2</v>
      </c>
      <c r="B21" s="106" t="s">
        <v>1185</v>
      </c>
      <c r="C21" s="107"/>
      <c r="D21" s="107"/>
      <c r="E21" s="107"/>
      <c r="F21" s="107"/>
      <c r="G21" s="107"/>
      <c r="AB21" s="112" t="s">
        <v>215</v>
      </c>
      <c r="AC21" s="117">
        <v>1</v>
      </c>
      <c r="AD21" s="114">
        <f t="shared" si="0"/>
        <v>1</v>
      </c>
    </row>
    <row r="22" spans="1:30" ht="18" customHeight="1" x14ac:dyDescent="0.25">
      <c r="A22" s="106">
        <v>3</v>
      </c>
      <c r="B22" s="106" t="s">
        <v>1191</v>
      </c>
      <c r="C22" s="107"/>
      <c r="D22" s="107"/>
      <c r="E22" s="107"/>
      <c r="F22" s="107"/>
      <c r="G22" s="107"/>
      <c r="AB22" s="103" t="s">
        <v>215</v>
      </c>
      <c r="AC22" s="104">
        <v>5</v>
      </c>
      <c r="AD22" s="105">
        <f t="shared" si="0"/>
        <v>5</v>
      </c>
    </row>
    <row r="23" spans="1:30" ht="18" customHeight="1" x14ac:dyDescent="0.25">
      <c r="A23" s="106">
        <v>4</v>
      </c>
      <c r="B23" s="106" t="s">
        <v>1196</v>
      </c>
      <c r="C23" s="107"/>
      <c r="D23" s="107"/>
      <c r="E23" s="107"/>
      <c r="F23" s="107"/>
      <c r="G23" s="107"/>
      <c r="AB23" s="112" t="s">
        <v>280</v>
      </c>
      <c r="AC23" s="113">
        <v>1</v>
      </c>
      <c r="AD23" s="114">
        <f t="shared" si="0"/>
        <v>1</v>
      </c>
    </row>
    <row r="24" spans="1:30" ht="18" customHeight="1" x14ac:dyDescent="0.25">
      <c r="A24" s="106">
        <v>5</v>
      </c>
      <c r="B24" s="106" t="s">
        <v>1199</v>
      </c>
      <c r="C24" s="107"/>
      <c r="D24" s="107"/>
      <c r="E24" s="107"/>
      <c r="F24" s="107"/>
      <c r="G24" s="107"/>
      <c r="I24" s="120"/>
      <c r="AB24" s="103" t="s">
        <v>144</v>
      </c>
      <c r="AC24" s="104">
        <v>1</v>
      </c>
      <c r="AD24" s="105">
        <f t="shared" si="0"/>
        <v>1</v>
      </c>
    </row>
    <row r="25" spans="1:30" ht="18" customHeight="1" x14ac:dyDescent="0.25">
      <c r="A25" s="106">
        <v>6</v>
      </c>
      <c r="B25" s="106" t="s">
        <v>1204</v>
      </c>
      <c r="C25" s="107"/>
      <c r="D25" s="107"/>
      <c r="E25" s="107"/>
      <c r="F25" s="107"/>
      <c r="G25" s="107"/>
      <c r="AB25" s="116" t="s">
        <v>155</v>
      </c>
      <c r="AC25" s="117">
        <v>2</v>
      </c>
      <c r="AD25" s="114">
        <f t="shared" si="0"/>
        <v>2</v>
      </c>
    </row>
    <row r="26" spans="1:30" ht="18" customHeight="1" x14ac:dyDescent="0.25">
      <c r="A26" s="106">
        <v>7</v>
      </c>
      <c r="B26" s="106" t="s">
        <v>1208</v>
      </c>
      <c r="C26" s="107"/>
      <c r="D26" s="107"/>
      <c r="E26" s="107"/>
      <c r="F26" s="107"/>
      <c r="G26" s="107"/>
      <c r="I26" s="120"/>
      <c r="AB26" s="103" t="s">
        <v>107</v>
      </c>
      <c r="AC26" s="104">
        <v>1</v>
      </c>
      <c r="AD26" s="105">
        <f t="shared" si="0"/>
        <v>1</v>
      </c>
    </row>
    <row r="27" spans="1:30" ht="18" customHeight="1" x14ac:dyDescent="0.25">
      <c r="A27" s="106">
        <v>8</v>
      </c>
      <c r="B27" s="106" t="s">
        <v>1213</v>
      </c>
      <c r="C27" s="107"/>
      <c r="D27" s="107"/>
      <c r="E27" s="107"/>
      <c r="F27" s="107"/>
      <c r="G27" s="107"/>
      <c r="AB27" s="112" t="s">
        <v>1232</v>
      </c>
      <c r="AC27" s="113">
        <v>0</v>
      </c>
      <c r="AD27" s="114">
        <f t="shared" si="0"/>
        <v>0</v>
      </c>
    </row>
    <row r="28" spans="1:30" ht="18" customHeight="1" x14ac:dyDescent="0.25">
      <c r="A28" s="106">
        <v>9</v>
      </c>
      <c r="B28" s="106" t="s">
        <v>1217</v>
      </c>
      <c r="C28" s="107"/>
      <c r="D28" s="107"/>
      <c r="E28" s="107"/>
      <c r="F28" s="107"/>
      <c r="G28" s="107"/>
      <c r="AB28" s="103" t="s">
        <v>307</v>
      </c>
      <c r="AC28" s="104">
        <v>1</v>
      </c>
      <c r="AD28" s="105">
        <f t="shared" si="0"/>
        <v>1</v>
      </c>
    </row>
    <row r="29" spans="1:30" ht="18" customHeight="1" x14ac:dyDescent="0.25">
      <c r="A29" s="106">
        <v>10</v>
      </c>
      <c r="B29" s="106" t="s">
        <v>1219</v>
      </c>
      <c r="C29" s="107"/>
      <c r="D29" s="107"/>
      <c r="E29" s="107"/>
      <c r="F29" s="107"/>
      <c r="G29" s="107"/>
      <c r="AB29" s="121" t="s">
        <v>344</v>
      </c>
      <c r="AC29" s="117">
        <v>3</v>
      </c>
      <c r="AD29" s="114">
        <f t="shared" si="0"/>
        <v>3</v>
      </c>
    </row>
    <row r="30" spans="1:30" ht="18" customHeight="1" x14ac:dyDescent="0.25">
      <c r="A30" s="106">
        <v>11</v>
      </c>
      <c r="B30" s="106" t="s">
        <v>1221</v>
      </c>
      <c r="C30" s="107"/>
      <c r="D30" s="107"/>
      <c r="E30" s="107"/>
      <c r="F30" s="107"/>
      <c r="G30" s="107"/>
      <c r="AB30" s="103" t="s">
        <v>1233</v>
      </c>
      <c r="AC30" s="104">
        <v>1</v>
      </c>
      <c r="AD30" s="105">
        <f t="shared" si="0"/>
        <v>1</v>
      </c>
    </row>
    <row r="31" spans="1:30" ht="18" customHeight="1" x14ac:dyDescent="0.25">
      <c r="A31" s="106">
        <v>12</v>
      </c>
      <c r="B31" s="106" t="s">
        <v>1224</v>
      </c>
      <c r="C31" s="107"/>
      <c r="D31" s="107"/>
      <c r="E31" s="107"/>
      <c r="F31" s="107"/>
      <c r="G31" s="107"/>
      <c r="AB31" s="112" t="s">
        <v>211</v>
      </c>
      <c r="AC31" s="113">
        <v>5</v>
      </c>
      <c r="AD31" s="114">
        <f t="shared" si="0"/>
        <v>5</v>
      </c>
    </row>
    <row r="32" spans="1:30" ht="18" customHeight="1" x14ac:dyDescent="0.25">
      <c r="A32" s="176" t="s">
        <v>1226</v>
      </c>
      <c r="B32" s="177"/>
      <c r="C32" s="95">
        <f t="shared" si="2"/>
        <v>0</v>
      </c>
      <c r="D32" s="95">
        <f t="shared" si="2"/>
        <v>0</v>
      </c>
      <c r="E32" s="95">
        <f t="shared" si="2"/>
        <v>0</v>
      </c>
      <c r="F32" s="95">
        <f t="shared" si="2"/>
        <v>0</v>
      </c>
      <c r="G32" s="95">
        <f t="shared" si="2"/>
        <v>0</v>
      </c>
      <c r="AB32" s="103" t="s">
        <v>644</v>
      </c>
      <c r="AC32" s="104">
        <v>1</v>
      </c>
      <c r="AD32" s="105">
        <f t="shared" si="0"/>
        <v>1</v>
      </c>
    </row>
    <row r="33" spans="1:30" ht="18" customHeight="1" x14ac:dyDescent="0.25">
      <c r="A33" s="176" t="s">
        <v>1096</v>
      </c>
      <c r="B33" s="177"/>
      <c r="C33" s="95">
        <f t="shared" si="3"/>
        <v>0</v>
      </c>
      <c r="D33" s="95" t="s">
        <v>1228</v>
      </c>
      <c r="E33" s="95">
        <f t="shared" si="4"/>
        <v>81000</v>
      </c>
      <c r="F33" s="95"/>
      <c r="G33" s="95"/>
      <c r="AB33" s="116" t="s">
        <v>1234</v>
      </c>
      <c r="AC33" s="117">
        <v>7</v>
      </c>
      <c r="AD33" s="114">
        <f t="shared" si="0"/>
        <v>7</v>
      </c>
    </row>
    <row r="34" spans="1:30" ht="18" customHeight="1" x14ac:dyDescent="0.25">
      <c r="AB34" s="103" t="s">
        <v>147</v>
      </c>
      <c r="AC34" s="119">
        <v>3</v>
      </c>
      <c r="AD34" s="105">
        <f t="shared" si="0"/>
        <v>3</v>
      </c>
    </row>
    <row r="35" spans="1:30" ht="18" customHeight="1" x14ac:dyDescent="0.25">
      <c r="AB35" s="116" t="s">
        <v>504</v>
      </c>
      <c r="AC35" s="117">
        <v>1</v>
      </c>
      <c r="AD35" s="114">
        <f t="shared" si="0"/>
        <v>1</v>
      </c>
    </row>
    <row r="36" spans="1:30" ht="18" customHeight="1" x14ac:dyDescent="0.25">
      <c r="AB36" s="103" t="s">
        <v>526</v>
      </c>
      <c r="AC36" s="104">
        <v>1</v>
      </c>
      <c r="AD36" s="105">
        <f t="shared" si="0"/>
        <v>1</v>
      </c>
    </row>
    <row r="37" spans="1:30" ht="18" customHeight="1" x14ac:dyDescent="0.25">
      <c r="AB37" s="112" t="s">
        <v>1107</v>
      </c>
      <c r="AC37" s="113">
        <v>1</v>
      </c>
      <c r="AD37" s="114">
        <f t="shared" si="0"/>
        <v>1</v>
      </c>
    </row>
    <row r="38" spans="1:30" ht="18" customHeight="1" x14ac:dyDescent="0.25">
      <c r="AB38" s="122" t="s">
        <v>175</v>
      </c>
      <c r="AC38" s="119">
        <v>2</v>
      </c>
      <c r="AD38" s="105">
        <f t="shared" si="0"/>
        <v>2</v>
      </c>
    </row>
    <row r="39" spans="1:30" ht="18" customHeight="1" x14ac:dyDescent="0.25">
      <c r="AB39" s="112" t="s">
        <v>311</v>
      </c>
      <c r="AC39" s="113">
        <v>1</v>
      </c>
      <c r="AD39" s="114">
        <f t="shared" si="0"/>
        <v>1</v>
      </c>
    </row>
    <row r="40" spans="1:30" ht="18" customHeight="1" x14ac:dyDescent="0.25">
      <c r="AB40" s="122" t="s">
        <v>401</v>
      </c>
      <c r="AC40" s="119">
        <v>1</v>
      </c>
      <c r="AD40" s="105">
        <f t="shared" si="0"/>
        <v>1</v>
      </c>
    </row>
    <row r="41" spans="1:30" ht="18" customHeight="1" x14ac:dyDescent="0.25">
      <c r="AB41" s="112" t="s">
        <v>363</v>
      </c>
      <c r="AC41" s="113">
        <v>2</v>
      </c>
      <c r="AD41" s="114">
        <f t="shared" si="0"/>
        <v>2</v>
      </c>
    </row>
    <row r="42" spans="1:30" ht="18" customHeight="1" x14ac:dyDescent="0.25">
      <c r="AB42" s="122" t="s">
        <v>478</v>
      </c>
      <c r="AC42" s="119">
        <v>3</v>
      </c>
      <c r="AD42" s="105">
        <f t="shared" si="0"/>
        <v>3</v>
      </c>
    </row>
    <row r="43" spans="1:30" ht="18" customHeight="1" x14ac:dyDescent="0.25">
      <c r="AB43" s="112" t="s">
        <v>356</v>
      </c>
      <c r="AC43" s="113">
        <v>5</v>
      </c>
      <c r="AD43" s="114">
        <f t="shared" si="0"/>
        <v>5</v>
      </c>
    </row>
    <row r="44" spans="1:30" ht="18" customHeight="1" x14ac:dyDescent="0.25">
      <c r="AB44" s="103" t="s">
        <v>271</v>
      </c>
      <c r="AC44" s="104">
        <v>2</v>
      </c>
      <c r="AD44" s="105">
        <f t="shared" si="0"/>
        <v>2</v>
      </c>
    </row>
    <row r="45" spans="1:30" ht="18" customHeight="1" x14ac:dyDescent="0.25">
      <c r="AB45" s="116" t="s">
        <v>1235</v>
      </c>
      <c r="AC45" s="117">
        <v>1</v>
      </c>
      <c r="AD45" s="114">
        <f t="shared" si="0"/>
        <v>1</v>
      </c>
    </row>
    <row r="46" spans="1:30" ht="18" customHeight="1" x14ac:dyDescent="0.25">
      <c r="AB46" s="122" t="s">
        <v>12</v>
      </c>
      <c r="AC46" s="119">
        <v>9</v>
      </c>
      <c r="AD46" s="105">
        <f t="shared" si="0"/>
        <v>9</v>
      </c>
    </row>
    <row r="47" spans="1:30" ht="18" customHeight="1" x14ac:dyDescent="0.25">
      <c r="AB47" s="116" t="s">
        <v>571</v>
      </c>
      <c r="AC47" s="117">
        <v>2</v>
      </c>
      <c r="AD47" s="114">
        <f t="shared" si="0"/>
        <v>2</v>
      </c>
    </row>
    <row r="48" spans="1:30" ht="18" customHeight="1" x14ac:dyDescent="0.25">
      <c r="AB48" s="122" t="s">
        <v>207</v>
      </c>
      <c r="AC48" s="119">
        <v>7</v>
      </c>
      <c r="AD48" s="105">
        <f t="shared" si="0"/>
        <v>7</v>
      </c>
    </row>
    <row r="49" spans="28:30" ht="18" customHeight="1" x14ac:dyDescent="0.25">
      <c r="AB49" s="112" t="s">
        <v>1108</v>
      </c>
      <c r="AC49" s="113">
        <v>1</v>
      </c>
      <c r="AD49" s="114">
        <f t="shared" si="0"/>
        <v>1</v>
      </c>
    </row>
    <row r="50" spans="28:30" ht="18" customHeight="1" x14ac:dyDescent="0.25">
      <c r="AB50" s="122" t="s">
        <v>239</v>
      </c>
      <c r="AC50" s="119">
        <v>4</v>
      </c>
      <c r="AD50" s="105">
        <f t="shared" si="0"/>
        <v>4</v>
      </c>
    </row>
    <row r="51" spans="28:30" ht="18" customHeight="1" x14ac:dyDescent="0.25">
      <c r="AB51" s="116" t="s">
        <v>1109</v>
      </c>
      <c r="AC51" s="117">
        <v>0</v>
      </c>
      <c r="AD51" s="114">
        <f t="shared" si="0"/>
        <v>0</v>
      </c>
    </row>
    <row r="52" spans="28:30" ht="18" customHeight="1" x14ac:dyDescent="0.25">
      <c r="AB52" s="103" t="s">
        <v>294</v>
      </c>
      <c r="AC52" s="104">
        <v>1</v>
      </c>
      <c r="AD52" s="105">
        <f t="shared" si="0"/>
        <v>1</v>
      </c>
    </row>
    <row r="53" spans="28:30" ht="18" customHeight="1" x14ac:dyDescent="0.25">
      <c r="AB53" s="121" t="s">
        <v>209</v>
      </c>
      <c r="AC53" s="117">
        <v>2</v>
      </c>
      <c r="AD53" s="114">
        <f t="shared" si="0"/>
        <v>2</v>
      </c>
    </row>
    <row r="54" spans="28:30" ht="18" customHeight="1" x14ac:dyDescent="0.25">
      <c r="AB54" s="103" t="s">
        <v>523</v>
      </c>
      <c r="AC54" s="104">
        <v>1</v>
      </c>
      <c r="AD54" s="105">
        <f t="shared" si="0"/>
        <v>1</v>
      </c>
    </row>
    <row r="55" spans="28:30" ht="18" customHeight="1" x14ac:dyDescent="0.25">
      <c r="AB55" s="112" t="s">
        <v>181</v>
      </c>
      <c r="AC55" s="113">
        <v>4</v>
      </c>
      <c r="AD55" s="114">
        <f t="shared" si="0"/>
        <v>4</v>
      </c>
    </row>
    <row r="56" spans="28:30" ht="18" customHeight="1" x14ac:dyDescent="0.25">
      <c r="AB56" s="103" t="s">
        <v>1236</v>
      </c>
      <c r="AC56" s="119">
        <v>5</v>
      </c>
      <c r="AD56" s="105">
        <f t="shared" si="0"/>
        <v>5</v>
      </c>
    </row>
    <row r="57" spans="28:30" ht="18" customHeight="1" x14ac:dyDescent="0.25">
      <c r="AB57" s="112" t="s">
        <v>1237</v>
      </c>
      <c r="AC57" s="113">
        <v>0</v>
      </c>
      <c r="AD57" s="114">
        <f t="shared" si="0"/>
        <v>0</v>
      </c>
    </row>
    <row r="58" spans="28:30" ht="18" customHeight="1" x14ac:dyDescent="0.25">
      <c r="AB58" s="103" t="s">
        <v>203</v>
      </c>
      <c r="AC58" s="104">
        <v>2</v>
      </c>
      <c r="AD58" s="105">
        <f t="shared" si="0"/>
        <v>2</v>
      </c>
    </row>
    <row r="59" spans="28:30" ht="18" customHeight="1" x14ac:dyDescent="0.25">
      <c r="AB59" s="116" t="s">
        <v>218</v>
      </c>
      <c r="AC59" s="117">
        <v>2</v>
      </c>
      <c r="AD59" s="114">
        <f t="shared" si="0"/>
        <v>2</v>
      </c>
    </row>
    <row r="60" spans="28:30" ht="18" customHeight="1" x14ac:dyDescent="0.25">
      <c r="AB60" s="103" t="s">
        <v>348</v>
      </c>
      <c r="AC60" s="104">
        <v>4</v>
      </c>
      <c r="AD60" s="105">
        <f t="shared" si="0"/>
        <v>4</v>
      </c>
    </row>
    <row r="61" spans="28:30" ht="18" customHeight="1" x14ac:dyDescent="0.25">
      <c r="AB61" s="112" t="s">
        <v>1238</v>
      </c>
      <c r="AC61" s="113">
        <v>0</v>
      </c>
      <c r="AD61" s="114">
        <f t="shared" si="0"/>
        <v>0</v>
      </c>
    </row>
    <row r="62" spans="28:30" ht="18" customHeight="1" x14ac:dyDescent="0.25">
      <c r="AB62" s="103" t="s">
        <v>247</v>
      </c>
      <c r="AC62" s="104">
        <v>1</v>
      </c>
      <c r="AD62" s="105">
        <f t="shared" si="0"/>
        <v>1</v>
      </c>
    </row>
    <row r="63" spans="28:30" ht="18" customHeight="1" x14ac:dyDescent="0.25">
      <c r="AB63" s="116" t="s">
        <v>367</v>
      </c>
      <c r="AC63" s="117">
        <v>4</v>
      </c>
      <c r="AD63" s="114">
        <f t="shared" si="0"/>
        <v>4</v>
      </c>
    </row>
    <row r="64" spans="28:30" ht="18" customHeight="1" x14ac:dyDescent="0.25">
      <c r="AB64" s="123" t="s">
        <v>297</v>
      </c>
      <c r="AC64" s="119">
        <v>2</v>
      </c>
      <c r="AD64" s="105">
        <f t="shared" si="0"/>
        <v>2</v>
      </c>
    </row>
    <row r="65" spans="28:30" ht="18" customHeight="1" x14ac:dyDescent="0.25">
      <c r="AB65" s="112" t="s">
        <v>189</v>
      </c>
      <c r="AC65" s="117">
        <v>2</v>
      </c>
      <c r="AD65" s="114">
        <f t="shared" si="0"/>
        <v>2</v>
      </c>
    </row>
    <row r="66" spans="28:30" ht="18" customHeight="1" x14ac:dyDescent="0.25">
      <c r="AB66" s="123" t="s">
        <v>745</v>
      </c>
      <c r="AC66" s="119">
        <v>1</v>
      </c>
      <c r="AD66" s="105">
        <f t="shared" si="0"/>
        <v>1</v>
      </c>
    </row>
    <row r="67" spans="28:30" ht="18" customHeight="1" x14ac:dyDescent="0.25">
      <c r="AB67" s="112" t="s">
        <v>1110</v>
      </c>
      <c r="AC67" s="117">
        <v>3</v>
      </c>
      <c r="AD67" s="114">
        <f t="shared" si="0"/>
        <v>3</v>
      </c>
    </row>
    <row r="68" spans="28:30" ht="18" customHeight="1" x14ac:dyDescent="0.25">
      <c r="AB68" s="103" t="s">
        <v>217</v>
      </c>
      <c r="AC68" s="104">
        <v>2</v>
      </c>
      <c r="AD68" s="105">
        <f t="shared" si="0"/>
        <v>2</v>
      </c>
    </row>
    <row r="69" spans="28:30" ht="18" customHeight="1" x14ac:dyDescent="0.25">
      <c r="AB69" s="112" t="s">
        <v>328</v>
      </c>
      <c r="AC69" s="113">
        <v>1</v>
      </c>
      <c r="AD69" s="114">
        <f t="shared" si="0"/>
        <v>1</v>
      </c>
    </row>
    <row r="70" spans="28:30" ht="18" customHeight="1" x14ac:dyDescent="0.25">
      <c r="AB70" s="103" t="s">
        <v>1111</v>
      </c>
      <c r="AC70" s="119">
        <v>2</v>
      </c>
      <c r="AD70" s="105">
        <f t="shared" si="0"/>
        <v>2</v>
      </c>
    </row>
    <row r="71" spans="28:30" ht="18" customHeight="1" x14ac:dyDescent="0.25">
      <c r="AB71" s="112" t="s">
        <v>1112</v>
      </c>
      <c r="AC71" s="117">
        <v>2</v>
      </c>
      <c r="AD71" s="114">
        <f t="shared" si="0"/>
        <v>2</v>
      </c>
    </row>
    <row r="72" spans="28:30" ht="18" customHeight="1" x14ac:dyDescent="0.25">
      <c r="AB72" s="122" t="s">
        <v>1239</v>
      </c>
      <c r="AC72" s="119">
        <v>1</v>
      </c>
      <c r="AD72" s="105">
        <f t="shared" si="0"/>
        <v>1</v>
      </c>
    </row>
    <row r="73" spans="28:30" ht="18" customHeight="1" x14ac:dyDescent="0.25">
      <c r="AB73" s="112" t="s">
        <v>752</v>
      </c>
      <c r="AC73" s="117">
        <v>6</v>
      </c>
      <c r="AD73" s="114">
        <f t="shared" si="0"/>
        <v>6</v>
      </c>
    </row>
    <row r="74" spans="28:30" ht="18" customHeight="1" x14ac:dyDescent="0.25">
      <c r="AB74" s="103" t="s">
        <v>1113</v>
      </c>
      <c r="AC74" s="104">
        <v>5</v>
      </c>
      <c r="AD74" s="105">
        <f t="shared" si="0"/>
        <v>5</v>
      </c>
    </row>
    <row r="75" spans="28:30" ht="18" customHeight="1" x14ac:dyDescent="0.25">
      <c r="AB75" s="112" t="s">
        <v>1113</v>
      </c>
      <c r="AC75" s="113">
        <v>10</v>
      </c>
      <c r="AD75" s="114">
        <f t="shared" si="0"/>
        <v>10</v>
      </c>
    </row>
    <row r="76" spans="28:30" ht="18" customHeight="1" x14ac:dyDescent="0.25">
      <c r="AB76" s="103" t="s">
        <v>48</v>
      </c>
      <c r="AC76" s="104">
        <v>11</v>
      </c>
      <c r="AD76" s="105">
        <f t="shared" si="0"/>
        <v>11</v>
      </c>
    </row>
    <row r="77" spans="28:30" ht="18" customHeight="1" x14ac:dyDescent="0.25">
      <c r="AB77" s="116" t="s">
        <v>105</v>
      </c>
      <c r="AC77" s="117">
        <v>5</v>
      </c>
      <c r="AD77" s="114">
        <f t="shared" si="0"/>
        <v>5</v>
      </c>
    </row>
    <row r="78" spans="28:30" ht="18" customHeight="1" x14ac:dyDescent="0.25">
      <c r="AB78" s="103" t="s">
        <v>370</v>
      </c>
      <c r="AC78" s="104">
        <v>5</v>
      </c>
      <c r="AD78" s="105">
        <f t="shared" si="0"/>
        <v>5</v>
      </c>
    </row>
    <row r="79" spans="28:30" ht="18" customHeight="1" x14ac:dyDescent="0.25">
      <c r="AB79" s="116" t="s">
        <v>350</v>
      </c>
      <c r="AC79" s="124">
        <v>4</v>
      </c>
      <c r="AD79" s="114">
        <f t="shared" si="0"/>
        <v>4</v>
      </c>
    </row>
    <row r="80" spans="28:30" ht="18" customHeight="1" x14ac:dyDescent="0.25">
      <c r="AB80" s="122" t="s">
        <v>251</v>
      </c>
      <c r="AC80" s="119">
        <v>4</v>
      </c>
      <c r="AD80" s="105">
        <f t="shared" si="0"/>
        <v>4</v>
      </c>
    </row>
    <row r="81" spans="28:30" ht="18" customHeight="1" x14ac:dyDescent="0.25">
      <c r="AB81" s="116" t="s">
        <v>251</v>
      </c>
      <c r="AC81" s="124">
        <v>5</v>
      </c>
      <c r="AD81" s="114">
        <f t="shared" si="0"/>
        <v>5</v>
      </c>
    </row>
    <row r="82" spans="28:30" ht="18" customHeight="1" x14ac:dyDescent="0.25">
      <c r="AB82" s="103" t="s">
        <v>621</v>
      </c>
      <c r="AC82" s="104">
        <v>1</v>
      </c>
      <c r="AD82" s="105">
        <f t="shared" si="0"/>
        <v>1</v>
      </c>
    </row>
    <row r="83" spans="28:30" ht="18" customHeight="1" x14ac:dyDescent="0.25">
      <c r="AB83" s="112" t="s">
        <v>333</v>
      </c>
      <c r="AC83" s="117">
        <v>3</v>
      </c>
      <c r="AD83" s="114">
        <f t="shared" si="0"/>
        <v>3</v>
      </c>
    </row>
    <row r="84" spans="28:30" ht="18" customHeight="1" x14ac:dyDescent="0.25">
      <c r="AB84" s="103" t="s">
        <v>517</v>
      </c>
      <c r="AC84" s="104">
        <v>1</v>
      </c>
      <c r="AD84" s="105">
        <f t="shared" si="0"/>
        <v>1</v>
      </c>
    </row>
    <row r="85" spans="28:30" ht="18" customHeight="1" x14ac:dyDescent="0.25">
      <c r="AB85" s="116" t="s">
        <v>351</v>
      </c>
      <c r="AC85" s="117">
        <v>4</v>
      </c>
      <c r="AD85" s="114">
        <f t="shared" si="0"/>
        <v>4</v>
      </c>
    </row>
    <row r="86" spans="28:30" ht="18" customHeight="1" x14ac:dyDescent="0.25">
      <c r="AB86" s="103" t="s">
        <v>1240</v>
      </c>
      <c r="AC86" s="104">
        <v>1</v>
      </c>
      <c r="AD86" s="105">
        <f t="shared" si="0"/>
        <v>1</v>
      </c>
    </row>
    <row r="87" spans="28:30" ht="18" customHeight="1" x14ac:dyDescent="0.25">
      <c r="AB87" s="116" t="s">
        <v>233</v>
      </c>
      <c r="AC87" s="117">
        <v>2</v>
      </c>
      <c r="AD87" s="114">
        <f t="shared" si="0"/>
        <v>2</v>
      </c>
    </row>
    <row r="88" spans="28:30" ht="18" customHeight="1" x14ac:dyDescent="0.25">
      <c r="AB88" s="103" t="s">
        <v>678</v>
      </c>
      <c r="AC88" s="104">
        <v>2</v>
      </c>
      <c r="AD88" s="105">
        <f t="shared" si="0"/>
        <v>2</v>
      </c>
    </row>
    <row r="89" spans="28:30" ht="18" customHeight="1" x14ac:dyDescent="0.25">
      <c r="AB89" s="112" t="s">
        <v>1241</v>
      </c>
      <c r="AC89" s="113">
        <v>2</v>
      </c>
      <c r="AD89" s="114">
        <f t="shared" si="0"/>
        <v>2</v>
      </c>
    </row>
    <row r="90" spans="28:30" ht="18" customHeight="1" x14ac:dyDescent="0.25">
      <c r="AB90" s="103" t="s">
        <v>255</v>
      </c>
      <c r="AC90" s="104">
        <v>1</v>
      </c>
      <c r="AD90" s="105">
        <f t="shared" si="0"/>
        <v>1</v>
      </c>
    </row>
    <row r="91" spans="28:30" ht="18" customHeight="1" x14ac:dyDescent="0.25">
      <c r="AB91" s="112" t="s">
        <v>1242</v>
      </c>
      <c r="AC91" s="113">
        <v>1</v>
      </c>
      <c r="AD91" s="114">
        <f t="shared" si="0"/>
        <v>1</v>
      </c>
    </row>
    <row r="92" spans="28:30" ht="18" customHeight="1" x14ac:dyDescent="0.25">
      <c r="AB92" s="103" t="s">
        <v>354</v>
      </c>
      <c r="AC92" s="124">
        <v>2</v>
      </c>
      <c r="AD92" s="105">
        <f t="shared" si="0"/>
        <v>2</v>
      </c>
    </row>
    <row r="93" spans="28:30" ht="18" customHeight="1" x14ac:dyDescent="0.25">
      <c r="AB93" s="112" t="s">
        <v>243</v>
      </c>
      <c r="AC93" s="124">
        <v>3</v>
      </c>
      <c r="AD93" s="114">
        <f t="shared" si="0"/>
        <v>3</v>
      </c>
    </row>
    <row r="94" spans="28:30" ht="18" customHeight="1" x14ac:dyDescent="0.25">
      <c r="AB94" s="123" t="s">
        <v>358</v>
      </c>
      <c r="AC94" s="124">
        <v>4</v>
      </c>
      <c r="AD94" s="105">
        <f t="shared" si="0"/>
        <v>4</v>
      </c>
    </row>
    <row r="95" spans="28:30" ht="18" customHeight="1" x14ac:dyDescent="0.25">
      <c r="AB95" s="112" t="s">
        <v>1243</v>
      </c>
      <c r="AC95" s="125">
        <v>1</v>
      </c>
      <c r="AD95" s="114">
        <f t="shared" si="0"/>
        <v>1</v>
      </c>
    </row>
    <row r="96" spans="28:30" ht="18" customHeight="1" x14ac:dyDescent="0.25">
      <c r="AB96" s="103" t="s">
        <v>19</v>
      </c>
      <c r="AC96" s="124">
        <v>6</v>
      </c>
      <c r="AD96" s="105">
        <f t="shared" si="0"/>
        <v>6</v>
      </c>
    </row>
    <row r="97" spans="28:30" ht="18" customHeight="1" x14ac:dyDescent="0.25">
      <c r="AB97" s="112" t="s">
        <v>1244</v>
      </c>
      <c r="AC97" s="124">
        <v>5</v>
      </c>
      <c r="AD97" s="114">
        <f t="shared" si="0"/>
        <v>5</v>
      </c>
    </row>
    <row r="98" spans="28:30" ht="18" customHeight="1" x14ac:dyDescent="0.25">
      <c r="AB98" s="103" t="s">
        <v>408</v>
      </c>
      <c r="AC98" s="104">
        <v>1</v>
      </c>
      <c r="AD98" s="105">
        <f t="shared" si="0"/>
        <v>1</v>
      </c>
    </row>
    <row r="99" spans="28:30" ht="18" customHeight="1" x14ac:dyDescent="0.25">
      <c r="AB99" s="116" t="s">
        <v>245</v>
      </c>
      <c r="AC99" s="117">
        <v>1</v>
      </c>
      <c r="AD99" s="114">
        <f t="shared" si="0"/>
        <v>1</v>
      </c>
    </row>
    <row r="100" spans="28:30" ht="18" customHeight="1" x14ac:dyDescent="0.25">
      <c r="AB100" s="103" t="s">
        <v>1115</v>
      </c>
      <c r="AC100" s="104">
        <v>1</v>
      </c>
      <c r="AD100" s="105">
        <f t="shared" si="0"/>
        <v>1</v>
      </c>
    </row>
    <row r="101" spans="28:30" ht="18" customHeight="1" x14ac:dyDescent="0.25">
      <c r="AB101" s="112" t="s">
        <v>150</v>
      </c>
      <c r="AC101" s="113">
        <v>2</v>
      </c>
      <c r="AD101" s="114">
        <f t="shared" si="0"/>
        <v>2</v>
      </c>
    </row>
    <row r="102" spans="28:30" ht="18" customHeight="1" x14ac:dyDescent="0.25">
      <c r="AB102" s="103" t="s">
        <v>279</v>
      </c>
      <c r="AC102" s="119">
        <v>4</v>
      </c>
      <c r="AD102" s="105">
        <f t="shared" si="0"/>
        <v>4</v>
      </c>
    </row>
    <row r="103" spans="28:30" ht="18" customHeight="1" x14ac:dyDescent="0.25">
      <c r="AB103" s="112" t="s">
        <v>1116</v>
      </c>
      <c r="AC103" s="117">
        <v>3</v>
      </c>
      <c r="AD103" s="114">
        <f t="shared" si="0"/>
        <v>3</v>
      </c>
    </row>
    <row r="104" spans="28:30" ht="18" customHeight="1" x14ac:dyDescent="0.25">
      <c r="AB104" s="103" t="s">
        <v>619</v>
      </c>
      <c r="AC104" s="104">
        <v>1</v>
      </c>
      <c r="AD104" s="105">
        <f t="shared" si="0"/>
        <v>1</v>
      </c>
    </row>
    <row r="105" spans="28:30" ht="18" customHeight="1" x14ac:dyDescent="0.25">
      <c r="AB105" s="112" t="s">
        <v>26</v>
      </c>
      <c r="AC105" s="113">
        <v>10</v>
      </c>
      <c r="AD105" s="114">
        <f t="shared" si="0"/>
        <v>10</v>
      </c>
    </row>
    <row r="106" spans="28:30" ht="18" customHeight="1" x14ac:dyDescent="0.25">
      <c r="AB106" s="103" t="s">
        <v>220</v>
      </c>
      <c r="AC106" s="104">
        <v>2</v>
      </c>
      <c r="AD106" s="105">
        <f t="shared" si="0"/>
        <v>2</v>
      </c>
    </row>
    <row r="107" spans="28:30" ht="18" customHeight="1" x14ac:dyDescent="0.25">
      <c r="AB107" s="112" t="s">
        <v>1117</v>
      </c>
      <c r="AC107" s="113">
        <v>1</v>
      </c>
      <c r="AD107" s="114">
        <f t="shared" si="0"/>
        <v>1</v>
      </c>
    </row>
    <row r="108" spans="28:30" ht="18" customHeight="1" x14ac:dyDescent="0.25">
      <c r="AB108" s="103" t="s">
        <v>368</v>
      </c>
      <c r="AC108" s="104">
        <v>1</v>
      </c>
      <c r="AD108" s="105">
        <f t="shared" si="0"/>
        <v>1</v>
      </c>
    </row>
    <row r="109" spans="28:30" ht="18" customHeight="1" x14ac:dyDescent="0.25">
      <c r="AB109" s="112" t="s">
        <v>319</v>
      </c>
      <c r="AC109" s="117">
        <v>1</v>
      </c>
      <c r="AD109" s="114">
        <f t="shared" si="0"/>
        <v>1</v>
      </c>
    </row>
    <row r="110" spans="28:30" ht="18" customHeight="1" x14ac:dyDescent="0.25">
      <c r="AB110" s="103" t="s">
        <v>204</v>
      </c>
      <c r="AC110" s="104">
        <v>1</v>
      </c>
      <c r="AD110" s="105">
        <f t="shared" si="0"/>
        <v>1</v>
      </c>
    </row>
    <row r="111" spans="28:30" ht="18" customHeight="1" x14ac:dyDescent="0.25">
      <c r="AB111" s="121" t="s">
        <v>133</v>
      </c>
      <c r="AC111" s="117">
        <v>2</v>
      </c>
      <c r="AD111" s="114">
        <f t="shared" si="0"/>
        <v>2</v>
      </c>
    </row>
    <row r="112" spans="28:30" ht="18" customHeight="1" x14ac:dyDescent="0.25">
      <c r="AB112" s="103" t="s">
        <v>151</v>
      </c>
      <c r="AC112" s="104">
        <v>1</v>
      </c>
      <c r="AD112" s="105">
        <f t="shared" si="0"/>
        <v>1</v>
      </c>
    </row>
    <row r="113" spans="28:30" ht="18" customHeight="1" x14ac:dyDescent="0.25">
      <c r="AB113" s="112" t="s">
        <v>1245</v>
      </c>
      <c r="AC113" s="113">
        <v>1</v>
      </c>
      <c r="AD113" s="114">
        <f t="shared" si="0"/>
        <v>1</v>
      </c>
    </row>
    <row r="114" spans="28:30" ht="18" customHeight="1" x14ac:dyDescent="0.25">
      <c r="AB114" s="103" t="s">
        <v>292</v>
      </c>
      <c r="AC114" s="104">
        <v>1</v>
      </c>
      <c r="AD114" s="105">
        <f t="shared" si="0"/>
        <v>1</v>
      </c>
    </row>
    <row r="115" spans="28:30" ht="18" customHeight="1" x14ac:dyDescent="0.25">
      <c r="AB115" s="116" t="s">
        <v>176</v>
      </c>
      <c r="AC115" s="117">
        <v>4</v>
      </c>
      <c r="AD115" s="114">
        <f t="shared" si="0"/>
        <v>4</v>
      </c>
    </row>
    <row r="116" spans="28:30" ht="18" customHeight="1" x14ac:dyDescent="0.25">
      <c r="AB116" s="103" t="s">
        <v>600</v>
      </c>
      <c r="AC116" s="104">
        <v>1</v>
      </c>
      <c r="AD116" s="105">
        <f t="shared" si="0"/>
        <v>1</v>
      </c>
    </row>
    <row r="117" spans="28:30" ht="18" customHeight="1" x14ac:dyDescent="0.25">
      <c r="AB117" s="112" t="s">
        <v>1246</v>
      </c>
      <c r="AC117" s="113">
        <v>1</v>
      </c>
      <c r="AD117" s="114">
        <f t="shared" si="0"/>
        <v>1</v>
      </c>
    </row>
    <row r="118" spans="28:30" ht="18" customHeight="1" x14ac:dyDescent="0.25">
      <c r="AB118" s="103" t="s">
        <v>250</v>
      </c>
      <c r="AC118" s="104">
        <v>1</v>
      </c>
      <c r="AD118" s="105">
        <f t="shared" si="0"/>
        <v>1</v>
      </c>
    </row>
    <row r="119" spans="28:30" ht="18" customHeight="1" x14ac:dyDescent="0.25">
      <c r="AB119" s="116" t="s">
        <v>229</v>
      </c>
      <c r="AC119" s="117">
        <v>3</v>
      </c>
      <c r="AD119" s="114">
        <f t="shared" si="0"/>
        <v>3</v>
      </c>
    </row>
    <row r="120" spans="28:30" ht="18" customHeight="1" x14ac:dyDescent="0.25">
      <c r="AB120" s="122" t="s">
        <v>1247</v>
      </c>
      <c r="AC120" s="119">
        <v>2</v>
      </c>
      <c r="AD120" s="105">
        <f t="shared" si="0"/>
        <v>2</v>
      </c>
    </row>
    <row r="121" spans="28:30" ht="18" customHeight="1" x14ac:dyDescent="0.25">
      <c r="AB121" s="112" t="s">
        <v>604</v>
      </c>
      <c r="AC121" s="113">
        <v>20</v>
      </c>
      <c r="AD121" s="114">
        <f t="shared" si="0"/>
        <v>20</v>
      </c>
    </row>
    <row r="122" spans="28:30" ht="18" customHeight="1" x14ac:dyDescent="0.25">
      <c r="AB122" s="103" t="s">
        <v>1118</v>
      </c>
      <c r="AC122" s="119">
        <v>2</v>
      </c>
      <c r="AD122" s="105">
        <f t="shared" si="0"/>
        <v>2</v>
      </c>
    </row>
    <row r="123" spans="28:30" ht="18" customHeight="1" x14ac:dyDescent="0.25">
      <c r="AB123" s="112" t="s">
        <v>722</v>
      </c>
      <c r="AC123" s="117">
        <v>1</v>
      </c>
      <c r="AD123" s="114">
        <f t="shared" si="0"/>
        <v>1</v>
      </c>
    </row>
    <row r="124" spans="28:30" ht="18" customHeight="1" x14ac:dyDescent="0.25">
      <c r="AB124" s="123" t="s">
        <v>1248</v>
      </c>
      <c r="AC124" s="119">
        <v>1</v>
      </c>
      <c r="AD124" s="105">
        <f t="shared" si="0"/>
        <v>1</v>
      </c>
    </row>
    <row r="125" spans="28:30" ht="18" customHeight="1" x14ac:dyDescent="0.25">
      <c r="AB125" s="116" t="s">
        <v>160</v>
      </c>
      <c r="AC125" s="117">
        <v>3</v>
      </c>
      <c r="AD125" s="114">
        <f t="shared" si="0"/>
        <v>3</v>
      </c>
    </row>
    <row r="126" spans="28:30" ht="18" customHeight="1" x14ac:dyDescent="0.25">
      <c r="AB126" s="103" t="s">
        <v>1249</v>
      </c>
      <c r="AC126" s="104">
        <v>2</v>
      </c>
      <c r="AD126" s="105">
        <f t="shared" si="0"/>
        <v>2</v>
      </c>
    </row>
    <row r="127" spans="28:30" ht="18" customHeight="1" x14ac:dyDescent="0.25">
      <c r="AB127" s="112" t="s">
        <v>1119</v>
      </c>
      <c r="AC127" s="113">
        <v>1</v>
      </c>
      <c r="AD127" s="114">
        <f t="shared" si="0"/>
        <v>1</v>
      </c>
    </row>
    <row r="128" spans="28:30" ht="18" customHeight="1" x14ac:dyDescent="0.25">
      <c r="AB128" s="103" t="s">
        <v>359</v>
      </c>
      <c r="AC128" s="104">
        <v>999</v>
      </c>
      <c r="AD128" s="105">
        <f t="shared" si="0"/>
        <v>999</v>
      </c>
    </row>
    <row r="129" spans="28:30" ht="18" customHeight="1" x14ac:dyDescent="0.25">
      <c r="AB129" s="116" t="s">
        <v>234</v>
      </c>
      <c r="AC129" s="117">
        <v>1</v>
      </c>
      <c r="AD129" s="114">
        <f t="shared" si="0"/>
        <v>1</v>
      </c>
    </row>
    <row r="130" spans="28:30" ht="18" customHeight="1" x14ac:dyDescent="0.25">
      <c r="AB130" s="122" t="s">
        <v>1250</v>
      </c>
      <c r="AC130" s="119">
        <v>0</v>
      </c>
      <c r="AD130" s="105">
        <f t="shared" si="0"/>
        <v>0</v>
      </c>
    </row>
    <row r="131" spans="28:30" ht="18" customHeight="1" x14ac:dyDescent="0.25">
      <c r="AB131" s="116" t="s">
        <v>1251</v>
      </c>
      <c r="AC131" s="113">
        <v>0</v>
      </c>
      <c r="AD131" s="114">
        <f t="shared" si="0"/>
        <v>0</v>
      </c>
    </row>
    <row r="132" spans="28:30" ht="18" customHeight="1" x14ac:dyDescent="0.25">
      <c r="AB132" s="122" t="s">
        <v>162</v>
      </c>
      <c r="AC132" s="119">
        <v>4</v>
      </c>
      <c r="AD132" s="105">
        <f t="shared" si="0"/>
        <v>4</v>
      </c>
    </row>
    <row r="133" spans="28:30" ht="18" customHeight="1" x14ac:dyDescent="0.25">
      <c r="AB133" s="116" t="s">
        <v>242</v>
      </c>
      <c r="AC133" s="113">
        <v>1</v>
      </c>
      <c r="AD133" s="114">
        <f t="shared" si="0"/>
        <v>1</v>
      </c>
    </row>
    <row r="134" spans="28:30" ht="18" customHeight="1" x14ac:dyDescent="0.25">
      <c r="AB134" s="103" t="s">
        <v>1252</v>
      </c>
      <c r="AC134" s="104">
        <v>10</v>
      </c>
      <c r="AD134" s="105">
        <f t="shared" si="0"/>
        <v>10</v>
      </c>
    </row>
    <row r="135" spans="28:30" ht="18" customHeight="1" x14ac:dyDescent="0.25">
      <c r="AB135" s="112" t="s">
        <v>225</v>
      </c>
      <c r="AC135" s="113">
        <v>1</v>
      </c>
      <c r="AD135" s="114">
        <f t="shared" si="0"/>
        <v>1</v>
      </c>
    </row>
    <row r="136" spans="28:30" ht="18" customHeight="1" x14ac:dyDescent="0.25">
      <c r="AB136" s="103" t="s">
        <v>199</v>
      </c>
      <c r="AC136" s="104">
        <v>2</v>
      </c>
      <c r="AD136" s="105">
        <f t="shared" si="0"/>
        <v>2</v>
      </c>
    </row>
    <row r="137" spans="28:30" ht="18" customHeight="1" x14ac:dyDescent="0.25">
      <c r="AB137" s="112" t="s">
        <v>1253</v>
      </c>
      <c r="AC137" s="117">
        <v>0</v>
      </c>
      <c r="AD137" s="114">
        <f t="shared" si="0"/>
        <v>0</v>
      </c>
    </row>
    <row r="138" spans="28:30" ht="18" customHeight="1" x14ac:dyDescent="0.25">
      <c r="AB138" s="103" t="s">
        <v>365</v>
      </c>
      <c r="AC138" s="104">
        <v>1</v>
      </c>
      <c r="AD138" s="105">
        <f t="shared" si="0"/>
        <v>1</v>
      </c>
    </row>
    <row r="139" spans="28:30" ht="18" customHeight="1" x14ac:dyDescent="0.25">
      <c r="AB139" s="116" t="s">
        <v>142</v>
      </c>
      <c r="AC139" s="117">
        <v>3</v>
      </c>
      <c r="AD139" s="114">
        <f t="shared" si="0"/>
        <v>3</v>
      </c>
    </row>
    <row r="140" spans="28:30" ht="18" customHeight="1" x14ac:dyDescent="0.25">
      <c r="AB140" s="103" t="s">
        <v>1254</v>
      </c>
      <c r="AC140" s="104">
        <v>1</v>
      </c>
      <c r="AD140" s="105">
        <f t="shared" si="0"/>
        <v>1</v>
      </c>
    </row>
    <row r="141" spans="28:30" ht="18" customHeight="1" x14ac:dyDescent="0.25">
      <c r="AB141" s="116" t="s">
        <v>466</v>
      </c>
      <c r="AC141" s="117">
        <v>2</v>
      </c>
      <c r="AD141" s="114">
        <f t="shared" si="0"/>
        <v>2</v>
      </c>
    </row>
    <row r="142" spans="28:30" ht="18" customHeight="1" x14ac:dyDescent="0.25">
      <c r="AB142" s="103" t="s">
        <v>224</v>
      </c>
      <c r="AC142" s="119">
        <v>1</v>
      </c>
      <c r="AD142" s="105">
        <f t="shared" si="0"/>
        <v>1</v>
      </c>
    </row>
    <row r="143" spans="28:30" ht="18" customHeight="1" x14ac:dyDescent="0.25">
      <c r="AB143" s="112" t="s">
        <v>170</v>
      </c>
      <c r="AC143" s="117">
        <v>6</v>
      </c>
      <c r="AD143" s="114">
        <f t="shared" si="0"/>
        <v>6</v>
      </c>
    </row>
    <row r="144" spans="28:30" ht="18" customHeight="1" x14ac:dyDescent="0.25">
      <c r="AB144" s="122" t="s">
        <v>589</v>
      </c>
      <c r="AC144" s="119">
        <v>4</v>
      </c>
      <c r="AD144" s="105">
        <f t="shared" si="0"/>
        <v>4</v>
      </c>
    </row>
    <row r="145" spans="28:30" ht="18" customHeight="1" x14ac:dyDescent="0.25">
      <c r="AB145" s="112" t="s">
        <v>281</v>
      </c>
      <c r="AC145" s="113">
        <v>1</v>
      </c>
      <c r="AD145" s="114">
        <f t="shared" si="0"/>
        <v>1</v>
      </c>
    </row>
    <row r="146" spans="28:30" ht="18" customHeight="1" x14ac:dyDescent="0.25">
      <c r="AB146" s="103" t="s">
        <v>369</v>
      </c>
      <c r="AC146" s="104">
        <v>3</v>
      </c>
      <c r="AD146" s="105">
        <f t="shared" si="0"/>
        <v>3</v>
      </c>
    </row>
    <row r="147" spans="28:30" ht="18" customHeight="1" x14ac:dyDescent="0.25">
      <c r="AB147" s="116" t="s">
        <v>246</v>
      </c>
      <c r="AC147" s="117">
        <v>3</v>
      </c>
      <c r="AD147" s="114">
        <f t="shared" si="0"/>
        <v>3</v>
      </c>
    </row>
    <row r="148" spans="28:30" ht="18" customHeight="1" x14ac:dyDescent="0.25">
      <c r="AB148" s="122" t="s">
        <v>453</v>
      </c>
      <c r="AC148" s="119">
        <v>2</v>
      </c>
      <c r="AD148" s="105">
        <f t="shared" si="0"/>
        <v>2</v>
      </c>
    </row>
    <row r="149" spans="28:30" ht="18" customHeight="1" x14ac:dyDescent="0.25">
      <c r="AB149" s="121" t="s">
        <v>1120</v>
      </c>
      <c r="AC149" s="117">
        <v>0</v>
      </c>
      <c r="AD149" s="114">
        <f t="shared" si="0"/>
        <v>0</v>
      </c>
    </row>
    <row r="150" spans="28:30" ht="18" customHeight="1" x14ac:dyDescent="0.25">
      <c r="AB150" s="103" t="s">
        <v>421</v>
      </c>
      <c r="AC150" s="104">
        <v>1</v>
      </c>
      <c r="AD150" s="105">
        <f t="shared" si="0"/>
        <v>1</v>
      </c>
    </row>
    <row r="151" spans="28:30" ht="18" customHeight="1" x14ac:dyDescent="0.25">
      <c r="AB151" s="112" t="s">
        <v>452</v>
      </c>
      <c r="AC151" s="113">
        <v>1</v>
      </c>
      <c r="AD151" s="114">
        <f t="shared" si="0"/>
        <v>1</v>
      </c>
    </row>
    <row r="152" spans="28:30" ht="18" customHeight="1" x14ac:dyDescent="0.25">
      <c r="AB152" s="122" t="s">
        <v>1121</v>
      </c>
      <c r="AC152" s="119">
        <v>1</v>
      </c>
      <c r="AD152" s="105">
        <f t="shared" si="0"/>
        <v>1</v>
      </c>
    </row>
    <row r="153" spans="28:30" ht="18" customHeight="1" x14ac:dyDescent="0.25">
      <c r="AB153" s="116" t="s">
        <v>1122</v>
      </c>
      <c r="AC153" s="117">
        <v>1</v>
      </c>
      <c r="AD153" s="114">
        <f t="shared" si="0"/>
        <v>1</v>
      </c>
    </row>
    <row r="154" spans="28:30" ht="18" customHeight="1" x14ac:dyDescent="0.25">
      <c r="AB154" s="122" t="s">
        <v>1123</v>
      </c>
      <c r="AC154" s="119">
        <v>2</v>
      </c>
      <c r="AD154" s="105">
        <f t="shared" si="0"/>
        <v>2</v>
      </c>
    </row>
    <row r="155" spans="28:30" ht="18" customHeight="1" x14ac:dyDescent="0.25">
      <c r="AB155" s="112" t="s">
        <v>231</v>
      </c>
      <c r="AC155" s="113">
        <v>3</v>
      </c>
      <c r="AD155" s="114">
        <f t="shared" si="0"/>
        <v>3</v>
      </c>
    </row>
    <row r="156" spans="28:30" ht="18" customHeight="1" x14ac:dyDescent="0.25">
      <c r="AB156" s="122" t="s">
        <v>1124</v>
      </c>
      <c r="AC156" s="124">
        <v>4</v>
      </c>
      <c r="AD156" s="105">
        <f t="shared" si="0"/>
        <v>4</v>
      </c>
    </row>
    <row r="157" spans="28:30" ht="18" customHeight="1" x14ac:dyDescent="0.25">
      <c r="AB157" s="116" t="s">
        <v>499</v>
      </c>
      <c r="AC157" s="124">
        <v>4</v>
      </c>
      <c r="AD157" s="114">
        <f t="shared" si="0"/>
        <v>4</v>
      </c>
    </row>
    <row r="158" spans="28:30" ht="18" customHeight="1" x14ac:dyDescent="0.25">
      <c r="AB158" s="122" t="s">
        <v>1125</v>
      </c>
      <c r="AC158" s="124">
        <v>2</v>
      </c>
      <c r="AD158" s="105">
        <f t="shared" si="0"/>
        <v>2</v>
      </c>
    </row>
    <row r="159" spans="28:30" ht="18" customHeight="1" x14ac:dyDescent="0.25">
      <c r="AB159" s="112" t="s">
        <v>216</v>
      </c>
      <c r="AC159" s="113">
        <v>10</v>
      </c>
      <c r="AD159" s="114">
        <f t="shared" si="0"/>
        <v>10</v>
      </c>
    </row>
    <row r="160" spans="28:30" ht="18" customHeight="1" x14ac:dyDescent="0.25">
      <c r="AB160" s="103" t="s">
        <v>156</v>
      </c>
      <c r="AC160" s="104">
        <v>1</v>
      </c>
      <c r="AD160" s="105">
        <f t="shared" si="0"/>
        <v>1</v>
      </c>
    </row>
    <row r="161" spans="28:30" ht="18" customHeight="1" x14ac:dyDescent="0.25">
      <c r="AB161" s="112" t="s">
        <v>146</v>
      </c>
      <c r="AC161" s="117">
        <v>4</v>
      </c>
      <c r="AD161" s="114">
        <f t="shared" si="0"/>
        <v>4</v>
      </c>
    </row>
    <row r="162" spans="28:30" ht="18" customHeight="1" x14ac:dyDescent="0.25">
      <c r="AB162" s="103" t="s">
        <v>210</v>
      </c>
      <c r="AC162" s="104">
        <v>6</v>
      </c>
      <c r="AD162" s="105">
        <f t="shared" si="0"/>
        <v>6</v>
      </c>
    </row>
    <row r="163" spans="28:30" ht="18" customHeight="1" x14ac:dyDescent="0.25">
      <c r="AB163" s="116" t="s">
        <v>152</v>
      </c>
      <c r="AC163" s="117">
        <v>4</v>
      </c>
      <c r="AD163" s="114">
        <f t="shared" si="0"/>
        <v>4</v>
      </c>
    </row>
    <row r="164" spans="28:30" ht="18" customHeight="1" x14ac:dyDescent="0.25">
      <c r="AB164" s="122" t="s">
        <v>1126</v>
      </c>
      <c r="AC164" s="119">
        <v>1</v>
      </c>
      <c r="AD164" s="105">
        <f t="shared" si="0"/>
        <v>1</v>
      </c>
    </row>
    <row r="165" spans="28:30" ht="18" customHeight="1" x14ac:dyDescent="0.25">
      <c r="AB165" s="112" t="s">
        <v>318</v>
      </c>
      <c r="AC165" s="113">
        <v>3</v>
      </c>
      <c r="AD165" s="114">
        <f t="shared" si="0"/>
        <v>3</v>
      </c>
    </row>
    <row r="166" spans="28:30" ht="18" customHeight="1" x14ac:dyDescent="0.25">
      <c r="AB166" s="103" t="s">
        <v>296</v>
      </c>
      <c r="AC166" s="104">
        <v>2</v>
      </c>
      <c r="AD166" s="105">
        <f t="shared" si="0"/>
        <v>2</v>
      </c>
    </row>
    <row r="167" spans="28:30" ht="18" customHeight="1" x14ac:dyDescent="0.25">
      <c r="AB167" s="112" t="s">
        <v>180</v>
      </c>
      <c r="AC167" s="117">
        <v>4</v>
      </c>
      <c r="AD167" s="114">
        <f t="shared" si="0"/>
        <v>4</v>
      </c>
    </row>
    <row r="168" spans="28:30" ht="18" customHeight="1" x14ac:dyDescent="0.25">
      <c r="AB168" s="122" t="s">
        <v>285</v>
      </c>
      <c r="AC168" s="119">
        <v>2</v>
      </c>
      <c r="AD168" s="105">
        <f t="shared" si="0"/>
        <v>2</v>
      </c>
    </row>
    <row r="169" spans="28:30" ht="18" customHeight="1" x14ac:dyDescent="0.25">
      <c r="AB169" s="121" t="s">
        <v>305</v>
      </c>
      <c r="AC169" s="113">
        <v>2</v>
      </c>
      <c r="AD169" s="114">
        <f t="shared" si="0"/>
        <v>2</v>
      </c>
    </row>
    <row r="170" spans="28:30" ht="18" customHeight="1" x14ac:dyDescent="0.25">
      <c r="AB170" s="123" t="s">
        <v>470</v>
      </c>
      <c r="AC170" s="104">
        <v>1</v>
      </c>
      <c r="AD170" s="105">
        <f t="shared" si="0"/>
        <v>1</v>
      </c>
    </row>
    <row r="171" spans="28:30" ht="18" customHeight="1" x14ac:dyDescent="0.25">
      <c r="AB171" s="116" t="s">
        <v>1127</v>
      </c>
      <c r="AC171" s="113">
        <v>3</v>
      </c>
      <c r="AD171" s="114">
        <f t="shared" si="0"/>
        <v>3</v>
      </c>
    </row>
    <row r="172" spans="28:30" ht="18" customHeight="1" x14ac:dyDescent="0.25">
      <c r="AB172" s="126" t="s">
        <v>1128</v>
      </c>
      <c r="AC172" s="104">
        <v>500</v>
      </c>
      <c r="AD172" s="105">
        <f t="shared" si="0"/>
        <v>500</v>
      </c>
    </row>
    <row r="173" spans="28:30" ht="18" customHeight="1" x14ac:dyDescent="0.25">
      <c r="AB173" s="121" t="s">
        <v>139</v>
      </c>
      <c r="AC173" s="113">
        <v>500</v>
      </c>
      <c r="AD173" s="114">
        <f t="shared" si="0"/>
        <v>500</v>
      </c>
    </row>
    <row r="174" spans="28:30" ht="18" customHeight="1" x14ac:dyDescent="0.25">
      <c r="AB174" s="122" t="s">
        <v>159</v>
      </c>
      <c r="AC174" s="119">
        <v>5</v>
      </c>
      <c r="AD174" s="105">
        <f t="shared" si="0"/>
        <v>5</v>
      </c>
    </row>
    <row r="175" spans="28:30" ht="18" customHeight="1" x14ac:dyDescent="0.25">
      <c r="AB175" s="112" t="s">
        <v>567</v>
      </c>
      <c r="AC175" s="117">
        <v>1</v>
      </c>
      <c r="AD175" s="114">
        <f t="shared" si="0"/>
        <v>1</v>
      </c>
    </row>
    <row r="176" spans="28:30" ht="18" customHeight="1" x14ac:dyDescent="0.25">
      <c r="AB176" s="123" t="s">
        <v>1129</v>
      </c>
      <c r="AC176" s="119">
        <v>3</v>
      </c>
      <c r="AD176" s="105">
        <f t="shared" si="0"/>
        <v>3</v>
      </c>
    </row>
    <row r="177" spans="28:30" ht="18" customHeight="1" x14ac:dyDescent="0.25">
      <c r="AB177" s="116" t="s">
        <v>206</v>
      </c>
      <c r="AC177" s="113">
        <v>1</v>
      </c>
      <c r="AD177" s="114">
        <f t="shared" si="0"/>
        <v>1</v>
      </c>
    </row>
    <row r="178" spans="28:30" ht="18" customHeight="1" x14ac:dyDescent="0.25">
      <c r="AB178" s="122" t="s">
        <v>178</v>
      </c>
      <c r="AC178" s="119">
        <v>2</v>
      </c>
      <c r="AD178" s="105">
        <f t="shared" si="0"/>
        <v>2</v>
      </c>
    </row>
    <row r="179" spans="28:30" ht="18" customHeight="1" x14ac:dyDescent="0.25">
      <c r="AB179" s="112" t="s">
        <v>1130</v>
      </c>
      <c r="AC179" s="113">
        <v>2</v>
      </c>
      <c r="AD179" s="114">
        <f t="shared" si="0"/>
        <v>2</v>
      </c>
    </row>
    <row r="180" spans="28:30" ht="18" customHeight="1" x14ac:dyDescent="0.25">
      <c r="AB180" s="103" t="s">
        <v>1131</v>
      </c>
      <c r="AC180" s="104">
        <v>3</v>
      </c>
      <c r="AD180" s="105">
        <f t="shared" si="0"/>
        <v>3</v>
      </c>
    </row>
    <row r="181" spans="28:30" ht="18" customHeight="1" x14ac:dyDescent="0.25">
      <c r="AB181" s="112" t="s">
        <v>1132</v>
      </c>
      <c r="AC181" s="117">
        <v>4</v>
      </c>
      <c r="AD181" s="114">
        <f t="shared" si="0"/>
        <v>4</v>
      </c>
    </row>
    <row r="182" spans="28:30" ht="18" customHeight="1" x14ac:dyDescent="0.25">
      <c r="AB182" s="103" t="s">
        <v>1133</v>
      </c>
      <c r="AC182" s="119">
        <v>1</v>
      </c>
      <c r="AD182" s="105">
        <f t="shared" si="0"/>
        <v>1</v>
      </c>
    </row>
    <row r="183" spans="28:30" ht="18" customHeight="1" x14ac:dyDescent="0.25">
      <c r="AB183" s="112" t="s">
        <v>291</v>
      </c>
      <c r="AC183" s="113">
        <v>1</v>
      </c>
      <c r="AD183" s="114">
        <f t="shared" si="0"/>
        <v>1</v>
      </c>
    </row>
    <row r="184" spans="28:30" ht="18" customHeight="1" x14ac:dyDescent="0.25">
      <c r="AB184" s="103" t="s">
        <v>1134</v>
      </c>
      <c r="AC184" s="119">
        <v>1</v>
      </c>
      <c r="AD184" s="105">
        <f t="shared" si="0"/>
        <v>1</v>
      </c>
    </row>
    <row r="185" spans="28:30" ht="18" customHeight="1" x14ac:dyDescent="0.25">
      <c r="AB185" s="116" t="s">
        <v>1135</v>
      </c>
      <c r="AC185" s="117">
        <v>0</v>
      </c>
      <c r="AD185" s="114">
        <f t="shared" si="0"/>
        <v>0</v>
      </c>
    </row>
    <row r="186" spans="28:30" ht="18" customHeight="1" x14ac:dyDescent="0.25">
      <c r="AB186" s="103" t="s">
        <v>1136</v>
      </c>
      <c r="AC186" s="119">
        <v>2</v>
      </c>
      <c r="AD186" s="105">
        <f t="shared" si="0"/>
        <v>2</v>
      </c>
    </row>
    <row r="187" spans="28:30" ht="18" customHeight="1" x14ac:dyDescent="0.25">
      <c r="AB187" s="116" t="s">
        <v>438</v>
      </c>
      <c r="AC187" s="117">
        <v>2</v>
      </c>
      <c r="AD187" s="114">
        <f t="shared" si="0"/>
        <v>2</v>
      </c>
    </row>
    <row r="188" spans="28:30" ht="18" customHeight="1" x14ac:dyDescent="0.25">
      <c r="AB188" s="103" t="s">
        <v>1137</v>
      </c>
      <c r="AC188" s="119">
        <v>2</v>
      </c>
      <c r="AD188" s="105">
        <f t="shared" si="0"/>
        <v>2</v>
      </c>
    </row>
    <row r="189" spans="28:30" ht="18" customHeight="1" x14ac:dyDescent="0.25">
      <c r="AB189" s="112" t="s">
        <v>289</v>
      </c>
      <c r="AC189" s="113">
        <v>1</v>
      </c>
      <c r="AD189" s="114">
        <f t="shared" si="0"/>
        <v>1</v>
      </c>
    </row>
    <row r="190" spans="28:30" ht="18" customHeight="1" x14ac:dyDescent="0.25">
      <c r="AB190" s="122" t="s">
        <v>254</v>
      </c>
      <c r="AC190" s="104">
        <v>1</v>
      </c>
      <c r="AD190" s="105">
        <f t="shared" si="0"/>
        <v>1</v>
      </c>
    </row>
    <row r="191" spans="28:30" ht="18" customHeight="1" x14ac:dyDescent="0.25">
      <c r="AB191" s="112" t="s">
        <v>1138</v>
      </c>
      <c r="AC191" s="113">
        <v>3</v>
      </c>
      <c r="AD191" s="114">
        <f t="shared" si="0"/>
        <v>3</v>
      </c>
    </row>
    <row r="192" spans="28:30" ht="18" customHeight="1" x14ac:dyDescent="0.25">
      <c r="AB192" s="103" t="s">
        <v>264</v>
      </c>
      <c r="AC192" s="104">
        <v>2</v>
      </c>
      <c r="AD192" s="105">
        <f t="shared" si="0"/>
        <v>2</v>
      </c>
    </row>
    <row r="193" spans="28:30" ht="18" customHeight="1" x14ac:dyDescent="0.25">
      <c r="AB193" s="112" t="s">
        <v>502</v>
      </c>
      <c r="AC193" s="117">
        <v>2</v>
      </c>
      <c r="AD193" s="114">
        <f t="shared" si="0"/>
        <v>2</v>
      </c>
    </row>
    <row r="194" spans="28:30" ht="18" customHeight="1" x14ac:dyDescent="0.25">
      <c r="AB194" s="122" t="s">
        <v>324</v>
      </c>
      <c r="AC194" s="119">
        <v>1</v>
      </c>
      <c r="AD194" s="105">
        <f t="shared" si="0"/>
        <v>1</v>
      </c>
    </row>
    <row r="195" spans="28:30" ht="18" customHeight="1" x14ac:dyDescent="0.25">
      <c r="AB195" s="112" t="s">
        <v>263</v>
      </c>
      <c r="AC195" s="117">
        <v>3</v>
      </c>
      <c r="AD195" s="114">
        <f t="shared" si="0"/>
        <v>3</v>
      </c>
    </row>
    <row r="196" spans="28:30" ht="18" customHeight="1" x14ac:dyDescent="0.25">
      <c r="AB196" s="103" t="s">
        <v>1255</v>
      </c>
      <c r="AC196" s="119">
        <v>0</v>
      </c>
      <c r="AD196" s="105">
        <f t="shared" si="0"/>
        <v>0</v>
      </c>
    </row>
    <row r="197" spans="28:30" ht="18" customHeight="1" x14ac:dyDescent="0.25">
      <c r="AB197" s="112" t="s">
        <v>195</v>
      </c>
      <c r="AC197" s="117">
        <v>3</v>
      </c>
      <c r="AD197" s="114">
        <f t="shared" si="0"/>
        <v>3</v>
      </c>
    </row>
    <row r="198" spans="28:30" ht="18" customHeight="1" x14ac:dyDescent="0.25">
      <c r="AB198" s="103" t="s">
        <v>1256</v>
      </c>
      <c r="AC198" s="104">
        <v>2</v>
      </c>
      <c r="AD198" s="105">
        <f t="shared" si="0"/>
        <v>2</v>
      </c>
    </row>
    <row r="199" spans="28:30" ht="18" customHeight="1" x14ac:dyDescent="0.25">
      <c r="AB199" s="112" t="s">
        <v>149</v>
      </c>
      <c r="AC199" s="113">
        <v>2</v>
      </c>
      <c r="AD199" s="114">
        <f t="shared" si="0"/>
        <v>2</v>
      </c>
    </row>
    <row r="200" spans="28:30" ht="18" customHeight="1" x14ac:dyDescent="0.25">
      <c r="AB200" s="103" t="s">
        <v>282</v>
      </c>
      <c r="AC200" s="119">
        <v>2</v>
      </c>
      <c r="AD200" s="105">
        <f t="shared" si="0"/>
        <v>2</v>
      </c>
    </row>
    <row r="201" spans="28:30" ht="18" customHeight="1" x14ac:dyDescent="0.25">
      <c r="AB201" s="112" t="s">
        <v>360</v>
      </c>
      <c r="AC201" s="113">
        <v>1</v>
      </c>
      <c r="AD201" s="114">
        <f t="shared" si="0"/>
        <v>1</v>
      </c>
    </row>
    <row r="202" spans="28:30" ht="18" customHeight="1" x14ac:dyDescent="0.25">
      <c r="AB202" s="103" t="s">
        <v>198</v>
      </c>
      <c r="AC202" s="104">
        <v>1</v>
      </c>
      <c r="AD202" s="105">
        <f t="shared" si="0"/>
        <v>1</v>
      </c>
    </row>
    <row r="203" spans="28:30" ht="18" customHeight="1" x14ac:dyDescent="0.25">
      <c r="AB203" s="112" t="s">
        <v>1139</v>
      </c>
      <c r="AC203" s="113">
        <v>0</v>
      </c>
      <c r="AD203" s="114">
        <f t="shared" si="0"/>
        <v>0</v>
      </c>
    </row>
    <row r="204" spans="28:30" ht="18" customHeight="1" x14ac:dyDescent="0.25">
      <c r="AB204" s="103" t="s">
        <v>388</v>
      </c>
      <c r="AC204" s="104">
        <v>2</v>
      </c>
      <c r="AD204" s="105">
        <f t="shared" si="0"/>
        <v>2</v>
      </c>
    </row>
    <row r="205" spans="28:30" ht="18" customHeight="1" x14ac:dyDescent="0.25">
      <c r="AB205" s="112" t="s">
        <v>1140</v>
      </c>
      <c r="AC205" s="117">
        <v>3</v>
      </c>
      <c r="AD205" s="114">
        <f t="shared" si="0"/>
        <v>3</v>
      </c>
    </row>
    <row r="206" spans="28:30" ht="18" customHeight="1" x14ac:dyDescent="0.25">
      <c r="AB206" s="122" t="s">
        <v>1141</v>
      </c>
      <c r="AC206" s="119">
        <v>3</v>
      </c>
      <c r="AD206" s="105">
        <f t="shared" si="0"/>
        <v>3</v>
      </c>
    </row>
    <row r="207" spans="28:30" ht="18" customHeight="1" x14ac:dyDescent="0.25">
      <c r="AB207" s="112" t="s">
        <v>1142</v>
      </c>
      <c r="AC207" s="117">
        <v>1</v>
      </c>
      <c r="AD207" s="114">
        <f t="shared" si="0"/>
        <v>1</v>
      </c>
    </row>
    <row r="208" spans="28:30" ht="18" customHeight="1" x14ac:dyDescent="0.25">
      <c r="AB208" s="103" t="s">
        <v>1143</v>
      </c>
      <c r="AC208" s="104">
        <v>0</v>
      </c>
      <c r="AD208" s="105">
        <f t="shared" si="0"/>
        <v>0</v>
      </c>
    </row>
    <row r="209" spans="28:30" ht="18" customHeight="1" x14ac:dyDescent="0.25">
      <c r="AB209" s="112" t="s">
        <v>236</v>
      </c>
      <c r="AC209" s="113">
        <v>12</v>
      </c>
      <c r="AD209" s="114">
        <f t="shared" si="0"/>
        <v>12</v>
      </c>
    </row>
    <row r="210" spans="28:30" ht="18" customHeight="1" x14ac:dyDescent="0.25">
      <c r="AB210" s="122" t="s">
        <v>1257</v>
      </c>
      <c r="AC210" s="119">
        <v>3</v>
      </c>
      <c r="AD210" s="105">
        <f t="shared" si="0"/>
        <v>3</v>
      </c>
    </row>
    <row r="211" spans="28:30" ht="18" customHeight="1" x14ac:dyDescent="0.25">
      <c r="AB211" s="116" t="s">
        <v>1258</v>
      </c>
      <c r="AC211" s="117">
        <v>2</v>
      </c>
      <c r="AD211" s="114">
        <f t="shared" si="0"/>
        <v>2</v>
      </c>
    </row>
    <row r="212" spans="28:30" ht="18" customHeight="1" x14ac:dyDescent="0.25">
      <c r="AB212" s="122" t="s">
        <v>1259</v>
      </c>
      <c r="AC212" s="119">
        <v>3</v>
      </c>
      <c r="AD212" s="105">
        <f t="shared" si="0"/>
        <v>3</v>
      </c>
    </row>
    <row r="213" spans="28:30" ht="18" customHeight="1" x14ac:dyDescent="0.25">
      <c r="AB213" s="116" t="s">
        <v>275</v>
      </c>
      <c r="AC213" s="117">
        <v>8</v>
      </c>
      <c r="AD213" s="114">
        <f t="shared" si="0"/>
        <v>8</v>
      </c>
    </row>
    <row r="214" spans="28:30" ht="18" customHeight="1" x14ac:dyDescent="0.25">
      <c r="AB214" s="103" t="s">
        <v>1144</v>
      </c>
      <c r="AC214" s="119">
        <v>0</v>
      </c>
      <c r="AD214" s="105">
        <f t="shared" si="0"/>
        <v>0</v>
      </c>
    </row>
    <row r="215" spans="28:30" ht="18" customHeight="1" x14ac:dyDescent="0.25">
      <c r="AB215" s="112" t="s">
        <v>1145</v>
      </c>
      <c r="AC215" s="113">
        <v>1</v>
      </c>
      <c r="AD215" s="114">
        <f t="shared" si="0"/>
        <v>1</v>
      </c>
    </row>
    <row r="216" spans="28:30" ht="18" customHeight="1" x14ac:dyDescent="0.25">
      <c r="AB216" s="103" t="s">
        <v>277</v>
      </c>
      <c r="AC216" s="104">
        <v>1</v>
      </c>
      <c r="AD216" s="105">
        <f t="shared" si="0"/>
        <v>1</v>
      </c>
    </row>
    <row r="217" spans="28:30" ht="18" customHeight="1" x14ac:dyDescent="0.25">
      <c r="AB217" s="112" t="s">
        <v>265</v>
      </c>
      <c r="AC217" s="113">
        <v>1</v>
      </c>
      <c r="AD217" s="114">
        <f t="shared" si="0"/>
        <v>1</v>
      </c>
    </row>
    <row r="218" spans="28:30" ht="18" customHeight="1" x14ac:dyDescent="0.25">
      <c r="AB218" s="103" t="s">
        <v>641</v>
      </c>
      <c r="AC218" s="119">
        <v>0</v>
      </c>
      <c r="AD218" s="105">
        <f t="shared" si="0"/>
        <v>0</v>
      </c>
    </row>
    <row r="219" spans="28:30" ht="18" customHeight="1" x14ac:dyDescent="0.25">
      <c r="AB219" s="112" t="s">
        <v>167</v>
      </c>
      <c r="AC219" s="113">
        <v>4</v>
      </c>
      <c r="AD219" s="114">
        <f t="shared" si="0"/>
        <v>4</v>
      </c>
    </row>
    <row r="220" spans="28:30" ht="18" customHeight="1" x14ac:dyDescent="0.25">
      <c r="AB220" s="103" t="s">
        <v>1146</v>
      </c>
      <c r="AC220" s="119">
        <v>3</v>
      </c>
      <c r="AD220" s="105">
        <f t="shared" si="0"/>
        <v>3</v>
      </c>
    </row>
    <row r="221" spans="28:30" ht="18" customHeight="1" x14ac:dyDescent="0.25">
      <c r="AB221" s="112" t="s">
        <v>184</v>
      </c>
      <c r="AC221" s="117">
        <v>2</v>
      </c>
      <c r="AD221" s="114">
        <f t="shared" si="0"/>
        <v>2</v>
      </c>
    </row>
    <row r="222" spans="28:30" ht="18" customHeight="1" x14ac:dyDescent="0.25">
      <c r="AB222" s="103" t="s">
        <v>143</v>
      </c>
      <c r="AC222" s="104">
        <v>2</v>
      </c>
      <c r="AD222" s="105">
        <f t="shared" si="0"/>
        <v>2</v>
      </c>
    </row>
    <row r="223" spans="28:30" ht="18" customHeight="1" x14ac:dyDescent="0.25">
      <c r="AB223" s="112" t="s">
        <v>362</v>
      </c>
      <c r="AC223" s="113">
        <v>1</v>
      </c>
      <c r="AD223" s="114">
        <f t="shared" si="0"/>
        <v>1</v>
      </c>
    </row>
    <row r="224" spans="28:30" ht="18" customHeight="1" x14ac:dyDescent="0.25">
      <c r="AB224" s="122" t="s">
        <v>288</v>
      </c>
      <c r="AC224" s="119">
        <v>2</v>
      </c>
      <c r="AD224" s="105">
        <f t="shared" si="0"/>
        <v>2</v>
      </c>
    </row>
    <row r="225" spans="28:30" ht="18" customHeight="1" x14ac:dyDescent="0.25">
      <c r="AB225" s="112" t="s">
        <v>301</v>
      </c>
      <c r="AC225" s="117">
        <v>5</v>
      </c>
      <c r="AD225" s="114">
        <f t="shared" si="0"/>
        <v>5</v>
      </c>
    </row>
    <row r="226" spans="28:30" ht="18" customHeight="1" x14ac:dyDescent="0.25">
      <c r="AB226" s="122" t="s">
        <v>1147</v>
      </c>
      <c r="AC226" s="119">
        <v>1</v>
      </c>
      <c r="AD226" s="105">
        <f t="shared" si="0"/>
        <v>1</v>
      </c>
    </row>
    <row r="227" spans="28:30" ht="18" customHeight="1" x14ac:dyDescent="0.25">
      <c r="AB227" s="112" t="s">
        <v>1260</v>
      </c>
      <c r="AC227" s="113">
        <v>1</v>
      </c>
      <c r="AD227" s="114">
        <f t="shared" si="0"/>
        <v>1</v>
      </c>
    </row>
    <row r="228" spans="28:30" ht="18" customHeight="1" x14ac:dyDescent="0.25">
      <c r="AB228" s="122" t="s">
        <v>540</v>
      </c>
      <c r="AC228" s="119">
        <v>2</v>
      </c>
      <c r="AD228" s="105">
        <f t="shared" si="0"/>
        <v>2</v>
      </c>
    </row>
    <row r="229" spans="28:30" ht="18" customHeight="1" x14ac:dyDescent="0.25">
      <c r="AB229" s="116" t="s">
        <v>284</v>
      </c>
      <c r="AC229" s="113">
        <v>1</v>
      </c>
      <c r="AD229" s="114">
        <f t="shared" si="0"/>
        <v>1</v>
      </c>
    </row>
    <row r="230" spans="28:30" ht="18" customHeight="1" x14ac:dyDescent="0.25">
      <c r="AB230" s="122" t="s">
        <v>1148</v>
      </c>
      <c r="AC230" s="119">
        <v>1</v>
      </c>
      <c r="AD230" s="105">
        <f t="shared" si="0"/>
        <v>1</v>
      </c>
    </row>
    <row r="231" spans="28:30" ht="18" customHeight="1" x14ac:dyDescent="0.25">
      <c r="AB231" s="116" t="s">
        <v>306</v>
      </c>
      <c r="AC231" s="117">
        <v>2</v>
      </c>
      <c r="AD231" s="114">
        <f t="shared" si="0"/>
        <v>2</v>
      </c>
    </row>
    <row r="232" spans="28:30" ht="18" customHeight="1" x14ac:dyDescent="0.25">
      <c r="AB232" s="122" t="s">
        <v>1149</v>
      </c>
      <c r="AC232" s="119">
        <v>1</v>
      </c>
      <c r="AD232" s="105">
        <f t="shared" si="0"/>
        <v>1</v>
      </c>
    </row>
    <row r="233" spans="28:30" ht="18" customHeight="1" x14ac:dyDescent="0.25">
      <c r="AB233" s="116" t="s">
        <v>188</v>
      </c>
      <c r="AC233" s="117">
        <v>6</v>
      </c>
      <c r="AD233" s="114">
        <f t="shared" si="0"/>
        <v>6</v>
      </c>
    </row>
    <row r="234" spans="28:30" ht="18" customHeight="1" x14ac:dyDescent="0.25">
      <c r="AB234" s="103" t="s">
        <v>1261</v>
      </c>
      <c r="AC234" s="104">
        <v>1</v>
      </c>
      <c r="AD234" s="105">
        <f t="shared" si="0"/>
        <v>1</v>
      </c>
    </row>
    <row r="235" spans="28:30" ht="18" customHeight="1" x14ac:dyDescent="0.25">
      <c r="AB235" s="112" t="s">
        <v>172</v>
      </c>
      <c r="AC235" s="113">
        <v>1</v>
      </c>
      <c r="AD235" s="114">
        <f t="shared" si="0"/>
        <v>1</v>
      </c>
    </row>
    <row r="236" spans="28:30" ht="18" customHeight="1" x14ac:dyDescent="0.25">
      <c r="AB236" s="122" t="s">
        <v>205</v>
      </c>
      <c r="AC236" s="104">
        <v>2</v>
      </c>
      <c r="AD236" s="105">
        <f t="shared" si="0"/>
        <v>2</v>
      </c>
    </row>
    <row r="237" spans="28:30" ht="18" customHeight="1" x14ac:dyDescent="0.25">
      <c r="AB237" s="116" t="s">
        <v>262</v>
      </c>
      <c r="AC237" s="117">
        <v>7</v>
      </c>
      <c r="AD237" s="114">
        <f t="shared" si="0"/>
        <v>7</v>
      </c>
    </row>
    <row r="238" spans="28:30" ht="18" customHeight="1" x14ac:dyDescent="0.25">
      <c r="AB238" s="103" t="s">
        <v>1262</v>
      </c>
      <c r="AC238" s="119">
        <v>2</v>
      </c>
      <c r="AD238" s="105">
        <f t="shared" si="0"/>
        <v>2</v>
      </c>
    </row>
    <row r="239" spans="28:30" ht="18" customHeight="1" x14ac:dyDescent="0.25">
      <c r="AB239" s="116" t="s">
        <v>1150</v>
      </c>
      <c r="AC239" s="117">
        <v>0</v>
      </c>
      <c r="AD239" s="114">
        <f t="shared" si="0"/>
        <v>0</v>
      </c>
    </row>
    <row r="240" spans="28:30" ht="18" customHeight="1" x14ac:dyDescent="0.25">
      <c r="AB240" s="103" t="s">
        <v>90</v>
      </c>
      <c r="AC240" s="119">
        <v>62</v>
      </c>
      <c r="AD240" s="105">
        <f t="shared" si="0"/>
        <v>62</v>
      </c>
    </row>
    <row r="241" spans="28:30" ht="18" customHeight="1" x14ac:dyDescent="0.25">
      <c r="AB241" s="112" t="s">
        <v>252</v>
      </c>
      <c r="AC241" s="113">
        <v>5</v>
      </c>
      <c r="AD241" s="114">
        <f t="shared" si="0"/>
        <v>5</v>
      </c>
    </row>
    <row r="242" spans="28:30" ht="18" customHeight="1" x14ac:dyDescent="0.25">
      <c r="AB242" s="103" t="s">
        <v>1151</v>
      </c>
      <c r="AC242" s="104">
        <v>1</v>
      </c>
      <c r="AD242" s="105">
        <f t="shared" si="0"/>
        <v>1</v>
      </c>
    </row>
    <row r="243" spans="28:30" ht="18" customHeight="1" x14ac:dyDescent="0.25">
      <c r="AB243" s="116" t="s">
        <v>169</v>
      </c>
      <c r="AC243" s="117">
        <v>2</v>
      </c>
      <c r="AD243" s="114">
        <f t="shared" si="0"/>
        <v>2</v>
      </c>
    </row>
    <row r="244" spans="28:30" ht="18" customHeight="1" x14ac:dyDescent="0.25">
      <c r="AB244" s="122" t="s">
        <v>1263</v>
      </c>
      <c r="AC244" s="119">
        <v>0</v>
      </c>
      <c r="AD244" s="105">
        <f t="shared" si="0"/>
        <v>0</v>
      </c>
    </row>
    <row r="245" spans="28:30" ht="18" customHeight="1" x14ac:dyDescent="0.25">
      <c r="AB245" s="112" t="s">
        <v>1264</v>
      </c>
      <c r="AC245" s="117">
        <v>0</v>
      </c>
      <c r="AD245" s="114">
        <f t="shared" si="0"/>
        <v>0</v>
      </c>
    </row>
    <row r="246" spans="28:30" ht="18" customHeight="1" x14ac:dyDescent="0.25">
      <c r="AB246" s="103" t="s">
        <v>1265</v>
      </c>
      <c r="AC246" s="104">
        <v>15</v>
      </c>
      <c r="AD246" s="105">
        <f t="shared" si="0"/>
        <v>15</v>
      </c>
    </row>
    <row r="247" spans="28:30" ht="18" customHeight="1" x14ac:dyDescent="0.25">
      <c r="AB247" s="112" t="s">
        <v>310</v>
      </c>
      <c r="AC247" s="113">
        <v>2</v>
      </c>
      <c r="AD247" s="114">
        <f t="shared" si="0"/>
        <v>2</v>
      </c>
    </row>
    <row r="248" spans="28:30" ht="18" customHeight="1" x14ac:dyDescent="0.25">
      <c r="AB248" s="103" t="s">
        <v>158</v>
      </c>
      <c r="AC248" s="104">
        <v>15</v>
      </c>
      <c r="AD248" s="105">
        <f t="shared" si="0"/>
        <v>15</v>
      </c>
    </row>
    <row r="249" spans="28:30" ht="18" customHeight="1" x14ac:dyDescent="0.25">
      <c r="AB249" s="116" t="s">
        <v>1266</v>
      </c>
      <c r="AC249" s="117">
        <v>1</v>
      </c>
      <c r="AD249" s="114">
        <f t="shared" si="0"/>
        <v>1</v>
      </c>
    </row>
    <row r="250" spans="28:30" ht="18" customHeight="1" x14ac:dyDescent="0.25">
      <c r="AB250" s="122" t="s">
        <v>235</v>
      </c>
      <c r="AC250" s="104">
        <v>2</v>
      </c>
      <c r="AD250" s="105">
        <f t="shared" si="0"/>
        <v>2</v>
      </c>
    </row>
    <row r="251" spans="28:30" ht="18" customHeight="1" x14ac:dyDescent="0.25">
      <c r="AB251" s="112" t="s">
        <v>183</v>
      </c>
      <c r="AC251" s="113">
        <v>3</v>
      </c>
      <c r="AD251" s="114">
        <f t="shared" si="0"/>
        <v>3</v>
      </c>
    </row>
    <row r="252" spans="28:30" ht="18" customHeight="1" x14ac:dyDescent="0.25">
      <c r="AB252" s="103" t="s">
        <v>642</v>
      </c>
      <c r="AC252" s="104">
        <v>2</v>
      </c>
      <c r="AD252" s="105">
        <f t="shared" si="0"/>
        <v>2</v>
      </c>
    </row>
    <row r="253" spans="28:30" ht="18" customHeight="1" x14ac:dyDescent="0.25">
      <c r="AB253" s="116" t="s">
        <v>260</v>
      </c>
      <c r="AC253" s="117">
        <v>4</v>
      </c>
      <c r="AD253" s="114">
        <f t="shared" si="0"/>
        <v>4</v>
      </c>
    </row>
    <row r="254" spans="28:30" ht="18" customHeight="1" x14ac:dyDescent="0.25">
      <c r="AB254" s="122" t="s">
        <v>683</v>
      </c>
      <c r="AC254" s="104">
        <v>2</v>
      </c>
      <c r="AD254" s="105">
        <f t="shared" si="0"/>
        <v>2</v>
      </c>
    </row>
    <row r="255" spans="28:30" ht="18" customHeight="1" x14ac:dyDescent="0.25">
      <c r="AB255" s="112" t="s">
        <v>1267</v>
      </c>
      <c r="AC255" s="113">
        <v>0</v>
      </c>
      <c r="AD255" s="114">
        <f t="shared" si="0"/>
        <v>0</v>
      </c>
    </row>
    <row r="256" spans="28:30" ht="18" customHeight="1" x14ac:dyDescent="0.25">
      <c r="AB256" s="103" t="s">
        <v>21</v>
      </c>
      <c r="AC256" s="104">
        <v>1</v>
      </c>
      <c r="AD256" s="105">
        <f t="shared" si="0"/>
        <v>1</v>
      </c>
    </row>
    <row r="257" spans="28:30" ht="18" customHeight="1" x14ac:dyDescent="0.25">
      <c r="AB257" s="112" t="s">
        <v>148</v>
      </c>
      <c r="AC257" s="117">
        <v>3</v>
      </c>
      <c r="AD257" s="114">
        <f t="shared" ref="AD257:AD474" si="5">AC257-AE257</f>
        <v>3</v>
      </c>
    </row>
    <row r="258" spans="28:30" ht="18" customHeight="1" x14ac:dyDescent="0.25">
      <c r="AB258" s="103" t="s">
        <v>1268</v>
      </c>
      <c r="AC258" s="104">
        <v>1</v>
      </c>
      <c r="AD258" s="105">
        <f t="shared" si="5"/>
        <v>1</v>
      </c>
    </row>
    <row r="259" spans="28:30" ht="18" customHeight="1" x14ac:dyDescent="0.25">
      <c r="AB259" s="112" t="s">
        <v>1269</v>
      </c>
      <c r="AC259" s="113">
        <v>1</v>
      </c>
      <c r="AD259" s="114">
        <f t="shared" si="5"/>
        <v>1</v>
      </c>
    </row>
    <row r="260" spans="28:30" ht="18" customHeight="1" x14ac:dyDescent="0.25">
      <c r="AB260" s="103" t="s">
        <v>191</v>
      </c>
      <c r="AC260" s="104">
        <v>1</v>
      </c>
      <c r="AD260" s="105">
        <f t="shared" si="5"/>
        <v>1</v>
      </c>
    </row>
    <row r="261" spans="28:30" ht="18" customHeight="1" x14ac:dyDescent="0.25">
      <c r="AB261" s="112" t="s">
        <v>186</v>
      </c>
      <c r="AC261" s="117">
        <v>4</v>
      </c>
      <c r="AD261" s="114">
        <f t="shared" si="5"/>
        <v>4</v>
      </c>
    </row>
    <row r="262" spans="28:30" ht="18" customHeight="1" x14ac:dyDescent="0.25">
      <c r="AB262" s="103" t="s">
        <v>1152</v>
      </c>
      <c r="AC262" s="119">
        <v>0</v>
      </c>
      <c r="AD262" s="105">
        <f t="shared" si="5"/>
        <v>0</v>
      </c>
    </row>
    <row r="263" spans="28:30" ht="18" customHeight="1" x14ac:dyDescent="0.25">
      <c r="AB263" s="112" t="s">
        <v>258</v>
      </c>
      <c r="AC263" s="113">
        <v>1</v>
      </c>
      <c r="AD263" s="114">
        <f t="shared" si="5"/>
        <v>1</v>
      </c>
    </row>
    <row r="264" spans="28:30" ht="18" customHeight="1" x14ac:dyDescent="0.25">
      <c r="AB264" s="123" t="s">
        <v>1270</v>
      </c>
      <c r="AC264" s="119">
        <v>1</v>
      </c>
      <c r="AD264" s="105">
        <f t="shared" si="5"/>
        <v>1</v>
      </c>
    </row>
    <row r="265" spans="28:30" ht="18" customHeight="1" x14ac:dyDescent="0.25">
      <c r="AB265" s="112" t="s">
        <v>287</v>
      </c>
      <c r="AC265" s="113">
        <v>1</v>
      </c>
      <c r="AD265" s="114">
        <f t="shared" si="5"/>
        <v>1</v>
      </c>
    </row>
    <row r="266" spans="28:30" ht="18" customHeight="1" x14ac:dyDescent="0.25">
      <c r="AB266" s="103" t="s">
        <v>1271</v>
      </c>
      <c r="AC266" s="104">
        <v>2</v>
      </c>
      <c r="AD266" s="105">
        <f t="shared" si="5"/>
        <v>2</v>
      </c>
    </row>
    <row r="267" spans="28:30" ht="18" customHeight="1" x14ac:dyDescent="0.25">
      <c r="AB267" s="112" t="s">
        <v>274</v>
      </c>
      <c r="AC267" s="117">
        <v>2</v>
      </c>
      <c r="AD267" s="114">
        <f t="shared" si="5"/>
        <v>2</v>
      </c>
    </row>
    <row r="268" spans="28:30" ht="18" customHeight="1" x14ac:dyDescent="0.25">
      <c r="AB268" s="103" t="s">
        <v>699</v>
      </c>
      <c r="AC268" s="119">
        <v>1</v>
      </c>
      <c r="AD268" s="105">
        <f t="shared" si="5"/>
        <v>1</v>
      </c>
    </row>
    <row r="269" spans="28:30" ht="18" customHeight="1" x14ac:dyDescent="0.25">
      <c r="AB269" s="112" t="s">
        <v>228</v>
      </c>
      <c r="AC269" s="113">
        <v>1</v>
      </c>
      <c r="AD269" s="114">
        <f t="shared" si="5"/>
        <v>1</v>
      </c>
    </row>
    <row r="270" spans="28:30" ht="18" customHeight="1" x14ac:dyDescent="0.25">
      <c r="AB270" s="103" t="s">
        <v>698</v>
      </c>
      <c r="AC270" s="119">
        <v>3</v>
      </c>
      <c r="AD270" s="105">
        <f t="shared" si="5"/>
        <v>3</v>
      </c>
    </row>
    <row r="271" spans="28:30" ht="18" customHeight="1" x14ac:dyDescent="0.25">
      <c r="AB271" s="112" t="s">
        <v>177</v>
      </c>
      <c r="AC271" s="117">
        <v>9</v>
      </c>
      <c r="AD271" s="114">
        <f t="shared" si="5"/>
        <v>9</v>
      </c>
    </row>
    <row r="272" spans="28:30" ht="18" customHeight="1" x14ac:dyDescent="0.25">
      <c r="AB272" s="103" t="s">
        <v>241</v>
      </c>
      <c r="AC272" s="104">
        <v>1</v>
      </c>
      <c r="AD272" s="105">
        <f t="shared" si="5"/>
        <v>1</v>
      </c>
    </row>
    <row r="273" spans="28:30" ht="18" customHeight="1" x14ac:dyDescent="0.25">
      <c r="AB273" s="112" t="s">
        <v>1272</v>
      </c>
      <c r="AC273" s="113">
        <v>1</v>
      </c>
      <c r="AD273" s="114">
        <f t="shared" si="5"/>
        <v>1</v>
      </c>
    </row>
    <row r="274" spans="28:30" ht="18" customHeight="1" x14ac:dyDescent="0.25">
      <c r="AB274" s="123" t="s">
        <v>1273</v>
      </c>
      <c r="AC274" s="119">
        <v>0</v>
      </c>
      <c r="AD274" s="105">
        <f t="shared" si="5"/>
        <v>0</v>
      </c>
    </row>
    <row r="275" spans="28:30" ht="18" customHeight="1" x14ac:dyDescent="0.25">
      <c r="AB275" s="116" t="s">
        <v>1274</v>
      </c>
      <c r="AC275" s="117">
        <v>3</v>
      </c>
      <c r="AD275" s="114">
        <f t="shared" si="5"/>
        <v>3</v>
      </c>
    </row>
    <row r="276" spans="28:30" ht="18" customHeight="1" x14ac:dyDescent="0.25">
      <c r="AB276" s="122" t="s">
        <v>1275</v>
      </c>
      <c r="AC276" s="119">
        <v>2</v>
      </c>
      <c r="AD276" s="105">
        <f t="shared" si="5"/>
        <v>2</v>
      </c>
    </row>
    <row r="277" spans="28:30" ht="18" customHeight="1" x14ac:dyDescent="0.25">
      <c r="AB277" s="112" t="s">
        <v>700</v>
      </c>
      <c r="AC277" s="113">
        <v>1</v>
      </c>
      <c r="AD277" s="114">
        <f t="shared" si="5"/>
        <v>1</v>
      </c>
    </row>
    <row r="278" spans="28:30" ht="18" customHeight="1" x14ac:dyDescent="0.25">
      <c r="AB278" s="122" t="s">
        <v>1276</v>
      </c>
      <c r="AC278" s="119">
        <v>1</v>
      </c>
      <c r="AD278" s="105">
        <f t="shared" si="5"/>
        <v>1</v>
      </c>
    </row>
    <row r="279" spans="28:30" ht="18" customHeight="1" x14ac:dyDescent="0.25">
      <c r="AB279" s="116" t="s">
        <v>1153</v>
      </c>
      <c r="AC279" s="117">
        <v>3</v>
      </c>
      <c r="AD279" s="114">
        <f t="shared" si="5"/>
        <v>3</v>
      </c>
    </row>
    <row r="280" spans="28:30" ht="18" customHeight="1" x14ac:dyDescent="0.25">
      <c r="AB280" s="103" t="s">
        <v>339</v>
      </c>
      <c r="AC280" s="104">
        <v>2</v>
      </c>
      <c r="AD280" s="105">
        <f t="shared" si="5"/>
        <v>2</v>
      </c>
    </row>
    <row r="281" spans="28:30" ht="18" customHeight="1" x14ac:dyDescent="0.25">
      <c r="AB281" s="112" t="s">
        <v>1277</v>
      </c>
      <c r="AC281" s="113">
        <v>2</v>
      </c>
      <c r="AD281" s="114">
        <f t="shared" si="5"/>
        <v>2</v>
      </c>
    </row>
    <row r="282" spans="28:30" ht="18" customHeight="1" x14ac:dyDescent="0.25">
      <c r="AB282" s="122" t="s">
        <v>510</v>
      </c>
      <c r="AC282" s="104">
        <v>2</v>
      </c>
      <c r="AD282" s="105">
        <f t="shared" si="5"/>
        <v>2</v>
      </c>
    </row>
    <row r="283" spans="28:30" ht="18" customHeight="1" x14ac:dyDescent="0.25">
      <c r="AB283" s="112" t="s">
        <v>1278</v>
      </c>
      <c r="AC283" s="113">
        <v>2</v>
      </c>
      <c r="AD283" s="114">
        <f t="shared" si="5"/>
        <v>2</v>
      </c>
    </row>
    <row r="284" spans="28:30" ht="18" customHeight="1" x14ac:dyDescent="0.25">
      <c r="AB284" s="122" t="s">
        <v>1279</v>
      </c>
      <c r="AC284" s="104">
        <v>0</v>
      </c>
      <c r="AD284" s="105">
        <f t="shared" si="5"/>
        <v>0</v>
      </c>
    </row>
    <row r="285" spans="28:30" ht="18" customHeight="1" x14ac:dyDescent="0.25">
      <c r="AB285" s="112" t="s">
        <v>226</v>
      </c>
      <c r="AC285" s="113">
        <v>2</v>
      </c>
      <c r="AD285" s="114">
        <f t="shared" si="5"/>
        <v>2</v>
      </c>
    </row>
    <row r="286" spans="28:30" ht="18" customHeight="1" x14ac:dyDescent="0.25">
      <c r="AB286" s="103" t="s">
        <v>1280</v>
      </c>
      <c r="AC286" s="104">
        <v>2</v>
      </c>
      <c r="AD286" s="105">
        <f t="shared" si="5"/>
        <v>2</v>
      </c>
    </row>
    <row r="287" spans="28:30" ht="18" customHeight="1" x14ac:dyDescent="0.25">
      <c r="AB287" s="112" t="s">
        <v>222</v>
      </c>
      <c r="AC287" s="113">
        <v>3</v>
      </c>
      <c r="AD287" s="114">
        <f t="shared" si="5"/>
        <v>3</v>
      </c>
    </row>
    <row r="288" spans="28:30" ht="18" customHeight="1" x14ac:dyDescent="0.25">
      <c r="AB288" s="103" t="s">
        <v>1281</v>
      </c>
      <c r="AC288" s="104">
        <v>1</v>
      </c>
      <c r="AD288" s="105">
        <f t="shared" si="5"/>
        <v>1</v>
      </c>
    </row>
    <row r="289" spans="28:30" ht="18" customHeight="1" x14ac:dyDescent="0.25">
      <c r="AB289" s="112" t="s">
        <v>352</v>
      </c>
      <c r="AC289" s="113">
        <v>1</v>
      </c>
      <c r="AD289" s="114">
        <f t="shared" si="5"/>
        <v>1</v>
      </c>
    </row>
    <row r="290" spans="28:30" ht="18" customHeight="1" x14ac:dyDescent="0.25">
      <c r="AB290" s="103" t="s">
        <v>1282</v>
      </c>
      <c r="AC290" s="104">
        <v>0</v>
      </c>
      <c r="AD290" s="105">
        <f t="shared" si="5"/>
        <v>0</v>
      </c>
    </row>
    <row r="291" spans="28:30" ht="18" customHeight="1" x14ac:dyDescent="0.25">
      <c r="AB291" s="112" t="s">
        <v>267</v>
      </c>
      <c r="AC291" s="113">
        <v>999</v>
      </c>
      <c r="AD291" s="114">
        <f t="shared" si="5"/>
        <v>999</v>
      </c>
    </row>
    <row r="292" spans="28:30" ht="18" customHeight="1" x14ac:dyDescent="0.25">
      <c r="AB292" s="103" t="s">
        <v>272</v>
      </c>
      <c r="AC292" s="104">
        <v>100</v>
      </c>
      <c r="AD292" s="105">
        <f t="shared" si="5"/>
        <v>100</v>
      </c>
    </row>
    <row r="293" spans="28:30" ht="18" customHeight="1" x14ac:dyDescent="0.25">
      <c r="AB293" s="112" t="s">
        <v>364</v>
      </c>
      <c r="AC293" s="113">
        <v>1</v>
      </c>
      <c r="AD293" s="114">
        <f t="shared" si="5"/>
        <v>1</v>
      </c>
    </row>
    <row r="294" spans="28:30" ht="18" customHeight="1" x14ac:dyDescent="0.25">
      <c r="AB294" s="122" t="s">
        <v>1283</v>
      </c>
      <c r="AC294" s="119">
        <v>1</v>
      </c>
      <c r="AD294" s="105">
        <f t="shared" si="5"/>
        <v>1</v>
      </c>
    </row>
    <row r="295" spans="28:30" ht="18" customHeight="1" x14ac:dyDescent="0.25">
      <c r="AB295" s="112" t="s">
        <v>192</v>
      </c>
      <c r="AC295" s="113">
        <v>2</v>
      </c>
      <c r="AD295" s="114">
        <f t="shared" si="5"/>
        <v>2</v>
      </c>
    </row>
    <row r="296" spans="28:30" ht="18" customHeight="1" x14ac:dyDescent="0.25">
      <c r="AB296" s="103" t="s">
        <v>1284</v>
      </c>
      <c r="AC296" s="104">
        <v>0</v>
      </c>
      <c r="AD296" s="105">
        <f t="shared" si="5"/>
        <v>0</v>
      </c>
    </row>
    <row r="297" spans="28:30" ht="18" customHeight="1" x14ac:dyDescent="0.25">
      <c r="AB297" s="116" t="s">
        <v>448</v>
      </c>
      <c r="AC297" s="117">
        <v>10</v>
      </c>
      <c r="AD297" s="114">
        <f t="shared" si="5"/>
        <v>10</v>
      </c>
    </row>
    <row r="298" spans="28:30" ht="18" customHeight="1" x14ac:dyDescent="0.25">
      <c r="AB298" s="127" t="s">
        <v>1285</v>
      </c>
      <c r="AC298" s="104">
        <v>2</v>
      </c>
      <c r="AD298" s="105">
        <f t="shared" si="5"/>
        <v>2</v>
      </c>
    </row>
    <row r="299" spans="28:30" ht="18" customHeight="1" x14ac:dyDescent="0.25">
      <c r="AB299" s="116" t="s">
        <v>1154</v>
      </c>
      <c r="AC299" s="117">
        <v>0</v>
      </c>
      <c r="AD299" s="114">
        <f t="shared" si="5"/>
        <v>0</v>
      </c>
    </row>
    <row r="300" spans="28:30" ht="18" customHeight="1" x14ac:dyDescent="0.25">
      <c r="AB300" s="103" t="s">
        <v>179</v>
      </c>
      <c r="AC300" s="119">
        <v>2</v>
      </c>
      <c r="AD300" s="105">
        <f t="shared" si="5"/>
        <v>2</v>
      </c>
    </row>
    <row r="301" spans="28:30" ht="18" customHeight="1" x14ac:dyDescent="0.25">
      <c r="AB301" s="116" t="s">
        <v>1155</v>
      </c>
      <c r="AC301" s="117">
        <v>1</v>
      </c>
      <c r="AD301" s="114">
        <f t="shared" si="5"/>
        <v>1</v>
      </c>
    </row>
    <row r="302" spans="28:30" ht="18" customHeight="1" x14ac:dyDescent="0.25">
      <c r="AB302" s="122" t="s">
        <v>1156</v>
      </c>
      <c r="AC302" s="119">
        <v>2</v>
      </c>
      <c r="AD302" s="105">
        <f t="shared" si="5"/>
        <v>2</v>
      </c>
    </row>
    <row r="303" spans="28:30" ht="18" customHeight="1" x14ac:dyDescent="0.25">
      <c r="AB303" s="112" t="s">
        <v>253</v>
      </c>
      <c r="AC303" s="113">
        <v>1</v>
      </c>
      <c r="AD303" s="114">
        <f t="shared" si="5"/>
        <v>1</v>
      </c>
    </row>
    <row r="304" spans="28:30" ht="18" customHeight="1" x14ac:dyDescent="0.25">
      <c r="AB304" s="122" t="s">
        <v>1157</v>
      </c>
      <c r="AC304" s="119">
        <v>5</v>
      </c>
      <c r="AD304" s="105">
        <f t="shared" si="5"/>
        <v>5</v>
      </c>
    </row>
    <row r="305" spans="28:30" ht="18" customHeight="1" x14ac:dyDescent="0.25">
      <c r="AB305" s="112" t="s">
        <v>1286</v>
      </c>
      <c r="AC305" s="113">
        <v>1</v>
      </c>
      <c r="AD305" s="114">
        <f t="shared" si="5"/>
        <v>1</v>
      </c>
    </row>
    <row r="306" spans="28:30" ht="18" customHeight="1" x14ac:dyDescent="0.25">
      <c r="AB306" s="103" t="s">
        <v>197</v>
      </c>
      <c r="AC306" s="119">
        <v>5</v>
      </c>
      <c r="AD306" s="105">
        <f t="shared" si="5"/>
        <v>5</v>
      </c>
    </row>
    <row r="307" spans="28:30" ht="18" customHeight="1" x14ac:dyDescent="0.25">
      <c r="AB307" s="112" t="s">
        <v>564</v>
      </c>
      <c r="AC307" s="113">
        <v>1</v>
      </c>
      <c r="AD307" s="114">
        <f t="shared" si="5"/>
        <v>1</v>
      </c>
    </row>
    <row r="308" spans="28:30" ht="18" customHeight="1" x14ac:dyDescent="0.25">
      <c r="AB308" s="103" t="s">
        <v>1158</v>
      </c>
      <c r="AC308" s="119">
        <v>1</v>
      </c>
      <c r="AD308" s="105">
        <f t="shared" si="5"/>
        <v>1</v>
      </c>
    </row>
    <row r="309" spans="28:30" ht="18" customHeight="1" x14ac:dyDescent="0.25">
      <c r="AB309" s="112" t="s">
        <v>373</v>
      </c>
      <c r="AC309" s="113">
        <v>2</v>
      </c>
      <c r="AD309" s="114">
        <f t="shared" si="5"/>
        <v>2</v>
      </c>
    </row>
    <row r="310" spans="28:30" ht="18" customHeight="1" x14ac:dyDescent="0.25">
      <c r="AB310" s="122" t="s">
        <v>325</v>
      </c>
      <c r="AC310" s="119">
        <v>3</v>
      </c>
      <c r="AD310" s="105">
        <f t="shared" si="5"/>
        <v>3</v>
      </c>
    </row>
    <row r="311" spans="28:30" ht="18" customHeight="1" x14ac:dyDescent="0.25">
      <c r="AB311" s="112" t="s">
        <v>223</v>
      </c>
      <c r="AC311" s="113">
        <v>2</v>
      </c>
      <c r="AD311" s="114">
        <f t="shared" si="5"/>
        <v>2</v>
      </c>
    </row>
    <row r="312" spans="28:30" ht="18" customHeight="1" x14ac:dyDescent="0.25">
      <c r="AB312" s="122" t="s">
        <v>1159</v>
      </c>
      <c r="AC312" s="119">
        <v>3</v>
      </c>
      <c r="AD312" s="105">
        <f t="shared" si="5"/>
        <v>3</v>
      </c>
    </row>
    <row r="313" spans="28:30" ht="18" customHeight="1" x14ac:dyDescent="0.25">
      <c r="AB313" s="112" t="s">
        <v>201</v>
      </c>
      <c r="AC313" s="117">
        <v>1</v>
      </c>
      <c r="AD313" s="114">
        <f t="shared" si="5"/>
        <v>1</v>
      </c>
    </row>
    <row r="314" spans="28:30" ht="18" customHeight="1" x14ac:dyDescent="0.25">
      <c r="AB314" s="103" t="s">
        <v>1287</v>
      </c>
      <c r="AC314" s="104">
        <v>1</v>
      </c>
      <c r="AD314" s="105">
        <f t="shared" si="5"/>
        <v>1</v>
      </c>
    </row>
    <row r="315" spans="28:30" ht="18" customHeight="1" x14ac:dyDescent="0.25">
      <c r="AB315" s="112" t="s">
        <v>341</v>
      </c>
      <c r="AC315" s="113">
        <v>1</v>
      </c>
      <c r="AD315" s="114">
        <f t="shared" si="5"/>
        <v>1</v>
      </c>
    </row>
    <row r="316" spans="28:30" ht="18" customHeight="1" x14ac:dyDescent="0.25">
      <c r="AB316" s="103" t="s">
        <v>298</v>
      </c>
      <c r="AC316" s="104">
        <v>1</v>
      </c>
      <c r="AD316" s="105">
        <f t="shared" si="5"/>
        <v>1</v>
      </c>
    </row>
    <row r="317" spans="28:30" ht="18" customHeight="1" x14ac:dyDescent="0.25">
      <c r="AB317" s="112" t="s">
        <v>608</v>
      </c>
      <c r="AC317" s="117">
        <v>1</v>
      </c>
      <c r="AD317" s="114">
        <f t="shared" si="5"/>
        <v>1</v>
      </c>
    </row>
    <row r="318" spans="28:30" ht="18" customHeight="1" x14ac:dyDescent="0.25">
      <c r="AB318" s="103" t="s">
        <v>316</v>
      </c>
      <c r="AC318" s="104">
        <v>1</v>
      </c>
      <c r="AD318" s="105">
        <f t="shared" si="5"/>
        <v>1</v>
      </c>
    </row>
    <row r="319" spans="28:30" ht="18" customHeight="1" x14ac:dyDescent="0.25">
      <c r="AB319" s="112" t="s">
        <v>539</v>
      </c>
      <c r="AC319" s="113">
        <v>1</v>
      </c>
      <c r="AD319" s="114">
        <f t="shared" si="5"/>
        <v>1</v>
      </c>
    </row>
    <row r="320" spans="28:30" ht="18" customHeight="1" x14ac:dyDescent="0.25">
      <c r="AB320" s="103" t="s">
        <v>423</v>
      </c>
      <c r="AC320" s="119">
        <v>2</v>
      </c>
      <c r="AD320" s="105">
        <f t="shared" si="5"/>
        <v>2</v>
      </c>
    </row>
    <row r="321" spans="28:30" ht="18" customHeight="1" x14ac:dyDescent="0.25">
      <c r="AB321" s="112" t="s">
        <v>269</v>
      </c>
      <c r="AC321" s="113">
        <v>2</v>
      </c>
      <c r="AD321" s="114">
        <f t="shared" si="5"/>
        <v>2</v>
      </c>
    </row>
    <row r="322" spans="28:30" ht="18" customHeight="1" x14ac:dyDescent="0.25">
      <c r="AB322" s="123" t="s">
        <v>1288</v>
      </c>
      <c r="AC322" s="119">
        <v>1</v>
      </c>
      <c r="AD322" s="105">
        <f t="shared" si="5"/>
        <v>1</v>
      </c>
    </row>
    <row r="323" spans="28:30" ht="18" customHeight="1" x14ac:dyDescent="0.25">
      <c r="AB323" s="112" t="s">
        <v>1289</v>
      </c>
      <c r="AC323" s="113">
        <v>2</v>
      </c>
      <c r="AD323" s="114">
        <f t="shared" si="5"/>
        <v>2</v>
      </c>
    </row>
    <row r="324" spans="28:30" ht="18" customHeight="1" x14ac:dyDescent="0.25">
      <c r="AB324" s="103" t="s">
        <v>213</v>
      </c>
      <c r="AC324" s="104">
        <v>1</v>
      </c>
      <c r="AD324" s="105">
        <f t="shared" si="5"/>
        <v>1</v>
      </c>
    </row>
    <row r="325" spans="28:30" ht="18" customHeight="1" x14ac:dyDescent="0.25">
      <c r="AB325" s="116" t="s">
        <v>165</v>
      </c>
      <c r="AC325" s="117">
        <v>2</v>
      </c>
      <c r="AD325" s="114">
        <f t="shared" si="5"/>
        <v>2</v>
      </c>
    </row>
    <row r="326" spans="28:30" ht="18" customHeight="1" x14ac:dyDescent="0.25">
      <c r="AB326" s="122" t="s">
        <v>1290</v>
      </c>
      <c r="AC326" s="119">
        <v>0</v>
      </c>
      <c r="AD326" s="105">
        <f t="shared" si="5"/>
        <v>0</v>
      </c>
    </row>
    <row r="327" spans="28:30" ht="18" customHeight="1" x14ac:dyDescent="0.25">
      <c r="AB327" s="112" t="s">
        <v>295</v>
      </c>
      <c r="AC327" s="113">
        <v>500</v>
      </c>
      <c r="AD327" s="114">
        <f t="shared" si="5"/>
        <v>500</v>
      </c>
    </row>
    <row r="328" spans="28:30" ht="18" customHeight="1" x14ac:dyDescent="0.25">
      <c r="AB328" s="103" t="s">
        <v>123</v>
      </c>
      <c r="AC328" s="104">
        <v>500</v>
      </c>
      <c r="AD328" s="105">
        <f t="shared" si="5"/>
        <v>500</v>
      </c>
    </row>
    <row r="329" spans="28:30" ht="18" customHeight="1" x14ac:dyDescent="0.25">
      <c r="AB329" s="112" t="s">
        <v>1291</v>
      </c>
      <c r="AC329" s="113">
        <v>3</v>
      </c>
      <c r="AD329" s="114">
        <f t="shared" si="5"/>
        <v>3</v>
      </c>
    </row>
    <row r="330" spans="28:30" ht="18" customHeight="1" x14ac:dyDescent="0.25">
      <c r="AB330" s="103" t="s">
        <v>1292</v>
      </c>
      <c r="AC330" s="104">
        <v>1</v>
      </c>
      <c r="AD330" s="105">
        <f t="shared" si="5"/>
        <v>1</v>
      </c>
    </row>
    <row r="331" spans="28:30" ht="18" customHeight="1" x14ac:dyDescent="0.25">
      <c r="AB331" s="112" t="s">
        <v>379</v>
      </c>
      <c r="AC331" s="113">
        <v>130</v>
      </c>
      <c r="AD331" s="114">
        <f t="shared" si="5"/>
        <v>130</v>
      </c>
    </row>
    <row r="332" spans="28:30" ht="18" customHeight="1" x14ac:dyDescent="0.25">
      <c r="AB332" s="103" t="s">
        <v>378</v>
      </c>
      <c r="AC332" s="104">
        <v>15</v>
      </c>
      <c r="AD332" s="105">
        <f t="shared" si="5"/>
        <v>15</v>
      </c>
    </row>
    <row r="333" spans="28:30" ht="18" customHeight="1" x14ac:dyDescent="0.25">
      <c r="AB333" s="112" t="s">
        <v>392</v>
      </c>
      <c r="AC333" s="113">
        <v>12</v>
      </c>
      <c r="AD333" s="114">
        <f t="shared" si="5"/>
        <v>12</v>
      </c>
    </row>
    <row r="334" spans="28:30" ht="18" customHeight="1" x14ac:dyDescent="0.25">
      <c r="AB334" s="103" t="s">
        <v>1293</v>
      </c>
      <c r="AC334" s="104">
        <v>1</v>
      </c>
      <c r="AD334" s="105">
        <f t="shared" si="5"/>
        <v>1</v>
      </c>
    </row>
    <row r="335" spans="28:30" ht="18" customHeight="1" x14ac:dyDescent="0.25">
      <c r="AB335" s="112" t="s">
        <v>1294</v>
      </c>
      <c r="AC335" s="113">
        <v>1</v>
      </c>
      <c r="AD335" s="114">
        <f t="shared" si="5"/>
        <v>1</v>
      </c>
    </row>
    <row r="336" spans="28:30" ht="18" customHeight="1" x14ac:dyDescent="0.25">
      <c r="AB336" s="103" t="s">
        <v>417</v>
      </c>
      <c r="AC336" s="104">
        <v>4</v>
      </c>
      <c r="AD336" s="105">
        <f t="shared" si="5"/>
        <v>4</v>
      </c>
    </row>
    <row r="337" spans="28:30" ht="18" customHeight="1" x14ac:dyDescent="0.25">
      <c r="AB337" s="112" t="s">
        <v>399</v>
      </c>
      <c r="AC337" s="113">
        <v>3</v>
      </c>
      <c r="AD337" s="114">
        <f t="shared" si="5"/>
        <v>3</v>
      </c>
    </row>
    <row r="338" spans="28:30" ht="18" customHeight="1" x14ac:dyDescent="0.25">
      <c r="AB338" s="103" t="s">
        <v>1295</v>
      </c>
      <c r="AC338" s="104">
        <v>1</v>
      </c>
      <c r="AD338" s="105">
        <f t="shared" si="5"/>
        <v>1</v>
      </c>
    </row>
    <row r="339" spans="28:30" ht="18" customHeight="1" x14ac:dyDescent="0.25">
      <c r="AB339" s="112" t="s">
        <v>1296</v>
      </c>
      <c r="AC339" s="113">
        <v>1</v>
      </c>
      <c r="AD339" s="114">
        <f t="shared" si="5"/>
        <v>1</v>
      </c>
    </row>
    <row r="340" spans="28:30" ht="18" customHeight="1" x14ac:dyDescent="0.25">
      <c r="AB340" s="103" t="s">
        <v>1297</v>
      </c>
      <c r="AC340" s="104">
        <v>1</v>
      </c>
      <c r="AD340" s="105">
        <f t="shared" si="5"/>
        <v>1</v>
      </c>
    </row>
    <row r="341" spans="28:30" ht="18" customHeight="1" x14ac:dyDescent="0.25">
      <c r="AB341" s="112" t="s">
        <v>375</v>
      </c>
      <c r="AC341" s="113">
        <v>1</v>
      </c>
      <c r="AD341" s="114">
        <f t="shared" si="5"/>
        <v>1</v>
      </c>
    </row>
    <row r="342" spans="28:30" ht="18" customHeight="1" x14ac:dyDescent="0.25">
      <c r="AB342" s="103" t="s">
        <v>381</v>
      </c>
      <c r="AC342" s="104">
        <v>2</v>
      </c>
      <c r="AD342" s="105">
        <f t="shared" si="5"/>
        <v>2</v>
      </c>
    </row>
    <row r="343" spans="28:30" ht="18" customHeight="1" x14ac:dyDescent="0.25">
      <c r="AB343" s="112" t="s">
        <v>1298</v>
      </c>
      <c r="AC343" s="113">
        <v>2</v>
      </c>
      <c r="AD343" s="114">
        <f t="shared" si="5"/>
        <v>2</v>
      </c>
    </row>
    <row r="344" spans="28:30" ht="18" customHeight="1" x14ac:dyDescent="0.25">
      <c r="AB344" s="103" t="s">
        <v>1299</v>
      </c>
      <c r="AC344" s="104">
        <v>4</v>
      </c>
      <c r="AD344" s="105">
        <f t="shared" si="5"/>
        <v>4</v>
      </c>
    </row>
    <row r="345" spans="28:30" ht="18" customHeight="1" x14ac:dyDescent="0.25">
      <c r="AB345" s="112" t="s">
        <v>1300</v>
      </c>
      <c r="AC345" s="113">
        <v>1</v>
      </c>
      <c r="AD345" s="114">
        <f t="shared" si="5"/>
        <v>1</v>
      </c>
    </row>
    <row r="346" spans="28:30" ht="18" customHeight="1" x14ac:dyDescent="0.25">
      <c r="AB346" s="103" t="s">
        <v>1301</v>
      </c>
      <c r="AC346" s="104">
        <v>1</v>
      </c>
      <c r="AD346" s="105">
        <f t="shared" si="5"/>
        <v>1</v>
      </c>
    </row>
    <row r="347" spans="28:30" ht="18" customHeight="1" x14ac:dyDescent="0.25">
      <c r="AB347" s="112" t="s">
        <v>1302</v>
      </c>
      <c r="AC347" s="113">
        <v>1</v>
      </c>
      <c r="AD347" s="114">
        <f t="shared" si="5"/>
        <v>1</v>
      </c>
    </row>
    <row r="348" spans="28:30" ht="18" customHeight="1" x14ac:dyDescent="0.25">
      <c r="AB348" s="103" t="s">
        <v>398</v>
      </c>
      <c r="AC348" s="104">
        <v>1</v>
      </c>
      <c r="AD348" s="105">
        <f t="shared" si="5"/>
        <v>1</v>
      </c>
    </row>
    <row r="349" spans="28:30" ht="18" customHeight="1" x14ac:dyDescent="0.25">
      <c r="AB349" s="112" t="s">
        <v>441</v>
      </c>
      <c r="AC349" s="113">
        <v>1</v>
      </c>
      <c r="AD349" s="114">
        <f t="shared" si="5"/>
        <v>1</v>
      </c>
    </row>
    <row r="350" spans="28:30" ht="18" customHeight="1" x14ac:dyDescent="0.25">
      <c r="AB350" s="103" t="s">
        <v>389</v>
      </c>
      <c r="AC350" s="104">
        <v>100</v>
      </c>
      <c r="AD350" s="105">
        <f t="shared" si="5"/>
        <v>100</v>
      </c>
    </row>
    <row r="351" spans="28:30" ht="18" customHeight="1" x14ac:dyDescent="0.25">
      <c r="AB351" s="112" t="s">
        <v>673</v>
      </c>
      <c r="AC351" s="113">
        <v>4</v>
      </c>
      <c r="AD351" s="114">
        <f t="shared" si="5"/>
        <v>4</v>
      </c>
    </row>
    <row r="352" spans="28:30" ht="18" customHeight="1" x14ac:dyDescent="0.25">
      <c r="AB352" s="103" t="s">
        <v>387</v>
      </c>
      <c r="AC352" s="104">
        <v>10</v>
      </c>
      <c r="AD352" s="105">
        <f t="shared" si="5"/>
        <v>10</v>
      </c>
    </row>
    <row r="353" spans="28:30" ht="18" customHeight="1" x14ac:dyDescent="0.25">
      <c r="AB353" s="112" t="s">
        <v>390</v>
      </c>
      <c r="AC353" s="113">
        <v>1</v>
      </c>
      <c r="AD353" s="114">
        <f t="shared" si="5"/>
        <v>1</v>
      </c>
    </row>
    <row r="354" spans="28:30" ht="18" customHeight="1" x14ac:dyDescent="0.25">
      <c r="AB354" s="103" t="s">
        <v>542</v>
      </c>
      <c r="AC354" s="104">
        <v>1</v>
      </c>
      <c r="AD354" s="105">
        <f t="shared" si="5"/>
        <v>1</v>
      </c>
    </row>
    <row r="355" spans="28:30" ht="18" customHeight="1" x14ac:dyDescent="0.25">
      <c r="AB355" s="128" t="s">
        <v>443</v>
      </c>
      <c r="AC355" s="113">
        <v>50</v>
      </c>
      <c r="AD355" s="114">
        <f t="shared" si="5"/>
        <v>50</v>
      </c>
    </row>
    <row r="356" spans="28:30" ht="18" customHeight="1" x14ac:dyDescent="0.25">
      <c r="AB356" s="103" t="s">
        <v>410</v>
      </c>
      <c r="AC356" s="104">
        <v>70</v>
      </c>
      <c r="AD356" s="105">
        <f t="shared" si="5"/>
        <v>70</v>
      </c>
    </row>
    <row r="357" spans="28:30" ht="18" customHeight="1" x14ac:dyDescent="0.25">
      <c r="AB357" s="112" t="s">
        <v>394</v>
      </c>
      <c r="AC357" s="113">
        <v>1</v>
      </c>
      <c r="AD357" s="114">
        <f t="shared" si="5"/>
        <v>1</v>
      </c>
    </row>
    <row r="358" spans="28:30" ht="18" customHeight="1" x14ac:dyDescent="0.25">
      <c r="AB358" s="103" t="s">
        <v>396</v>
      </c>
      <c r="AC358" s="104">
        <v>1</v>
      </c>
      <c r="AD358" s="105">
        <f t="shared" si="5"/>
        <v>1</v>
      </c>
    </row>
    <row r="359" spans="28:30" ht="18" customHeight="1" x14ac:dyDescent="0.25">
      <c r="AB359" s="112" t="s">
        <v>649</v>
      </c>
      <c r="AC359" s="113">
        <v>5</v>
      </c>
      <c r="AD359" s="114">
        <f t="shared" si="5"/>
        <v>5</v>
      </c>
    </row>
    <row r="360" spans="28:30" ht="18" customHeight="1" x14ac:dyDescent="0.25">
      <c r="AB360" s="103" t="s">
        <v>402</v>
      </c>
      <c r="AC360" s="104">
        <v>1</v>
      </c>
      <c r="AD360" s="105">
        <f t="shared" si="5"/>
        <v>1</v>
      </c>
    </row>
    <row r="361" spans="28:30" ht="18" customHeight="1" x14ac:dyDescent="0.25">
      <c r="AB361" s="112" t="s">
        <v>403</v>
      </c>
      <c r="AC361" s="113">
        <v>1</v>
      </c>
      <c r="AD361" s="114">
        <f t="shared" si="5"/>
        <v>1</v>
      </c>
    </row>
    <row r="362" spans="28:30" ht="18" customHeight="1" x14ac:dyDescent="0.25">
      <c r="AB362" s="103" t="s">
        <v>404</v>
      </c>
      <c r="AC362" s="104">
        <v>2</v>
      </c>
      <c r="AD362" s="105">
        <f t="shared" si="5"/>
        <v>2</v>
      </c>
    </row>
    <row r="363" spans="28:30" ht="18" customHeight="1" x14ac:dyDescent="0.25">
      <c r="AB363" s="112" t="s">
        <v>491</v>
      </c>
      <c r="AC363" s="113">
        <v>10</v>
      </c>
      <c r="AD363" s="114">
        <f t="shared" si="5"/>
        <v>10</v>
      </c>
    </row>
    <row r="364" spans="28:30" ht="18" customHeight="1" x14ac:dyDescent="0.25">
      <c r="AB364" s="103" t="s">
        <v>413</v>
      </c>
      <c r="AC364" s="104">
        <v>3</v>
      </c>
      <c r="AD364" s="105">
        <f t="shared" si="5"/>
        <v>3</v>
      </c>
    </row>
    <row r="365" spans="28:30" ht="18" customHeight="1" x14ac:dyDescent="0.25">
      <c r="AB365" s="112" t="s">
        <v>414</v>
      </c>
      <c r="AC365" s="113">
        <v>4</v>
      </c>
      <c r="AD365" s="114">
        <f t="shared" si="5"/>
        <v>4</v>
      </c>
    </row>
    <row r="366" spans="28:30" ht="18" customHeight="1" x14ac:dyDescent="0.25">
      <c r="AB366" s="103" t="s">
        <v>476</v>
      </c>
      <c r="AC366" s="104">
        <v>2</v>
      </c>
      <c r="AD366" s="105">
        <f t="shared" si="5"/>
        <v>2</v>
      </c>
    </row>
    <row r="367" spans="28:30" ht="18" customHeight="1" x14ac:dyDescent="0.25">
      <c r="AB367" s="112" t="s">
        <v>415</v>
      </c>
      <c r="AC367" s="113">
        <v>4</v>
      </c>
      <c r="AD367" s="114">
        <f t="shared" si="5"/>
        <v>4</v>
      </c>
    </row>
    <row r="368" spans="28:30" ht="18" customHeight="1" x14ac:dyDescent="0.25">
      <c r="AB368" s="103" t="s">
        <v>1303</v>
      </c>
      <c r="AC368" s="104">
        <v>4</v>
      </c>
      <c r="AD368" s="105">
        <f t="shared" si="5"/>
        <v>4</v>
      </c>
    </row>
    <row r="369" spans="28:30" ht="18" customHeight="1" x14ac:dyDescent="0.25">
      <c r="AB369" s="112" t="s">
        <v>418</v>
      </c>
      <c r="AC369" s="113">
        <v>1</v>
      </c>
      <c r="AD369" s="114">
        <f t="shared" si="5"/>
        <v>1</v>
      </c>
    </row>
    <row r="370" spans="28:30" ht="18" customHeight="1" x14ac:dyDescent="0.25">
      <c r="AB370" s="103" t="s">
        <v>425</v>
      </c>
      <c r="AC370" s="104">
        <v>3</v>
      </c>
      <c r="AD370" s="105">
        <f t="shared" si="5"/>
        <v>3</v>
      </c>
    </row>
    <row r="371" spans="28:30" ht="18" customHeight="1" x14ac:dyDescent="0.25">
      <c r="AB371" s="112" t="s">
        <v>427</v>
      </c>
      <c r="AC371" s="113">
        <v>1</v>
      </c>
      <c r="AD371" s="114">
        <f t="shared" si="5"/>
        <v>1</v>
      </c>
    </row>
    <row r="372" spans="28:30" ht="18" customHeight="1" x14ac:dyDescent="0.25">
      <c r="AB372" s="103" t="s">
        <v>429</v>
      </c>
      <c r="AC372" s="104">
        <v>1</v>
      </c>
      <c r="AD372" s="105">
        <f t="shared" si="5"/>
        <v>1</v>
      </c>
    </row>
    <row r="373" spans="28:30" ht="18" customHeight="1" x14ac:dyDescent="0.25">
      <c r="AB373" s="112" t="s">
        <v>431</v>
      </c>
      <c r="AC373" s="113">
        <v>99</v>
      </c>
      <c r="AD373" s="114">
        <f t="shared" si="5"/>
        <v>99</v>
      </c>
    </row>
    <row r="374" spans="28:30" ht="18" customHeight="1" x14ac:dyDescent="0.25">
      <c r="AB374" s="103" t="s">
        <v>432</v>
      </c>
      <c r="AC374" s="104">
        <v>1</v>
      </c>
      <c r="AD374" s="105">
        <f t="shared" si="5"/>
        <v>1</v>
      </c>
    </row>
    <row r="375" spans="28:30" ht="18" customHeight="1" x14ac:dyDescent="0.25">
      <c r="AB375" s="112" t="s">
        <v>433</v>
      </c>
      <c r="AC375" s="113">
        <v>1</v>
      </c>
      <c r="AD375" s="114">
        <f t="shared" si="5"/>
        <v>1</v>
      </c>
    </row>
    <row r="376" spans="28:30" ht="18" customHeight="1" x14ac:dyDescent="0.25">
      <c r="AB376" s="103" t="s">
        <v>440</v>
      </c>
      <c r="AC376" s="104">
        <v>1</v>
      </c>
      <c r="AD376" s="105">
        <f t="shared" si="5"/>
        <v>1</v>
      </c>
    </row>
    <row r="377" spans="28:30" ht="18" customHeight="1" x14ac:dyDescent="0.25">
      <c r="AB377" s="112" t="s">
        <v>1304</v>
      </c>
      <c r="AC377" s="113">
        <v>1</v>
      </c>
      <c r="AD377" s="114">
        <f t="shared" si="5"/>
        <v>1</v>
      </c>
    </row>
    <row r="378" spans="28:30" ht="18" customHeight="1" x14ac:dyDescent="0.25">
      <c r="AB378" s="103" t="s">
        <v>1305</v>
      </c>
      <c r="AC378" s="104">
        <v>99</v>
      </c>
      <c r="AD378" s="105">
        <f t="shared" si="5"/>
        <v>99</v>
      </c>
    </row>
    <row r="379" spans="28:30" ht="18" customHeight="1" x14ac:dyDescent="0.25">
      <c r="AB379" s="112" t="s">
        <v>1306</v>
      </c>
      <c r="AC379" s="113">
        <v>1</v>
      </c>
      <c r="AD379" s="114">
        <f t="shared" si="5"/>
        <v>1</v>
      </c>
    </row>
    <row r="380" spans="28:30" ht="18" customHeight="1" x14ac:dyDescent="0.25">
      <c r="AB380" s="103" t="s">
        <v>456</v>
      </c>
      <c r="AC380" s="104">
        <v>12</v>
      </c>
      <c r="AD380" s="105">
        <f t="shared" si="5"/>
        <v>12</v>
      </c>
    </row>
    <row r="381" spans="28:30" ht="18" customHeight="1" x14ac:dyDescent="0.25">
      <c r="AB381" s="112" t="s">
        <v>458</v>
      </c>
      <c r="AC381" s="113">
        <v>1</v>
      </c>
      <c r="AD381" s="114">
        <f t="shared" si="5"/>
        <v>1</v>
      </c>
    </row>
    <row r="382" spans="28:30" ht="18" customHeight="1" x14ac:dyDescent="0.25">
      <c r="AB382" s="103" t="s">
        <v>459</v>
      </c>
      <c r="AC382" s="104">
        <v>2</v>
      </c>
      <c r="AD382" s="105">
        <f t="shared" si="5"/>
        <v>2</v>
      </c>
    </row>
    <row r="383" spans="28:30" ht="18" customHeight="1" x14ac:dyDescent="0.25">
      <c r="AB383" s="112" t="s">
        <v>460</v>
      </c>
      <c r="AC383" s="113">
        <v>1</v>
      </c>
      <c r="AD383" s="114">
        <f t="shared" si="5"/>
        <v>1</v>
      </c>
    </row>
    <row r="384" spans="28:30" ht="18" customHeight="1" x14ac:dyDescent="0.25">
      <c r="AB384" s="103" t="s">
        <v>462</v>
      </c>
      <c r="AC384" s="104">
        <v>2</v>
      </c>
      <c r="AD384" s="105">
        <f t="shared" si="5"/>
        <v>2</v>
      </c>
    </row>
    <row r="385" spans="28:30" ht="18" customHeight="1" x14ac:dyDescent="0.25">
      <c r="AB385" s="112" t="s">
        <v>1307</v>
      </c>
      <c r="AC385" s="113">
        <v>1</v>
      </c>
      <c r="AD385" s="114">
        <f t="shared" si="5"/>
        <v>1</v>
      </c>
    </row>
    <row r="386" spans="28:30" ht="18" customHeight="1" x14ac:dyDescent="0.25">
      <c r="AB386" s="103" t="s">
        <v>465</v>
      </c>
      <c r="AC386" s="104">
        <v>1</v>
      </c>
      <c r="AD386" s="105">
        <f t="shared" si="5"/>
        <v>1</v>
      </c>
    </row>
    <row r="387" spans="28:30" ht="18" customHeight="1" x14ac:dyDescent="0.25">
      <c r="AB387" s="112" t="s">
        <v>525</v>
      </c>
      <c r="AC387" s="113">
        <v>1</v>
      </c>
      <c r="AD387" s="114">
        <f t="shared" si="5"/>
        <v>1</v>
      </c>
    </row>
    <row r="388" spans="28:30" ht="18" customHeight="1" x14ac:dyDescent="0.25">
      <c r="AB388" s="103" t="s">
        <v>468</v>
      </c>
      <c r="AC388" s="104">
        <v>1</v>
      </c>
      <c r="AD388" s="105">
        <f t="shared" si="5"/>
        <v>1</v>
      </c>
    </row>
    <row r="389" spans="28:30" ht="18" customHeight="1" x14ac:dyDescent="0.25">
      <c r="AB389" s="112" t="s">
        <v>480</v>
      </c>
      <c r="AC389" s="113">
        <v>104</v>
      </c>
      <c r="AD389" s="114">
        <f t="shared" si="5"/>
        <v>104</v>
      </c>
    </row>
    <row r="390" spans="28:30" ht="18" customHeight="1" x14ac:dyDescent="0.25">
      <c r="AB390" s="103" t="s">
        <v>475</v>
      </c>
      <c r="AC390" s="104">
        <v>2</v>
      </c>
      <c r="AD390" s="105">
        <f t="shared" si="5"/>
        <v>2</v>
      </c>
    </row>
    <row r="391" spans="28:30" ht="18" customHeight="1" x14ac:dyDescent="0.25">
      <c r="AB391" s="112" t="s">
        <v>475</v>
      </c>
      <c r="AC391" s="113">
        <v>1</v>
      </c>
      <c r="AD391" s="114">
        <f t="shared" si="5"/>
        <v>1</v>
      </c>
    </row>
    <row r="392" spans="28:30" ht="18" customHeight="1" x14ac:dyDescent="0.25">
      <c r="AB392" s="103" t="s">
        <v>495</v>
      </c>
      <c r="AC392" s="104">
        <v>80</v>
      </c>
      <c r="AD392" s="105">
        <f t="shared" si="5"/>
        <v>80</v>
      </c>
    </row>
    <row r="393" spans="28:30" ht="18" customHeight="1" x14ac:dyDescent="0.25">
      <c r="AB393" s="112" t="s">
        <v>494</v>
      </c>
      <c r="AC393" s="113">
        <v>1</v>
      </c>
      <c r="AD393" s="114">
        <f t="shared" si="5"/>
        <v>1</v>
      </c>
    </row>
    <row r="394" spans="28:30" ht="18" customHeight="1" x14ac:dyDescent="0.25">
      <c r="AB394" s="103" t="s">
        <v>1308</v>
      </c>
      <c r="AC394" s="104">
        <v>2</v>
      </c>
      <c r="AD394" s="105">
        <f t="shared" si="5"/>
        <v>2</v>
      </c>
    </row>
    <row r="395" spans="28:30" ht="18" customHeight="1" x14ac:dyDescent="0.25">
      <c r="AB395" s="112" t="s">
        <v>501</v>
      </c>
      <c r="AC395" s="113">
        <v>1</v>
      </c>
      <c r="AD395" s="114">
        <f t="shared" si="5"/>
        <v>1</v>
      </c>
    </row>
    <row r="396" spans="28:30" ht="18" customHeight="1" x14ac:dyDescent="0.25">
      <c r="AB396" s="103" t="s">
        <v>1309</v>
      </c>
      <c r="AC396" s="104">
        <v>1</v>
      </c>
      <c r="AD396" s="105">
        <f t="shared" si="5"/>
        <v>1</v>
      </c>
    </row>
    <row r="397" spans="28:30" ht="18" customHeight="1" x14ac:dyDescent="0.25">
      <c r="AB397" s="112" t="s">
        <v>484</v>
      </c>
      <c r="AC397" s="113">
        <v>1</v>
      </c>
      <c r="AD397" s="114">
        <f t="shared" si="5"/>
        <v>1</v>
      </c>
    </row>
    <row r="398" spans="28:30" ht="18" customHeight="1" x14ac:dyDescent="0.25">
      <c r="AB398" s="103" t="s">
        <v>500</v>
      </c>
      <c r="AC398" s="104">
        <v>1</v>
      </c>
      <c r="AD398" s="105">
        <f t="shared" si="5"/>
        <v>1</v>
      </c>
    </row>
    <row r="399" spans="28:30" ht="18" customHeight="1" x14ac:dyDescent="0.25">
      <c r="AB399" s="112" t="s">
        <v>486</v>
      </c>
      <c r="AC399" s="113">
        <v>3</v>
      </c>
      <c r="AD399" s="114">
        <f t="shared" si="5"/>
        <v>3</v>
      </c>
    </row>
    <row r="400" spans="28:30" ht="18" customHeight="1" x14ac:dyDescent="0.25">
      <c r="AB400" s="103" t="s">
        <v>488</v>
      </c>
      <c r="AC400" s="104">
        <v>1</v>
      </c>
      <c r="AD400" s="105">
        <f t="shared" si="5"/>
        <v>1</v>
      </c>
    </row>
    <row r="401" spans="28:30" ht="18" customHeight="1" x14ac:dyDescent="0.25">
      <c r="AB401" s="112" t="s">
        <v>505</v>
      </c>
      <c r="AC401" s="113">
        <v>1</v>
      </c>
      <c r="AD401" s="114">
        <f t="shared" si="5"/>
        <v>1</v>
      </c>
    </row>
    <row r="402" spans="28:30" ht="18" customHeight="1" x14ac:dyDescent="0.25">
      <c r="AB402" s="103" t="s">
        <v>506</v>
      </c>
      <c r="AC402" s="104">
        <v>1</v>
      </c>
      <c r="AD402" s="105">
        <f t="shared" si="5"/>
        <v>1</v>
      </c>
    </row>
    <row r="403" spans="28:30" ht="18" customHeight="1" x14ac:dyDescent="0.25">
      <c r="AB403" s="112" t="s">
        <v>516</v>
      </c>
      <c r="AC403" s="113">
        <v>2</v>
      </c>
      <c r="AD403" s="114">
        <f t="shared" si="5"/>
        <v>2</v>
      </c>
    </row>
    <row r="404" spans="28:30" ht="18" customHeight="1" x14ac:dyDescent="0.25">
      <c r="AB404" s="103" t="s">
        <v>520</v>
      </c>
      <c r="AC404" s="104">
        <v>4</v>
      </c>
      <c r="AD404" s="105">
        <f t="shared" si="5"/>
        <v>4</v>
      </c>
    </row>
    <row r="405" spans="28:30" ht="18" customHeight="1" x14ac:dyDescent="0.25">
      <c r="AB405" s="112" t="s">
        <v>532</v>
      </c>
      <c r="AC405" s="113">
        <v>1</v>
      </c>
      <c r="AD405" s="114">
        <f t="shared" si="5"/>
        <v>1</v>
      </c>
    </row>
    <row r="406" spans="28:30" ht="18" customHeight="1" x14ac:dyDescent="0.25">
      <c r="AB406" s="103" t="s">
        <v>558</v>
      </c>
      <c r="AC406" s="104">
        <v>1</v>
      </c>
      <c r="AD406" s="105">
        <f t="shared" si="5"/>
        <v>1</v>
      </c>
    </row>
    <row r="407" spans="28:30" ht="18" customHeight="1" x14ac:dyDescent="0.25">
      <c r="AB407" s="112" t="s">
        <v>522</v>
      </c>
      <c r="AC407" s="113">
        <v>3</v>
      </c>
      <c r="AD407" s="114">
        <f t="shared" si="5"/>
        <v>3</v>
      </c>
    </row>
    <row r="408" spans="28:30" ht="18" customHeight="1" x14ac:dyDescent="0.25">
      <c r="AB408" s="103" t="s">
        <v>521</v>
      </c>
      <c r="AC408" s="104">
        <v>1</v>
      </c>
      <c r="AD408" s="105">
        <f t="shared" si="5"/>
        <v>1</v>
      </c>
    </row>
    <row r="409" spans="28:30" ht="18" customHeight="1" x14ac:dyDescent="0.25">
      <c r="AB409" s="112" t="s">
        <v>527</v>
      </c>
      <c r="AC409" s="113">
        <v>1</v>
      </c>
      <c r="AD409" s="114">
        <f t="shared" si="5"/>
        <v>1</v>
      </c>
    </row>
    <row r="410" spans="28:30" ht="18" customHeight="1" x14ac:dyDescent="0.25">
      <c r="AB410" s="103" t="s">
        <v>528</v>
      </c>
      <c r="AC410" s="104">
        <v>1</v>
      </c>
      <c r="AD410" s="105">
        <f t="shared" si="5"/>
        <v>1</v>
      </c>
    </row>
    <row r="411" spans="28:30" ht="18" customHeight="1" x14ac:dyDescent="0.25">
      <c r="AB411" s="112" t="s">
        <v>609</v>
      </c>
      <c r="AC411" s="113">
        <v>3</v>
      </c>
      <c r="AD411" s="114">
        <f t="shared" si="5"/>
        <v>3</v>
      </c>
    </row>
    <row r="412" spans="28:30" ht="18" customHeight="1" x14ac:dyDescent="0.25">
      <c r="AB412" s="103" t="s">
        <v>1310</v>
      </c>
      <c r="AC412" s="104">
        <v>2</v>
      </c>
      <c r="AD412" s="105">
        <f t="shared" si="5"/>
        <v>2</v>
      </c>
    </row>
    <row r="413" spans="28:30" ht="18" customHeight="1" x14ac:dyDescent="0.25">
      <c r="AB413" s="112" t="s">
        <v>1311</v>
      </c>
      <c r="AC413" s="113">
        <v>1</v>
      </c>
      <c r="AD413" s="114">
        <f t="shared" si="5"/>
        <v>1</v>
      </c>
    </row>
    <row r="414" spans="28:30" ht="18" customHeight="1" x14ac:dyDescent="0.25">
      <c r="AB414" s="103" t="s">
        <v>1312</v>
      </c>
      <c r="AC414" s="104">
        <v>2</v>
      </c>
      <c r="AD414" s="105">
        <f t="shared" si="5"/>
        <v>2</v>
      </c>
    </row>
    <row r="415" spans="28:30" ht="18" customHeight="1" x14ac:dyDescent="0.25">
      <c r="AB415" s="112" t="s">
        <v>570</v>
      </c>
      <c r="AC415" s="113">
        <v>1</v>
      </c>
      <c r="AD415" s="114">
        <f t="shared" si="5"/>
        <v>1</v>
      </c>
    </row>
    <row r="416" spans="28:30" ht="18" customHeight="1" x14ac:dyDescent="0.25">
      <c r="AB416" s="103" t="s">
        <v>554</v>
      </c>
      <c r="AC416" s="104">
        <v>1</v>
      </c>
      <c r="AD416" s="105">
        <f t="shared" si="5"/>
        <v>1</v>
      </c>
    </row>
    <row r="417" spans="28:30" ht="18" customHeight="1" x14ac:dyDescent="0.25">
      <c r="AB417" s="112" t="s">
        <v>537</v>
      </c>
      <c r="AC417" s="113">
        <v>1</v>
      </c>
      <c r="AD417" s="114">
        <f t="shared" si="5"/>
        <v>1</v>
      </c>
    </row>
    <row r="418" spans="28:30" ht="18" customHeight="1" x14ac:dyDescent="0.25">
      <c r="AB418" s="103" t="s">
        <v>1313</v>
      </c>
      <c r="AC418" s="104">
        <v>1</v>
      </c>
      <c r="AD418" s="105">
        <f t="shared" si="5"/>
        <v>1</v>
      </c>
    </row>
    <row r="419" spans="28:30" ht="18" customHeight="1" x14ac:dyDescent="0.25">
      <c r="AB419" s="112" t="s">
        <v>546</v>
      </c>
      <c r="AC419" s="113">
        <v>2</v>
      </c>
      <c r="AD419" s="114">
        <f t="shared" si="5"/>
        <v>2</v>
      </c>
    </row>
    <row r="420" spans="28:30" ht="18" customHeight="1" x14ac:dyDescent="0.25">
      <c r="AB420" s="103" t="s">
        <v>541</v>
      </c>
      <c r="AC420" s="104">
        <v>1</v>
      </c>
      <c r="AD420" s="105">
        <f t="shared" si="5"/>
        <v>1</v>
      </c>
    </row>
    <row r="421" spans="28:30" ht="18" customHeight="1" x14ac:dyDescent="0.25">
      <c r="AB421" s="112" t="s">
        <v>555</v>
      </c>
      <c r="AC421" s="113">
        <v>2</v>
      </c>
      <c r="AD421" s="114">
        <f t="shared" si="5"/>
        <v>2</v>
      </c>
    </row>
    <row r="422" spans="28:30" ht="18" customHeight="1" x14ac:dyDescent="0.25">
      <c r="AB422" s="103" t="s">
        <v>1314</v>
      </c>
      <c r="AC422" s="104">
        <v>1</v>
      </c>
      <c r="AD422" s="105">
        <f t="shared" si="5"/>
        <v>1</v>
      </c>
    </row>
    <row r="423" spans="28:30" ht="18" customHeight="1" x14ac:dyDescent="0.25">
      <c r="AB423" s="112" t="s">
        <v>544</v>
      </c>
      <c r="AC423" s="113">
        <v>1</v>
      </c>
      <c r="AD423" s="114">
        <f t="shared" si="5"/>
        <v>1</v>
      </c>
    </row>
    <row r="424" spans="28:30" ht="18" customHeight="1" x14ac:dyDescent="0.25">
      <c r="AB424" s="103" t="s">
        <v>543</v>
      </c>
      <c r="AC424" s="104">
        <v>1</v>
      </c>
      <c r="AD424" s="105">
        <f t="shared" si="5"/>
        <v>1</v>
      </c>
    </row>
    <row r="425" spans="28:30" ht="18" customHeight="1" x14ac:dyDescent="0.25">
      <c r="AB425" s="112" t="s">
        <v>548</v>
      </c>
      <c r="AC425" s="113">
        <v>1</v>
      </c>
      <c r="AD425" s="114">
        <f t="shared" si="5"/>
        <v>1</v>
      </c>
    </row>
    <row r="426" spans="28:30" ht="18" customHeight="1" x14ac:dyDescent="0.25">
      <c r="AB426" s="103" t="s">
        <v>1315</v>
      </c>
      <c r="AC426" s="104">
        <v>1</v>
      </c>
      <c r="AD426" s="105">
        <f t="shared" si="5"/>
        <v>1</v>
      </c>
    </row>
    <row r="427" spans="28:30" ht="18" customHeight="1" x14ac:dyDescent="0.25">
      <c r="AB427" s="112" t="s">
        <v>565</v>
      </c>
      <c r="AC427" s="113">
        <v>1</v>
      </c>
      <c r="AD427" s="114">
        <f t="shared" si="5"/>
        <v>1</v>
      </c>
    </row>
    <row r="428" spans="28:30" ht="18" customHeight="1" x14ac:dyDescent="0.25">
      <c r="AB428" s="103" t="s">
        <v>560</v>
      </c>
      <c r="AC428" s="104">
        <v>4</v>
      </c>
      <c r="AD428" s="105">
        <f t="shared" si="5"/>
        <v>4</v>
      </c>
    </row>
    <row r="429" spans="28:30" ht="18" customHeight="1" x14ac:dyDescent="0.25">
      <c r="AB429" s="112" t="s">
        <v>562</v>
      </c>
      <c r="AC429" s="113">
        <v>2</v>
      </c>
      <c r="AD429" s="114">
        <f t="shared" si="5"/>
        <v>2</v>
      </c>
    </row>
    <row r="430" spans="28:30" ht="18" customHeight="1" x14ac:dyDescent="0.25">
      <c r="AB430" s="103" t="s">
        <v>568</v>
      </c>
      <c r="AC430" s="104">
        <v>1</v>
      </c>
      <c r="AD430" s="105">
        <f t="shared" si="5"/>
        <v>1</v>
      </c>
    </row>
    <row r="431" spans="28:30" ht="18" customHeight="1" x14ac:dyDescent="0.25">
      <c r="AB431" s="112" t="s">
        <v>572</v>
      </c>
      <c r="AC431" s="113">
        <v>1</v>
      </c>
      <c r="AD431" s="114">
        <f t="shared" si="5"/>
        <v>1</v>
      </c>
    </row>
    <row r="432" spans="28:30" ht="18" customHeight="1" x14ac:dyDescent="0.25">
      <c r="AB432" s="103" t="s">
        <v>576</v>
      </c>
      <c r="AC432" s="104">
        <v>1</v>
      </c>
      <c r="AD432" s="105">
        <f t="shared" si="5"/>
        <v>1</v>
      </c>
    </row>
    <row r="433" spans="28:30" ht="18" customHeight="1" x14ac:dyDescent="0.25">
      <c r="AB433" s="112" t="s">
        <v>579</v>
      </c>
      <c r="AC433" s="113"/>
      <c r="AD433" s="114">
        <f t="shared" si="5"/>
        <v>0</v>
      </c>
    </row>
    <row r="434" spans="28:30" ht="18" customHeight="1" x14ac:dyDescent="0.25">
      <c r="AB434" s="103" t="s">
        <v>587</v>
      </c>
      <c r="AC434" s="104">
        <v>1</v>
      </c>
      <c r="AD434" s="105">
        <f t="shared" si="5"/>
        <v>1</v>
      </c>
    </row>
    <row r="435" spans="28:30" ht="18" customHeight="1" x14ac:dyDescent="0.25">
      <c r="AB435" s="112" t="s">
        <v>588</v>
      </c>
      <c r="AC435" s="113">
        <v>1</v>
      </c>
      <c r="AD435" s="114">
        <f t="shared" si="5"/>
        <v>1</v>
      </c>
    </row>
    <row r="436" spans="28:30" ht="18" customHeight="1" x14ac:dyDescent="0.25">
      <c r="AB436" s="103" t="s">
        <v>592</v>
      </c>
      <c r="AC436" s="104">
        <v>1</v>
      </c>
      <c r="AD436" s="105">
        <f t="shared" si="5"/>
        <v>1</v>
      </c>
    </row>
    <row r="437" spans="28:30" ht="18" customHeight="1" x14ac:dyDescent="0.25">
      <c r="AB437" s="112" t="s">
        <v>596</v>
      </c>
      <c r="AC437" s="113">
        <v>1</v>
      </c>
      <c r="AD437" s="114">
        <f t="shared" si="5"/>
        <v>1</v>
      </c>
    </row>
    <row r="438" spans="28:30" ht="18" customHeight="1" x14ac:dyDescent="0.25">
      <c r="AB438" s="103" t="s">
        <v>597</v>
      </c>
      <c r="AC438" s="104">
        <v>5</v>
      </c>
      <c r="AD438" s="105">
        <f t="shared" si="5"/>
        <v>5</v>
      </c>
    </row>
    <row r="439" spans="28:30" ht="18" customHeight="1" x14ac:dyDescent="0.25">
      <c r="AB439" s="112" t="s">
        <v>713</v>
      </c>
      <c r="AC439" s="113">
        <v>1</v>
      </c>
      <c r="AD439" s="114">
        <f t="shared" si="5"/>
        <v>1</v>
      </c>
    </row>
    <row r="440" spans="28:30" ht="18" customHeight="1" x14ac:dyDescent="0.25">
      <c r="AB440" s="103" t="s">
        <v>689</v>
      </c>
      <c r="AC440" s="104">
        <v>1</v>
      </c>
      <c r="AD440" s="105">
        <f t="shared" si="5"/>
        <v>1</v>
      </c>
    </row>
    <row r="441" spans="28:30" ht="18" customHeight="1" x14ac:dyDescent="0.25">
      <c r="AB441" s="112" t="s">
        <v>612</v>
      </c>
      <c r="AC441" s="113">
        <v>1</v>
      </c>
      <c r="AD441" s="114">
        <f t="shared" si="5"/>
        <v>1</v>
      </c>
    </row>
    <row r="442" spans="28:30" ht="18" customHeight="1" x14ac:dyDescent="0.25">
      <c r="AB442" s="103" t="s">
        <v>628</v>
      </c>
      <c r="AC442" s="104">
        <v>1</v>
      </c>
      <c r="AD442" s="105">
        <f t="shared" si="5"/>
        <v>1</v>
      </c>
    </row>
    <row r="443" spans="28:30" ht="18" customHeight="1" x14ac:dyDescent="0.25">
      <c r="AB443" s="112" t="s">
        <v>618</v>
      </c>
      <c r="AC443" s="113">
        <v>1</v>
      </c>
      <c r="AD443" s="114">
        <f t="shared" si="5"/>
        <v>1</v>
      </c>
    </row>
    <row r="444" spans="28:30" ht="18" customHeight="1" x14ac:dyDescent="0.25">
      <c r="AB444" s="103" t="s">
        <v>1316</v>
      </c>
      <c r="AC444" s="104">
        <v>1</v>
      </c>
      <c r="AD444" s="105">
        <f t="shared" si="5"/>
        <v>1</v>
      </c>
    </row>
    <row r="445" spans="28:30" ht="18" customHeight="1" x14ac:dyDescent="0.25">
      <c r="AB445" s="112" t="s">
        <v>626</v>
      </c>
      <c r="AC445" s="113">
        <v>1</v>
      </c>
      <c r="AD445" s="114">
        <f t="shared" si="5"/>
        <v>1</v>
      </c>
    </row>
    <row r="446" spans="28:30" ht="18" customHeight="1" x14ac:dyDescent="0.25">
      <c r="AB446" s="103" t="s">
        <v>1317</v>
      </c>
      <c r="AC446" s="104">
        <v>2</v>
      </c>
      <c r="AD446" s="105">
        <f t="shared" si="5"/>
        <v>2</v>
      </c>
    </row>
    <row r="447" spans="28:30" ht="18" customHeight="1" x14ac:dyDescent="0.25">
      <c r="AB447" s="112" t="s">
        <v>602</v>
      </c>
      <c r="AC447" s="113">
        <v>1</v>
      </c>
      <c r="AD447" s="114">
        <f t="shared" si="5"/>
        <v>1</v>
      </c>
    </row>
    <row r="448" spans="28:30" ht="18" customHeight="1" x14ac:dyDescent="0.25">
      <c r="AB448" s="103" t="s">
        <v>606</v>
      </c>
      <c r="AC448" s="104">
        <v>1</v>
      </c>
      <c r="AD448" s="105">
        <f t="shared" si="5"/>
        <v>1</v>
      </c>
    </row>
    <row r="449" spans="28:30" ht="18" customHeight="1" x14ac:dyDescent="0.25">
      <c r="AB449" s="112" t="s">
        <v>607</v>
      </c>
      <c r="AC449" s="113">
        <v>1</v>
      </c>
      <c r="AD449" s="114">
        <f t="shared" si="5"/>
        <v>1</v>
      </c>
    </row>
    <row r="450" spans="28:30" ht="18" customHeight="1" x14ac:dyDescent="0.25">
      <c r="AB450" s="103" t="s">
        <v>1318</v>
      </c>
      <c r="AC450" s="104">
        <v>1</v>
      </c>
      <c r="AD450" s="105">
        <f t="shared" si="5"/>
        <v>1</v>
      </c>
    </row>
    <row r="451" spans="28:30" ht="18" customHeight="1" x14ac:dyDescent="0.25">
      <c r="AB451" s="112" t="s">
        <v>611</v>
      </c>
      <c r="AC451" s="113">
        <v>1</v>
      </c>
      <c r="AD451" s="114">
        <f t="shared" si="5"/>
        <v>1</v>
      </c>
    </row>
    <row r="452" spans="28:30" ht="18" customHeight="1" x14ac:dyDescent="0.25">
      <c r="AB452" s="103" t="s">
        <v>662</v>
      </c>
      <c r="AC452" s="104">
        <v>1</v>
      </c>
      <c r="AD452" s="105">
        <f t="shared" si="5"/>
        <v>1</v>
      </c>
    </row>
    <row r="453" spans="28:30" ht="18" customHeight="1" x14ac:dyDescent="0.25">
      <c r="AB453" s="112" t="s">
        <v>614</v>
      </c>
      <c r="AC453" s="113">
        <v>1</v>
      </c>
      <c r="AD453" s="114">
        <f t="shared" si="5"/>
        <v>1</v>
      </c>
    </row>
    <row r="454" spans="28:30" ht="18" customHeight="1" x14ac:dyDescent="0.25">
      <c r="AB454" s="103" t="s">
        <v>622</v>
      </c>
      <c r="AC454" s="104">
        <v>1</v>
      </c>
      <c r="AD454" s="105">
        <f t="shared" si="5"/>
        <v>1</v>
      </c>
    </row>
    <row r="455" spans="28:30" ht="18" customHeight="1" x14ac:dyDescent="0.25">
      <c r="AB455" s="112" t="s">
        <v>645</v>
      </c>
      <c r="AC455" s="113">
        <v>1</v>
      </c>
      <c r="AD455" s="114">
        <f t="shared" si="5"/>
        <v>1</v>
      </c>
    </row>
    <row r="456" spans="28:30" ht="18" customHeight="1" x14ac:dyDescent="0.25">
      <c r="AB456" s="103" t="s">
        <v>623</v>
      </c>
      <c r="AC456" s="104">
        <v>2</v>
      </c>
      <c r="AD456" s="105">
        <f t="shared" si="5"/>
        <v>2</v>
      </c>
    </row>
    <row r="457" spans="28:30" ht="18" customHeight="1" x14ac:dyDescent="0.25">
      <c r="AB457" s="112" t="s">
        <v>629</v>
      </c>
      <c r="AC457" s="113">
        <v>56</v>
      </c>
      <c r="AD457" s="114">
        <f t="shared" si="5"/>
        <v>56</v>
      </c>
    </row>
    <row r="458" spans="28:30" ht="18" customHeight="1" x14ac:dyDescent="0.25">
      <c r="AB458" s="103" t="s">
        <v>1319</v>
      </c>
      <c r="AC458" s="104">
        <v>1</v>
      </c>
      <c r="AD458" s="105">
        <f t="shared" si="5"/>
        <v>1</v>
      </c>
    </row>
    <row r="459" spans="28:30" ht="18" customHeight="1" x14ac:dyDescent="0.25">
      <c r="AB459" s="112" t="s">
        <v>633</v>
      </c>
      <c r="AC459" s="113">
        <v>1</v>
      </c>
      <c r="AD459" s="114">
        <f t="shared" si="5"/>
        <v>1</v>
      </c>
    </row>
    <row r="460" spans="28:30" ht="18" customHeight="1" x14ac:dyDescent="0.25">
      <c r="AB460" s="103" t="s">
        <v>1320</v>
      </c>
      <c r="AC460" s="104">
        <v>2</v>
      </c>
      <c r="AD460" s="105">
        <f t="shared" si="5"/>
        <v>2</v>
      </c>
    </row>
    <row r="461" spans="28:30" ht="18" customHeight="1" x14ac:dyDescent="0.25">
      <c r="AB461" s="112" t="s">
        <v>1321</v>
      </c>
      <c r="AC461" s="113">
        <v>2</v>
      </c>
      <c r="AD461" s="114">
        <f t="shared" si="5"/>
        <v>2</v>
      </c>
    </row>
    <row r="462" spans="28:30" ht="18" customHeight="1" x14ac:dyDescent="0.25">
      <c r="AB462" s="103" t="s">
        <v>638</v>
      </c>
      <c r="AC462" s="104">
        <v>1</v>
      </c>
      <c r="AD462" s="105">
        <f t="shared" si="5"/>
        <v>1</v>
      </c>
    </row>
    <row r="463" spans="28:30" ht="18" customHeight="1" x14ac:dyDescent="0.25">
      <c r="AB463" s="112" t="s">
        <v>655</v>
      </c>
      <c r="AC463" s="113">
        <v>2</v>
      </c>
      <c r="AD463" s="114">
        <f t="shared" si="5"/>
        <v>2</v>
      </c>
    </row>
    <row r="464" spans="28:30" ht="18" customHeight="1" x14ac:dyDescent="0.25">
      <c r="AB464" s="103" t="s">
        <v>1322</v>
      </c>
      <c r="AC464" s="104">
        <v>2</v>
      </c>
      <c r="AD464" s="105">
        <f t="shared" si="5"/>
        <v>2</v>
      </c>
    </row>
    <row r="465" spans="28:30" ht="18" customHeight="1" x14ac:dyDescent="0.25">
      <c r="AB465" s="112" t="s">
        <v>1323</v>
      </c>
      <c r="AC465" s="113">
        <v>1</v>
      </c>
      <c r="AD465" s="114">
        <f t="shared" si="5"/>
        <v>1</v>
      </c>
    </row>
    <row r="466" spans="28:30" ht="18" customHeight="1" x14ac:dyDescent="0.25">
      <c r="AB466" s="103" t="s">
        <v>1102</v>
      </c>
      <c r="AC466" s="104">
        <v>3</v>
      </c>
      <c r="AD466" s="105">
        <f t="shared" si="5"/>
        <v>3</v>
      </c>
    </row>
    <row r="467" spans="28:30" ht="18" customHeight="1" x14ac:dyDescent="0.25">
      <c r="AB467" s="112" t="s">
        <v>657</v>
      </c>
      <c r="AC467" s="113">
        <v>3</v>
      </c>
      <c r="AD467" s="114">
        <f t="shared" si="5"/>
        <v>3</v>
      </c>
    </row>
    <row r="468" spans="28:30" ht="18" customHeight="1" x14ac:dyDescent="0.25">
      <c r="AB468" s="103" t="s">
        <v>1324</v>
      </c>
      <c r="AC468" s="104">
        <v>1</v>
      </c>
      <c r="AD468" s="105">
        <f t="shared" si="5"/>
        <v>1</v>
      </c>
    </row>
    <row r="469" spans="28:30" ht="18" customHeight="1" x14ac:dyDescent="0.25">
      <c r="AB469" s="112" t="s">
        <v>663</v>
      </c>
      <c r="AC469" s="113">
        <v>1</v>
      </c>
      <c r="AD469" s="114">
        <f t="shared" si="5"/>
        <v>1</v>
      </c>
    </row>
    <row r="470" spans="28:30" ht="18" customHeight="1" x14ac:dyDescent="0.25">
      <c r="AB470" s="103" t="s">
        <v>1325</v>
      </c>
      <c r="AC470" s="104">
        <v>1</v>
      </c>
      <c r="AD470" s="105">
        <f t="shared" si="5"/>
        <v>1</v>
      </c>
    </row>
    <row r="471" spans="28:30" ht="18" customHeight="1" x14ac:dyDescent="0.25">
      <c r="AB471" s="112" t="s">
        <v>660</v>
      </c>
      <c r="AC471" s="113">
        <v>100</v>
      </c>
      <c r="AD471" s="114">
        <f t="shared" si="5"/>
        <v>100</v>
      </c>
    </row>
    <row r="472" spans="28:30" ht="18" customHeight="1" x14ac:dyDescent="0.25">
      <c r="AB472" s="103" t="s">
        <v>661</v>
      </c>
      <c r="AC472" s="104">
        <v>100</v>
      </c>
      <c r="AD472" s="105">
        <f t="shared" si="5"/>
        <v>100</v>
      </c>
    </row>
    <row r="473" spans="28:30" ht="18" customHeight="1" x14ac:dyDescent="0.25">
      <c r="AB473" s="112" t="s">
        <v>666</v>
      </c>
      <c r="AC473" s="113">
        <v>100</v>
      </c>
      <c r="AD473" s="114">
        <f t="shared" si="5"/>
        <v>100</v>
      </c>
    </row>
    <row r="474" spans="28:30" ht="18" customHeight="1" x14ac:dyDescent="0.25">
      <c r="AB474" s="103" t="s">
        <v>1326</v>
      </c>
      <c r="AC474" s="104">
        <v>1</v>
      </c>
      <c r="AD474" s="105">
        <f t="shared" si="5"/>
        <v>1</v>
      </c>
    </row>
  </sheetData>
  <autoFilter ref="I2:K10" xr:uid="{00000000-0009-0000-0000-000005000000}">
    <sortState xmlns:xlrd2="http://schemas.microsoft.com/office/spreadsheetml/2017/richdata2" ref="K2:K10">
      <sortCondition ref="K2:K10"/>
    </sortState>
  </autoFilter>
  <mergeCells count="11">
    <mergeCell ref="A33:B33"/>
    <mergeCell ref="A1:G1"/>
    <mergeCell ref="A15:B15"/>
    <mergeCell ref="A16:B16"/>
    <mergeCell ref="A18:G18"/>
    <mergeCell ref="A32:B32"/>
    <mergeCell ref="S1:U1"/>
    <mergeCell ref="W1:Y1"/>
    <mergeCell ref="W5:X5"/>
    <mergeCell ref="N1:P1"/>
    <mergeCell ref="I1:K1"/>
  </mergeCells>
  <conditionalFormatting sqref="AB1:AB474">
    <cfRule type="expression" dxfId="6" priority="1">
      <formula>AD1=0</formula>
    </cfRule>
    <cfRule type="expression" dxfId="5" priority="2" stopIfTrue="1">
      <formula>AH1="loja"</formula>
    </cfRule>
    <cfRule type="expression" dxfId="4" priority="3">
      <formula>AH1="Leo"</formula>
    </cfRule>
  </conditionalFormatting>
  <conditionalFormatting sqref="AD1:AD474">
    <cfRule type="cellIs" dxfId="3" priority="4" operator="lessThanOrEqual">
      <formula>0</formula>
    </cfRule>
  </conditionalFormatting>
  <pageMargins left="0.51" right="0.51" top="0.79" bottom="0.79" header="0.31" footer="0.31"/>
  <pageSetup paperSize="9"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3778-E3B8-A922-5168-CDD57252DA78}">
  <sheetPr>
    <pageSetUpPr fitToPage="1"/>
  </sheetPr>
  <dimension ref="A1:R219"/>
  <sheetViews>
    <sheetView topLeftCell="C1" workbookViewId="0">
      <selection activeCell="J101" sqref="J101"/>
    </sheetView>
  </sheetViews>
  <sheetFormatPr defaultColWidth="9.140625" defaultRowHeight="15" customHeight="1" x14ac:dyDescent="0.25"/>
  <cols>
    <col min="1" max="1" width="43.140625" style="87" customWidth="1"/>
    <col min="2" max="2" width="6.7109375" style="88" customWidth="1"/>
    <col min="3" max="4" width="9.28515625" style="101" customWidth="1"/>
    <col min="5" max="5" width="2" customWidth="1"/>
    <col min="6" max="6" width="29.7109375" style="87" customWidth="1"/>
    <col min="7" max="7" width="10.28515625" style="88" customWidth="1"/>
    <col min="8" max="8" width="9.28515625" style="88" hidden="1" customWidth="1"/>
    <col min="9" max="9" width="5.42578125" customWidth="1"/>
    <col min="10" max="10" width="8.42578125" style="101" customWidth="1"/>
    <col min="12" max="12" width="20" style="101" customWidth="1"/>
    <col min="13" max="13" width="14.28515625" style="101" customWidth="1"/>
    <col min="14" max="14" width="5" customWidth="1"/>
    <col min="15" max="15" width="20" customWidth="1"/>
    <col min="16" max="16" width="4.42578125" customWidth="1"/>
    <col min="17" max="17" width="21.140625" customWidth="1"/>
    <col min="18" max="18" width="130.85546875" customWidth="1"/>
  </cols>
  <sheetData>
    <row r="1" spans="1:18" s="101" customFormat="1" ht="30.75" customHeight="1" x14ac:dyDescent="0.25">
      <c r="A1" s="129" t="s">
        <v>379</v>
      </c>
      <c r="B1" s="129" t="s">
        <v>1327</v>
      </c>
      <c r="C1" s="130" t="s">
        <v>1328</v>
      </c>
      <c r="D1" s="129" t="s">
        <v>1329</v>
      </c>
      <c r="E1"/>
      <c r="F1" s="129" t="s">
        <v>1330</v>
      </c>
      <c r="G1" s="129" t="s">
        <v>1327</v>
      </c>
      <c r="H1" s="129" t="s">
        <v>1328</v>
      </c>
      <c r="J1" s="178" t="s">
        <v>1331</v>
      </c>
      <c r="K1" s="179"/>
      <c r="L1" s="179"/>
      <c r="M1" s="179"/>
      <c r="O1" s="131"/>
      <c r="P1" s="132" t="s">
        <v>1332</v>
      </c>
      <c r="Q1" s="131"/>
      <c r="R1" s="133"/>
    </row>
    <row r="2" spans="1:18" ht="18.75" customHeight="1" x14ac:dyDescent="0.25">
      <c r="A2" s="134" t="s">
        <v>1333</v>
      </c>
      <c r="B2" s="89">
        <f t="shared" ref="B2:B126" si="0">C2-D2</f>
        <v>0</v>
      </c>
      <c r="C2" s="135">
        <v>1</v>
      </c>
      <c r="D2" s="56">
        <v>1</v>
      </c>
      <c r="F2" s="134" t="s">
        <v>1334</v>
      </c>
      <c r="G2" s="89">
        <v>1</v>
      </c>
      <c r="H2" s="89">
        <v>1</v>
      </c>
      <c r="J2" s="136" t="s">
        <v>3</v>
      </c>
      <c r="K2" s="136" t="s">
        <v>1335</v>
      </c>
      <c r="L2" s="136" t="s">
        <v>1336</v>
      </c>
      <c r="M2" s="137" t="s">
        <v>1337</v>
      </c>
      <c r="O2" s="136" t="s">
        <v>1335</v>
      </c>
      <c r="P2" s="136" t="s">
        <v>3</v>
      </c>
      <c r="Q2" s="136" t="s">
        <v>1336</v>
      </c>
      <c r="R2" s="137" t="s">
        <v>1337</v>
      </c>
    </row>
    <row r="3" spans="1:18" ht="15" customHeight="1" x14ac:dyDescent="0.25">
      <c r="A3" s="134" t="s">
        <v>1338</v>
      </c>
      <c r="B3" s="89">
        <f t="shared" si="0"/>
        <v>2</v>
      </c>
      <c r="C3" s="135">
        <v>3</v>
      </c>
      <c r="D3" s="56">
        <v>1</v>
      </c>
      <c r="F3" s="134" t="s">
        <v>1339</v>
      </c>
      <c r="G3" s="89">
        <v>1</v>
      </c>
      <c r="H3" s="89">
        <v>1</v>
      </c>
      <c r="J3" s="56">
        <v>2</v>
      </c>
      <c r="K3" s="138" t="s">
        <v>1340</v>
      </c>
      <c r="L3" s="56" t="s">
        <v>1341</v>
      </c>
      <c r="M3" s="56"/>
      <c r="O3" s="138" t="s">
        <v>1340</v>
      </c>
      <c r="P3" s="56">
        <v>1</v>
      </c>
      <c r="Q3" s="139" t="s">
        <v>1342</v>
      </c>
      <c r="R3" s="138"/>
    </row>
    <row r="4" spans="1:18" ht="15" customHeight="1" x14ac:dyDescent="0.25">
      <c r="A4" s="134" t="s">
        <v>1343</v>
      </c>
      <c r="B4" s="89">
        <f t="shared" si="0"/>
        <v>4</v>
      </c>
      <c r="C4" s="135">
        <v>4</v>
      </c>
      <c r="D4" s="56"/>
      <c r="F4" s="134" t="s">
        <v>1344</v>
      </c>
      <c r="G4" s="89">
        <v>1</v>
      </c>
      <c r="H4" s="89">
        <v>1</v>
      </c>
      <c r="J4" s="56">
        <v>2</v>
      </c>
      <c r="K4" s="138" t="s">
        <v>1340</v>
      </c>
      <c r="L4" s="56" t="s">
        <v>1106</v>
      </c>
      <c r="M4" s="56"/>
      <c r="O4" s="138" t="s">
        <v>1340</v>
      </c>
      <c r="P4" s="56">
        <v>5</v>
      </c>
      <c r="Q4" s="139" t="s">
        <v>1345</v>
      </c>
      <c r="R4" s="138"/>
    </row>
    <row r="5" spans="1:18" ht="15" customHeight="1" x14ac:dyDescent="0.25">
      <c r="A5" s="134" t="s">
        <v>1346</v>
      </c>
      <c r="B5" s="89">
        <f t="shared" si="0"/>
        <v>2</v>
      </c>
      <c r="C5" s="135">
        <v>2</v>
      </c>
      <c r="D5" s="56"/>
      <c r="F5" s="134" t="s">
        <v>1347</v>
      </c>
      <c r="G5" s="89">
        <v>1</v>
      </c>
      <c r="H5" s="89">
        <v>1</v>
      </c>
      <c r="J5" s="56">
        <v>1</v>
      </c>
      <c r="K5" s="138" t="s">
        <v>1340</v>
      </c>
      <c r="L5" s="56">
        <v>13</v>
      </c>
      <c r="M5" s="56"/>
      <c r="O5" s="138" t="s">
        <v>1348</v>
      </c>
      <c r="P5" s="56">
        <v>1</v>
      </c>
      <c r="Q5" s="139" t="s">
        <v>1345</v>
      </c>
      <c r="R5" s="138"/>
    </row>
    <row r="6" spans="1:18" ht="15" customHeight="1" x14ac:dyDescent="0.25">
      <c r="A6" s="134" t="s">
        <v>1349</v>
      </c>
      <c r="B6" s="89">
        <f t="shared" si="0"/>
        <v>2</v>
      </c>
      <c r="C6" s="135">
        <v>2</v>
      </c>
      <c r="D6" s="56"/>
      <c r="F6" s="134" t="s">
        <v>1350</v>
      </c>
      <c r="G6" s="89">
        <v>1</v>
      </c>
      <c r="H6" s="89">
        <v>1</v>
      </c>
      <c r="J6" s="56">
        <v>1</v>
      </c>
      <c r="K6" s="138" t="s">
        <v>1340</v>
      </c>
      <c r="L6" s="56" t="s">
        <v>1351</v>
      </c>
      <c r="M6" s="56"/>
      <c r="O6" s="138" t="s">
        <v>1340</v>
      </c>
      <c r="P6" s="56">
        <v>1</v>
      </c>
      <c r="Q6" s="56" t="s">
        <v>1352</v>
      </c>
      <c r="R6" s="138"/>
    </row>
    <row r="7" spans="1:18" ht="15" customHeight="1" x14ac:dyDescent="0.25">
      <c r="A7" s="134" t="s">
        <v>1353</v>
      </c>
      <c r="B7" s="89">
        <f t="shared" si="0"/>
        <v>1</v>
      </c>
      <c r="C7" s="135">
        <v>1</v>
      </c>
      <c r="D7" s="56"/>
      <c r="F7" s="134" t="s">
        <v>1354</v>
      </c>
      <c r="G7" s="89">
        <v>2</v>
      </c>
      <c r="H7" s="89">
        <v>2</v>
      </c>
      <c r="J7" s="56">
        <v>1</v>
      </c>
      <c r="K7" s="138" t="s">
        <v>1340</v>
      </c>
      <c r="L7" s="56">
        <v>15</v>
      </c>
      <c r="M7" s="56"/>
      <c r="O7" s="138" t="s">
        <v>1348</v>
      </c>
      <c r="P7" s="56">
        <v>4</v>
      </c>
      <c r="Q7" s="56" t="s">
        <v>1352</v>
      </c>
      <c r="R7" s="138"/>
    </row>
    <row r="8" spans="1:18" ht="15" customHeight="1" x14ac:dyDescent="0.25">
      <c r="A8" s="134" t="s">
        <v>1355</v>
      </c>
      <c r="B8" s="89">
        <f t="shared" si="0"/>
        <v>1</v>
      </c>
      <c r="C8" s="135">
        <v>1</v>
      </c>
      <c r="D8" s="56"/>
      <c r="F8" s="134" t="s">
        <v>1356</v>
      </c>
      <c r="G8" s="89">
        <v>1</v>
      </c>
      <c r="H8" s="89">
        <v>2</v>
      </c>
      <c r="J8" s="56">
        <v>1</v>
      </c>
      <c r="K8" s="138" t="s">
        <v>1340</v>
      </c>
      <c r="L8" s="56">
        <v>12</v>
      </c>
      <c r="M8" s="56"/>
      <c r="O8" s="138" t="s">
        <v>1340</v>
      </c>
      <c r="P8" s="56">
        <v>3</v>
      </c>
      <c r="Q8" s="56" t="s">
        <v>1357</v>
      </c>
      <c r="R8" s="138" t="s">
        <v>1358</v>
      </c>
    </row>
    <row r="9" spans="1:18" ht="15" customHeight="1" x14ac:dyDescent="0.25">
      <c r="A9" s="140" t="s">
        <v>1359</v>
      </c>
      <c r="B9" s="141">
        <f t="shared" si="0"/>
        <v>2</v>
      </c>
      <c r="C9" s="89">
        <v>2</v>
      </c>
      <c r="D9" s="142"/>
      <c r="F9" s="134" t="s">
        <v>1360</v>
      </c>
      <c r="G9" s="89">
        <v>1</v>
      </c>
      <c r="H9" s="89">
        <v>1</v>
      </c>
      <c r="J9" s="56">
        <v>1</v>
      </c>
      <c r="K9" s="138" t="s">
        <v>1361</v>
      </c>
      <c r="L9" s="56" t="s">
        <v>1362</v>
      </c>
      <c r="M9" s="56"/>
      <c r="O9" s="138" t="s">
        <v>1348</v>
      </c>
      <c r="P9" s="56">
        <v>1</v>
      </c>
      <c r="Q9" s="56" t="s">
        <v>1363</v>
      </c>
      <c r="R9" s="138"/>
    </row>
    <row r="10" spans="1:18" ht="15" customHeight="1" x14ac:dyDescent="0.25">
      <c r="A10" s="134" t="s">
        <v>1364</v>
      </c>
      <c r="B10" s="89">
        <f t="shared" si="0"/>
        <v>3</v>
      </c>
      <c r="C10" s="135">
        <v>3</v>
      </c>
      <c r="D10" s="56"/>
      <c r="F10" s="134" t="s">
        <v>1365</v>
      </c>
      <c r="G10" s="89">
        <v>1</v>
      </c>
      <c r="H10" s="89">
        <v>1</v>
      </c>
      <c r="J10" s="56">
        <v>1</v>
      </c>
      <c r="K10" s="138" t="s">
        <v>1361</v>
      </c>
      <c r="L10" s="56" t="s">
        <v>1366</v>
      </c>
      <c r="M10" s="56"/>
      <c r="O10" s="138" t="s">
        <v>1340</v>
      </c>
      <c r="P10" s="56">
        <v>1</v>
      </c>
      <c r="Q10" s="56" t="s">
        <v>1363</v>
      </c>
      <c r="R10" s="138"/>
    </row>
    <row r="11" spans="1:18" ht="15" customHeight="1" x14ac:dyDescent="0.25">
      <c r="A11" s="140" t="s">
        <v>1367</v>
      </c>
      <c r="B11" s="141">
        <f t="shared" si="0"/>
        <v>1</v>
      </c>
      <c r="C11" s="89">
        <v>1</v>
      </c>
      <c r="D11" s="142"/>
      <c r="F11" s="134" t="s">
        <v>1368</v>
      </c>
      <c r="G11" s="89">
        <v>1</v>
      </c>
      <c r="H11" s="89">
        <v>1</v>
      </c>
      <c r="J11" s="56">
        <v>1</v>
      </c>
      <c r="K11" s="138" t="s">
        <v>1361</v>
      </c>
      <c r="L11" s="56" t="s">
        <v>1369</v>
      </c>
      <c r="M11" s="56"/>
      <c r="O11" s="138" t="s">
        <v>1340</v>
      </c>
      <c r="P11" s="56">
        <v>2</v>
      </c>
      <c r="Q11" s="56" t="s">
        <v>1370</v>
      </c>
      <c r="R11" s="138" t="s">
        <v>1371</v>
      </c>
    </row>
    <row r="12" spans="1:18" ht="15" customHeight="1" x14ac:dyDescent="0.25">
      <c r="A12" s="134" t="s">
        <v>1372</v>
      </c>
      <c r="B12" s="89">
        <f t="shared" si="0"/>
        <v>2</v>
      </c>
      <c r="C12" s="135">
        <v>2</v>
      </c>
      <c r="D12" s="56"/>
      <c r="F12" s="134" t="s">
        <v>1373</v>
      </c>
      <c r="G12" s="89">
        <v>1</v>
      </c>
      <c r="H12" s="89">
        <v>1</v>
      </c>
      <c r="J12" s="56">
        <v>1</v>
      </c>
      <c r="K12" s="138" t="s">
        <v>1361</v>
      </c>
      <c r="L12" s="56" t="s">
        <v>1374</v>
      </c>
      <c r="M12" s="56"/>
      <c r="O12" s="138" t="s">
        <v>1340</v>
      </c>
      <c r="P12" s="56">
        <v>1</v>
      </c>
      <c r="Q12" s="56">
        <v>12</v>
      </c>
      <c r="R12" s="138" t="s">
        <v>1375</v>
      </c>
    </row>
    <row r="13" spans="1:18" ht="15" customHeight="1" x14ac:dyDescent="0.25">
      <c r="A13" s="134" t="s">
        <v>1376</v>
      </c>
      <c r="B13" s="89">
        <f t="shared" si="0"/>
        <v>1</v>
      </c>
      <c r="C13" s="135">
        <v>7</v>
      </c>
      <c r="D13" s="56">
        <v>6</v>
      </c>
      <c r="F13" s="134" t="s">
        <v>1377</v>
      </c>
      <c r="G13" s="89">
        <v>2</v>
      </c>
      <c r="H13" s="89">
        <v>2</v>
      </c>
      <c r="J13" s="56">
        <v>1</v>
      </c>
      <c r="K13" s="138" t="s">
        <v>1361</v>
      </c>
      <c r="L13" s="56" t="s">
        <v>1378</v>
      </c>
      <c r="M13" s="56"/>
      <c r="O13" s="138" t="s">
        <v>1340</v>
      </c>
      <c r="P13" s="56">
        <v>1</v>
      </c>
      <c r="Q13" s="56" t="s">
        <v>1379</v>
      </c>
      <c r="R13" s="138"/>
    </row>
    <row r="14" spans="1:18" ht="15" customHeight="1" x14ac:dyDescent="0.25">
      <c r="A14" s="134" t="s">
        <v>1380</v>
      </c>
      <c r="B14" s="89">
        <f t="shared" si="0"/>
        <v>1</v>
      </c>
      <c r="C14" s="135">
        <v>1</v>
      </c>
      <c r="D14" s="56"/>
      <c r="F14" s="134" t="s">
        <v>1381</v>
      </c>
      <c r="G14" s="89">
        <v>1</v>
      </c>
      <c r="H14" s="89">
        <v>1</v>
      </c>
      <c r="J14" s="56">
        <v>1</v>
      </c>
      <c r="K14" s="138" t="s">
        <v>1361</v>
      </c>
      <c r="L14" s="56" t="s">
        <v>1382</v>
      </c>
      <c r="M14" s="56"/>
      <c r="O14" s="138" t="s">
        <v>1340</v>
      </c>
      <c r="P14" s="56">
        <v>2</v>
      </c>
      <c r="Q14" s="56" t="s">
        <v>1383</v>
      </c>
      <c r="R14" s="138"/>
    </row>
    <row r="15" spans="1:18" ht="15" customHeight="1" x14ac:dyDescent="0.25">
      <c r="A15" s="134" t="s">
        <v>1384</v>
      </c>
      <c r="B15" s="89">
        <f t="shared" si="0"/>
        <v>2</v>
      </c>
      <c r="C15" s="135">
        <v>2</v>
      </c>
      <c r="D15" s="56"/>
      <c r="F15" s="134" t="s">
        <v>1385</v>
      </c>
      <c r="G15" s="89">
        <v>1</v>
      </c>
      <c r="H15" s="89">
        <v>1</v>
      </c>
      <c r="J15" s="56">
        <v>1</v>
      </c>
      <c r="K15" s="138" t="s">
        <v>1361</v>
      </c>
      <c r="L15" s="56" t="s">
        <v>1386</v>
      </c>
      <c r="M15" s="56"/>
      <c r="O15" s="138" t="s">
        <v>1340</v>
      </c>
      <c r="P15" s="56">
        <v>2</v>
      </c>
      <c r="Q15" s="56" t="s">
        <v>1387</v>
      </c>
      <c r="R15" s="138" t="s">
        <v>1388</v>
      </c>
    </row>
    <row r="16" spans="1:18" ht="15" customHeight="1" x14ac:dyDescent="0.25">
      <c r="A16" s="134" t="s">
        <v>1389</v>
      </c>
      <c r="B16" s="89">
        <f t="shared" si="0"/>
        <v>0</v>
      </c>
      <c r="C16" s="135">
        <v>0</v>
      </c>
      <c r="D16" s="56"/>
      <c r="F16" s="134" t="s">
        <v>1390</v>
      </c>
      <c r="G16" s="89">
        <v>1</v>
      </c>
      <c r="H16" s="89"/>
      <c r="J16" s="56">
        <v>1</v>
      </c>
      <c r="K16" s="138" t="s">
        <v>1361</v>
      </c>
      <c r="L16" s="56" t="s">
        <v>1391</v>
      </c>
      <c r="M16" s="56"/>
      <c r="O16" s="138" t="s">
        <v>1340</v>
      </c>
      <c r="P16" s="56">
        <v>6</v>
      </c>
      <c r="Q16" s="56" t="s">
        <v>1392</v>
      </c>
      <c r="R16" s="138"/>
    </row>
    <row r="17" spans="1:18" ht="15" customHeight="1" x14ac:dyDescent="0.25">
      <c r="A17" s="134" t="s">
        <v>1393</v>
      </c>
      <c r="B17" s="89">
        <f t="shared" si="0"/>
        <v>3</v>
      </c>
      <c r="C17" s="135">
        <v>3</v>
      </c>
      <c r="D17" s="56"/>
      <c r="F17" s="134" t="s">
        <v>1394</v>
      </c>
      <c r="G17" s="89">
        <v>1</v>
      </c>
      <c r="H17" s="89"/>
      <c r="J17" s="56">
        <v>1</v>
      </c>
      <c r="K17" s="138" t="s">
        <v>1361</v>
      </c>
      <c r="L17" s="56" t="s">
        <v>1395</v>
      </c>
      <c r="M17" s="56"/>
      <c r="O17" s="138" t="s">
        <v>1348</v>
      </c>
      <c r="P17" s="56">
        <v>2</v>
      </c>
      <c r="Q17" s="56" t="s">
        <v>1396</v>
      </c>
      <c r="R17" s="138"/>
    </row>
    <row r="18" spans="1:18" ht="15" customHeight="1" x14ac:dyDescent="0.25">
      <c r="A18" s="134" t="s">
        <v>1397</v>
      </c>
      <c r="B18" s="89">
        <f t="shared" si="0"/>
        <v>2</v>
      </c>
      <c r="C18" s="135">
        <v>2</v>
      </c>
      <c r="D18" s="56"/>
      <c r="F18" s="134" t="s">
        <v>1398</v>
      </c>
      <c r="G18" s="89">
        <v>1</v>
      </c>
      <c r="H18" s="89">
        <v>1</v>
      </c>
      <c r="J18" s="56">
        <v>1</v>
      </c>
      <c r="K18" s="138" t="s">
        <v>1361</v>
      </c>
      <c r="L18" s="56" t="s">
        <v>1399</v>
      </c>
      <c r="M18" s="56"/>
      <c r="O18" s="138" t="s">
        <v>1340</v>
      </c>
      <c r="P18" s="56">
        <v>1</v>
      </c>
      <c r="Q18" s="56" t="s">
        <v>1400</v>
      </c>
      <c r="R18" s="138" t="s">
        <v>1401</v>
      </c>
    </row>
    <row r="19" spans="1:18" ht="15" customHeight="1" x14ac:dyDescent="0.25">
      <c r="A19" s="134" t="s">
        <v>1402</v>
      </c>
      <c r="B19" s="89">
        <f t="shared" si="0"/>
        <v>1</v>
      </c>
      <c r="C19" s="135">
        <v>1</v>
      </c>
      <c r="D19" s="56"/>
      <c r="F19" s="134" t="s">
        <v>1403</v>
      </c>
      <c r="G19" s="89">
        <v>1</v>
      </c>
      <c r="H19" s="89">
        <v>1</v>
      </c>
      <c r="J19" s="56">
        <v>1</v>
      </c>
      <c r="K19" s="138" t="s">
        <v>1361</v>
      </c>
      <c r="L19" s="56" t="s">
        <v>1404</v>
      </c>
      <c r="M19" s="56"/>
      <c r="O19" s="138" t="s">
        <v>1348</v>
      </c>
      <c r="P19" s="56">
        <v>1</v>
      </c>
      <c r="Q19" s="56" t="s">
        <v>1400</v>
      </c>
      <c r="R19" s="138" t="s">
        <v>1401</v>
      </c>
    </row>
    <row r="20" spans="1:18" ht="15" customHeight="1" x14ac:dyDescent="0.25">
      <c r="A20" s="134" t="s">
        <v>1405</v>
      </c>
      <c r="B20" s="89">
        <f t="shared" si="0"/>
        <v>2</v>
      </c>
      <c r="C20" s="135">
        <v>2</v>
      </c>
      <c r="D20" s="56"/>
      <c r="F20" s="134" t="s">
        <v>1406</v>
      </c>
      <c r="G20" s="89">
        <v>1</v>
      </c>
      <c r="H20" s="89">
        <v>1</v>
      </c>
      <c r="J20" s="56">
        <v>1</v>
      </c>
      <c r="K20" s="138" t="s">
        <v>1361</v>
      </c>
      <c r="L20" s="56" t="s">
        <v>1407</v>
      </c>
      <c r="M20" s="56"/>
      <c r="O20" s="138" t="s">
        <v>1348</v>
      </c>
      <c r="P20" s="56">
        <v>1</v>
      </c>
      <c r="Q20" s="56" t="s">
        <v>1408</v>
      </c>
      <c r="R20" s="138" t="s">
        <v>1409</v>
      </c>
    </row>
    <row r="21" spans="1:18" ht="15" customHeight="1" x14ac:dyDescent="0.25">
      <c r="A21" s="134" t="s">
        <v>1410</v>
      </c>
      <c r="B21" s="89">
        <f t="shared" si="0"/>
        <v>0</v>
      </c>
      <c r="C21" s="135">
        <v>4</v>
      </c>
      <c r="D21" s="56">
        <v>4</v>
      </c>
      <c r="F21" s="134" t="s">
        <v>1411</v>
      </c>
      <c r="G21" s="89">
        <v>1</v>
      </c>
      <c r="H21" s="89">
        <v>1</v>
      </c>
      <c r="J21" s="56">
        <v>1</v>
      </c>
      <c r="K21" s="138" t="s">
        <v>1412</v>
      </c>
      <c r="L21" s="56" t="s">
        <v>1413</v>
      </c>
      <c r="M21" s="56"/>
      <c r="O21" s="138" t="s">
        <v>1340</v>
      </c>
      <c r="P21" s="56">
        <v>3</v>
      </c>
      <c r="Q21" s="56" t="s">
        <v>1408</v>
      </c>
      <c r="R21" s="138" t="s">
        <v>1409</v>
      </c>
    </row>
    <row r="22" spans="1:18" ht="15" customHeight="1" x14ac:dyDescent="0.25">
      <c r="A22" s="134" t="s">
        <v>1414</v>
      </c>
      <c r="B22" s="89">
        <f t="shared" si="0"/>
        <v>1</v>
      </c>
      <c r="C22" s="135">
        <v>5</v>
      </c>
      <c r="D22" s="56">
        <v>4</v>
      </c>
      <c r="F22" s="134" t="s">
        <v>1415</v>
      </c>
      <c r="G22" s="89">
        <v>1</v>
      </c>
      <c r="H22" s="89"/>
      <c r="J22" s="56">
        <v>1</v>
      </c>
      <c r="K22" s="138" t="s">
        <v>1412</v>
      </c>
      <c r="L22" s="56" t="s">
        <v>1416</v>
      </c>
      <c r="M22" s="56"/>
      <c r="O22" s="138" t="s">
        <v>1340</v>
      </c>
      <c r="P22" s="56">
        <v>5</v>
      </c>
      <c r="Q22" s="56">
        <v>15</v>
      </c>
      <c r="R22" s="138" t="s">
        <v>1417</v>
      </c>
    </row>
    <row r="23" spans="1:18" ht="15" customHeight="1" x14ac:dyDescent="0.25">
      <c r="A23" s="134" t="s">
        <v>1418</v>
      </c>
      <c r="B23" s="89">
        <f t="shared" si="0"/>
        <v>1</v>
      </c>
      <c r="C23" s="135">
        <v>3</v>
      </c>
      <c r="D23" s="56">
        <v>2</v>
      </c>
      <c r="F23" s="134" t="s">
        <v>1419</v>
      </c>
      <c r="G23" s="89">
        <v>1</v>
      </c>
      <c r="H23" s="89">
        <v>1</v>
      </c>
      <c r="J23" s="56">
        <v>1</v>
      </c>
      <c r="K23" s="138" t="s">
        <v>1412</v>
      </c>
      <c r="L23" s="56" t="s">
        <v>1420</v>
      </c>
      <c r="M23" s="56"/>
      <c r="O23" s="138" t="s">
        <v>1340</v>
      </c>
      <c r="P23" s="56">
        <v>1</v>
      </c>
      <c r="Q23" s="56" t="s">
        <v>1421</v>
      </c>
      <c r="R23" s="138" t="s">
        <v>1409</v>
      </c>
    </row>
    <row r="24" spans="1:18" ht="15" customHeight="1" x14ac:dyDescent="0.25">
      <c r="A24" s="134" t="s">
        <v>1422</v>
      </c>
      <c r="B24" s="89">
        <f t="shared" si="0"/>
        <v>5</v>
      </c>
      <c r="C24" s="135">
        <v>5</v>
      </c>
      <c r="D24" s="56"/>
      <c r="F24" s="134" t="s">
        <v>1423</v>
      </c>
      <c r="G24" s="89">
        <v>1</v>
      </c>
      <c r="H24" s="89">
        <v>1</v>
      </c>
      <c r="J24" s="56">
        <v>1</v>
      </c>
      <c r="K24" s="138" t="s">
        <v>1412</v>
      </c>
      <c r="L24" s="56" t="s">
        <v>1424</v>
      </c>
      <c r="M24" s="56"/>
      <c r="O24" s="138" t="s">
        <v>1425</v>
      </c>
      <c r="P24" s="56">
        <v>2</v>
      </c>
      <c r="Q24" s="56" t="s">
        <v>1426</v>
      </c>
      <c r="R24" s="138"/>
    </row>
    <row r="25" spans="1:18" ht="15" customHeight="1" x14ac:dyDescent="0.25">
      <c r="A25" s="134" t="s">
        <v>1427</v>
      </c>
      <c r="B25" s="89">
        <f t="shared" si="0"/>
        <v>2</v>
      </c>
      <c r="C25" s="135">
        <v>3</v>
      </c>
      <c r="D25" s="56">
        <v>1</v>
      </c>
      <c r="F25" s="134" t="s">
        <v>1428</v>
      </c>
      <c r="G25" s="89">
        <v>1</v>
      </c>
      <c r="H25" s="89">
        <v>1</v>
      </c>
      <c r="J25" s="56">
        <v>1</v>
      </c>
      <c r="K25" s="138" t="s">
        <v>1429</v>
      </c>
      <c r="L25" s="56" t="s">
        <v>1430</v>
      </c>
      <c r="M25" s="56"/>
      <c r="O25" s="138" t="s">
        <v>1425</v>
      </c>
      <c r="P25" s="56">
        <v>2</v>
      </c>
      <c r="Q25" s="56" t="s">
        <v>1431</v>
      </c>
      <c r="R25" s="138" t="s">
        <v>1432</v>
      </c>
    </row>
    <row r="26" spans="1:18" ht="15" customHeight="1" x14ac:dyDescent="0.25">
      <c r="A26" s="134" t="s">
        <v>1433</v>
      </c>
      <c r="B26" s="89">
        <f t="shared" si="0"/>
        <v>3</v>
      </c>
      <c r="C26" s="135">
        <v>3</v>
      </c>
      <c r="D26" s="56"/>
      <c r="F26" s="134" t="s">
        <v>1434</v>
      </c>
      <c r="G26" s="89">
        <v>2</v>
      </c>
      <c r="H26" s="89">
        <v>1</v>
      </c>
      <c r="J26" s="56">
        <v>1</v>
      </c>
      <c r="K26" s="138" t="s">
        <v>1429</v>
      </c>
      <c r="L26" s="56" t="s">
        <v>1435</v>
      </c>
      <c r="M26" s="56"/>
      <c r="O26" s="138" t="s">
        <v>1425</v>
      </c>
      <c r="P26" s="56">
        <v>6</v>
      </c>
      <c r="Q26" s="56" t="s">
        <v>1369</v>
      </c>
      <c r="R26" s="138" t="s">
        <v>1436</v>
      </c>
    </row>
    <row r="27" spans="1:18" ht="15" customHeight="1" x14ac:dyDescent="0.25">
      <c r="A27" s="134" t="s">
        <v>1437</v>
      </c>
      <c r="B27" s="89">
        <f t="shared" si="0"/>
        <v>1</v>
      </c>
      <c r="C27" s="135">
        <v>1</v>
      </c>
      <c r="D27" s="56"/>
      <c r="F27" s="134" t="s">
        <v>1438</v>
      </c>
      <c r="G27" s="89">
        <v>1</v>
      </c>
      <c r="H27" s="89">
        <v>1</v>
      </c>
      <c r="J27" s="56">
        <v>1</v>
      </c>
      <c r="K27" s="138" t="s">
        <v>1429</v>
      </c>
      <c r="L27" s="56" t="s">
        <v>1439</v>
      </c>
      <c r="M27" s="56"/>
      <c r="O27" s="138" t="s">
        <v>1425</v>
      </c>
      <c r="P27" s="56">
        <v>1</v>
      </c>
      <c r="Q27" s="56" t="s">
        <v>1440</v>
      </c>
      <c r="R27" s="138" t="s">
        <v>1441</v>
      </c>
    </row>
    <row r="28" spans="1:18" ht="15" customHeight="1" x14ac:dyDescent="0.25">
      <c r="A28" s="140" t="s">
        <v>1442</v>
      </c>
      <c r="B28" s="141">
        <f t="shared" si="0"/>
        <v>0</v>
      </c>
      <c r="C28" s="135">
        <v>0</v>
      </c>
      <c r="D28" s="142"/>
      <c r="F28" s="134" t="s">
        <v>1443</v>
      </c>
      <c r="G28" s="89">
        <v>1</v>
      </c>
      <c r="H28" s="89">
        <v>1</v>
      </c>
      <c r="J28" s="56">
        <v>1</v>
      </c>
      <c r="K28" s="138" t="s">
        <v>1429</v>
      </c>
      <c r="L28" s="56" t="s">
        <v>1444</v>
      </c>
      <c r="M28" s="56"/>
      <c r="O28" s="138" t="s">
        <v>1425</v>
      </c>
      <c r="P28" s="56">
        <v>2</v>
      </c>
      <c r="Q28" s="56" t="s">
        <v>1445</v>
      </c>
      <c r="R28" s="138" t="s">
        <v>1446</v>
      </c>
    </row>
    <row r="29" spans="1:18" ht="15" customHeight="1" x14ac:dyDescent="0.25">
      <c r="A29" s="134" t="s">
        <v>1447</v>
      </c>
      <c r="B29" s="89">
        <f t="shared" si="0"/>
        <v>0</v>
      </c>
      <c r="C29" s="135">
        <v>2</v>
      </c>
      <c r="D29" s="56">
        <v>2</v>
      </c>
      <c r="F29" s="134" t="s">
        <v>1448</v>
      </c>
      <c r="G29" s="89">
        <v>1</v>
      </c>
      <c r="H29" s="89">
        <v>1</v>
      </c>
      <c r="J29" s="56"/>
      <c r="K29" s="138"/>
      <c r="L29" s="56"/>
      <c r="M29" s="56"/>
      <c r="O29" s="138" t="s">
        <v>1425</v>
      </c>
      <c r="P29" s="56">
        <v>1</v>
      </c>
      <c r="Q29" s="56" t="s">
        <v>1386</v>
      </c>
      <c r="R29" s="138" t="s">
        <v>1449</v>
      </c>
    </row>
    <row r="30" spans="1:18" ht="15" customHeight="1" x14ac:dyDescent="0.25">
      <c r="A30" s="134" t="s">
        <v>1450</v>
      </c>
      <c r="B30" s="89">
        <f t="shared" si="0"/>
        <v>1</v>
      </c>
      <c r="C30" s="135">
        <v>1</v>
      </c>
      <c r="D30" s="56"/>
      <c r="F30" s="134" t="s">
        <v>1451</v>
      </c>
      <c r="G30" s="89">
        <v>1</v>
      </c>
      <c r="H30" s="89">
        <v>1</v>
      </c>
      <c r="J30" s="56"/>
      <c r="K30" s="138"/>
      <c r="L30" s="56"/>
      <c r="M30" s="56"/>
      <c r="O30" s="138" t="s">
        <v>1425</v>
      </c>
      <c r="P30" s="56">
        <v>1</v>
      </c>
      <c r="Q30" s="56" t="s">
        <v>1452</v>
      </c>
      <c r="R30" s="138"/>
    </row>
    <row r="31" spans="1:18" ht="15" customHeight="1" x14ac:dyDescent="0.25">
      <c r="A31" s="134" t="s">
        <v>1453</v>
      </c>
      <c r="B31" s="89">
        <f t="shared" si="0"/>
        <v>1</v>
      </c>
      <c r="C31" s="135">
        <v>2</v>
      </c>
      <c r="D31" s="56">
        <v>1</v>
      </c>
      <c r="F31" s="134" t="s">
        <v>1454</v>
      </c>
      <c r="G31" s="89">
        <v>1</v>
      </c>
      <c r="H31" s="89">
        <v>1</v>
      </c>
      <c r="J31" s="56"/>
      <c r="K31" s="138"/>
      <c r="L31" s="56"/>
      <c r="M31" s="56"/>
      <c r="O31" s="138" t="s">
        <v>1425</v>
      </c>
      <c r="P31" s="56">
        <v>2</v>
      </c>
      <c r="Q31" s="56" t="s">
        <v>1455</v>
      </c>
      <c r="R31" s="138" t="s">
        <v>1456</v>
      </c>
    </row>
    <row r="32" spans="1:18" ht="15" customHeight="1" x14ac:dyDescent="0.25">
      <c r="A32" s="140" t="s">
        <v>1457</v>
      </c>
      <c r="B32" s="141">
        <f t="shared" si="0"/>
        <v>5</v>
      </c>
      <c r="C32" s="89">
        <v>7</v>
      </c>
      <c r="D32" s="142">
        <v>2</v>
      </c>
      <c r="F32" s="134" t="s">
        <v>1458</v>
      </c>
      <c r="G32" s="89">
        <v>1</v>
      </c>
      <c r="H32" s="89">
        <v>2</v>
      </c>
      <c r="J32" s="56"/>
      <c r="K32" s="138"/>
      <c r="L32" s="56"/>
      <c r="M32" s="56"/>
      <c r="O32" s="138" t="s">
        <v>1425</v>
      </c>
      <c r="P32" s="56">
        <v>1</v>
      </c>
      <c r="Q32" s="56" t="s">
        <v>1459</v>
      </c>
      <c r="R32" s="138" t="s">
        <v>1460</v>
      </c>
    </row>
    <row r="33" spans="1:18" ht="15" customHeight="1" x14ac:dyDescent="0.25">
      <c r="A33" s="134" t="s">
        <v>1461</v>
      </c>
      <c r="B33" s="89">
        <f t="shared" si="0"/>
        <v>1</v>
      </c>
      <c r="C33" s="135">
        <v>3</v>
      </c>
      <c r="D33" s="56">
        <v>2</v>
      </c>
      <c r="F33" s="134" t="s">
        <v>1462</v>
      </c>
      <c r="G33" s="89">
        <v>1</v>
      </c>
      <c r="H33" s="89"/>
      <c r="J33" s="56"/>
      <c r="K33" s="138"/>
      <c r="L33" s="56"/>
      <c r="M33" s="56"/>
      <c r="O33" s="138" t="s">
        <v>1425</v>
      </c>
      <c r="P33" s="56">
        <v>2</v>
      </c>
      <c r="Q33" s="56" t="s">
        <v>1463</v>
      </c>
      <c r="R33" s="138" t="s">
        <v>1464</v>
      </c>
    </row>
    <row r="34" spans="1:18" ht="15" customHeight="1" x14ac:dyDescent="0.25">
      <c r="A34" s="134" t="s">
        <v>1465</v>
      </c>
      <c r="B34" s="89">
        <f t="shared" si="0"/>
        <v>4</v>
      </c>
      <c r="C34" s="135">
        <v>5</v>
      </c>
      <c r="D34" s="56">
        <v>1</v>
      </c>
      <c r="F34" s="134" t="s">
        <v>1466</v>
      </c>
      <c r="G34" s="89">
        <v>1</v>
      </c>
      <c r="H34" s="89">
        <v>1</v>
      </c>
      <c r="J34" s="56"/>
      <c r="K34" s="138"/>
      <c r="L34" s="56"/>
      <c r="M34" s="56"/>
      <c r="O34" s="138" t="s">
        <v>1425</v>
      </c>
      <c r="P34" s="56">
        <v>2</v>
      </c>
      <c r="Q34" s="56" t="s">
        <v>1467</v>
      </c>
      <c r="R34" s="138" t="s">
        <v>1468</v>
      </c>
    </row>
    <row r="35" spans="1:18" ht="15" customHeight="1" x14ac:dyDescent="0.25">
      <c r="A35" s="134" t="s">
        <v>1469</v>
      </c>
      <c r="B35" s="89">
        <f t="shared" si="0"/>
        <v>4</v>
      </c>
      <c r="C35" s="135">
        <v>4</v>
      </c>
      <c r="D35" s="56"/>
      <c r="F35" s="134" t="s">
        <v>1470</v>
      </c>
      <c r="G35" s="89">
        <v>1</v>
      </c>
      <c r="H35" s="89">
        <v>1</v>
      </c>
      <c r="J35" s="56"/>
      <c r="K35" s="138"/>
      <c r="L35" s="56"/>
      <c r="M35" s="56"/>
      <c r="O35" s="138" t="s">
        <v>1425</v>
      </c>
      <c r="P35" s="56">
        <v>1</v>
      </c>
      <c r="Q35" s="56" t="s">
        <v>1471</v>
      </c>
      <c r="R35" s="138" t="s">
        <v>1472</v>
      </c>
    </row>
    <row r="36" spans="1:18" ht="15" customHeight="1" x14ac:dyDescent="0.25">
      <c r="A36" s="134" t="s">
        <v>1473</v>
      </c>
      <c r="B36" s="89">
        <f t="shared" si="0"/>
        <v>1</v>
      </c>
      <c r="C36" s="135">
        <v>1</v>
      </c>
      <c r="D36" s="56"/>
      <c r="F36" s="134" t="s">
        <v>1474</v>
      </c>
      <c r="G36" s="89">
        <v>1</v>
      </c>
      <c r="H36" s="89">
        <v>1</v>
      </c>
      <c r="J36" s="56"/>
      <c r="K36" s="138"/>
      <c r="L36" s="56"/>
      <c r="M36" s="56"/>
      <c r="O36" s="138" t="s">
        <v>1425</v>
      </c>
      <c r="P36" s="56">
        <v>1</v>
      </c>
      <c r="Q36" s="56" t="s">
        <v>1475</v>
      </c>
      <c r="R36" s="138"/>
    </row>
    <row r="37" spans="1:18" ht="15" customHeight="1" x14ac:dyDescent="0.25">
      <c r="A37" s="134" t="s">
        <v>1476</v>
      </c>
      <c r="B37" s="89">
        <f t="shared" si="0"/>
        <v>1</v>
      </c>
      <c r="C37" s="135">
        <v>1</v>
      </c>
      <c r="D37" s="56"/>
      <c r="F37" s="134" t="s">
        <v>1477</v>
      </c>
      <c r="G37" s="89">
        <v>1</v>
      </c>
      <c r="H37" s="89">
        <v>1</v>
      </c>
      <c r="J37" s="56"/>
      <c r="K37" s="138"/>
      <c r="L37" s="56"/>
      <c r="M37" s="56"/>
      <c r="O37" s="138" t="s">
        <v>1425</v>
      </c>
      <c r="P37" s="56">
        <v>2</v>
      </c>
      <c r="Q37" s="56" t="s">
        <v>1478</v>
      </c>
      <c r="R37" s="138" t="s">
        <v>1479</v>
      </c>
    </row>
    <row r="38" spans="1:18" ht="15" customHeight="1" x14ac:dyDescent="0.25">
      <c r="A38" s="134" t="s">
        <v>1480</v>
      </c>
      <c r="B38" s="89">
        <f t="shared" si="0"/>
        <v>3</v>
      </c>
      <c r="C38" s="135">
        <v>3</v>
      </c>
      <c r="D38" s="56"/>
      <c r="F38" s="134" t="s">
        <v>1481</v>
      </c>
      <c r="G38" s="89">
        <v>1</v>
      </c>
      <c r="H38" s="89">
        <v>1</v>
      </c>
      <c r="J38" s="56"/>
      <c r="K38" s="138"/>
      <c r="L38" s="56"/>
      <c r="M38" s="56"/>
      <c r="O38" s="138" t="s">
        <v>1425</v>
      </c>
      <c r="P38" s="56">
        <v>3</v>
      </c>
      <c r="Q38" s="56" t="s">
        <v>1482</v>
      </c>
      <c r="R38" s="138" t="s">
        <v>1483</v>
      </c>
    </row>
    <row r="39" spans="1:18" ht="15" customHeight="1" x14ac:dyDescent="0.25">
      <c r="A39" s="134" t="s">
        <v>1484</v>
      </c>
      <c r="B39" s="89">
        <f t="shared" si="0"/>
        <v>1</v>
      </c>
      <c r="C39" s="135">
        <v>1</v>
      </c>
      <c r="D39" s="56"/>
      <c r="F39" s="134" t="s">
        <v>1485</v>
      </c>
      <c r="G39" s="89">
        <v>1</v>
      </c>
      <c r="H39" s="89">
        <v>1</v>
      </c>
      <c r="J39" s="56"/>
      <c r="K39" s="138"/>
      <c r="L39" s="56"/>
      <c r="M39" s="56"/>
      <c r="O39" s="138" t="s">
        <v>1425</v>
      </c>
      <c r="P39" s="56">
        <v>1</v>
      </c>
      <c r="Q39" s="56" t="s">
        <v>1486</v>
      </c>
      <c r="R39" s="138" t="s">
        <v>1487</v>
      </c>
    </row>
    <row r="40" spans="1:18" ht="15" customHeight="1" x14ac:dyDescent="0.25">
      <c r="A40" s="134" t="s">
        <v>1488</v>
      </c>
      <c r="B40" s="89">
        <f t="shared" si="0"/>
        <v>2</v>
      </c>
      <c r="C40" s="135">
        <v>2</v>
      </c>
      <c r="D40" s="56"/>
      <c r="F40" s="134" t="s">
        <v>1489</v>
      </c>
      <c r="G40" s="89">
        <v>1</v>
      </c>
      <c r="H40" s="89"/>
      <c r="J40" s="56"/>
      <c r="K40" s="138"/>
      <c r="L40" s="56"/>
      <c r="M40" s="56"/>
      <c r="O40" s="138" t="s">
        <v>1412</v>
      </c>
      <c r="P40" s="56">
        <v>1</v>
      </c>
      <c r="Q40" s="56" t="s">
        <v>1490</v>
      </c>
      <c r="R40" s="138"/>
    </row>
    <row r="41" spans="1:18" ht="15" customHeight="1" x14ac:dyDescent="0.25">
      <c r="A41" s="134" t="s">
        <v>1491</v>
      </c>
      <c r="B41" s="89">
        <f t="shared" si="0"/>
        <v>1</v>
      </c>
      <c r="C41" s="135">
        <v>1</v>
      </c>
      <c r="D41" s="56"/>
      <c r="F41" s="134" t="s">
        <v>1492</v>
      </c>
      <c r="G41" s="89">
        <v>1</v>
      </c>
      <c r="H41" s="89"/>
      <c r="J41" s="56"/>
      <c r="K41" s="138"/>
      <c r="L41" s="56"/>
      <c r="M41" s="56"/>
      <c r="O41" s="138" t="s">
        <v>1412</v>
      </c>
      <c r="P41" s="56">
        <v>1</v>
      </c>
      <c r="Q41" s="56" t="s">
        <v>1493</v>
      </c>
      <c r="R41" s="138"/>
    </row>
    <row r="42" spans="1:18" ht="15" customHeight="1" x14ac:dyDescent="0.25">
      <c r="A42" s="134" t="s">
        <v>1494</v>
      </c>
      <c r="B42" s="89">
        <f t="shared" si="0"/>
        <v>0</v>
      </c>
      <c r="C42" s="135">
        <v>1</v>
      </c>
      <c r="D42" s="56">
        <v>1</v>
      </c>
      <c r="F42" s="134" t="s">
        <v>1495</v>
      </c>
      <c r="G42" s="89">
        <v>1</v>
      </c>
      <c r="H42" s="89">
        <v>1</v>
      </c>
      <c r="J42" s="56"/>
      <c r="K42" s="138"/>
      <c r="L42" s="56"/>
      <c r="M42" s="56"/>
      <c r="O42" s="138" t="s">
        <v>1412</v>
      </c>
      <c r="P42" s="56">
        <v>1</v>
      </c>
      <c r="Q42" s="56" t="s">
        <v>1496</v>
      </c>
      <c r="R42" s="138"/>
    </row>
    <row r="43" spans="1:18" ht="15" customHeight="1" x14ac:dyDescent="0.25">
      <c r="A43" s="134" t="s">
        <v>1497</v>
      </c>
      <c r="B43" s="89">
        <f t="shared" si="0"/>
        <v>0</v>
      </c>
      <c r="C43" s="135">
        <v>2</v>
      </c>
      <c r="D43" s="56">
        <v>2</v>
      </c>
      <c r="F43" s="134" t="s">
        <v>1498</v>
      </c>
      <c r="G43" s="89">
        <v>1</v>
      </c>
      <c r="H43" s="89">
        <v>1</v>
      </c>
      <c r="J43" s="56"/>
      <c r="K43" s="138"/>
      <c r="L43" s="56"/>
      <c r="M43" s="56"/>
      <c r="O43" s="138" t="s">
        <v>1412</v>
      </c>
      <c r="P43" s="56">
        <v>2</v>
      </c>
      <c r="Q43" s="56" t="s">
        <v>1499</v>
      </c>
      <c r="R43" s="138" t="s">
        <v>1500</v>
      </c>
    </row>
    <row r="44" spans="1:18" ht="15" customHeight="1" x14ac:dyDescent="0.25">
      <c r="A44" s="134" t="s">
        <v>1501</v>
      </c>
      <c r="B44" s="89">
        <f t="shared" si="0"/>
        <v>1</v>
      </c>
      <c r="C44" s="135">
        <v>1</v>
      </c>
      <c r="D44" s="56"/>
      <c r="F44" s="134" t="s">
        <v>1502</v>
      </c>
      <c r="G44" s="89">
        <v>1</v>
      </c>
      <c r="H44" s="89">
        <v>1</v>
      </c>
      <c r="J44" s="56"/>
      <c r="K44" s="138"/>
      <c r="L44" s="56"/>
      <c r="M44" s="56"/>
      <c r="O44" s="138" t="s">
        <v>1412</v>
      </c>
      <c r="P44" s="56">
        <v>1</v>
      </c>
      <c r="Q44" s="56" t="s">
        <v>1503</v>
      </c>
      <c r="R44" s="138" t="s">
        <v>1504</v>
      </c>
    </row>
    <row r="45" spans="1:18" ht="15" customHeight="1" x14ac:dyDescent="0.25">
      <c r="A45" s="134" t="s">
        <v>1505</v>
      </c>
      <c r="B45" s="89">
        <f t="shared" si="0"/>
        <v>1</v>
      </c>
      <c r="C45" s="135">
        <v>4</v>
      </c>
      <c r="D45" s="56">
        <v>3</v>
      </c>
      <c r="F45" s="134" t="s">
        <v>1506</v>
      </c>
      <c r="G45" s="89">
        <v>1</v>
      </c>
      <c r="H45" s="89">
        <v>2</v>
      </c>
      <c r="J45" s="56"/>
      <c r="K45" s="138"/>
      <c r="L45" s="56"/>
      <c r="M45" s="56"/>
      <c r="O45" s="138" t="s">
        <v>1412</v>
      </c>
      <c r="P45" s="56">
        <v>2</v>
      </c>
      <c r="Q45" s="56" t="s">
        <v>1507</v>
      </c>
      <c r="R45" s="138" t="s">
        <v>1508</v>
      </c>
    </row>
    <row r="46" spans="1:18" ht="15" customHeight="1" x14ac:dyDescent="0.25">
      <c r="A46" s="134" t="s">
        <v>1509</v>
      </c>
      <c r="B46" s="89">
        <f t="shared" si="0"/>
        <v>1</v>
      </c>
      <c r="C46" s="135">
        <v>5</v>
      </c>
      <c r="D46" s="56">
        <v>4</v>
      </c>
      <c r="F46" s="134" t="s">
        <v>1510</v>
      </c>
      <c r="G46" s="89">
        <v>1</v>
      </c>
      <c r="H46" s="89">
        <v>2</v>
      </c>
      <c r="J46" s="56"/>
      <c r="K46" s="138"/>
      <c r="L46" s="56"/>
      <c r="M46" s="56"/>
      <c r="O46" s="138" t="s">
        <v>1412</v>
      </c>
      <c r="P46" s="56">
        <v>3</v>
      </c>
      <c r="Q46" s="56" t="s">
        <v>1511</v>
      </c>
      <c r="R46" s="138" t="s">
        <v>1512</v>
      </c>
    </row>
    <row r="47" spans="1:18" ht="15" customHeight="1" x14ac:dyDescent="0.25">
      <c r="A47" s="134" t="s">
        <v>1513</v>
      </c>
      <c r="B47" s="89">
        <f t="shared" si="0"/>
        <v>0</v>
      </c>
      <c r="C47" s="135">
        <v>1</v>
      </c>
      <c r="D47" s="56">
        <v>1</v>
      </c>
      <c r="F47" s="134" t="s">
        <v>1514</v>
      </c>
      <c r="G47" s="89">
        <v>1</v>
      </c>
      <c r="H47" s="89">
        <v>1</v>
      </c>
      <c r="J47" s="56"/>
      <c r="K47" s="138"/>
      <c r="L47" s="56"/>
      <c r="M47" s="56"/>
      <c r="O47" s="138" t="s">
        <v>1412</v>
      </c>
      <c r="P47" s="56">
        <v>3</v>
      </c>
      <c r="Q47" s="56" t="s">
        <v>1515</v>
      </c>
      <c r="R47" s="138" t="s">
        <v>1516</v>
      </c>
    </row>
    <row r="48" spans="1:18" ht="15" customHeight="1" x14ac:dyDescent="0.25">
      <c r="A48" s="143" t="s">
        <v>1517</v>
      </c>
      <c r="B48" s="144">
        <f t="shared" si="0"/>
        <v>1</v>
      </c>
      <c r="C48" s="89">
        <v>6</v>
      </c>
      <c r="D48" s="145">
        <v>5</v>
      </c>
      <c r="F48" s="134" t="s">
        <v>1518</v>
      </c>
      <c r="G48" s="89">
        <v>1</v>
      </c>
      <c r="H48" s="89">
        <v>1</v>
      </c>
      <c r="J48" s="56"/>
      <c r="K48" s="138"/>
      <c r="L48" s="56"/>
      <c r="M48" s="56"/>
      <c r="O48" s="138" t="s">
        <v>1412</v>
      </c>
      <c r="P48" s="56">
        <v>2</v>
      </c>
      <c r="Q48" s="56" t="s">
        <v>1519</v>
      </c>
      <c r="R48" s="138" t="s">
        <v>1520</v>
      </c>
    </row>
    <row r="49" spans="1:18" ht="15" customHeight="1" x14ac:dyDescent="0.25">
      <c r="A49" s="134" t="s">
        <v>1521</v>
      </c>
      <c r="B49" s="89">
        <f t="shared" si="0"/>
        <v>3</v>
      </c>
      <c r="C49" s="89">
        <v>3</v>
      </c>
      <c r="D49" s="56"/>
      <c r="F49" s="134" t="s">
        <v>1522</v>
      </c>
      <c r="G49" s="89">
        <v>1</v>
      </c>
      <c r="H49" s="89">
        <v>1</v>
      </c>
      <c r="J49" s="56"/>
      <c r="K49" s="138"/>
      <c r="L49" s="56"/>
      <c r="M49" s="56"/>
      <c r="O49" s="138" t="s">
        <v>1412</v>
      </c>
      <c r="P49" s="56">
        <v>2</v>
      </c>
      <c r="Q49" s="56" t="s">
        <v>1523</v>
      </c>
      <c r="R49" s="138" t="s">
        <v>1524</v>
      </c>
    </row>
    <row r="50" spans="1:18" ht="15" customHeight="1" x14ac:dyDescent="0.25">
      <c r="A50" s="134" t="s">
        <v>1525</v>
      </c>
      <c r="B50" s="89">
        <f t="shared" si="0"/>
        <v>2</v>
      </c>
      <c r="C50" s="89">
        <v>2</v>
      </c>
      <c r="D50" s="56"/>
      <c r="F50" s="134" t="s">
        <v>1526</v>
      </c>
      <c r="G50" s="89">
        <v>1</v>
      </c>
      <c r="H50" s="89">
        <v>1</v>
      </c>
      <c r="J50" s="56"/>
      <c r="K50" s="138"/>
      <c r="L50" s="56"/>
      <c r="M50" s="56"/>
      <c r="O50" s="138" t="s">
        <v>1412</v>
      </c>
      <c r="P50" s="56">
        <v>1</v>
      </c>
      <c r="Q50" s="56" t="s">
        <v>1527</v>
      </c>
      <c r="R50" s="138" t="s">
        <v>1528</v>
      </c>
    </row>
    <row r="51" spans="1:18" ht="15" customHeight="1" x14ac:dyDescent="0.25">
      <c r="A51" s="134" t="s">
        <v>1529</v>
      </c>
      <c r="B51" s="89">
        <f t="shared" si="0"/>
        <v>1</v>
      </c>
      <c r="C51" s="89">
        <v>1</v>
      </c>
      <c r="D51" s="56"/>
      <c r="F51" s="134" t="s">
        <v>1530</v>
      </c>
      <c r="G51" s="89">
        <v>1</v>
      </c>
      <c r="H51" s="89">
        <v>1</v>
      </c>
      <c r="J51" s="56"/>
      <c r="K51" s="138"/>
      <c r="L51" s="56"/>
      <c r="M51" s="56"/>
      <c r="O51" s="138" t="s">
        <v>1412</v>
      </c>
      <c r="P51" s="56">
        <v>1</v>
      </c>
      <c r="Q51" s="56" t="s">
        <v>1531</v>
      </c>
      <c r="R51" s="138" t="s">
        <v>1532</v>
      </c>
    </row>
    <row r="52" spans="1:18" ht="15" customHeight="1" x14ac:dyDescent="0.25">
      <c r="A52" s="146" t="s">
        <v>1533</v>
      </c>
      <c r="B52" s="147">
        <f t="shared" si="0"/>
        <v>1</v>
      </c>
      <c r="C52" s="89">
        <v>1</v>
      </c>
      <c r="D52" s="148"/>
      <c r="F52" s="134" t="s">
        <v>1534</v>
      </c>
      <c r="G52" s="89">
        <v>1</v>
      </c>
      <c r="H52" s="89">
        <v>1</v>
      </c>
      <c r="J52" s="56"/>
      <c r="K52" s="138"/>
      <c r="L52" s="56"/>
      <c r="M52" s="56"/>
      <c r="O52" s="138" t="s">
        <v>1412</v>
      </c>
      <c r="P52" s="56">
        <v>1</v>
      </c>
      <c r="Q52" s="56" t="s">
        <v>1535</v>
      </c>
      <c r="R52" s="138" t="s">
        <v>1536</v>
      </c>
    </row>
    <row r="53" spans="1:18" ht="15" customHeight="1" x14ac:dyDescent="0.25">
      <c r="A53" s="134" t="s">
        <v>1537</v>
      </c>
      <c r="B53" s="89">
        <f t="shared" si="0"/>
        <v>2</v>
      </c>
      <c r="C53" s="135">
        <v>2</v>
      </c>
      <c r="D53" s="56"/>
      <c r="F53" s="134" t="s">
        <v>1538</v>
      </c>
      <c r="G53" s="89">
        <v>1</v>
      </c>
      <c r="H53" s="89">
        <v>1</v>
      </c>
      <c r="J53" s="56"/>
      <c r="K53" s="138"/>
      <c r="L53" s="56"/>
      <c r="M53" s="56"/>
      <c r="O53" s="138" t="s">
        <v>1412</v>
      </c>
      <c r="P53" s="56">
        <v>2</v>
      </c>
      <c r="Q53" s="56" t="s">
        <v>1539</v>
      </c>
      <c r="R53" s="138" t="s">
        <v>1540</v>
      </c>
    </row>
    <row r="54" spans="1:18" ht="15" customHeight="1" x14ac:dyDescent="0.25">
      <c r="A54" s="134" t="s">
        <v>1541</v>
      </c>
      <c r="B54" s="89">
        <f t="shared" si="0"/>
        <v>2</v>
      </c>
      <c r="C54" s="135">
        <v>2</v>
      </c>
      <c r="D54" s="56"/>
      <c r="F54" s="134" t="s">
        <v>1542</v>
      </c>
      <c r="G54" s="89">
        <v>1</v>
      </c>
      <c r="H54" s="89">
        <v>1</v>
      </c>
      <c r="J54" s="56"/>
      <c r="K54" s="138"/>
      <c r="L54" s="56"/>
      <c r="M54" s="56"/>
      <c r="O54" s="138" t="s">
        <v>1412</v>
      </c>
      <c r="P54" s="56">
        <v>1</v>
      </c>
      <c r="Q54" s="56" t="s">
        <v>1543</v>
      </c>
      <c r="R54" s="138" t="s">
        <v>1544</v>
      </c>
    </row>
    <row r="55" spans="1:18" ht="15" customHeight="1" x14ac:dyDescent="0.25">
      <c r="A55" s="134" t="s">
        <v>1545</v>
      </c>
      <c r="B55" s="89">
        <f t="shared" si="0"/>
        <v>2</v>
      </c>
      <c r="C55" s="135">
        <v>2</v>
      </c>
      <c r="D55" s="56"/>
      <c r="F55" s="134" t="s">
        <v>1546</v>
      </c>
      <c r="G55" s="89">
        <v>1</v>
      </c>
      <c r="H55" s="89">
        <v>1</v>
      </c>
      <c r="O55" s="138" t="s">
        <v>1412</v>
      </c>
      <c r="P55" s="56">
        <v>2</v>
      </c>
      <c r="Q55" s="56" t="s">
        <v>1547</v>
      </c>
      <c r="R55" s="138" t="s">
        <v>1548</v>
      </c>
    </row>
    <row r="56" spans="1:18" ht="15" customHeight="1" x14ac:dyDescent="0.25">
      <c r="A56" s="134" t="s">
        <v>1549</v>
      </c>
      <c r="B56" s="89">
        <f t="shared" si="0"/>
        <v>3</v>
      </c>
      <c r="C56" s="135">
        <v>3</v>
      </c>
      <c r="D56" s="56"/>
      <c r="F56" s="134" t="s">
        <v>1550</v>
      </c>
      <c r="G56" s="89">
        <v>1</v>
      </c>
      <c r="H56" s="89">
        <v>1</v>
      </c>
      <c r="O56" s="138" t="s">
        <v>1412</v>
      </c>
      <c r="P56" s="56">
        <v>2</v>
      </c>
      <c r="Q56" s="56" t="s">
        <v>1100</v>
      </c>
      <c r="R56" s="138" t="s">
        <v>1551</v>
      </c>
    </row>
    <row r="57" spans="1:18" ht="15" customHeight="1" x14ac:dyDescent="0.25">
      <c r="A57" s="134" t="s">
        <v>1552</v>
      </c>
      <c r="B57" s="89">
        <f t="shared" si="0"/>
        <v>1</v>
      </c>
      <c r="C57" s="135">
        <v>1</v>
      </c>
      <c r="D57" s="56"/>
      <c r="F57" s="134" t="s">
        <v>1553</v>
      </c>
      <c r="G57" s="89">
        <v>1</v>
      </c>
      <c r="H57" s="89">
        <v>1</v>
      </c>
      <c r="O57" s="138" t="s">
        <v>1412</v>
      </c>
      <c r="P57" s="56">
        <v>1</v>
      </c>
      <c r="Q57" s="56" t="s">
        <v>1413</v>
      </c>
      <c r="R57" s="138" t="s">
        <v>1554</v>
      </c>
    </row>
    <row r="58" spans="1:18" ht="15" customHeight="1" x14ac:dyDescent="0.25">
      <c r="A58" s="134" t="s">
        <v>1555</v>
      </c>
      <c r="B58" s="89">
        <f t="shared" si="0"/>
        <v>1</v>
      </c>
      <c r="C58" s="135">
        <v>1</v>
      </c>
      <c r="D58" s="56"/>
      <c r="F58" s="134" t="s">
        <v>1556</v>
      </c>
      <c r="G58" s="89">
        <v>2</v>
      </c>
      <c r="H58" s="89">
        <v>1</v>
      </c>
      <c r="O58" s="138" t="s">
        <v>1412</v>
      </c>
      <c r="P58" s="56">
        <v>2</v>
      </c>
      <c r="Q58" s="56" t="s">
        <v>1424</v>
      </c>
      <c r="R58" s="138" t="s">
        <v>1557</v>
      </c>
    </row>
    <row r="59" spans="1:18" ht="15" customHeight="1" x14ac:dyDescent="0.25">
      <c r="A59" s="134" t="s">
        <v>1558</v>
      </c>
      <c r="B59" s="89">
        <f t="shared" si="0"/>
        <v>0</v>
      </c>
      <c r="C59" s="135">
        <v>0</v>
      </c>
      <c r="D59" s="56"/>
      <c r="F59" s="134" t="s">
        <v>1559</v>
      </c>
      <c r="G59" s="89">
        <v>1</v>
      </c>
      <c r="H59" s="89">
        <v>1</v>
      </c>
      <c r="O59" s="138" t="s">
        <v>1412</v>
      </c>
      <c r="P59" s="56">
        <v>1</v>
      </c>
      <c r="Q59" s="56" t="s">
        <v>1560</v>
      </c>
      <c r="R59" s="138" t="s">
        <v>1561</v>
      </c>
    </row>
    <row r="60" spans="1:18" ht="15" customHeight="1" x14ac:dyDescent="0.25">
      <c r="A60" s="134" t="s">
        <v>1562</v>
      </c>
      <c r="B60" s="89">
        <f t="shared" si="0"/>
        <v>2</v>
      </c>
      <c r="C60" s="135">
        <v>2</v>
      </c>
      <c r="D60" s="56"/>
      <c r="F60" s="134" t="s">
        <v>1563</v>
      </c>
      <c r="G60" s="89">
        <v>1</v>
      </c>
      <c r="H60" s="89">
        <v>1</v>
      </c>
      <c r="O60" s="138" t="s">
        <v>1412</v>
      </c>
      <c r="P60" s="56">
        <v>1</v>
      </c>
      <c r="Q60" s="56" t="s">
        <v>1564</v>
      </c>
      <c r="R60" s="138" t="s">
        <v>1565</v>
      </c>
    </row>
    <row r="61" spans="1:18" ht="15" customHeight="1" x14ac:dyDescent="0.25">
      <c r="A61" s="134" t="s">
        <v>1566</v>
      </c>
      <c r="B61" s="89">
        <f t="shared" si="0"/>
        <v>1</v>
      </c>
      <c r="C61" s="135">
        <v>1</v>
      </c>
      <c r="D61" s="56"/>
      <c r="F61" s="134" t="s">
        <v>1567</v>
      </c>
      <c r="G61" s="89">
        <v>3</v>
      </c>
      <c r="H61" s="89">
        <v>1</v>
      </c>
      <c r="O61" s="138" t="s">
        <v>1412</v>
      </c>
      <c r="P61" s="56">
        <v>5</v>
      </c>
      <c r="Q61" s="56" t="s">
        <v>1568</v>
      </c>
      <c r="R61" s="138" t="s">
        <v>1569</v>
      </c>
    </row>
    <row r="62" spans="1:18" ht="15" customHeight="1" x14ac:dyDescent="0.25">
      <c r="A62" s="134" t="s">
        <v>1570</v>
      </c>
      <c r="B62" s="89">
        <f t="shared" si="0"/>
        <v>0</v>
      </c>
      <c r="C62" s="135">
        <v>1</v>
      </c>
      <c r="D62" s="56">
        <v>1</v>
      </c>
      <c r="F62" s="134" t="s">
        <v>1571</v>
      </c>
      <c r="G62" s="89">
        <v>1</v>
      </c>
      <c r="H62" s="89">
        <v>1</v>
      </c>
      <c r="O62" s="138" t="s">
        <v>1412</v>
      </c>
      <c r="P62" s="56">
        <v>1</v>
      </c>
      <c r="Q62" s="56" t="s">
        <v>1572</v>
      </c>
      <c r="R62" s="138" t="s">
        <v>1573</v>
      </c>
    </row>
    <row r="63" spans="1:18" ht="15" customHeight="1" x14ac:dyDescent="0.25">
      <c r="A63" s="134" t="s">
        <v>1574</v>
      </c>
      <c r="B63" s="89">
        <f t="shared" si="0"/>
        <v>1</v>
      </c>
      <c r="C63" s="135">
        <v>1</v>
      </c>
      <c r="D63" s="56"/>
      <c r="F63" s="134" t="s">
        <v>1575</v>
      </c>
      <c r="G63" s="89">
        <v>1</v>
      </c>
      <c r="H63" s="89">
        <v>1</v>
      </c>
      <c r="O63" s="138" t="s">
        <v>1412</v>
      </c>
      <c r="P63" s="56">
        <v>8</v>
      </c>
      <c r="Q63" s="56" t="s">
        <v>1420</v>
      </c>
      <c r="R63" s="138" t="s">
        <v>1576</v>
      </c>
    </row>
    <row r="64" spans="1:18" ht="15" customHeight="1" x14ac:dyDescent="0.25">
      <c r="A64" s="134" t="s">
        <v>1577</v>
      </c>
      <c r="B64" s="89">
        <f t="shared" si="0"/>
        <v>1</v>
      </c>
      <c r="C64" s="135">
        <v>1</v>
      </c>
      <c r="D64" s="56"/>
      <c r="F64" s="134" t="s">
        <v>1578</v>
      </c>
      <c r="G64" s="89">
        <v>1</v>
      </c>
      <c r="H64" s="89">
        <v>1</v>
      </c>
      <c r="O64" s="138" t="s">
        <v>1412</v>
      </c>
      <c r="P64" s="56">
        <v>2</v>
      </c>
      <c r="Q64" s="56" t="s">
        <v>1579</v>
      </c>
      <c r="R64" s="138"/>
    </row>
    <row r="65" spans="1:18" ht="15" customHeight="1" x14ac:dyDescent="0.25">
      <c r="A65" s="134" t="s">
        <v>1580</v>
      </c>
      <c r="B65" s="89">
        <f t="shared" si="0"/>
        <v>0</v>
      </c>
      <c r="C65" s="135">
        <v>0</v>
      </c>
      <c r="D65" s="56"/>
      <c r="F65" s="134" t="s">
        <v>1581</v>
      </c>
      <c r="G65" s="89">
        <v>1</v>
      </c>
      <c r="H65" s="89">
        <v>2</v>
      </c>
      <c r="O65" s="138" t="s">
        <v>1412</v>
      </c>
      <c r="P65" s="56">
        <v>4</v>
      </c>
      <c r="Q65" s="56" t="s">
        <v>1416</v>
      </c>
      <c r="R65" s="138" t="s">
        <v>1582</v>
      </c>
    </row>
    <row r="66" spans="1:18" ht="15" customHeight="1" x14ac:dyDescent="0.25">
      <c r="A66" s="134" t="s">
        <v>1583</v>
      </c>
      <c r="B66" s="89">
        <f t="shared" si="0"/>
        <v>1</v>
      </c>
      <c r="C66" s="135">
        <v>1</v>
      </c>
      <c r="D66" s="56"/>
      <c r="F66" s="134" t="s">
        <v>1584</v>
      </c>
      <c r="G66" s="89">
        <v>1</v>
      </c>
      <c r="H66" s="89">
        <v>1</v>
      </c>
      <c r="O66" s="138" t="s">
        <v>1412</v>
      </c>
      <c r="P66" s="56">
        <v>1</v>
      </c>
      <c r="Q66" s="56" t="s">
        <v>1585</v>
      </c>
      <c r="R66" s="138" t="s">
        <v>1586</v>
      </c>
    </row>
    <row r="67" spans="1:18" ht="15" customHeight="1" x14ac:dyDescent="0.25">
      <c r="A67" s="134" t="s">
        <v>1587</v>
      </c>
      <c r="B67" s="89">
        <f t="shared" si="0"/>
        <v>4</v>
      </c>
      <c r="C67" s="135">
        <v>4</v>
      </c>
      <c r="D67" s="56"/>
      <c r="F67" s="134" t="s">
        <v>1588</v>
      </c>
      <c r="G67" s="89">
        <v>1</v>
      </c>
      <c r="H67" s="89">
        <v>1</v>
      </c>
      <c r="O67" s="138" t="s">
        <v>1412</v>
      </c>
      <c r="P67" s="56">
        <v>1</v>
      </c>
      <c r="Q67" s="56" t="s">
        <v>1589</v>
      </c>
      <c r="R67" s="138" t="s">
        <v>1590</v>
      </c>
    </row>
    <row r="68" spans="1:18" ht="15" customHeight="1" x14ac:dyDescent="0.25">
      <c r="A68" s="134" t="s">
        <v>1591</v>
      </c>
      <c r="B68" s="89">
        <f t="shared" si="0"/>
        <v>3</v>
      </c>
      <c r="C68" s="135">
        <v>3</v>
      </c>
      <c r="D68" s="56"/>
      <c r="F68" s="134" t="s">
        <v>1592</v>
      </c>
      <c r="G68" s="89">
        <v>1</v>
      </c>
      <c r="H68" s="89">
        <v>1</v>
      </c>
      <c r="O68" s="138" t="s">
        <v>1412</v>
      </c>
      <c r="P68" s="56">
        <v>1</v>
      </c>
      <c r="Q68" s="56" t="s">
        <v>1593</v>
      </c>
      <c r="R68" s="138"/>
    </row>
    <row r="69" spans="1:18" ht="15" customHeight="1" x14ac:dyDescent="0.25">
      <c r="A69" s="134" t="s">
        <v>1594</v>
      </c>
      <c r="B69" s="89">
        <f t="shared" si="0"/>
        <v>2</v>
      </c>
      <c r="C69" s="135">
        <v>2</v>
      </c>
      <c r="D69" s="56"/>
      <c r="F69" s="134" t="s">
        <v>1595</v>
      </c>
      <c r="G69" s="89">
        <v>1</v>
      </c>
      <c r="H69" s="89">
        <v>1</v>
      </c>
      <c r="O69" s="138" t="s">
        <v>1412</v>
      </c>
      <c r="P69" s="56">
        <v>2</v>
      </c>
      <c r="Q69" s="56" t="s">
        <v>1596</v>
      </c>
      <c r="R69" s="138"/>
    </row>
    <row r="70" spans="1:18" ht="15" customHeight="1" x14ac:dyDescent="0.25">
      <c r="A70" s="134" t="s">
        <v>1597</v>
      </c>
      <c r="B70" s="89">
        <f t="shared" si="0"/>
        <v>0</v>
      </c>
      <c r="C70" s="135">
        <v>1</v>
      </c>
      <c r="D70" s="56">
        <v>1</v>
      </c>
      <c r="F70" s="134" t="s">
        <v>1598</v>
      </c>
      <c r="G70" s="89">
        <v>1</v>
      </c>
      <c r="H70" s="89">
        <v>1</v>
      </c>
      <c r="O70" s="138" t="s">
        <v>1412</v>
      </c>
      <c r="P70" s="56">
        <v>2</v>
      </c>
      <c r="Q70" s="56" t="s">
        <v>1599</v>
      </c>
      <c r="R70" s="138" t="s">
        <v>1600</v>
      </c>
    </row>
    <row r="71" spans="1:18" ht="15" customHeight="1" x14ac:dyDescent="0.25">
      <c r="A71" s="134" t="s">
        <v>1601</v>
      </c>
      <c r="B71" s="89">
        <f t="shared" si="0"/>
        <v>-1</v>
      </c>
      <c r="C71" s="135">
        <v>0</v>
      </c>
      <c r="D71" s="56">
        <v>1</v>
      </c>
      <c r="F71" s="134" t="s">
        <v>1602</v>
      </c>
      <c r="G71" s="89">
        <v>1</v>
      </c>
      <c r="H71" s="89">
        <v>1</v>
      </c>
      <c r="O71" s="138" t="s">
        <v>1603</v>
      </c>
      <c r="P71" s="56">
        <v>1</v>
      </c>
      <c r="Q71" s="56" t="s">
        <v>1604</v>
      </c>
      <c r="R71" s="138" t="s">
        <v>1605</v>
      </c>
    </row>
    <row r="72" spans="1:18" ht="15" customHeight="1" x14ac:dyDescent="0.25">
      <c r="A72" s="134" t="s">
        <v>1606</v>
      </c>
      <c r="B72" s="89">
        <f t="shared" si="0"/>
        <v>1</v>
      </c>
      <c r="C72" s="135">
        <v>1</v>
      </c>
      <c r="D72" s="56"/>
      <c r="F72" s="134" t="s">
        <v>1607</v>
      </c>
      <c r="G72" s="89">
        <v>1</v>
      </c>
      <c r="H72" s="89">
        <v>1</v>
      </c>
      <c r="O72" s="138" t="s">
        <v>1603</v>
      </c>
      <c r="P72" s="56">
        <v>1</v>
      </c>
      <c r="Q72" s="56" t="s">
        <v>1608</v>
      </c>
      <c r="R72" s="138" t="s">
        <v>1600</v>
      </c>
    </row>
    <row r="73" spans="1:18" ht="15" customHeight="1" x14ac:dyDescent="0.25">
      <c r="A73" s="134" t="s">
        <v>1609</v>
      </c>
      <c r="B73" s="89">
        <f t="shared" si="0"/>
        <v>0</v>
      </c>
      <c r="C73" s="135">
        <v>0</v>
      </c>
      <c r="D73" s="56"/>
      <c r="F73" s="134" t="s">
        <v>1610</v>
      </c>
      <c r="G73" s="89">
        <v>1</v>
      </c>
      <c r="H73" s="89"/>
      <c r="O73" s="138" t="s">
        <v>1603</v>
      </c>
      <c r="P73" s="56">
        <v>4</v>
      </c>
      <c r="Q73" s="56" t="s">
        <v>1611</v>
      </c>
      <c r="R73" s="138" t="s">
        <v>1612</v>
      </c>
    </row>
    <row r="74" spans="1:18" ht="15" customHeight="1" x14ac:dyDescent="0.25">
      <c r="A74" s="134" t="s">
        <v>1613</v>
      </c>
      <c r="B74" s="89">
        <f t="shared" si="0"/>
        <v>1</v>
      </c>
      <c r="C74" s="135">
        <v>1</v>
      </c>
      <c r="D74" s="56"/>
      <c r="F74" s="134" t="s">
        <v>1614</v>
      </c>
      <c r="G74" s="89">
        <v>1</v>
      </c>
      <c r="H74" s="89">
        <v>1</v>
      </c>
      <c r="O74" s="138" t="s">
        <v>1603</v>
      </c>
      <c r="P74" s="56">
        <v>1</v>
      </c>
      <c r="Q74" s="56" t="s">
        <v>1615</v>
      </c>
      <c r="R74" s="138" t="s">
        <v>1616</v>
      </c>
    </row>
    <row r="75" spans="1:18" ht="15" customHeight="1" x14ac:dyDescent="0.25">
      <c r="A75" s="134" t="s">
        <v>1617</v>
      </c>
      <c r="B75" s="89">
        <f t="shared" si="0"/>
        <v>2</v>
      </c>
      <c r="C75" s="135">
        <v>2</v>
      </c>
      <c r="D75" s="56"/>
      <c r="F75" s="134" t="s">
        <v>1618</v>
      </c>
      <c r="G75" s="89">
        <v>1</v>
      </c>
      <c r="H75" s="89">
        <v>1</v>
      </c>
      <c r="O75" s="138" t="s">
        <v>1603</v>
      </c>
      <c r="P75" s="56">
        <v>1</v>
      </c>
      <c r="Q75" s="56" t="s">
        <v>1619</v>
      </c>
      <c r="R75" s="138" t="s">
        <v>1620</v>
      </c>
    </row>
    <row r="76" spans="1:18" ht="15" customHeight="1" x14ac:dyDescent="0.25">
      <c r="A76" s="134" t="s">
        <v>1621</v>
      </c>
      <c r="B76" s="89">
        <f t="shared" si="0"/>
        <v>0</v>
      </c>
      <c r="C76" s="135">
        <v>0</v>
      </c>
      <c r="D76" s="56"/>
      <c r="F76" s="134" t="s">
        <v>1622</v>
      </c>
      <c r="G76" s="89">
        <v>1</v>
      </c>
      <c r="H76" s="89">
        <v>1</v>
      </c>
      <c r="O76" s="138" t="s">
        <v>1603</v>
      </c>
      <c r="P76" s="56">
        <v>3</v>
      </c>
      <c r="Q76" s="56" t="s">
        <v>1623</v>
      </c>
      <c r="R76" s="138" t="s">
        <v>1624</v>
      </c>
    </row>
    <row r="77" spans="1:18" ht="15" customHeight="1" x14ac:dyDescent="0.25">
      <c r="A77" s="134" t="s">
        <v>1625</v>
      </c>
      <c r="B77" s="89">
        <f t="shared" si="0"/>
        <v>-1</v>
      </c>
      <c r="C77" s="135">
        <v>0</v>
      </c>
      <c r="D77" s="56">
        <v>1</v>
      </c>
      <c r="F77" s="134" t="s">
        <v>1626</v>
      </c>
      <c r="G77" s="89">
        <v>1</v>
      </c>
      <c r="H77" s="89">
        <v>1</v>
      </c>
      <c r="O77" s="138" t="s">
        <v>1603</v>
      </c>
      <c r="P77" s="56">
        <v>1</v>
      </c>
      <c r="Q77" s="56" t="s">
        <v>1627</v>
      </c>
      <c r="R77" s="138" t="s">
        <v>1628</v>
      </c>
    </row>
    <row r="78" spans="1:18" ht="15" customHeight="1" x14ac:dyDescent="0.25">
      <c r="A78" s="134" t="s">
        <v>1629</v>
      </c>
      <c r="B78" s="89">
        <f t="shared" si="0"/>
        <v>1</v>
      </c>
      <c r="C78" s="135">
        <v>1</v>
      </c>
      <c r="D78" s="56"/>
      <c r="F78" s="134" t="s">
        <v>1630</v>
      </c>
      <c r="G78" s="89">
        <v>1</v>
      </c>
      <c r="H78" s="89">
        <v>1</v>
      </c>
      <c r="O78" s="138" t="s">
        <v>1603</v>
      </c>
      <c r="P78" s="56">
        <v>2</v>
      </c>
      <c r="Q78" s="56" t="s">
        <v>1631</v>
      </c>
      <c r="R78" s="138" t="s">
        <v>1632</v>
      </c>
    </row>
    <row r="79" spans="1:18" ht="15" customHeight="1" x14ac:dyDescent="0.25">
      <c r="A79" s="134" t="s">
        <v>1633</v>
      </c>
      <c r="B79" s="89">
        <f t="shared" si="0"/>
        <v>1</v>
      </c>
      <c r="C79" s="135">
        <v>1</v>
      </c>
      <c r="D79" s="56"/>
      <c r="F79" s="134" t="s">
        <v>1634</v>
      </c>
      <c r="G79" s="89">
        <v>1</v>
      </c>
      <c r="H79" s="89">
        <v>1</v>
      </c>
      <c r="O79" s="138" t="s">
        <v>1603</v>
      </c>
      <c r="P79" s="56">
        <v>1</v>
      </c>
      <c r="Q79" s="56" t="s">
        <v>1635</v>
      </c>
      <c r="R79" s="138"/>
    </row>
    <row r="80" spans="1:18" ht="15" customHeight="1" x14ac:dyDescent="0.25">
      <c r="A80" s="134" t="s">
        <v>1636</v>
      </c>
      <c r="B80" s="89">
        <f t="shared" si="0"/>
        <v>1</v>
      </c>
      <c r="C80" s="135">
        <v>1</v>
      </c>
      <c r="D80" s="56"/>
      <c r="F80" s="134" t="s">
        <v>1637</v>
      </c>
      <c r="G80" s="89">
        <v>2</v>
      </c>
      <c r="H80" s="89">
        <v>1</v>
      </c>
      <c r="O80" s="138" t="s">
        <v>1603</v>
      </c>
      <c r="P80" s="56">
        <v>3</v>
      </c>
      <c r="Q80" s="56" t="s">
        <v>1638</v>
      </c>
      <c r="R80" s="138"/>
    </row>
    <row r="81" spans="1:18" ht="15" customHeight="1" x14ac:dyDescent="0.25">
      <c r="A81" s="134" t="s">
        <v>1639</v>
      </c>
      <c r="B81" s="89">
        <f t="shared" si="0"/>
        <v>2</v>
      </c>
      <c r="C81" s="135">
        <v>2</v>
      </c>
      <c r="D81" s="56"/>
      <c r="F81" s="134" t="s">
        <v>1640</v>
      </c>
      <c r="G81" s="89">
        <v>1</v>
      </c>
      <c r="H81" s="89">
        <v>1</v>
      </c>
      <c r="O81" s="138" t="s">
        <v>1603</v>
      </c>
      <c r="P81" s="56">
        <v>2</v>
      </c>
      <c r="Q81" s="56" t="s">
        <v>1641</v>
      </c>
      <c r="R81" s="138" t="s">
        <v>1642</v>
      </c>
    </row>
    <row r="82" spans="1:18" ht="15" customHeight="1" x14ac:dyDescent="0.25">
      <c r="A82" s="134" t="s">
        <v>1643</v>
      </c>
      <c r="B82" s="89">
        <f t="shared" si="0"/>
        <v>4</v>
      </c>
      <c r="C82" s="135">
        <v>4</v>
      </c>
      <c r="D82" s="56"/>
      <c r="F82" s="134" t="s">
        <v>1644</v>
      </c>
      <c r="G82" s="89">
        <v>1</v>
      </c>
      <c r="H82" s="89">
        <v>1</v>
      </c>
      <c r="O82" s="138" t="s">
        <v>1603</v>
      </c>
      <c r="P82" s="56">
        <v>2</v>
      </c>
      <c r="Q82" s="56" t="s">
        <v>1645</v>
      </c>
      <c r="R82" s="138"/>
    </row>
    <row r="83" spans="1:18" ht="15" customHeight="1" x14ac:dyDescent="0.25">
      <c r="A83" s="134" t="s">
        <v>1646</v>
      </c>
      <c r="B83" s="89">
        <f t="shared" si="0"/>
        <v>1</v>
      </c>
      <c r="C83" s="135">
        <v>1</v>
      </c>
      <c r="D83" s="56"/>
      <c r="F83" s="134" t="s">
        <v>1647</v>
      </c>
      <c r="G83" s="89">
        <v>2</v>
      </c>
      <c r="H83" s="89">
        <v>2</v>
      </c>
      <c r="O83" s="138" t="s">
        <v>1603</v>
      </c>
      <c r="P83" s="56">
        <v>1</v>
      </c>
      <c r="Q83" s="56" t="s">
        <v>1648</v>
      </c>
      <c r="R83" s="138" t="s">
        <v>1649</v>
      </c>
    </row>
    <row r="84" spans="1:18" ht="15" customHeight="1" x14ac:dyDescent="0.25">
      <c r="A84" s="143" t="s">
        <v>1650</v>
      </c>
      <c r="B84" s="144">
        <f t="shared" si="0"/>
        <v>1</v>
      </c>
      <c r="C84" s="89">
        <v>1</v>
      </c>
      <c r="D84" s="145"/>
      <c r="F84" s="134" t="s">
        <v>1651</v>
      </c>
      <c r="G84" s="89">
        <v>1</v>
      </c>
      <c r="H84" s="89">
        <v>1</v>
      </c>
      <c r="O84" s="138" t="s">
        <v>1603</v>
      </c>
      <c r="P84" s="56">
        <v>1</v>
      </c>
      <c r="Q84" s="56" t="s">
        <v>1652</v>
      </c>
      <c r="R84" s="138"/>
    </row>
    <row r="85" spans="1:18" ht="15" customHeight="1" x14ac:dyDescent="0.25">
      <c r="A85" s="146" t="s">
        <v>1653</v>
      </c>
      <c r="B85" s="147">
        <f t="shared" si="0"/>
        <v>2</v>
      </c>
      <c r="C85" s="135">
        <v>2</v>
      </c>
      <c r="D85" s="148"/>
      <c r="F85" s="134" t="s">
        <v>1654</v>
      </c>
      <c r="G85" s="89">
        <v>1</v>
      </c>
      <c r="H85" s="89">
        <v>1</v>
      </c>
      <c r="O85" s="138" t="s">
        <v>1603</v>
      </c>
      <c r="P85" s="56">
        <v>2</v>
      </c>
      <c r="Q85" s="56" t="s">
        <v>1655</v>
      </c>
      <c r="R85" s="138"/>
    </row>
    <row r="86" spans="1:18" ht="15" customHeight="1" x14ac:dyDescent="0.25">
      <c r="A86" s="134" t="s">
        <v>1656</v>
      </c>
      <c r="B86" s="89">
        <f t="shared" si="0"/>
        <v>6</v>
      </c>
      <c r="C86" s="135">
        <v>6</v>
      </c>
      <c r="D86" s="56"/>
      <c r="F86" s="134" t="s">
        <v>1657</v>
      </c>
      <c r="G86" s="89">
        <v>1</v>
      </c>
      <c r="H86" s="89">
        <v>2</v>
      </c>
      <c r="O86" s="138" t="s">
        <v>1603</v>
      </c>
      <c r="P86" s="56">
        <v>1</v>
      </c>
      <c r="Q86" s="56" t="s">
        <v>1658</v>
      </c>
      <c r="R86" s="138"/>
    </row>
    <row r="87" spans="1:18" ht="15" customHeight="1" x14ac:dyDescent="0.25">
      <c r="A87" s="134" t="s">
        <v>1659</v>
      </c>
      <c r="B87" s="89">
        <f t="shared" si="0"/>
        <v>1</v>
      </c>
      <c r="C87" s="89">
        <v>1</v>
      </c>
      <c r="D87" s="56"/>
      <c r="F87" s="134" t="s">
        <v>1660</v>
      </c>
      <c r="G87" s="89">
        <v>1</v>
      </c>
      <c r="H87" s="89">
        <v>1</v>
      </c>
      <c r="O87" s="138" t="s">
        <v>1603</v>
      </c>
      <c r="P87" s="56">
        <v>2</v>
      </c>
      <c r="Q87" s="56" t="s">
        <v>1661</v>
      </c>
      <c r="R87" s="138"/>
    </row>
    <row r="88" spans="1:18" ht="15" customHeight="1" x14ac:dyDescent="0.25">
      <c r="A88" s="134" t="s">
        <v>1662</v>
      </c>
      <c r="B88" s="89">
        <f t="shared" si="0"/>
        <v>0</v>
      </c>
      <c r="C88" s="89">
        <v>0</v>
      </c>
      <c r="D88" s="56"/>
      <c r="F88" s="134" t="s">
        <v>1663</v>
      </c>
      <c r="G88" s="89">
        <v>1</v>
      </c>
      <c r="H88" s="89">
        <v>1</v>
      </c>
      <c r="O88" s="138" t="s">
        <v>1603</v>
      </c>
      <c r="P88" s="56">
        <v>3</v>
      </c>
      <c r="Q88" s="56" t="s">
        <v>1664</v>
      </c>
      <c r="R88" s="138"/>
    </row>
    <row r="89" spans="1:18" ht="15" customHeight="1" x14ac:dyDescent="0.25">
      <c r="A89" s="134" t="s">
        <v>1665</v>
      </c>
      <c r="B89" s="89">
        <f t="shared" si="0"/>
        <v>1</v>
      </c>
      <c r="C89" s="89">
        <v>1</v>
      </c>
      <c r="D89" s="56"/>
      <c r="F89" s="134" t="s">
        <v>1666</v>
      </c>
      <c r="G89" s="89">
        <v>1</v>
      </c>
      <c r="H89" s="89"/>
      <c r="O89" s="138" t="s">
        <v>1603</v>
      </c>
      <c r="P89" s="56">
        <v>1</v>
      </c>
      <c r="Q89" s="56" t="s">
        <v>1667</v>
      </c>
      <c r="R89" s="138"/>
    </row>
    <row r="90" spans="1:18" ht="15" customHeight="1" x14ac:dyDescent="0.25">
      <c r="A90" s="134" t="s">
        <v>1626</v>
      </c>
      <c r="B90" s="89">
        <f t="shared" si="0"/>
        <v>1</v>
      </c>
      <c r="C90" s="89">
        <v>1</v>
      </c>
      <c r="D90" s="56"/>
      <c r="F90" s="134" t="s">
        <v>1668</v>
      </c>
      <c r="G90" s="89">
        <v>1</v>
      </c>
      <c r="H90" s="89">
        <v>1</v>
      </c>
      <c r="O90" s="138" t="s">
        <v>1603</v>
      </c>
      <c r="P90" s="56">
        <v>3</v>
      </c>
      <c r="Q90" s="56" t="s">
        <v>1669</v>
      </c>
      <c r="R90" s="138"/>
    </row>
    <row r="91" spans="1:18" ht="15" customHeight="1" x14ac:dyDescent="0.25">
      <c r="A91" s="134" t="s">
        <v>1670</v>
      </c>
      <c r="B91" s="89">
        <f t="shared" si="0"/>
        <v>1</v>
      </c>
      <c r="C91" s="89">
        <v>1</v>
      </c>
      <c r="D91" s="56"/>
      <c r="F91" s="134" t="s">
        <v>1671</v>
      </c>
      <c r="G91" s="89">
        <v>1</v>
      </c>
      <c r="H91" s="89">
        <v>1</v>
      </c>
      <c r="O91" s="138" t="s">
        <v>1603</v>
      </c>
      <c r="P91" s="56">
        <v>3</v>
      </c>
      <c r="Q91" s="56" t="s">
        <v>1672</v>
      </c>
      <c r="R91" s="138" t="s">
        <v>1673</v>
      </c>
    </row>
    <row r="92" spans="1:18" ht="15" customHeight="1" x14ac:dyDescent="0.25">
      <c r="A92" s="134" t="s">
        <v>1674</v>
      </c>
      <c r="B92" s="89">
        <f t="shared" si="0"/>
        <v>1</v>
      </c>
      <c r="C92" s="89">
        <v>1</v>
      </c>
      <c r="D92" s="56"/>
      <c r="F92" s="134" t="s">
        <v>1675</v>
      </c>
      <c r="G92" s="89">
        <v>2</v>
      </c>
      <c r="H92" s="89">
        <v>1</v>
      </c>
      <c r="O92" s="138" t="s">
        <v>1603</v>
      </c>
      <c r="P92" s="56">
        <v>3</v>
      </c>
      <c r="Q92" s="56" t="s">
        <v>1676</v>
      </c>
      <c r="R92" s="138"/>
    </row>
    <row r="93" spans="1:18" ht="15" customHeight="1" x14ac:dyDescent="0.25">
      <c r="A93" s="134" t="s">
        <v>1677</v>
      </c>
      <c r="B93" s="89">
        <f t="shared" si="0"/>
        <v>1</v>
      </c>
      <c r="C93" s="89">
        <v>1</v>
      </c>
      <c r="D93" s="56"/>
      <c r="F93" s="134" t="s">
        <v>1678</v>
      </c>
      <c r="G93" s="89">
        <v>1</v>
      </c>
      <c r="H93" s="89">
        <v>1</v>
      </c>
      <c r="O93" s="138" t="s">
        <v>1603</v>
      </c>
      <c r="P93" s="56">
        <v>2</v>
      </c>
      <c r="Q93" s="56" t="s">
        <v>1679</v>
      </c>
      <c r="R93" s="138"/>
    </row>
    <row r="94" spans="1:18" ht="15" customHeight="1" x14ac:dyDescent="0.25">
      <c r="A94" s="134" t="s">
        <v>1680</v>
      </c>
      <c r="B94" s="89">
        <f t="shared" si="0"/>
        <v>1</v>
      </c>
      <c r="C94" s="89">
        <v>1</v>
      </c>
      <c r="D94" s="56"/>
      <c r="F94" s="134" t="s">
        <v>1681</v>
      </c>
      <c r="G94" s="89">
        <v>1</v>
      </c>
      <c r="H94" s="89">
        <v>1</v>
      </c>
      <c r="O94" s="138" t="s">
        <v>1603</v>
      </c>
      <c r="P94" s="56">
        <v>1</v>
      </c>
      <c r="Q94" s="56" t="s">
        <v>1682</v>
      </c>
      <c r="R94" s="138"/>
    </row>
    <row r="95" spans="1:18" ht="15" customHeight="1" x14ac:dyDescent="0.25">
      <c r="A95" s="134" t="s">
        <v>1683</v>
      </c>
      <c r="B95" s="89">
        <f t="shared" si="0"/>
        <v>3</v>
      </c>
      <c r="C95" s="89">
        <v>3</v>
      </c>
      <c r="D95" s="56"/>
      <c r="F95" s="134" t="s">
        <v>1684</v>
      </c>
      <c r="G95" s="89">
        <v>1</v>
      </c>
      <c r="H95" s="89">
        <v>1</v>
      </c>
      <c r="O95" s="138" t="s">
        <v>1603</v>
      </c>
      <c r="P95" s="56">
        <v>1</v>
      </c>
      <c r="Q95" s="56" t="s">
        <v>1685</v>
      </c>
      <c r="R95" s="138"/>
    </row>
    <row r="96" spans="1:18" ht="15" customHeight="1" x14ac:dyDescent="0.25">
      <c r="A96" s="134" t="s">
        <v>1686</v>
      </c>
      <c r="B96" s="89">
        <f t="shared" si="0"/>
        <v>1</v>
      </c>
      <c r="C96" s="135">
        <v>1</v>
      </c>
      <c r="D96" s="56"/>
      <c r="F96" s="134" t="s">
        <v>1687</v>
      </c>
      <c r="G96" s="89">
        <v>1</v>
      </c>
      <c r="H96" s="89">
        <v>2</v>
      </c>
      <c r="O96" s="138" t="s">
        <v>1603</v>
      </c>
      <c r="P96" s="56">
        <v>2</v>
      </c>
      <c r="Q96" s="56" t="s">
        <v>1688</v>
      </c>
      <c r="R96" s="138"/>
    </row>
    <row r="97" spans="1:18" ht="15" customHeight="1" x14ac:dyDescent="0.25">
      <c r="A97" s="134" t="s">
        <v>1689</v>
      </c>
      <c r="B97" s="89">
        <f t="shared" si="0"/>
        <v>1</v>
      </c>
      <c r="C97" s="89">
        <v>1</v>
      </c>
      <c r="D97" s="56"/>
      <c r="F97" s="134" t="s">
        <v>1690</v>
      </c>
      <c r="G97" s="89">
        <v>1</v>
      </c>
      <c r="H97" s="89">
        <v>1</v>
      </c>
      <c r="O97" s="138" t="s">
        <v>1603</v>
      </c>
      <c r="P97" s="56">
        <v>2</v>
      </c>
      <c r="Q97" s="56" t="s">
        <v>1691</v>
      </c>
      <c r="R97" s="138"/>
    </row>
    <row r="98" spans="1:18" ht="15" customHeight="1" x14ac:dyDescent="0.25">
      <c r="A98" s="134" t="s">
        <v>1692</v>
      </c>
      <c r="B98" s="89">
        <f t="shared" si="0"/>
        <v>0</v>
      </c>
      <c r="C98" s="89">
        <v>0</v>
      </c>
      <c r="D98" s="56"/>
      <c r="F98" s="134" t="s">
        <v>1693</v>
      </c>
      <c r="G98" s="89">
        <v>1</v>
      </c>
      <c r="H98" s="89">
        <v>2</v>
      </c>
      <c r="O98" s="138" t="s">
        <v>1603</v>
      </c>
      <c r="P98" s="56">
        <v>1</v>
      </c>
      <c r="Q98" s="56" t="s">
        <v>1694</v>
      </c>
      <c r="R98" s="138"/>
    </row>
    <row r="99" spans="1:18" ht="15" customHeight="1" x14ac:dyDescent="0.25">
      <c r="A99" s="134" t="s">
        <v>1695</v>
      </c>
      <c r="B99" s="89">
        <f t="shared" si="0"/>
        <v>1</v>
      </c>
      <c r="C99" s="135">
        <v>1</v>
      </c>
      <c r="D99" s="56"/>
      <c r="F99" s="134" t="s">
        <v>1696</v>
      </c>
      <c r="G99" s="89">
        <v>1</v>
      </c>
      <c r="H99" s="89">
        <v>1</v>
      </c>
      <c r="O99" s="138"/>
      <c r="P99" s="56"/>
      <c r="Q99" s="56"/>
      <c r="R99" s="138"/>
    </row>
    <row r="100" spans="1:18" ht="15" customHeight="1" x14ac:dyDescent="0.25">
      <c r="A100" s="134" t="s">
        <v>1697</v>
      </c>
      <c r="B100" s="89">
        <f t="shared" si="0"/>
        <v>1</v>
      </c>
      <c r="C100" s="89">
        <v>1</v>
      </c>
      <c r="D100" s="56"/>
      <c r="F100" s="134" t="s">
        <v>1698</v>
      </c>
      <c r="G100" s="89">
        <v>1</v>
      </c>
      <c r="H100" s="89">
        <v>1</v>
      </c>
      <c r="O100" s="138"/>
      <c r="P100" s="56"/>
      <c r="Q100" s="56"/>
      <c r="R100" s="138"/>
    </row>
    <row r="101" spans="1:18" ht="15" customHeight="1" x14ac:dyDescent="0.25">
      <c r="A101" s="134" t="s">
        <v>1699</v>
      </c>
      <c r="B101" s="89">
        <f t="shared" si="0"/>
        <v>0</v>
      </c>
      <c r="C101" s="89">
        <v>0</v>
      </c>
      <c r="D101" s="56"/>
      <c r="F101" s="134" t="s">
        <v>1700</v>
      </c>
      <c r="G101" s="89">
        <v>2</v>
      </c>
      <c r="H101" s="89">
        <v>1</v>
      </c>
      <c r="O101" s="138"/>
      <c r="P101" s="56"/>
      <c r="Q101" s="56"/>
      <c r="R101" s="138"/>
    </row>
    <row r="102" spans="1:18" ht="15" customHeight="1" x14ac:dyDescent="0.25">
      <c r="A102" s="134" t="s">
        <v>1701</v>
      </c>
      <c r="B102" s="89">
        <f t="shared" si="0"/>
        <v>3</v>
      </c>
      <c r="C102" s="89">
        <v>3</v>
      </c>
      <c r="D102" s="56"/>
      <c r="F102" s="134" t="s">
        <v>1702</v>
      </c>
      <c r="G102" s="89">
        <v>1</v>
      </c>
      <c r="H102" s="89">
        <v>1</v>
      </c>
      <c r="O102" s="138"/>
      <c r="P102" s="56"/>
      <c r="Q102" s="56"/>
      <c r="R102" s="138"/>
    </row>
    <row r="103" spans="1:18" ht="15" customHeight="1" x14ac:dyDescent="0.25">
      <c r="A103" s="134" t="s">
        <v>1703</v>
      </c>
      <c r="B103" s="89">
        <f t="shared" si="0"/>
        <v>1</v>
      </c>
      <c r="C103" s="89">
        <v>1</v>
      </c>
      <c r="D103" s="56"/>
      <c r="F103" s="134" t="s">
        <v>1704</v>
      </c>
      <c r="G103" s="89">
        <v>1</v>
      </c>
      <c r="H103" s="89">
        <v>1</v>
      </c>
      <c r="O103" s="138"/>
      <c r="P103" s="56"/>
      <c r="Q103" s="56"/>
      <c r="R103" s="138"/>
    </row>
    <row r="104" spans="1:18" ht="15" customHeight="1" x14ac:dyDescent="0.25">
      <c r="A104" s="134" t="s">
        <v>1693</v>
      </c>
      <c r="B104" s="89">
        <f t="shared" si="0"/>
        <v>1</v>
      </c>
      <c r="C104" s="89">
        <v>1</v>
      </c>
      <c r="D104" s="56"/>
      <c r="F104" s="134" t="s">
        <v>1705</v>
      </c>
      <c r="G104" s="89">
        <v>1</v>
      </c>
      <c r="H104" s="89">
        <v>1</v>
      </c>
      <c r="O104" s="138"/>
      <c r="P104" s="56"/>
      <c r="Q104" s="56"/>
      <c r="R104" s="138"/>
    </row>
    <row r="105" spans="1:18" ht="15" customHeight="1" x14ac:dyDescent="0.25">
      <c r="A105" s="134" t="s">
        <v>1706</v>
      </c>
      <c r="B105" s="89">
        <f t="shared" si="0"/>
        <v>3</v>
      </c>
      <c r="C105" s="89">
        <v>3</v>
      </c>
      <c r="D105" s="56"/>
      <c r="F105" s="134" t="s">
        <v>1707</v>
      </c>
      <c r="G105" s="89">
        <v>1</v>
      </c>
      <c r="H105" s="89">
        <v>2</v>
      </c>
      <c r="O105" s="138"/>
      <c r="P105" s="56"/>
      <c r="Q105" s="56"/>
      <c r="R105" s="138"/>
    </row>
    <row r="106" spans="1:18" ht="15" customHeight="1" x14ac:dyDescent="0.25">
      <c r="A106" s="134" t="s">
        <v>1708</v>
      </c>
      <c r="B106" s="89">
        <f t="shared" si="0"/>
        <v>1</v>
      </c>
      <c r="C106" s="89">
        <v>2</v>
      </c>
      <c r="D106" s="56">
        <v>1</v>
      </c>
      <c r="F106" s="134" t="s">
        <v>1709</v>
      </c>
      <c r="G106" s="89">
        <v>1</v>
      </c>
      <c r="H106" s="89">
        <v>1</v>
      </c>
      <c r="O106" s="138"/>
      <c r="P106" s="56"/>
      <c r="Q106" s="56"/>
      <c r="R106" s="138"/>
    </row>
    <row r="107" spans="1:18" ht="15" customHeight="1" x14ac:dyDescent="0.25">
      <c r="A107" s="134" t="s">
        <v>1710</v>
      </c>
      <c r="B107" s="89">
        <f t="shared" si="0"/>
        <v>0</v>
      </c>
      <c r="C107" s="89">
        <v>0</v>
      </c>
      <c r="D107" s="56"/>
      <c r="F107" s="134" t="s">
        <v>1711</v>
      </c>
      <c r="G107" s="89">
        <v>1</v>
      </c>
      <c r="H107" s="89">
        <v>1</v>
      </c>
      <c r="O107" s="138"/>
      <c r="P107" s="56"/>
      <c r="Q107" s="56"/>
      <c r="R107" s="138"/>
    </row>
    <row r="108" spans="1:18" ht="15" customHeight="1" x14ac:dyDescent="0.25">
      <c r="A108" s="134" t="s">
        <v>1712</v>
      </c>
      <c r="B108" s="89">
        <f t="shared" si="0"/>
        <v>1</v>
      </c>
      <c r="C108" s="89">
        <v>1</v>
      </c>
      <c r="D108" s="56"/>
      <c r="F108" s="134" t="s">
        <v>1713</v>
      </c>
      <c r="G108" s="89">
        <v>2</v>
      </c>
      <c r="H108" s="89">
        <v>1</v>
      </c>
      <c r="O108" s="138"/>
      <c r="P108" s="56"/>
      <c r="Q108" s="56"/>
      <c r="R108" s="138"/>
    </row>
    <row r="109" spans="1:18" ht="15" customHeight="1" x14ac:dyDescent="0.25">
      <c r="A109" s="134" t="s">
        <v>1714</v>
      </c>
      <c r="B109" s="89">
        <f t="shared" si="0"/>
        <v>1</v>
      </c>
      <c r="C109" s="89">
        <v>1</v>
      </c>
      <c r="D109" s="56"/>
      <c r="F109" s="134" t="s">
        <v>1715</v>
      </c>
      <c r="G109" s="89">
        <v>1</v>
      </c>
      <c r="H109" s="89">
        <v>1</v>
      </c>
      <c r="O109" s="138"/>
      <c r="P109" s="56"/>
      <c r="Q109" s="56"/>
      <c r="R109" s="138"/>
    </row>
    <row r="110" spans="1:18" ht="15" customHeight="1" x14ac:dyDescent="0.25">
      <c r="A110" s="134" t="s">
        <v>1716</v>
      </c>
      <c r="B110" s="89">
        <f t="shared" si="0"/>
        <v>1</v>
      </c>
      <c r="C110" s="89">
        <v>1</v>
      </c>
      <c r="D110" s="56"/>
      <c r="F110" s="134" t="s">
        <v>1717</v>
      </c>
      <c r="G110" s="89">
        <v>1</v>
      </c>
      <c r="H110" s="89">
        <v>1</v>
      </c>
      <c r="O110" s="138"/>
      <c r="P110" s="56"/>
      <c r="Q110" s="56"/>
      <c r="R110" s="138"/>
    </row>
    <row r="111" spans="1:18" ht="15" customHeight="1" x14ac:dyDescent="0.25">
      <c r="A111" s="134" t="s">
        <v>1718</v>
      </c>
      <c r="B111" s="89">
        <f t="shared" si="0"/>
        <v>1</v>
      </c>
      <c r="C111" s="89">
        <v>1</v>
      </c>
      <c r="D111" s="56"/>
      <c r="F111" s="134" t="s">
        <v>1719</v>
      </c>
      <c r="G111" s="89">
        <v>1</v>
      </c>
      <c r="H111" s="89">
        <v>1</v>
      </c>
      <c r="O111" s="138"/>
      <c r="P111" s="56"/>
      <c r="Q111" s="56"/>
      <c r="R111" s="138"/>
    </row>
    <row r="112" spans="1:18" ht="15" customHeight="1" x14ac:dyDescent="0.25">
      <c r="A112" s="134" t="s">
        <v>1720</v>
      </c>
      <c r="B112" s="89">
        <f t="shared" si="0"/>
        <v>1</v>
      </c>
      <c r="C112" s="89">
        <v>1</v>
      </c>
      <c r="D112" s="56"/>
      <c r="F112" s="134" t="s">
        <v>1721</v>
      </c>
      <c r="G112" s="89">
        <v>2</v>
      </c>
      <c r="H112" s="89"/>
      <c r="O112" s="138"/>
      <c r="P112" s="56"/>
      <c r="Q112" s="56"/>
      <c r="R112" s="138"/>
    </row>
    <row r="113" spans="1:18" ht="15" customHeight="1" x14ac:dyDescent="0.25">
      <c r="A113" s="134" t="s">
        <v>1722</v>
      </c>
      <c r="B113" s="89">
        <f t="shared" si="0"/>
        <v>2</v>
      </c>
      <c r="C113" s="89">
        <v>2</v>
      </c>
      <c r="D113" s="56"/>
      <c r="F113" s="134" t="s">
        <v>1723</v>
      </c>
      <c r="G113" s="89">
        <v>1</v>
      </c>
      <c r="H113" s="89">
        <v>1</v>
      </c>
      <c r="O113" s="138"/>
      <c r="P113" s="56"/>
      <c r="Q113" s="56"/>
      <c r="R113" s="138"/>
    </row>
    <row r="114" spans="1:18" ht="15" customHeight="1" x14ac:dyDescent="0.25">
      <c r="A114" s="134" t="s">
        <v>1724</v>
      </c>
      <c r="B114" s="89">
        <f t="shared" si="0"/>
        <v>2</v>
      </c>
      <c r="C114" s="89">
        <v>2</v>
      </c>
      <c r="D114" s="56"/>
      <c r="F114" s="134" t="s">
        <v>1725</v>
      </c>
      <c r="G114" s="89">
        <v>2</v>
      </c>
      <c r="H114" s="89">
        <v>1</v>
      </c>
      <c r="O114" s="138"/>
      <c r="P114" s="56"/>
      <c r="Q114" s="56"/>
      <c r="R114" s="138"/>
    </row>
    <row r="115" spans="1:18" ht="15" customHeight="1" x14ac:dyDescent="0.25">
      <c r="A115" s="134" t="s">
        <v>1726</v>
      </c>
      <c r="B115" s="89">
        <f t="shared" si="0"/>
        <v>2</v>
      </c>
      <c r="C115" s="89">
        <v>2</v>
      </c>
      <c r="D115" s="56"/>
      <c r="F115" s="134" t="s">
        <v>1727</v>
      </c>
      <c r="G115" s="89">
        <v>1</v>
      </c>
      <c r="H115" s="89">
        <v>1</v>
      </c>
      <c r="O115" s="138"/>
      <c r="P115" s="56"/>
      <c r="Q115" s="56"/>
      <c r="R115" s="138"/>
    </row>
    <row r="116" spans="1:18" ht="15" customHeight="1" x14ac:dyDescent="0.25">
      <c r="A116" s="134" t="s">
        <v>1728</v>
      </c>
      <c r="B116" s="89">
        <f t="shared" si="0"/>
        <v>1</v>
      </c>
      <c r="C116" s="89">
        <v>1</v>
      </c>
      <c r="D116" s="56"/>
      <c r="F116" s="134" t="s">
        <v>1729</v>
      </c>
      <c r="G116" s="89">
        <v>1</v>
      </c>
      <c r="H116" s="89">
        <v>2</v>
      </c>
      <c r="O116" s="138"/>
      <c r="P116" s="56"/>
      <c r="Q116" s="56"/>
      <c r="R116" s="138"/>
    </row>
    <row r="117" spans="1:18" ht="15" customHeight="1" x14ac:dyDescent="0.25">
      <c r="A117" s="134" t="s">
        <v>1730</v>
      </c>
      <c r="B117" s="89">
        <f t="shared" si="0"/>
        <v>3</v>
      </c>
      <c r="C117" s="89">
        <v>3</v>
      </c>
      <c r="D117" s="56"/>
      <c r="F117" s="134" t="s">
        <v>1731</v>
      </c>
      <c r="G117" s="89">
        <v>2</v>
      </c>
      <c r="H117" s="89">
        <v>1</v>
      </c>
      <c r="O117" s="138"/>
      <c r="P117" s="56"/>
      <c r="Q117" s="56"/>
      <c r="R117" s="138"/>
    </row>
    <row r="118" spans="1:18" ht="15" customHeight="1" x14ac:dyDescent="0.25">
      <c r="A118" s="134" t="s">
        <v>1732</v>
      </c>
      <c r="B118" s="89">
        <f t="shared" si="0"/>
        <v>3</v>
      </c>
      <c r="C118" s="89">
        <v>3</v>
      </c>
      <c r="D118" s="56"/>
      <c r="F118" s="134" t="s">
        <v>1733</v>
      </c>
      <c r="G118" s="89">
        <v>1</v>
      </c>
      <c r="H118" s="89">
        <v>2</v>
      </c>
      <c r="O118" s="138"/>
      <c r="P118" s="56"/>
      <c r="Q118" s="56"/>
      <c r="R118" s="138"/>
    </row>
    <row r="119" spans="1:18" ht="15" customHeight="1" x14ac:dyDescent="0.25">
      <c r="A119" s="134" t="s">
        <v>1734</v>
      </c>
      <c r="B119" s="89">
        <f t="shared" si="0"/>
        <v>5</v>
      </c>
      <c r="C119" s="89">
        <v>5</v>
      </c>
      <c r="D119" s="56"/>
      <c r="F119" s="134"/>
      <c r="G119" s="89"/>
      <c r="H119" s="89">
        <v>2</v>
      </c>
      <c r="O119" s="138"/>
      <c r="P119" s="56"/>
      <c r="Q119" s="56"/>
      <c r="R119" s="138"/>
    </row>
    <row r="120" spans="1:18" ht="15" customHeight="1" x14ac:dyDescent="0.25">
      <c r="A120" s="134" t="s">
        <v>1735</v>
      </c>
      <c r="B120" s="89">
        <f t="shared" si="0"/>
        <v>1</v>
      </c>
      <c r="C120" s="89">
        <v>1</v>
      </c>
      <c r="D120" s="56"/>
      <c r="F120" s="149"/>
      <c r="G120" s="89"/>
      <c r="H120" s="89">
        <v>1</v>
      </c>
      <c r="O120" s="138"/>
      <c r="P120" s="56"/>
      <c r="Q120" s="56"/>
      <c r="R120" s="138"/>
    </row>
    <row r="121" spans="1:18" ht="15" customHeight="1" x14ac:dyDescent="0.25">
      <c r="A121" s="134" t="s">
        <v>1736</v>
      </c>
      <c r="B121" s="89">
        <f t="shared" si="0"/>
        <v>1</v>
      </c>
      <c r="C121" s="89">
        <v>1</v>
      </c>
      <c r="D121" s="56"/>
      <c r="F121" s="134"/>
      <c r="G121" s="89"/>
      <c r="H121" s="89">
        <v>1</v>
      </c>
      <c r="O121" s="138"/>
      <c r="P121" s="56"/>
      <c r="Q121" s="56"/>
      <c r="R121" s="138"/>
    </row>
    <row r="122" spans="1:18" ht="15" customHeight="1" x14ac:dyDescent="0.25">
      <c r="A122" s="134" t="s">
        <v>1737</v>
      </c>
      <c r="B122" s="89">
        <f t="shared" si="0"/>
        <v>1</v>
      </c>
      <c r="C122" s="89">
        <v>1</v>
      </c>
      <c r="D122" s="56"/>
      <c r="H122" s="89">
        <v>1</v>
      </c>
      <c r="O122" s="138"/>
      <c r="P122" s="56"/>
      <c r="Q122" s="56"/>
      <c r="R122" s="138"/>
    </row>
    <row r="123" spans="1:18" ht="15" customHeight="1" x14ac:dyDescent="0.25">
      <c r="A123" s="134" t="s">
        <v>1738</v>
      </c>
      <c r="B123" s="89">
        <f t="shared" si="0"/>
        <v>2</v>
      </c>
      <c r="C123" s="89">
        <v>2</v>
      </c>
      <c r="D123" s="56"/>
      <c r="H123" s="89">
        <v>1</v>
      </c>
      <c r="O123" s="138"/>
      <c r="P123" s="56"/>
      <c r="Q123" s="56"/>
      <c r="R123" s="138"/>
    </row>
    <row r="124" spans="1:18" ht="15" customHeight="1" x14ac:dyDescent="0.25">
      <c r="A124" s="134" t="s">
        <v>1739</v>
      </c>
      <c r="B124" s="89">
        <f t="shared" si="0"/>
        <v>3</v>
      </c>
      <c r="C124" s="89">
        <v>3</v>
      </c>
      <c r="D124" s="56"/>
      <c r="H124" s="89">
        <v>1</v>
      </c>
      <c r="O124" s="138"/>
      <c r="P124" s="56"/>
      <c r="Q124" s="56"/>
      <c r="R124" s="138"/>
    </row>
    <row r="125" spans="1:18" ht="15" customHeight="1" x14ac:dyDescent="0.25">
      <c r="A125" s="134" t="s">
        <v>1740</v>
      </c>
      <c r="B125" s="89">
        <f t="shared" si="0"/>
        <v>2</v>
      </c>
      <c r="C125" s="89">
        <v>2</v>
      </c>
      <c r="D125" s="56"/>
      <c r="H125" s="89">
        <v>1</v>
      </c>
      <c r="O125" s="138"/>
      <c r="P125" s="56"/>
      <c r="Q125" s="56"/>
      <c r="R125" s="138"/>
    </row>
    <row r="126" spans="1:18" ht="15" customHeight="1" x14ac:dyDescent="0.25">
      <c r="A126" s="134" t="s">
        <v>1741</v>
      </c>
      <c r="B126" s="89">
        <f t="shared" si="0"/>
        <v>1</v>
      </c>
      <c r="C126" s="89">
        <v>1</v>
      </c>
      <c r="D126" s="56"/>
      <c r="F126" s="134"/>
      <c r="G126" s="89"/>
      <c r="H126" s="89">
        <v>1</v>
      </c>
      <c r="O126" s="138"/>
      <c r="P126" s="56"/>
      <c r="Q126" s="56"/>
      <c r="R126" s="138"/>
    </row>
    <row r="127" spans="1:18" ht="15" customHeight="1" x14ac:dyDescent="0.25">
      <c r="A127" s="134"/>
      <c r="B127" s="89"/>
      <c r="C127" s="89"/>
      <c r="D127" s="56"/>
      <c r="F127" s="134"/>
      <c r="G127" s="89"/>
      <c r="H127" s="89">
        <v>1</v>
      </c>
      <c r="O127" s="138"/>
      <c r="P127" s="56"/>
      <c r="Q127" s="56"/>
      <c r="R127" s="138"/>
    </row>
    <row r="128" spans="1:18" ht="15" customHeight="1" x14ac:dyDescent="0.25">
      <c r="A128" s="134" t="s">
        <v>1742</v>
      </c>
      <c r="B128" s="89" t="s">
        <v>1743</v>
      </c>
      <c r="C128" s="135">
        <v>1</v>
      </c>
      <c r="D128" s="56"/>
      <c r="F128" s="134"/>
      <c r="G128" s="89"/>
      <c r="H128" s="89">
        <v>2</v>
      </c>
      <c r="O128" s="138"/>
      <c r="P128" s="56"/>
      <c r="Q128" s="56"/>
      <c r="R128" s="138"/>
    </row>
    <row r="129" spans="1:18" ht="15" customHeight="1" x14ac:dyDescent="0.25">
      <c r="A129" s="134" t="s">
        <v>1744</v>
      </c>
      <c r="B129" s="89" t="s">
        <v>1743</v>
      </c>
      <c r="C129" s="135"/>
      <c r="D129" s="56"/>
      <c r="F129" s="134"/>
      <c r="G129" s="89"/>
      <c r="H129" s="89">
        <v>1</v>
      </c>
      <c r="O129" s="138"/>
      <c r="P129" s="56"/>
      <c r="Q129" s="56"/>
      <c r="R129" s="138"/>
    </row>
    <row r="130" spans="1:18" ht="15" customHeight="1" x14ac:dyDescent="0.25">
      <c r="A130" s="134" t="s">
        <v>1745</v>
      </c>
      <c r="B130" s="89" t="s">
        <v>1743</v>
      </c>
      <c r="C130" s="135"/>
      <c r="D130" s="56"/>
      <c r="F130" s="134"/>
      <c r="G130" s="89"/>
      <c r="H130" s="89">
        <v>1</v>
      </c>
      <c r="O130" s="138"/>
      <c r="P130" s="56"/>
      <c r="Q130" s="56"/>
      <c r="R130" s="138"/>
    </row>
    <row r="131" spans="1:18" ht="15" customHeight="1" x14ac:dyDescent="0.25">
      <c r="A131" s="150" t="s">
        <v>1746</v>
      </c>
      <c r="B131" s="89" t="s">
        <v>1743</v>
      </c>
      <c r="C131" s="135"/>
      <c r="D131" s="56"/>
      <c r="F131" s="134"/>
      <c r="G131" s="89"/>
      <c r="H131" s="89"/>
      <c r="O131" s="138"/>
      <c r="P131" s="56"/>
      <c r="Q131" s="56"/>
      <c r="R131" s="138"/>
    </row>
    <row r="132" spans="1:18" ht="15" customHeight="1" x14ac:dyDescent="0.25">
      <c r="A132" s="134" t="s">
        <v>1747</v>
      </c>
      <c r="B132" s="89" t="s">
        <v>1743</v>
      </c>
      <c r="C132" s="135"/>
      <c r="D132" s="56"/>
      <c r="F132" s="134"/>
      <c r="G132" s="89"/>
      <c r="H132" s="89"/>
    </row>
    <row r="133" spans="1:18" ht="15" customHeight="1" x14ac:dyDescent="0.25">
      <c r="A133" s="134" t="s">
        <v>1748</v>
      </c>
      <c r="B133" s="89" t="s">
        <v>1743</v>
      </c>
      <c r="C133" s="135"/>
      <c r="D133" s="56"/>
      <c r="F133" s="134"/>
      <c r="G133" s="89"/>
      <c r="H133" s="89">
        <v>1</v>
      </c>
    </row>
    <row r="134" spans="1:18" ht="15" customHeight="1" x14ac:dyDescent="0.25">
      <c r="A134" s="134" t="s">
        <v>1453</v>
      </c>
      <c r="B134" s="89" t="s">
        <v>1743</v>
      </c>
      <c r="C134" s="135"/>
      <c r="D134" s="56"/>
      <c r="F134" s="134"/>
      <c r="G134" s="89"/>
      <c r="H134" s="89">
        <v>1</v>
      </c>
    </row>
    <row r="135" spans="1:18" ht="15" customHeight="1" x14ac:dyDescent="0.25">
      <c r="A135" s="134" t="s">
        <v>1749</v>
      </c>
      <c r="B135" s="89" t="s">
        <v>1743</v>
      </c>
      <c r="C135" s="135"/>
      <c r="D135" s="56"/>
      <c r="F135" s="134"/>
      <c r="G135" s="89"/>
      <c r="H135" s="89">
        <v>1</v>
      </c>
    </row>
    <row r="136" spans="1:18" ht="15" customHeight="1" x14ac:dyDescent="0.25">
      <c r="A136" s="134" t="s">
        <v>1750</v>
      </c>
      <c r="B136" s="89" t="s">
        <v>1743</v>
      </c>
      <c r="C136" s="135"/>
      <c r="D136" s="56"/>
      <c r="F136" s="134"/>
      <c r="G136" s="89"/>
      <c r="H136" s="89">
        <v>1</v>
      </c>
    </row>
    <row r="137" spans="1:18" ht="15" customHeight="1" x14ac:dyDescent="0.25">
      <c r="A137" s="134" t="s">
        <v>1751</v>
      </c>
      <c r="B137" s="89" t="s">
        <v>1743</v>
      </c>
      <c r="C137" s="135"/>
      <c r="D137" s="56"/>
      <c r="F137" s="134"/>
      <c r="G137" s="89"/>
      <c r="H137" s="89">
        <v>1</v>
      </c>
    </row>
    <row r="138" spans="1:18" ht="15" customHeight="1" x14ac:dyDescent="0.25">
      <c r="A138" s="134" t="s">
        <v>1752</v>
      </c>
      <c r="B138" s="89" t="s">
        <v>1743</v>
      </c>
      <c r="C138" s="135"/>
      <c r="D138" s="56"/>
      <c r="F138" s="134"/>
      <c r="G138" s="89"/>
      <c r="H138" s="89">
        <v>1</v>
      </c>
    </row>
    <row r="139" spans="1:18" ht="15" customHeight="1" x14ac:dyDescent="0.25">
      <c r="A139" s="134" t="s">
        <v>1753</v>
      </c>
      <c r="B139" s="89" t="s">
        <v>1743</v>
      </c>
      <c r="C139" s="135"/>
      <c r="D139" s="56"/>
      <c r="F139" s="134"/>
      <c r="G139" s="89"/>
      <c r="H139" s="89">
        <v>1</v>
      </c>
    </row>
    <row r="140" spans="1:18" ht="15" customHeight="1" x14ac:dyDescent="0.25">
      <c r="A140" s="134" t="s">
        <v>1754</v>
      </c>
      <c r="B140" s="89" t="s">
        <v>1743</v>
      </c>
      <c r="C140" s="135"/>
      <c r="D140" s="56"/>
      <c r="F140" s="134"/>
      <c r="G140" s="89"/>
      <c r="H140" s="89">
        <v>1</v>
      </c>
    </row>
    <row r="141" spans="1:18" ht="15" customHeight="1" x14ac:dyDescent="0.25">
      <c r="A141" s="134" t="s">
        <v>1755</v>
      </c>
      <c r="B141" s="89" t="s">
        <v>1743</v>
      </c>
      <c r="C141" s="135"/>
      <c r="D141" s="56"/>
      <c r="F141" s="134"/>
      <c r="G141" s="89"/>
      <c r="H141" s="89"/>
    </row>
    <row r="142" spans="1:18" ht="15" customHeight="1" x14ac:dyDescent="0.25">
      <c r="A142" s="134" t="s">
        <v>1756</v>
      </c>
      <c r="B142" s="89" t="s">
        <v>1743</v>
      </c>
      <c r="C142" s="135"/>
      <c r="D142" s="56"/>
      <c r="F142" s="134"/>
      <c r="G142" s="89"/>
      <c r="H142" s="89">
        <v>1</v>
      </c>
    </row>
    <row r="143" spans="1:18" ht="15" customHeight="1" x14ac:dyDescent="0.25">
      <c r="A143" s="134" t="s">
        <v>1757</v>
      </c>
      <c r="B143" s="89" t="s">
        <v>1743</v>
      </c>
      <c r="C143" s="135"/>
      <c r="D143" s="56"/>
      <c r="F143" s="134"/>
      <c r="G143" s="89"/>
      <c r="H143" s="89">
        <v>1</v>
      </c>
    </row>
    <row r="144" spans="1:18" ht="15" customHeight="1" x14ac:dyDescent="0.25">
      <c r="A144" s="134" t="s">
        <v>1758</v>
      </c>
      <c r="B144" s="89" t="s">
        <v>1743</v>
      </c>
      <c r="C144" s="135"/>
      <c r="D144" s="56"/>
      <c r="F144" s="134"/>
      <c r="G144" s="89"/>
      <c r="H144" s="89">
        <v>1</v>
      </c>
    </row>
    <row r="145" spans="1:8" ht="15" customHeight="1" x14ac:dyDescent="0.25">
      <c r="A145" s="134" t="s">
        <v>1759</v>
      </c>
      <c r="B145" s="89" t="s">
        <v>1743</v>
      </c>
      <c r="C145" s="135"/>
      <c r="D145" s="56"/>
      <c r="F145" s="134"/>
      <c r="G145" s="89"/>
      <c r="H145" s="89">
        <v>1</v>
      </c>
    </row>
    <row r="146" spans="1:8" ht="15" customHeight="1" x14ac:dyDescent="0.25">
      <c r="A146" s="134" t="s">
        <v>1760</v>
      </c>
      <c r="B146" s="89" t="s">
        <v>1743</v>
      </c>
      <c r="C146" s="135"/>
      <c r="D146" s="56"/>
      <c r="F146" s="134"/>
      <c r="G146" s="89"/>
      <c r="H146" s="89">
        <v>1</v>
      </c>
    </row>
    <row r="147" spans="1:8" ht="15" customHeight="1" x14ac:dyDescent="0.25">
      <c r="A147" s="134" t="s">
        <v>1761</v>
      </c>
      <c r="B147" s="89" t="s">
        <v>1743</v>
      </c>
      <c r="C147" s="135"/>
      <c r="D147" s="56"/>
      <c r="F147" s="134"/>
      <c r="G147" s="89"/>
      <c r="H147" s="89">
        <v>1</v>
      </c>
    </row>
    <row r="148" spans="1:8" ht="15" customHeight="1" x14ac:dyDescent="0.25">
      <c r="A148" s="134" t="s">
        <v>1762</v>
      </c>
      <c r="B148" s="89" t="s">
        <v>1743</v>
      </c>
      <c r="C148" s="135"/>
      <c r="D148" s="56"/>
      <c r="F148" s="134"/>
      <c r="G148" s="89"/>
      <c r="H148" s="89"/>
    </row>
    <row r="149" spans="1:8" ht="15" customHeight="1" x14ac:dyDescent="0.25">
      <c r="A149" s="134" t="s">
        <v>1763</v>
      </c>
      <c r="B149" s="89" t="s">
        <v>1743</v>
      </c>
      <c r="C149" s="135"/>
      <c r="D149" s="56"/>
    </row>
    <row r="150" spans="1:8" ht="15" customHeight="1" x14ac:dyDescent="0.25">
      <c r="A150" s="134" t="s">
        <v>1764</v>
      </c>
      <c r="B150" s="89" t="s">
        <v>1743</v>
      </c>
      <c r="C150" s="135"/>
      <c r="D150" s="56"/>
    </row>
    <row r="151" spans="1:8" ht="15" customHeight="1" x14ac:dyDescent="0.25">
      <c r="A151" s="134" t="s">
        <v>1765</v>
      </c>
      <c r="B151" s="89" t="s">
        <v>1743</v>
      </c>
      <c r="C151" s="135"/>
      <c r="D151" s="56"/>
    </row>
    <row r="152" spans="1:8" ht="15" customHeight="1" x14ac:dyDescent="0.25">
      <c r="A152" s="134" t="s">
        <v>1766</v>
      </c>
      <c r="B152" s="89" t="s">
        <v>1743</v>
      </c>
      <c r="C152" s="135"/>
      <c r="D152" s="56"/>
    </row>
    <row r="153" spans="1:8" ht="15" customHeight="1" x14ac:dyDescent="0.25">
      <c r="A153" s="134" t="s">
        <v>1767</v>
      </c>
      <c r="B153" s="89" t="s">
        <v>1743</v>
      </c>
      <c r="C153" s="135"/>
      <c r="D153" s="56"/>
    </row>
    <row r="154" spans="1:8" ht="15" customHeight="1" x14ac:dyDescent="0.25">
      <c r="A154" s="134" t="s">
        <v>1768</v>
      </c>
      <c r="B154" s="89" t="s">
        <v>1743</v>
      </c>
      <c r="C154" s="135"/>
      <c r="D154" s="56"/>
    </row>
    <row r="155" spans="1:8" ht="15" customHeight="1" x14ac:dyDescent="0.25">
      <c r="A155" s="134" t="s">
        <v>1769</v>
      </c>
      <c r="B155" s="89" t="s">
        <v>1743</v>
      </c>
      <c r="C155" s="135"/>
      <c r="D155" s="56"/>
    </row>
    <row r="156" spans="1:8" ht="15" customHeight="1" x14ac:dyDescent="0.25">
      <c r="A156" s="134" t="s">
        <v>1770</v>
      </c>
      <c r="B156" s="89" t="s">
        <v>1743</v>
      </c>
      <c r="C156" s="135"/>
      <c r="D156" s="56"/>
    </row>
    <row r="157" spans="1:8" ht="15" customHeight="1" x14ac:dyDescent="0.25">
      <c r="A157" s="134" t="s">
        <v>1771</v>
      </c>
      <c r="B157" s="89" t="s">
        <v>1743</v>
      </c>
      <c r="C157" s="135"/>
      <c r="D157" s="56"/>
    </row>
    <row r="158" spans="1:8" ht="15" customHeight="1" x14ac:dyDescent="0.25">
      <c r="A158" s="134" t="s">
        <v>1772</v>
      </c>
      <c r="B158" s="89" t="s">
        <v>1743</v>
      </c>
      <c r="C158" s="135"/>
      <c r="D158" s="56"/>
    </row>
    <row r="159" spans="1:8" ht="15" customHeight="1" x14ac:dyDescent="0.25">
      <c r="A159" s="134" t="s">
        <v>1773</v>
      </c>
      <c r="B159" s="89" t="s">
        <v>1743</v>
      </c>
      <c r="C159" s="135"/>
      <c r="D159" s="56"/>
    </row>
    <row r="160" spans="1:8" ht="15" customHeight="1" x14ac:dyDescent="0.25">
      <c r="A160" s="134" t="s">
        <v>1774</v>
      </c>
      <c r="B160" s="89" t="s">
        <v>1743</v>
      </c>
      <c r="C160" s="135"/>
      <c r="D160" s="56"/>
    </row>
    <row r="161" spans="1:4" ht="15" customHeight="1" x14ac:dyDescent="0.25">
      <c r="A161" s="134" t="s">
        <v>1775</v>
      </c>
      <c r="B161" s="89" t="s">
        <v>1743</v>
      </c>
      <c r="C161" s="135"/>
      <c r="D161" s="56"/>
    </row>
    <row r="162" spans="1:4" ht="15" customHeight="1" x14ac:dyDescent="0.25">
      <c r="A162" s="134" t="s">
        <v>1776</v>
      </c>
      <c r="B162" s="89" t="s">
        <v>1743</v>
      </c>
      <c r="C162" s="135"/>
      <c r="D162" s="56"/>
    </row>
    <row r="163" spans="1:4" ht="15" customHeight="1" x14ac:dyDescent="0.25">
      <c r="A163" s="134" t="s">
        <v>1777</v>
      </c>
      <c r="B163" s="89" t="s">
        <v>1743</v>
      </c>
      <c r="C163" s="135"/>
      <c r="D163" s="56"/>
    </row>
    <row r="164" spans="1:4" ht="15" customHeight="1" x14ac:dyDescent="0.25">
      <c r="A164" s="134" t="s">
        <v>1778</v>
      </c>
      <c r="B164" s="89" t="s">
        <v>1743</v>
      </c>
      <c r="C164" s="135"/>
      <c r="D164" s="56"/>
    </row>
    <row r="165" spans="1:4" ht="15" customHeight="1" x14ac:dyDescent="0.25">
      <c r="A165" s="134" t="s">
        <v>1779</v>
      </c>
      <c r="B165" s="89" t="s">
        <v>1743</v>
      </c>
      <c r="C165" s="135"/>
      <c r="D165" s="56"/>
    </row>
    <row r="166" spans="1:4" ht="15" customHeight="1" x14ac:dyDescent="0.25">
      <c r="A166" s="134" t="s">
        <v>1780</v>
      </c>
      <c r="B166" s="89" t="s">
        <v>1743</v>
      </c>
      <c r="C166" s="135"/>
      <c r="D166" s="56"/>
    </row>
    <row r="167" spans="1:4" ht="15" customHeight="1" x14ac:dyDescent="0.25">
      <c r="A167" s="134" t="s">
        <v>1781</v>
      </c>
      <c r="B167" s="89" t="s">
        <v>1743</v>
      </c>
      <c r="C167" s="135"/>
      <c r="D167" s="56"/>
    </row>
    <row r="168" spans="1:4" ht="15" customHeight="1" x14ac:dyDescent="0.25">
      <c r="A168" s="134" t="s">
        <v>1782</v>
      </c>
      <c r="B168" s="89" t="s">
        <v>1743</v>
      </c>
      <c r="C168" s="135"/>
      <c r="D168" s="56"/>
    </row>
    <row r="169" spans="1:4" ht="15" customHeight="1" x14ac:dyDescent="0.25">
      <c r="A169" s="134" t="s">
        <v>1783</v>
      </c>
      <c r="B169" s="89" t="s">
        <v>1743</v>
      </c>
      <c r="C169" s="135"/>
      <c r="D169" s="56"/>
    </row>
    <row r="170" spans="1:4" ht="15" customHeight="1" x14ac:dyDescent="0.25">
      <c r="A170" s="134" t="s">
        <v>1784</v>
      </c>
      <c r="B170" s="89" t="s">
        <v>1743</v>
      </c>
      <c r="C170" s="135"/>
      <c r="D170" s="56"/>
    </row>
    <row r="171" spans="1:4" ht="15" customHeight="1" x14ac:dyDescent="0.25">
      <c r="A171" s="134" t="s">
        <v>1785</v>
      </c>
      <c r="B171" s="89" t="s">
        <v>1743</v>
      </c>
      <c r="C171" s="135"/>
      <c r="D171" s="56"/>
    </row>
    <row r="172" spans="1:4" ht="15" customHeight="1" x14ac:dyDescent="0.25">
      <c r="A172" s="134" t="s">
        <v>1786</v>
      </c>
      <c r="B172" s="89" t="s">
        <v>1743</v>
      </c>
      <c r="C172" s="135"/>
      <c r="D172" s="56"/>
    </row>
    <row r="176" spans="1:4" ht="15" customHeight="1" x14ac:dyDescent="0.25">
      <c r="B176" s="87"/>
    </row>
    <row r="177" spans="2:2" ht="15" customHeight="1" x14ac:dyDescent="0.25">
      <c r="B177" s="87"/>
    </row>
    <row r="178" spans="2:2" ht="15" customHeight="1" x14ac:dyDescent="0.25">
      <c r="B178" s="87"/>
    </row>
    <row r="179" spans="2:2" ht="15" customHeight="1" x14ac:dyDescent="0.25">
      <c r="B179" s="87"/>
    </row>
    <row r="180" spans="2:2" ht="15" customHeight="1" x14ac:dyDescent="0.25">
      <c r="B180" s="87"/>
    </row>
    <row r="181" spans="2:2" ht="15" customHeight="1" x14ac:dyDescent="0.25">
      <c r="B181" s="87"/>
    </row>
    <row r="182" spans="2:2" ht="15" customHeight="1" x14ac:dyDescent="0.25">
      <c r="B182" s="87"/>
    </row>
    <row r="183" spans="2:2" ht="15" customHeight="1" x14ac:dyDescent="0.25">
      <c r="B183" s="87"/>
    </row>
    <row r="184" spans="2:2" ht="15" customHeight="1" x14ac:dyDescent="0.25">
      <c r="B184" s="87"/>
    </row>
    <row r="185" spans="2:2" ht="15" customHeight="1" x14ac:dyDescent="0.25">
      <c r="B185" s="87"/>
    </row>
    <row r="186" spans="2:2" ht="15" customHeight="1" x14ac:dyDescent="0.25">
      <c r="B186" s="87"/>
    </row>
    <row r="187" spans="2:2" ht="15" customHeight="1" x14ac:dyDescent="0.25">
      <c r="B187" s="87"/>
    </row>
    <row r="188" spans="2:2" ht="15" customHeight="1" x14ac:dyDescent="0.25">
      <c r="B188" s="87"/>
    </row>
    <row r="189" spans="2:2" ht="15" customHeight="1" x14ac:dyDescent="0.25">
      <c r="B189" s="87"/>
    </row>
    <row r="190" spans="2:2" ht="15" customHeight="1" x14ac:dyDescent="0.25">
      <c r="B190" s="87"/>
    </row>
    <row r="191" spans="2:2" ht="15" customHeight="1" x14ac:dyDescent="0.25">
      <c r="B191" s="87"/>
    </row>
    <row r="192" spans="2:2" ht="15" customHeight="1" x14ac:dyDescent="0.25">
      <c r="B192" s="87"/>
    </row>
    <row r="193" spans="2:2" ht="15" customHeight="1" x14ac:dyDescent="0.25">
      <c r="B193" s="87"/>
    </row>
    <row r="194" spans="2:2" ht="15" customHeight="1" x14ac:dyDescent="0.25">
      <c r="B194" s="87"/>
    </row>
    <row r="195" spans="2:2" ht="15" customHeight="1" x14ac:dyDescent="0.25">
      <c r="B195" s="87"/>
    </row>
    <row r="196" spans="2:2" ht="15" customHeight="1" x14ac:dyDescent="0.25">
      <c r="B196" s="87"/>
    </row>
    <row r="197" spans="2:2" ht="15" customHeight="1" x14ac:dyDescent="0.25">
      <c r="B197" s="87"/>
    </row>
    <row r="198" spans="2:2" ht="15" customHeight="1" x14ac:dyDescent="0.25">
      <c r="B198" s="87"/>
    </row>
    <row r="199" spans="2:2" ht="15" customHeight="1" x14ac:dyDescent="0.25">
      <c r="B199" s="87"/>
    </row>
    <row r="200" spans="2:2" ht="15" customHeight="1" x14ac:dyDescent="0.25">
      <c r="B200" s="87"/>
    </row>
    <row r="201" spans="2:2" ht="15" customHeight="1" x14ac:dyDescent="0.25">
      <c r="B201" s="87"/>
    </row>
    <row r="202" spans="2:2" ht="15" customHeight="1" x14ac:dyDescent="0.25">
      <c r="B202" s="87"/>
    </row>
    <row r="203" spans="2:2" ht="15" customHeight="1" x14ac:dyDescent="0.25">
      <c r="B203" s="87"/>
    </row>
    <row r="204" spans="2:2" ht="15" customHeight="1" x14ac:dyDescent="0.25">
      <c r="B204" s="87"/>
    </row>
    <row r="205" spans="2:2" ht="15" customHeight="1" x14ac:dyDescent="0.25">
      <c r="B205" s="87"/>
    </row>
    <row r="206" spans="2:2" ht="15" customHeight="1" x14ac:dyDescent="0.25">
      <c r="B206" s="87"/>
    </row>
    <row r="207" spans="2:2" ht="15" customHeight="1" x14ac:dyDescent="0.25">
      <c r="B207" s="87"/>
    </row>
    <row r="208" spans="2:2" ht="15" customHeight="1" x14ac:dyDescent="0.25">
      <c r="B208" s="87"/>
    </row>
    <row r="209" spans="2:2" ht="15" customHeight="1" x14ac:dyDescent="0.25">
      <c r="B209" s="87"/>
    </row>
    <row r="210" spans="2:2" ht="15" customHeight="1" x14ac:dyDescent="0.25">
      <c r="B210" s="87"/>
    </row>
    <row r="211" spans="2:2" ht="15" customHeight="1" x14ac:dyDescent="0.25">
      <c r="B211" s="87"/>
    </row>
    <row r="212" spans="2:2" ht="15" customHeight="1" x14ac:dyDescent="0.25">
      <c r="B212" s="87"/>
    </row>
    <row r="213" spans="2:2" ht="15" customHeight="1" x14ac:dyDescent="0.25">
      <c r="B213" s="87"/>
    </row>
    <row r="214" spans="2:2" ht="15" customHeight="1" x14ac:dyDescent="0.25">
      <c r="B214" s="87"/>
    </row>
    <row r="215" spans="2:2" ht="15" customHeight="1" x14ac:dyDescent="0.25">
      <c r="B215" s="87"/>
    </row>
    <row r="216" spans="2:2" ht="15" customHeight="1" x14ac:dyDescent="0.25">
      <c r="B216" s="87"/>
    </row>
    <row r="217" spans="2:2" ht="15" customHeight="1" x14ac:dyDescent="0.25">
      <c r="B217" s="87"/>
    </row>
    <row r="218" spans="2:2" ht="15" customHeight="1" x14ac:dyDescent="0.25">
      <c r="B218" s="87"/>
    </row>
    <row r="219" spans="2:2" ht="15" customHeight="1" x14ac:dyDescent="0.25">
      <c r="B219" s="87"/>
    </row>
  </sheetData>
  <sortState xmlns:xlrd2="http://schemas.microsoft.com/office/spreadsheetml/2017/richdata2" ref="F1:F149">
    <sortCondition ref="F1:F149"/>
  </sortState>
  <mergeCells count="1">
    <mergeCell ref="J1:M1"/>
  </mergeCells>
  <conditionalFormatting sqref="A1:A172">
    <cfRule type="duplicateValues" dxfId="2" priority="143"/>
  </conditionalFormatting>
  <conditionalFormatting sqref="A173:A175 A220:A1048576">
    <cfRule type="duplicateValues" dxfId="1" priority="3"/>
  </conditionalFormatting>
  <conditionalFormatting sqref="A176:B219">
    <cfRule type="duplicateValues" dxfId="0" priority="1"/>
  </conditionalFormatting>
  <pageMargins left="0.25" right="0.25" top="0.75" bottom="0.75" header="0.3" footer="0.3"/>
  <pageSetup paperSize="9" scale="30" fitToHeight="0" orientation="landscape" useFirstPageNumber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Vendas 2024</vt:lpstr>
      <vt:lpstr>Vendas 2025</vt:lpstr>
      <vt:lpstr>Vendas 2026</vt:lpstr>
      <vt:lpstr>Devedores</vt:lpstr>
      <vt:lpstr>jogos</vt:lpstr>
      <vt:lpstr>Devedores!_FiltrarBancodeDados</vt:lpstr>
      <vt:lpstr>jogos!_FiltrarBancodeDados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</cp:lastModifiedBy>
  <cp:lastPrinted>2026-06-04T14:32:45Z</cp:lastPrinted>
  <dcterms:created xsi:type="dcterms:W3CDTF">2024-01-04T12:47:10Z</dcterms:created>
  <dcterms:modified xsi:type="dcterms:W3CDTF">2026-07-15T14:46:42Z</dcterms:modified>
</cp:coreProperties>
</file>