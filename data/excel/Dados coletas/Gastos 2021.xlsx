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Dropbox\Financeiro\Planilhas financeiros Antigas\2021\"/>
    </mc:Choice>
  </mc:AlternateContent>
  <xr:revisionPtr revIDLastSave="0" documentId="13_ncr:1_{3375FE7D-6ADB-447E-B38D-F0047E8228AB}" xr6:coauthVersionLast="36" xr6:coauthVersionMax="47" xr10:uidLastSave="{00000000-0000-0000-0000-000000000000}"/>
  <bookViews>
    <workbookView xWindow="-105" yWindow="-105" windowWidth="23250" windowHeight="13170" activeTab="5" xr2:uid="{00000000-000D-0000-FFFF-FFFF00000000}"/>
  </bookViews>
  <sheets>
    <sheet name="devedores" sheetId="4" r:id="rId1"/>
    <sheet name="Relatorio" sheetId="3" r:id="rId2"/>
    <sheet name="vendas" sheetId="1" r:id="rId3"/>
    <sheet name="Planilha5" sheetId="9" r:id="rId4"/>
    <sheet name="Planilha1" sheetId="5" r:id="rId5"/>
    <sheet name="Planilha2" sheetId="6" r:id="rId6"/>
  </sheets>
  <definedNames>
    <definedName name="_xlnm._FilterDatabase" localSheetId="0" hidden="1">devedores!$A$1:$E$20</definedName>
    <definedName name="_xlnm._FilterDatabase" localSheetId="4" hidden="1">Planilha1!$Q$1:$U$327</definedName>
    <definedName name="_xlnm._FilterDatabase" localSheetId="2" hidden="1">vendas!$A$797:$H$829</definedName>
  </definedNames>
  <calcPr calcId="179021"/>
  <pivotCaches>
    <pivotCache cacheId="6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5" i="5" l="1"/>
  <c r="M335" i="5"/>
  <c r="N335" i="5"/>
  <c r="O335" i="5"/>
  <c r="K2" i="5" a="1"/>
  <c r="N24" i="5" s="1"/>
  <c r="D16" i="5"/>
  <c r="D36" i="5"/>
  <c r="D51" i="5"/>
  <c r="D98" i="5"/>
  <c r="F14" i="6"/>
  <c r="F15" i="6"/>
  <c r="F16" i="6"/>
  <c r="F9" i="6"/>
  <c r="F10" i="6"/>
  <c r="F11" i="6"/>
  <c r="F12" i="6"/>
  <c r="G12" i="6" s="1"/>
  <c r="F13" i="6"/>
  <c r="F8" i="6"/>
  <c r="F7" i="6"/>
  <c r="G7" i="6" s="1"/>
  <c r="E23" i="6"/>
  <c r="D23" i="6"/>
  <c r="C23" i="6"/>
  <c r="B23" i="6"/>
  <c r="G14" i="6"/>
  <c r="G15" i="6"/>
  <c r="G16" i="6"/>
  <c r="C11" i="6"/>
  <c r="G8" i="6"/>
  <c r="G9" i="6"/>
  <c r="G10" i="6"/>
  <c r="G11" i="6"/>
  <c r="G13" i="6"/>
  <c r="F829" i="5"/>
  <c r="F825" i="5"/>
  <c r="F824" i="5"/>
  <c r="F823" i="5"/>
  <c r="F822" i="5"/>
  <c r="F821" i="5"/>
  <c r="F820" i="5"/>
  <c r="F819" i="5"/>
  <c r="F818" i="5"/>
  <c r="F817" i="5"/>
  <c r="F816" i="5"/>
  <c r="F809" i="5"/>
  <c r="F806" i="5"/>
  <c r="F804" i="5"/>
  <c r="F803" i="5"/>
  <c r="F802" i="5"/>
  <c r="F801" i="5"/>
  <c r="F794" i="5"/>
  <c r="F793" i="5"/>
  <c r="F778" i="5"/>
  <c r="F791" i="5"/>
  <c r="F790" i="5"/>
  <c r="F789" i="5"/>
  <c r="F788" i="5"/>
  <c r="F787" i="5"/>
  <c r="F786" i="5"/>
  <c r="F785" i="5"/>
  <c r="F784" i="5"/>
  <c r="F782" i="5"/>
  <c r="F764" i="5"/>
  <c r="F763" i="5"/>
  <c r="F762" i="5"/>
  <c r="F753" i="5"/>
  <c r="F752" i="5"/>
  <c r="F751" i="5"/>
  <c r="F749" i="5"/>
  <c r="F748" i="5"/>
  <c r="F747" i="5"/>
  <c r="F746" i="5"/>
  <c r="F745" i="5"/>
  <c r="F744" i="5"/>
  <c r="F743" i="5"/>
  <c r="F742" i="5"/>
  <c r="F741" i="5"/>
  <c r="F740" i="5"/>
  <c r="F739" i="5"/>
  <c r="F734" i="5"/>
  <c r="F731" i="5"/>
  <c r="F723" i="5"/>
  <c r="F722" i="5"/>
  <c r="F721" i="5"/>
  <c r="F719" i="5"/>
  <c r="F717" i="5"/>
  <c r="F716" i="5"/>
  <c r="F713" i="5"/>
  <c r="F712" i="5"/>
  <c r="F711" i="5"/>
  <c r="F710" i="5"/>
  <c r="F706" i="5"/>
  <c r="F703" i="5"/>
  <c r="F701" i="5"/>
  <c r="F700" i="5"/>
  <c r="F699" i="5"/>
  <c r="F698" i="5"/>
  <c r="F697" i="5"/>
  <c r="F696" i="5"/>
  <c r="F695" i="5"/>
  <c r="F694" i="5"/>
  <c r="F693" i="5"/>
  <c r="F692" i="5"/>
  <c r="F690" i="5"/>
  <c r="F686" i="5"/>
  <c r="F685" i="5"/>
  <c r="F684" i="5"/>
  <c r="F683" i="5"/>
  <c r="F682" i="5"/>
  <c r="F681" i="5"/>
  <c r="F348" i="5"/>
  <c r="F680" i="5"/>
  <c r="F678" i="5"/>
  <c r="F677" i="5"/>
  <c r="F676" i="5"/>
  <c r="F675" i="5"/>
  <c r="F672" i="5"/>
  <c r="F668" i="5"/>
  <c r="F667" i="5"/>
  <c r="F662" i="5"/>
  <c r="F661" i="5"/>
  <c r="F655" i="5"/>
  <c r="F654" i="5"/>
  <c r="F653" i="5"/>
  <c r="F652" i="5"/>
  <c r="F651" i="5"/>
  <c r="F650" i="5"/>
  <c r="F648" i="5"/>
  <c r="F647" i="5"/>
  <c r="F646" i="5"/>
  <c r="F643" i="5"/>
  <c r="F642" i="5"/>
  <c r="F641" i="5"/>
  <c r="F640" i="5"/>
  <c r="F639" i="5"/>
  <c r="F637" i="5"/>
  <c r="F631" i="5"/>
  <c r="F595" i="5"/>
  <c r="F630" i="5"/>
  <c r="F620" i="5"/>
  <c r="F619" i="5"/>
  <c r="F618" i="5"/>
  <c r="F599" i="5"/>
  <c r="F598" i="5"/>
  <c r="F597" i="5"/>
  <c r="F596" i="5"/>
  <c r="F594" i="5"/>
  <c r="F593" i="5"/>
  <c r="F201" i="5"/>
  <c r="F592" i="5"/>
  <c r="F591" i="5"/>
  <c r="F590" i="5"/>
  <c r="F587" i="5"/>
  <c r="F585" i="5"/>
  <c r="F583" i="5"/>
  <c r="F582" i="5"/>
  <c r="F581" i="5"/>
  <c r="F580" i="5"/>
  <c r="F575" i="5"/>
  <c r="F574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73" i="5"/>
  <c r="F572" i="5"/>
  <c r="F44" i="5"/>
  <c r="F43" i="5"/>
  <c r="F39" i="5"/>
  <c r="F566" i="5"/>
  <c r="F277" i="5"/>
  <c r="F276" i="5"/>
  <c r="F563" i="5"/>
  <c r="F562" i="5"/>
  <c r="F560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1" i="5"/>
  <c r="F540" i="5"/>
  <c r="F534" i="5"/>
  <c r="F533" i="5"/>
  <c r="F524" i="5"/>
  <c r="F523" i="5"/>
  <c r="F518" i="5"/>
  <c r="F517" i="5"/>
  <c r="F516" i="5"/>
  <c r="F515" i="5"/>
  <c r="F522" i="5"/>
  <c r="F521" i="5"/>
  <c r="F520" i="5"/>
  <c r="F514" i="5"/>
  <c r="F512" i="5"/>
  <c r="F510" i="5"/>
  <c r="F509" i="5"/>
  <c r="F511" i="5"/>
  <c r="F508" i="5"/>
  <c r="F507" i="5"/>
  <c r="F506" i="5"/>
  <c r="F505" i="5"/>
  <c r="F499" i="5"/>
  <c r="F498" i="5"/>
  <c r="F497" i="5"/>
  <c r="F496" i="5"/>
  <c r="F495" i="5"/>
  <c r="F494" i="5"/>
  <c r="F493" i="5"/>
  <c r="F492" i="5"/>
  <c r="F491" i="5"/>
  <c r="F482" i="5"/>
  <c r="F490" i="5"/>
  <c r="F489" i="5"/>
  <c r="F476" i="5"/>
  <c r="F488" i="5"/>
  <c r="F487" i="5"/>
  <c r="F472" i="5"/>
  <c r="F471" i="5"/>
  <c r="F470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467" i="5"/>
  <c r="F462" i="5"/>
  <c r="F458" i="5"/>
  <c r="F457" i="5"/>
  <c r="F451" i="5"/>
  <c r="F450" i="5"/>
  <c r="F446" i="5"/>
  <c r="F440" i="5"/>
  <c r="F439" i="5"/>
  <c r="F437" i="5"/>
  <c r="F436" i="5"/>
  <c r="F428" i="5"/>
  <c r="F422" i="5"/>
  <c r="F419" i="5"/>
  <c r="F418" i="5"/>
  <c r="F415" i="5"/>
  <c r="F411" i="5"/>
  <c r="F410" i="5"/>
  <c r="F409" i="5"/>
  <c r="F408" i="5"/>
  <c r="F407" i="5"/>
  <c r="F406" i="5"/>
  <c r="F414" i="5"/>
  <c r="F413" i="5"/>
  <c r="F412" i="5"/>
  <c r="F403" i="5"/>
  <c r="F402" i="5"/>
  <c r="F397" i="5"/>
  <c r="F396" i="5"/>
  <c r="F395" i="5"/>
  <c r="F394" i="5"/>
  <c r="F389" i="5"/>
  <c r="F388" i="5"/>
  <c r="F387" i="5"/>
  <c r="F386" i="5"/>
  <c r="F385" i="5"/>
  <c r="F382" i="5"/>
  <c r="F381" i="5"/>
  <c r="F380" i="5"/>
  <c r="F379" i="5"/>
  <c r="F378" i="5"/>
  <c r="F372" i="5"/>
  <c r="F371" i="5"/>
  <c r="F370" i="5"/>
  <c r="F369" i="5"/>
  <c r="F368" i="5"/>
  <c r="F367" i="5"/>
  <c r="F366" i="5"/>
  <c r="F365" i="5"/>
  <c r="F364" i="5"/>
  <c r="F363" i="5"/>
  <c r="F361" i="5"/>
  <c r="F359" i="5"/>
  <c r="F358" i="5"/>
  <c r="F357" i="5"/>
  <c r="F356" i="5"/>
  <c r="F347" i="5"/>
  <c r="F346" i="5"/>
  <c r="F345" i="5"/>
  <c r="F344" i="5"/>
  <c r="F343" i="5"/>
  <c r="F342" i="5"/>
  <c r="F341" i="5"/>
  <c r="F340" i="5"/>
  <c r="F339" i="5"/>
  <c r="F338" i="5"/>
  <c r="F337" i="5"/>
  <c r="F335" i="5"/>
  <c r="F334" i="5"/>
  <c r="F327" i="5"/>
  <c r="F326" i="5"/>
  <c r="F325" i="5"/>
  <c r="F324" i="5"/>
  <c r="F323" i="5"/>
  <c r="F322" i="5"/>
  <c r="F321" i="5"/>
  <c r="F320" i="5"/>
  <c r="F333" i="5"/>
  <c r="F332" i="5"/>
  <c r="F331" i="5"/>
  <c r="F330" i="5"/>
  <c r="F329" i="5"/>
  <c r="F328" i="5"/>
  <c r="F319" i="5"/>
  <c r="F309" i="5"/>
  <c r="F308" i="5"/>
  <c r="F307" i="5"/>
  <c r="F306" i="5"/>
  <c r="F336" i="5"/>
  <c r="F311" i="5"/>
  <c r="F304" i="5"/>
  <c r="F296" i="5"/>
  <c r="F294" i="5"/>
  <c r="F293" i="5"/>
  <c r="F292" i="5"/>
  <c r="F290" i="5"/>
  <c r="F260" i="5"/>
  <c r="F278" i="5"/>
  <c r="F259" i="5"/>
  <c r="F258" i="5"/>
  <c r="F257" i="5"/>
  <c r="F256" i="5"/>
  <c r="F255" i="5"/>
  <c r="F254" i="5"/>
  <c r="F253" i="5"/>
  <c r="F252" i="5"/>
  <c r="F251" i="5"/>
  <c r="F249" i="5"/>
  <c r="F246" i="5"/>
  <c r="F244" i="5"/>
  <c r="F243" i="5"/>
  <c r="F242" i="5"/>
  <c r="F240" i="5"/>
  <c r="F236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5" i="5"/>
  <c r="F214" i="5"/>
  <c r="F212" i="5"/>
  <c r="F211" i="5"/>
  <c r="F208" i="5"/>
  <c r="F207" i="5"/>
  <c r="F204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6" i="5"/>
  <c r="F183" i="5"/>
  <c r="F182" i="5"/>
  <c r="F180" i="5"/>
  <c r="F179" i="5"/>
  <c r="F178" i="5"/>
  <c r="F177" i="5"/>
  <c r="F176" i="5"/>
  <c r="F175" i="5"/>
  <c r="F174" i="5"/>
  <c r="F173" i="5"/>
  <c r="F172" i="5"/>
  <c r="F171" i="5"/>
  <c r="F170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4" i="5"/>
  <c r="F153" i="5"/>
  <c r="F149" i="5"/>
  <c r="F148" i="5"/>
  <c r="F147" i="5"/>
  <c r="F143" i="5"/>
  <c r="F142" i="5"/>
  <c r="F141" i="5"/>
  <c r="F138" i="5"/>
  <c r="F137" i="5"/>
  <c r="F136" i="5"/>
  <c r="F132" i="5"/>
  <c r="F131" i="5"/>
  <c r="F130" i="5"/>
  <c r="F129" i="5"/>
  <c r="F128" i="5"/>
  <c r="F127" i="5"/>
  <c r="F121" i="5"/>
  <c r="F120" i="5"/>
  <c r="F119" i="5"/>
  <c r="F113" i="5"/>
  <c r="F112" i="5"/>
  <c r="F111" i="5"/>
  <c r="F117" i="5"/>
  <c r="F110" i="5"/>
  <c r="F109" i="5"/>
  <c r="F116" i="5"/>
  <c r="F115" i="5"/>
  <c r="F107" i="5"/>
  <c r="F105" i="5"/>
  <c r="F104" i="5"/>
  <c r="F101" i="5"/>
  <c r="F100" i="5"/>
  <c r="F99" i="5"/>
  <c r="F90" i="5"/>
  <c r="F89" i="5"/>
  <c r="F88" i="5"/>
  <c r="F81" i="5"/>
  <c r="F80" i="5"/>
  <c r="F79" i="5"/>
  <c r="F73" i="5"/>
  <c r="F70" i="5"/>
  <c r="F48" i="5"/>
  <c r="F68" i="5"/>
  <c r="F67" i="5"/>
  <c r="F66" i="5"/>
  <c r="F65" i="5"/>
  <c r="F64" i="5"/>
  <c r="F63" i="5"/>
  <c r="F62" i="5"/>
  <c r="F56" i="5"/>
  <c r="F55" i="5"/>
  <c r="F54" i="5"/>
  <c r="F47" i="5"/>
  <c r="F46" i="5"/>
  <c r="F52" i="5"/>
  <c r="F45" i="5"/>
  <c r="F38" i="5"/>
  <c r="F37" i="5"/>
  <c r="F34" i="5"/>
  <c r="F33" i="5"/>
  <c r="F27" i="5"/>
  <c r="F25" i="5"/>
  <c r="F26" i="5"/>
  <c r="F24" i="5"/>
  <c r="F21" i="5"/>
  <c r="F20" i="5"/>
  <c r="F19" i="5"/>
  <c r="F18" i="5"/>
  <c r="F17" i="5"/>
  <c r="F14" i="5"/>
  <c r="F13" i="5"/>
  <c r="F10" i="5"/>
  <c r="F814" i="5"/>
  <c r="F792" i="5"/>
  <c r="F783" i="5"/>
  <c r="F781" i="5"/>
  <c r="F774" i="5"/>
  <c r="F760" i="5"/>
  <c r="F757" i="5"/>
  <c r="F738" i="5"/>
  <c r="F726" i="5"/>
  <c r="F718" i="5"/>
  <c r="F708" i="5"/>
  <c r="F702" i="5"/>
  <c r="F666" i="5"/>
  <c r="F660" i="5"/>
  <c r="F645" i="5"/>
  <c r="F636" i="5"/>
  <c r="F628" i="5"/>
  <c r="F565" i="5"/>
  <c r="F557" i="5"/>
  <c r="F539" i="5"/>
  <c r="F504" i="5"/>
  <c r="F486" i="5"/>
  <c r="F464" i="5"/>
  <c r="F421" i="5"/>
  <c r="F392" i="5"/>
  <c r="F360" i="5"/>
  <c r="F349" i="5"/>
  <c r="F312" i="5"/>
  <c r="F241" i="5"/>
  <c r="F216" i="5"/>
  <c r="F209" i="5"/>
  <c r="F188" i="5"/>
  <c r="F139" i="5"/>
  <c r="F124" i="5"/>
  <c r="F106" i="5"/>
  <c r="F103" i="5"/>
  <c r="F95" i="5"/>
  <c r="F87" i="5"/>
  <c r="F78" i="5"/>
  <c r="F72" i="5"/>
  <c r="F61" i="5"/>
  <c r="F53" i="5"/>
  <c r="F30" i="5"/>
  <c r="F23" i="5"/>
  <c r="F4" i="5"/>
  <c r="E384" i="5"/>
  <c r="F384" i="5" s="1"/>
  <c r="E383" i="5"/>
  <c r="F383" i="5" s="1"/>
  <c r="E691" i="5"/>
  <c r="F691" i="5" s="1"/>
  <c r="F401" i="5"/>
  <c r="D91" i="5"/>
  <c r="D76" i="5"/>
  <c r="D85" i="5"/>
  <c r="D300" i="5"/>
  <c r="F8" i="5"/>
  <c r="F798" i="5"/>
  <c r="F82" i="5"/>
  <c r="F75" i="5"/>
  <c r="F239" i="5"/>
  <c r="F627" i="5"/>
  <c r="F400" i="5"/>
  <c r="F3" i="5"/>
  <c r="F767" i="5"/>
  <c r="F795" i="5"/>
  <c r="F536" i="5"/>
  <c r="F671" i="5"/>
  <c r="F535" i="5"/>
  <c r="F529" i="5"/>
  <c r="F423" i="5"/>
  <c r="F299" i="5"/>
  <c r="F59" i="5"/>
  <c r="F813" i="5"/>
  <c r="F657" i="5"/>
  <c r="F644" i="5"/>
  <c r="F589" i="5"/>
  <c r="F578" i="5"/>
  <c r="F42" i="5"/>
  <c r="F564" i="5"/>
  <c r="F503" i="5"/>
  <c r="F463" i="5"/>
  <c r="F460" i="5"/>
  <c r="F445" i="5"/>
  <c r="F432" i="5"/>
  <c r="F354" i="5"/>
  <c r="F288" i="5"/>
  <c r="F281" i="5"/>
  <c r="F245" i="5"/>
  <c r="F181" i="5"/>
  <c r="F152" i="5"/>
  <c r="F125" i="5"/>
  <c r="F50" i="5"/>
  <c r="F12" i="5"/>
  <c r="F362" i="5"/>
  <c r="F638" i="5"/>
  <c r="F519" i="5"/>
  <c r="F617" i="5"/>
  <c r="F616" i="5"/>
  <c r="D828" i="5"/>
  <c r="D808" i="5"/>
  <c r="D761" i="5"/>
  <c r="D664" i="5"/>
  <c r="D586" i="5"/>
  <c r="D571" i="5"/>
  <c r="D481" i="5"/>
  <c r="D468" i="5"/>
  <c r="D461" i="5"/>
  <c r="D433" i="5"/>
  <c r="D427" i="5"/>
  <c r="D303" i="5"/>
  <c r="D248" i="5"/>
  <c r="D233" i="5"/>
  <c r="D203" i="5"/>
  <c r="D114" i="5"/>
  <c r="D2" i="5"/>
  <c r="D773" i="5"/>
  <c r="D730" i="5"/>
  <c r="D479" i="5"/>
  <c r="D758" i="5"/>
  <c r="D443" i="5"/>
  <c r="D435" i="5"/>
  <c r="D217" i="5"/>
  <c r="D283" i="5"/>
  <c r="D318" i="5"/>
  <c r="D579" i="5"/>
  <c r="D689" i="5"/>
  <c r="D456" i="5"/>
  <c r="D393" i="5"/>
  <c r="D532" i="5"/>
  <c r="D480" i="5"/>
  <c r="D769" i="5"/>
  <c r="D629" i="5"/>
  <c r="G226" i="1"/>
  <c r="E226" i="1"/>
  <c r="F798" i="1"/>
  <c r="O343" i="5" l="1"/>
  <c r="N341" i="5"/>
  <c r="N337" i="5"/>
  <c r="N333" i="5"/>
  <c r="L323" i="5"/>
  <c r="L315" i="5"/>
  <c r="L307" i="5"/>
  <c r="L299" i="5"/>
  <c r="L295" i="5"/>
  <c r="L287" i="5"/>
  <c r="L275" i="5"/>
  <c r="L263" i="5"/>
  <c r="L255" i="5"/>
  <c r="L247" i="5"/>
  <c r="L239" i="5"/>
  <c r="L231" i="5"/>
  <c r="L223" i="5"/>
  <c r="L215" i="5"/>
  <c r="L207" i="5"/>
  <c r="M193" i="5"/>
  <c r="M172" i="5"/>
  <c r="O77" i="5"/>
  <c r="N344" i="5"/>
  <c r="N343" i="5"/>
  <c r="N342" i="5"/>
  <c r="L341" i="5"/>
  <c r="L339" i="5"/>
  <c r="L337" i="5"/>
  <c r="L333" i="5"/>
  <c r="L330" i="5"/>
  <c r="L326" i="5"/>
  <c r="L322" i="5"/>
  <c r="L318" i="5"/>
  <c r="L314" i="5"/>
  <c r="L310" i="5"/>
  <c r="L306" i="5"/>
  <c r="L302" i="5"/>
  <c r="L298" i="5"/>
  <c r="L294" i="5"/>
  <c r="L290" i="5"/>
  <c r="L286" i="5"/>
  <c r="L282" i="5"/>
  <c r="L278" i="5"/>
  <c r="L274" i="5"/>
  <c r="L270" i="5"/>
  <c r="L266" i="5"/>
  <c r="L262" i="5"/>
  <c r="L258" i="5"/>
  <c r="L254" i="5"/>
  <c r="L250" i="5"/>
  <c r="L246" i="5"/>
  <c r="L242" i="5"/>
  <c r="L238" i="5"/>
  <c r="L234" i="5"/>
  <c r="L230" i="5"/>
  <c r="L226" i="5"/>
  <c r="L222" i="5"/>
  <c r="L218" i="5"/>
  <c r="L214" i="5"/>
  <c r="L210" i="5"/>
  <c r="L206" i="5"/>
  <c r="M199" i="5"/>
  <c r="M191" i="5"/>
  <c r="M183" i="5"/>
  <c r="M168" i="5"/>
  <c r="M152" i="5"/>
  <c r="M136" i="5"/>
  <c r="O117" i="5"/>
  <c r="N56" i="5"/>
  <c r="O344" i="5"/>
  <c r="O342" i="5"/>
  <c r="N339" i="5"/>
  <c r="L331" i="5"/>
  <c r="L327" i="5"/>
  <c r="L319" i="5"/>
  <c r="L311" i="5"/>
  <c r="L303" i="5"/>
  <c r="L291" i="5"/>
  <c r="L283" i="5"/>
  <c r="L279" i="5"/>
  <c r="L271" i="5"/>
  <c r="L267" i="5"/>
  <c r="L259" i="5"/>
  <c r="L251" i="5"/>
  <c r="L243" i="5"/>
  <c r="L235" i="5"/>
  <c r="L227" i="5"/>
  <c r="L219" i="5"/>
  <c r="L211" i="5"/>
  <c r="M201" i="5"/>
  <c r="M185" i="5"/>
  <c r="M156" i="5"/>
  <c r="M140" i="5"/>
  <c r="M124" i="5"/>
  <c r="M344" i="5"/>
  <c r="M343" i="5"/>
  <c r="M342" i="5"/>
  <c r="N340" i="5"/>
  <c r="N338" i="5"/>
  <c r="N336" i="5"/>
  <c r="N334" i="5"/>
  <c r="N332" i="5"/>
  <c r="L329" i="5"/>
  <c r="L325" i="5"/>
  <c r="L321" i="5"/>
  <c r="L317" i="5"/>
  <c r="L313" i="5"/>
  <c r="L309" i="5"/>
  <c r="L305" i="5"/>
  <c r="L301" i="5"/>
  <c r="L297" i="5"/>
  <c r="L293" i="5"/>
  <c r="L289" i="5"/>
  <c r="L285" i="5"/>
  <c r="L281" i="5"/>
  <c r="L277" i="5"/>
  <c r="L273" i="5"/>
  <c r="L269" i="5"/>
  <c r="L265" i="5"/>
  <c r="L261" i="5"/>
  <c r="L257" i="5"/>
  <c r="L253" i="5"/>
  <c r="L249" i="5"/>
  <c r="L245" i="5"/>
  <c r="L241" i="5"/>
  <c r="L237" i="5"/>
  <c r="L233" i="5"/>
  <c r="L229" i="5"/>
  <c r="L225" i="5"/>
  <c r="L221" i="5"/>
  <c r="L217" i="5"/>
  <c r="L213" i="5"/>
  <c r="L209" i="5"/>
  <c r="L205" i="5"/>
  <c r="M197" i="5"/>
  <c r="M189" i="5"/>
  <c r="M180" i="5"/>
  <c r="M164" i="5"/>
  <c r="M148" i="5"/>
  <c r="M132" i="5"/>
  <c r="O109" i="5"/>
  <c r="K2" i="5"/>
  <c r="L2" i="5" s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O4" i="5"/>
  <c r="O6" i="5"/>
  <c r="O8" i="5"/>
  <c r="O10" i="5"/>
  <c r="O12" i="5"/>
  <c r="O14" i="5"/>
  <c r="O16" i="5"/>
  <c r="O18" i="5"/>
  <c r="O20" i="5"/>
  <c r="O22" i="5"/>
  <c r="O24" i="5"/>
  <c r="O26" i="5"/>
  <c r="O28" i="5"/>
  <c r="O30" i="5"/>
  <c r="O32" i="5"/>
  <c r="O34" i="5"/>
  <c r="O36" i="5"/>
  <c r="O38" i="5"/>
  <c r="O40" i="5"/>
  <c r="O42" i="5"/>
  <c r="O44" i="5"/>
  <c r="O46" i="5"/>
  <c r="O48" i="5"/>
  <c r="O50" i="5"/>
  <c r="O52" i="5"/>
  <c r="O54" i="5"/>
  <c r="O56" i="5"/>
  <c r="L58" i="5"/>
  <c r="N59" i="5"/>
  <c r="O60" i="5"/>
  <c r="L62" i="5"/>
  <c r="N63" i="5"/>
  <c r="O64" i="5"/>
  <c r="L66" i="5"/>
  <c r="N67" i="5"/>
  <c r="O68" i="5"/>
  <c r="L70" i="5"/>
  <c r="N71" i="5"/>
  <c r="O72" i="5"/>
  <c r="L74" i="5"/>
  <c r="N75" i="5"/>
  <c r="O76" i="5"/>
  <c r="L78" i="5"/>
  <c r="N79" i="5"/>
  <c r="O80" i="5"/>
  <c r="L82" i="5"/>
  <c r="N83" i="5"/>
  <c r="O84" i="5"/>
  <c r="L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3" i="5"/>
  <c r="N5" i="5"/>
  <c r="N7" i="5"/>
  <c r="N9" i="5"/>
  <c r="N11" i="5"/>
  <c r="N13" i="5"/>
  <c r="N15" i="5"/>
  <c r="N17" i="5"/>
  <c r="N19" i="5"/>
  <c r="N21" i="5"/>
  <c r="N23" i="5"/>
  <c r="N25" i="5"/>
  <c r="N27" i="5"/>
  <c r="N29" i="5"/>
  <c r="N31" i="5"/>
  <c r="N33" i="5"/>
  <c r="N35" i="5"/>
  <c r="N37" i="5"/>
  <c r="N39" i="5"/>
  <c r="N41" i="5"/>
  <c r="N43" i="5"/>
  <c r="N45" i="5"/>
  <c r="N47" i="5"/>
  <c r="N49" i="5"/>
  <c r="N51" i="5"/>
  <c r="N53" i="5"/>
  <c r="N55" i="5"/>
  <c r="L57" i="5"/>
  <c r="N58" i="5"/>
  <c r="O59" i="5"/>
  <c r="L61" i="5"/>
  <c r="N62" i="5"/>
  <c r="O63" i="5"/>
  <c r="L65" i="5"/>
  <c r="N66" i="5"/>
  <c r="O67" i="5"/>
  <c r="L69" i="5"/>
  <c r="N70" i="5"/>
  <c r="O71" i="5"/>
  <c r="L73" i="5"/>
  <c r="N74" i="5"/>
  <c r="O75" i="5"/>
  <c r="L77" i="5"/>
  <c r="N78" i="5"/>
  <c r="O79" i="5"/>
  <c r="L81" i="5"/>
  <c r="N82" i="5"/>
  <c r="O83" i="5"/>
  <c r="L85" i="5"/>
  <c r="N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3" i="5"/>
  <c r="O5" i="5"/>
  <c r="O7" i="5"/>
  <c r="O9" i="5"/>
  <c r="O11" i="5"/>
  <c r="O13" i="5"/>
  <c r="O15" i="5"/>
  <c r="O17" i="5"/>
  <c r="O19" i="5"/>
  <c r="O21" i="5"/>
  <c r="O23" i="5"/>
  <c r="O25" i="5"/>
  <c r="O27" i="5"/>
  <c r="O29" i="5"/>
  <c r="O31" i="5"/>
  <c r="O33" i="5"/>
  <c r="O35" i="5"/>
  <c r="O37" i="5"/>
  <c r="O39" i="5"/>
  <c r="O41" i="5"/>
  <c r="O43" i="5"/>
  <c r="O45" i="5"/>
  <c r="O47" i="5"/>
  <c r="O49" i="5"/>
  <c r="O51" i="5"/>
  <c r="O53" i="5"/>
  <c r="O55" i="5"/>
  <c r="N57" i="5"/>
  <c r="O58" i="5"/>
  <c r="L60" i="5"/>
  <c r="N61" i="5"/>
  <c r="O62" i="5"/>
  <c r="L64" i="5"/>
  <c r="N65" i="5"/>
  <c r="O66" i="5"/>
  <c r="L68" i="5"/>
  <c r="N69" i="5"/>
  <c r="O70" i="5"/>
  <c r="L72" i="5"/>
  <c r="N73" i="5"/>
  <c r="O74" i="5"/>
  <c r="L76" i="5"/>
  <c r="N77" i="5"/>
  <c r="O78" i="5"/>
  <c r="L80" i="5"/>
  <c r="N81" i="5"/>
  <c r="O82" i="5"/>
  <c r="L84" i="5"/>
  <c r="N85" i="5"/>
  <c r="O86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N10" i="5"/>
  <c r="N18" i="5"/>
  <c r="N26" i="5"/>
  <c r="N34" i="5"/>
  <c r="N42" i="5"/>
  <c r="N50" i="5"/>
  <c r="O57" i="5"/>
  <c r="L63" i="5"/>
  <c r="N68" i="5"/>
  <c r="O73" i="5"/>
  <c r="L79" i="5"/>
  <c r="N84" i="5"/>
  <c r="M89" i="5"/>
  <c r="M93" i="5"/>
  <c r="M97" i="5"/>
  <c r="M101" i="5"/>
  <c r="M105" i="5"/>
  <c r="M108" i="5"/>
  <c r="M110" i="5"/>
  <c r="M112" i="5"/>
  <c r="M114" i="5"/>
  <c r="M116" i="5"/>
  <c r="M118" i="5"/>
  <c r="M120" i="5"/>
  <c r="M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4" i="5"/>
  <c r="N12" i="5"/>
  <c r="N20" i="5"/>
  <c r="N28" i="5"/>
  <c r="N36" i="5"/>
  <c r="N44" i="5"/>
  <c r="N52" i="5"/>
  <c r="L59" i="5"/>
  <c r="N64" i="5"/>
  <c r="O69" i="5"/>
  <c r="L75" i="5"/>
  <c r="N80" i="5"/>
  <c r="O85" i="5"/>
  <c r="M90" i="5"/>
  <c r="M94" i="5"/>
  <c r="M98" i="5"/>
  <c r="M102" i="5"/>
  <c r="M106" i="5"/>
  <c r="O108" i="5"/>
  <c r="O110" i="5"/>
  <c r="O112" i="5"/>
  <c r="O114" i="5"/>
  <c r="O116" i="5"/>
  <c r="O118" i="5"/>
  <c r="O120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N6" i="5"/>
  <c r="N14" i="5"/>
  <c r="N22" i="5"/>
  <c r="N30" i="5"/>
  <c r="N38" i="5"/>
  <c r="N46" i="5"/>
  <c r="N54" i="5"/>
  <c r="N60" i="5"/>
  <c r="O65" i="5"/>
  <c r="L71" i="5"/>
  <c r="N76" i="5"/>
  <c r="O81" i="5"/>
  <c r="L87" i="5"/>
  <c r="M91" i="5"/>
  <c r="M95" i="5"/>
  <c r="M99" i="5"/>
  <c r="M103" i="5"/>
  <c r="M107" i="5"/>
  <c r="M109" i="5"/>
  <c r="M111" i="5"/>
  <c r="M113" i="5"/>
  <c r="M115" i="5"/>
  <c r="M117" i="5"/>
  <c r="M119" i="5"/>
  <c r="M121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N32" i="5"/>
  <c r="O61" i="5"/>
  <c r="L83" i="5"/>
  <c r="M100" i="5"/>
  <c r="O111" i="5"/>
  <c r="O119" i="5"/>
  <c r="M125" i="5"/>
  <c r="M129" i="5"/>
  <c r="M133" i="5"/>
  <c r="M137" i="5"/>
  <c r="M141" i="5"/>
  <c r="M145" i="5"/>
  <c r="M149" i="5"/>
  <c r="M153" i="5"/>
  <c r="M157" i="5"/>
  <c r="M161" i="5"/>
  <c r="M165" i="5"/>
  <c r="M169" i="5"/>
  <c r="M173" i="5"/>
  <c r="M177" i="5"/>
  <c r="M181" i="5"/>
  <c r="O183" i="5"/>
  <c r="O185" i="5"/>
  <c r="O187" i="5"/>
  <c r="O189" i="5"/>
  <c r="O191" i="5"/>
  <c r="O193" i="5"/>
  <c r="O195" i="5"/>
  <c r="O197" i="5"/>
  <c r="O199" i="5"/>
  <c r="O201" i="5"/>
  <c r="O203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6" i="5"/>
  <c r="M337" i="5"/>
  <c r="M338" i="5"/>
  <c r="M339" i="5"/>
  <c r="M340" i="5"/>
  <c r="M341" i="5"/>
  <c r="N8" i="5"/>
  <c r="N40" i="5"/>
  <c r="L67" i="5"/>
  <c r="M88" i="5"/>
  <c r="M104" i="5"/>
  <c r="O113" i="5"/>
  <c r="O121" i="5"/>
  <c r="M126" i="5"/>
  <c r="M130" i="5"/>
  <c r="M134" i="5"/>
  <c r="M138" i="5"/>
  <c r="M142" i="5"/>
  <c r="M146" i="5"/>
  <c r="M150" i="5"/>
  <c r="M154" i="5"/>
  <c r="M158" i="5"/>
  <c r="M162" i="5"/>
  <c r="M166" i="5"/>
  <c r="M170" i="5"/>
  <c r="M174" i="5"/>
  <c r="M178" i="5"/>
  <c r="M182" i="5"/>
  <c r="M184" i="5"/>
  <c r="M186" i="5"/>
  <c r="M188" i="5"/>
  <c r="M190" i="5"/>
  <c r="M192" i="5"/>
  <c r="M194" i="5"/>
  <c r="M196" i="5"/>
  <c r="M198" i="5"/>
  <c r="M200" i="5"/>
  <c r="M202" i="5"/>
  <c r="M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16" i="5"/>
  <c r="N48" i="5"/>
  <c r="N72" i="5"/>
  <c r="M92" i="5"/>
  <c r="O107" i="5"/>
  <c r="O115" i="5"/>
  <c r="M123" i="5"/>
  <c r="M127" i="5"/>
  <c r="M131" i="5"/>
  <c r="M135" i="5"/>
  <c r="M139" i="5"/>
  <c r="M143" i="5"/>
  <c r="M147" i="5"/>
  <c r="M151" i="5"/>
  <c r="M155" i="5"/>
  <c r="M159" i="5"/>
  <c r="M163" i="5"/>
  <c r="M167" i="5"/>
  <c r="M171" i="5"/>
  <c r="M175" i="5"/>
  <c r="M179" i="5"/>
  <c r="O182" i="5"/>
  <c r="O184" i="5"/>
  <c r="O186" i="5"/>
  <c r="O188" i="5"/>
  <c r="O190" i="5"/>
  <c r="O192" i="5"/>
  <c r="O194" i="5"/>
  <c r="O196" i="5"/>
  <c r="O198" i="5"/>
  <c r="O200" i="5"/>
  <c r="O202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6" i="5"/>
  <c r="O337" i="5"/>
  <c r="O338" i="5"/>
  <c r="O339" i="5"/>
  <c r="O340" i="5"/>
  <c r="O341" i="5"/>
  <c r="L344" i="5"/>
  <c r="L343" i="5"/>
  <c r="L342" i="5"/>
  <c r="L340" i="5"/>
  <c r="L338" i="5"/>
  <c r="L336" i="5"/>
  <c r="L334" i="5"/>
  <c r="L332" i="5"/>
  <c r="L328" i="5"/>
  <c r="L324" i="5"/>
  <c r="L320" i="5"/>
  <c r="L316" i="5"/>
  <c r="L312" i="5"/>
  <c r="L308" i="5"/>
  <c r="L304" i="5"/>
  <c r="L300" i="5"/>
  <c r="L296" i="5"/>
  <c r="L292" i="5"/>
  <c r="L288" i="5"/>
  <c r="L284" i="5"/>
  <c r="L280" i="5"/>
  <c r="L276" i="5"/>
  <c r="L272" i="5"/>
  <c r="L268" i="5"/>
  <c r="L264" i="5"/>
  <c r="L260" i="5"/>
  <c r="L256" i="5"/>
  <c r="L252" i="5"/>
  <c r="L248" i="5"/>
  <c r="L244" i="5"/>
  <c r="L240" i="5"/>
  <c r="L236" i="5"/>
  <c r="L232" i="5"/>
  <c r="L228" i="5"/>
  <c r="L224" i="5"/>
  <c r="L220" i="5"/>
  <c r="L216" i="5"/>
  <c r="L212" i="5"/>
  <c r="L208" i="5"/>
  <c r="M203" i="5"/>
  <c r="M195" i="5"/>
  <c r="M187" i="5"/>
  <c r="M176" i="5"/>
  <c r="M160" i="5"/>
  <c r="M144" i="5"/>
  <c r="M128" i="5"/>
  <c r="M96" i="5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N2" i="5" l="1"/>
  <c r="M2" i="5"/>
  <c r="O2" i="5"/>
  <c r="F828" i="1"/>
  <c r="F827" i="1"/>
  <c r="F826" i="1"/>
  <c r="F800" i="1" l="1"/>
  <c r="F801" i="1"/>
  <c r="F825" i="1" l="1"/>
  <c r="F824" i="1"/>
  <c r="F823" i="1"/>
  <c r="F822" i="1"/>
  <c r="F821" i="1"/>
  <c r="F820" i="1"/>
  <c r="F818" i="1"/>
  <c r="F819" i="1"/>
  <c r="F817" i="1"/>
  <c r="F816" i="1"/>
  <c r="F815" i="1"/>
  <c r="F814" i="1"/>
  <c r="F799" i="1"/>
  <c r="F813" i="1"/>
  <c r="F812" i="1"/>
  <c r="F811" i="1"/>
  <c r="F810" i="1"/>
  <c r="F809" i="1"/>
  <c r="F808" i="1"/>
  <c r="F807" i="1"/>
  <c r="F806" i="1"/>
  <c r="F805" i="1"/>
  <c r="F804" i="1"/>
  <c r="F803" i="1"/>
  <c r="K8" i="4"/>
  <c r="D8" i="4"/>
  <c r="C8" i="4" l="1"/>
  <c r="C13" i="4"/>
  <c r="E13" i="4" s="1"/>
  <c r="F802" i="1"/>
  <c r="F797" i="1" s="1"/>
  <c r="B20" i="4"/>
  <c r="C12" i="4"/>
  <c r="E12" i="4" s="1"/>
  <c r="B11" i="4"/>
  <c r="C11" i="4" s="1"/>
  <c r="I726" i="1"/>
  <c r="G726" i="1"/>
  <c r="D726" i="1"/>
  <c r="E726" i="1"/>
  <c r="E797" i="1"/>
  <c r="P13" i="3" s="1"/>
  <c r="D79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I797" i="1"/>
  <c r="S13" i="3" s="1"/>
  <c r="G797" i="1"/>
  <c r="R13" i="3" s="1"/>
  <c r="D16" i="4"/>
  <c r="C16" i="4" s="1"/>
  <c r="E16" i="4" s="1"/>
  <c r="D17" i="4"/>
  <c r="D19" i="4"/>
  <c r="C19" i="4" s="1"/>
  <c r="E19" i="4" s="1"/>
  <c r="K6" i="4"/>
  <c r="K7" i="4"/>
  <c r="K9" i="4"/>
  <c r="K5" i="4"/>
  <c r="D15" i="4"/>
  <c r="B10" i="4"/>
  <c r="C10" i="4" s="1"/>
  <c r="F727" i="1"/>
  <c r="I653" i="1"/>
  <c r="G653" i="1"/>
  <c r="R11" i="3" s="1"/>
  <c r="D653" i="1"/>
  <c r="E682" i="1"/>
  <c r="E683" i="1"/>
  <c r="F683" i="1" s="1"/>
  <c r="E684" i="1"/>
  <c r="F684" i="1" s="1"/>
  <c r="F685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B9" i="4"/>
  <c r="D7" i="4"/>
  <c r="F664" i="1"/>
  <c r="F663" i="1"/>
  <c r="F662" i="1"/>
  <c r="F661" i="1"/>
  <c r="F660" i="1"/>
  <c r="F659" i="1"/>
  <c r="F658" i="1"/>
  <c r="F657" i="1"/>
  <c r="F656" i="1"/>
  <c r="F655" i="1"/>
  <c r="F654" i="1"/>
  <c r="F651" i="1"/>
  <c r="F650" i="1"/>
  <c r="I560" i="1"/>
  <c r="D20" i="4" l="1"/>
  <c r="F726" i="1"/>
  <c r="E11" i="4"/>
  <c r="P12" i="3"/>
  <c r="R12" i="3"/>
  <c r="H653" i="1"/>
  <c r="H797" i="1"/>
  <c r="E653" i="1"/>
  <c r="P11" i="3" s="1"/>
  <c r="C18" i="4"/>
  <c r="E18" i="4" s="1"/>
  <c r="C17" i="4"/>
  <c r="E17" i="4" s="1"/>
  <c r="C15" i="4"/>
  <c r="E15" i="4" s="1"/>
  <c r="F653" i="1"/>
  <c r="Q11" i="3" s="1"/>
  <c r="S11" i="3"/>
  <c r="G560" i="1"/>
  <c r="E560" i="1"/>
  <c r="F563" i="1"/>
  <c r="F562" i="1"/>
  <c r="F561" i="1"/>
  <c r="C9" i="4"/>
  <c r="D648" i="1"/>
  <c r="D639" i="1"/>
  <c r="D623" i="1"/>
  <c r="D615" i="1"/>
  <c r="F612" i="1"/>
  <c r="F611" i="1"/>
  <c r="F610" i="1"/>
  <c r="F609" i="1"/>
  <c r="F608" i="1"/>
  <c r="F607" i="1"/>
  <c r="F606" i="1"/>
  <c r="F605" i="1"/>
  <c r="F601" i="1"/>
  <c r="F585" i="1"/>
  <c r="F590" i="1"/>
  <c r="F582" i="1"/>
  <c r="F567" i="1"/>
  <c r="F566" i="1"/>
  <c r="F565" i="1"/>
  <c r="F570" i="1"/>
  <c r="E477" i="1"/>
  <c r="G477" i="1"/>
  <c r="F578" i="1"/>
  <c r="F575" i="1"/>
  <c r="F592" i="1"/>
  <c r="F577" i="1"/>
  <c r="F572" i="1"/>
  <c r="F571" i="1"/>
  <c r="F597" i="1"/>
  <c r="F604" i="1"/>
  <c r="F591" i="1"/>
  <c r="C20" i="4" l="1"/>
  <c r="H726" i="1"/>
  <c r="T12" i="3" s="1"/>
  <c r="T13" i="3"/>
  <c r="T11" i="3"/>
  <c r="O11" i="3"/>
  <c r="D560" i="1"/>
  <c r="H560" i="1"/>
  <c r="F564" i="1"/>
  <c r="F569" i="1"/>
  <c r="F568" i="1"/>
  <c r="S12" i="3" l="1"/>
  <c r="O13" i="3"/>
  <c r="O12" i="3"/>
  <c r="F589" i="1"/>
  <c r="F595" i="1"/>
  <c r="F584" i="1"/>
  <c r="F603" i="1"/>
  <c r="Q13" i="3" l="1"/>
  <c r="Q12" i="3"/>
  <c r="F596" i="1"/>
  <c r="F574" i="1" l="1"/>
  <c r="F576" i="1"/>
  <c r="F600" i="1" l="1"/>
  <c r="F573" i="1" l="1"/>
  <c r="F583" i="1" l="1"/>
  <c r="F598" i="1"/>
  <c r="F588" i="1" l="1"/>
  <c r="F580" i="1" l="1"/>
  <c r="F581" i="1"/>
  <c r="F587" i="1"/>
  <c r="F579" i="1"/>
  <c r="F586" i="1" l="1"/>
  <c r="F593" i="1"/>
  <c r="F602" i="1"/>
  <c r="F594" i="1"/>
  <c r="F599" i="1" l="1"/>
  <c r="F560" i="1" s="1"/>
  <c r="R10" i="3"/>
  <c r="P10" i="3"/>
  <c r="O10" i="3"/>
  <c r="E8" i="4"/>
  <c r="K2" i="4"/>
  <c r="I477" i="1"/>
  <c r="H477" i="1" s="1"/>
  <c r="F554" i="1"/>
  <c r="F550" i="1"/>
  <c r="F542" i="1"/>
  <c r="F538" i="1"/>
  <c r="F534" i="1"/>
  <c r="F526" i="1"/>
  <c r="F522" i="1"/>
  <c r="F518" i="1"/>
  <c r="F546" i="1"/>
  <c r="F530" i="1"/>
  <c r="F517" i="1"/>
  <c r="F519" i="1"/>
  <c r="F520" i="1"/>
  <c r="F521" i="1"/>
  <c r="F523" i="1"/>
  <c r="F524" i="1"/>
  <c r="F525" i="1"/>
  <c r="F527" i="1"/>
  <c r="F528" i="1"/>
  <c r="F529" i="1"/>
  <c r="F531" i="1"/>
  <c r="F532" i="1"/>
  <c r="F533" i="1"/>
  <c r="F535" i="1"/>
  <c r="F536" i="1"/>
  <c r="F537" i="1"/>
  <c r="F539" i="1"/>
  <c r="F540" i="1"/>
  <c r="F541" i="1"/>
  <c r="F543" i="1"/>
  <c r="F544" i="1"/>
  <c r="F545" i="1"/>
  <c r="F547" i="1"/>
  <c r="F548" i="1"/>
  <c r="F549" i="1"/>
  <c r="F551" i="1"/>
  <c r="F552" i="1"/>
  <c r="F553" i="1"/>
  <c r="F555" i="1"/>
  <c r="F556" i="1"/>
  <c r="F557" i="1"/>
  <c r="F478" i="1"/>
  <c r="F479" i="1"/>
  <c r="F516" i="1"/>
  <c r="F515" i="1"/>
  <c r="F514" i="1"/>
  <c r="F513" i="1"/>
  <c r="F512" i="1"/>
  <c r="F511" i="1"/>
  <c r="F510" i="1"/>
  <c r="F509" i="1"/>
  <c r="F508" i="1"/>
  <c r="F507" i="1"/>
  <c r="F506" i="1"/>
  <c r="E9" i="4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R9" i="3"/>
  <c r="F465" i="1"/>
  <c r="F466" i="1"/>
  <c r="F467" i="1"/>
  <c r="F468" i="1"/>
  <c r="F469" i="1"/>
  <c r="F470" i="1"/>
  <c r="F471" i="1"/>
  <c r="F472" i="1"/>
  <c r="F473" i="1"/>
  <c r="F474" i="1"/>
  <c r="I413" i="1"/>
  <c r="G413" i="1"/>
  <c r="R8" i="3" s="1"/>
  <c r="D413" i="1"/>
  <c r="E413" i="1"/>
  <c r="E10" i="4"/>
  <c r="F435" i="1"/>
  <c r="F432" i="1"/>
  <c r="F431" i="1"/>
  <c r="F429" i="1"/>
  <c r="F427" i="1"/>
  <c r="F426" i="1"/>
  <c r="F425" i="1"/>
  <c r="F417" i="1"/>
  <c r="F415" i="1"/>
  <c r="F416" i="1"/>
  <c r="F418" i="1"/>
  <c r="F419" i="1"/>
  <c r="F420" i="1"/>
  <c r="F421" i="1"/>
  <c r="F422" i="1"/>
  <c r="F423" i="1"/>
  <c r="F424" i="1"/>
  <c r="F428" i="1"/>
  <c r="F430" i="1"/>
  <c r="F433" i="1"/>
  <c r="F434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14" i="1"/>
  <c r="D349" i="1"/>
  <c r="O7" i="3" s="1"/>
  <c r="E349" i="1"/>
  <c r="P7" i="3" s="1"/>
  <c r="G349" i="1"/>
  <c r="I349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364" i="1"/>
  <c r="F363" i="1"/>
  <c r="F362" i="1"/>
  <c r="F360" i="1"/>
  <c r="F361" i="1"/>
  <c r="F359" i="1"/>
  <c r="F358" i="1"/>
  <c r="F357" i="1"/>
  <c r="F356" i="1"/>
  <c r="F355" i="1"/>
  <c r="F350" i="1"/>
  <c r="F354" i="1"/>
  <c r="F353" i="1"/>
  <c r="F352" i="1"/>
  <c r="F351" i="1"/>
  <c r="E295" i="1"/>
  <c r="P6" i="3" s="1"/>
  <c r="D146" i="1"/>
  <c r="D226" i="1"/>
  <c r="D295" i="1"/>
  <c r="O6" i="3" s="1"/>
  <c r="G295" i="1"/>
  <c r="R6" i="3" s="1"/>
  <c r="R5" i="3"/>
  <c r="G146" i="1"/>
  <c r="R4" i="3" s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07" i="1"/>
  <c r="F297" i="1"/>
  <c r="F296" i="1"/>
  <c r="F306" i="1"/>
  <c r="F305" i="1"/>
  <c r="F304" i="1"/>
  <c r="F303" i="1"/>
  <c r="F302" i="1"/>
  <c r="F301" i="1"/>
  <c r="F299" i="1"/>
  <c r="F300" i="1"/>
  <c r="F298" i="1"/>
  <c r="F249" i="1"/>
  <c r="F248" i="1"/>
  <c r="F247" i="1"/>
  <c r="F246" i="1"/>
  <c r="F245" i="1"/>
  <c r="F244" i="1"/>
  <c r="F243" i="1"/>
  <c r="F242" i="1"/>
  <c r="D6" i="4"/>
  <c r="D87" i="1"/>
  <c r="E87" i="1"/>
  <c r="E146" i="1"/>
  <c r="P4" i="3" s="1"/>
  <c r="I146" i="1"/>
  <c r="F241" i="1"/>
  <c r="B6" i="4"/>
  <c r="F240" i="1"/>
  <c r="F239" i="1"/>
  <c r="F238" i="1"/>
  <c r="F237" i="1"/>
  <c r="F236" i="1"/>
  <c r="F235" i="1"/>
  <c r="F234" i="1"/>
  <c r="F233" i="1"/>
  <c r="F228" i="1"/>
  <c r="F229" i="1"/>
  <c r="F230" i="1"/>
  <c r="F231" i="1"/>
  <c r="F232" i="1"/>
  <c r="F227" i="1"/>
  <c r="F188" i="1"/>
  <c r="F147" i="1"/>
  <c r="F187" i="1"/>
  <c r="F186" i="1"/>
  <c r="S2" i="3"/>
  <c r="F185" i="1"/>
  <c r="F184" i="1"/>
  <c r="F183" i="1"/>
  <c r="F182" i="1"/>
  <c r="F181" i="1"/>
  <c r="F180" i="1"/>
  <c r="F179" i="1"/>
  <c r="F178" i="1"/>
  <c r="F177" i="1"/>
  <c r="F158" i="1"/>
  <c r="F159" i="1"/>
  <c r="F157" i="1"/>
  <c r="F163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2" i="1"/>
  <c r="F161" i="1"/>
  <c r="F160" i="1"/>
  <c r="F156" i="1"/>
  <c r="F155" i="1"/>
  <c r="F154" i="1"/>
  <c r="F150" i="1"/>
  <c r="F151" i="1"/>
  <c r="F152" i="1"/>
  <c r="F153" i="1"/>
  <c r="F149" i="1"/>
  <c r="F148" i="1"/>
  <c r="G87" i="1"/>
  <c r="F105" i="1"/>
  <c r="F104" i="1"/>
  <c r="F226" i="1" l="1"/>
  <c r="L2" i="4"/>
  <c r="B7" i="4" s="1"/>
  <c r="C7" i="4" s="1"/>
  <c r="F477" i="1"/>
  <c r="Q9" i="3" s="1"/>
  <c r="Q10" i="3"/>
  <c r="P9" i="3"/>
  <c r="T10" i="3"/>
  <c r="S10" i="3"/>
  <c r="D477" i="1"/>
  <c r="O9" i="3" s="1"/>
  <c r="F413" i="1"/>
  <c r="F349" i="1"/>
  <c r="Q7" i="3" s="1"/>
  <c r="H349" i="1"/>
  <c r="R7" i="3"/>
  <c r="S7" i="3"/>
  <c r="F295" i="1"/>
  <c r="Q6" i="3" s="1"/>
  <c r="Q5" i="3"/>
  <c r="O5" i="3"/>
  <c r="P5" i="3"/>
  <c r="F146" i="1"/>
  <c r="C6" i="4"/>
  <c r="E6" i="4" s="1"/>
  <c r="H146" i="1"/>
  <c r="S4" i="3"/>
  <c r="O4" i="3"/>
  <c r="F102" i="1"/>
  <c r="F103" i="1"/>
  <c r="F101" i="1"/>
  <c r="C1" i="4" l="1"/>
  <c r="I295" i="1"/>
  <c r="H295" i="1" s="1"/>
  <c r="T7" i="3"/>
  <c r="Q4" i="3"/>
  <c r="T4" i="3"/>
  <c r="H2" i="1"/>
  <c r="G2" i="1" s="1"/>
  <c r="T6" i="3" l="1"/>
  <c r="I226" i="1"/>
  <c r="F88" i="1"/>
  <c r="F100" i="1"/>
  <c r="F99" i="1"/>
  <c r="H226" i="1" l="1"/>
  <c r="S6" i="3"/>
  <c r="I87" i="1"/>
  <c r="F89" i="1"/>
  <c r="F98" i="1"/>
  <c r="F97" i="1"/>
  <c r="H87" i="1" l="1"/>
  <c r="S3" i="3"/>
  <c r="F96" i="1"/>
  <c r="F95" i="1"/>
  <c r="F94" i="1"/>
  <c r="F91" i="1" l="1"/>
  <c r="F92" i="1"/>
  <c r="F93" i="1"/>
  <c r="F90" i="1"/>
  <c r="F87" i="1" l="1"/>
  <c r="Q3" i="3" s="1"/>
  <c r="R3" i="3"/>
  <c r="P3" i="3"/>
  <c r="E2" i="1"/>
  <c r="F82" i="1" l="1"/>
  <c r="F81" i="1"/>
  <c r="F80" i="1"/>
  <c r="F79" i="1"/>
  <c r="D42" i="1" l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41" i="1"/>
  <c r="F34" i="1" l="1"/>
  <c r="F18" i="1"/>
  <c r="D2" i="1" l="1"/>
  <c r="O2" i="3" s="1"/>
  <c r="L14" i="3" l="1"/>
  <c r="F30" i="1"/>
  <c r="F40" i="1"/>
  <c r="F39" i="1"/>
  <c r="F38" i="1"/>
  <c r="F37" i="1"/>
  <c r="F36" i="1"/>
  <c r="F35" i="1"/>
  <c r="F33" i="1"/>
  <c r="F32" i="1"/>
  <c r="F31" i="1"/>
  <c r="F29" i="1"/>
  <c r="F28" i="1"/>
  <c r="F27" i="1"/>
  <c r="F26" i="1"/>
  <c r="F25" i="1"/>
  <c r="F24" i="1"/>
  <c r="F23" i="1"/>
  <c r="F22" i="1"/>
  <c r="F21" i="1"/>
  <c r="F20" i="1"/>
  <c r="F19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T2" i="3"/>
  <c r="R2" i="3"/>
  <c r="R14" i="3" s="1"/>
  <c r="P2" i="3" l="1"/>
  <c r="F2" i="1"/>
  <c r="Q2" i="3" l="1"/>
  <c r="O3" i="3" l="1"/>
  <c r="T3" i="3" l="1"/>
  <c r="H413" i="1"/>
  <c r="T8" i="3" s="1"/>
  <c r="S8" i="3" l="1"/>
  <c r="Q8" i="3"/>
  <c r="Q14" i="3" s="1"/>
  <c r="P8" i="3"/>
  <c r="P14" i="3" s="1"/>
  <c r="O8" i="3"/>
  <c r="O14" i="3" l="1"/>
  <c r="T9" i="3"/>
  <c r="T14" i="3" s="1"/>
  <c r="S9" i="3"/>
  <c r="S14" i="3" s="1"/>
  <c r="E7" i="4" l="1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<sst xmlns="http://schemas.openxmlformats.org/spreadsheetml/2006/main" count="5411" uniqueCount="515">
  <si>
    <t>Vendas</t>
  </si>
  <si>
    <t>Item</t>
  </si>
  <si>
    <t>Pago</t>
  </si>
  <si>
    <t>Vendido</t>
  </si>
  <si>
    <t>Lucro</t>
  </si>
  <si>
    <t>Situação</t>
  </si>
  <si>
    <t>shopee</t>
  </si>
  <si>
    <t>Janeiro</t>
  </si>
  <si>
    <t>balança 10kg</t>
  </si>
  <si>
    <t>Chave tok/alen</t>
  </si>
  <si>
    <t>fone stereo earphone</t>
  </si>
  <si>
    <t xml:space="preserve">maquina de costura </t>
  </si>
  <si>
    <t>memory card 32mb</t>
  </si>
  <si>
    <t>Mouse gamer mu2908</t>
  </si>
  <si>
    <t>Smartband d20</t>
  </si>
  <si>
    <t>vendido</t>
  </si>
  <si>
    <t>Barbeador de nariz</t>
  </si>
  <si>
    <t>Barbeador inova 3780</t>
  </si>
  <si>
    <t>Bluetooth car</t>
  </si>
  <si>
    <t>Bomba filtro galao</t>
  </si>
  <si>
    <t>Bomba filtro galao eletrico</t>
  </si>
  <si>
    <t>Cabo 2m iphone</t>
  </si>
  <si>
    <t>Cabo hdmi 4k 10m</t>
  </si>
  <si>
    <t xml:space="preserve">Cabo ipega tipo c </t>
  </si>
  <si>
    <t xml:space="preserve">case HD </t>
  </si>
  <si>
    <t>chave universal</t>
  </si>
  <si>
    <t>Espremedor pasta</t>
  </si>
  <si>
    <t>Fone pcell pequeno</t>
  </si>
  <si>
    <t>Gatilho simples</t>
  </si>
  <si>
    <t>Globo de luz grande</t>
  </si>
  <si>
    <t>Globo de luz pequeno</t>
  </si>
  <si>
    <t>Kit ferramenta</t>
  </si>
  <si>
    <t>kit manicure</t>
  </si>
  <si>
    <t>kit manicure eletrica</t>
  </si>
  <si>
    <t>kit reparo bike</t>
  </si>
  <si>
    <t>Manta de trabalho</t>
  </si>
  <si>
    <t>mini depilador</t>
  </si>
  <si>
    <t>plano de tv</t>
  </si>
  <si>
    <t xml:space="preserve">SSD 240gb </t>
  </si>
  <si>
    <t>transmissor veicular x8</t>
  </si>
  <si>
    <t>led usb bike</t>
  </si>
  <si>
    <t>Cliente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</si>
  <si>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</si>
  <si>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</si>
  <si>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</si>
  <si>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</si>
  <si>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</si>
  <si>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</si>
  <si>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</si>
  <si>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</si>
  <si>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</si>
  <si>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</si>
  <si>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</si>
  <si>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Gasto</t>
  </si>
  <si>
    <t>Venda</t>
  </si>
  <si>
    <t>QT</t>
  </si>
  <si>
    <t>QV Shopee</t>
  </si>
  <si>
    <t>Total</t>
  </si>
  <si>
    <t>Nome</t>
  </si>
  <si>
    <t>Gerente tatico</t>
  </si>
  <si>
    <t>Pedro</t>
  </si>
  <si>
    <t>Carlos ETB</t>
  </si>
  <si>
    <t>Rafael portaria</t>
  </si>
  <si>
    <t>Gian</t>
  </si>
  <si>
    <t>Valor</t>
  </si>
  <si>
    <t>Falta</t>
  </si>
  <si>
    <t>Pagou</t>
  </si>
  <si>
    <t>OBS</t>
  </si>
  <si>
    <t>Caloteiros</t>
  </si>
  <si>
    <t>formataçao</t>
  </si>
  <si>
    <t xml:space="preserve">gatilho simples </t>
  </si>
  <si>
    <t>Gatilho ak66</t>
  </si>
  <si>
    <t>Mini Máquina De Costura Manual Portátil De Mão Tecido</t>
  </si>
  <si>
    <t>Bateria Litio 2032 Unitário Cr2032 1 unidades</t>
  </si>
  <si>
    <t>Super Cola Instantânea Metal Madeira Plástico</t>
  </si>
  <si>
    <t>Kit Reparo Para Pneu Sem Câmara</t>
  </si>
  <si>
    <t>Lanterna Lampião 6+1 LED Recarregável Bivolt com USB - JH-5800T</t>
  </si>
  <si>
    <t>Globo de luz de discoteca rotativo para festas,</t>
  </si>
  <si>
    <t>Kit Com 15 Tipo De Botoes Diversos Costura</t>
  </si>
  <si>
    <t>Película Vidro Temperado Vários modelos.</t>
  </si>
  <si>
    <t>Maquina Higiênica Aparadora / Aparador Depilador De Pelos Nariz e Orelha</t>
  </si>
  <si>
    <t>Fone de Ouvido Pmcell Fo -11 Original C/ Microfone</t>
  </si>
  <si>
    <t>Fio de Solda Estanho Cobix Tubinho 1mm 22 Gramas 1 Unidade</t>
  </si>
  <si>
    <t>Cooler Fan Rgb Master Led Fc1302 120x120mm</t>
  </si>
  <si>
    <t>Jogo de linha para costura - 123 Útil</t>
  </si>
  <si>
    <t>Kit 30 Peças Reparo Bike Remendo Pneu Ferramentas Bicicleta</t>
  </si>
  <si>
    <t>Sugador De Solda Alumínio Com Bico</t>
  </si>
  <si>
    <t>Almofada de Isolamento Térmico Magnético Estação de Solda Plataforma de Manutenção resistente ao Calor Reparação Isolamento Tapete de Trabalho</t>
  </si>
  <si>
    <t>kit Reparo De Pneu Bicicleta</t>
  </si>
  <si>
    <t>Reparo macarrão pneu 10pç</t>
  </si>
  <si>
    <t>Super Mini Taser Defense Choque Ideal Para Mulheres</t>
  </si>
  <si>
    <t>1PCS Glossy Multicolored Business ID Credit Card Cash Pocket Holder Wallet Aluminium Alloy Outer Plastic Inner Waterproof Case</t>
  </si>
  <si>
    <t>Adaptador Usb 2.0 Ethernet Rj45 Fácil Instalação</t>
  </si>
  <si>
    <t>APARELHO DE BARBEAR METAL HM-10 HOME&amp;HOME</t>
  </si>
  <si>
    <t>Bomba Para Galão de Água Mineral Garrafão 10 Ou 20 Litros !! - Clink</t>
  </si>
  <si>
    <t>Conjunto de chave de fenda de precisão de 6 peça</t>
  </si>
  <si>
    <t>Digital plataforma de pesagem balança eletrônica Digital jóias escalas</t>
  </si>
  <si>
    <t>Estilete Profissional Multiuso + 3 Laminas de Refil</t>
  </si>
  <si>
    <t>Fita Isolante Idea 0.18mm X 18mm X 5m - 1 Unidades</t>
  </si>
  <si>
    <t>Jogo De Chave De Vela 6 Peças Monalisa</t>
  </si>
  <si>
    <t>Jogo De Chave Torx E Allen 8 Pecas - Nipo - Sq</t>
  </si>
  <si>
    <t>kit costura de agulhas de conserto doméstico kit costura cerzir couro carpete roupas</t>
  </si>
  <si>
    <t>Kit De Costura 36 Peças Idea</t>
  </si>
  <si>
    <t>Mandril 1/2 Com Chave - Super 1.5 a 13mm - Encaixe Rosca 1/2 X 20 UNF -</t>
  </si>
  <si>
    <t>Memory Card 32mb P/ Ps2 Kp-032 - Knup</t>
  </si>
  <si>
    <t>Organizador gaveteiro 7000 com 16 gavetas</t>
  </si>
  <si>
    <t>Super Cola Instantânea Metal Madeira e Plástico</t>
  </si>
  <si>
    <t>Transmissor modulador FM para carro Bluetooth X8 Plus 2USB</t>
  </si>
  <si>
    <t>Unha Postiça Kits (contendo 20 unhas + cola ) Professional Instant Nail Tips</t>
  </si>
  <si>
    <t>Lampaia</t>
  </si>
  <si>
    <t>mini taiser</t>
  </si>
  <si>
    <t>celular g6</t>
  </si>
  <si>
    <t>Cartao onibuns</t>
  </si>
  <si>
    <t>bsb</t>
  </si>
  <si>
    <t>Shopee</t>
  </si>
  <si>
    <t>V. BSB</t>
  </si>
  <si>
    <t>teclado tv box</t>
  </si>
  <si>
    <t>PC</t>
  </si>
  <si>
    <t>manta termica</t>
  </si>
  <si>
    <t>Pelicula iphone</t>
  </si>
  <si>
    <t>capinha iphone</t>
  </si>
  <si>
    <t>cabo ipad</t>
  </si>
  <si>
    <t>ferrmaneta</t>
  </si>
  <si>
    <t>bomba eletrica</t>
  </si>
  <si>
    <t>Globo de luz de discoteca rotativo, para festas, luz estroboscópica</t>
  </si>
  <si>
    <t>Kit Reparo Pneu Abs Remendo Sem Camara Carros Motos</t>
  </si>
  <si>
    <t>Calculadora Cientifica Profissional Modelo Id-8267c</t>
  </si>
  <si>
    <t>ESPELHO RETROVISOR PARA BIKE HIGH ONE</t>
  </si>
  <si>
    <t>Relógio Inteligente Smartwatch D20 Bluetooth Monitor Saúde</t>
  </si>
  <si>
    <t>Memory Card 8mb P/ Ps2 Kp-032 - Knup</t>
  </si>
  <si>
    <t>Afiador de facas de cozinha Restauração de ferramentas de afiação de facas de 3 estágios e lâminas polonesas</t>
  </si>
  <si>
    <t>Mini Morsa Idea 6463M</t>
  </si>
  <si>
    <t>A 70 Spray Líquido 200 ml - Nutriex</t>
  </si>
  <si>
    <t>KIT REPARO DE PNEU AUTOMOTIVO C/ 6 PCS SQ</t>
  </si>
  <si>
    <t>Furador de Couro – Kit Vazador</t>
  </si>
  <si>
    <t>Gatilhos Botão Gamepad L1 - R1 Pubg Free Fire Resistente</t>
  </si>
  <si>
    <t>Cabo USB iphone 4/4s</t>
  </si>
  <si>
    <t>Lanterna Multiuso 8 Em 1 Com Ferramentas Sd-890 Elétrica Aaa</t>
  </si>
  <si>
    <t>Kit Costura Agulha Dedal Linha</t>
  </si>
  <si>
    <t>Cadeado Profissional Com 3 Chaves Codificadas 40mm</t>
  </si>
  <si>
    <t>Kit Com 10 Mini Fusível Para Automóvel Nacional E Importado</t>
  </si>
  <si>
    <t>Ponta De Prova Teste 90 Graus Multímetro Digital Analógico</t>
  </si>
  <si>
    <t>Moedor e Triturador para alho e temperos manual</t>
  </si>
  <si>
    <t>travesseiro de pescoço extra confortável</t>
  </si>
  <si>
    <t>Maçarico Idea 1,300°c Ignição Automática, Soldas E Naguile</t>
  </si>
  <si>
    <t>Fio de Solda Estanho arame de solda 1mm15g 1 Unidade</t>
  </si>
  <si>
    <t>fone inova sem fio</t>
  </si>
  <si>
    <t>fone oriignal</t>
  </si>
  <si>
    <t>Corrente moto/bike</t>
  </si>
  <si>
    <t>aparador de pelo nariz</t>
  </si>
  <si>
    <t>capa iphone</t>
  </si>
  <si>
    <t xml:space="preserve">despertador </t>
  </si>
  <si>
    <t>kit reparo pneu bike</t>
  </si>
  <si>
    <t>kit ferramenta</t>
  </si>
  <si>
    <t>Lampada blu</t>
  </si>
  <si>
    <t>bomba galao</t>
  </si>
  <si>
    <t>Fone xiaome</t>
  </si>
  <si>
    <t>Mouse e teclado sem fio</t>
  </si>
  <si>
    <t>suporte notebook</t>
  </si>
  <si>
    <t>sugador</t>
  </si>
  <si>
    <t>fone b05</t>
  </si>
  <si>
    <t>led bike traseiro simples</t>
  </si>
  <si>
    <t>Caixa 2kp</t>
  </si>
  <si>
    <t>Maquina de costura</t>
  </si>
  <si>
    <t>Fone y30</t>
  </si>
  <si>
    <t>QT. Local</t>
  </si>
  <si>
    <t>Fone gatinho</t>
  </si>
  <si>
    <t>TASER LANTERNA DZ 928 DE 15000 K RECARREGÁVEL COLDRE CHOQUE</t>
  </si>
  <si>
    <t>Mouse Standard Preto USB</t>
  </si>
  <si>
    <t>Manta Almofada de Isolamento Térmico Magnético Estação de Solda</t>
  </si>
  <si>
    <t>Mandril 1/2 Com Chave - Super 1.5 a 13mm - Encaixe Rosca 1/2 X 20 UNF</t>
  </si>
  <si>
    <t>Kit Mini Fusível Com 10 Peça Para Automóvel Nacional E Importado</t>
  </si>
  <si>
    <t>Kit De Chaves 16 Em 1 Modelo 2811 Manutenção celular</t>
  </si>
  <si>
    <t>Kit Broca De Aço Rápido P/metal 5,0mm Polida 10 Pçs 715509 Mtx</t>
  </si>
  <si>
    <t>Jogo Chaves Precisão 31 Peças Celular Notebooks Relojoeiro!</t>
  </si>
  <si>
    <t>FURADOR DE COURO 3mm,4mm,5mm – Kit Vazador</t>
  </si>
  <si>
    <t>Fio de Solda Estanho arame de solda 1mm15g 1 Unidade Cobix</t>
  </si>
  <si>
    <t>Farol Bike Led Bicicleta Dianteira + Traseira - Bem Forte</t>
  </si>
  <si>
    <t>Controle Remoto Celular Android E iPhone Bluetooth Shutter --- 20 und</t>
  </si>
  <si>
    <t>Controlador de dedo de jogo de telefone móvel antiderrapante respirável</t>
  </si>
  <si>
    <t>Cabo Dados Carregador USB 30 Pinos Para iPhone 4 iPad iPod</t>
  </si>
  <si>
    <t>Bateria De Litio 3v Tipo Botão CR2025 Knup Kp-bt2025</t>
  </si>
  <si>
    <t>Fone PMCell</t>
  </si>
  <si>
    <t>BSB</t>
  </si>
  <si>
    <t>Bomba filtro simples</t>
  </si>
  <si>
    <t>Headset simples</t>
  </si>
  <si>
    <t>Aparelho nariz</t>
  </si>
  <si>
    <t>Lanterna usb</t>
  </si>
  <si>
    <t>Led celular</t>
  </si>
  <si>
    <t>Ferramenta kit</t>
  </si>
  <si>
    <t>Triper suporte</t>
  </si>
  <si>
    <t>Corrente bike</t>
  </si>
  <si>
    <t>adaptador wifi</t>
  </si>
  <si>
    <t>carregador v8</t>
  </si>
  <si>
    <t>Bateria 23a 12v 1unidade Ótima Qualidade</t>
  </si>
  <si>
    <t>Bateria 9V Hi-Watt 6F22M</t>
  </si>
  <si>
    <t>Bolsa Case Suporte Quadro Porta Celular Bike Bicicleta Fone</t>
  </si>
  <si>
    <t>Cabo de Dados KinGo para Iphone - 1m</t>
  </si>
  <si>
    <t>Cabo Micro Usb v8 , serve em vários aparelhos eletrônicos celulares</t>
  </si>
  <si>
    <t>Controle Remoto Celular Android E iPhone Bluetooth Shutter</t>
  </si>
  <si>
    <t>ESPELHO RETROVISOR PARA BIKE</t>
  </si>
  <si>
    <t>Fios Luz De Fada String Light 3m 30 Leds Rolha Decor</t>
  </si>
  <si>
    <t>Pasta para Soldar Cobix Pote 110g Plastico Solda</t>
  </si>
  <si>
    <t>Ponta De Prova Teste  Multímetro Digital Analógico</t>
  </si>
  <si>
    <t>Soquete Universal Chave Catraca</t>
  </si>
  <si>
    <t>Testador/pilhas E Baterias - Bt-168-d - Aa- Aaa - Cd 9.0v</t>
  </si>
  <si>
    <t>Unha Postiça Kits (contendo 20 unhas + cola ) Professional</t>
  </si>
  <si>
    <t>luminaria bike frente</t>
  </si>
  <si>
    <t>kit remendo bike</t>
  </si>
  <si>
    <t>adptador wifi</t>
  </si>
  <si>
    <t>fone delapela</t>
  </si>
  <si>
    <t>pelicula</t>
  </si>
  <si>
    <t>capinha</t>
  </si>
  <si>
    <t>correnta bike</t>
  </si>
  <si>
    <t>Adaptador Para Fone Headset Microfone Lapela P2 X P3 Áudio</t>
  </si>
  <si>
    <t>Aparelho Removedor Cravos Sucção Vácuo Extrator Espinha 4em1</t>
  </si>
  <si>
    <t>Aspirador de Pó e Líquido Automotivo Portátil 12V 60W com Luz de LED Preto e Vermelho</t>
  </si>
  <si>
    <t>Bateria A23 12v 1unidade Ótima Qualidade</t>
  </si>
  <si>
    <t>Cabo Vga Hd15 - M/M O.D  3.0</t>
  </si>
  <si>
    <t>Estilete lapis carpinteiro marceneiro</t>
  </si>
  <si>
    <t>Globo de luz de discoteca rotativo, para festas</t>
  </si>
  <si>
    <t>Jogo Kit De Ponta Montada 5 Peças</t>
  </si>
  <si>
    <t>Kit Com 15 Tipo De Botões Diversos Costura</t>
  </si>
  <si>
    <t>Kit Reparo Remendo Borracheiro Pneu Sem Câmara Carro Moto</t>
  </si>
  <si>
    <t>Lâmpada LED Giratória Rgb Rotativa Mini Bola Maluca Luz Festa - Import</t>
  </si>
  <si>
    <t>Lanterna C/ Choque Type 1101 Light Flashlight</t>
  </si>
  <si>
    <t>Lanterna Multiuso 8 Em 1 Com Ferramentas Sd-890 Elétrica</t>
  </si>
  <si>
    <t>Lanterna x-900 Led Super Potente Recarregável</t>
  </si>
  <si>
    <t>mini luminária de LED com controle remoto 3 em 1</t>
  </si>
  <si>
    <t>Mini Teclado Controle S/ Fio Touch Led Pc/note/gamer/tvsmart</t>
  </si>
  <si>
    <t>Mini Tripé Portátil Celular Suporte Flexível Tripé Celular</t>
  </si>
  <si>
    <t>Mouse Gamer Rgb Hayom Mu-2908</t>
  </si>
  <si>
    <t>Placa Adaptador De Som Usb 7.1 Canais 3d Adaptador Audio Pc</t>
  </si>
  <si>
    <t>Super Cola Instantânea Metal Madeira e Plástico 1un</t>
  </si>
  <si>
    <t>Suporte Para Celular Bate Cola Ventosa Sucçao Magica</t>
  </si>
  <si>
    <t>Unha Postiça Kits (contendo 20 unhas ) Professional Instant Nail Tips</t>
  </si>
  <si>
    <t>Organizador banco de carro</t>
  </si>
  <si>
    <t>tenis allstar</t>
  </si>
  <si>
    <t>Balança comida</t>
  </si>
  <si>
    <t>almofada termica</t>
  </si>
  <si>
    <t>corrente bike</t>
  </si>
  <si>
    <t>Carol</t>
  </si>
  <si>
    <t>maquina de costura</t>
  </si>
  <si>
    <t>suporte de pasta de dente</t>
  </si>
  <si>
    <t>Adaptador Fonte carregador para PSP 2000 3000 game portátil</t>
  </si>
  <si>
    <t xml:space="preserve">Almofada de Isolamento Térmico Magnético Estação de Solda </t>
  </si>
  <si>
    <t>Bateria 9v Hw Original Comum Não Recarregável</t>
  </si>
  <si>
    <t>Binóculos Vyper999 Pro 😱😱🔥</t>
  </si>
  <si>
    <t>Caneta Testador De Dinheiro Nota Falsa Money Teste Detector</t>
  </si>
  <si>
    <t>Capacete Ciclista Adulto Regulagem Bike Ciclismo - Promoção</t>
  </si>
  <si>
    <t>Chapéu Australiano Pesca Caminhada Camping Proteção Nuca Sol</t>
  </si>
  <si>
    <t>Fita Dupla Face Ambiente Interno Externo 12x2 550g Adelbras</t>
  </si>
  <si>
    <t>Fita Durex Rolinho 35 M - 1un</t>
  </si>
  <si>
    <t>Garrafa Retrátil Dobrável 500ml C/mosquetão E Trava Na Tampa</t>
  </si>
  <si>
    <t>kit costura linhas</t>
  </si>
  <si>
    <t>Kit De Chaves Precisão 31 Peças Torx Alen Philips Fenda</t>
  </si>
  <si>
    <t>Maçarico Portátil Profissional Encaixe 1,300°c Ignição Automática, Soldas E Narguilé</t>
  </si>
  <si>
    <t>Massageado Facial Corporal E Limpeza De Pele 5 Em 1</t>
  </si>
  <si>
    <t>Microfone De Lapela Celular Smartphone Profissional Stereo</t>
  </si>
  <si>
    <t>Mini Aparador Elétrico Portátil Masculino e feminino Luatek</t>
  </si>
  <si>
    <t>Mini Tripé Portátil Celular Suporte Flexível Tripé</t>
  </si>
  <si>
    <t>Organizador Para Lateral De Asiento Auto Carro O Camioneta</t>
  </si>
  <si>
    <t>Ponta De Dedo Clip Oxímetro De Pulso L-ed Display Mini Spo2</t>
  </si>
  <si>
    <t>RELÓGIO DE PAREDE QUARTZ 😱😱</t>
  </si>
  <si>
    <t>Relógio Digital Unissex Led Sport Pulseira Bracelete Colors</t>
  </si>
  <si>
    <t>Cabo auxiliar</t>
  </si>
  <si>
    <t>mini mdepilador</t>
  </si>
  <si>
    <t>lampaio led</t>
  </si>
  <si>
    <t>globo de luz grande</t>
  </si>
  <si>
    <t xml:space="preserve">molden </t>
  </si>
  <si>
    <t>10x</t>
  </si>
  <si>
    <t xml:space="preserve">pulseira d20 </t>
  </si>
  <si>
    <t>carregador v8 simples</t>
  </si>
  <si>
    <t>globo de luz pequeno</t>
  </si>
  <si>
    <t>ferramenta</t>
  </si>
  <si>
    <t>chinela</t>
  </si>
  <si>
    <t xml:space="preserve">Ray </t>
  </si>
  <si>
    <t>tenis</t>
  </si>
  <si>
    <t>Gas de nalarico</t>
  </si>
  <si>
    <t>Cabo de Dados KinGo para Iphone</t>
  </si>
  <si>
    <t>Kit Agulha Mão Agulheiro Costura Passador Linha 44 Peças.</t>
  </si>
  <si>
    <t>Microfone de Lapela 3,5mm Stéreo Profissional p3</t>
  </si>
  <si>
    <t>Trava Look U Cadeado Antifurto Moto Reforçada Motocicleta</t>
  </si>
  <si>
    <t>Suporte Veicular para Celular THIS IS ONE</t>
  </si>
  <si>
    <t>Triper laranja</t>
  </si>
  <si>
    <t>Triper cinza</t>
  </si>
  <si>
    <t>microfone lapela</t>
  </si>
  <si>
    <t>cortador de vidro</t>
  </si>
  <si>
    <t>Adaptador Wifi</t>
  </si>
  <si>
    <t>gatilhos simples</t>
  </si>
  <si>
    <t>maquina de cabelo dragon</t>
  </si>
  <si>
    <t>pelucia polvo p</t>
  </si>
  <si>
    <t>pop it</t>
  </si>
  <si>
    <t>Ferramenta</t>
  </si>
  <si>
    <t>Chapeu flamengo</t>
  </si>
  <si>
    <t>cabo vga</t>
  </si>
  <si>
    <t>Adptador bluet</t>
  </si>
  <si>
    <t>marcellin</t>
  </si>
  <si>
    <t>Tv box</t>
  </si>
  <si>
    <t>fonte tv box</t>
  </si>
  <si>
    <t>Avatto tuya wifi sensor de porta</t>
  </si>
  <si>
    <t>Fone y30 ali</t>
  </si>
  <si>
    <t>Lampada inteligente AVATTO</t>
  </si>
  <si>
    <t>Caixa jbl boombox mini</t>
  </si>
  <si>
    <t>lampada led pequena</t>
  </si>
  <si>
    <t>Taiser pequena</t>
  </si>
  <si>
    <t>mercado livre</t>
  </si>
  <si>
    <t>Capinha iphone</t>
  </si>
  <si>
    <t>Capinha a02</t>
  </si>
  <si>
    <t>pelicula vidro</t>
  </si>
  <si>
    <t>Mini liquidificador</t>
  </si>
  <si>
    <t xml:space="preserve">fone de ouvido </t>
  </si>
  <si>
    <t>cabo v8 kingo</t>
  </si>
  <si>
    <t>maleta de ferramenta</t>
  </si>
  <si>
    <t>Alicate de remoção de cabo coaxial / alicate rotativo / cortador de cabo coaxial Monster</t>
  </si>
  <si>
    <t>Cabo Hardline VGA 3M HLVGA 3.0</t>
  </si>
  <si>
    <t>Capa De Braço Suporte Braçadeira De Celular Corrida Academia</t>
  </si>
  <si>
    <t>Capa Para Celular Impermeável - Aquática - Cores Sortidas</t>
  </si>
  <si>
    <t>Chapéu Palha Cerveja - Time - Pierside</t>
  </si>
  <si>
    <t>FURADOR DE COURO 3pçs – Kit Vazador</t>
  </si>
  <si>
    <t>Garrafa De Agua Academia 800 Ml  Livre De Bpa</t>
  </si>
  <si>
    <t>Kit Agulha Mão Agulheiro Costura Passador Linha Peças.</t>
  </si>
  <si>
    <t>Lanterna Bike Farol Led Bike Sinalizador Recarregável - Par</t>
  </si>
  <si>
    <t>Papa Bolinhas Elétrico Portátil Tira Pelo Bolinhas Roupas</t>
  </si>
  <si>
    <t>Receptor Transmissor Bluetooth Usb P2 Saida Car Atacado</t>
  </si>
  <si>
    <t>Silicone De Banho Corpo Cinto Esfoliante 😱😱</t>
  </si>
  <si>
    <t>Suporte Segurador Slim Anti Queda Compatível Com AirPods</t>
  </si>
  <si>
    <t>Universal 3.5mm Bluetooth Car Kit A2DP Transmissor FM Sem Fio AUX Áudio Receptor de Música Adaptador Handsfree Mic Para Speaker Fone De Ouvido Com Caixa</t>
  </si>
  <si>
    <t>Formatação</t>
  </si>
  <si>
    <t>bomba eletrica galao</t>
  </si>
  <si>
    <t>apliador de tela celular</t>
  </si>
  <si>
    <t xml:space="preserve">suporte de celular </t>
  </si>
  <si>
    <t>carregador veicular</t>
  </si>
  <si>
    <t>Garrafa de agua</t>
  </si>
  <si>
    <t>climatizador</t>
  </si>
  <si>
    <t>gatilho</t>
  </si>
  <si>
    <t>cabo magnetico</t>
  </si>
  <si>
    <t>organizador banco</t>
  </si>
  <si>
    <t>adptador carro</t>
  </si>
  <si>
    <t>suporte notebook cooler</t>
  </si>
  <si>
    <t>mini ventilador mao</t>
  </si>
  <si>
    <t>pochete caminhada</t>
  </si>
  <si>
    <t>lanterna prova d'agua</t>
  </si>
  <si>
    <t>mini relogio carro</t>
  </si>
  <si>
    <t>suporte celular</t>
  </si>
  <si>
    <t>Cabo aux</t>
  </si>
  <si>
    <t>fita dupla facil</t>
  </si>
  <si>
    <t>Koko Prime 15w Pod System</t>
  </si>
  <si>
    <t>lampada bluth</t>
  </si>
  <si>
    <t>pc manutençao</t>
  </si>
  <si>
    <t>Umidificador lua</t>
  </si>
  <si>
    <t>Mini umidiifcador</t>
  </si>
  <si>
    <t>Fone y30 (3)</t>
  </si>
  <si>
    <t>smartwhat x6</t>
  </si>
  <si>
    <t>Led torpedo par</t>
  </si>
  <si>
    <t>Globo estrelas</t>
  </si>
  <si>
    <t>bolhas moda</t>
  </si>
  <si>
    <t>Multímetro Digital Profissional Cabo Multi Teste Portátil</t>
  </si>
  <si>
    <t>Sutiã Adesivo Levanta Seio Invisible Pushup Tipo Orelha De C</t>
  </si>
  <si>
    <t>Afiador Amolador De Facas Tesoura Canivete Facão C/ Ventosa</t>
  </si>
  <si>
    <t>Adaptador OTG USB V8</t>
  </si>
  <si>
    <t>Linha Costura Coloridas Circulo Kit 10 Tubos Cores Sortidas</t>
  </si>
  <si>
    <t>Medidor de Pressão de Pneus Manual Analógico 220 Libras</t>
  </si>
  <si>
    <t>Fone De Ouvido Bluetooth Fon-2312 - INOVA</t>
  </si>
  <si>
    <t>Fita Dupla Face Ambiente Interno Externo Adelbras</t>
  </si>
  <si>
    <t>Lanterna Usb Avian ORIGINAL !!! USB 380000W DR-513</t>
  </si>
  <si>
    <t>ACENDEDOR DE FOGÃO</t>
  </si>
  <si>
    <t>Rolex Suíço Qyster Perpetual Datejust Feminino Pulseira Magnética Replica!</t>
  </si>
  <si>
    <t>Eken-câmera de ação original h9/h9r remota + SD 128gb - PRETO</t>
  </si>
  <si>
    <t>Triturador manual</t>
  </si>
  <si>
    <t>globo de luz</t>
  </si>
  <si>
    <t>mini liquidificador</t>
  </si>
  <si>
    <t>maquina de cabelo</t>
  </si>
  <si>
    <t>fone ali</t>
  </si>
  <si>
    <t>led car</t>
  </si>
  <si>
    <t>mini Climatizador</t>
  </si>
  <si>
    <t>Climatizador</t>
  </si>
  <si>
    <t xml:space="preserve">Lanterna de choque </t>
  </si>
  <si>
    <t>Prestação</t>
  </si>
  <si>
    <t>Parcelas</t>
  </si>
  <si>
    <t>Data</t>
  </si>
  <si>
    <t>V.J</t>
  </si>
  <si>
    <t>lampiao solar</t>
  </si>
  <si>
    <t xml:space="preserve">cabo iphone </t>
  </si>
  <si>
    <t>lanterna x900</t>
  </si>
  <si>
    <t>mini marsarico</t>
  </si>
  <si>
    <t>Carregador v8 hms</t>
  </si>
  <si>
    <t>Carregador v8 simples</t>
  </si>
  <si>
    <t>fone simples</t>
  </si>
  <si>
    <t>pelicula 3d</t>
  </si>
  <si>
    <t>Capinha celular</t>
  </si>
  <si>
    <t>Perfume hinode</t>
  </si>
  <si>
    <t>Gel massagem hinode</t>
  </si>
  <si>
    <t>Pasta de dente clareadora hinode</t>
  </si>
  <si>
    <t>Suporte ps4 controle</t>
  </si>
  <si>
    <t>ADESIVO COLA RATO - RATOEIRA ADESIVA HM</t>
  </si>
  <si>
    <t>Balões Transparente COMPLETO DE BASTÃO Com Led Colorido + Vareta</t>
  </si>
  <si>
    <t>Bateria Recarregável 6800 V 3.7 mAh 26650 Protegido Li-ion Battery para Lanterna Farol Levou Acessório</t>
  </si>
  <si>
    <t>Brinquedo Beyblade Tornado Extreme Top Sytem YTL 0193 Yaha</t>
  </si>
  <si>
    <t>CARREGADOR PORTÁTIL ULTRAFINO - POWER BANK 10000mah PINENG UNIVERSAL  LINHA</t>
  </si>
  <si>
    <t>Fio Fada Prata Cordão Luz Cores Natal 5m 50 Leds Pilh</t>
  </si>
  <si>
    <t>Grafite Em Po 25g Emavi De Uso Geral P/ Caneletas Cadeados E Fechaduras</t>
  </si>
  <si>
    <t>Hub Usb 2.0 4 Portas - Extensor Hi-Speed 480mbps LEY-11 - Lehmox</t>
  </si>
  <si>
    <t>Kit 01 Lol Bolsa + 01 Caneca + 01 Boneca Surpresa</t>
  </si>
  <si>
    <t>Kit Estilete + 4 Lápis Carpinteiro/marceneiro</t>
  </si>
  <si>
    <t>Kit para Costura com 20 Peças Portátil SK-18 Western</t>
  </si>
  <si>
    <t>Pop It Naruto Super Novidade  😱 #especialdiadascrianças</t>
  </si>
  <si>
    <t>Led teto</t>
  </si>
  <si>
    <t xml:space="preserve">fone </t>
  </si>
  <si>
    <t>Rimel hinode</t>
  </si>
  <si>
    <t xml:space="preserve">relogio pequeno </t>
  </si>
  <si>
    <t xml:space="preserve">led bike </t>
  </si>
  <si>
    <t>aviao controle</t>
  </si>
  <si>
    <t>controle tv box</t>
  </si>
  <si>
    <t>Diego</t>
  </si>
  <si>
    <t>Andre</t>
  </si>
  <si>
    <t>Fernando</t>
  </si>
  <si>
    <t>Luiz</t>
  </si>
  <si>
    <t>suporte tv</t>
  </si>
  <si>
    <t>mouse pad</t>
  </si>
  <si>
    <t xml:space="preserve">case </t>
  </si>
  <si>
    <t>fone y30</t>
  </si>
  <si>
    <t>tv box</t>
  </si>
  <si>
    <t>FONE antigo</t>
  </si>
  <si>
    <t>estileite</t>
  </si>
  <si>
    <t>carregador iphone</t>
  </si>
  <si>
    <t>fone b-08</t>
  </si>
  <si>
    <t>wemersson</t>
  </si>
  <si>
    <t xml:space="preserve">Suporte de TV </t>
  </si>
  <si>
    <t>Carregador Portatil Powerbank 5.000mah Inova Com Anatel</t>
  </si>
  <si>
    <t>Chave para Mandril HT S02 - 13 MM P/MANDRIL 10 MM - 3/8</t>
  </si>
  <si>
    <t>Fio Fada Prata Cordão Luz Cores Natal 2m 20 Leds Pilh</t>
  </si>
  <si>
    <t>Fios Luz De Fada String Light 2m 20 Leds Rolha Decor</t>
  </si>
  <si>
    <t>Fitas Banana Dupla Face Espuma Adelbras 12mm X 2m</t>
  </si>
  <si>
    <t>Grace La Rose Sublime Deo Colônia 100ml</t>
  </si>
  <si>
    <t>Kit Agulha Mão Agulheiro Costura Passador Linha</t>
  </si>
  <si>
    <t>KIT CHAVE CATRACA COM PONTAS E SOQUETES 17 PEÇAS 123ÚTIL</t>
  </si>
  <si>
    <t>Limpa Tela e Lentes 60ml + Flanela</t>
  </si>
  <si>
    <t>Nível Laser Profissional Trena Level Pro3 Estágios Nivelador</t>
  </si>
  <si>
    <t>Organizador Para Lateral De Asiento Auto Carro -- AZUL</t>
  </si>
  <si>
    <t>Pop It Colorido Personagens Anime Naruto  Antistress</t>
  </si>
  <si>
    <t>Relógio Digital Automotivo Painel mesa com fixador</t>
  </si>
  <si>
    <t>Sensor de Porta Tuya WiFi Alexa Alimentação por Pilha AAA Smart Life Inteligente Google Home Detector de Aberto/Fechado Janela</t>
  </si>
  <si>
    <t>Super Chá Sb Maravilhas Da Terra - O Verdadeiro Seca Barriga</t>
  </si>
  <si>
    <t>Suporte Adesivo Celular Gel Mágico Cola Reutilizável</t>
  </si>
  <si>
    <t xml:space="preserve">Suporte Anti-Perda Para Fone De Ouvido Sem Fio Com Gancho Para Apple Iphone Xs Max X Xr Airpods </t>
  </si>
  <si>
    <t>Suporte Anti-Perda Para Fone De Ouvido Sem Fio Com Gancho Para Apple Iphone Xs Max X Xr Airpods 2 / 3 Pro</t>
  </si>
  <si>
    <t>Termômetro Culinário Digital Espeto Alimento Cozinha Tp101</t>
  </si>
  <si>
    <t>😱😱 RELÓGIO DE PAREDE QUARTZ 😱😱</t>
  </si>
  <si>
    <t>Led torpedo</t>
  </si>
  <si>
    <t xml:space="preserve">plano de tv </t>
  </si>
  <si>
    <t>Leandro</t>
  </si>
  <si>
    <t>smartwatch tf50</t>
  </si>
  <si>
    <t>H7 c6</t>
  </si>
  <si>
    <t>Refatrometro</t>
  </si>
  <si>
    <t>placa uber</t>
  </si>
  <si>
    <t>CARREGADOR VEICULAR</t>
  </si>
  <si>
    <t>espremedor de pasta</t>
  </si>
  <si>
    <t>garrafa de agua</t>
  </si>
  <si>
    <t>MAQUINA NARIZ</t>
  </si>
  <si>
    <t>MAQUINA PEQUENA</t>
  </si>
  <si>
    <t>lampada giratoria</t>
  </si>
  <si>
    <t>lampada interligent</t>
  </si>
  <si>
    <t>caixa de grave</t>
  </si>
  <si>
    <t xml:space="preserve">caixa de som </t>
  </si>
  <si>
    <t>fone i12</t>
  </si>
  <si>
    <t>massageador</t>
  </si>
  <si>
    <t>copo rico</t>
  </si>
  <si>
    <t>Pasta de dente hinode</t>
  </si>
  <si>
    <t>cashback</t>
  </si>
  <si>
    <t>Bateria Recarregável 6800 V 3.7 mAh Li-ion Battery para Lanterna Farol Levou Acessório</t>
  </si>
  <si>
    <t>Bolas LOL Surprise + 1 Boneca + 4 Cards Para Meninas</t>
  </si>
  <si>
    <t>Cabo RCA Cristal Injetado de 1 Metros</t>
  </si>
  <si>
    <t>Controle Para Celular Pubg Free Fire + Manete Gamepad</t>
  </si>
  <si>
    <t>Conversor Digital Terrestre DIG-7020</t>
  </si>
  <si>
    <t>Esponja Limpeza Facial Esfoliante Formato Polvo De Silicone</t>
  </si>
  <si>
    <t>Fone de Ouvido Pmcell</t>
  </si>
  <si>
    <t>Funko Pop Naruto Hokage #724 Pop Boruto Aaa Anime Exclusive</t>
  </si>
  <si>
    <t>Garrafa de água dobrável Yellowstone 425ml com grampo Carabina</t>
  </si>
  <si>
    <t>MINI PINÇAS PARA DEPILAÇÃO E SOBRANCELHAS</t>
  </si>
  <si>
    <t>Óleo em Creme Desodorante Corporal Joli Cupuaçu 140g - Hinode</t>
  </si>
  <si>
    <t>Polvo Reversível Temperamental Humor Feliz E Bravo / Triste</t>
  </si>
  <si>
    <t>Skimmer Boyu Interno WG-310 120L para Aquários</t>
  </si>
  <si>
    <t>Suporte Segurador Slim Anti Queda Compatível Com AirPods - Branco</t>
  </si>
  <si>
    <t>Suporte Celular de mesa Universal e Tablet Ajustável Articulado</t>
  </si>
  <si>
    <t>Suporte Segurador Slim Anti Queda Compatível Com AirPods 25 / 50 / 100unidades</t>
  </si>
  <si>
    <t>Produtos</t>
  </si>
  <si>
    <t>Produtos fisicos</t>
  </si>
  <si>
    <t>Produtos online</t>
  </si>
  <si>
    <t>Valor gasto</t>
  </si>
  <si>
    <t>Valor vendido</t>
  </si>
  <si>
    <t>lucro</t>
  </si>
  <si>
    <t>Qunt</t>
  </si>
  <si>
    <t>Produto</t>
  </si>
  <si>
    <t>Globo de luz de discoteca rotativo para festas</t>
  </si>
  <si>
    <t>%</t>
  </si>
  <si>
    <t>Valor unitario</t>
  </si>
  <si>
    <t>Mini Máquina De Costura Manual Portátil</t>
  </si>
  <si>
    <t>Suporte Anti-Perda Para Fone De Ouvido Sem Fio</t>
  </si>
  <si>
    <t>Super Mini Taser Defense Choque Ideal Para</t>
  </si>
  <si>
    <t>Coluna1</t>
  </si>
  <si>
    <t>Codigo</t>
  </si>
  <si>
    <t>Quantidade</t>
  </si>
  <si>
    <t>Rótulos de Linha</t>
  </si>
  <si>
    <t>(vazio)</t>
  </si>
  <si>
    <t>Total Geral</t>
  </si>
  <si>
    <t>Soma de Quantidade</t>
  </si>
  <si>
    <t>Valor venddo</t>
  </si>
  <si>
    <t>Valor do lucro</t>
  </si>
  <si>
    <t>vendas shopee</t>
  </si>
  <si>
    <t>Vendas df2</t>
  </si>
  <si>
    <t>Soma de Valor gasto</t>
  </si>
  <si>
    <t>Soma de Valor venddo</t>
  </si>
  <si>
    <t>Soma de Valor do lucro</t>
  </si>
  <si>
    <t>Contagem de vendas 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</si>
</sst>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8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4"/>
      <color rgb="FF002060"/>
      <name val="Calibri"/>
      <family val="2"/>
    </font>
    <font>
      <u val="singleAccounting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4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b/>
      <sz val="12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2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" fontId="7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1" xfId="1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164" fontId="10" fillId="4" borderId="1" xfId="2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164" fontId="4" fillId="3" borderId="1" xfId="2" applyFont="1" applyFill="1" applyBorder="1" applyAlignment="1">
      <alignment horizontal="center" vertical="center"/>
    </xf>
    <xf numFmtId="0" fontId="10" fillId="4" borderId="1" xfId="2" applyNumberFormat="1" applyFont="1" applyFill="1" applyBorder="1" applyAlignment="1">
      <alignment horizontal="center" vertical="center"/>
    </xf>
    <xf numFmtId="0" fontId="4" fillId="3" borderId="1" xfId="2" applyNumberFormat="1" applyFont="1" applyFill="1" applyBorder="1" applyAlignment="1">
      <alignment horizontal="center" vertical="center"/>
    </xf>
    <xf numFmtId="164" fontId="3" fillId="0" borderId="0" xfId="2" applyFont="1" applyAlignment="1"/>
    <xf numFmtId="0" fontId="2" fillId="0" borderId="0" xfId="0" applyFont="1" applyAlignment="1"/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164" fontId="11" fillId="2" borderId="1" xfId="2" applyFont="1" applyFill="1" applyBorder="1" applyAlignment="1">
      <alignment horizontal="center" vertical="center"/>
    </xf>
    <xf numFmtId="44" fontId="11" fillId="2" borderId="1" xfId="0" applyNumberFormat="1" applyFont="1" applyFill="1" applyBorder="1" applyAlignment="1">
      <alignment horizontal="center" vertical="center"/>
    </xf>
    <xf numFmtId="164" fontId="14" fillId="0" borderId="1" xfId="2" applyFont="1" applyFill="1" applyBorder="1" applyAlignment="1">
      <alignment vertical="center"/>
    </xf>
    <xf numFmtId="164" fontId="15" fillId="0" borderId="1" xfId="2" applyFont="1" applyFill="1" applyBorder="1" applyAlignment="1">
      <alignment horizontal="center" vertical="center"/>
    </xf>
    <xf numFmtId="164" fontId="2" fillId="0" borderId="1" xfId="2" applyFont="1" applyFill="1" applyBorder="1" applyAlignment="1">
      <alignment vertical="center"/>
    </xf>
    <xf numFmtId="164" fontId="0" fillId="0" borderId="1" xfId="2" applyFont="1" applyFill="1" applyBorder="1" applyAlignment="1">
      <alignment vertical="center"/>
    </xf>
    <xf numFmtId="164" fontId="0" fillId="0" borderId="1" xfId="2" applyFont="1" applyBorder="1"/>
    <xf numFmtId="164" fontId="15" fillId="0" borderId="1" xfId="2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164" fontId="17" fillId="0" borderId="1" xfId="2" applyFont="1" applyFill="1" applyBorder="1" applyAlignment="1">
      <alignment vertical="center"/>
    </xf>
    <xf numFmtId="0" fontId="4" fillId="2" borderId="1" xfId="2" applyNumberFormat="1" applyFont="1" applyFill="1" applyBorder="1" applyAlignment="1">
      <alignment horizontal="center" vertical="center"/>
    </xf>
    <xf numFmtId="0" fontId="0" fillId="0" borderId="1" xfId="0" applyFont="1" applyBorder="1"/>
    <xf numFmtId="0" fontId="6" fillId="0" borderId="1" xfId="0" applyFont="1" applyBorder="1"/>
    <xf numFmtId="164" fontId="5" fillId="2" borderId="2" xfId="2" applyFont="1" applyFill="1" applyBorder="1" applyAlignment="1">
      <alignment horizontal="center" vertical="center"/>
    </xf>
    <xf numFmtId="164" fontId="4" fillId="2" borderId="2" xfId="2" applyFont="1" applyFill="1" applyBorder="1" applyAlignment="1">
      <alignment horizontal="center" vertical="center"/>
    </xf>
    <xf numFmtId="0" fontId="18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2" borderId="1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44" fontId="0" fillId="0" borderId="0" xfId="0" applyNumberFormat="1" applyAlignment="1"/>
    <xf numFmtId="0" fontId="7" fillId="0" borderId="2" xfId="0" applyFont="1" applyBorder="1" applyAlignment="1">
      <alignment horizontal="center" vertical="center"/>
    </xf>
    <xf numFmtId="16" fontId="7" fillId="0" borderId="2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4" fontId="6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8" fillId="0" borderId="1" xfId="2" applyFont="1" applyBorder="1" applyAlignment="1">
      <alignment horizontal="center" vertical="center"/>
    </xf>
    <xf numFmtId="164" fontId="7" fillId="0" borderId="1" xfId="2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7" fillId="0" borderId="2" xfId="2" applyFont="1" applyBorder="1" applyAlignment="1">
      <alignment horizontal="center" vertical="center"/>
    </xf>
    <xf numFmtId="164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2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164" fontId="18" fillId="0" borderId="1" xfId="2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64" fontId="21" fillId="2" borderId="1" xfId="2" applyFont="1" applyFill="1" applyBorder="1" applyAlignment="1">
      <alignment horizontal="center" vertical="center"/>
    </xf>
    <xf numFmtId="0" fontId="21" fillId="2" borderId="1" xfId="0" applyNumberFormat="1" applyFont="1" applyFill="1" applyBorder="1" applyAlignment="1">
      <alignment horizontal="center" vertical="center"/>
    </xf>
    <xf numFmtId="0" fontId="21" fillId="2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6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 vertical="center"/>
    </xf>
    <xf numFmtId="0" fontId="17" fillId="0" borderId="1" xfId="0" applyFont="1" applyBorder="1"/>
    <xf numFmtId="44" fontId="17" fillId="0" borderId="1" xfId="0" applyNumberFormat="1" applyFont="1" applyBorder="1"/>
    <xf numFmtId="164" fontId="22" fillId="0" borderId="1" xfId="2" applyFont="1" applyFill="1" applyBorder="1" applyAlignment="1">
      <alignment horizontal="center" vertical="center"/>
    </xf>
    <xf numFmtId="0" fontId="18" fillId="0" borderId="1" xfId="2" applyNumberFormat="1" applyFont="1" applyBorder="1" applyAlignment="1">
      <alignment horizontal="center"/>
    </xf>
    <xf numFmtId="0" fontId="18" fillId="0" borderId="1" xfId="1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left" vertical="center"/>
    </xf>
    <xf numFmtId="164" fontId="26" fillId="0" borderId="0" xfId="2" applyFont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64" fontId="30" fillId="0" borderId="1" xfId="2" applyFont="1" applyBorder="1" applyAlignment="1">
      <alignment horizontal="center" vertical="center"/>
    </xf>
    <xf numFmtId="164" fontId="30" fillId="0" borderId="1" xfId="2" applyFont="1" applyBorder="1"/>
    <xf numFmtId="164" fontId="27" fillId="6" borderId="1" xfId="2" applyFont="1" applyFill="1" applyBorder="1" applyAlignment="1">
      <alignment vertical="center"/>
    </xf>
    <xf numFmtId="164" fontId="28" fillId="6" borderId="1" xfId="2" applyFont="1" applyFill="1" applyBorder="1" applyAlignment="1">
      <alignment horizontal="center" vertical="center"/>
    </xf>
    <xf numFmtId="164" fontId="3" fillId="6" borderId="1" xfId="2" applyFont="1" applyFill="1" applyBorder="1" applyAlignment="1">
      <alignment vertical="center"/>
    </xf>
    <xf numFmtId="0" fontId="16" fillId="6" borderId="7" xfId="0" applyFont="1" applyFill="1" applyBorder="1" applyAlignment="1">
      <alignment horizontal="left" vertical="center"/>
    </xf>
    <xf numFmtId="164" fontId="27" fillId="6" borderId="13" xfId="2" applyFont="1" applyFill="1" applyBorder="1" applyAlignment="1">
      <alignment vertical="center"/>
    </xf>
    <xf numFmtId="164" fontId="28" fillId="6" borderId="13" xfId="2" applyFont="1" applyFill="1" applyBorder="1" applyAlignment="1">
      <alignment horizontal="center" vertical="center"/>
    </xf>
    <xf numFmtId="164" fontId="3" fillId="6" borderId="13" xfId="2" applyFont="1" applyFill="1" applyBorder="1" applyAlignment="1">
      <alignment vertical="center"/>
    </xf>
    <xf numFmtId="0" fontId="3" fillId="6" borderId="8" xfId="0" applyFont="1" applyFill="1" applyBorder="1" applyAlignment="1">
      <alignment horizontal="center" vertical="center"/>
    </xf>
    <xf numFmtId="0" fontId="16" fillId="6" borderId="9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horizontal="center" vertical="center"/>
    </xf>
    <xf numFmtId="164" fontId="21" fillId="2" borderId="8" xfId="2" applyFont="1" applyFill="1" applyBorder="1" applyAlignment="1">
      <alignment horizontal="center" vertical="center"/>
    </xf>
    <xf numFmtId="164" fontId="0" fillId="0" borderId="4" xfId="2" applyFont="1" applyBorder="1"/>
    <xf numFmtId="164" fontId="0" fillId="0" borderId="0" xfId="2" applyFont="1"/>
    <xf numFmtId="0" fontId="25" fillId="6" borderId="10" xfId="0" applyFont="1" applyFill="1" applyBorder="1" applyAlignment="1">
      <alignment horizontal="left" vertical="center"/>
    </xf>
    <xf numFmtId="164" fontId="31" fillId="0" borderId="15" xfId="0" applyNumberFormat="1" applyFont="1" applyBorder="1"/>
    <xf numFmtId="0" fontId="31" fillId="0" borderId="16" xfId="0" applyFont="1" applyBorder="1"/>
    <xf numFmtId="0" fontId="29" fillId="6" borderId="9" xfId="0" applyFont="1" applyFill="1" applyBorder="1" applyAlignment="1">
      <alignment horizontal="left" vertical="center"/>
    </xf>
    <xf numFmtId="164" fontId="32" fillId="6" borderId="1" xfId="2" applyFont="1" applyFill="1" applyBorder="1" applyAlignment="1">
      <alignment vertical="center"/>
    </xf>
    <xf numFmtId="164" fontId="33" fillId="6" borderId="1" xfId="2" applyFont="1" applyFill="1" applyBorder="1" applyAlignment="1">
      <alignment horizontal="center" vertical="center"/>
    </xf>
    <xf numFmtId="0" fontId="32" fillId="6" borderId="14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164" fontId="35" fillId="0" borderId="1" xfId="2" applyFont="1" applyBorder="1" applyAlignment="1">
      <alignment horizontal="center" wrapText="1"/>
    </xf>
    <xf numFmtId="164" fontId="0" fillId="0" borderId="0" xfId="0" applyNumberFormat="1"/>
    <xf numFmtId="0" fontId="6" fillId="0" borderId="1" xfId="0" applyFont="1" applyFill="1" applyBorder="1"/>
    <xf numFmtId="0" fontId="6" fillId="0" borderId="1" xfId="0" applyFont="1" applyBorder="1" applyAlignment="1">
      <alignment horizontal="center"/>
    </xf>
    <xf numFmtId="164" fontId="6" fillId="0" borderId="1" xfId="2" applyFont="1" applyBorder="1"/>
    <xf numFmtId="44" fontId="6" fillId="0" borderId="1" xfId="0" applyNumberFormat="1" applyFont="1" applyBorder="1"/>
    <xf numFmtId="0" fontId="6" fillId="0" borderId="1" xfId="2" applyNumberFormat="1" applyFont="1" applyBorder="1" applyAlignment="1">
      <alignment horizontal="center"/>
    </xf>
    <xf numFmtId="0" fontId="6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4" fontId="7" fillId="0" borderId="1" xfId="2" applyFont="1" applyBorder="1"/>
    <xf numFmtId="164" fontId="6" fillId="0" borderId="1" xfId="2" applyFont="1" applyBorder="1" applyAlignment="1">
      <alignment horizontal="center"/>
    </xf>
    <xf numFmtId="0" fontId="6" fillId="0" borderId="1" xfId="0" applyNumberFormat="1" applyFont="1" applyBorder="1" applyAlignment="1">
      <alignment horizontal="center"/>
    </xf>
    <xf numFmtId="164" fontId="36" fillId="0" borderId="1" xfId="2" applyFont="1" applyBorder="1" applyAlignment="1">
      <alignment horizontal="center"/>
    </xf>
    <xf numFmtId="0" fontId="6" fillId="0" borderId="1" xfId="0" applyNumberFormat="1" applyFont="1" applyBorder="1" applyAlignment="1">
      <alignment horizontal="center" wrapText="1"/>
    </xf>
    <xf numFmtId="164" fontId="37" fillId="2" borderId="1" xfId="2" applyFont="1" applyFill="1" applyBorder="1" applyAlignment="1">
      <alignment horizontal="center" vertical="center"/>
    </xf>
    <xf numFmtId="0" fontId="37" fillId="2" borderId="1" xfId="0" applyNumberFormat="1" applyFont="1" applyFill="1" applyBorder="1" applyAlignment="1">
      <alignment horizontal="center" vertical="center"/>
    </xf>
    <xf numFmtId="0" fontId="37" fillId="2" borderId="1" xfId="2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/>
    <xf numFmtId="0" fontId="39" fillId="0" borderId="1" xfId="0" applyFont="1" applyBorder="1" applyAlignment="1">
      <alignment horizontal="center" vertical="center"/>
    </xf>
    <xf numFmtId="164" fontId="39" fillId="0" borderId="1" xfId="2" applyFont="1" applyBorder="1" applyAlignment="1">
      <alignment horizontal="center" vertical="center"/>
    </xf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164" fontId="38" fillId="0" borderId="1" xfId="2" applyFont="1" applyBorder="1"/>
    <xf numFmtId="164" fontId="38" fillId="0" borderId="1" xfId="2" applyFont="1" applyBorder="1" applyAlignment="1">
      <alignment horizontal="center"/>
    </xf>
    <xf numFmtId="0" fontId="38" fillId="0" borderId="1" xfId="0" applyNumberFormat="1" applyFont="1" applyBorder="1" applyAlignment="1">
      <alignment horizontal="center"/>
    </xf>
    <xf numFmtId="164" fontId="40" fillId="0" borderId="1" xfId="2" applyFont="1" applyBorder="1" applyAlignment="1">
      <alignment horizontal="center"/>
    </xf>
    <xf numFmtId="0" fontId="38" fillId="0" borderId="1" xfId="0" applyNumberFormat="1" applyFont="1" applyBorder="1" applyAlignment="1">
      <alignment horizontal="center" wrapText="1"/>
    </xf>
    <xf numFmtId="164" fontId="41" fillId="0" borderId="1" xfId="2" applyFont="1" applyBorder="1" applyAlignment="1">
      <alignment horizontal="center" wrapText="1"/>
    </xf>
    <xf numFmtId="164" fontId="4" fillId="2" borderId="5" xfId="2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4" fillId="2" borderId="18" xfId="3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/>
    </xf>
    <xf numFmtId="164" fontId="0" fillId="0" borderId="0" xfId="2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6" fontId="7" fillId="0" borderId="5" xfId="0" applyNumberFormat="1" applyFont="1" applyBorder="1" applyAlignment="1">
      <alignment horizontal="center"/>
    </xf>
    <xf numFmtId="0" fontId="7" fillId="0" borderId="5" xfId="0" applyFont="1" applyBorder="1"/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164" fontId="4" fillId="2" borderId="4" xfId="2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4" xfId="2" applyNumberFormat="1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/>
    <xf numFmtId="0" fontId="6" fillId="0" borderId="22" xfId="0" applyFont="1" applyBorder="1" applyAlignment="1">
      <alignment horizontal="center"/>
    </xf>
    <xf numFmtId="164" fontId="6" fillId="0" borderId="22" xfId="2" applyFont="1" applyBorder="1"/>
    <xf numFmtId="164" fontId="6" fillId="0" borderId="22" xfId="2" applyFont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6" fillId="0" borderId="1" xfId="0" applyFont="1" applyBorder="1" applyAlignment="1">
      <alignment horizontal="left" vertical="center"/>
    </xf>
    <xf numFmtId="0" fontId="0" fillId="5" borderId="11" xfId="2" applyNumberFormat="1" applyFont="1" applyFill="1" applyBorder="1" applyAlignment="1">
      <alignment horizontal="center" vertical="center"/>
    </xf>
    <xf numFmtId="0" fontId="0" fillId="5" borderId="12" xfId="2" applyNumberFormat="1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837"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BE0CC2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7030A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rgb="FF00B050"/>
      </font>
    </dxf>
    <dxf>
      <font>
        <b/>
        <i/>
        <color rgb="FFFFC00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2060"/>
      </font>
    </dxf>
    <dxf>
      <font>
        <b/>
        <i/>
        <color theme="8"/>
      </font>
    </dxf>
    <dxf>
      <font>
        <b/>
        <i/>
        <color rgb="FFC00000"/>
      </font>
    </dxf>
    <dxf>
      <font>
        <b/>
        <i/>
        <color rgb="FFBE0CC2"/>
      </font>
    </dxf>
    <dxf>
      <font>
        <b/>
        <i/>
        <color theme="9" tint="-0.24994659260841701"/>
      </font>
    </dxf>
    <dxf>
      <font>
        <b/>
        <i/>
        <color rgb="FFF000F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b/>
        <i/>
        <color rgb="FF00B050"/>
      </font>
    </dxf>
    <dxf>
      <font>
        <b/>
        <i/>
        <color rgb="FF7030A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2019</c:v>
          </c:tx>
          <c:spPr>
            <a:solidFill>
              <a:srgbClr val="FFFF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Relatorio!$D$2:$D$13</c:f>
              <c:numCache>
                <c:formatCode>_-"R$"* #,##0.00_-;\-"R$"* #,##0.00_-;_-"R$"* "-"??_-;_-@_-</c:formatCode>
                <c:ptCount val="12"/>
                <c:pt idx="0">
                  <c:v>310</c:v>
                </c:pt>
                <c:pt idx="1">
                  <c:v>45</c:v>
                </c:pt>
                <c:pt idx="2">
                  <c:v>738.4</c:v>
                </c:pt>
                <c:pt idx="3">
                  <c:v>1199.51</c:v>
                </c:pt>
                <c:pt idx="4">
                  <c:v>2048.1999999999998</c:v>
                </c:pt>
                <c:pt idx="5">
                  <c:v>2414.91</c:v>
                </c:pt>
                <c:pt idx="6">
                  <c:v>2686.27</c:v>
                </c:pt>
                <c:pt idx="7">
                  <c:v>1788.21</c:v>
                </c:pt>
                <c:pt idx="8">
                  <c:v>1684.2799999999997</c:v>
                </c:pt>
                <c:pt idx="9">
                  <c:v>3284.3399999999992</c:v>
                </c:pt>
                <c:pt idx="10">
                  <c:v>1642.17</c:v>
                </c:pt>
                <c:pt idx="11">
                  <c:v>2482.0199999999995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B-4468-82CB-A6821479B524}"/>
            </c:ext>
          </c:extLst>
        </c:ser>
        <c:ser>
          <c:idx val="1"/>
          <c:order val="1"/>
          <c:tx>
            <c:v>2020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Relatorio!$G$2:$G$13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B-4468-82CB-A6821479B524}"/>
            </c:ext>
          </c:extLst>
        </c:ser>
        <c:ser>
          <c:idx val="2"/>
          <c:order val="2"/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Relatorio!$J$2:$J$13</c:f>
              <c:numCache>
                <c:formatCode>_-"R$"* #,##0.00_-;\-"R$"* #,##0.00_-;_-"R$"* "-"??_-;_-@_-</c:formatCode>
                <c:ptCount val="12"/>
                <c:pt idx="0">
                  <c:v>2639.9000000000005</c:v>
                </c:pt>
                <c:pt idx="1">
                  <c:v>1268.81</c:v>
                </c:pt>
                <c:pt idx="2">
                  <c:v>1756.3799999999999</c:v>
                </c:pt>
                <c:pt idx="3">
                  <c:v>3374.69</c:v>
                </c:pt>
                <c:pt idx="4">
                  <c:v>5626.5399999999981</c:v>
                </c:pt>
                <c:pt idx="5">
                  <c:v>3308.2399999999993</c:v>
                </c:pt>
                <c:pt idx="6">
                  <c:v>3268.92</c:v>
                </c:pt>
                <c:pt idx="7">
                  <c:v>2505.5</c:v>
                </c:pt>
                <c:pt idx="8">
                  <c:v>2742.29</c:v>
                </c:pt>
                <c:pt idx="9">
                  <c:v>2189.2800000000002</c:v>
                </c:pt>
                <c:pt idx="10">
                  <c:v>2451.6800000000003</c:v>
                </c:pt>
                <c:pt idx="11">
                  <c:v>4190.92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3B-4468-82CB-A6821479B524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Relatorio!$N$2:$N$13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3B-4468-82CB-A6821479B524}"/>
            </c:ext>
          </c:extLst>
        </c:ser>
        <c:ser>
          <c:idx val="4"/>
          <c:order val="4"/>
          <c:tx>
            <c:v>2021</c:v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D25-44F1-9796-590D9206AB8B}"/>
              </c:ext>
            </c:extLst>
          </c:dPt>
          <c:cat>
            <c:strRef>
              <c:f>Relatorio!$A$2:$A$13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Relatorio!$Q$2:$Q$13</c:f>
              <c:numCache>
                <c:formatCode>_-"R$"* #,##0.00_-;\-"R$"* #,##0.00_-;_-"R$"* "-"??_-;_-@_-</c:formatCode>
                <c:ptCount val="12"/>
                <c:pt idx="0">
                  <c:v>3423.650000000001</c:v>
                </c:pt>
                <c:pt idx="1">
                  <c:v>6463.9800000000005</c:v>
                </c:pt>
                <c:pt idx="2">
                  <c:v>8483.6883333333353</c:v>
                </c:pt>
                <c:pt idx="3">
                  <c:v>7088.5749999999998</c:v>
                </c:pt>
                <c:pt idx="4">
                  <c:v>3775.7833333333338</c:v>
                </c:pt>
                <c:pt idx="5">
                  <c:v>3109.7799999999988</c:v>
                </c:pt>
                <c:pt idx="6">
                  <c:v>2704.4666666666672</c:v>
                </c:pt>
                <c:pt idx="7">
                  <c:v>3012.4933333333329</c:v>
                </c:pt>
                <c:pt idx="8">
                  <c:v>5233.8899999999994</c:v>
                </c:pt>
                <c:pt idx="9">
                  <c:v>4112.329999999999</c:v>
                </c:pt>
                <c:pt idx="10">
                  <c:v>3054.62</c:v>
                </c:pt>
                <c:pt idx="11">
                  <c:v>3318.6887333333339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3B-4468-82CB-A6821479B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1066992"/>
        <c:axId val="1721068624"/>
      </c:barChart>
      <c:catAx>
        <c:axId val="172106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1068624"/>
        <c:crosses val="autoZero"/>
        <c:auto val="1"/>
        <c:lblAlgn val="ctr"/>
        <c:lblOffset val="100"/>
        <c:noMultiLvlLbl val="0"/>
      </c:catAx>
      <c:valAx>
        <c:axId val="1721068624"/>
        <c:scaling>
          <c:orientation val="minMax"/>
        </c:scaling>
        <c:delete val="0"/>
        <c:axPos val="l"/>
        <c:numFmt formatCode="_-&quot;R$&quot;* #,##0.00_-;\-&quot;R$&quot;* #,##0.00_-;_-&quot;R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106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147637</xdr:rowOff>
    </xdr:from>
    <xdr:to>
      <xdr:col>14</xdr:col>
      <xdr:colOff>1000124</xdr:colOff>
      <xdr:row>35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 cunha" refreshedDate="44686.936024189818" createdVersion="7" refreshedVersion="7" minRefreshableVersion="3" recordCount="854" xr:uid="{164579D5-B66A-474A-A7B9-4848A1E27228}">
  <cacheSource type="worksheet">
    <worksheetSource name="Tabela1"/>
  </cacheSource>
  <cacheFields count="9">
    <cacheField name="Codigo" numFmtId="0">
      <sharedItems containsSemiMixedTypes="0" containsString="0" containsNumber="1" containsInteger="1" minValue="1" maxValue="942"/>
    </cacheField>
    <cacheField name="Produtos" numFmtId="0">
      <sharedItems containsBlank="1" count="415">
        <s v="1PCS Glossy Multicolored Business ID Credit Card Cash Pocket Holder Wallet Aluminium Alloy Outer Plastic Inner Waterproof Case"/>
        <s v="A 70 Spray Líquido 200 ml - Nutriex"/>
        <s v="ACENDEDOR DE FOGÃO"/>
        <s v="Adaptador OTG USB V8"/>
        <s v="Adaptador Para Fone Headset Microfone Lapela P2 X P3 Áudio"/>
        <s v="Adaptador Usb 2.0 Ethernet Rj45 Fácil Instalação"/>
        <s v="ADESIVO COLA RATO - RATOEIRA ADESIVA HM"/>
        <s v="Afiador Amolador De Facas Tesoura Canivete Facão C/ Ventosa"/>
        <s v="Afiador de facas de cozinha Restauração de ferramentas de afiação de facas de 3 estágios e lâminas polonesas"/>
        <s v="Almofada de Isolamento Térmico Magnético Estação de Solda Plataforma de Manutenção resistente ao Calor Reparação Isolamento Tapete de Trabalho"/>
        <s v="APARELHO DE BARBEAR METAL HM-10 HOME&amp;HOME"/>
        <s v="Aparelho Removedor Cravos Sucção Vácuo Extrator Espinha 4em1"/>
        <s v="Aspirador de Pó e Líquido Automotivo Portátil 12V 60W com Luz de LED Preto e Vermelho"/>
        <s v="Balões Transparente COMPLETO DE BASTÃO Com Led Colorido + Vareta"/>
        <s v="Bateria 23a 12v 1unidade Ótima Qualidade"/>
        <s v="Bateria 9V Hi-Watt 6F22M"/>
        <s v="Bateria 9v Hw Original Comum Não Recarregável"/>
        <s v="Bateria A23 12v 1unidade Ótima Qualidade"/>
        <s v="Bateria De Litio 3v Tipo Botão CR2025 Knup Kp-bt2025"/>
        <s v="Bateria Litio 2032 Unitário Cr2032 1 unidades"/>
        <s v="Bateria Recarregável 6800 V 3.7 mAh 26650 Protegido Li-ion Battery para Lanterna Farol Levou Acessório"/>
        <s v="Bateria Recarregável 6800 V 3.7 mAh Li-ion Battery para Lanterna Farol Levou Acessório"/>
        <s v="Bolas LOL Surprise + 1 Boneca + 4 Cards Para Meninas"/>
        <s v="Bolsa Case Suporte Quadro Porta Celular Bike Bicicleta Fone"/>
        <s v="Bomba Para Galão de Água Mineral Garrafão 10 Ou 20 Litros !! - Clink"/>
        <s v="Brinquedo Beyblade Tornado Extreme Top Sytem YTL 0193 Yaha"/>
        <s v="Cabo Dados Carregador USB 30 Pinos Para iPhone 4 iPad iPod"/>
        <s v="Cabo de Dados KinGo para Iphone"/>
        <s v="Cabo de Dados KinGo para Iphone - 1m"/>
        <s v="Cabo Micro Usb v8 , serve em vários aparelhos eletrônicos celulares"/>
        <s v="Cabo RCA Cristal Injetado de 1 Metros"/>
        <s v="Cabo USB iphone 4/4s"/>
        <s v="Cadeado Profissional Com 3 Chaves Codificadas 40mm"/>
        <s v="Calculadora Cientifica Profissional Modelo Id-8267c"/>
        <s v="Capa De Braço Suporte Braçadeira De Celular Corrida Academia"/>
        <s v="Carregador Portatil Powerbank 5.000mah Inova Com Anatel"/>
        <s v="CARREGADOR PORTÁTIL ULTRAFINO - POWER BANK 10000mah PINENG UNIVERSAL  LINHA"/>
        <s v="Chapéu Australiano Pesca Caminhada Camping Proteção Nuca Sol"/>
        <s v="Chapéu Palha Cerveja - Time - Pierside"/>
        <s v="Chave para Mandril HT S02 - 13 MM P/MANDRIL 10 MM - 3/8"/>
        <s v="Conjunto de chave de fenda de precisão de 6 peça"/>
        <s v="Adaptador Fonte carregador para PSP 2000 3000 game portátil"/>
        <s v="adaptador wifi"/>
        <s v="Adptador bluet"/>
        <s v="adptador carro"/>
        <s v="adptador wifi"/>
        <s v="Alicate de remoção de cabo coaxial / alicate rotativo / cortador de cabo coaxial Monster"/>
        <s v="Almofada de Isolamento Térmico Magnético Estação de Solda "/>
        <s v="almofada termica"/>
        <s v="aparador de pelo nariz"/>
        <s v="Aparelho nariz"/>
        <s v="apliador de tela celular"/>
        <s v="Avatto tuya wifi sensor de porta"/>
        <s v="aviao controle"/>
        <s v="balança 10kg"/>
        <s v="Balança comida"/>
        <s v="Barbeador de nariz"/>
        <s v="Barbeador inova 3780"/>
        <s v="Binóculos Vyper999 Pro 😱😱🔥"/>
        <s v="Bluetooth car"/>
        <s v="bolhas moda"/>
        <s v="bomba eletrica"/>
        <s v="bomba eletrica galao"/>
        <s v="Bomba filtro galao"/>
        <s v="Bomba filtro galao eletrico"/>
        <s v="Bomba filtro simples"/>
        <s v="bomba galao"/>
        <s v="Cabo 2m iphone"/>
        <s v="Cabo aux"/>
        <s v="Cabo auxiliar"/>
        <s v="Cabo Hardline VGA 3M HLVGA 3.0"/>
        <s v="Cabo hdmi 4k 10m"/>
        <s v="cabo ipad"/>
        <s v="Cabo ipega tipo c "/>
        <s v="cabo iphone "/>
        <s v="cabo magnetico"/>
        <s v="Controlador de dedo de jogo de telefone móvel antiderrapante respirável"/>
        <s v="Controle Para Celular Pubg Free Fire + Manete Gamepad"/>
        <s v="Controle Remoto Celular Android E iPhone Bluetooth Shutter"/>
        <s v="Controle Remoto Celular Android E iPhone Bluetooth Shutter --- 20 und"/>
        <s v="Conversor Digital Terrestre DIG-7020"/>
        <s v="Cooler Fan Rgb Master Led Fc1302 120x120mm"/>
        <s v="Digital plataforma de pesagem balança eletrônica Digital jóias escalas"/>
        <s v="Eken-câmera de ação original h9/h9r remota + SD 128gb - PRETO"/>
        <s v="ESPELHO RETROVISOR PARA BIKE"/>
        <s v="ESPELHO RETROVISOR PARA BIKE HIGH ONE"/>
        <s v="Esponja Limpeza Facial Esfoliante Formato Polvo De Silicone"/>
        <s v="Estilete lapis carpinteiro marceneiro"/>
        <s v="Estilete Profissional Multiuso + 3 Laminas de Refil"/>
        <s v="Farol Bike Led Bicicleta Dianteira + Traseira - Bem Forte"/>
        <s v="Fio de Solda Estanho arame de solda 1mm15g 1 Unidade"/>
        <s v="Fio de Solda Estanho arame de solda 1mm15g 1 Unidade Cobix"/>
        <s v="Fio de Solda Estanho Cobix Tubinho 1mm 22 Gramas 1 Unidade"/>
        <s v="Fio Fada Prata Cordão Luz Cores Natal 2m 20 Leds Pilh"/>
        <s v="Fio Fada Prata Cordão Luz Cores Natal 5m 50 Leds Pilh"/>
        <s v="Fios Luz De Fada String Light 2m 20 Leds Rolha Decor"/>
        <s v="Fios Luz De Fada String Light 3m 30 Leds Rolha Decor"/>
        <s v="Fita Dupla Face Ambiente Interno Externo Adelbras"/>
        <s v="Fita Durex Rolinho 35 M - 1un"/>
        <s v="Fita Isolante Idea 0.18mm X 18mm X 5m - 1 Unidades"/>
        <s v="cabo v8 kingo"/>
        <s v="cabo vga"/>
        <s v="Cabo Vga Hd15 - M/M O.D  3.0"/>
        <s v="Caixa 2kp"/>
        <s v="caixa de grave"/>
        <s v="caixa de som "/>
        <s v="Caixa jbl boombox mini"/>
        <s v="Caneta Testador De Dinheiro Nota Falsa Money Teste Detector"/>
        <s v="capa iphone"/>
        <s v="Capa Para Celular Impermeável - Aquática - Cores Sortidas"/>
        <s v="Capacete Ciclista Adulto Regulagem Bike Ciclismo - Promoção"/>
        <s v="capinha"/>
        <s v="Capinha a02"/>
        <s v="Capinha celular"/>
        <s v="capinha iphone"/>
        <s v="carregador iphone"/>
        <s v="Fitas Banana Dupla Face Espuma Adelbras 12mm X 2m"/>
        <s v="Fone De Ouvido Bluetooth Fon-2312 - INOVA"/>
        <s v="Fone de Ouvido Pmcell"/>
        <s v="Fone de Ouvido Pmcell Fo -11 Original C/ Microfone"/>
        <s v="Funko Pop Naruto Hokage #724 Pop Boruto Aaa Anime Exclusive"/>
        <s v="Furador de Couro – Kit Vazador"/>
        <s v="FURADOR DE COURO 3mm,4mm,5mm – Kit Vazador"/>
        <s v="Garrafa de água dobrável Yellowstone 425ml com grampo Carabina"/>
        <s v="Gas de nalarico"/>
        <s v="Gatilhos Botão Gamepad L1 - R1 Pubg Free Fire Resistente"/>
        <s v="Globo de luz de discoteca rotativo para festas,"/>
        <s v="Globo de luz de discoteca rotativo, para festas"/>
        <s v="Globo de luz de discoteca rotativo, para festas, luz estroboscópica"/>
        <s v="Grace La Rose Sublime Deo Colônia 100ml"/>
        <s v="Grafite Em Po 25g Emavi De Uso Geral P/ Caneletas Cadeados E Fechaduras"/>
        <s v="carregador v8"/>
        <s v="Carregador v8 hms"/>
        <s v="carregador v8 simples"/>
        <s v="carregador veicular"/>
        <s v="Cartao onibuns"/>
        <s v="case "/>
        <s v="case HD "/>
        <s v="cashback"/>
        <s v="celular g6"/>
        <s v="Chapeu flamengo"/>
        <s v="Chave tok/alen"/>
        <s v="chave universal"/>
        <s v="chinela"/>
        <s v="climatizador"/>
        <s v="controle tv box"/>
        <s v="copo rico"/>
        <s v="correnta bike"/>
        <s v="Corrente bike"/>
        <s v="Corrente moto/bike"/>
        <s v="cortador de vidro"/>
        <s v="despertador "/>
        <s v="espremedor de pasta"/>
        <s v="Espremedor pasta"/>
        <s v="estileite"/>
        <s v="ferramenta"/>
        <s v="Ferramenta kit"/>
        <s v="ferrmaneta"/>
        <s v="Fita Dupla Face Ambiente Interno Externo 12x2 550g Adelbras"/>
        <s v="fita dupla facil"/>
        <s v="fone "/>
        <s v="fone ali"/>
        <s v="FONE antigo"/>
        <s v="fone b05"/>
        <s v="fone b-08"/>
        <s v="fone de ouvido "/>
        <s v="fone delapela"/>
        <s v="Fone gatinho"/>
        <s v="fone i12"/>
        <s v="fone inova sem fio"/>
        <s v="fone oriignal"/>
        <s v="Fone pcell pequeno"/>
        <s v="Fone PMCell"/>
        <s v="fone simples"/>
        <s v="fone stereo earphone"/>
        <s v="Fone xiaome"/>
        <s v="Fone y30"/>
        <s v="Fone y30 (3)"/>
        <s v="Fone y30 ali"/>
        <s v="fonte tv box"/>
        <s v="formataçao"/>
        <s v="Formatação"/>
        <s v="FURADOR DE COURO 3pçs – Kit Vazador"/>
        <s v="Garrafa de agua"/>
        <s v="Garrafa De Agua Academia 800 Ml  Livre De Bpa"/>
        <s v="Garrafa Retrátil Dobrável 500ml C/mosquetão E Trava Na Tampa"/>
        <s v="gatilho"/>
        <s v="Gatilho ak66"/>
        <s v="Gatilho simples"/>
        <s v="gatilho simples "/>
        <s v="gatilhos simples"/>
        <s v="Gel massagem hinode"/>
        <s v="globo de luz"/>
        <s v="Globo de luz grande"/>
        <s v="Globo de luz pequeno"/>
        <s v="Globo estrelas"/>
        <s v="H7 c6"/>
        <s v="Headset simples"/>
        <s v="Jogo Chaves Precisão 31 Peças Celular Notebooks Relojoeiro!"/>
        <s v="Jogo De Chave Torx E Allen 8 Pecas - Nipo - Sq"/>
        <s v="Jogo Kit De Ponta Montada 5 Peças"/>
        <s v="Kit 30 Peças Reparo Bike Remendo Pneu Ferramentas Bicicleta"/>
        <s v="Kit Agulha Mão Agulheiro Costura Passador Linha Peças."/>
        <s v="Kit Com 10 Mini Fusível Para Automóvel Nacional E Importado"/>
        <s v="Kit Com 15 Tipo De Botões Diversos Costura"/>
        <s v="Kit Costura Agulha Dedal Linha"/>
        <s v="kit costura linhas"/>
        <s v="Kit De Chaves Precisão 31 Peças Torx Alen Philips Fenda"/>
        <s v="Kit ferramenta"/>
        <s v="Hub Usb 2.0 4 Portas - Extensor Hi-Speed 480mbps LEY-11 - Lehmox"/>
        <s v="Jogo De Chave De Vela 6 Peças Monalisa"/>
        <s v="Jogo de linha para costura - 123 Útil"/>
        <s v="Kit 01 Lol Bolsa + 01 Caneca + 01 Boneca Surpresa"/>
        <s v="Kit Agulha Mão Agulheiro Costura Passador Linha"/>
        <s v="Kit Agulha Mão Agulheiro Costura Passador Linha 44 Peças."/>
        <s v="Kit Broca De Aço Rápido P/metal 5,0mm Polida 10 Pçs 715509 Mtx"/>
        <s v="KIT CHAVE CATRACA COM PONTAS E SOQUETES 17 PEÇAS 123ÚTIL"/>
        <s v="Kit Com 15 Tipo De Botoes Diversos Costura"/>
        <s v="kit costura de agulhas de conserto doméstico kit costura cerzir couro carpete roupas"/>
        <s v="Kit De Chaves 16 Em 1 Modelo 2811 Manutenção celular"/>
        <s v="Kit De Costura 36 Peças Idea"/>
        <s v="Kit Estilete + 4 Lápis Carpinteiro/marceneiro"/>
        <s v="kit manicure"/>
        <s v="kit manicure eletrica"/>
        <s v="Kit Mini Fusível Com 10 Peça Para Automóvel Nacional E Importado"/>
        <s v="kit remendo bike"/>
        <s v="kit reparo bike"/>
        <s v="Kit Reparo Pneu Abs Remendo Sem Camara Carros Motos"/>
        <s v="kit reparo pneu bike"/>
        <s v="Kit Reparo Remendo Borracheiro Pneu Sem Câmara Carro Moto"/>
        <s v="Koko Prime 15w Pod System"/>
        <s v="Lampada blu"/>
        <s v="lampada bluth"/>
        <s v="lampada giratoria"/>
        <s v="Lampada inteligente AVATTO"/>
        <s v="lampada interligent"/>
        <s v="Lâmpada LED Giratória Rgb Rotativa Mini Bola Maluca Luz Festa - Import"/>
        <s v="lampada led pequena"/>
        <s v="lampaio led"/>
        <s v="lampiao solar"/>
        <s v="Lanterna Bike Farol Led Bike Sinalizador Recarregável - Par"/>
        <s v="Lanterna C/ Choque Type 1101 Light Flashlight"/>
        <s v="Lanterna de choque "/>
        <s v="Lanterna Lampião 6+1 LED Recarregável Bivolt com USB - JH-5800T"/>
        <s v="Lanterna Multiuso 8 Em 1 Com Ferramentas Sd-890 Elétrica"/>
        <s v="lanterna prova d'agua"/>
        <s v="Lanterna usb"/>
        <s v="lanterna x900"/>
        <s v="Lanterna x-900 Led Super Potente Recarregável"/>
        <s v="led bike "/>
        <s v="led bike traseiro simples"/>
        <s v="led car"/>
        <s v="Led celular"/>
        <s v="Led teto"/>
        <s v="Led torpedo"/>
        <s v="Led torpedo par"/>
        <s v="led usb bike"/>
        <s v="luminaria bike frente"/>
        <s v="Maçarico Portátil Profissional Encaixe 1,300°c Ignição Automática, Soldas E Narguilé"/>
        <s v="maleta de ferramenta"/>
        <s v="Mandril 1/2 Com Chave - Super 1.5 a 13mm - Encaixe Rosca 1/2 X 20 UNF"/>
        <s v="Manta Almofada de Isolamento Térmico Magnético Estação de Solda"/>
        <s v="Manta de trabalho"/>
        <s v="manta termica"/>
        <s v="maquina de cabelo"/>
        <s v="maquina de cabelo dragon"/>
        <s v="Maquina de costura"/>
        <s v="maquina de costura "/>
        <s v="Maquina Higiênica Aparadora / Aparador Depilador De Pelos Nariz e Orelha"/>
        <s v="MAQUINA NARIZ"/>
        <s v="MAQUINA PEQUENA"/>
        <s v="Massageado Facial Corporal E Limpeza De Pele 5 Em 1"/>
        <s v="massageador"/>
        <s v="memory card 32mb"/>
        <s v="Memory Card 8mb P/ Ps2 Kp-032 - Knup"/>
        <s v="Microfone De Lapela Celular Smartphone Profissional Stereo"/>
        <s v="microfone lapela"/>
        <s v="Mini Aparador Elétrico Portátil Masculino e feminino Luatek"/>
        <s v="mini Climatizador"/>
        <s v="mini depilador"/>
        <s v="Mini liquidificador"/>
        <s v="mini luminária de LED com controle remoto 3 em 1"/>
        <s v="Mini Máquina De Costura Manual Portátil De Mão Tecido"/>
        <s v="mini marsarico"/>
        <s v="mini mdepilador"/>
        <s v="Mini Morsa Idea 6463M"/>
        <s v="mini relogio carro"/>
        <s v="Mini Teclado Controle S/ Fio Touch Led Pc/note/gamer/tvsmart"/>
        <s v="Mini Tripé Portátil Celular Suporte Flexível Tripé"/>
        <s v="Mini Tripé Portátil Celular Suporte Flexível Tripé Celular"/>
        <s v="Mini umidiifcador"/>
        <s v="mini ventilador mao"/>
        <s v="molden "/>
        <s v="Mouse e teclado sem fio"/>
        <s v="Mouse gamer mu2908"/>
        <s v="Mouse Gamer Rgb Hayom Mu-2908"/>
        <s v="mouse pad"/>
        <s v="organizador banco"/>
        <s v="Organizador banco de carro"/>
        <s v="Organizador Para Lateral De Asiento Auto Carro O Camioneta"/>
        <s v="Papa Bolinhas Elétrico Portátil Tira Pelo Bolinhas Roupas"/>
        <s v="Pasta de dente clareadora hinode"/>
        <s v="Pasta de dente hinode"/>
        <s v="PC"/>
        <s v="pc manutençao"/>
        <s v="pelicula"/>
        <s v="Kit para Costura com 20 Peças Portátil SK-18 Western"/>
        <s v="KIT REPARO DE PNEU AUTOMOTIVO C/ 6 PCS SQ"/>
        <s v="kit Reparo De Pneu Bicicleta"/>
        <s v="Kit Reparo Para Pneu Sem Câmara"/>
        <s v="Lampaia"/>
        <s v="Lanterna Multiuso 8 Em 1 Com Ferramentas Sd-890 Elétrica Aaa"/>
        <s v="Lanterna Usb Avian ORIGINAL !!! USB 380000W DR-513"/>
        <s v="Limpa Tela e Lentes 60ml + Flanela"/>
        <s v="Linha Costura Coloridas Circulo Kit 10 Tubos Cores Sortidas"/>
        <s v="Maçarico Idea 1,300°c Ignição Automática, Soldas E Naguile"/>
        <s v="pelicula 3d"/>
        <s v="Pelicula iphone"/>
        <s v="pelicula vidro"/>
        <s v="pelucia polvo p"/>
        <s v="Perfume hinode"/>
        <s v="Placa Adaptador De Som Usb 7.1 Canais 3d Adaptador Audio Pc"/>
        <s v="placa uber"/>
        <s v="plano de tv"/>
        <s v="plano de tv "/>
        <s v="pochete caminhada"/>
        <s v="Ponta De Dedo Clip Oxímetro De Pulso L-ed Display Mini Spo2"/>
        <s v="pop it"/>
        <s v="pulseira d20 "/>
        <s v="Receptor Transmissor Bluetooth Usb P2 Saida Car Atacado"/>
        <s v="Refatrometro"/>
        <s v="RELÓGIO DE PAREDE QUARTZ 😱😱"/>
        <s v="Relógio Digital Unissex Led Sport Pulseira Bracelete Colors"/>
        <s v="Relógio Inteligente Smartwatch D20 Bluetooth Monitor Saúde"/>
        <s v="relogio pequeno "/>
        <s v="Reparo macarrão pneu 10pç"/>
        <s v="Rimel hinode"/>
        <s v="Silicone De Banho Corpo Cinto Esfoliante 😱😱"/>
        <s v="Smartband d20"/>
        <s v="Mandril 1/2 Com Chave - Super 1.5 a 13mm - Encaixe Rosca 1/2 X 20 UNF -"/>
        <s v="Medidor de Pressão de Pneus Manual Analógico 220 Libras"/>
        <s v="Memory Card 32mb P/ Ps2 Kp-032 - Knup"/>
        <s v="Microfone de Lapela 3,5mm Stéreo Profissional p3"/>
        <s v="MINI PINÇAS PARA DEPILAÇÃO E SOBRANCELHAS"/>
        <s v="mini taiser"/>
        <s v="Moedor e Triturador para alho e temperos manual"/>
        <s v="Mouse Standard Preto USB"/>
        <s v="smartwatch tf50"/>
        <s v="smartwhat x6"/>
        <s v="SSD 240gb "/>
        <s v="sugador"/>
        <s v="Super Cola Instantânea Metal Madeira e Plástico 1un"/>
        <s v="Super Cola Instantânea Metal Madeira Plástico"/>
        <s v="suporte celular"/>
        <s v="suporte de celular "/>
        <s v="suporte de pasta de dente"/>
        <s v="Suporte de TV "/>
        <s v="suporte notebook"/>
        <s v="suporte notebook cooler"/>
        <s v="Suporte Para Celular Bate Cola Ventosa Sucçao Magica"/>
        <s v="Suporte ps4 controle"/>
        <s v="Suporte Segurador Slim Anti Queda Compatível Com AirPods"/>
        <s v="suporte tv"/>
        <s v="teclado tv box"/>
        <s v="tenis"/>
        <s v="Multímetro Digital Profissional Cabo Multi Teste Portátil"/>
        <s v="Nível Laser Profissional Trena Level Pro3 Estágios Nivelador"/>
        <s v="Óleo em Creme Desodorante Corporal Joli Cupuaçu 140g - Hinode"/>
        <s v="Organizador gaveteiro 7000 com 16 gavetas"/>
        <s v="Organizador Para Lateral De Asiento Auto Carro -- AZUL"/>
        <s v="Pasta para Soldar Cobix Pote 110g Plastico Solda"/>
        <s v="Película Vidro Temperado Vários modelos."/>
        <s v="Polvo Reversível Temperamental Humor Feliz E Bravo / Triste"/>
        <s v="Ponta De Prova Teste  Multímetro Digital Analógico"/>
        <s v="Ponta De Prova Teste 90 Graus Multímetro Digital Analógico"/>
        <s v="Pop It Colorido Personagens Anime Naruto  Antistress"/>
        <s v="Pop It Naruto Super Novidade  😱 #especialdiadascrianças"/>
        <s v="Relógio Digital Automotivo Painel mesa com fixador"/>
        <s v="Rolex Suíço Qyster Perpetual Datejust Feminino Pulseira Magnética Replica!"/>
        <s v="Sensor de Porta Tuya WiFi Alexa Alimentação por Pilha AAA Smart Life Inteligente Google Home Detector de Aberto/Fechado Janela"/>
        <s v="Skimmer Boyu Interno WG-310 120L para Aquários"/>
        <s v="Soquete Universal Chave Catraca"/>
        <s v="Sugador De Solda Alumínio Com Bico"/>
        <s v="tenis allstar"/>
        <s v="Testador/pilhas E Baterias - Bt-168-d - Aa- Aaa - Cd 9.0v"/>
        <s v="transmissor veicular x8"/>
        <s v="Triper cinza"/>
        <s v="Triper laranja"/>
        <s v="Triper suporte"/>
        <s v="Triturador manual"/>
        <s v="Tv box"/>
        <s v="Umidificador lua"/>
        <s v="Unha Postiça Kits (contendo 20 unhas ) Professional Instant Nail Tips"/>
        <s v="Universal 3.5mm Bluetooth Car Kit A2DP Transmissor FM Sem Fio AUX Áudio Receptor de Música Adaptador Handsfree Mic Para Speaker Fone De Ouvido Com Caixa"/>
        <m/>
        <s v="Super Chá Sb Maravilhas Da Terra - O Verdadeiro Seca Barriga"/>
        <s v="Super Cola Instantânea Metal Madeira e Plástico"/>
        <s v="Super Mini Taser Defense Choque Ideal Para Mulheres"/>
        <s v="Suporte Adesivo Celular Gel Mágico Cola Reutilizável"/>
        <s v="Suporte Anti-Perda Para Fone De Ouvido Sem Fio Com Gancho Para Apple Iphone Xs Max X Xr Airpods "/>
        <s v="Suporte Anti-Perda Para Fone De Ouvido Sem Fio Com Gancho Para Apple Iphone Xs Max X Xr Airpods 2 / 3 Pro"/>
        <s v="Suporte Celular de mesa Universal e Tablet Ajustável Articulado"/>
        <s v="Suporte Segurador Slim Anti Queda Compatível Com AirPods - Branco"/>
        <s v="Suporte Segurador Slim Anti Queda Compatível Com AirPods 25 / 50 / 100unidades"/>
        <s v="Suporte Veicular para Celular THIS IS ONE"/>
        <s v="Sutiã Adesivo Levanta Seio Invisible Pushup Tipo Orelha De C"/>
        <s v="Taiser pequena"/>
        <s v="TASER LANTERNA DZ 928 DE 15000 K RECARREGÁVEL COLDRE CHOQUE"/>
        <s v="Termômetro Culinário Digital Espeto Alimento Cozinha Tp101"/>
        <s v="Transmissor modulador FM para carro Bluetooth X8 Plus 2USB"/>
        <s v="Trava Look U Cadeado Antifurto Moto Reforçada Motocicleta"/>
        <s v="travesseiro de pescoço extra confortável"/>
        <s v="Unha Postiça Kits (contendo 20 unhas + cola ) Professional"/>
        <s v="Unha Postiça Kits (contendo 20 unhas + cola ) Professional Instant Nail Tips"/>
        <s v="😱😱 RELÓGIO DE PAREDE QUARTZ 😱😱"/>
      </sharedItems>
    </cacheField>
    <cacheField name="Quantidade" numFmtId="0">
      <sharedItems containsString="0" containsBlank="1" containsNumber="1" containsInteger="1" minValue="1" maxValue="221" count="49">
        <m/>
        <n v="8"/>
        <n v="7"/>
        <n v="4"/>
        <n v="2"/>
        <n v="1"/>
        <n v="5"/>
        <n v="9"/>
        <n v="3"/>
        <n v="26"/>
        <n v="22"/>
        <n v="19"/>
        <n v="73"/>
        <n v="10"/>
        <n v="6"/>
        <n v="221"/>
        <n v="113"/>
        <n v="71"/>
        <n v="21"/>
        <n v="11"/>
        <n v="12"/>
        <n v="40"/>
        <n v="16"/>
        <n v="48"/>
        <n v="32"/>
        <n v="20"/>
        <n v="14"/>
        <n v="31"/>
        <n v="65"/>
        <n v="57"/>
        <n v="37"/>
        <n v="25"/>
        <n v="39"/>
        <n v="17"/>
        <n v="112"/>
        <n v="33"/>
        <n v="23"/>
        <n v="163"/>
        <n v="56"/>
        <n v="29"/>
        <n v="18"/>
        <n v="52"/>
        <n v="43"/>
        <n v="15"/>
        <n v="130"/>
        <n v="119"/>
        <n v="81"/>
        <n v="34"/>
        <n v="215"/>
      </sharedItems>
    </cacheField>
    <cacheField name="Valor gasto" numFmtId="0">
      <sharedItems containsString="0" containsBlank="1" containsNumber="1" minValue="0" maxValue="3640"/>
    </cacheField>
    <cacheField name="Valor venddo" numFmtId="0">
      <sharedItems containsString="0" containsBlank="1" containsNumber="1" minValue="1.39" maxValue="6783.57"/>
    </cacheField>
    <cacheField name="Valor do lucro" numFmtId="0">
      <sharedItems containsString="0" containsBlank="1" containsNumber="1" minValue="-33.879999999999995" maxValue="3315.42"/>
    </cacheField>
    <cacheField name="vendas shopee" numFmtId="0">
      <sharedItems containsBlank="1" count="2">
        <s v="vendido"/>
        <m/>
      </sharedItems>
    </cacheField>
    <cacheField name="Coluna1" numFmtId="0">
      <sharedItems containsBlank="1"/>
    </cacheField>
    <cacheField name="Vendas df2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">
  <r>
    <n v="58"/>
    <x v="0"/>
    <x v="0"/>
    <n v="2.5"/>
    <n v="13.32"/>
    <n v="10.82"/>
    <x v="0"/>
    <s v="shopee"/>
    <x v="0"/>
  </r>
  <r>
    <n v="538"/>
    <x v="1"/>
    <x v="1"/>
    <n v="56"/>
    <n v="120.69"/>
    <n v="64.69"/>
    <x v="0"/>
    <s v="shopee"/>
    <x v="0"/>
  </r>
  <r>
    <n v="898"/>
    <x v="1"/>
    <x v="1"/>
    <n v="48"/>
    <n v="100.62219999999999"/>
    <n v="52.622199999999992"/>
    <x v="0"/>
    <s v="shopee"/>
    <x v="0"/>
  </r>
  <r>
    <n v="124"/>
    <x v="1"/>
    <x v="2"/>
    <n v="24.5"/>
    <n v="49.46"/>
    <n v="24.96"/>
    <x v="0"/>
    <s v="shopee"/>
    <x v="0"/>
  </r>
  <r>
    <n v="266"/>
    <x v="1"/>
    <x v="3"/>
    <n v="3.5"/>
    <n v="14"/>
    <n v="15.84"/>
    <x v="0"/>
    <s v="shopee"/>
    <x v="0"/>
  </r>
  <r>
    <n v="755"/>
    <x v="1"/>
    <x v="3"/>
    <n v="16"/>
    <n v="38.49"/>
    <n v="22.490000000000002"/>
    <x v="0"/>
    <s v="shopee"/>
    <x v="0"/>
  </r>
  <r>
    <n v="706"/>
    <x v="2"/>
    <x v="4"/>
    <n v="6"/>
    <n v="40.26"/>
    <n v="28.259999999999998"/>
    <x v="0"/>
    <s v="shopee"/>
    <x v="0"/>
  </r>
  <r>
    <n v="690"/>
    <x v="3"/>
    <x v="5"/>
    <n v="2.5"/>
    <n v="8.32"/>
    <n v="5.82"/>
    <x v="0"/>
    <s v="shopee"/>
    <x v="0"/>
  </r>
  <r>
    <n v="508"/>
    <x v="4"/>
    <x v="5"/>
    <n v="2"/>
    <n v="8"/>
    <n v="6"/>
    <x v="0"/>
    <s v="shopee"/>
    <x v="0"/>
  </r>
  <r>
    <n v="143"/>
    <x v="5"/>
    <x v="5"/>
    <n v="17"/>
    <n v="17.5"/>
    <n v="0.5"/>
    <x v="0"/>
    <s v="shopee"/>
    <x v="0"/>
  </r>
  <r>
    <n v="59"/>
    <x v="5"/>
    <x v="0"/>
    <n v="5"/>
    <n v="28"/>
    <n v="23"/>
    <x v="0"/>
    <s v="shopee"/>
    <x v="0"/>
  </r>
  <r>
    <n v="756"/>
    <x v="6"/>
    <x v="1"/>
    <n v="16"/>
    <n v="54.15"/>
    <n v="38.15"/>
    <x v="0"/>
    <s v="shopee"/>
    <x v="0"/>
  </r>
  <r>
    <n v="899"/>
    <x v="6"/>
    <x v="6"/>
    <n v="12.5"/>
    <n v="27.781600000000005"/>
    <n v="15.281600000000005"/>
    <x v="0"/>
    <s v="shopee"/>
    <x v="0"/>
  </r>
  <r>
    <n v="687"/>
    <x v="7"/>
    <x v="5"/>
    <n v="5"/>
    <n v="10"/>
    <n v="5"/>
    <x v="0"/>
    <s v="shopee"/>
    <x v="0"/>
  </r>
  <r>
    <n v="822"/>
    <x v="7"/>
    <x v="5"/>
    <n v="5"/>
    <n v="10.29"/>
    <n v="5.2899999999999991"/>
    <x v="0"/>
    <s v="shopee"/>
    <x v="0"/>
  </r>
  <r>
    <n v="900"/>
    <x v="7"/>
    <x v="5"/>
    <n v="6"/>
    <n v="7.7408000000000001"/>
    <n v="1.7408000000000001"/>
    <x v="0"/>
    <s v="shopee"/>
    <x v="0"/>
  </r>
  <r>
    <n v="118"/>
    <x v="8"/>
    <x v="4"/>
    <n v="26"/>
    <n v="64.87"/>
    <n v="38.870000000000005"/>
    <x v="0"/>
    <s v="shopee"/>
    <x v="0"/>
  </r>
  <r>
    <n v="823"/>
    <x v="8"/>
    <x v="5"/>
    <n v="15"/>
    <n v="20"/>
    <n v="5"/>
    <x v="0"/>
    <s v="shopee"/>
    <x v="0"/>
  </r>
  <r>
    <n v="115"/>
    <x v="9"/>
    <x v="3"/>
    <n v="52"/>
    <n v="131.30000000000001"/>
    <n v="79.300000000000011"/>
    <x v="0"/>
    <s v="shopee"/>
    <x v="0"/>
  </r>
  <r>
    <n v="54"/>
    <x v="9"/>
    <x v="0"/>
    <n v="36"/>
    <n v="58.98"/>
    <n v="22.979999999999997"/>
    <x v="0"/>
    <s v="shopee"/>
    <x v="0"/>
  </r>
  <r>
    <n v="290"/>
    <x v="10"/>
    <x v="5"/>
    <n v="2.5"/>
    <n v="7.5"/>
    <n v="5"/>
    <x v="0"/>
    <s v="shopee"/>
    <x v="0"/>
  </r>
  <r>
    <n v="509"/>
    <x v="10"/>
    <x v="5"/>
    <n v="2.5"/>
    <n v="10"/>
    <n v="7.5"/>
    <x v="0"/>
    <s v="shopee"/>
    <x v="0"/>
  </r>
  <r>
    <n v="60"/>
    <x v="10"/>
    <x v="0"/>
    <n v="2.5"/>
    <n v="5"/>
    <n v="2.5"/>
    <x v="0"/>
    <s v="shopee"/>
    <x v="0"/>
  </r>
  <r>
    <n v="901"/>
    <x v="11"/>
    <x v="5"/>
    <n v="25"/>
    <n v="20.532799999999998"/>
    <n v="-4.4672000000000018"/>
    <x v="0"/>
    <s v="shopee"/>
    <x v="0"/>
  </r>
  <r>
    <n v="713"/>
    <x v="12"/>
    <x v="7"/>
    <n v="35"/>
    <n v="505.89"/>
    <n v="190.89"/>
    <x v="0"/>
    <s v="shopee"/>
    <x v="0"/>
  </r>
  <r>
    <n v="824"/>
    <x v="12"/>
    <x v="8"/>
    <n v="114"/>
    <n v="206.32"/>
    <n v="92.32"/>
    <x v="0"/>
    <s v="shopee"/>
    <x v="0"/>
  </r>
  <r>
    <n v="529"/>
    <x v="12"/>
    <x v="4"/>
    <n v="60"/>
    <n v="109.98"/>
    <n v="49.980000000000004"/>
    <x v="0"/>
    <s v="shopee"/>
    <x v="0"/>
  </r>
  <r>
    <n v="757"/>
    <x v="12"/>
    <x v="4"/>
    <n v="70"/>
    <n v="98.65"/>
    <n v="28.650000000000006"/>
    <x v="0"/>
    <s v="shopee"/>
    <x v="0"/>
  </r>
  <r>
    <n v="902"/>
    <x v="12"/>
    <x v="5"/>
    <n v="35"/>
    <n v="45.92"/>
    <n v="10.920000000000002"/>
    <x v="0"/>
    <s v="shopee"/>
    <x v="0"/>
  </r>
  <r>
    <n v="758"/>
    <x v="13"/>
    <x v="4"/>
    <n v="18"/>
    <n v="37.51"/>
    <n v="19.509999999999998"/>
    <x v="0"/>
    <s v="shopee"/>
    <x v="0"/>
  </r>
  <r>
    <n v="291"/>
    <x v="14"/>
    <x v="9"/>
    <n v="31.2"/>
    <n v="74.260000000000005"/>
    <n v="43.06"/>
    <x v="0"/>
    <s v="shopee"/>
    <x v="0"/>
  </r>
  <r>
    <n v="292"/>
    <x v="15"/>
    <x v="5"/>
    <n v="2.5"/>
    <n v="3.81"/>
    <n v="1.31"/>
    <x v="0"/>
    <s v="shopee"/>
    <x v="0"/>
  </r>
  <r>
    <n v="903"/>
    <x v="16"/>
    <x v="4"/>
    <n v="10"/>
    <n v="8.1836000000000002"/>
    <n v="-1.8163999999999998"/>
    <x v="0"/>
    <s v="shopee"/>
    <x v="0"/>
  </r>
  <r>
    <n v="542"/>
    <x v="17"/>
    <x v="10"/>
    <n v="22"/>
    <n v="60.71"/>
    <n v="38.71"/>
    <x v="0"/>
    <s v="shopee"/>
    <x v="0"/>
  </r>
  <r>
    <n v="708"/>
    <x v="17"/>
    <x v="11"/>
    <n v="1.4"/>
    <n v="71.37"/>
    <n v="44.77000000000001"/>
    <x v="0"/>
    <s v="shopee"/>
    <x v="0"/>
  </r>
  <r>
    <n v="825"/>
    <x v="17"/>
    <x v="4"/>
    <n v="2.8"/>
    <n v="29.57"/>
    <n v="26.77"/>
    <x v="0"/>
    <s v="shopee"/>
    <x v="0"/>
  </r>
  <r>
    <n v="904"/>
    <x v="17"/>
    <x v="5"/>
    <n v="1.4"/>
    <n v="4.9118000000000004"/>
    <n v="3.5118000000000005"/>
    <x v="0"/>
    <s v="shopee"/>
    <x v="0"/>
  </r>
  <r>
    <n v="543"/>
    <x v="18"/>
    <x v="12"/>
    <n v="43.8"/>
    <n v="233.24"/>
    <n v="189.44"/>
    <x v="0"/>
    <s v="shopee"/>
    <x v="0"/>
  </r>
  <r>
    <n v="293"/>
    <x v="18"/>
    <x v="13"/>
    <n v="6"/>
    <n v="28.3"/>
    <n v="22.3"/>
    <x v="0"/>
    <s v="shopee"/>
    <x v="0"/>
  </r>
  <r>
    <n v="759"/>
    <x v="18"/>
    <x v="14"/>
    <n v="4.1999999999999993"/>
    <n v="6.56"/>
    <n v="2.3600000000000003"/>
    <x v="0"/>
    <s v="shopee"/>
    <x v="0"/>
  </r>
  <r>
    <n v="692"/>
    <x v="18"/>
    <x v="3"/>
    <n v="0.7"/>
    <n v="9.2200000000000006"/>
    <n v="6.4200000000000008"/>
    <x v="0"/>
    <s v="shopee"/>
    <x v="0"/>
  </r>
  <r>
    <n v="265"/>
    <x v="18"/>
    <x v="8"/>
    <n v="0.83333333333333337"/>
    <n v="2.5"/>
    <n v="6.4700000000000006"/>
    <x v="0"/>
    <s v="shopee"/>
    <x v="0"/>
  </r>
  <r>
    <n v="905"/>
    <x v="18"/>
    <x v="8"/>
    <n v="2.0999999999999996"/>
    <n v="2.1238000000000001"/>
    <n v="2.3800000000000487E-2"/>
    <x v="0"/>
    <s v="shopee"/>
    <x v="0"/>
  </r>
  <r>
    <n v="717"/>
    <x v="19"/>
    <x v="15"/>
    <n v="0.9"/>
    <n v="533.65"/>
    <n v="334.75"/>
    <x v="0"/>
    <s v="shopee"/>
    <x v="0"/>
  </r>
  <r>
    <n v="111"/>
    <x v="19"/>
    <x v="16"/>
    <n v="113"/>
    <n v="269.88"/>
    <n v="156.88"/>
    <x v="0"/>
    <s v="shopee"/>
    <x v="0"/>
  </r>
  <r>
    <n v="826"/>
    <x v="19"/>
    <x v="17"/>
    <n v="71"/>
    <n v="186.92"/>
    <n v="115.91999999999999"/>
    <x v="0"/>
    <s v="shopee"/>
    <x v="0"/>
  </r>
  <r>
    <n v="264"/>
    <x v="19"/>
    <x v="18"/>
    <n v="1"/>
    <n v="21"/>
    <n v="41.92"/>
    <x v="0"/>
    <s v="shopee"/>
    <x v="0"/>
  </r>
  <r>
    <n v="906"/>
    <x v="19"/>
    <x v="19"/>
    <n v="11"/>
    <n v="19.089600000000001"/>
    <n v="8.0896000000000008"/>
    <x v="0"/>
    <s v="shopee"/>
    <x v="0"/>
  </r>
  <r>
    <n v="760"/>
    <x v="19"/>
    <x v="14"/>
    <n v="4.1999999999999993"/>
    <n v="13.63"/>
    <n v="9.4300000000000015"/>
    <x v="0"/>
    <s v="shopee"/>
    <x v="0"/>
  </r>
  <r>
    <n v="294"/>
    <x v="19"/>
    <x v="3"/>
    <n v="4"/>
    <n v="10.8"/>
    <n v="6.8000000000000007"/>
    <x v="0"/>
    <s v="shopee"/>
    <x v="0"/>
  </r>
  <r>
    <n v="40"/>
    <x v="19"/>
    <x v="0"/>
    <n v="37"/>
    <n v="79.569999999999993"/>
    <n v="42.569999999999993"/>
    <x v="0"/>
    <s v="shopee"/>
    <x v="0"/>
  </r>
  <r>
    <n v="761"/>
    <x v="20"/>
    <x v="5"/>
    <n v="15"/>
    <n v="33.6"/>
    <n v="18.600000000000001"/>
    <x v="0"/>
    <s v="shopee"/>
    <x v="0"/>
  </r>
  <r>
    <n v="907"/>
    <x v="21"/>
    <x v="4"/>
    <n v="24"/>
    <n v="40.147199999999998"/>
    <n v="16.147199999999998"/>
    <x v="0"/>
    <s v="shopee"/>
    <x v="0"/>
  </r>
  <r>
    <n v="908"/>
    <x v="22"/>
    <x v="5"/>
    <n v="6"/>
    <n v="20.860800000000001"/>
    <n v="14.860800000000001"/>
    <x v="0"/>
    <s v="shopee"/>
    <x v="0"/>
  </r>
  <r>
    <n v="295"/>
    <x v="23"/>
    <x v="5"/>
    <n v="25"/>
    <n v="50"/>
    <n v="25"/>
    <x v="0"/>
    <s v="shopee"/>
    <x v="0"/>
  </r>
  <r>
    <n v="61"/>
    <x v="24"/>
    <x v="0"/>
    <n v="10"/>
    <n v="20"/>
    <n v="10"/>
    <x v="0"/>
    <s v="shopee"/>
    <x v="0"/>
  </r>
  <r>
    <n v="762"/>
    <x v="25"/>
    <x v="5"/>
    <n v="10"/>
    <n v="18.57"/>
    <n v="8.57"/>
    <x v="0"/>
    <s v="shopee"/>
    <x v="0"/>
  </r>
  <r>
    <n v="296"/>
    <x v="26"/>
    <x v="8"/>
    <n v="6"/>
    <n v="36.03"/>
    <n v="30.03"/>
    <x v="0"/>
    <s v="shopee"/>
    <x v="0"/>
  </r>
  <r>
    <n v="263"/>
    <x v="26"/>
    <x v="5"/>
    <n v="2"/>
    <n v="2"/>
    <n v="7.4"/>
    <x v="0"/>
    <s v="shopee"/>
    <x v="0"/>
  </r>
  <r>
    <n v="909"/>
    <x v="27"/>
    <x v="4"/>
    <n v="16"/>
    <n v="23.033799999999999"/>
    <n v="7.0337999999999994"/>
    <x v="0"/>
    <s v="shopee"/>
    <x v="0"/>
  </r>
  <r>
    <n v="510"/>
    <x v="27"/>
    <x v="5"/>
    <n v="7"/>
    <n v="10.119999999999999"/>
    <n v="3.1199999999999992"/>
    <x v="0"/>
    <s v="shopee"/>
    <x v="0"/>
  </r>
  <r>
    <n v="297"/>
    <x v="28"/>
    <x v="5"/>
    <n v="8"/>
    <n v="18.75"/>
    <n v="10.75"/>
    <x v="0"/>
    <s v="shopee"/>
    <x v="0"/>
  </r>
  <r>
    <n v="686"/>
    <x v="29"/>
    <x v="1"/>
    <n v="1.6"/>
    <n v="19.03"/>
    <n v="6.23"/>
    <x v="0"/>
    <s v="shopee"/>
    <x v="0"/>
  </r>
  <r>
    <n v="298"/>
    <x v="29"/>
    <x v="2"/>
    <n v="7"/>
    <n v="18.07"/>
    <n v="11.07"/>
    <x v="0"/>
    <s v="shopee"/>
    <x v="0"/>
  </r>
  <r>
    <n v="763"/>
    <x v="29"/>
    <x v="5"/>
    <n v="1.5"/>
    <n v="11.91"/>
    <n v="10.41"/>
    <x v="0"/>
    <s v="shopee"/>
    <x v="0"/>
  </r>
  <r>
    <n v="910"/>
    <x v="30"/>
    <x v="5"/>
    <n v="7"/>
    <n v="12.3"/>
    <n v="5.3000000000000007"/>
    <x v="0"/>
    <s v="shopee"/>
    <x v="0"/>
  </r>
  <r>
    <n v="129"/>
    <x v="31"/>
    <x v="6"/>
    <n v="10"/>
    <n v="26.04"/>
    <n v="16.04"/>
    <x v="0"/>
    <s v="shopee"/>
    <x v="0"/>
  </r>
  <r>
    <n v="262"/>
    <x v="32"/>
    <x v="7"/>
    <n v="9"/>
    <n v="81"/>
    <n v="47.949999999999989"/>
    <x v="0"/>
    <s v="shopee"/>
    <x v="0"/>
  </r>
  <r>
    <n v="135"/>
    <x v="32"/>
    <x v="5"/>
    <n v="14"/>
    <n v="24"/>
    <n v="10"/>
    <x v="0"/>
    <s v="shopee"/>
    <x v="0"/>
  </r>
  <r>
    <n v="764"/>
    <x v="32"/>
    <x v="5"/>
    <n v="14"/>
    <n v="24.04"/>
    <n v="10.039999999999999"/>
    <x v="0"/>
    <s v="shopee"/>
    <x v="0"/>
  </r>
  <r>
    <n v="109"/>
    <x v="33"/>
    <x v="20"/>
    <n v="108"/>
    <n v="329.42"/>
    <n v="221.42000000000002"/>
    <x v="0"/>
    <s v="shopee"/>
    <x v="0"/>
  </r>
  <r>
    <n v="299"/>
    <x v="33"/>
    <x v="5"/>
    <n v="9"/>
    <n v="17.760000000000002"/>
    <n v="8.7600000000000016"/>
    <x v="0"/>
    <s v="shopee"/>
    <x v="0"/>
  </r>
  <r>
    <n v="511"/>
    <x v="33"/>
    <x v="5"/>
    <n v="9"/>
    <n v="19.510000000000002"/>
    <n v="10.510000000000002"/>
    <x v="0"/>
    <s v="shopee"/>
    <x v="0"/>
  </r>
  <r>
    <n v="704"/>
    <x v="34"/>
    <x v="4"/>
    <n v="7"/>
    <n v="39.93"/>
    <n v="25.93"/>
    <x v="0"/>
    <s v="shopee"/>
    <x v="0"/>
  </r>
  <r>
    <n v="827"/>
    <x v="35"/>
    <x v="5"/>
    <n v="30"/>
    <n v="51.68"/>
    <n v="21.68"/>
    <x v="0"/>
    <s v="shopee"/>
    <x v="0"/>
  </r>
  <r>
    <n v="765"/>
    <x v="36"/>
    <x v="4"/>
    <n v="76"/>
    <n v="97.94"/>
    <n v="21.939999999999998"/>
    <x v="0"/>
    <s v="shopee"/>
    <x v="0"/>
  </r>
  <r>
    <n v="512"/>
    <x v="37"/>
    <x v="5"/>
    <n v="8"/>
    <n v="13.99"/>
    <n v="5.99"/>
    <x v="0"/>
    <s v="shopee"/>
    <x v="0"/>
  </r>
  <r>
    <n v="705"/>
    <x v="38"/>
    <x v="5"/>
    <n v="18"/>
    <n v="45.11"/>
    <n v="27.11"/>
    <x v="0"/>
    <s v="shopee"/>
    <x v="0"/>
  </r>
  <r>
    <n v="766"/>
    <x v="38"/>
    <x v="5"/>
    <n v="19"/>
    <n v="51.5"/>
    <n v="32.5"/>
    <x v="0"/>
    <s v="shopee"/>
    <x v="0"/>
  </r>
  <r>
    <n v="828"/>
    <x v="39"/>
    <x v="14"/>
    <n v="18"/>
    <n v="38.01"/>
    <n v="20.009999999999998"/>
    <x v="0"/>
    <s v="shopee"/>
    <x v="0"/>
  </r>
  <r>
    <n v="911"/>
    <x v="39"/>
    <x v="5"/>
    <n v="3"/>
    <n v="4.8133999999999997"/>
    <n v="1.8133999999999997"/>
    <x v="0"/>
    <s v="shopee"/>
    <x v="0"/>
  </r>
  <r>
    <n v="829"/>
    <x v="40"/>
    <x v="5"/>
    <n v="3"/>
    <n v="10.63"/>
    <n v="7.6300000000000008"/>
    <x v="0"/>
    <s v="shopee"/>
    <x v="0"/>
  </r>
  <r>
    <n v="586"/>
    <x v="1"/>
    <x v="0"/>
    <n v="28"/>
    <n v="38.46"/>
    <n v="10.46"/>
    <x v="0"/>
    <s v="bsb"/>
    <x v="0"/>
  </r>
  <r>
    <n v="433"/>
    <x v="41"/>
    <x v="0"/>
    <n v="14"/>
    <n v="20"/>
    <n v="6"/>
    <x v="0"/>
    <s v="bsb"/>
    <x v="0"/>
  </r>
  <r>
    <n v="341"/>
    <x v="4"/>
    <x v="0"/>
    <n v="2"/>
    <n v="15.01"/>
    <n v="13.01"/>
    <x v="0"/>
    <s v="bsb"/>
    <x v="0"/>
  </r>
  <r>
    <n v="587"/>
    <x v="4"/>
    <x v="0"/>
    <n v="9"/>
    <n v="11.55"/>
    <n v="2.5500000000000007"/>
    <x v="0"/>
    <s v="bsb"/>
    <x v="0"/>
  </r>
  <r>
    <n v="286"/>
    <x v="42"/>
    <x v="0"/>
    <n v="16"/>
    <n v="30"/>
    <n v="14"/>
    <x v="0"/>
    <s v="bsb"/>
    <x v="0"/>
  </r>
  <r>
    <n v="288"/>
    <x v="42"/>
    <x v="0"/>
    <n v="16"/>
    <n v="35"/>
    <n v="19"/>
    <x v="0"/>
    <s v="bsb"/>
    <x v="0"/>
  </r>
  <r>
    <n v="554"/>
    <x v="42"/>
    <x v="0"/>
    <n v="18"/>
    <n v="35"/>
    <n v="17"/>
    <x v="0"/>
    <s v="bsb"/>
    <x v="0"/>
  </r>
  <r>
    <n v="573"/>
    <x v="42"/>
    <x v="0"/>
    <n v="16"/>
    <n v="30"/>
    <n v="14"/>
    <x v="0"/>
    <s v="bsb"/>
    <x v="0"/>
  </r>
  <r>
    <n v="574"/>
    <x v="42"/>
    <x v="0"/>
    <n v="16"/>
    <n v="30"/>
    <n v="14"/>
    <x v="0"/>
    <s v="bsb"/>
    <x v="0"/>
  </r>
  <r>
    <n v="565"/>
    <x v="43"/>
    <x v="0"/>
    <n v="2"/>
    <n v="20"/>
    <n v="18"/>
    <x v="0"/>
    <s v="bsb"/>
    <x v="0"/>
  </r>
  <r>
    <n v="638"/>
    <x v="44"/>
    <x v="0"/>
    <n v="8"/>
    <n v="15"/>
    <n v="7"/>
    <x v="0"/>
    <s v="bsb"/>
    <x v="0"/>
  </r>
  <r>
    <n v="651"/>
    <x v="44"/>
    <x v="0"/>
    <n v="2"/>
    <n v="20"/>
    <n v="18"/>
    <x v="0"/>
    <s v="bsb"/>
    <x v="0"/>
  </r>
  <r>
    <n v="334"/>
    <x v="45"/>
    <x v="0"/>
    <n v="16"/>
    <n v="30"/>
    <n v="14"/>
    <x v="0"/>
    <s v="bsb"/>
    <x v="0"/>
  </r>
  <r>
    <n v="588"/>
    <x v="46"/>
    <x v="0"/>
    <n v="0"/>
    <n v="19.989999999999998"/>
    <n v="19.989999999999998"/>
    <x v="0"/>
    <s v="bsb"/>
    <x v="0"/>
  </r>
  <r>
    <n v="434"/>
    <x v="47"/>
    <x v="0"/>
    <n v="54"/>
    <n v="120.01"/>
    <n v="66.010000000000005"/>
    <x v="0"/>
    <s v="bsb"/>
    <x v="0"/>
  </r>
  <r>
    <n v="342"/>
    <x v="9"/>
    <x v="0"/>
    <n v="18"/>
    <n v="30.59"/>
    <n v="12.59"/>
    <x v="0"/>
    <s v="bsb"/>
    <x v="0"/>
  </r>
  <r>
    <n v="423"/>
    <x v="48"/>
    <x v="0"/>
    <n v="18"/>
    <n v="40"/>
    <n v="22"/>
    <x v="0"/>
    <s v="bsb"/>
    <x v="0"/>
  </r>
  <r>
    <n v="194"/>
    <x v="49"/>
    <x v="0"/>
    <n v="9"/>
    <n v="30"/>
    <n v="21"/>
    <x v="0"/>
    <s v="bsb"/>
    <x v="0"/>
  </r>
  <r>
    <n v="435"/>
    <x v="10"/>
    <x v="0"/>
    <n v="10"/>
    <n v="26.25"/>
    <n v="16.25"/>
    <x v="0"/>
    <s v="bsb"/>
    <x v="0"/>
  </r>
  <r>
    <n v="275"/>
    <x v="50"/>
    <x v="0"/>
    <n v="9"/>
    <n v="20"/>
    <n v="11"/>
    <x v="0"/>
    <s v="bsb"/>
    <x v="0"/>
  </r>
  <r>
    <n v="287"/>
    <x v="50"/>
    <x v="0"/>
    <n v="9"/>
    <n v="20"/>
    <n v="11"/>
    <x v="0"/>
    <s v="bsb"/>
    <x v="0"/>
  </r>
  <r>
    <n v="343"/>
    <x v="11"/>
    <x v="0"/>
    <n v="10"/>
    <n v="28.41"/>
    <n v="18.41"/>
    <x v="0"/>
    <s v="bsb"/>
    <x v="0"/>
  </r>
  <r>
    <n v="589"/>
    <x v="11"/>
    <x v="0"/>
    <n v="20"/>
    <n v="26.75"/>
    <n v="6.75"/>
    <x v="0"/>
    <s v="bsb"/>
    <x v="0"/>
  </r>
  <r>
    <n v="652"/>
    <x v="51"/>
    <x v="0"/>
    <n v="20"/>
    <n v="40"/>
    <n v="20"/>
    <x v="0"/>
    <s v="bsb"/>
    <x v="0"/>
  </r>
  <r>
    <n v="344"/>
    <x v="12"/>
    <x v="0"/>
    <n v="30"/>
    <n v="59.99"/>
    <n v="29.990000000000002"/>
    <x v="0"/>
    <s v="bsb"/>
    <x v="0"/>
  </r>
  <r>
    <n v="436"/>
    <x v="12"/>
    <x v="0"/>
    <n v="30"/>
    <n v="66.069999999999993"/>
    <n v="36.069999999999993"/>
    <x v="0"/>
    <s v="bsb"/>
    <x v="0"/>
  </r>
  <r>
    <n v="590"/>
    <x v="12"/>
    <x v="0"/>
    <n v="180"/>
    <n v="305.25"/>
    <n v="125.25"/>
    <x v="0"/>
    <s v="bsb"/>
    <x v="0"/>
  </r>
  <r>
    <n v="662"/>
    <x v="52"/>
    <x v="0"/>
    <n v="16"/>
    <n v="50"/>
    <n v="34"/>
    <x v="0"/>
    <s v="bsb"/>
    <x v="0"/>
  </r>
  <r>
    <n v="796"/>
    <x v="53"/>
    <x v="0"/>
    <n v="35"/>
    <n v="40"/>
    <n v="5"/>
    <x v="0"/>
    <s v="bsb"/>
    <x v="0"/>
  </r>
  <r>
    <n v="1"/>
    <x v="54"/>
    <x v="0"/>
    <n v="30"/>
    <n v="40"/>
    <n v="10"/>
    <x v="0"/>
    <s v="bsb"/>
    <x v="0"/>
  </r>
  <r>
    <n v="422"/>
    <x v="55"/>
    <x v="0"/>
    <n v="30"/>
    <n v="50"/>
    <n v="20"/>
    <x v="0"/>
    <s v="bsb"/>
    <x v="0"/>
  </r>
  <r>
    <n v="2"/>
    <x v="56"/>
    <x v="0"/>
    <n v="9"/>
    <n v="15"/>
    <n v="6"/>
    <x v="0"/>
    <s v="bsb"/>
    <x v="0"/>
  </r>
  <r>
    <n v="3"/>
    <x v="57"/>
    <x v="0"/>
    <n v="25"/>
    <n v="50"/>
    <n v="25"/>
    <x v="0"/>
    <s v="bsb"/>
    <x v="0"/>
  </r>
  <r>
    <n v="437"/>
    <x v="16"/>
    <x v="0"/>
    <n v="5"/>
    <n v="10.95"/>
    <n v="5.9499999999999993"/>
    <x v="0"/>
    <s v="bsb"/>
    <x v="0"/>
  </r>
  <r>
    <n v="345"/>
    <x v="17"/>
    <x v="0"/>
    <n v="84"/>
    <n v="226.54"/>
    <n v="142.54"/>
    <x v="0"/>
    <s v="bsb"/>
    <x v="0"/>
  </r>
  <r>
    <n v="438"/>
    <x v="17"/>
    <x v="0"/>
    <n v="100.10000000000001"/>
    <n v="201.82"/>
    <n v="101.71999999999998"/>
    <x v="0"/>
    <s v="bsb"/>
    <x v="0"/>
  </r>
  <r>
    <n v="591"/>
    <x v="17"/>
    <x v="0"/>
    <n v="19.2"/>
    <n v="40.42"/>
    <n v="21.220000000000002"/>
    <x v="0"/>
    <s v="bsb"/>
    <x v="0"/>
  </r>
  <r>
    <n v="346"/>
    <x v="18"/>
    <x v="0"/>
    <n v="2"/>
    <n v="7.8"/>
    <n v="5.8"/>
    <x v="0"/>
    <s v="bsb"/>
    <x v="0"/>
  </r>
  <r>
    <n v="439"/>
    <x v="18"/>
    <x v="0"/>
    <n v="7"/>
    <n v="14.96"/>
    <n v="7.9600000000000009"/>
    <x v="0"/>
    <s v="bsb"/>
    <x v="0"/>
  </r>
  <r>
    <n v="592"/>
    <x v="18"/>
    <x v="0"/>
    <n v="1.4"/>
    <n v="4.4800000000000004"/>
    <n v="3.0800000000000005"/>
    <x v="0"/>
    <s v="bsb"/>
    <x v="0"/>
  </r>
  <r>
    <n v="347"/>
    <x v="19"/>
    <x v="0"/>
    <n v="25"/>
    <n v="58.27"/>
    <n v="33.270000000000003"/>
    <x v="0"/>
    <s v="bsb"/>
    <x v="0"/>
  </r>
  <r>
    <n v="440"/>
    <x v="19"/>
    <x v="0"/>
    <n v="7"/>
    <n v="20.350000000000001"/>
    <n v="13.350000000000001"/>
    <x v="0"/>
    <s v="bsb"/>
    <x v="0"/>
  </r>
  <r>
    <n v="593"/>
    <x v="19"/>
    <x v="0"/>
    <n v="15"/>
    <n v="22.84"/>
    <n v="7.84"/>
    <x v="0"/>
    <s v="bsb"/>
    <x v="0"/>
  </r>
  <r>
    <n v="441"/>
    <x v="58"/>
    <x v="0"/>
    <n v="40"/>
    <n v="80"/>
    <n v="40"/>
    <x v="0"/>
    <s v="bsb"/>
    <x v="0"/>
  </r>
  <r>
    <n v="4"/>
    <x v="59"/>
    <x v="0"/>
    <n v="12"/>
    <n v="20"/>
    <n v="8"/>
    <x v="0"/>
    <s v="bsb"/>
    <x v="0"/>
  </r>
  <r>
    <n v="680"/>
    <x v="60"/>
    <x v="0"/>
    <n v="17"/>
    <n v="30"/>
    <n v="13"/>
    <x v="0"/>
    <s v="bsb"/>
    <x v="0"/>
  </r>
  <r>
    <n v="103"/>
    <x v="61"/>
    <x v="0"/>
    <n v="28"/>
    <n v="55"/>
    <n v="27"/>
    <x v="0"/>
    <s v="bsb"/>
    <x v="0"/>
  </r>
  <r>
    <n v="648"/>
    <x v="62"/>
    <x v="0"/>
    <n v="18"/>
    <n v="35"/>
    <n v="17"/>
    <x v="0"/>
    <s v="bsb"/>
    <x v="0"/>
  </r>
  <r>
    <n v="5"/>
    <x v="63"/>
    <x v="0"/>
    <n v="10"/>
    <n v="40"/>
    <n v="30"/>
    <x v="0"/>
    <s v="bsb"/>
    <x v="0"/>
  </r>
  <r>
    <n v="6"/>
    <x v="63"/>
    <x v="0"/>
    <n v="10"/>
    <n v="25"/>
    <n v="15"/>
    <x v="0"/>
    <s v="bsb"/>
    <x v="0"/>
  </r>
  <r>
    <n v="7"/>
    <x v="64"/>
    <x v="0"/>
    <n v="22"/>
    <n v="45"/>
    <n v="23"/>
    <x v="0"/>
    <s v="bsb"/>
    <x v="0"/>
  </r>
  <r>
    <n v="273"/>
    <x v="65"/>
    <x v="0"/>
    <n v="10"/>
    <n v="20"/>
    <n v="10"/>
    <x v="0"/>
    <s v="bsb"/>
    <x v="0"/>
  </r>
  <r>
    <n v="283"/>
    <x v="65"/>
    <x v="0"/>
    <n v="10"/>
    <n v="30"/>
    <n v="20"/>
    <x v="0"/>
    <s v="bsb"/>
    <x v="0"/>
  </r>
  <r>
    <n v="207"/>
    <x v="66"/>
    <x v="0"/>
    <n v="10"/>
    <n v="25"/>
    <n v="15"/>
    <x v="0"/>
    <s v="bsb"/>
    <x v="0"/>
  </r>
  <r>
    <n v="8"/>
    <x v="67"/>
    <x v="0"/>
    <n v="7"/>
    <n v="15"/>
    <n v="8"/>
    <x v="0"/>
    <s v="bsb"/>
    <x v="0"/>
  </r>
  <r>
    <n v="639"/>
    <x v="68"/>
    <x v="0"/>
    <n v="3"/>
    <n v="10"/>
    <n v="7"/>
    <x v="0"/>
    <s v="bsb"/>
    <x v="0"/>
  </r>
  <r>
    <n v="483"/>
    <x v="69"/>
    <x v="0"/>
    <n v="6.5"/>
    <n v="10"/>
    <n v="3.5"/>
    <x v="0"/>
    <s v="bsb"/>
    <x v="0"/>
  </r>
  <r>
    <n v="594"/>
    <x v="70"/>
    <x v="0"/>
    <n v="13"/>
    <n v="23.43"/>
    <n v="10.43"/>
    <x v="0"/>
    <s v="bsb"/>
    <x v="0"/>
  </r>
  <r>
    <n v="9"/>
    <x v="71"/>
    <x v="0"/>
    <n v="35"/>
    <n v="60"/>
    <n v="25"/>
    <x v="0"/>
    <s v="bsb"/>
    <x v="0"/>
  </r>
  <r>
    <n v="101"/>
    <x v="72"/>
    <x v="0"/>
    <n v="9"/>
    <n v="20"/>
    <n v="11"/>
    <x v="0"/>
    <s v="bsb"/>
    <x v="0"/>
  </r>
  <r>
    <n v="10"/>
    <x v="73"/>
    <x v="0"/>
    <n v="8"/>
    <n v="20"/>
    <n v="12"/>
    <x v="0"/>
    <s v="bsb"/>
    <x v="0"/>
  </r>
  <r>
    <n v="740"/>
    <x v="74"/>
    <x v="0"/>
    <n v="2"/>
    <n v="15"/>
    <n v="13"/>
    <x v="0"/>
    <s v="bsb"/>
    <x v="0"/>
  </r>
  <r>
    <n v="658"/>
    <x v="75"/>
    <x v="0"/>
    <n v="17"/>
    <n v="40"/>
    <n v="23"/>
    <x v="0"/>
    <s v="bsb"/>
    <x v="0"/>
  </r>
  <r>
    <n v="348"/>
    <x v="29"/>
    <x v="0"/>
    <n v="78.400000000000006"/>
    <n v="116.65"/>
    <n v="38.25"/>
    <x v="0"/>
    <s v="bsb"/>
    <x v="0"/>
  </r>
  <r>
    <n v="442"/>
    <x v="29"/>
    <x v="0"/>
    <n v="72"/>
    <n v="127.73"/>
    <n v="55.730000000000004"/>
    <x v="0"/>
    <s v="bsb"/>
    <x v="0"/>
  </r>
  <r>
    <n v="595"/>
    <x v="29"/>
    <x v="0"/>
    <n v="4.8000000000000007"/>
    <n v="8.15"/>
    <n v="3.3499999999999996"/>
    <x v="0"/>
    <s v="bsb"/>
    <x v="0"/>
  </r>
  <r>
    <n v="62"/>
    <x v="40"/>
    <x v="0"/>
    <n v="4"/>
    <n v="6.4"/>
    <n v="2.4000000000000004"/>
    <x v="0"/>
    <s v="shopee"/>
    <x v="0"/>
  </r>
  <r>
    <n v="261"/>
    <x v="76"/>
    <x v="6"/>
    <n v="2"/>
    <n v="10"/>
    <n v="30"/>
    <x v="0"/>
    <s v="shopee"/>
    <x v="0"/>
  </r>
  <r>
    <n v="300"/>
    <x v="76"/>
    <x v="4"/>
    <n v="4"/>
    <n v="17.899999999999999"/>
    <n v="13.899999999999999"/>
    <x v="0"/>
    <s v="shopee"/>
    <x v="0"/>
  </r>
  <r>
    <n v="912"/>
    <x v="77"/>
    <x v="5"/>
    <n v="15"/>
    <n v="37.269000000000005"/>
    <n v="22.269000000000005"/>
    <x v="0"/>
    <s v="shopee"/>
    <x v="0"/>
  </r>
  <r>
    <n v="301"/>
    <x v="78"/>
    <x v="3"/>
    <n v="24"/>
    <n v="51.18"/>
    <n v="27.18"/>
    <x v="0"/>
    <s v="shopee"/>
    <x v="0"/>
  </r>
  <r>
    <n v="260"/>
    <x v="79"/>
    <x v="21"/>
    <n v="6"/>
    <n v="240"/>
    <n v="154.57"/>
    <x v="0"/>
    <s v="shopee"/>
    <x v="0"/>
  </r>
  <r>
    <n v="913"/>
    <x v="80"/>
    <x v="5"/>
    <n v="90"/>
    <n v="123"/>
    <n v="33"/>
    <x v="0"/>
    <s v="shopee"/>
    <x v="0"/>
  </r>
  <r>
    <n v="50"/>
    <x v="81"/>
    <x v="0"/>
    <n v="120"/>
    <n v="168.9"/>
    <n v="48.900000000000006"/>
    <x v="0"/>
    <s v="shopee"/>
    <x v="0"/>
  </r>
  <r>
    <n v="123"/>
    <x v="82"/>
    <x v="5"/>
    <n v="25"/>
    <n v="50"/>
    <n v="25"/>
    <x v="0"/>
    <s v="shopee"/>
    <x v="0"/>
  </r>
  <r>
    <n v="63"/>
    <x v="82"/>
    <x v="0"/>
    <n v="28"/>
    <n v="40.61"/>
    <n v="12.61"/>
    <x v="0"/>
    <s v="shopee"/>
    <x v="0"/>
  </r>
  <r>
    <n v="715"/>
    <x v="83"/>
    <x v="5"/>
    <n v="260"/>
    <n v="480.17"/>
    <n v="220.17000000000002"/>
    <x v="0"/>
    <s v="shopee"/>
    <x v="0"/>
  </r>
  <r>
    <n v="302"/>
    <x v="84"/>
    <x v="22"/>
    <n v="32"/>
    <n v="295.67"/>
    <n v="263.67"/>
    <x v="0"/>
    <s v="shopee"/>
    <x v="0"/>
  </r>
  <r>
    <n v="259"/>
    <x v="85"/>
    <x v="23"/>
    <n v="2"/>
    <n v="96"/>
    <n v="388.15"/>
    <x v="0"/>
    <s v="shopee"/>
    <x v="0"/>
  </r>
  <r>
    <n v="110"/>
    <x v="85"/>
    <x v="24"/>
    <n v="64"/>
    <n v="246.99"/>
    <n v="182.99"/>
    <x v="0"/>
    <s v="shopee"/>
    <x v="0"/>
  </r>
  <r>
    <n v="541"/>
    <x v="85"/>
    <x v="25"/>
    <n v="40"/>
    <n v="311.07"/>
    <n v="271.07"/>
    <x v="0"/>
    <s v="shopee"/>
    <x v="0"/>
  </r>
  <r>
    <n v="914"/>
    <x v="86"/>
    <x v="5"/>
    <n v="1"/>
    <n v="5.1331999999999995"/>
    <n v="4.1331999999999995"/>
    <x v="0"/>
    <s v="shopee"/>
    <x v="0"/>
  </r>
  <r>
    <n v="513"/>
    <x v="87"/>
    <x v="5"/>
    <n v="5"/>
    <n v="17.170000000000002"/>
    <n v="12.170000000000002"/>
    <x v="0"/>
    <s v="shopee"/>
    <x v="0"/>
  </r>
  <r>
    <n v="258"/>
    <x v="88"/>
    <x v="5"/>
    <n v="4"/>
    <n v="4"/>
    <n v="6.7200000000000006"/>
    <x v="0"/>
    <s v="shopee"/>
    <x v="0"/>
  </r>
  <r>
    <n v="64"/>
    <x v="88"/>
    <x v="0"/>
    <n v="3"/>
    <n v="12"/>
    <n v="9"/>
    <x v="0"/>
    <s v="shopee"/>
    <x v="0"/>
  </r>
  <r>
    <n v="257"/>
    <x v="89"/>
    <x v="5"/>
    <n v="45"/>
    <n v="45"/>
    <n v="44.650000000000006"/>
    <x v="0"/>
    <s v="shopee"/>
    <x v="0"/>
  </r>
  <r>
    <n v="142"/>
    <x v="90"/>
    <x v="5"/>
    <n v="6"/>
    <n v="10"/>
    <n v="4"/>
    <x v="0"/>
    <s v="shopee"/>
    <x v="0"/>
  </r>
  <r>
    <n v="303"/>
    <x v="90"/>
    <x v="5"/>
    <n v="6"/>
    <n v="14.41"/>
    <n v="8.41"/>
    <x v="0"/>
    <s v="shopee"/>
    <x v="0"/>
  </r>
  <r>
    <n v="514"/>
    <x v="90"/>
    <x v="5"/>
    <n v="8"/>
    <n v="11.11"/>
    <n v="3.1099999999999994"/>
    <x v="0"/>
    <s v="shopee"/>
    <x v="0"/>
  </r>
  <r>
    <n v="256"/>
    <x v="91"/>
    <x v="5"/>
    <n v="6"/>
    <n v="6"/>
    <n v="2"/>
    <x v="0"/>
    <s v="shopee"/>
    <x v="0"/>
  </r>
  <r>
    <n v="49"/>
    <x v="92"/>
    <x v="0"/>
    <n v="42"/>
    <n v="62.8"/>
    <n v="20.799999999999997"/>
    <x v="0"/>
    <s v="shopee"/>
    <x v="0"/>
  </r>
  <r>
    <n v="830"/>
    <x v="93"/>
    <x v="4"/>
    <n v="12"/>
    <n v="46.18"/>
    <n v="34.18"/>
    <x v="0"/>
    <s v="shopee"/>
    <x v="0"/>
  </r>
  <r>
    <n v="767"/>
    <x v="94"/>
    <x v="5"/>
    <n v="6"/>
    <n v="8.5500000000000007"/>
    <n v="2.5500000000000007"/>
    <x v="0"/>
    <s v="shopee"/>
    <x v="0"/>
  </r>
  <r>
    <n v="831"/>
    <x v="95"/>
    <x v="1"/>
    <n v="48"/>
    <n v="80.22"/>
    <n v="32.22"/>
    <x v="0"/>
    <s v="shopee"/>
    <x v="0"/>
  </r>
  <r>
    <n v="304"/>
    <x v="96"/>
    <x v="5"/>
    <n v="6"/>
    <n v="14.01"/>
    <n v="8.01"/>
    <x v="0"/>
    <s v="shopee"/>
    <x v="0"/>
  </r>
  <r>
    <n v="515"/>
    <x v="96"/>
    <x v="5"/>
    <n v="5"/>
    <n v="15"/>
    <n v="10"/>
    <x v="0"/>
    <s v="shopee"/>
    <x v="0"/>
  </r>
  <r>
    <n v="768"/>
    <x v="96"/>
    <x v="5"/>
    <n v="6"/>
    <n v="13.98"/>
    <n v="7.98"/>
    <x v="0"/>
    <s v="shopee"/>
    <x v="0"/>
  </r>
  <r>
    <n v="700"/>
    <x v="97"/>
    <x v="3"/>
    <n v="7"/>
    <n v="50.15"/>
    <n v="22.15"/>
    <x v="0"/>
    <s v="shopee"/>
    <x v="0"/>
  </r>
  <r>
    <n v="769"/>
    <x v="98"/>
    <x v="5"/>
    <n v="1"/>
    <n v="1.86"/>
    <n v="0.8600000000000001"/>
    <x v="0"/>
    <s v="shopee"/>
    <x v="0"/>
  </r>
  <r>
    <n v="127"/>
    <x v="99"/>
    <x v="22"/>
    <n v="14.4"/>
    <n v="31.310000000000002"/>
    <n v="16.910000000000004"/>
    <x v="0"/>
    <s v="shopee"/>
    <x v="0"/>
  </r>
  <r>
    <n v="305"/>
    <x v="99"/>
    <x v="26"/>
    <n v="12.6"/>
    <n v="30.23"/>
    <n v="17.630000000000003"/>
    <x v="0"/>
    <s v="shopee"/>
    <x v="0"/>
  </r>
  <r>
    <n v="530"/>
    <x v="99"/>
    <x v="4"/>
    <n v="1.8"/>
    <n v="3.61"/>
    <n v="1.8099999999999998"/>
    <x v="0"/>
    <s v="shopee"/>
    <x v="0"/>
  </r>
  <r>
    <n v="583"/>
    <x v="100"/>
    <x v="0"/>
    <n v="6"/>
    <n v="12"/>
    <n v="6"/>
    <x v="0"/>
    <s v="bsb"/>
    <x v="0"/>
  </r>
  <r>
    <n v="564"/>
    <x v="101"/>
    <x v="0"/>
    <n v="12"/>
    <n v="20"/>
    <n v="8"/>
    <x v="0"/>
    <s v="bsb"/>
    <x v="0"/>
  </r>
  <r>
    <n v="349"/>
    <x v="102"/>
    <x v="0"/>
    <n v="7"/>
    <n v="15"/>
    <n v="8"/>
    <x v="0"/>
    <s v="bsb"/>
    <x v="0"/>
  </r>
  <r>
    <n v="350"/>
    <x v="32"/>
    <x v="0"/>
    <n v="14"/>
    <n v="24"/>
    <n v="10"/>
    <x v="0"/>
    <s v="bsb"/>
    <x v="0"/>
  </r>
  <r>
    <n v="596"/>
    <x v="32"/>
    <x v="0"/>
    <n v="28"/>
    <n v="54"/>
    <n v="26"/>
    <x v="0"/>
    <s v="bsb"/>
    <x v="0"/>
  </r>
  <r>
    <n v="220"/>
    <x v="103"/>
    <x v="0"/>
    <n v="0"/>
    <n v="100"/>
    <n v="100"/>
    <x v="0"/>
    <s v="bsb"/>
    <x v="0"/>
  </r>
  <r>
    <n v="884"/>
    <x v="104"/>
    <x v="0"/>
    <n v="0"/>
    <n v="40"/>
    <n v="40"/>
    <x v="0"/>
    <s v="bsb"/>
    <x v="0"/>
  </r>
  <r>
    <n v="885"/>
    <x v="105"/>
    <x v="0"/>
    <n v="40"/>
    <n v="80"/>
    <n v="40"/>
    <x v="0"/>
    <s v="bsb"/>
    <x v="0"/>
  </r>
  <r>
    <n v="548"/>
    <x v="106"/>
    <x v="0"/>
    <n v="100"/>
    <n v="110"/>
    <n v="10"/>
    <x v="0"/>
    <s v="bsb"/>
    <x v="0"/>
  </r>
  <r>
    <n v="443"/>
    <x v="33"/>
    <x v="0"/>
    <n v="9.99"/>
    <n v="20"/>
    <n v="10.01"/>
    <x v="0"/>
    <s v="bsb"/>
    <x v="0"/>
  </r>
  <r>
    <n v="444"/>
    <x v="107"/>
    <x v="0"/>
    <n v="10"/>
    <n v="59.41"/>
    <n v="49.41"/>
    <x v="0"/>
    <s v="bsb"/>
    <x v="0"/>
  </r>
  <r>
    <n v="597"/>
    <x v="34"/>
    <x v="0"/>
    <n v="8"/>
    <n v="20.88"/>
    <n v="12.879999999999999"/>
    <x v="0"/>
    <s v="bsb"/>
    <x v="0"/>
  </r>
  <r>
    <n v="196"/>
    <x v="108"/>
    <x v="0"/>
    <n v="13"/>
    <n v="30"/>
    <n v="17"/>
    <x v="0"/>
    <s v="bsb"/>
    <x v="0"/>
  </r>
  <r>
    <n v="598"/>
    <x v="109"/>
    <x v="0"/>
    <n v="4"/>
    <n v="12.96"/>
    <n v="8.9600000000000009"/>
    <x v="0"/>
    <s v="bsb"/>
    <x v="0"/>
  </r>
  <r>
    <n v="445"/>
    <x v="110"/>
    <x v="0"/>
    <n v="70"/>
    <n v="179.75"/>
    <n v="109.75"/>
    <x v="0"/>
    <s v="bsb"/>
    <x v="0"/>
  </r>
  <r>
    <n v="337"/>
    <x v="111"/>
    <x v="0"/>
    <n v="3"/>
    <n v="10"/>
    <n v="7"/>
    <x v="0"/>
    <s v="bsb"/>
    <x v="0"/>
  </r>
  <r>
    <n v="577"/>
    <x v="112"/>
    <x v="0"/>
    <n v="7.5"/>
    <n v="15"/>
    <n v="7.5"/>
    <x v="0"/>
    <s v="bsb"/>
    <x v="0"/>
  </r>
  <r>
    <n v="750"/>
    <x v="113"/>
    <x v="0"/>
    <n v="7.5"/>
    <n v="15"/>
    <n v="7.5"/>
    <x v="0"/>
    <s v="bsb"/>
    <x v="0"/>
  </r>
  <r>
    <n v="797"/>
    <x v="113"/>
    <x v="0"/>
    <n v="7.5"/>
    <n v="15"/>
    <n v="7.5"/>
    <x v="0"/>
    <s v="bsb"/>
    <x v="0"/>
  </r>
  <r>
    <n v="100"/>
    <x v="114"/>
    <x v="0"/>
    <n v="2.8"/>
    <n v="10"/>
    <n v="7.2"/>
    <x v="0"/>
    <s v="bsb"/>
    <x v="0"/>
  </r>
  <r>
    <n v="575"/>
    <x v="114"/>
    <x v="0"/>
    <n v="10"/>
    <n v="20"/>
    <n v="10"/>
    <x v="0"/>
    <s v="bsb"/>
    <x v="0"/>
  </r>
  <r>
    <n v="576"/>
    <x v="114"/>
    <x v="0"/>
    <n v="10"/>
    <n v="20"/>
    <n v="10"/>
    <x v="0"/>
    <s v="bsb"/>
    <x v="0"/>
  </r>
  <r>
    <n v="819"/>
    <x v="115"/>
    <x v="0"/>
    <n v="19"/>
    <n v="50"/>
    <n v="31"/>
    <x v="0"/>
    <s v="bsb"/>
    <x v="0"/>
  </r>
  <r>
    <n v="684"/>
    <x v="99"/>
    <x v="4"/>
    <n v="0.9"/>
    <n v="4.51"/>
    <n v="2.71"/>
    <x v="0"/>
    <s v="shopee"/>
    <x v="0"/>
  </r>
  <r>
    <n v="770"/>
    <x v="99"/>
    <x v="5"/>
    <n v="1"/>
    <n v="2.09"/>
    <n v="1.0899999999999999"/>
    <x v="0"/>
    <s v="shopee"/>
    <x v="0"/>
  </r>
  <r>
    <n v="832"/>
    <x v="99"/>
    <x v="5"/>
    <n v="0.9"/>
    <n v="1.99"/>
    <n v="1.0899999999999999"/>
    <x v="0"/>
    <s v="shopee"/>
    <x v="0"/>
  </r>
  <r>
    <n v="65"/>
    <x v="99"/>
    <x v="0"/>
    <n v="1"/>
    <n v="1.99"/>
    <n v="0.99"/>
    <x v="0"/>
    <s v="shopee"/>
    <x v="0"/>
  </r>
  <r>
    <n v="833"/>
    <x v="116"/>
    <x v="5"/>
    <n v="4"/>
    <n v="14.53"/>
    <n v="10.53"/>
    <x v="0"/>
    <s v="shopee"/>
    <x v="0"/>
  </r>
  <r>
    <n v="698"/>
    <x v="117"/>
    <x v="5"/>
    <n v="30"/>
    <n v="50.15"/>
    <n v="20.149999999999999"/>
    <x v="0"/>
    <s v="shopee"/>
    <x v="0"/>
  </r>
  <r>
    <n v="915"/>
    <x v="118"/>
    <x v="5"/>
    <n v="9"/>
    <n v="11.5456"/>
    <n v="2.5456000000000003"/>
    <x v="0"/>
    <s v="shopee"/>
    <x v="0"/>
  </r>
  <r>
    <n v="306"/>
    <x v="119"/>
    <x v="25"/>
    <n v="60"/>
    <n v="213.41"/>
    <n v="153.41"/>
    <x v="0"/>
    <s v="shopee"/>
    <x v="0"/>
  </r>
  <r>
    <n v="122"/>
    <x v="119"/>
    <x v="7"/>
    <n v="22.5"/>
    <n v="49.94"/>
    <n v="27.439999999999998"/>
    <x v="0"/>
    <s v="shopee"/>
    <x v="0"/>
  </r>
  <r>
    <n v="771"/>
    <x v="119"/>
    <x v="4"/>
    <n v="10"/>
    <n v="30.85"/>
    <n v="20.85"/>
    <x v="0"/>
    <s v="shopee"/>
    <x v="0"/>
  </r>
  <r>
    <n v="255"/>
    <x v="119"/>
    <x v="5"/>
    <n v="2.5"/>
    <n v="2.5"/>
    <n v="3.9699999999999998"/>
    <x v="0"/>
    <s v="shopee"/>
    <x v="0"/>
  </r>
  <r>
    <n v="689"/>
    <x v="119"/>
    <x v="5"/>
    <n v="5"/>
    <n v="10.87"/>
    <n v="5.8699999999999992"/>
    <x v="0"/>
    <s v="shopee"/>
    <x v="0"/>
  </r>
  <r>
    <n v="48"/>
    <x v="119"/>
    <x v="0"/>
    <n v="15"/>
    <n v="23.79"/>
    <n v="8.7899999999999991"/>
    <x v="0"/>
    <s v="shopee"/>
    <x v="0"/>
  </r>
  <r>
    <n v="916"/>
    <x v="120"/>
    <x v="5"/>
    <n v="58"/>
    <n v="131.8888"/>
    <n v="73.888800000000003"/>
    <x v="0"/>
    <s v="shopee"/>
    <x v="0"/>
  </r>
  <r>
    <n v="126"/>
    <x v="121"/>
    <x v="4"/>
    <n v="12"/>
    <n v="31.42"/>
    <n v="19.420000000000002"/>
    <x v="0"/>
    <s v="shopee"/>
    <x v="0"/>
  </r>
  <r>
    <n v="307"/>
    <x v="122"/>
    <x v="3"/>
    <n v="24"/>
    <n v="59.41"/>
    <n v="35.409999999999997"/>
    <x v="0"/>
    <s v="shopee"/>
    <x v="0"/>
  </r>
  <r>
    <n v="254"/>
    <x v="122"/>
    <x v="8"/>
    <n v="6"/>
    <n v="18"/>
    <n v="20.64"/>
    <x v="0"/>
    <s v="shopee"/>
    <x v="0"/>
  </r>
  <r>
    <n v="772"/>
    <x v="122"/>
    <x v="4"/>
    <n v="12"/>
    <n v="29.9"/>
    <n v="17.899999999999999"/>
    <x v="0"/>
    <s v="shopee"/>
    <x v="0"/>
  </r>
  <r>
    <n v="516"/>
    <x v="122"/>
    <x v="5"/>
    <n v="7"/>
    <n v="16.149999999999999"/>
    <n v="9.1499999999999986"/>
    <x v="0"/>
    <s v="shopee"/>
    <x v="0"/>
  </r>
  <r>
    <n v="834"/>
    <x v="122"/>
    <x v="5"/>
    <n v="6"/>
    <n v="16.25"/>
    <n v="10.25"/>
    <x v="0"/>
    <s v="shopee"/>
    <x v="0"/>
  </r>
  <r>
    <n v="917"/>
    <x v="123"/>
    <x v="4"/>
    <n v="3.6"/>
    <n v="10.914200000000001"/>
    <n v="7.3142000000000014"/>
    <x v="0"/>
    <s v="shopee"/>
    <x v="0"/>
  </r>
  <r>
    <n v="507"/>
    <x v="124"/>
    <x v="5"/>
    <n v="15"/>
    <n v="35"/>
    <n v="20"/>
    <x v="0"/>
    <s v="shopee"/>
    <x v="0"/>
  </r>
  <r>
    <n v="128"/>
    <x v="125"/>
    <x v="2"/>
    <n v="21"/>
    <n v="37.43"/>
    <n v="16.43"/>
    <x v="0"/>
    <s v="shopee"/>
    <x v="0"/>
  </r>
  <r>
    <n v="253"/>
    <x v="125"/>
    <x v="8"/>
    <n v="2"/>
    <n v="6"/>
    <n v="25.95"/>
    <x v="0"/>
    <s v="shopee"/>
    <x v="0"/>
  </r>
  <r>
    <n v="308"/>
    <x v="125"/>
    <x v="5"/>
    <n v="2"/>
    <n v="18.25"/>
    <n v="16.25"/>
    <x v="0"/>
    <s v="shopee"/>
    <x v="0"/>
  </r>
  <r>
    <n v="694"/>
    <x v="125"/>
    <x v="5"/>
    <n v="2"/>
    <n v="9.07"/>
    <n v="7.07"/>
    <x v="0"/>
    <s v="shopee"/>
    <x v="0"/>
  </r>
  <r>
    <n v="773"/>
    <x v="125"/>
    <x v="5"/>
    <n v="2"/>
    <n v="8.57"/>
    <n v="6.57"/>
    <x v="0"/>
    <s v="shopee"/>
    <x v="0"/>
  </r>
  <r>
    <n v="309"/>
    <x v="126"/>
    <x v="27"/>
    <n v="1147"/>
    <n v="2291.5699999999997"/>
    <n v="1144.5699999999997"/>
    <x v="0"/>
    <s v="shopee"/>
    <x v="0"/>
  </r>
  <r>
    <n v="835"/>
    <x v="126"/>
    <x v="11"/>
    <n v="722"/>
    <n v="1317.14"/>
    <n v="595.1400000000001"/>
    <x v="0"/>
    <s v="shopee"/>
    <x v="0"/>
  </r>
  <r>
    <n v="918"/>
    <x v="126"/>
    <x v="26"/>
    <n v="560"/>
    <n v="995.25040000000001"/>
    <n v="435.25040000000001"/>
    <x v="0"/>
    <s v="shopee"/>
    <x v="0"/>
  </r>
  <r>
    <n v="44"/>
    <x v="126"/>
    <x v="0"/>
    <n v="1225"/>
    <n v="2287.14"/>
    <n v="1062.1399999999999"/>
    <x v="0"/>
    <s v="shopee"/>
    <x v="0"/>
  </r>
  <r>
    <n v="774"/>
    <x v="127"/>
    <x v="28"/>
    <n v="2405"/>
    <n v="4505.99"/>
    <n v="2100.9899999999998"/>
    <x v="0"/>
    <s v="shopee"/>
    <x v="0"/>
  </r>
  <r>
    <n v="718"/>
    <x v="127"/>
    <x v="29"/>
    <n v="30"/>
    <n v="3519.1"/>
    <n v="1809.1"/>
    <x v="0"/>
    <s v="shopee"/>
    <x v="0"/>
  </r>
  <r>
    <n v="539"/>
    <x v="127"/>
    <x v="11"/>
    <n v="703"/>
    <n v="1509.54"/>
    <n v="806.54"/>
    <x v="0"/>
    <s v="shopee"/>
    <x v="0"/>
  </r>
  <r>
    <n v="719"/>
    <x v="127"/>
    <x v="5"/>
    <n v="37"/>
    <n v="62"/>
    <n v="25"/>
    <x v="0"/>
    <s v="shopee"/>
    <x v="0"/>
  </r>
  <r>
    <n v="105"/>
    <x v="128"/>
    <x v="30"/>
    <n v="1295"/>
    <n v="2319.84"/>
    <n v="1024.8400000000001"/>
    <x v="0"/>
    <s v="shopee"/>
    <x v="0"/>
  </r>
  <r>
    <n v="252"/>
    <x v="128"/>
    <x v="24"/>
    <n v="35"/>
    <n v="1120"/>
    <n v="1194.8400000000001"/>
    <x v="0"/>
    <s v="shopee"/>
    <x v="0"/>
  </r>
  <r>
    <n v="836"/>
    <x v="129"/>
    <x v="5"/>
    <n v="75"/>
    <n v="112.5"/>
    <n v="37.5"/>
    <x v="0"/>
    <s v="shopee"/>
    <x v="0"/>
  </r>
  <r>
    <n v="775"/>
    <x v="130"/>
    <x v="5"/>
    <n v="8"/>
    <n v="20.77"/>
    <n v="12.77"/>
    <x v="0"/>
    <s v="shopee"/>
    <x v="0"/>
  </r>
  <r>
    <n v="289"/>
    <x v="131"/>
    <x v="0"/>
    <n v="7"/>
    <n v="25"/>
    <n v="18"/>
    <x v="0"/>
    <s v="bsb"/>
    <x v="0"/>
  </r>
  <r>
    <n v="743"/>
    <x v="132"/>
    <x v="0"/>
    <n v="18"/>
    <n v="35"/>
    <n v="17"/>
    <x v="0"/>
    <s v="bsb"/>
    <x v="0"/>
  </r>
  <r>
    <n v="745"/>
    <x v="132"/>
    <x v="0"/>
    <n v="18"/>
    <n v="35"/>
    <n v="17"/>
    <x v="0"/>
    <s v="bsb"/>
    <x v="0"/>
  </r>
  <r>
    <n v="746"/>
    <x v="132"/>
    <x v="0"/>
    <n v="18"/>
    <n v="35"/>
    <n v="17"/>
    <x v="0"/>
    <s v="bsb"/>
    <x v="0"/>
  </r>
  <r>
    <n v="497"/>
    <x v="133"/>
    <x v="0"/>
    <n v="6.5"/>
    <n v="15"/>
    <n v="8.5"/>
    <x v="0"/>
    <s v="bsb"/>
    <x v="0"/>
  </r>
  <r>
    <n v="498"/>
    <x v="133"/>
    <x v="0"/>
    <n v="6.5"/>
    <n v="15"/>
    <n v="8.5"/>
    <x v="0"/>
    <s v="bsb"/>
    <x v="0"/>
  </r>
  <r>
    <n v="744"/>
    <x v="133"/>
    <x v="0"/>
    <n v="2"/>
    <n v="10"/>
    <n v="8"/>
    <x v="0"/>
    <s v="bsb"/>
    <x v="0"/>
  </r>
  <r>
    <n v="645"/>
    <x v="134"/>
    <x v="0"/>
    <n v="15"/>
    <n v="30"/>
    <n v="15"/>
    <x v="0"/>
    <s v="bsb"/>
    <x v="0"/>
  </r>
  <r>
    <n v="875"/>
    <x v="134"/>
    <x v="0"/>
    <n v="10"/>
    <n v="15"/>
    <n v="5"/>
    <x v="0"/>
    <s v="bsb"/>
    <x v="0"/>
  </r>
  <r>
    <n v="91"/>
    <x v="135"/>
    <x v="0"/>
    <n v="0"/>
    <n v="200"/>
    <n v="200"/>
    <x v="0"/>
    <s v="bsb"/>
    <x v="0"/>
  </r>
  <r>
    <n v="798"/>
    <x v="136"/>
    <x v="0"/>
    <n v="20"/>
    <n v="50"/>
    <n v="30"/>
    <x v="0"/>
    <s v="bsb"/>
    <x v="0"/>
  </r>
  <r>
    <n v="11"/>
    <x v="137"/>
    <x v="0"/>
    <n v="30"/>
    <n v="50"/>
    <n v="20"/>
    <x v="0"/>
    <s v="bsb"/>
    <x v="0"/>
  </r>
  <r>
    <n v="895"/>
    <x v="138"/>
    <x v="0"/>
    <n v="0"/>
    <n v="322"/>
    <n v="322"/>
    <x v="0"/>
    <s v="bsb"/>
    <x v="0"/>
  </r>
  <r>
    <n v="90"/>
    <x v="139"/>
    <x v="0"/>
    <n v="0"/>
    <n v="405"/>
    <n v="405"/>
    <x v="0"/>
    <s v="bsb"/>
    <x v="0"/>
  </r>
  <r>
    <n v="446"/>
    <x v="37"/>
    <x v="0"/>
    <n v="8"/>
    <n v="16.72"/>
    <n v="8.7199999999999989"/>
    <x v="0"/>
    <s v="bsb"/>
    <x v="0"/>
  </r>
  <r>
    <n v="563"/>
    <x v="140"/>
    <x v="0"/>
    <n v="19"/>
    <n v="30"/>
    <n v="11"/>
    <x v="0"/>
    <s v="bsb"/>
    <x v="0"/>
  </r>
  <r>
    <n v="599"/>
    <x v="38"/>
    <x v="0"/>
    <n v="38"/>
    <n v="83.9"/>
    <n v="45.900000000000006"/>
    <x v="0"/>
    <s v="bsb"/>
    <x v="0"/>
  </r>
  <r>
    <n v="190"/>
    <x v="141"/>
    <x v="0"/>
    <n v="13.5"/>
    <n v="20"/>
    <n v="6.5"/>
    <x v="0"/>
    <s v="bsb"/>
    <x v="0"/>
  </r>
  <r>
    <n v="12"/>
    <x v="142"/>
    <x v="0"/>
    <n v="26"/>
    <n v="50"/>
    <n v="24"/>
    <x v="0"/>
    <s v="bsb"/>
    <x v="0"/>
  </r>
  <r>
    <n v="229"/>
    <x v="142"/>
    <x v="0"/>
    <n v="22"/>
    <n v="50"/>
    <n v="28"/>
    <x v="0"/>
    <s v="bsb"/>
    <x v="0"/>
  </r>
  <r>
    <n v="503"/>
    <x v="143"/>
    <x v="0"/>
    <n v="20"/>
    <n v="40"/>
    <n v="20"/>
    <x v="0"/>
    <s v="bsb"/>
    <x v="0"/>
  </r>
  <r>
    <n v="665"/>
    <x v="144"/>
    <x v="0"/>
    <n v="60"/>
    <n v="100"/>
    <n v="40"/>
    <x v="0"/>
    <s v="bsb"/>
    <x v="0"/>
  </r>
  <r>
    <n v="672"/>
    <x v="144"/>
    <x v="0"/>
    <n v="60"/>
    <n v="130"/>
    <n v="70"/>
    <x v="0"/>
    <s v="bsb"/>
    <x v="0"/>
  </r>
  <r>
    <n v="673"/>
    <x v="144"/>
    <x v="0"/>
    <n v="60"/>
    <n v="140"/>
    <n v="80"/>
    <x v="0"/>
    <s v="bsb"/>
    <x v="0"/>
  </r>
  <r>
    <n v="731"/>
    <x v="144"/>
    <x v="0"/>
    <n v="60"/>
    <n v="150"/>
    <n v="90"/>
    <x v="0"/>
    <s v="bsb"/>
    <x v="0"/>
  </r>
  <r>
    <n v="732"/>
    <x v="144"/>
    <x v="0"/>
    <n v="60"/>
    <n v="150"/>
    <n v="90"/>
    <x v="0"/>
    <s v="bsb"/>
    <x v="0"/>
  </r>
  <r>
    <n v="734"/>
    <x v="144"/>
    <x v="0"/>
    <n v="60"/>
    <n v="120"/>
    <n v="60"/>
    <x v="0"/>
    <s v="bsb"/>
    <x v="0"/>
  </r>
  <r>
    <n v="736"/>
    <x v="144"/>
    <x v="0"/>
    <n v="63"/>
    <n v="120"/>
    <n v="57"/>
    <x v="0"/>
    <s v="bsb"/>
    <x v="0"/>
  </r>
  <r>
    <n v="739"/>
    <x v="144"/>
    <x v="0"/>
    <n v="60"/>
    <n v="120"/>
    <n v="60"/>
    <x v="0"/>
    <s v="bsb"/>
    <x v="0"/>
  </r>
  <r>
    <n v="600"/>
    <x v="40"/>
    <x v="0"/>
    <n v="5"/>
    <n v="7.48"/>
    <n v="2.4800000000000004"/>
    <x v="0"/>
    <s v="bsb"/>
    <x v="0"/>
  </r>
  <r>
    <n v="351"/>
    <x v="76"/>
    <x v="0"/>
    <n v="8"/>
    <n v="36.909999999999997"/>
    <n v="28.909999999999997"/>
    <x v="0"/>
    <s v="bsb"/>
    <x v="0"/>
  </r>
  <r>
    <n v="447"/>
    <x v="76"/>
    <x v="0"/>
    <n v="2"/>
    <n v="5.5"/>
    <n v="3.5"/>
    <x v="0"/>
    <s v="bsb"/>
    <x v="0"/>
  </r>
  <r>
    <n v="352"/>
    <x v="78"/>
    <x v="0"/>
    <n v="36"/>
    <n v="81.86"/>
    <n v="45.86"/>
    <x v="0"/>
    <s v="bsb"/>
    <x v="0"/>
  </r>
  <r>
    <n v="448"/>
    <x v="78"/>
    <x v="0"/>
    <n v="6"/>
    <n v="13.64"/>
    <n v="7.6400000000000006"/>
    <x v="0"/>
    <s v="bsb"/>
    <x v="0"/>
  </r>
  <r>
    <n v="799"/>
    <x v="145"/>
    <x v="0"/>
    <n v="10"/>
    <n v="20"/>
    <n v="10"/>
    <x v="0"/>
    <s v="bsb"/>
    <x v="0"/>
  </r>
  <r>
    <n v="817"/>
    <x v="145"/>
    <x v="0"/>
    <n v="10"/>
    <n v="20"/>
    <n v="10"/>
    <x v="0"/>
    <s v="bsb"/>
    <x v="0"/>
  </r>
  <r>
    <n v="449"/>
    <x v="81"/>
    <x v="0"/>
    <n v="50"/>
    <n v="90"/>
    <n v="40"/>
    <x v="0"/>
    <s v="bsb"/>
    <x v="0"/>
  </r>
  <r>
    <n v="601"/>
    <x v="81"/>
    <x v="0"/>
    <n v="20"/>
    <n v="51.68"/>
    <n v="31.68"/>
    <x v="0"/>
    <s v="bsb"/>
    <x v="0"/>
  </r>
  <r>
    <n v="891"/>
    <x v="146"/>
    <x v="0"/>
    <n v="110"/>
    <n v="150"/>
    <n v="40"/>
    <x v="0"/>
    <s v="bsb"/>
    <x v="0"/>
  </r>
  <r>
    <n v="892"/>
    <x v="146"/>
    <x v="0"/>
    <n v="110"/>
    <n v="150"/>
    <n v="40"/>
    <x v="0"/>
    <s v="bsb"/>
    <x v="0"/>
  </r>
  <r>
    <n v="338"/>
    <x v="147"/>
    <x v="0"/>
    <n v="30"/>
    <n v="50"/>
    <n v="20"/>
    <x v="0"/>
    <s v="bsb"/>
    <x v="0"/>
  </r>
  <r>
    <n v="284"/>
    <x v="148"/>
    <x v="0"/>
    <n v="30"/>
    <n v="60"/>
    <n v="30"/>
    <x v="0"/>
    <s v="bsb"/>
    <x v="0"/>
  </r>
  <r>
    <n v="424"/>
    <x v="148"/>
    <x v="0"/>
    <n v="30"/>
    <n v="60"/>
    <n v="30"/>
    <x v="0"/>
    <s v="bsb"/>
    <x v="0"/>
  </r>
  <r>
    <n v="425"/>
    <x v="148"/>
    <x v="0"/>
    <n v="30"/>
    <n v="60"/>
    <n v="30"/>
    <x v="0"/>
    <s v="bsb"/>
    <x v="0"/>
  </r>
  <r>
    <n v="426"/>
    <x v="148"/>
    <x v="0"/>
    <n v="30"/>
    <n v="60"/>
    <n v="30"/>
    <x v="0"/>
    <s v="bsb"/>
    <x v="0"/>
  </r>
  <r>
    <n v="427"/>
    <x v="148"/>
    <x v="0"/>
    <n v="30"/>
    <n v="60"/>
    <n v="30"/>
    <x v="0"/>
    <s v="bsb"/>
    <x v="0"/>
  </r>
  <r>
    <n v="193"/>
    <x v="149"/>
    <x v="0"/>
    <n v="25"/>
    <n v="50"/>
    <n v="25"/>
    <x v="0"/>
    <s v="bsb"/>
    <x v="0"/>
  </r>
  <r>
    <n v="225"/>
    <x v="149"/>
    <x v="0"/>
    <n v="30"/>
    <n v="50"/>
    <n v="20"/>
    <x v="0"/>
    <s v="bsb"/>
    <x v="0"/>
  </r>
  <r>
    <n v="553"/>
    <x v="150"/>
    <x v="0"/>
    <n v="10"/>
    <n v="20"/>
    <n v="10"/>
    <x v="0"/>
    <s v="bsb"/>
    <x v="0"/>
  </r>
  <r>
    <n v="198"/>
    <x v="151"/>
    <x v="0"/>
    <n v="12"/>
    <n v="50"/>
    <n v="38"/>
    <x v="0"/>
    <s v="bsb"/>
    <x v="0"/>
  </r>
  <r>
    <n v="450"/>
    <x v="84"/>
    <x v="0"/>
    <n v="28"/>
    <n v="255.23"/>
    <n v="227.23"/>
    <x v="0"/>
    <s v="bsb"/>
    <x v="0"/>
  </r>
  <r>
    <n v="353"/>
    <x v="85"/>
    <x v="0"/>
    <n v="18"/>
    <n v="111.83"/>
    <n v="93.83"/>
    <x v="0"/>
    <s v="bsb"/>
    <x v="0"/>
  </r>
  <r>
    <n v="877"/>
    <x v="152"/>
    <x v="0"/>
    <n v="9"/>
    <n v="30"/>
    <n v="21"/>
    <x v="0"/>
    <s v="bsb"/>
    <x v="0"/>
  </r>
  <r>
    <n v="13"/>
    <x v="153"/>
    <x v="0"/>
    <n v="14.9"/>
    <n v="30"/>
    <n v="15.1"/>
    <x v="0"/>
    <s v="bsb"/>
    <x v="0"/>
  </r>
  <r>
    <n v="800"/>
    <x v="154"/>
    <x v="0"/>
    <n v="3"/>
    <n v="10"/>
    <n v="7"/>
    <x v="0"/>
    <s v="bsb"/>
    <x v="0"/>
  </r>
  <r>
    <n v="354"/>
    <x v="87"/>
    <x v="0"/>
    <n v="7"/>
    <n v="39.15"/>
    <n v="32.15"/>
    <x v="0"/>
    <s v="bsb"/>
    <x v="0"/>
  </r>
  <r>
    <n v="602"/>
    <x v="88"/>
    <x v="0"/>
    <n v="4"/>
    <n v="13.5"/>
    <n v="9.5"/>
    <x v="0"/>
    <s v="bsb"/>
    <x v="0"/>
  </r>
  <r>
    <n v="603"/>
    <x v="89"/>
    <x v="0"/>
    <n v="40"/>
    <n v="69.989999999999995"/>
    <n v="29.989999999999995"/>
    <x v="0"/>
    <s v="bsb"/>
    <x v="0"/>
  </r>
  <r>
    <n v="502"/>
    <x v="155"/>
    <x v="0"/>
    <n v="37"/>
    <n v="80"/>
    <n v="43"/>
    <x v="0"/>
    <s v="bsb"/>
    <x v="0"/>
  </r>
  <r>
    <n v="504"/>
    <x v="155"/>
    <x v="0"/>
    <n v="37"/>
    <n v="60"/>
    <n v="23"/>
    <x v="0"/>
    <s v="bsb"/>
    <x v="0"/>
  </r>
  <r>
    <n v="560"/>
    <x v="155"/>
    <x v="0"/>
    <n v="28"/>
    <n v="65"/>
    <n v="37"/>
    <x v="0"/>
    <s v="bsb"/>
    <x v="0"/>
  </r>
  <r>
    <n v="561"/>
    <x v="155"/>
    <x v="0"/>
    <n v="28"/>
    <n v="50"/>
    <n v="22"/>
    <x v="0"/>
    <s v="bsb"/>
    <x v="0"/>
  </r>
  <r>
    <n v="562"/>
    <x v="155"/>
    <x v="0"/>
    <n v="28"/>
    <n v="50"/>
    <n v="22"/>
    <x v="0"/>
    <s v="bsb"/>
    <x v="0"/>
  </r>
  <r>
    <n v="566"/>
    <x v="155"/>
    <x v="0"/>
    <n v="28"/>
    <n v="50"/>
    <n v="22"/>
    <x v="0"/>
    <s v="bsb"/>
    <x v="0"/>
  </r>
  <r>
    <n v="567"/>
    <x v="155"/>
    <x v="0"/>
    <n v="28"/>
    <n v="50"/>
    <n v="22"/>
    <x v="0"/>
    <s v="bsb"/>
    <x v="0"/>
  </r>
  <r>
    <n v="568"/>
    <x v="155"/>
    <x v="0"/>
    <n v="28"/>
    <n v="65"/>
    <n v="37"/>
    <x v="0"/>
    <s v="bsb"/>
    <x v="0"/>
  </r>
  <r>
    <n v="278"/>
    <x v="156"/>
    <x v="0"/>
    <n v="30"/>
    <n v="60"/>
    <n v="30"/>
    <x v="0"/>
    <s v="bsb"/>
    <x v="0"/>
  </r>
  <r>
    <n v="102"/>
    <x v="157"/>
    <x v="0"/>
    <n v="26"/>
    <n v="50"/>
    <n v="24"/>
    <x v="0"/>
    <s v="bsb"/>
    <x v="0"/>
  </r>
  <r>
    <n v="451"/>
    <x v="158"/>
    <x v="0"/>
    <n v="15"/>
    <n v="28.56"/>
    <n v="13.559999999999999"/>
    <x v="0"/>
    <s v="bsb"/>
    <x v="0"/>
  </r>
  <r>
    <n v="634"/>
    <x v="159"/>
    <x v="0"/>
    <n v="3"/>
    <n v="6"/>
    <n v="3"/>
    <x v="0"/>
    <s v="bsb"/>
    <x v="0"/>
  </r>
  <r>
    <n v="635"/>
    <x v="159"/>
    <x v="0"/>
    <n v="3"/>
    <n v="6"/>
    <n v="3"/>
    <x v="0"/>
    <s v="bsb"/>
    <x v="0"/>
  </r>
  <r>
    <n v="636"/>
    <x v="159"/>
    <x v="0"/>
    <n v="3"/>
    <n v="6"/>
    <n v="3"/>
    <x v="0"/>
    <s v="bsb"/>
    <x v="0"/>
  </r>
  <r>
    <n v="452"/>
    <x v="98"/>
    <x v="0"/>
    <n v="0.9"/>
    <n v="2.21"/>
    <n v="1.31"/>
    <x v="0"/>
    <s v="bsb"/>
    <x v="0"/>
  </r>
  <r>
    <n v="453"/>
    <x v="99"/>
    <x v="0"/>
    <n v="1.8"/>
    <n v="3.98"/>
    <n v="2.1799999999999997"/>
    <x v="0"/>
    <s v="bsb"/>
    <x v="0"/>
  </r>
  <r>
    <n v="801"/>
    <x v="160"/>
    <x v="0"/>
    <n v="5"/>
    <n v="10"/>
    <n v="5"/>
    <x v="0"/>
    <s v="bsb"/>
    <x v="0"/>
  </r>
  <r>
    <n v="723"/>
    <x v="161"/>
    <x v="0"/>
    <n v="15"/>
    <n v="50"/>
    <n v="35"/>
    <x v="0"/>
    <s v="bsb"/>
    <x v="0"/>
  </r>
  <r>
    <n v="802"/>
    <x v="162"/>
    <x v="0"/>
    <n v="15"/>
    <n v="30"/>
    <n v="15"/>
    <x v="0"/>
    <s v="bsb"/>
    <x v="0"/>
  </r>
  <r>
    <n v="213"/>
    <x v="163"/>
    <x v="0"/>
    <n v="33"/>
    <n v="80"/>
    <n v="47"/>
    <x v="0"/>
    <s v="bsb"/>
    <x v="0"/>
  </r>
  <r>
    <n v="820"/>
    <x v="164"/>
    <x v="0"/>
    <n v="30"/>
    <n v="60"/>
    <n v="30"/>
    <x v="0"/>
    <s v="bsb"/>
    <x v="0"/>
  </r>
  <r>
    <n v="582"/>
    <x v="165"/>
    <x v="0"/>
    <n v="13"/>
    <n v="30"/>
    <n v="17"/>
    <x v="0"/>
    <s v="bsb"/>
    <x v="0"/>
  </r>
  <r>
    <n v="355"/>
    <x v="119"/>
    <x v="0"/>
    <n v="3.5"/>
    <n v="10"/>
    <n v="6.5"/>
    <x v="0"/>
    <s v="bsb"/>
    <x v="0"/>
  </r>
  <r>
    <n v="335"/>
    <x v="166"/>
    <x v="0"/>
    <n v="2"/>
    <n v="30"/>
    <n v="28"/>
    <x v="0"/>
    <s v="bsb"/>
    <x v="0"/>
  </r>
  <r>
    <n v="228"/>
    <x v="167"/>
    <x v="0"/>
    <n v="80"/>
    <n v="150"/>
    <n v="70"/>
    <x v="0"/>
    <s v="bsb"/>
    <x v="0"/>
  </r>
  <r>
    <n v="887"/>
    <x v="168"/>
    <x v="0"/>
    <n v="50"/>
    <n v="70"/>
    <n v="20"/>
    <x v="0"/>
    <s v="bsb"/>
    <x v="0"/>
  </r>
  <r>
    <n v="890"/>
    <x v="168"/>
    <x v="0"/>
    <n v="15"/>
    <n v="65"/>
    <n v="50"/>
    <x v="0"/>
    <s v="bsb"/>
    <x v="0"/>
  </r>
  <r>
    <n v="191"/>
    <x v="169"/>
    <x v="0"/>
    <n v="65"/>
    <n v="120"/>
    <n v="55"/>
    <x v="0"/>
    <s v="bsb"/>
    <x v="0"/>
  </r>
  <r>
    <n v="192"/>
    <x v="170"/>
    <x v="0"/>
    <n v="9"/>
    <n v="25"/>
    <n v="16"/>
    <x v="0"/>
    <s v="bsb"/>
    <x v="0"/>
  </r>
  <r>
    <n v="14"/>
    <x v="171"/>
    <x v="0"/>
    <n v="3"/>
    <n v="15"/>
    <n v="12"/>
    <x v="0"/>
    <s v="bsb"/>
    <x v="0"/>
  </r>
  <r>
    <n v="15"/>
    <x v="171"/>
    <x v="0"/>
    <n v="5"/>
    <n v="15"/>
    <n v="10"/>
    <x v="0"/>
    <s v="bsb"/>
    <x v="0"/>
  </r>
  <r>
    <n v="269"/>
    <x v="172"/>
    <x v="0"/>
    <n v="2.5"/>
    <n v="10"/>
    <n v="7.5"/>
    <x v="0"/>
    <s v="bsb"/>
    <x v="0"/>
  </r>
  <r>
    <n v="270"/>
    <x v="172"/>
    <x v="0"/>
    <n v="2.5"/>
    <n v="10"/>
    <n v="7.5"/>
    <x v="0"/>
    <s v="bsb"/>
    <x v="0"/>
  </r>
  <r>
    <n v="279"/>
    <x v="172"/>
    <x v="0"/>
    <n v="2.5"/>
    <n v="10"/>
    <n v="7.5"/>
    <x v="0"/>
    <s v="bsb"/>
    <x v="0"/>
  </r>
  <r>
    <n v="280"/>
    <x v="172"/>
    <x v="0"/>
    <n v="2.5"/>
    <n v="10"/>
    <n v="7.5"/>
    <x v="0"/>
    <s v="bsb"/>
    <x v="0"/>
  </r>
  <r>
    <n v="747"/>
    <x v="173"/>
    <x v="0"/>
    <n v="5"/>
    <n v="10"/>
    <n v="5"/>
    <x v="0"/>
    <s v="bsb"/>
    <x v="0"/>
  </r>
  <r>
    <n v="748"/>
    <x v="173"/>
    <x v="0"/>
    <n v="5"/>
    <n v="10"/>
    <n v="5"/>
    <x v="0"/>
    <s v="bsb"/>
    <x v="0"/>
  </r>
  <r>
    <n v="499"/>
    <x v="174"/>
    <x v="0"/>
    <n v="60"/>
    <n v="100"/>
    <n v="40"/>
    <x v="0"/>
    <s v="bsb"/>
    <x v="0"/>
  </r>
  <r>
    <n v="208"/>
    <x v="175"/>
    <x v="0"/>
    <n v="160"/>
    <n v="250"/>
    <n v="90"/>
    <x v="0"/>
    <s v="bsb"/>
    <x v="0"/>
  </r>
  <r>
    <n v="227"/>
    <x v="176"/>
    <x v="0"/>
    <n v="30"/>
    <n v="110"/>
    <n v="80"/>
    <x v="0"/>
    <s v="bsb"/>
    <x v="0"/>
  </r>
  <r>
    <n v="803"/>
    <x v="176"/>
    <x v="0"/>
    <n v="20"/>
    <n v="85"/>
    <n v="65"/>
    <x v="0"/>
    <s v="bsb"/>
    <x v="0"/>
  </r>
  <r>
    <n v="804"/>
    <x v="177"/>
    <x v="0"/>
    <n v="23"/>
    <n v="50"/>
    <n v="27"/>
    <x v="0"/>
    <s v="bsb"/>
    <x v="0"/>
  </r>
  <r>
    <n v="663"/>
    <x v="178"/>
    <x v="0"/>
    <n v="11.36"/>
    <n v="50"/>
    <n v="38.64"/>
    <x v="0"/>
    <s v="bsb"/>
    <x v="0"/>
  </r>
  <r>
    <n v="664"/>
    <x v="178"/>
    <x v="0"/>
    <n v="11"/>
    <n v="50"/>
    <n v="39"/>
    <x v="0"/>
    <s v="bsb"/>
    <x v="0"/>
  </r>
  <r>
    <n v="671"/>
    <x v="178"/>
    <x v="0"/>
    <n v="11.36"/>
    <n v="70"/>
    <n v="58.64"/>
    <x v="0"/>
    <s v="bsb"/>
    <x v="0"/>
  </r>
  <r>
    <n v="570"/>
    <x v="179"/>
    <x v="0"/>
    <n v="10"/>
    <n v="15"/>
    <n v="5"/>
    <x v="0"/>
    <s v="bsb"/>
    <x v="0"/>
  </r>
  <r>
    <n v="16"/>
    <x v="180"/>
    <x v="0"/>
    <n v="0"/>
    <n v="70"/>
    <n v="70"/>
    <x v="0"/>
    <s v="bsb"/>
    <x v="0"/>
  </r>
  <r>
    <n v="580"/>
    <x v="180"/>
    <x v="0"/>
    <n v="0"/>
    <n v="50"/>
    <n v="50"/>
    <x v="0"/>
    <s v="bsb"/>
    <x v="0"/>
  </r>
  <r>
    <n v="668"/>
    <x v="181"/>
    <x v="0"/>
    <n v="0"/>
    <n v="50"/>
    <n v="50"/>
    <x v="0"/>
    <s v="bsb"/>
    <x v="0"/>
  </r>
  <r>
    <n v="669"/>
    <x v="181"/>
    <x v="0"/>
    <n v="0"/>
    <n v="50"/>
    <n v="50"/>
    <x v="0"/>
    <s v="bsb"/>
    <x v="0"/>
  </r>
  <r>
    <n v="604"/>
    <x v="182"/>
    <x v="0"/>
    <n v="12"/>
    <n v="40.870000000000005"/>
    <n v="28.870000000000005"/>
    <x v="0"/>
    <s v="bsb"/>
    <x v="0"/>
  </r>
  <r>
    <n v="643"/>
    <x v="183"/>
    <x v="0"/>
    <n v="12"/>
    <n v="25"/>
    <n v="13"/>
    <x v="0"/>
    <s v="bsb"/>
    <x v="0"/>
  </r>
  <r>
    <n v="878"/>
    <x v="183"/>
    <x v="0"/>
    <n v="1.8"/>
    <n v="5"/>
    <n v="3.2"/>
    <x v="0"/>
    <s v="bsb"/>
    <x v="0"/>
  </r>
  <r>
    <n v="605"/>
    <x v="184"/>
    <x v="0"/>
    <n v="11"/>
    <n v="15.53"/>
    <n v="4.5299999999999994"/>
    <x v="0"/>
    <s v="bsb"/>
    <x v="0"/>
  </r>
  <r>
    <n v="454"/>
    <x v="185"/>
    <x v="0"/>
    <n v="12"/>
    <n v="21.63"/>
    <n v="9.629999999999999"/>
    <x v="0"/>
    <s v="bsb"/>
    <x v="0"/>
  </r>
  <r>
    <n v="653"/>
    <x v="186"/>
    <x v="0"/>
    <n v="4"/>
    <n v="25"/>
    <n v="21"/>
    <x v="0"/>
    <s v="bsb"/>
    <x v="0"/>
  </r>
  <r>
    <n v="189"/>
    <x v="187"/>
    <x v="0"/>
    <n v="22"/>
    <n v="40"/>
    <n v="18"/>
    <x v="0"/>
    <s v="bsb"/>
    <x v="0"/>
  </r>
  <r>
    <n v="17"/>
    <x v="188"/>
    <x v="0"/>
    <n v="4"/>
    <n v="15"/>
    <n v="11"/>
    <x v="0"/>
    <s v="bsb"/>
    <x v="0"/>
  </r>
  <r>
    <n v="18"/>
    <x v="188"/>
    <x v="0"/>
    <n v="4"/>
    <n v="15"/>
    <n v="11"/>
    <x v="0"/>
    <s v="bsb"/>
    <x v="0"/>
  </r>
  <r>
    <n v="19"/>
    <x v="188"/>
    <x v="0"/>
    <n v="4"/>
    <n v="20"/>
    <n v="16"/>
    <x v="0"/>
    <s v="bsb"/>
    <x v="0"/>
  </r>
  <r>
    <n v="86"/>
    <x v="189"/>
    <x v="0"/>
    <n v="4"/>
    <n v="25"/>
    <n v="21"/>
    <x v="0"/>
    <s v="bsb"/>
    <x v="0"/>
  </r>
  <r>
    <n v="267"/>
    <x v="189"/>
    <x v="0"/>
    <n v="2"/>
    <n v="10"/>
    <n v="8"/>
    <x v="0"/>
    <s v="bsb"/>
    <x v="0"/>
  </r>
  <r>
    <n v="268"/>
    <x v="189"/>
    <x v="0"/>
    <n v="2"/>
    <n v="10"/>
    <n v="8"/>
    <x v="0"/>
    <s v="bsb"/>
    <x v="0"/>
  </r>
  <r>
    <n v="271"/>
    <x v="189"/>
    <x v="0"/>
    <n v="2"/>
    <n v="10"/>
    <n v="8"/>
    <x v="0"/>
    <s v="bsb"/>
    <x v="0"/>
  </r>
  <r>
    <n v="272"/>
    <x v="189"/>
    <x v="0"/>
    <n v="2"/>
    <n v="10"/>
    <n v="8"/>
    <x v="0"/>
    <s v="bsb"/>
    <x v="0"/>
  </r>
  <r>
    <n v="211"/>
    <x v="125"/>
    <x v="0"/>
    <n v="4"/>
    <n v="15"/>
    <n v="11"/>
    <x v="0"/>
    <s v="bsb"/>
    <x v="0"/>
  </r>
  <r>
    <n v="216"/>
    <x v="125"/>
    <x v="0"/>
    <n v="4"/>
    <n v="25"/>
    <n v="21"/>
    <x v="0"/>
    <s v="bsb"/>
    <x v="0"/>
  </r>
  <r>
    <n v="219"/>
    <x v="125"/>
    <x v="0"/>
    <n v="4"/>
    <n v="15"/>
    <n v="11"/>
    <x v="0"/>
    <s v="bsb"/>
    <x v="0"/>
  </r>
  <r>
    <n v="555"/>
    <x v="190"/>
    <x v="0"/>
    <n v="2"/>
    <n v="10"/>
    <n v="8"/>
    <x v="0"/>
    <s v="bsb"/>
    <x v="0"/>
  </r>
  <r>
    <n v="556"/>
    <x v="190"/>
    <x v="0"/>
    <n v="2"/>
    <n v="10"/>
    <n v="8"/>
    <x v="0"/>
    <s v="bsb"/>
    <x v="0"/>
  </r>
  <r>
    <n v="752"/>
    <x v="191"/>
    <x v="0"/>
    <n v="13.5"/>
    <n v="19.399999999999999"/>
    <n v="5.8999999999999986"/>
    <x v="0"/>
    <s v="bsb"/>
    <x v="0"/>
  </r>
  <r>
    <n v="753"/>
    <x v="191"/>
    <x v="0"/>
    <n v="13.5"/>
    <n v="19.399999999999999"/>
    <n v="5.8999999999999986"/>
    <x v="0"/>
    <s v="bsb"/>
    <x v="0"/>
  </r>
  <r>
    <n v="631"/>
    <x v="192"/>
    <x v="0"/>
    <n v="37"/>
    <n v="80"/>
    <n v="43"/>
    <x v="0"/>
    <s v="bsb"/>
    <x v="0"/>
  </r>
  <r>
    <n v="727"/>
    <x v="192"/>
    <x v="0"/>
    <n v="37"/>
    <n v="76"/>
    <n v="39"/>
    <x v="0"/>
    <s v="bsb"/>
    <x v="0"/>
  </r>
  <r>
    <n v="883"/>
    <x v="192"/>
    <x v="0"/>
    <n v="40"/>
    <n v="100"/>
    <n v="60"/>
    <x v="0"/>
    <s v="bsb"/>
    <x v="0"/>
  </r>
  <r>
    <n v="896"/>
    <x v="192"/>
    <x v="0"/>
    <n v="40"/>
    <n v="70"/>
    <n v="30"/>
    <x v="0"/>
    <s v="bsb"/>
    <x v="0"/>
  </r>
  <r>
    <n v="897"/>
    <x v="192"/>
    <x v="0"/>
    <n v="40"/>
    <n v="70"/>
    <n v="30"/>
    <x v="0"/>
    <s v="bsb"/>
    <x v="0"/>
  </r>
  <r>
    <n v="92"/>
    <x v="126"/>
    <x v="0"/>
    <n v="35"/>
    <n v="85"/>
    <n v="50"/>
    <x v="0"/>
    <s v="bsb"/>
    <x v="0"/>
  </r>
  <r>
    <n v="94"/>
    <x v="126"/>
    <x v="0"/>
    <n v="35"/>
    <n v="83"/>
    <n v="48"/>
    <x v="0"/>
    <s v="bsb"/>
    <x v="0"/>
  </r>
  <r>
    <n v="95"/>
    <x v="126"/>
    <x v="0"/>
    <n v="35"/>
    <n v="70"/>
    <n v="35"/>
    <x v="0"/>
    <s v="bsb"/>
    <x v="0"/>
  </r>
  <r>
    <n v="455"/>
    <x v="126"/>
    <x v="0"/>
    <n v="1221"/>
    <n v="2284.41"/>
    <n v="1063.4099999999999"/>
    <x v="0"/>
    <s v="bsb"/>
    <x v="0"/>
  </r>
  <r>
    <n v="356"/>
    <x v="127"/>
    <x v="0"/>
    <n v="1470"/>
    <n v="2848.3399999999997"/>
    <n v="1378.3399999999997"/>
    <x v="0"/>
    <s v="bsb"/>
    <x v="0"/>
  </r>
  <r>
    <n v="606"/>
    <x v="127"/>
    <x v="0"/>
    <n v="1170"/>
    <n v="2514.25"/>
    <n v="1344.25"/>
    <x v="0"/>
    <s v="bsb"/>
    <x v="0"/>
  </r>
  <r>
    <n v="20"/>
    <x v="193"/>
    <x v="0"/>
    <n v="60"/>
    <n v="90"/>
    <n v="30"/>
    <x v="0"/>
    <s v="bsb"/>
    <x v="0"/>
  </r>
  <r>
    <n v="491"/>
    <x v="193"/>
    <x v="0"/>
    <n v="60"/>
    <n v="120"/>
    <n v="60"/>
    <x v="0"/>
    <s v="bsb"/>
    <x v="0"/>
  </r>
  <r>
    <n v="494"/>
    <x v="193"/>
    <x v="0"/>
    <n v="60"/>
    <n v="120"/>
    <n v="60"/>
    <x v="0"/>
    <s v="bsb"/>
    <x v="0"/>
  </r>
  <r>
    <n v="21"/>
    <x v="194"/>
    <x v="0"/>
    <n v="35"/>
    <n v="70"/>
    <n v="35"/>
    <x v="0"/>
    <s v="bsb"/>
    <x v="0"/>
  </r>
  <r>
    <n v="22"/>
    <x v="194"/>
    <x v="0"/>
    <n v="35"/>
    <n v="70"/>
    <n v="35"/>
    <x v="0"/>
    <s v="bsb"/>
    <x v="0"/>
  </r>
  <r>
    <n v="23"/>
    <x v="194"/>
    <x v="0"/>
    <n v="35"/>
    <n v="70"/>
    <n v="35"/>
    <x v="0"/>
    <s v="bsb"/>
    <x v="0"/>
  </r>
  <r>
    <n v="496"/>
    <x v="194"/>
    <x v="0"/>
    <n v="37"/>
    <n v="80"/>
    <n v="43"/>
    <x v="0"/>
    <s v="bsb"/>
    <x v="0"/>
  </r>
  <r>
    <n v="500"/>
    <x v="194"/>
    <x v="0"/>
    <n v="37"/>
    <n v="70"/>
    <n v="33"/>
    <x v="0"/>
    <s v="bsb"/>
    <x v="0"/>
  </r>
  <r>
    <n v="501"/>
    <x v="194"/>
    <x v="0"/>
    <n v="37"/>
    <n v="70"/>
    <n v="33"/>
    <x v="0"/>
    <s v="bsb"/>
    <x v="0"/>
  </r>
  <r>
    <n v="679"/>
    <x v="195"/>
    <x v="0"/>
    <n v="48"/>
    <n v="80"/>
    <n v="32"/>
    <x v="0"/>
    <s v="bsb"/>
    <x v="0"/>
  </r>
  <r>
    <n v="868"/>
    <x v="196"/>
    <x v="0"/>
    <n v="33.76"/>
    <n v="70"/>
    <n v="36.24"/>
    <x v="0"/>
    <s v="bsb"/>
    <x v="0"/>
  </r>
  <r>
    <n v="274"/>
    <x v="197"/>
    <x v="0"/>
    <n v="30"/>
    <n v="80"/>
    <n v="50"/>
    <x v="0"/>
    <s v="bsb"/>
    <x v="0"/>
  </r>
  <r>
    <n v="456"/>
    <x v="198"/>
    <x v="0"/>
    <n v="10"/>
    <n v="20.58"/>
    <n v="10.579999999999998"/>
    <x v="0"/>
    <s v="bsb"/>
    <x v="0"/>
  </r>
  <r>
    <n v="607"/>
    <x v="199"/>
    <x v="0"/>
    <n v="5"/>
    <n v="11.26"/>
    <n v="6.26"/>
    <x v="0"/>
    <s v="bsb"/>
    <x v="0"/>
  </r>
  <r>
    <n v="357"/>
    <x v="200"/>
    <x v="0"/>
    <n v="7.5"/>
    <n v="23.51"/>
    <n v="16.010000000000002"/>
    <x v="0"/>
    <s v="bsb"/>
    <x v="0"/>
  </r>
  <r>
    <n v="457"/>
    <x v="200"/>
    <x v="0"/>
    <n v="7"/>
    <n v="25.47"/>
    <n v="18.47"/>
    <x v="0"/>
    <s v="bsb"/>
    <x v="0"/>
  </r>
  <r>
    <n v="358"/>
    <x v="201"/>
    <x v="0"/>
    <n v="660"/>
    <n v="1387.8"/>
    <n v="727.8"/>
    <x v="0"/>
    <s v="bsb"/>
    <x v="0"/>
  </r>
  <r>
    <n v="458"/>
    <x v="201"/>
    <x v="0"/>
    <n v="352"/>
    <n v="721.03"/>
    <n v="369.03"/>
    <x v="0"/>
    <s v="bsb"/>
    <x v="0"/>
  </r>
  <r>
    <n v="608"/>
    <x v="202"/>
    <x v="0"/>
    <n v="1"/>
    <n v="1.39"/>
    <n v="0.3899999999999999"/>
    <x v="0"/>
    <s v="bsb"/>
    <x v="0"/>
  </r>
  <r>
    <n v="359"/>
    <x v="203"/>
    <x v="0"/>
    <n v="2.5"/>
    <n v="7.5"/>
    <n v="5"/>
    <x v="0"/>
    <s v="bsb"/>
    <x v="0"/>
  </r>
  <r>
    <n v="459"/>
    <x v="203"/>
    <x v="0"/>
    <n v="2.5"/>
    <n v="10.4"/>
    <n v="7.9"/>
    <x v="0"/>
    <s v="bsb"/>
    <x v="0"/>
  </r>
  <r>
    <n v="360"/>
    <x v="204"/>
    <x v="0"/>
    <n v="15"/>
    <n v="48.800000000000004"/>
    <n v="33.800000000000004"/>
    <x v="0"/>
    <s v="bsb"/>
    <x v="0"/>
  </r>
  <r>
    <n v="361"/>
    <x v="205"/>
    <x v="0"/>
    <n v="3"/>
    <n v="9.99"/>
    <n v="6.99"/>
    <x v="0"/>
    <s v="bsb"/>
    <x v="0"/>
  </r>
  <r>
    <n v="460"/>
    <x v="206"/>
    <x v="0"/>
    <n v="3"/>
    <n v="5.21"/>
    <n v="2.21"/>
    <x v="0"/>
    <s v="bsb"/>
    <x v="0"/>
  </r>
  <r>
    <n v="461"/>
    <x v="207"/>
    <x v="0"/>
    <n v="10"/>
    <n v="19.989999999999998"/>
    <n v="9.9899999999999984"/>
    <x v="0"/>
    <s v="bsb"/>
    <x v="0"/>
  </r>
  <r>
    <n v="24"/>
    <x v="208"/>
    <x v="0"/>
    <n v="28"/>
    <n v="50"/>
    <n v="22"/>
    <x v="0"/>
    <s v="bsb"/>
    <x v="0"/>
  </r>
  <r>
    <n v="203"/>
    <x v="208"/>
    <x v="0"/>
    <n v="30"/>
    <n v="50"/>
    <n v="20"/>
    <x v="0"/>
    <s v="bsb"/>
    <x v="0"/>
  </r>
  <r>
    <n v="204"/>
    <x v="208"/>
    <x v="0"/>
    <n v="30"/>
    <n v="80"/>
    <n v="50"/>
    <x v="0"/>
    <s v="bsb"/>
    <x v="0"/>
  </r>
  <r>
    <n v="223"/>
    <x v="208"/>
    <x v="0"/>
    <n v="30"/>
    <n v="70"/>
    <n v="40"/>
    <x v="0"/>
    <s v="bsb"/>
    <x v="0"/>
  </r>
  <r>
    <n v="226"/>
    <x v="208"/>
    <x v="0"/>
    <n v="30"/>
    <n v="50"/>
    <n v="20"/>
    <x v="0"/>
    <s v="bsb"/>
    <x v="0"/>
  </r>
  <r>
    <n v="339"/>
    <x v="208"/>
    <x v="0"/>
    <n v="35"/>
    <n v="50"/>
    <n v="15"/>
    <x v="0"/>
    <s v="bsb"/>
    <x v="0"/>
  </r>
  <r>
    <n v="490"/>
    <x v="208"/>
    <x v="0"/>
    <n v="35"/>
    <n v="60"/>
    <n v="25"/>
    <x v="0"/>
    <s v="bsb"/>
    <x v="0"/>
  </r>
  <r>
    <n v="495"/>
    <x v="208"/>
    <x v="0"/>
    <n v="35"/>
    <n v="50"/>
    <n v="15"/>
    <x v="0"/>
    <s v="bsb"/>
    <x v="0"/>
  </r>
  <r>
    <n v="655"/>
    <x v="208"/>
    <x v="0"/>
    <n v="28"/>
    <n v="50"/>
    <n v="22"/>
    <x v="0"/>
    <s v="bsb"/>
    <x v="0"/>
  </r>
  <r>
    <n v="656"/>
    <x v="208"/>
    <x v="0"/>
    <n v="28"/>
    <n v="50"/>
    <n v="22"/>
    <x v="0"/>
    <s v="bsb"/>
    <x v="0"/>
  </r>
  <r>
    <n v="776"/>
    <x v="209"/>
    <x v="5"/>
    <n v="7"/>
    <n v="15.03"/>
    <n v="8.0299999999999994"/>
    <x v="0"/>
    <s v="shopee"/>
    <x v="0"/>
  </r>
  <r>
    <n v="919"/>
    <x v="209"/>
    <x v="5"/>
    <n v="7"/>
    <n v="16.399999999999999"/>
    <n v="9.3999999999999986"/>
    <x v="0"/>
    <s v="shopee"/>
    <x v="0"/>
  </r>
  <r>
    <n v="531"/>
    <x v="198"/>
    <x v="4"/>
    <n v="20"/>
    <n v="44.24"/>
    <n v="24.240000000000002"/>
    <x v="0"/>
    <s v="shopee"/>
    <x v="0"/>
  </r>
  <r>
    <n v="251"/>
    <x v="198"/>
    <x v="5"/>
    <n v="10"/>
    <n v="10"/>
    <n v="5.9600000000000009"/>
    <x v="0"/>
    <s v="shopee"/>
    <x v="0"/>
  </r>
  <r>
    <n v="131"/>
    <x v="210"/>
    <x v="5"/>
    <n v="16"/>
    <n v="27.84"/>
    <n v="11.84"/>
    <x v="0"/>
    <s v="shopee"/>
    <x v="0"/>
  </r>
  <r>
    <n v="250"/>
    <x v="210"/>
    <x v="5"/>
    <n v="16"/>
    <n v="16"/>
    <n v="22.17"/>
    <x v="0"/>
    <s v="shopee"/>
    <x v="0"/>
  </r>
  <r>
    <n v="66"/>
    <x v="210"/>
    <x v="0"/>
    <n v="16"/>
    <n v="28"/>
    <n v="12"/>
    <x v="0"/>
    <s v="shopee"/>
    <x v="0"/>
  </r>
  <r>
    <n v="249"/>
    <x v="199"/>
    <x v="31"/>
    <n v="5"/>
    <n v="125"/>
    <n v="59.419999999999987"/>
    <x v="0"/>
    <s v="shopee"/>
    <x v="0"/>
  </r>
  <r>
    <n v="120"/>
    <x v="199"/>
    <x v="14"/>
    <n v="15"/>
    <n v="44.37"/>
    <n v="29.369999999999997"/>
    <x v="0"/>
    <s v="shopee"/>
    <x v="0"/>
  </r>
  <r>
    <n v="310"/>
    <x v="199"/>
    <x v="4"/>
    <n v="10"/>
    <n v="20.48"/>
    <n v="10.48"/>
    <x v="0"/>
    <s v="shopee"/>
    <x v="0"/>
  </r>
  <r>
    <n v="517"/>
    <x v="199"/>
    <x v="5"/>
    <n v="5"/>
    <n v="11.11"/>
    <n v="6.1099999999999994"/>
    <x v="0"/>
    <s v="shopee"/>
    <x v="0"/>
  </r>
  <r>
    <n v="67"/>
    <x v="199"/>
    <x v="0"/>
    <n v="5"/>
    <n v="12"/>
    <n v="7"/>
    <x v="0"/>
    <s v="shopee"/>
    <x v="0"/>
  </r>
  <r>
    <n v="132"/>
    <x v="211"/>
    <x v="8"/>
    <n v="9"/>
    <n v="20.420000000000002"/>
    <n v="11.420000000000002"/>
    <x v="0"/>
    <s v="shopee"/>
    <x v="0"/>
  </r>
  <r>
    <n v="51"/>
    <x v="211"/>
    <x v="0"/>
    <n v="9"/>
    <n v="22.94"/>
    <n v="13.940000000000001"/>
    <x v="0"/>
    <s v="shopee"/>
    <x v="0"/>
  </r>
  <r>
    <n v="777"/>
    <x v="212"/>
    <x v="5"/>
    <n v="12"/>
    <n v="37.15"/>
    <n v="25.15"/>
    <x v="0"/>
    <s v="shopee"/>
    <x v="0"/>
  </r>
  <r>
    <n v="311"/>
    <x v="201"/>
    <x v="32"/>
    <n v="858"/>
    <n v="1605.0900000000001"/>
    <n v="747.09000000000015"/>
    <x v="0"/>
    <s v="shopee"/>
    <x v="0"/>
  </r>
  <r>
    <n v="248"/>
    <x v="201"/>
    <x v="33"/>
    <n v="22"/>
    <n v="374"/>
    <n v="174.66999999999996"/>
    <x v="0"/>
    <s v="shopee"/>
    <x v="0"/>
  </r>
  <r>
    <n v="52"/>
    <x v="201"/>
    <x v="0"/>
    <n v="96"/>
    <n v="119.69"/>
    <n v="23.689999999999998"/>
    <x v="0"/>
    <s v="shopee"/>
    <x v="0"/>
  </r>
  <r>
    <n v="837"/>
    <x v="213"/>
    <x v="5"/>
    <n v="1"/>
    <n v="2.06"/>
    <n v="1.06"/>
    <x v="0"/>
    <s v="shopee"/>
    <x v="0"/>
  </r>
  <r>
    <n v="518"/>
    <x v="214"/>
    <x v="5"/>
    <n v="1"/>
    <n v="7.3"/>
    <n v="6.3"/>
    <x v="0"/>
    <s v="shopee"/>
    <x v="0"/>
  </r>
  <r>
    <n v="683"/>
    <x v="202"/>
    <x v="8"/>
    <n v="1"/>
    <n v="5.7"/>
    <n v="2.7"/>
    <x v="0"/>
    <s v="shopee"/>
    <x v="0"/>
  </r>
  <r>
    <n v="247"/>
    <x v="215"/>
    <x v="5"/>
    <n v="16"/>
    <n v="16"/>
    <n v="23.560000000000002"/>
    <x v="0"/>
    <s v="shopee"/>
    <x v="0"/>
  </r>
  <r>
    <n v="838"/>
    <x v="216"/>
    <x v="5"/>
    <n v="12"/>
    <n v="36.770000000000003"/>
    <n v="24.770000000000003"/>
    <x v="0"/>
    <s v="shopee"/>
    <x v="0"/>
  </r>
  <r>
    <n v="137"/>
    <x v="203"/>
    <x v="4"/>
    <n v="4"/>
    <n v="12.8"/>
    <n v="8.8000000000000007"/>
    <x v="0"/>
    <s v="shopee"/>
    <x v="0"/>
  </r>
  <r>
    <n v="246"/>
    <x v="217"/>
    <x v="19"/>
    <n v="3.5"/>
    <n v="38.5"/>
    <n v="87.34"/>
    <x v="0"/>
    <s v="shopee"/>
    <x v="0"/>
  </r>
  <r>
    <n v="119"/>
    <x v="217"/>
    <x v="7"/>
    <n v="31.5"/>
    <n v="68.45"/>
    <n v="36.950000000000003"/>
    <x v="0"/>
    <s v="shopee"/>
    <x v="0"/>
  </r>
  <r>
    <n v="312"/>
    <x v="217"/>
    <x v="7"/>
    <n v="27"/>
    <n v="73.88"/>
    <n v="46.879999999999995"/>
    <x v="0"/>
    <s v="shopee"/>
    <x v="0"/>
  </r>
  <r>
    <n v="45"/>
    <x v="217"/>
    <x v="0"/>
    <n v="31.5"/>
    <n v="93.92"/>
    <n v="62.42"/>
    <x v="0"/>
    <s v="shopee"/>
    <x v="0"/>
  </r>
  <r>
    <n v="134"/>
    <x v="205"/>
    <x v="4"/>
    <n v="6"/>
    <n v="16"/>
    <n v="10"/>
    <x v="0"/>
    <s v="shopee"/>
    <x v="0"/>
  </r>
  <r>
    <n v="519"/>
    <x v="205"/>
    <x v="5"/>
    <n v="3"/>
    <n v="10.95"/>
    <n v="7.9499999999999993"/>
    <x v="0"/>
    <s v="shopee"/>
    <x v="0"/>
  </r>
  <r>
    <n v="68"/>
    <x v="218"/>
    <x v="0"/>
    <n v="0"/>
    <n v="11.09"/>
    <n v="11.09"/>
    <x v="0"/>
    <s v="shopee"/>
    <x v="0"/>
  </r>
  <r>
    <n v="520"/>
    <x v="206"/>
    <x v="5"/>
    <n v="3"/>
    <n v="10"/>
    <n v="7"/>
    <x v="0"/>
    <s v="shopee"/>
    <x v="0"/>
  </r>
  <r>
    <n v="920"/>
    <x v="219"/>
    <x v="4"/>
    <n v="60"/>
    <n v="60.278200000000005"/>
    <n v="0.27820000000000533"/>
    <x v="0"/>
    <s v="shopee"/>
    <x v="0"/>
  </r>
  <r>
    <n v="245"/>
    <x v="219"/>
    <x v="5"/>
    <n v="19"/>
    <n v="19"/>
    <n v="19.18"/>
    <x v="0"/>
    <s v="shopee"/>
    <x v="0"/>
  </r>
  <r>
    <n v="695"/>
    <x v="219"/>
    <x v="5"/>
    <n v="20"/>
    <n v="32.549999999999997"/>
    <n v="12.549999999999997"/>
    <x v="0"/>
    <s v="shopee"/>
    <x v="0"/>
  </r>
  <r>
    <n v="69"/>
    <x v="220"/>
    <x v="0"/>
    <n v="14"/>
    <n v="24.4"/>
    <n v="10.399999999999999"/>
    <x v="0"/>
    <s v="shopee"/>
    <x v="0"/>
  </r>
  <r>
    <n v="778"/>
    <x v="221"/>
    <x v="5"/>
    <n v="3"/>
    <n v="14.25"/>
    <n v="11.25"/>
    <x v="0"/>
    <s v="shopee"/>
    <x v="0"/>
  </r>
  <r>
    <n v="657"/>
    <x v="208"/>
    <x v="0"/>
    <n v="28"/>
    <n v="50"/>
    <n v="22"/>
    <x v="0"/>
    <s v="bsb"/>
    <x v="0"/>
  </r>
  <r>
    <n v="660"/>
    <x v="208"/>
    <x v="0"/>
    <n v="30"/>
    <n v="60"/>
    <n v="30"/>
    <x v="0"/>
    <s v="bsb"/>
    <x v="0"/>
  </r>
  <r>
    <n v="667"/>
    <x v="208"/>
    <x v="0"/>
    <n v="30"/>
    <n v="75"/>
    <n v="45"/>
    <x v="0"/>
    <s v="bsb"/>
    <x v="0"/>
  </r>
  <r>
    <n v="681"/>
    <x v="208"/>
    <x v="0"/>
    <n v="30"/>
    <n v="60"/>
    <n v="30"/>
    <x v="0"/>
    <s v="bsb"/>
    <x v="0"/>
  </r>
  <r>
    <n v="805"/>
    <x v="208"/>
    <x v="0"/>
    <n v="30"/>
    <n v="50"/>
    <n v="20"/>
    <x v="0"/>
    <s v="bsb"/>
    <x v="0"/>
  </r>
  <r>
    <n v="25"/>
    <x v="222"/>
    <x v="0"/>
    <n v="10"/>
    <n v="20"/>
    <n v="10"/>
    <x v="0"/>
    <s v="bsb"/>
    <x v="0"/>
  </r>
  <r>
    <n v="26"/>
    <x v="223"/>
    <x v="0"/>
    <n v="15"/>
    <n v="30"/>
    <n v="15"/>
    <x v="0"/>
    <s v="bsb"/>
    <x v="0"/>
  </r>
  <r>
    <n v="462"/>
    <x v="224"/>
    <x v="0"/>
    <n v="2"/>
    <n v="13"/>
    <n v="11"/>
    <x v="0"/>
    <s v="bsb"/>
    <x v="0"/>
  </r>
  <r>
    <n v="333"/>
    <x v="225"/>
    <x v="0"/>
    <n v="22"/>
    <n v="50"/>
    <n v="28"/>
    <x v="0"/>
    <s v="bsb"/>
    <x v="0"/>
  </r>
  <r>
    <n v="340"/>
    <x v="225"/>
    <x v="0"/>
    <n v="22"/>
    <n v="60"/>
    <n v="38"/>
    <x v="0"/>
    <s v="bsb"/>
    <x v="0"/>
  </r>
  <r>
    <n v="27"/>
    <x v="226"/>
    <x v="0"/>
    <n v="2.5"/>
    <n v="5"/>
    <n v="2.5"/>
    <x v="0"/>
    <s v="bsb"/>
    <x v="0"/>
  </r>
  <r>
    <n v="282"/>
    <x v="226"/>
    <x v="0"/>
    <n v="22"/>
    <n v="40"/>
    <n v="18"/>
    <x v="0"/>
    <s v="bsb"/>
    <x v="0"/>
  </r>
  <r>
    <n v="285"/>
    <x v="226"/>
    <x v="0"/>
    <n v="22"/>
    <n v="40"/>
    <n v="18"/>
    <x v="0"/>
    <s v="bsb"/>
    <x v="0"/>
  </r>
  <r>
    <n v="609"/>
    <x v="227"/>
    <x v="0"/>
    <n v="14"/>
    <n v="21.26"/>
    <n v="7.2600000000000016"/>
    <x v="0"/>
    <s v="bsb"/>
    <x v="0"/>
  </r>
  <r>
    <n v="199"/>
    <x v="228"/>
    <x v="0"/>
    <n v="22"/>
    <n v="35"/>
    <n v="13"/>
    <x v="0"/>
    <s v="bsb"/>
    <x v="0"/>
  </r>
  <r>
    <n v="200"/>
    <x v="228"/>
    <x v="0"/>
    <n v="22"/>
    <n v="35"/>
    <n v="13"/>
    <x v="0"/>
    <s v="bsb"/>
    <x v="0"/>
  </r>
  <r>
    <n v="201"/>
    <x v="228"/>
    <x v="0"/>
    <n v="22"/>
    <n v="35"/>
    <n v="13"/>
    <x v="0"/>
    <s v="bsb"/>
    <x v="0"/>
  </r>
  <r>
    <n v="202"/>
    <x v="228"/>
    <x v="0"/>
    <n v="22"/>
    <n v="40"/>
    <n v="18"/>
    <x v="0"/>
    <s v="bsb"/>
    <x v="0"/>
  </r>
  <r>
    <n v="214"/>
    <x v="228"/>
    <x v="0"/>
    <n v="22"/>
    <n v="50"/>
    <n v="28"/>
    <x v="0"/>
    <s v="bsb"/>
    <x v="0"/>
  </r>
  <r>
    <n v="215"/>
    <x v="228"/>
    <x v="0"/>
    <n v="22"/>
    <n v="60"/>
    <n v="38"/>
    <x v="0"/>
    <s v="bsb"/>
    <x v="0"/>
  </r>
  <r>
    <n v="362"/>
    <x v="229"/>
    <x v="0"/>
    <n v="105"/>
    <n v="269.82"/>
    <n v="164.82"/>
    <x v="0"/>
    <s v="bsb"/>
    <x v="0"/>
  </r>
  <r>
    <n v="463"/>
    <x v="229"/>
    <x v="0"/>
    <n v="24"/>
    <n v="49.44"/>
    <n v="25.439999999999998"/>
    <x v="0"/>
    <s v="bsb"/>
    <x v="0"/>
  </r>
  <r>
    <n v="610"/>
    <x v="229"/>
    <x v="0"/>
    <n v="119"/>
    <n v="236.75"/>
    <n v="117.75"/>
    <x v="0"/>
    <s v="bsb"/>
    <x v="0"/>
  </r>
  <r>
    <n v="674"/>
    <x v="230"/>
    <x v="0"/>
    <n v="165"/>
    <n v="260"/>
    <n v="95"/>
    <x v="0"/>
    <s v="bsb"/>
    <x v="0"/>
  </r>
  <r>
    <n v="205"/>
    <x v="231"/>
    <x v="0"/>
    <n v="30"/>
    <n v="65"/>
    <n v="35"/>
    <x v="0"/>
    <s v="bsb"/>
    <x v="0"/>
  </r>
  <r>
    <n v="206"/>
    <x v="231"/>
    <x v="0"/>
    <n v="30"/>
    <n v="65"/>
    <n v="35"/>
    <x v="0"/>
    <s v="bsb"/>
    <x v="0"/>
  </r>
  <r>
    <n v="654"/>
    <x v="232"/>
    <x v="0"/>
    <n v="29"/>
    <n v="50"/>
    <n v="21"/>
    <x v="0"/>
    <s v="bsb"/>
    <x v="0"/>
  </r>
  <r>
    <n v="313"/>
    <x v="224"/>
    <x v="14"/>
    <n v="15"/>
    <n v="46.27"/>
    <n v="31.270000000000003"/>
    <x v="0"/>
    <s v="shopee"/>
    <x v="0"/>
  </r>
  <r>
    <n v="881"/>
    <x v="233"/>
    <x v="0"/>
    <n v="40"/>
    <n v="80"/>
    <n v="40"/>
    <x v="0"/>
    <s v="bsb"/>
    <x v="0"/>
  </r>
  <r>
    <n v="547"/>
    <x v="234"/>
    <x v="0"/>
    <n v="23.3"/>
    <n v="70"/>
    <n v="46.7"/>
    <x v="0"/>
    <s v="bsb"/>
    <x v="0"/>
  </r>
  <r>
    <n v="882"/>
    <x v="235"/>
    <x v="0"/>
    <n v="40"/>
    <n v="80"/>
    <n v="40"/>
    <x v="0"/>
    <s v="bsb"/>
    <x v="0"/>
  </r>
  <r>
    <n v="363"/>
    <x v="236"/>
    <x v="0"/>
    <n v="48"/>
    <n v="105.55"/>
    <n v="57.55"/>
    <x v="0"/>
    <s v="bsb"/>
    <x v="0"/>
  </r>
  <r>
    <n v="571"/>
    <x v="237"/>
    <x v="0"/>
    <n v="10"/>
    <n v="25"/>
    <n v="15"/>
    <x v="0"/>
    <s v="bsb"/>
    <x v="0"/>
  </r>
  <r>
    <n v="488"/>
    <x v="238"/>
    <x v="0"/>
    <n v="19"/>
    <n v="35"/>
    <n v="16"/>
    <x v="0"/>
    <s v="bsb"/>
    <x v="0"/>
  </r>
  <r>
    <n v="737"/>
    <x v="239"/>
    <x v="0"/>
    <n v="21"/>
    <n v="50"/>
    <n v="29"/>
    <x v="0"/>
    <s v="bsb"/>
    <x v="0"/>
  </r>
  <r>
    <n v="738"/>
    <x v="239"/>
    <x v="0"/>
    <n v="21"/>
    <n v="50"/>
    <n v="29"/>
    <x v="0"/>
    <s v="bsb"/>
    <x v="0"/>
  </r>
  <r>
    <n v="611"/>
    <x v="240"/>
    <x v="0"/>
    <n v="10"/>
    <n v="21.21"/>
    <n v="11.21"/>
    <x v="0"/>
    <s v="bsb"/>
    <x v="0"/>
  </r>
  <r>
    <n v="364"/>
    <x v="241"/>
    <x v="0"/>
    <n v="35"/>
    <n v="90.36"/>
    <n v="55.36"/>
    <x v="0"/>
    <s v="bsb"/>
    <x v="0"/>
  </r>
  <r>
    <n v="612"/>
    <x v="241"/>
    <x v="0"/>
    <n v="35"/>
    <n v="66.89"/>
    <n v="31.89"/>
    <x v="0"/>
    <s v="bsb"/>
    <x v="0"/>
  </r>
  <r>
    <n v="733"/>
    <x v="242"/>
    <x v="0"/>
    <n v="40"/>
    <n v="80"/>
    <n v="40"/>
    <x v="0"/>
    <s v="bsb"/>
    <x v="0"/>
  </r>
  <r>
    <n v="365"/>
    <x v="243"/>
    <x v="0"/>
    <n v="57"/>
    <n v="88.76"/>
    <n v="31.760000000000005"/>
    <x v="0"/>
    <s v="bsb"/>
    <x v="0"/>
  </r>
  <r>
    <n v="613"/>
    <x v="243"/>
    <x v="0"/>
    <n v="20"/>
    <n v="19.989999999999998"/>
    <n v="-1.0000000000001563E-2"/>
    <x v="0"/>
    <s v="bsb"/>
    <x v="0"/>
  </r>
  <r>
    <n v="366"/>
    <x v="244"/>
    <x v="0"/>
    <n v="22"/>
    <n v="77.209999999999994"/>
    <n v="55.209999999999994"/>
    <x v="0"/>
    <s v="bsb"/>
    <x v="0"/>
  </r>
  <r>
    <n v="464"/>
    <x v="244"/>
    <x v="0"/>
    <n v="40"/>
    <n v="88.46"/>
    <n v="48.459999999999994"/>
    <x v="0"/>
    <s v="bsb"/>
    <x v="0"/>
  </r>
  <r>
    <n v="661"/>
    <x v="245"/>
    <x v="0"/>
    <n v="20"/>
    <n v="50"/>
    <n v="30"/>
    <x v="0"/>
    <s v="bsb"/>
    <x v="0"/>
  </r>
  <r>
    <n v="276"/>
    <x v="246"/>
    <x v="0"/>
    <n v="20"/>
    <n v="40"/>
    <n v="20"/>
    <x v="0"/>
    <s v="bsb"/>
    <x v="0"/>
  </r>
  <r>
    <n v="741"/>
    <x v="247"/>
    <x v="0"/>
    <n v="40"/>
    <n v="80"/>
    <n v="40"/>
    <x v="0"/>
    <s v="bsb"/>
    <x v="0"/>
  </r>
  <r>
    <n v="367"/>
    <x v="248"/>
    <x v="0"/>
    <n v="40"/>
    <n v="80"/>
    <n v="40"/>
    <x v="0"/>
    <s v="bsb"/>
    <x v="0"/>
  </r>
  <r>
    <n v="806"/>
    <x v="249"/>
    <x v="0"/>
    <n v="2"/>
    <n v="10"/>
    <n v="8"/>
    <x v="0"/>
    <s v="bsb"/>
    <x v="0"/>
  </r>
  <r>
    <n v="807"/>
    <x v="249"/>
    <x v="0"/>
    <n v="9"/>
    <n v="15"/>
    <n v="6"/>
    <x v="0"/>
    <s v="bsb"/>
    <x v="0"/>
  </r>
  <r>
    <n v="217"/>
    <x v="250"/>
    <x v="0"/>
    <n v="10"/>
    <n v="20"/>
    <n v="10"/>
    <x v="0"/>
    <s v="bsb"/>
    <x v="0"/>
  </r>
  <r>
    <n v="218"/>
    <x v="250"/>
    <x v="0"/>
    <n v="10"/>
    <n v="20"/>
    <n v="10"/>
    <x v="0"/>
    <s v="bsb"/>
    <x v="0"/>
  </r>
  <r>
    <n v="724"/>
    <x v="251"/>
    <x v="0"/>
    <n v="7"/>
    <n v="20"/>
    <n v="13"/>
    <x v="0"/>
    <s v="bsb"/>
    <x v="0"/>
  </r>
  <r>
    <n v="277"/>
    <x v="252"/>
    <x v="0"/>
    <n v="9"/>
    <n v="20"/>
    <n v="11"/>
    <x v="0"/>
    <s v="bsb"/>
    <x v="0"/>
  </r>
  <r>
    <n v="808"/>
    <x v="253"/>
    <x v="0"/>
    <n v="4"/>
    <n v="10"/>
    <n v="6"/>
    <x v="0"/>
    <s v="bsb"/>
    <x v="0"/>
  </r>
  <r>
    <n v="809"/>
    <x v="253"/>
    <x v="0"/>
    <n v="6"/>
    <n v="20"/>
    <n v="14"/>
    <x v="0"/>
    <s v="bsb"/>
    <x v="0"/>
  </r>
  <r>
    <n v="870"/>
    <x v="254"/>
    <x v="0"/>
    <n v="2"/>
    <n v="10"/>
    <n v="8"/>
    <x v="0"/>
    <s v="bsb"/>
    <x v="0"/>
  </r>
  <r>
    <n v="678"/>
    <x v="255"/>
    <x v="0"/>
    <n v="2"/>
    <n v="15"/>
    <n v="13"/>
    <x v="0"/>
    <s v="bsb"/>
    <x v="0"/>
  </r>
  <r>
    <n v="28"/>
    <x v="256"/>
    <x v="0"/>
    <n v="20"/>
    <n v="50"/>
    <n v="30"/>
    <x v="0"/>
    <s v="bsb"/>
    <x v="0"/>
  </r>
  <r>
    <n v="332"/>
    <x v="257"/>
    <x v="0"/>
    <n v="50"/>
    <n v="70"/>
    <n v="20"/>
    <x v="0"/>
    <s v="bsb"/>
    <x v="0"/>
  </r>
  <r>
    <n v="465"/>
    <x v="258"/>
    <x v="0"/>
    <n v="36"/>
    <n v="52"/>
    <n v="16"/>
    <x v="0"/>
    <s v="bsb"/>
    <x v="0"/>
  </r>
  <r>
    <n v="506"/>
    <x v="258"/>
    <x v="0"/>
    <n v="26"/>
    <n v="50"/>
    <n v="24"/>
    <x v="0"/>
    <s v="bsb"/>
    <x v="0"/>
  </r>
  <r>
    <n v="584"/>
    <x v="259"/>
    <x v="0"/>
    <n v="28"/>
    <n v="50"/>
    <n v="22"/>
    <x v="0"/>
    <s v="bsb"/>
    <x v="0"/>
  </r>
  <r>
    <n v="585"/>
    <x v="259"/>
    <x v="0"/>
    <n v="28"/>
    <n v="65"/>
    <n v="37"/>
    <x v="0"/>
    <s v="bsb"/>
    <x v="0"/>
  </r>
  <r>
    <n v="466"/>
    <x v="260"/>
    <x v="0"/>
    <n v="20"/>
    <n v="33.33"/>
    <n v="13.329999999999998"/>
    <x v="0"/>
    <s v="bsb"/>
    <x v="0"/>
  </r>
  <r>
    <n v="614"/>
    <x v="261"/>
    <x v="0"/>
    <n v="18"/>
    <n v="31.31"/>
    <n v="13.309999999999999"/>
    <x v="0"/>
    <s v="bsb"/>
    <x v="0"/>
  </r>
  <r>
    <n v="29"/>
    <x v="262"/>
    <x v="0"/>
    <n v="18"/>
    <n v="40"/>
    <n v="22"/>
    <x v="0"/>
    <s v="bsb"/>
    <x v="0"/>
  </r>
  <r>
    <n v="97"/>
    <x v="263"/>
    <x v="0"/>
    <n v="18"/>
    <n v="40"/>
    <n v="22"/>
    <x v="0"/>
    <s v="bsb"/>
    <x v="0"/>
  </r>
  <r>
    <n v="720"/>
    <x v="264"/>
    <x v="0"/>
    <n v="22"/>
    <n v="50"/>
    <n v="28"/>
    <x v="0"/>
    <s v="bsb"/>
    <x v="0"/>
  </r>
  <r>
    <n v="557"/>
    <x v="265"/>
    <x v="0"/>
    <n v="25"/>
    <n v="80"/>
    <n v="55"/>
    <x v="0"/>
    <s v="bsb"/>
    <x v="0"/>
  </r>
  <r>
    <n v="221"/>
    <x v="266"/>
    <x v="0"/>
    <n v="7"/>
    <n v="20"/>
    <n v="13"/>
    <x v="0"/>
    <s v="bsb"/>
    <x v="0"/>
  </r>
  <r>
    <n v="222"/>
    <x v="266"/>
    <x v="0"/>
    <n v="7"/>
    <n v="20"/>
    <n v="13"/>
    <x v="0"/>
    <s v="bsb"/>
    <x v="0"/>
  </r>
  <r>
    <n v="224"/>
    <x v="266"/>
    <x v="0"/>
    <n v="7"/>
    <n v="30"/>
    <n v="23"/>
    <x v="0"/>
    <s v="bsb"/>
    <x v="0"/>
  </r>
  <r>
    <n v="230"/>
    <x v="266"/>
    <x v="0"/>
    <n v="7"/>
    <n v="20"/>
    <n v="13"/>
    <x v="0"/>
    <s v="bsb"/>
    <x v="0"/>
  </r>
  <r>
    <n v="430"/>
    <x v="266"/>
    <x v="0"/>
    <n v="7"/>
    <n v="20"/>
    <n v="13"/>
    <x v="0"/>
    <s v="bsb"/>
    <x v="0"/>
  </r>
  <r>
    <n v="431"/>
    <x v="266"/>
    <x v="0"/>
    <n v="7"/>
    <n v="20"/>
    <n v="13"/>
    <x v="0"/>
    <s v="bsb"/>
    <x v="0"/>
  </r>
  <r>
    <n v="484"/>
    <x v="266"/>
    <x v="0"/>
    <n v="7"/>
    <n v="25"/>
    <n v="18"/>
    <x v="0"/>
    <s v="bsb"/>
    <x v="0"/>
  </r>
  <r>
    <n v="486"/>
    <x v="266"/>
    <x v="0"/>
    <n v="7"/>
    <n v="20"/>
    <n v="13"/>
    <x v="0"/>
    <s v="bsb"/>
    <x v="0"/>
  </r>
  <r>
    <n v="649"/>
    <x v="266"/>
    <x v="0"/>
    <n v="7"/>
    <n v="25"/>
    <n v="18"/>
    <x v="0"/>
    <s v="bsb"/>
    <x v="0"/>
  </r>
  <r>
    <n v="650"/>
    <x v="266"/>
    <x v="0"/>
    <n v="7"/>
    <n v="25"/>
    <n v="18"/>
    <x v="0"/>
    <s v="bsb"/>
    <x v="0"/>
  </r>
  <r>
    <n v="725"/>
    <x v="266"/>
    <x v="0"/>
    <n v="7"/>
    <n v="20"/>
    <n v="13"/>
    <x v="0"/>
    <s v="bsb"/>
    <x v="0"/>
  </r>
  <r>
    <n v="728"/>
    <x v="266"/>
    <x v="0"/>
    <n v="7"/>
    <n v="40"/>
    <n v="33"/>
    <x v="0"/>
    <s v="bsb"/>
    <x v="0"/>
  </r>
  <r>
    <n v="729"/>
    <x v="266"/>
    <x v="0"/>
    <n v="7"/>
    <n v="20"/>
    <n v="13"/>
    <x v="0"/>
    <s v="bsb"/>
    <x v="0"/>
  </r>
  <r>
    <n v="730"/>
    <x v="266"/>
    <x v="0"/>
    <n v="7"/>
    <n v="20"/>
    <n v="13"/>
    <x v="0"/>
    <s v="bsb"/>
    <x v="0"/>
  </r>
  <r>
    <n v="30"/>
    <x v="267"/>
    <x v="0"/>
    <n v="7"/>
    <n v="20"/>
    <n v="13"/>
    <x v="0"/>
    <s v="bsb"/>
    <x v="0"/>
  </r>
  <r>
    <n v="31"/>
    <x v="267"/>
    <x v="0"/>
    <n v="7"/>
    <n v="20"/>
    <n v="13"/>
    <x v="0"/>
    <s v="bsb"/>
    <x v="0"/>
  </r>
  <r>
    <n v="467"/>
    <x v="268"/>
    <x v="0"/>
    <n v="9"/>
    <n v="21.21"/>
    <n v="12.21"/>
    <x v="0"/>
    <s v="bsb"/>
    <x v="0"/>
  </r>
  <r>
    <n v="615"/>
    <x v="268"/>
    <x v="0"/>
    <n v="36"/>
    <n v="70.67"/>
    <n v="34.67"/>
    <x v="0"/>
    <s v="bsb"/>
    <x v="0"/>
  </r>
  <r>
    <n v="879"/>
    <x v="269"/>
    <x v="0"/>
    <n v="13"/>
    <n v="30"/>
    <n v="17"/>
    <x v="0"/>
    <s v="bsb"/>
    <x v="0"/>
  </r>
  <r>
    <n v="880"/>
    <x v="270"/>
    <x v="0"/>
    <n v="13"/>
    <n v="20"/>
    <n v="7"/>
    <x v="0"/>
    <s v="bsb"/>
    <x v="0"/>
  </r>
  <r>
    <n v="468"/>
    <x v="271"/>
    <x v="0"/>
    <n v="10"/>
    <n v="26.62"/>
    <n v="16.62"/>
    <x v="0"/>
    <s v="bsb"/>
    <x v="0"/>
  </r>
  <r>
    <n v="889"/>
    <x v="272"/>
    <x v="0"/>
    <n v="130"/>
    <n v="230"/>
    <n v="100"/>
    <x v="0"/>
    <s v="bsb"/>
    <x v="0"/>
  </r>
  <r>
    <n v="32"/>
    <x v="273"/>
    <x v="0"/>
    <n v="16"/>
    <n v="50"/>
    <n v="34"/>
    <x v="0"/>
    <s v="bsb"/>
    <x v="0"/>
  </r>
  <r>
    <n v="195"/>
    <x v="274"/>
    <x v="0"/>
    <n v="12"/>
    <n v="35"/>
    <n v="23"/>
    <x v="0"/>
    <s v="bsb"/>
    <x v="0"/>
  </r>
  <r>
    <n v="469"/>
    <x v="275"/>
    <x v="0"/>
    <n v="2"/>
    <n v="11"/>
    <n v="9"/>
    <x v="0"/>
    <s v="bsb"/>
    <x v="0"/>
  </r>
  <r>
    <n v="552"/>
    <x v="276"/>
    <x v="0"/>
    <n v="11"/>
    <n v="20"/>
    <n v="9"/>
    <x v="0"/>
    <s v="bsb"/>
    <x v="0"/>
  </r>
  <r>
    <n v="470"/>
    <x v="277"/>
    <x v="0"/>
    <n v="14"/>
    <n v="19.850000000000001"/>
    <n v="5.8500000000000014"/>
    <x v="0"/>
    <s v="bsb"/>
    <x v="0"/>
  </r>
  <r>
    <n v="726"/>
    <x v="278"/>
    <x v="0"/>
    <n v="60"/>
    <n v="140"/>
    <n v="80"/>
    <x v="0"/>
    <s v="bsb"/>
    <x v="0"/>
  </r>
  <r>
    <n v="33"/>
    <x v="279"/>
    <x v="0"/>
    <n v="13"/>
    <n v="20"/>
    <n v="7"/>
    <x v="0"/>
    <s v="bsb"/>
    <x v="0"/>
  </r>
  <r>
    <n v="34"/>
    <x v="279"/>
    <x v="0"/>
    <n v="13"/>
    <n v="30"/>
    <n v="17"/>
    <x v="0"/>
    <s v="bsb"/>
    <x v="0"/>
  </r>
  <r>
    <n v="581"/>
    <x v="280"/>
    <x v="0"/>
    <n v="0"/>
    <n v="70"/>
    <n v="70"/>
    <x v="0"/>
    <s v="bsb"/>
    <x v="0"/>
  </r>
  <r>
    <n v="632"/>
    <x v="280"/>
    <x v="0"/>
    <n v="50"/>
    <n v="80"/>
    <n v="30"/>
    <x v="0"/>
    <s v="bsb"/>
    <x v="0"/>
  </r>
  <r>
    <n v="735"/>
    <x v="280"/>
    <x v="0"/>
    <n v="38"/>
    <n v="80"/>
    <n v="42"/>
    <x v="0"/>
    <s v="bsb"/>
    <x v="0"/>
  </r>
  <r>
    <n v="368"/>
    <x v="281"/>
    <x v="0"/>
    <n v="80"/>
    <n v="182.49"/>
    <n v="102.49000000000001"/>
    <x v="0"/>
    <s v="bsb"/>
    <x v="0"/>
  </r>
  <r>
    <n v="369"/>
    <x v="282"/>
    <x v="0"/>
    <n v="28"/>
    <n v="76.78"/>
    <n v="48.78"/>
    <x v="0"/>
    <s v="bsb"/>
    <x v="0"/>
  </r>
  <r>
    <n v="471"/>
    <x v="282"/>
    <x v="0"/>
    <n v="21"/>
    <n v="50.36"/>
    <n v="29.36"/>
    <x v="0"/>
    <s v="bsb"/>
    <x v="0"/>
  </r>
  <r>
    <n v="616"/>
    <x v="282"/>
    <x v="0"/>
    <n v="35"/>
    <n v="68.349999999999994"/>
    <n v="33.349999999999994"/>
    <x v="0"/>
    <s v="bsb"/>
    <x v="0"/>
  </r>
  <r>
    <n v="742"/>
    <x v="283"/>
    <x v="0"/>
    <n v="13"/>
    <n v="25"/>
    <n v="12"/>
    <x v="0"/>
    <s v="bsb"/>
    <x v="0"/>
  </r>
  <r>
    <n v="485"/>
    <x v="284"/>
    <x v="0"/>
    <n v="14"/>
    <n v="25"/>
    <n v="11"/>
    <x v="0"/>
    <s v="bsb"/>
    <x v="0"/>
  </r>
  <r>
    <n v="370"/>
    <x v="285"/>
    <x v="0"/>
    <n v="28"/>
    <n v="42.92"/>
    <n v="14.920000000000002"/>
    <x v="0"/>
    <s v="bsb"/>
    <x v="0"/>
  </r>
  <r>
    <n v="644"/>
    <x v="286"/>
    <x v="0"/>
    <n v="6"/>
    <n v="20"/>
    <n v="14"/>
    <x v="0"/>
    <s v="bsb"/>
    <x v="0"/>
  </r>
  <r>
    <n v="371"/>
    <x v="287"/>
    <x v="0"/>
    <n v="14"/>
    <n v="25.6"/>
    <n v="11.600000000000001"/>
    <x v="0"/>
    <s v="bsb"/>
    <x v="0"/>
  </r>
  <r>
    <n v="472"/>
    <x v="287"/>
    <x v="0"/>
    <n v="20"/>
    <n v="35.58"/>
    <n v="15.579999999999998"/>
    <x v="0"/>
    <s v="bsb"/>
    <x v="0"/>
  </r>
  <r>
    <n v="473"/>
    <x v="288"/>
    <x v="0"/>
    <n v="114"/>
    <n v="224.32999999999998"/>
    <n v="110.32999999999998"/>
    <x v="0"/>
    <s v="bsb"/>
    <x v="0"/>
  </r>
  <r>
    <n v="372"/>
    <x v="289"/>
    <x v="0"/>
    <n v="4"/>
    <n v="30.95"/>
    <n v="26.95"/>
    <x v="0"/>
    <s v="bsb"/>
    <x v="0"/>
  </r>
  <r>
    <n v="617"/>
    <x v="289"/>
    <x v="0"/>
    <n v="5"/>
    <n v="8.27"/>
    <n v="3.2699999999999996"/>
    <x v="0"/>
    <s v="bsb"/>
    <x v="0"/>
  </r>
  <r>
    <n v="869"/>
    <x v="290"/>
    <x v="0"/>
    <n v="9.69"/>
    <n v="30"/>
    <n v="20.310000000000002"/>
    <x v="0"/>
    <s v="bsb"/>
    <x v="0"/>
  </r>
  <r>
    <n v="640"/>
    <x v="291"/>
    <x v="0"/>
    <n v="14"/>
    <n v="25"/>
    <n v="11"/>
    <x v="0"/>
    <s v="bsb"/>
    <x v="0"/>
  </r>
  <r>
    <n v="641"/>
    <x v="291"/>
    <x v="0"/>
    <n v="14"/>
    <n v="25"/>
    <n v="11"/>
    <x v="0"/>
    <s v="bsb"/>
    <x v="0"/>
  </r>
  <r>
    <n v="492"/>
    <x v="292"/>
    <x v="0"/>
    <n v="90"/>
    <n v="150"/>
    <n v="60"/>
    <x v="0"/>
    <s v="bsb"/>
    <x v="0"/>
  </r>
  <r>
    <n v="209"/>
    <x v="293"/>
    <x v="0"/>
    <n v="80"/>
    <n v="160"/>
    <n v="80"/>
    <x v="0"/>
    <s v="bsb"/>
    <x v="0"/>
  </r>
  <r>
    <n v="549"/>
    <x v="293"/>
    <x v="0"/>
    <n v="80"/>
    <n v="150"/>
    <n v="70"/>
    <x v="0"/>
    <s v="bsb"/>
    <x v="0"/>
  </r>
  <r>
    <n v="89"/>
    <x v="294"/>
    <x v="0"/>
    <n v="15"/>
    <n v="35"/>
    <n v="20"/>
    <x v="0"/>
    <s v="bsb"/>
    <x v="0"/>
  </r>
  <r>
    <n v="373"/>
    <x v="295"/>
    <x v="0"/>
    <n v="15"/>
    <n v="20"/>
    <n v="5"/>
    <x v="0"/>
    <s v="bsb"/>
    <x v="0"/>
  </r>
  <r>
    <n v="810"/>
    <x v="296"/>
    <x v="0"/>
    <n v="8"/>
    <n v="20"/>
    <n v="12"/>
    <x v="0"/>
    <s v="bsb"/>
    <x v="0"/>
  </r>
  <r>
    <n v="637"/>
    <x v="297"/>
    <x v="0"/>
    <n v="5.5"/>
    <n v="10"/>
    <n v="4.5"/>
    <x v="0"/>
    <s v="bsb"/>
    <x v="0"/>
  </r>
  <r>
    <n v="420"/>
    <x v="298"/>
    <x v="0"/>
    <n v="5.5"/>
    <n v="15"/>
    <n v="9.5"/>
    <x v="0"/>
    <s v="bsb"/>
    <x v="0"/>
  </r>
  <r>
    <n v="474"/>
    <x v="299"/>
    <x v="0"/>
    <n v="12"/>
    <n v="33.81"/>
    <n v="21.810000000000002"/>
    <x v="0"/>
    <s v="bsb"/>
    <x v="0"/>
  </r>
  <r>
    <n v="618"/>
    <x v="299"/>
    <x v="0"/>
    <n v="5"/>
    <n v="8.9"/>
    <n v="3.9000000000000004"/>
    <x v="0"/>
    <s v="bsb"/>
    <x v="0"/>
  </r>
  <r>
    <n v="619"/>
    <x v="300"/>
    <x v="0"/>
    <n v="8"/>
    <n v="25.31"/>
    <n v="17.309999999999999"/>
    <x v="0"/>
    <s v="bsb"/>
    <x v="0"/>
  </r>
  <r>
    <n v="754"/>
    <x v="301"/>
    <x v="0"/>
    <n v="12.5"/>
    <n v="20"/>
    <n v="7.5"/>
    <x v="0"/>
    <s v="bsb"/>
    <x v="0"/>
  </r>
  <r>
    <n v="811"/>
    <x v="301"/>
    <x v="0"/>
    <n v="13.5"/>
    <n v="20"/>
    <n v="6.5"/>
    <x v="0"/>
    <s v="bsb"/>
    <x v="0"/>
  </r>
  <r>
    <n v="893"/>
    <x v="301"/>
    <x v="0"/>
    <n v="12.5"/>
    <n v="25"/>
    <n v="12.5"/>
    <x v="0"/>
    <s v="bsb"/>
    <x v="0"/>
  </r>
  <r>
    <n v="894"/>
    <x v="302"/>
    <x v="0"/>
    <n v="7.5"/>
    <n v="15"/>
    <n v="7.5"/>
    <x v="0"/>
    <s v="bsb"/>
    <x v="0"/>
  </r>
  <r>
    <n v="96"/>
    <x v="303"/>
    <x v="0"/>
    <n v="300"/>
    <n v="500"/>
    <n v="200"/>
    <x v="0"/>
    <s v="bsb"/>
    <x v="0"/>
  </r>
  <r>
    <n v="670"/>
    <x v="304"/>
    <x v="0"/>
    <n v="0"/>
    <n v="50"/>
    <n v="50"/>
    <x v="0"/>
    <s v="bsb"/>
    <x v="0"/>
  </r>
  <r>
    <n v="336"/>
    <x v="305"/>
    <x v="0"/>
    <n v="3"/>
    <n v="12"/>
    <n v="9"/>
    <x v="0"/>
    <s v="bsb"/>
    <x v="0"/>
  </r>
  <r>
    <n v="244"/>
    <x v="224"/>
    <x v="5"/>
    <n v="2"/>
    <n v="2"/>
    <n v="5.5"/>
    <x v="0"/>
    <s v="shopee"/>
    <x v="0"/>
  </r>
  <r>
    <n v="779"/>
    <x v="306"/>
    <x v="5"/>
    <n v="3"/>
    <n v="8.14"/>
    <n v="5.1400000000000006"/>
    <x v="0"/>
    <s v="shopee"/>
    <x v="0"/>
  </r>
  <r>
    <n v="125"/>
    <x v="307"/>
    <x v="4"/>
    <n v="14"/>
    <n v="36"/>
    <n v="22"/>
    <x v="0"/>
    <s v="shopee"/>
    <x v="0"/>
  </r>
  <r>
    <n v="839"/>
    <x v="307"/>
    <x v="4"/>
    <n v="16"/>
    <n v="22.52"/>
    <n v="6.52"/>
    <x v="0"/>
    <s v="shopee"/>
    <x v="0"/>
  </r>
  <r>
    <n v="55"/>
    <x v="308"/>
    <x v="0"/>
    <n v="5"/>
    <n v="12.07"/>
    <n v="7.07"/>
    <x v="0"/>
    <s v="shopee"/>
    <x v="0"/>
  </r>
  <r>
    <n v="42"/>
    <x v="309"/>
    <x v="0"/>
    <n v="110"/>
    <n v="221.1"/>
    <n v="111.1"/>
    <x v="0"/>
    <s v="shopee"/>
    <x v="0"/>
  </r>
  <r>
    <n v="70"/>
    <x v="309"/>
    <x v="0"/>
    <n v="5"/>
    <n v="8"/>
    <n v="3"/>
    <x v="0"/>
    <s v="shopee"/>
    <x v="0"/>
  </r>
  <r>
    <n v="106"/>
    <x v="227"/>
    <x v="34"/>
    <n v="560"/>
    <n v="1170.73"/>
    <n v="610.73"/>
    <x v="0"/>
    <s v="shopee"/>
    <x v="0"/>
  </r>
  <r>
    <n v="243"/>
    <x v="227"/>
    <x v="30"/>
    <n v="7"/>
    <n v="259"/>
    <n v="283.73"/>
    <x v="0"/>
    <s v="shopee"/>
    <x v="0"/>
  </r>
  <r>
    <n v="314"/>
    <x v="227"/>
    <x v="35"/>
    <n v="247.5"/>
    <n v="564.04999999999995"/>
    <n v="316.54999999999995"/>
    <x v="0"/>
    <s v="shopee"/>
    <x v="0"/>
  </r>
  <r>
    <n v="921"/>
    <x v="227"/>
    <x v="6"/>
    <n v="32.5"/>
    <n v="66.551199999999994"/>
    <n v="34.051199999999994"/>
    <x v="0"/>
    <s v="shopee"/>
    <x v="0"/>
  </r>
  <r>
    <n v="710"/>
    <x v="229"/>
    <x v="14"/>
    <n v="6.5"/>
    <n v="98.67"/>
    <n v="59.67"/>
    <x v="0"/>
    <s v="shopee"/>
    <x v="0"/>
  </r>
  <r>
    <n v="780"/>
    <x v="229"/>
    <x v="3"/>
    <n v="28"/>
    <n v="72.489999999999995"/>
    <n v="44.489999999999995"/>
    <x v="0"/>
    <s v="shopee"/>
    <x v="0"/>
  </r>
  <r>
    <n v="840"/>
    <x v="229"/>
    <x v="8"/>
    <n v="24"/>
    <n v="42.12"/>
    <n v="18.119999999999997"/>
    <x v="0"/>
    <s v="shopee"/>
    <x v="0"/>
  </r>
  <r>
    <n v="521"/>
    <x v="229"/>
    <x v="5"/>
    <n v="7.5"/>
    <n v="16.21"/>
    <n v="8.7100000000000009"/>
    <x v="0"/>
    <s v="shopee"/>
    <x v="0"/>
  </r>
  <r>
    <n v="922"/>
    <x v="229"/>
    <x v="5"/>
    <n v="9"/>
    <n v="12.3"/>
    <n v="3.3000000000000007"/>
    <x v="0"/>
    <s v="shopee"/>
    <x v="0"/>
  </r>
  <r>
    <n v="781"/>
    <x v="236"/>
    <x v="5"/>
    <n v="15"/>
    <n v="30"/>
    <n v="15"/>
    <x v="0"/>
    <s v="shopee"/>
    <x v="0"/>
  </r>
  <r>
    <n v="79"/>
    <x v="310"/>
    <x v="0"/>
    <n v="17"/>
    <n v="30"/>
    <n v="13"/>
    <x v="0"/>
    <s v="shopee"/>
    <x v="0"/>
  </r>
  <r>
    <n v="108"/>
    <x v="243"/>
    <x v="36"/>
    <n v="391"/>
    <n v="674.82"/>
    <n v="283.82000000000005"/>
    <x v="0"/>
    <s v="shopee"/>
    <x v="0"/>
  </r>
  <r>
    <n v="841"/>
    <x v="243"/>
    <x v="25"/>
    <n v="420"/>
    <n v="545"/>
    <n v="125"/>
    <x v="0"/>
    <s v="shopee"/>
    <x v="0"/>
  </r>
  <r>
    <n v="242"/>
    <x v="243"/>
    <x v="22"/>
    <n v="20"/>
    <n v="320"/>
    <n v="179.54999999999995"/>
    <x v="0"/>
    <s v="shopee"/>
    <x v="0"/>
  </r>
  <r>
    <n v="315"/>
    <x v="243"/>
    <x v="6"/>
    <n v="100"/>
    <n v="182.42000000000002"/>
    <n v="82.420000000000016"/>
    <x v="0"/>
    <s v="shopee"/>
    <x v="0"/>
  </r>
  <r>
    <n v="532"/>
    <x v="243"/>
    <x v="4"/>
    <n v="38"/>
    <n v="75.459999999999994"/>
    <n v="37.459999999999994"/>
    <x v="0"/>
    <s v="shopee"/>
    <x v="0"/>
  </r>
  <r>
    <n v="699"/>
    <x v="243"/>
    <x v="4"/>
    <n v="20"/>
    <n v="62.42"/>
    <n v="22.42"/>
    <x v="0"/>
    <s v="shopee"/>
    <x v="0"/>
  </r>
  <r>
    <n v="782"/>
    <x v="243"/>
    <x v="5"/>
    <n v="20"/>
    <n v="30.95"/>
    <n v="10.95"/>
    <x v="0"/>
    <s v="shopee"/>
    <x v="0"/>
  </r>
  <r>
    <n v="43"/>
    <x v="243"/>
    <x v="0"/>
    <n v="306"/>
    <n v="520.08999999999992"/>
    <n v="214.08999999999992"/>
    <x v="0"/>
    <s v="shopee"/>
    <x v="0"/>
  </r>
  <r>
    <n v="533"/>
    <x v="244"/>
    <x v="4"/>
    <n v="22"/>
    <n v="42.99"/>
    <n v="20.990000000000002"/>
    <x v="0"/>
    <s v="shopee"/>
    <x v="0"/>
  </r>
  <r>
    <n v="535"/>
    <x v="311"/>
    <x v="8"/>
    <n v="33"/>
    <n v="61.21"/>
    <n v="28.21"/>
    <x v="0"/>
    <s v="shopee"/>
    <x v="0"/>
  </r>
  <r>
    <n v="133"/>
    <x v="311"/>
    <x v="5"/>
    <n v="10"/>
    <n v="21.33"/>
    <n v="11.329999999999998"/>
    <x v="0"/>
    <s v="shopee"/>
    <x v="0"/>
  </r>
  <r>
    <n v="241"/>
    <x v="311"/>
    <x v="5"/>
    <n v="10"/>
    <n v="10"/>
    <n v="11.45"/>
    <x v="0"/>
    <s v="shopee"/>
    <x v="0"/>
  </r>
  <r>
    <n v="923"/>
    <x v="311"/>
    <x v="5"/>
    <n v="12"/>
    <n v="15.907999999999999"/>
    <n v="3.9079999999999995"/>
    <x v="0"/>
    <s v="shopee"/>
    <x v="0"/>
  </r>
  <r>
    <n v="702"/>
    <x v="312"/>
    <x v="5"/>
    <n v="2"/>
    <n v="23.4"/>
    <n v="21.4"/>
    <x v="0"/>
    <s v="shopee"/>
    <x v="0"/>
  </r>
  <r>
    <n v="842"/>
    <x v="313"/>
    <x v="5"/>
    <n v="12"/>
    <n v="18.170000000000002"/>
    <n v="6.1700000000000017"/>
    <x v="0"/>
    <s v="shopee"/>
    <x v="0"/>
  </r>
  <r>
    <n v="924"/>
    <x v="314"/>
    <x v="6"/>
    <n v="15"/>
    <n v="32.357199999999999"/>
    <n v="17.357199999999999"/>
    <x v="0"/>
    <s v="shopee"/>
    <x v="0"/>
  </r>
  <r>
    <n v="783"/>
    <x v="314"/>
    <x v="4"/>
    <n v="6"/>
    <n v="13.41"/>
    <n v="7.41"/>
    <x v="0"/>
    <s v="shopee"/>
    <x v="0"/>
  </r>
  <r>
    <n v="691"/>
    <x v="314"/>
    <x v="5"/>
    <n v="5"/>
    <n v="11.73"/>
    <n v="6.73"/>
    <x v="0"/>
    <s v="shopee"/>
    <x v="0"/>
  </r>
  <r>
    <n v="141"/>
    <x v="315"/>
    <x v="5"/>
    <n v="25"/>
    <n v="30"/>
    <n v="5"/>
    <x v="0"/>
    <s v="shopee"/>
    <x v="0"/>
  </r>
  <r>
    <n v="522"/>
    <x v="258"/>
    <x v="5"/>
    <n v="26"/>
    <n v="50.55"/>
    <n v="24.549999999999997"/>
    <x v="0"/>
    <s v="shopee"/>
    <x v="0"/>
  </r>
  <r>
    <n v="749"/>
    <x v="316"/>
    <x v="0"/>
    <n v="3"/>
    <n v="10"/>
    <n v="7"/>
    <x v="0"/>
    <s v="bsb"/>
    <x v="0"/>
  </r>
  <r>
    <n v="99"/>
    <x v="317"/>
    <x v="0"/>
    <n v="1.5"/>
    <n v="6"/>
    <n v="4.5"/>
    <x v="0"/>
    <s v="bsb"/>
    <x v="0"/>
  </r>
  <r>
    <n v="197"/>
    <x v="317"/>
    <x v="0"/>
    <n v="1.5"/>
    <n v="10"/>
    <n v="8.5"/>
    <x v="0"/>
    <s v="bsb"/>
    <x v="0"/>
  </r>
  <r>
    <n v="578"/>
    <x v="318"/>
    <x v="0"/>
    <n v="1.5"/>
    <n v="5"/>
    <n v="3.5"/>
    <x v="0"/>
    <s v="bsb"/>
    <x v="0"/>
  </r>
  <r>
    <n v="579"/>
    <x v="318"/>
    <x v="0"/>
    <n v="1.5"/>
    <n v="5"/>
    <n v="3.5"/>
    <x v="0"/>
    <s v="bsb"/>
    <x v="0"/>
  </r>
  <r>
    <n v="558"/>
    <x v="319"/>
    <x v="0"/>
    <n v="12"/>
    <n v="20"/>
    <n v="8"/>
    <x v="0"/>
    <s v="bsb"/>
    <x v="0"/>
  </r>
  <r>
    <n v="751"/>
    <x v="320"/>
    <x v="0"/>
    <n v="64.5"/>
    <n v="116.4"/>
    <n v="51.900000000000006"/>
    <x v="0"/>
    <s v="bsb"/>
    <x v="0"/>
  </r>
  <r>
    <n v="886"/>
    <x v="320"/>
    <x v="0"/>
    <n v="75"/>
    <n v="125"/>
    <n v="50"/>
    <x v="0"/>
    <s v="bsb"/>
    <x v="0"/>
  </r>
  <r>
    <n v="888"/>
    <x v="320"/>
    <x v="0"/>
    <n v="75"/>
    <n v="125"/>
    <n v="50"/>
    <x v="0"/>
    <s v="bsb"/>
    <x v="0"/>
  </r>
  <r>
    <n v="374"/>
    <x v="321"/>
    <x v="0"/>
    <n v="7"/>
    <n v="21.21"/>
    <n v="14.21"/>
    <x v="0"/>
    <s v="bsb"/>
    <x v="0"/>
  </r>
  <r>
    <n v="874"/>
    <x v="322"/>
    <x v="0"/>
    <n v="15"/>
    <n v="30"/>
    <n v="15"/>
    <x v="0"/>
    <s v="bsb"/>
    <x v="0"/>
  </r>
  <r>
    <n v="35"/>
    <x v="323"/>
    <x v="0"/>
    <n v="15"/>
    <n v="30"/>
    <n v="15"/>
    <x v="0"/>
    <s v="bsb"/>
    <x v="0"/>
  </r>
  <r>
    <n v="88"/>
    <x v="323"/>
    <x v="0"/>
    <n v="15"/>
    <n v="30"/>
    <n v="15"/>
    <x v="0"/>
    <s v="bsb"/>
    <x v="0"/>
  </r>
  <r>
    <n v="98"/>
    <x v="323"/>
    <x v="0"/>
    <n v="15"/>
    <n v="30"/>
    <n v="15"/>
    <x v="0"/>
    <s v="bsb"/>
    <x v="0"/>
  </r>
  <r>
    <n v="871"/>
    <x v="324"/>
    <x v="0"/>
    <n v="0"/>
    <n v="50"/>
    <n v="50"/>
    <x v="0"/>
    <s v="bsb"/>
    <x v="0"/>
  </r>
  <r>
    <n v="646"/>
    <x v="325"/>
    <x v="0"/>
    <n v="25"/>
    <n v="40"/>
    <n v="15"/>
    <x v="0"/>
    <s v="bsb"/>
    <x v="0"/>
  </r>
  <r>
    <n v="659"/>
    <x v="325"/>
    <x v="0"/>
    <n v="25"/>
    <n v="50"/>
    <n v="25"/>
    <x v="0"/>
    <s v="bsb"/>
    <x v="0"/>
  </r>
  <r>
    <n v="475"/>
    <x v="326"/>
    <x v="0"/>
    <n v="15"/>
    <n v="20"/>
    <n v="5"/>
    <x v="0"/>
    <s v="bsb"/>
    <x v="0"/>
  </r>
  <r>
    <n v="559"/>
    <x v="327"/>
    <x v="0"/>
    <n v="25"/>
    <n v="50"/>
    <n v="25"/>
    <x v="0"/>
    <s v="bsb"/>
    <x v="0"/>
  </r>
  <r>
    <n v="487"/>
    <x v="328"/>
    <x v="0"/>
    <n v="5"/>
    <n v="20"/>
    <n v="15"/>
    <x v="0"/>
    <s v="bsb"/>
    <x v="0"/>
  </r>
  <r>
    <n v="620"/>
    <x v="329"/>
    <x v="0"/>
    <n v="8"/>
    <n v="10"/>
    <n v="2"/>
    <x v="0"/>
    <s v="bsb"/>
    <x v="0"/>
  </r>
  <r>
    <n v="867"/>
    <x v="330"/>
    <x v="0"/>
    <n v="54.59"/>
    <n v="100"/>
    <n v="45.41"/>
    <x v="0"/>
    <s v="bsb"/>
    <x v="0"/>
  </r>
  <r>
    <n v="476"/>
    <x v="331"/>
    <x v="0"/>
    <n v="10"/>
    <n v="22"/>
    <n v="12"/>
    <x v="0"/>
    <s v="bsb"/>
    <x v="0"/>
  </r>
  <r>
    <n v="477"/>
    <x v="332"/>
    <x v="0"/>
    <n v="3"/>
    <n v="10"/>
    <n v="7"/>
    <x v="0"/>
    <s v="bsb"/>
    <x v="0"/>
  </r>
  <r>
    <n v="621"/>
    <x v="332"/>
    <x v="0"/>
    <n v="3"/>
    <n v="9.99"/>
    <n v="6.99"/>
    <x v="0"/>
    <s v="bsb"/>
    <x v="0"/>
  </r>
  <r>
    <n v="478"/>
    <x v="333"/>
    <x v="0"/>
    <n v="30"/>
    <n v="60"/>
    <n v="30"/>
    <x v="0"/>
    <s v="bsb"/>
    <x v="0"/>
  </r>
  <r>
    <n v="812"/>
    <x v="334"/>
    <x v="0"/>
    <n v="9"/>
    <n v="20"/>
    <n v="11"/>
    <x v="0"/>
    <s v="bsb"/>
    <x v="0"/>
  </r>
  <r>
    <n v="375"/>
    <x v="335"/>
    <x v="0"/>
    <n v="5"/>
    <n v="11.5"/>
    <n v="6.5"/>
    <x v="0"/>
    <s v="bsb"/>
    <x v="0"/>
  </r>
  <r>
    <n v="622"/>
    <x v="335"/>
    <x v="0"/>
    <n v="15"/>
    <n v="28.94"/>
    <n v="13.940000000000001"/>
    <x v="0"/>
    <s v="bsb"/>
    <x v="0"/>
  </r>
  <r>
    <n v="813"/>
    <x v="336"/>
    <x v="0"/>
    <n v="27.45"/>
    <n v="30"/>
    <n v="2.5500000000000007"/>
    <x v="0"/>
    <s v="bsb"/>
    <x v="0"/>
  </r>
  <r>
    <n v="623"/>
    <x v="337"/>
    <x v="0"/>
    <n v="9"/>
    <n v="18"/>
    <n v="9"/>
    <x v="0"/>
    <s v="bsb"/>
    <x v="0"/>
  </r>
  <r>
    <n v="87"/>
    <x v="338"/>
    <x v="0"/>
    <n v="22"/>
    <n v="110"/>
    <n v="88"/>
    <x v="0"/>
    <s v="bsb"/>
    <x v="0"/>
  </r>
  <r>
    <n v="329"/>
    <x v="338"/>
    <x v="0"/>
    <n v="22"/>
    <n v="65"/>
    <n v="43"/>
    <x v="0"/>
    <s v="bsb"/>
    <x v="0"/>
  </r>
  <r>
    <n v="330"/>
    <x v="338"/>
    <x v="0"/>
    <n v="22"/>
    <n v="65"/>
    <n v="43"/>
    <x v="0"/>
    <s v="bsb"/>
    <x v="0"/>
  </r>
  <r>
    <n v="925"/>
    <x v="258"/>
    <x v="5"/>
    <n v="0"/>
    <n v="37.474000000000004"/>
    <n v="37.474000000000004"/>
    <x v="0"/>
    <s v="shopee"/>
    <x v="0"/>
  </r>
  <r>
    <n v="784"/>
    <x v="260"/>
    <x v="8"/>
    <n v="60"/>
    <n v="121.28"/>
    <n v="61.28"/>
    <x v="0"/>
    <s v="shopee"/>
    <x v="0"/>
  </r>
  <r>
    <n v="240"/>
    <x v="260"/>
    <x v="4"/>
    <n v="19.5"/>
    <n v="39"/>
    <n v="30.72"/>
    <x v="0"/>
    <s v="shopee"/>
    <x v="0"/>
  </r>
  <r>
    <n v="843"/>
    <x v="260"/>
    <x v="5"/>
    <n v="25"/>
    <n v="32"/>
    <n v="7"/>
    <x v="0"/>
    <s v="shopee"/>
    <x v="0"/>
  </r>
  <r>
    <n v="136"/>
    <x v="339"/>
    <x v="5"/>
    <n v="16"/>
    <n v="25"/>
    <n v="9"/>
    <x v="0"/>
    <s v="shopee"/>
    <x v="0"/>
  </r>
  <r>
    <n v="71"/>
    <x v="339"/>
    <x v="0"/>
    <n v="16"/>
    <n v="32"/>
    <n v="16"/>
    <x v="0"/>
    <s v="shopee"/>
    <x v="0"/>
  </r>
  <r>
    <n v="239"/>
    <x v="261"/>
    <x v="3"/>
    <n v="18"/>
    <n v="72"/>
    <n v="62.27000000000001"/>
    <x v="0"/>
    <s v="shopee"/>
    <x v="0"/>
  </r>
  <r>
    <n v="316"/>
    <x v="261"/>
    <x v="5"/>
    <n v="18"/>
    <n v="31.12"/>
    <n v="13.120000000000001"/>
    <x v="0"/>
    <s v="shopee"/>
    <x v="0"/>
  </r>
  <r>
    <n v="523"/>
    <x v="261"/>
    <x v="5"/>
    <n v="18"/>
    <n v="40.590000000000003"/>
    <n v="22.590000000000003"/>
    <x v="0"/>
    <s v="shopee"/>
    <x v="0"/>
  </r>
  <r>
    <n v="77"/>
    <x v="267"/>
    <x v="0"/>
    <n v="5"/>
    <n v="16"/>
    <n v="11"/>
    <x v="0"/>
    <s v="shopee"/>
    <x v="0"/>
  </r>
  <r>
    <n v="78"/>
    <x v="267"/>
    <x v="0"/>
    <n v="5"/>
    <n v="16"/>
    <n v="11"/>
    <x v="0"/>
    <s v="shopee"/>
    <x v="0"/>
  </r>
  <r>
    <n v="844"/>
    <x v="268"/>
    <x v="8"/>
    <n v="30"/>
    <n v="58.75"/>
    <n v="28.75"/>
    <x v="0"/>
    <s v="shopee"/>
    <x v="0"/>
  </r>
  <r>
    <n v="703"/>
    <x v="268"/>
    <x v="4"/>
    <n v="9"/>
    <n v="44.16"/>
    <n v="26.159999999999997"/>
    <x v="0"/>
    <s v="shopee"/>
    <x v="0"/>
  </r>
  <r>
    <n v="524"/>
    <x v="268"/>
    <x v="5"/>
    <n v="9"/>
    <n v="26.53"/>
    <n v="17.53"/>
    <x v="0"/>
    <s v="shopee"/>
    <x v="0"/>
  </r>
  <r>
    <n v="47"/>
    <x v="268"/>
    <x v="0"/>
    <n v="63"/>
    <n v="89.56"/>
    <n v="26.560000000000002"/>
    <x v="0"/>
    <s v="shopee"/>
    <x v="0"/>
  </r>
  <r>
    <n v="697"/>
    <x v="340"/>
    <x v="5"/>
    <n v="18"/>
    <n v="33.75"/>
    <n v="15.75"/>
    <x v="0"/>
    <s v="shopee"/>
    <x v="0"/>
  </r>
  <r>
    <n v="72"/>
    <x v="341"/>
    <x v="0"/>
    <n v="16"/>
    <n v="26.71"/>
    <n v="10.71"/>
    <x v="0"/>
    <s v="shopee"/>
    <x v="0"/>
  </r>
  <r>
    <n v="116"/>
    <x v="274"/>
    <x v="3"/>
    <n v="64"/>
    <n v="120.05000000000001"/>
    <n v="56.050000000000011"/>
    <x v="0"/>
    <s v="shopee"/>
    <x v="0"/>
  </r>
  <r>
    <n v="525"/>
    <x v="342"/>
    <x v="5"/>
    <n v="2"/>
    <n v="20"/>
    <n v="18"/>
    <x v="0"/>
    <s v="shopee"/>
    <x v="0"/>
  </r>
  <r>
    <n v="104"/>
    <x v="282"/>
    <x v="37"/>
    <n v="978"/>
    <n v="2394.59"/>
    <n v="1416.5900000000001"/>
    <x v="0"/>
    <s v="shopee"/>
    <x v="0"/>
  </r>
  <r>
    <n v="716"/>
    <x v="282"/>
    <x v="38"/>
    <n v="7"/>
    <n v="726.68000000000006"/>
    <n v="334.68000000000006"/>
    <x v="0"/>
    <s v="shopee"/>
    <x v="0"/>
  </r>
  <r>
    <n v="317"/>
    <x v="282"/>
    <x v="32"/>
    <n v="273"/>
    <n v="551.13"/>
    <n v="278.13"/>
    <x v="0"/>
    <s v="shopee"/>
    <x v="0"/>
  </r>
  <r>
    <n v="238"/>
    <x v="282"/>
    <x v="30"/>
    <n v="7"/>
    <n v="259"/>
    <n v="455.81999999999994"/>
    <x v="0"/>
    <s v="shopee"/>
    <x v="0"/>
  </r>
  <r>
    <n v="785"/>
    <x v="282"/>
    <x v="39"/>
    <n v="203"/>
    <n v="482.52"/>
    <n v="279.52"/>
    <x v="0"/>
    <s v="shopee"/>
    <x v="0"/>
  </r>
  <r>
    <n v="845"/>
    <x v="282"/>
    <x v="40"/>
    <n v="126"/>
    <n v="365.28"/>
    <n v="239.27999999999997"/>
    <x v="0"/>
    <s v="shopee"/>
    <x v="0"/>
  </r>
  <r>
    <n v="540"/>
    <x v="282"/>
    <x v="20"/>
    <n v="84"/>
    <n v="231.59"/>
    <n v="147.59"/>
    <x v="0"/>
    <s v="shopee"/>
    <x v="0"/>
  </r>
  <r>
    <n v="926"/>
    <x v="282"/>
    <x v="19"/>
    <n v="77"/>
    <n v="184.20479999999998"/>
    <n v="107.20479999999998"/>
    <x v="0"/>
    <s v="shopee"/>
    <x v="0"/>
  </r>
  <r>
    <n v="39"/>
    <x v="282"/>
    <x v="0"/>
    <n v="324"/>
    <n v="868.72"/>
    <n v="544.72"/>
    <x v="0"/>
    <s v="shopee"/>
    <x v="0"/>
  </r>
  <r>
    <n v="121"/>
    <x v="285"/>
    <x v="8"/>
    <n v="42"/>
    <n v="70.240000000000009"/>
    <n v="28.240000000000009"/>
    <x v="0"/>
    <s v="shopee"/>
    <x v="0"/>
  </r>
  <r>
    <n v="237"/>
    <x v="285"/>
    <x v="4"/>
    <n v="14"/>
    <n v="28"/>
    <n v="26"/>
    <x v="0"/>
    <s v="shopee"/>
    <x v="0"/>
  </r>
  <r>
    <n v="318"/>
    <x v="285"/>
    <x v="5"/>
    <n v="12"/>
    <n v="19.98"/>
    <n v="7.98"/>
    <x v="0"/>
    <s v="shopee"/>
    <x v="0"/>
  </r>
  <r>
    <n v="846"/>
    <x v="285"/>
    <x v="5"/>
    <n v="12"/>
    <n v="26.25"/>
    <n v="14.25"/>
    <x v="0"/>
    <s v="shopee"/>
    <x v="0"/>
  </r>
  <r>
    <n v="927"/>
    <x v="343"/>
    <x v="5"/>
    <n v="0.6"/>
    <n v="1.4923999999999999"/>
    <n v="0.89239999999999997"/>
    <x v="0"/>
    <s v="shopee"/>
    <x v="0"/>
  </r>
  <r>
    <n v="80"/>
    <x v="344"/>
    <x v="0"/>
    <n v="25"/>
    <n v="40"/>
    <n v="15"/>
    <x v="0"/>
    <s v="shopee"/>
    <x v="0"/>
  </r>
  <r>
    <n v="526"/>
    <x v="289"/>
    <x v="5"/>
    <n v="5"/>
    <n v="9.24"/>
    <n v="4.24"/>
    <x v="0"/>
    <s v="shopee"/>
    <x v="0"/>
  </r>
  <r>
    <n v="928"/>
    <x v="289"/>
    <x v="5"/>
    <n v="2"/>
    <n v="8.1999999999999993"/>
    <n v="6.1999999999999993"/>
    <x v="0"/>
    <s v="shopee"/>
    <x v="0"/>
  </r>
  <r>
    <n v="139"/>
    <x v="345"/>
    <x v="4"/>
    <n v="4"/>
    <n v="9.6"/>
    <n v="5.6"/>
    <x v="0"/>
    <s v="shopee"/>
    <x v="0"/>
  </r>
  <r>
    <n v="236"/>
    <x v="346"/>
    <x v="5"/>
    <n v="10"/>
    <n v="10"/>
    <n v="10"/>
    <x v="0"/>
    <s v="shopee"/>
    <x v="0"/>
  </r>
  <r>
    <n v="331"/>
    <x v="338"/>
    <x v="0"/>
    <n v="22"/>
    <n v="90"/>
    <n v="68"/>
    <x v="0"/>
    <s v="bsb"/>
    <x v="0"/>
  </r>
  <r>
    <n v="419"/>
    <x v="338"/>
    <x v="0"/>
    <n v="30"/>
    <n v="80"/>
    <n v="50"/>
    <x v="0"/>
    <s v="bsb"/>
    <x v="0"/>
  </r>
  <r>
    <n v="428"/>
    <x v="338"/>
    <x v="0"/>
    <n v="30"/>
    <n v="80"/>
    <n v="50"/>
    <x v="0"/>
    <s v="bsb"/>
    <x v="0"/>
  </r>
  <r>
    <n v="429"/>
    <x v="338"/>
    <x v="0"/>
    <n v="30"/>
    <n v="80"/>
    <n v="50"/>
    <x v="0"/>
    <s v="bsb"/>
    <x v="0"/>
  </r>
  <r>
    <n v="493"/>
    <x v="338"/>
    <x v="0"/>
    <n v="30"/>
    <n v="100"/>
    <n v="70"/>
    <x v="0"/>
    <s v="bsb"/>
    <x v="0"/>
  </r>
  <r>
    <n v="872"/>
    <x v="347"/>
    <x v="0"/>
    <n v="130"/>
    <n v="220"/>
    <n v="90"/>
    <x v="0"/>
    <s v="bsb"/>
    <x v="0"/>
  </r>
  <r>
    <n v="873"/>
    <x v="347"/>
    <x v="0"/>
    <n v="130"/>
    <n v="220"/>
    <n v="90"/>
    <x v="0"/>
    <s v="bsb"/>
    <x v="0"/>
  </r>
  <r>
    <n v="676"/>
    <x v="348"/>
    <x v="0"/>
    <n v="90"/>
    <n v="160"/>
    <n v="70"/>
    <x v="0"/>
    <s v="bsb"/>
    <x v="0"/>
  </r>
  <r>
    <n v="36"/>
    <x v="349"/>
    <x v="0"/>
    <n v="160"/>
    <n v="250"/>
    <n v="90"/>
    <x v="0"/>
    <s v="bsb"/>
    <x v="0"/>
  </r>
  <r>
    <n v="37"/>
    <x v="349"/>
    <x v="0"/>
    <n v="160"/>
    <n v="200"/>
    <n v="40"/>
    <x v="0"/>
    <s v="bsb"/>
    <x v="0"/>
  </r>
  <r>
    <n v="212"/>
    <x v="350"/>
    <x v="0"/>
    <n v="10"/>
    <n v="50"/>
    <n v="40"/>
    <x v="0"/>
    <s v="bsb"/>
    <x v="0"/>
  </r>
  <r>
    <n v="376"/>
    <x v="351"/>
    <x v="0"/>
    <n v="16.666666666666668"/>
    <n v="110.42"/>
    <n v="93.75333333333333"/>
    <x v="0"/>
    <s v="bsb"/>
    <x v="0"/>
  </r>
  <r>
    <n v="624"/>
    <x v="351"/>
    <x v="0"/>
    <n v="0.41666666666666669"/>
    <n v="1.9"/>
    <n v="1.4833333333333332"/>
    <x v="0"/>
    <s v="bsb"/>
    <x v="0"/>
  </r>
  <r>
    <n v="479"/>
    <x v="352"/>
    <x v="0"/>
    <n v="1.25"/>
    <n v="5.97"/>
    <n v="4.72"/>
    <x v="0"/>
    <s v="bsb"/>
    <x v="0"/>
  </r>
  <r>
    <n v="647"/>
    <x v="353"/>
    <x v="0"/>
    <n v="14"/>
    <n v="30"/>
    <n v="16"/>
    <x v="0"/>
    <s v="bsb"/>
    <x v="0"/>
  </r>
  <r>
    <n v="633"/>
    <x v="354"/>
    <x v="0"/>
    <n v="2"/>
    <n v="5"/>
    <n v="3"/>
    <x v="0"/>
    <s v="bsb"/>
    <x v="0"/>
  </r>
  <r>
    <n v="642"/>
    <x v="354"/>
    <x v="0"/>
    <n v="18"/>
    <n v="30"/>
    <n v="12"/>
    <x v="0"/>
    <s v="bsb"/>
    <x v="0"/>
  </r>
  <r>
    <n v="432"/>
    <x v="355"/>
    <x v="0"/>
    <n v="10"/>
    <n v="35"/>
    <n v="25"/>
    <x v="0"/>
    <s v="bsb"/>
    <x v="0"/>
  </r>
  <r>
    <n v="821"/>
    <x v="356"/>
    <x v="0"/>
    <n v="48"/>
    <n v="85"/>
    <n v="37"/>
    <x v="0"/>
    <s v="bsb"/>
    <x v="0"/>
  </r>
  <r>
    <n v="210"/>
    <x v="357"/>
    <x v="0"/>
    <n v="30"/>
    <n v="60"/>
    <n v="30"/>
    <x v="0"/>
    <s v="bsb"/>
    <x v="0"/>
  </r>
  <r>
    <n v="666"/>
    <x v="358"/>
    <x v="0"/>
    <n v="58"/>
    <n v="100"/>
    <n v="42"/>
    <x v="0"/>
    <s v="bsb"/>
    <x v="0"/>
  </r>
  <r>
    <n v="377"/>
    <x v="359"/>
    <x v="0"/>
    <n v="3"/>
    <n v="8.65"/>
    <n v="5.65"/>
    <x v="0"/>
    <s v="bsb"/>
    <x v="0"/>
  </r>
  <r>
    <n v="814"/>
    <x v="360"/>
    <x v="0"/>
    <n v="30"/>
    <n v="70"/>
    <n v="40"/>
    <x v="0"/>
    <s v="bsb"/>
    <x v="0"/>
  </r>
  <r>
    <n v="625"/>
    <x v="361"/>
    <x v="0"/>
    <n v="14"/>
    <n v="37.25"/>
    <n v="23.25"/>
    <x v="0"/>
    <s v="bsb"/>
    <x v="0"/>
  </r>
  <r>
    <n v="815"/>
    <x v="362"/>
    <x v="0"/>
    <n v="15"/>
    <n v="30"/>
    <n v="15"/>
    <x v="0"/>
    <s v="bsb"/>
    <x v="0"/>
  </r>
  <r>
    <n v="818"/>
    <x v="362"/>
    <x v="0"/>
    <n v="15"/>
    <n v="30"/>
    <n v="15"/>
    <x v="0"/>
    <s v="bsb"/>
    <x v="0"/>
  </r>
  <r>
    <n v="93"/>
    <x v="363"/>
    <x v="0"/>
    <n v="28"/>
    <n v="60"/>
    <n v="32"/>
    <x v="0"/>
    <s v="bsb"/>
    <x v="0"/>
  </r>
  <r>
    <n v="505"/>
    <x v="364"/>
    <x v="0"/>
    <n v="70"/>
    <n v="120"/>
    <n v="50"/>
    <x v="0"/>
    <s v="bsb"/>
    <x v="0"/>
  </r>
  <r>
    <n v="527"/>
    <x v="346"/>
    <x v="5"/>
    <n v="9"/>
    <n v="18.11"/>
    <n v="9.11"/>
    <x v="0"/>
    <s v="shopee"/>
    <x v="0"/>
  </r>
  <r>
    <n v="682"/>
    <x v="365"/>
    <x v="5"/>
    <n v="30"/>
    <n v="31.59"/>
    <n v="1.5899999999999999"/>
    <x v="0"/>
    <s v="shopee"/>
    <x v="0"/>
  </r>
  <r>
    <n v="847"/>
    <x v="366"/>
    <x v="5"/>
    <n v="30"/>
    <n v="49.48"/>
    <n v="19.479999999999997"/>
    <x v="0"/>
    <s v="shopee"/>
    <x v="0"/>
  </r>
  <r>
    <n v="929"/>
    <x v="367"/>
    <x v="5"/>
    <n v="25"/>
    <n v="26.215399999999999"/>
    <n v="1.2153999999999989"/>
    <x v="0"/>
    <s v="shopee"/>
    <x v="0"/>
  </r>
  <r>
    <n v="113"/>
    <x v="368"/>
    <x v="4"/>
    <n v="50"/>
    <n v="151.76"/>
    <n v="101.75999999999999"/>
    <x v="0"/>
    <s v="shopee"/>
    <x v="0"/>
  </r>
  <r>
    <n v="73"/>
    <x v="368"/>
    <x v="0"/>
    <n v="25"/>
    <n v="50"/>
    <n v="25"/>
    <x v="0"/>
    <s v="shopee"/>
    <x v="0"/>
  </r>
  <r>
    <n v="848"/>
    <x v="369"/>
    <x v="41"/>
    <n v="286"/>
    <n v="724.47"/>
    <n v="438.47"/>
    <x v="0"/>
    <s v="shopee"/>
    <x v="0"/>
  </r>
  <r>
    <n v="930"/>
    <x v="369"/>
    <x v="42"/>
    <n v="236.5"/>
    <n v="579.51859999999999"/>
    <n v="343.01859999999999"/>
    <x v="0"/>
    <s v="shopee"/>
    <x v="0"/>
  </r>
  <r>
    <n v="786"/>
    <x v="299"/>
    <x v="43"/>
    <n v="82.5"/>
    <n v="181.14"/>
    <n v="98.639999999999986"/>
    <x v="0"/>
    <s v="shopee"/>
    <x v="0"/>
  </r>
  <r>
    <n v="709"/>
    <x v="299"/>
    <x v="1"/>
    <n v="5.5"/>
    <n v="96.94"/>
    <n v="52.94"/>
    <x v="0"/>
    <s v="shopee"/>
    <x v="0"/>
  </r>
  <r>
    <n v="534"/>
    <x v="299"/>
    <x v="4"/>
    <n v="10"/>
    <n v="29.17"/>
    <n v="19.170000000000002"/>
    <x v="0"/>
    <s v="shopee"/>
    <x v="0"/>
  </r>
  <r>
    <n v="693"/>
    <x v="300"/>
    <x v="5"/>
    <n v="8"/>
    <n v="16.25"/>
    <n v="8.25"/>
    <x v="0"/>
    <s v="shopee"/>
    <x v="0"/>
  </r>
  <r>
    <n v="787"/>
    <x v="300"/>
    <x v="5"/>
    <n v="8"/>
    <n v="18.75"/>
    <n v="10.75"/>
    <x v="0"/>
    <s v="shopee"/>
    <x v="0"/>
  </r>
  <r>
    <n v="319"/>
    <x v="370"/>
    <x v="5"/>
    <n v="8"/>
    <n v="15.52"/>
    <n v="7.52"/>
    <x v="0"/>
    <s v="shopee"/>
    <x v="0"/>
  </r>
  <r>
    <n v="114"/>
    <x v="371"/>
    <x v="35"/>
    <n v="49.5"/>
    <n v="135.13"/>
    <n v="85.63"/>
    <x v="0"/>
    <s v="shopee"/>
    <x v="0"/>
  </r>
  <r>
    <n v="320"/>
    <x v="371"/>
    <x v="4"/>
    <n v="3"/>
    <n v="16.21"/>
    <n v="13.21"/>
    <x v="0"/>
    <s v="shopee"/>
    <x v="0"/>
  </r>
  <r>
    <n v="46"/>
    <x v="371"/>
    <x v="0"/>
    <n v="14.399999999999999"/>
    <n v="38.56"/>
    <n v="24.160000000000004"/>
    <x v="0"/>
    <s v="shopee"/>
    <x v="0"/>
  </r>
  <r>
    <n v="931"/>
    <x v="372"/>
    <x v="4"/>
    <n v="40"/>
    <n v="46.74"/>
    <n v="6.740000000000002"/>
    <x v="0"/>
    <s v="shopee"/>
    <x v="0"/>
  </r>
  <r>
    <n v="321"/>
    <x v="373"/>
    <x v="4"/>
    <n v="8"/>
    <n v="27.54"/>
    <n v="19.54"/>
    <x v="0"/>
    <s v="shopee"/>
    <x v="0"/>
  </r>
  <r>
    <n v="138"/>
    <x v="374"/>
    <x v="5"/>
    <n v="2.5"/>
    <n v="9"/>
    <n v="6.5"/>
    <x v="0"/>
    <s v="shopee"/>
    <x v="0"/>
  </r>
  <r>
    <n v="849"/>
    <x v="375"/>
    <x v="3"/>
    <n v="40"/>
    <n v="107.66"/>
    <n v="67.66"/>
    <x v="0"/>
    <s v="shopee"/>
    <x v="0"/>
  </r>
  <r>
    <n v="932"/>
    <x v="375"/>
    <x v="5"/>
    <n v="10"/>
    <n v="18.236799999999999"/>
    <n v="8.2367999999999988"/>
    <x v="0"/>
    <s v="shopee"/>
    <x v="0"/>
  </r>
  <r>
    <n v="788"/>
    <x v="376"/>
    <x v="5"/>
    <n v="12"/>
    <n v="36.630000000000003"/>
    <n v="24.630000000000003"/>
    <x v="0"/>
    <s v="shopee"/>
    <x v="0"/>
  </r>
  <r>
    <n v="701"/>
    <x v="331"/>
    <x v="4"/>
    <n v="12"/>
    <n v="46.61"/>
    <n v="22.61"/>
    <x v="0"/>
    <s v="shopee"/>
    <x v="0"/>
  </r>
  <r>
    <n v="850"/>
    <x v="377"/>
    <x v="5"/>
    <n v="10"/>
    <n v="20"/>
    <n v="10"/>
    <x v="0"/>
    <s v="shopee"/>
    <x v="0"/>
  </r>
  <r>
    <n v="933"/>
    <x v="332"/>
    <x v="4"/>
    <n v="10"/>
    <n v="12.3"/>
    <n v="2.3000000000000007"/>
    <x v="0"/>
    <s v="shopee"/>
    <x v="0"/>
  </r>
  <r>
    <n v="112"/>
    <x v="333"/>
    <x v="5"/>
    <n v="20"/>
    <n v="142.21"/>
    <n v="122.21000000000001"/>
    <x v="0"/>
    <s v="shopee"/>
    <x v="0"/>
  </r>
  <r>
    <n v="130"/>
    <x v="335"/>
    <x v="4"/>
    <n v="10"/>
    <n v="22.39"/>
    <n v="12.39"/>
    <x v="0"/>
    <s v="shopee"/>
    <x v="0"/>
  </r>
  <r>
    <n v="322"/>
    <x v="335"/>
    <x v="4"/>
    <n v="10"/>
    <n v="20"/>
    <n v="10"/>
    <x v="0"/>
    <s v="shopee"/>
    <x v="0"/>
  </r>
  <r>
    <n v="934"/>
    <x v="335"/>
    <x v="4"/>
    <n v="10"/>
    <n v="17.1462"/>
    <n v="7.1462000000000003"/>
    <x v="0"/>
    <s v="shopee"/>
    <x v="0"/>
  </r>
  <r>
    <n v="235"/>
    <x v="335"/>
    <x v="5"/>
    <n v="5"/>
    <n v="5"/>
    <n v="9.7200000000000006"/>
    <x v="0"/>
    <s v="shopee"/>
    <x v="0"/>
  </r>
  <r>
    <n v="688"/>
    <x v="335"/>
    <x v="5"/>
    <n v="5"/>
    <n v="10"/>
    <n v="5"/>
    <x v="0"/>
    <s v="shopee"/>
    <x v="0"/>
  </r>
  <r>
    <n v="851"/>
    <x v="335"/>
    <x v="5"/>
    <n v="5"/>
    <n v="9.8800000000000008"/>
    <n v="4.8800000000000008"/>
    <x v="0"/>
    <s v="shopee"/>
    <x v="0"/>
  </r>
  <r>
    <n v="56"/>
    <x v="335"/>
    <x v="0"/>
    <n v="10"/>
    <n v="21.35"/>
    <n v="11.350000000000001"/>
    <x v="0"/>
    <s v="shopee"/>
    <x v="0"/>
  </r>
  <r>
    <n v="707"/>
    <x v="378"/>
    <x v="5"/>
    <n v="30"/>
    <n v="65"/>
    <n v="35"/>
    <x v="0"/>
    <s v="shopee"/>
    <x v="0"/>
  </r>
  <r>
    <n v="852"/>
    <x v="379"/>
    <x v="5"/>
    <n v="16"/>
    <n v="50"/>
    <n v="34"/>
    <x v="0"/>
    <s v="shopee"/>
    <x v="0"/>
  </r>
  <r>
    <n v="712"/>
    <x v="337"/>
    <x v="1"/>
    <n v="9"/>
    <n v="163.06"/>
    <n v="91.06"/>
    <x v="0"/>
    <s v="shopee"/>
    <x v="0"/>
  </r>
  <r>
    <n v="853"/>
    <x v="337"/>
    <x v="3"/>
    <n v="44"/>
    <n v="92.3"/>
    <n v="48.3"/>
    <x v="0"/>
    <s v="shopee"/>
    <x v="0"/>
  </r>
  <r>
    <n v="789"/>
    <x v="337"/>
    <x v="8"/>
    <n v="27"/>
    <n v="55.99"/>
    <n v="28.990000000000002"/>
    <x v="0"/>
    <s v="shopee"/>
    <x v="0"/>
  </r>
  <r>
    <n v="935"/>
    <x v="380"/>
    <x v="5"/>
    <n v="180"/>
    <n v="241.9"/>
    <n v="61.900000000000006"/>
    <x v="0"/>
    <s v="shopee"/>
    <x v="0"/>
  </r>
  <r>
    <n v="323"/>
    <x v="381"/>
    <x v="5"/>
    <n v="24"/>
    <n v="50"/>
    <n v="26"/>
    <x v="0"/>
    <s v="shopee"/>
    <x v="0"/>
  </r>
  <r>
    <n v="324"/>
    <x v="382"/>
    <x v="36"/>
    <n v="138"/>
    <n v="104.12"/>
    <n v="-33.879999999999995"/>
    <x v="0"/>
    <s v="shopee"/>
    <x v="0"/>
  </r>
  <r>
    <n v="421"/>
    <x v="383"/>
    <x v="0"/>
    <n v="70"/>
    <n v="100"/>
    <n v="30"/>
    <x v="0"/>
    <s v="bsb"/>
    <x v="0"/>
  </r>
  <r>
    <n v="489"/>
    <x v="383"/>
    <x v="0"/>
    <n v="70"/>
    <n v="120"/>
    <n v="50"/>
    <x v="0"/>
    <s v="bsb"/>
    <x v="0"/>
  </r>
  <r>
    <n v="378"/>
    <x v="384"/>
    <x v="0"/>
    <n v="20"/>
    <n v="40"/>
    <n v="20"/>
    <x v="0"/>
    <s v="bsb"/>
    <x v="0"/>
  </r>
  <r>
    <n v="38"/>
    <x v="385"/>
    <x v="0"/>
    <n v="23"/>
    <n v="50"/>
    <n v="27"/>
    <x v="0"/>
    <s v="bsb"/>
    <x v="0"/>
  </r>
  <r>
    <n v="551"/>
    <x v="386"/>
    <x v="0"/>
    <n v="14"/>
    <n v="25"/>
    <n v="11"/>
    <x v="0"/>
    <s v="bsb"/>
    <x v="0"/>
  </r>
  <r>
    <n v="550"/>
    <x v="387"/>
    <x v="0"/>
    <n v="14"/>
    <n v="30"/>
    <n v="16"/>
    <x v="0"/>
    <s v="bsb"/>
    <x v="0"/>
  </r>
  <r>
    <n v="281"/>
    <x v="388"/>
    <x v="0"/>
    <n v="15"/>
    <n v="40"/>
    <n v="25"/>
    <x v="0"/>
    <s v="bsb"/>
    <x v="0"/>
  </r>
  <r>
    <n v="630"/>
    <x v="389"/>
    <x v="0"/>
    <n v="22"/>
    <n v="40"/>
    <n v="18"/>
    <x v="0"/>
    <s v="bsb"/>
    <x v="0"/>
  </r>
  <r>
    <n v="569"/>
    <x v="390"/>
    <x v="0"/>
    <n v="100"/>
    <n v="200"/>
    <n v="100"/>
    <x v="0"/>
    <s v="bsb"/>
    <x v="0"/>
  </r>
  <r>
    <n v="816"/>
    <x v="390"/>
    <x v="0"/>
    <n v="165"/>
    <n v="280"/>
    <n v="115"/>
    <x v="0"/>
    <s v="bsb"/>
    <x v="0"/>
  </r>
  <r>
    <n v="876"/>
    <x v="390"/>
    <x v="0"/>
    <n v="160"/>
    <n v="250"/>
    <n v="90"/>
    <x v="0"/>
    <s v="bsb"/>
    <x v="0"/>
  </r>
  <r>
    <n v="675"/>
    <x v="391"/>
    <x v="0"/>
    <n v="68"/>
    <n v="100"/>
    <n v="32"/>
    <x v="0"/>
    <s v="bsb"/>
    <x v="0"/>
  </r>
  <r>
    <n v="677"/>
    <x v="391"/>
    <x v="0"/>
    <n v="68"/>
    <n v="100"/>
    <n v="32"/>
    <x v="0"/>
    <s v="bsb"/>
    <x v="0"/>
  </r>
  <r>
    <n v="379"/>
    <x v="392"/>
    <x v="0"/>
    <n v="1"/>
    <n v="2.1800000000000002"/>
    <n v="1.1800000000000002"/>
    <x v="0"/>
    <s v="bsb"/>
    <x v="0"/>
  </r>
  <r>
    <n v="626"/>
    <x v="393"/>
    <x v="0"/>
    <n v="4"/>
    <n v="29.11"/>
    <n v="25.11"/>
    <x v="0"/>
    <s v="bsb"/>
    <x v="0"/>
  </r>
  <r>
    <n v="480"/>
    <x v="394"/>
    <x v="0"/>
    <m/>
    <m/>
    <m/>
    <x v="1"/>
    <m/>
    <x v="0"/>
  </r>
  <r>
    <n v="481"/>
    <x v="394"/>
    <x v="0"/>
    <m/>
    <m/>
    <m/>
    <x v="1"/>
    <m/>
    <x v="0"/>
  </r>
  <r>
    <n v="81"/>
    <x v="394"/>
    <x v="0"/>
    <m/>
    <m/>
    <m/>
    <x v="1"/>
    <m/>
    <x v="0"/>
  </r>
  <r>
    <n v="82"/>
    <x v="394"/>
    <x v="0"/>
    <m/>
    <m/>
    <m/>
    <x v="1"/>
    <m/>
    <x v="0"/>
  </r>
  <r>
    <n v="83"/>
    <x v="394"/>
    <x v="0"/>
    <m/>
    <m/>
    <m/>
    <x v="1"/>
    <m/>
    <x v="0"/>
  </r>
  <r>
    <n v="84"/>
    <x v="394"/>
    <x v="0"/>
    <m/>
    <m/>
    <m/>
    <x v="1"/>
    <m/>
    <x v="0"/>
  </r>
  <r>
    <n v="380"/>
    <x v="394"/>
    <x v="0"/>
    <m/>
    <m/>
    <m/>
    <x v="1"/>
    <m/>
    <x v="0"/>
  </r>
  <r>
    <n v="381"/>
    <x v="394"/>
    <x v="0"/>
    <m/>
    <m/>
    <m/>
    <x v="1"/>
    <m/>
    <x v="0"/>
  </r>
  <r>
    <n v="544"/>
    <x v="394"/>
    <x v="0"/>
    <m/>
    <m/>
    <m/>
    <x v="1"/>
    <m/>
    <x v="0"/>
  </r>
  <r>
    <n v="545"/>
    <x v="394"/>
    <x v="0"/>
    <m/>
    <m/>
    <m/>
    <x v="1"/>
    <m/>
    <x v="0"/>
  </r>
  <r>
    <n v="627"/>
    <x v="394"/>
    <x v="0"/>
    <m/>
    <m/>
    <m/>
    <x v="1"/>
    <m/>
    <x v="0"/>
  </r>
  <r>
    <n v="628"/>
    <x v="394"/>
    <x v="0"/>
    <m/>
    <m/>
    <m/>
    <x v="1"/>
    <m/>
    <x v="0"/>
  </r>
  <r>
    <n v="629"/>
    <x v="394"/>
    <x v="0"/>
    <m/>
    <m/>
    <m/>
    <x v="1"/>
    <m/>
    <x v="0"/>
  </r>
  <r>
    <n v="721"/>
    <x v="394"/>
    <x v="0"/>
    <m/>
    <m/>
    <m/>
    <x v="1"/>
    <m/>
    <x v="0"/>
  </r>
  <r>
    <n v="793"/>
    <x v="394"/>
    <x v="0"/>
    <m/>
    <m/>
    <m/>
    <x v="1"/>
    <m/>
    <x v="0"/>
  </r>
  <r>
    <n v="794"/>
    <x v="394"/>
    <x v="0"/>
    <m/>
    <m/>
    <m/>
    <x v="1"/>
    <m/>
    <x v="0"/>
  </r>
  <r>
    <n v="864"/>
    <x v="394"/>
    <x v="0"/>
    <m/>
    <m/>
    <m/>
    <x v="1"/>
    <m/>
    <x v="0"/>
  </r>
  <r>
    <n v="865"/>
    <x v="394"/>
    <x v="0"/>
    <m/>
    <m/>
    <m/>
    <x v="1"/>
    <m/>
    <x v="0"/>
  </r>
  <r>
    <n v="696"/>
    <x v="382"/>
    <x v="5"/>
    <n v="9"/>
    <n v="21.96"/>
    <n v="12.96"/>
    <x v="0"/>
    <s v="shopee"/>
    <x v="0"/>
  </r>
  <r>
    <n v="790"/>
    <x v="382"/>
    <x v="5"/>
    <n v="7"/>
    <n v="16.899999999999999"/>
    <n v="9.8999999999999986"/>
    <x v="0"/>
    <s v="shopee"/>
    <x v="0"/>
  </r>
  <r>
    <n v="936"/>
    <x v="382"/>
    <x v="5"/>
    <n v="8"/>
    <n v="16.941200000000002"/>
    <n v="8.941200000000002"/>
    <x v="0"/>
    <s v="shopee"/>
    <x v="0"/>
  </r>
  <r>
    <n v="53"/>
    <x v="382"/>
    <x v="0"/>
    <n v="15"/>
    <n v="23.69"/>
    <n v="8.6900000000000013"/>
    <x v="0"/>
    <s v="shopee"/>
    <x v="0"/>
  </r>
  <r>
    <n v="854"/>
    <x v="395"/>
    <x v="4"/>
    <n v="30"/>
    <n v="37.979999999999997"/>
    <n v="7.9799999999999969"/>
    <x v="0"/>
    <s v="shopee"/>
    <x v="0"/>
  </r>
  <r>
    <n v="937"/>
    <x v="396"/>
    <x v="5"/>
    <n v="0.41666666666666669"/>
    <n v="3.2390000000000003"/>
    <n v="2.8223333333333338"/>
    <x v="0"/>
    <s v="shopee"/>
    <x v="0"/>
  </r>
  <r>
    <n v="74"/>
    <x v="396"/>
    <x v="0"/>
    <n v="0.5"/>
    <n v="2.0499999999999998"/>
    <n v="1.5499999999999998"/>
    <x v="0"/>
    <s v="shopee"/>
    <x v="0"/>
  </r>
  <r>
    <n v="117"/>
    <x v="352"/>
    <x v="35"/>
    <n v="16.5"/>
    <n v="64.240000000000009"/>
    <n v="47.740000000000009"/>
    <x v="0"/>
    <s v="shopee"/>
    <x v="0"/>
  </r>
  <r>
    <n v="234"/>
    <x v="352"/>
    <x v="20"/>
    <n v="0.41666666666666669"/>
    <n v="5"/>
    <n v="20.97"/>
    <x v="0"/>
    <s v="shopee"/>
    <x v="0"/>
  </r>
  <r>
    <n v="537"/>
    <x v="352"/>
    <x v="6"/>
    <n v="2.0833333333333335"/>
    <n v="9.57"/>
    <n v="7.4866666666666664"/>
    <x v="0"/>
    <s v="shopee"/>
    <x v="0"/>
  </r>
  <r>
    <n v="855"/>
    <x v="352"/>
    <x v="8"/>
    <n v="1.25"/>
    <n v="5.57"/>
    <n v="4.32"/>
    <x v="0"/>
    <s v="shopee"/>
    <x v="0"/>
  </r>
  <r>
    <n v="41"/>
    <x v="352"/>
    <x v="0"/>
    <n v="33"/>
    <n v="62.36"/>
    <n v="29.36"/>
    <x v="0"/>
    <s v="shopee"/>
    <x v="0"/>
  </r>
  <r>
    <n v="325"/>
    <x v="397"/>
    <x v="44"/>
    <n v="3640"/>
    <n v="6783.57"/>
    <n v="3143.57"/>
    <x v="0"/>
    <s v="shopee"/>
    <x v="0"/>
  </r>
  <r>
    <n v="233"/>
    <x v="397"/>
    <x v="45"/>
    <n v="25"/>
    <n v="2975"/>
    <n v="3315.42"/>
    <x v="0"/>
    <s v="shopee"/>
    <x v="0"/>
  </r>
  <r>
    <n v="107"/>
    <x v="397"/>
    <x v="11"/>
    <n v="475"/>
    <n v="910.83"/>
    <n v="435.83000000000004"/>
    <x v="0"/>
    <s v="shopee"/>
    <x v="0"/>
  </r>
  <r>
    <n v="57"/>
    <x v="397"/>
    <x v="0"/>
    <n v="50"/>
    <n v="100.06"/>
    <n v="50.06"/>
    <x v="0"/>
    <s v="shopee"/>
    <x v="0"/>
  </r>
  <r>
    <n v="938"/>
    <x v="398"/>
    <x v="4"/>
    <n v="6"/>
    <n v="10.266399999999999"/>
    <n v="4.2663999999999991"/>
    <x v="0"/>
    <s v="shopee"/>
    <x v="0"/>
  </r>
  <r>
    <n v="856"/>
    <x v="398"/>
    <x v="5"/>
    <n v="3"/>
    <n v="5.23"/>
    <n v="2.2300000000000004"/>
    <x v="0"/>
    <s v="shopee"/>
    <x v="0"/>
  </r>
  <r>
    <n v="857"/>
    <x v="399"/>
    <x v="2"/>
    <n v="70"/>
    <n v="139.13999999999999"/>
    <n v="69.139999999999986"/>
    <x v="0"/>
    <s v="shopee"/>
    <x v="0"/>
  </r>
  <r>
    <n v="858"/>
    <x v="400"/>
    <x v="46"/>
    <n v="81"/>
    <n v="260.09000000000003"/>
    <n v="179.09000000000003"/>
    <x v="0"/>
    <s v="shopee"/>
    <x v="0"/>
  </r>
  <r>
    <n v="940"/>
    <x v="401"/>
    <x v="5"/>
    <n v="2"/>
    <n v="6.15"/>
    <n v="4.1500000000000004"/>
    <x v="0"/>
    <s v="shopee"/>
    <x v="0"/>
  </r>
  <r>
    <n v="714"/>
    <x v="361"/>
    <x v="30"/>
    <n v="1"/>
    <n v="204.13"/>
    <n v="167.13"/>
    <x v="0"/>
    <s v="shopee"/>
    <x v="0"/>
  </r>
  <r>
    <n v="791"/>
    <x v="361"/>
    <x v="47"/>
    <n v="34"/>
    <n v="93.16"/>
    <n v="59.16"/>
    <x v="0"/>
    <s v="shopee"/>
    <x v="0"/>
  </r>
  <r>
    <n v="939"/>
    <x v="402"/>
    <x v="48"/>
    <n v="212.85"/>
    <n v="614.59820000000002"/>
    <n v="401.7482"/>
    <x v="0"/>
    <s v="shopee"/>
    <x v="0"/>
  </r>
  <r>
    <n v="941"/>
    <x v="403"/>
    <x v="5"/>
    <n v="100"/>
    <n v="164"/>
    <n v="64"/>
    <x v="0"/>
    <s v="shopee"/>
    <x v="0"/>
  </r>
  <r>
    <n v="536"/>
    <x v="404"/>
    <x v="8"/>
    <n v="6"/>
    <n v="14.97"/>
    <n v="8.9700000000000006"/>
    <x v="0"/>
    <s v="shopee"/>
    <x v="0"/>
  </r>
  <r>
    <n v="859"/>
    <x v="405"/>
    <x v="8"/>
    <n v="27"/>
    <n v="38.24"/>
    <n v="11.240000000000002"/>
    <x v="0"/>
    <s v="shopee"/>
    <x v="0"/>
  </r>
  <r>
    <n v="685"/>
    <x v="405"/>
    <x v="5"/>
    <n v="9"/>
    <n v="13.99"/>
    <n v="4.99"/>
    <x v="0"/>
    <s v="shopee"/>
    <x v="0"/>
  </r>
  <r>
    <n v="572"/>
    <x v="406"/>
    <x v="5"/>
    <n v="28"/>
    <n v="45"/>
    <n v="17"/>
    <x v="0"/>
    <s v="shopee"/>
    <x v="0"/>
  </r>
  <r>
    <n v="232"/>
    <x v="407"/>
    <x v="14"/>
    <n v="65"/>
    <n v="390"/>
    <n v="411.89"/>
    <x v="0"/>
    <s v="shopee"/>
    <x v="0"/>
  </r>
  <r>
    <n v="326"/>
    <x v="407"/>
    <x v="4"/>
    <n v="130"/>
    <n v="253.89"/>
    <n v="123.88999999999999"/>
    <x v="0"/>
    <s v="shopee"/>
    <x v="0"/>
  </r>
  <r>
    <n v="860"/>
    <x v="408"/>
    <x v="5"/>
    <n v="9"/>
    <n v="22.87"/>
    <n v="13.870000000000001"/>
    <x v="0"/>
    <s v="shopee"/>
    <x v="0"/>
  </r>
  <r>
    <n v="327"/>
    <x v="384"/>
    <x v="4"/>
    <n v="20"/>
    <n v="38.674999999999997"/>
    <n v="18.674999999999997"/>
    <x v="0"/>
    <s v="shopee"/>
    <x v="0"/>
  </r>
  <r>
    <n v="75"/>
    <x v="409"/>
    <x v="0"/>
    <n v="22"/>
    <n v="40"/>
    <n v="18"/>
    <x v="0"/>
    <s v="shopee"/>
    <x v="0"/>
  </r>
  <r>
    <n v="711"/>
    <x v="410"/>
    <x v="3"/>
    <n v="15"/>
    <n v="125.12"/>
    <n v="65.12"/>
    <x v="0"/>
    <s v="shopee"/>
    <x v="0"/>
  </r>
  <r>
    <n v="792"/>
    <x v="410"/>
    <x v="3"/>
    <n v="60"/>
    <n v="122.13"/>
    <n v="62.129999999999995"/>
    <x v="0"/>
    <s v="shopee"/>
    <x v="0"/>
  </r>
  <r>
    <n v="861"/>
    <x v="410"/>
    <x v="3"/>
    <n v="60"/>
    <n v="122.51"/>
    <n v="62.510000000000005"/>
    <x v="0"/>
    <s v="shopee"/>
    <x v="0"/>
  </r>
  <r>
    <n v="528"/>
    <x v="410"/>
    <x v="5"/>
    <n v="15"/>
    <n v="40.97"/>
    <n v="25.97"/>
    <x v="0"/>
    <s v="shopee"/>
    <x v="0"/>
  </r>
  <r>
    <n v="942"/>
    <x v="410"/>
    <x v="5"/>
    <n v="15"/>
    <n v="17.5152"/>
    <n v="2.5152000000000001"/>
    <x v="0"/>
    <s v="shopee"/>
    <x v="0"/>
  </r>
  <r>
    <n v="140"/>
    <x v="411"/>
    <x v="4"/>
    <n v="26"/>
    <n v="31.48"/>
    <n v="5.48"/>
    <x v="0"/>
    <s v="shopee"/>
    <x v="0"/>
  </r>
  <r>
    <n v="328"/>
    <x v="412"/>
    <x v="7"/>
    <n v="7.5"/>
    <n v="14.11"/>
    <n v="6.6099999999999994"/>
    <x v="0"/>
    <s v="shopee"/>
    <x v="0"/>
  </r>
  <r>
    <n v="231"/>
    <x v="413"/>
    <x v="2"/>
    <n v="0.79166666666666663"/>
    <n v="5.5416666666666661"/>
    <n v="1.2783333333333342"/>
    <x v="0"/>
    <s v="shopee"/>
    <x v="0"/>
  </r>
  <r>
    <n v="76"/>
    <x v="413"/>
    <x v="0"/>
    <n v="1"/>
    <n v="11.59"/>
    <n v="10.59"/>
    <x v="0"/>
    <s v="shopee"/>
    <x v="0"/>
  </r>
  <r>
    <n v="862"/>
    <x v="393"/>
    <x v="5"/>
    <n v="2"/>
    <n v="20"/>
    <n v="18"/>
    <x v="0"/>
    <s v="shopee"/>
    <x v="0"/>
  </r>
  <r>
    <n v="863"/>
    <x v="414"/>
    <x v="3"/>
    <n v="52"/>
    <n v="78.45"/>
    <n v="26.450000000000003"/>
    <x v="0"/>
    <s v="shope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EAA40-C7AF-438C-A71C-1932A28DBED1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F419" firstHeaderRow="0" firstDataRow="1" firstDataCol="1"/>
  <pivotFields count="9">
    <pivotField showAll="0"/>
    <pivotField axis="axisRow" showAll="0">
      <items count="416">
        <item x="0"/>
        <item x="1"/>
        <item x="2"/>
        <item x="41"/>
        <item x="3"/>
        <item x="4"/>
        <item x="5"/>
        <item x="42"/>
        <item x="6"/>
        <item x="43"/>
        <item x="44"/>
        <item x="45"/>
        <item x="7"/>
        <item x="8"/>
        <item x="46"/>
        <item x="47"/>
        <item x="9"/>
        <item x="48"/>
        <item x="49"/>
        <item x="10"/>
        <item x="50"/>
        <item x="11"/>
        <item x="51"/>
        <item x="12"/>
        <item x="52"/>
        <item x="53"/>
        <item x="54"/>
        <item x="55"/>
        <item x="13"/>
        <item x="56"/>
        <item x="57"/>
        <item x="14"/>
        <item x="15"/>
        <item x="16"/>
        <item x="17"/>
        <item x="18"/>
        <item x="19"/>
        <item x="20"/>
        <item x="21"/>
        <item x="58"/>
        <item x="59"/>
        <item x="22"/>
        <item x="60"/>
        <item x="23"/>
        <item x="61"/>
        <item x="62"/>
        <item x="63"/>
        <item x="64"/>
        <item x="65"/>
        <item x="66"/>
        <item x="24"/>
        <item x="25"/>
        <item x="67"/>
        <item x="68"/>
        <item x="69"/>
        <item x="26"/>
        <item x="27"/>
        <item x="28"/>
        <item x="70"/>
        <item x="71"/>
        <item x="72"/>
        <item x="73"/>
        <item x="74"/>
        <item x="75"/>
        <item x="29"/>
        <item x="30"/>
        <item x="31"/>
        <item x="100"/>
        <item x="101"/>
        <item x="102"/>
        <item x="32"/>
        <item x="103"/>
        <item x="104"/>
        <item x="105"/>
        <item x="106"/>
        <item x="33"/>
        <item x="107"/>
        <item x="34"/>
        <item x="108"/>
        <item x="109"/>
        <item x="110"/>
        <item x="111"/>
        <item x="112"/>
        <item x="113"/>
        <item x="114"/>
        <item x="115"/>
        <item x="35"/>
        <item x="36"/>
        <item x="131"/>
        <item x="132"/>
        <item x="133"/>
        <item x="134"/>
        <item x="135"/>
        <item x="136"/>
        <item x="137"/>
        <item x="138"/>
        <item x="139"/>
        <item x="37"/>
        <item x="140"/>
        <item x="38"/>
        <item x="39"/>
        <item x="141"/>
        <item x="142"/>
        <item x="143"/>
        <item x="144"/>
        <item x="40"/>
        <item x="76"/>
        <item x="77"/>
        <item x="78"/>
        <item x="79"/>
        <item x="145"/>
        <item x="80"/>
        <item x="81"/>
        <item x="146"/>
        <item x="147"/>
        <item x="148"/>
        <item x="149"/>
        <item x="150"/>
        <item x="151"/>
        <item x="82"/>
        <item x="83"/>
        <item x="84"/>
        <item x="85"/>
        <item x="86"/>
        <item x="152"/>
        <item x="153"/>
        <item x="154"/>
        <item x="87"/>
        <item x="88"/>
        <item x="89"/>
        <item x="155"/>
        <item x="156"/>
        <item x="157"/>
        <item x="90"/>
        <item x="91"/>
        <item x="92"/>
        <item x="93"/>
        <item x="94"/>
        <item x="95"/>
        <item x="96"/>
        <item x="158"/>
        <item x="97"/>
        <item x="159"/>
        <item x="98"/>
        <item x="99"/>
        <item x="116"/>
        <item x="160"/>
        <item x="161"/>
        <item x="162"/>
        <item x="163"/>
        <item x="164"/>
        <item x="165"/>
        <item x="117"/>
        <item x="118"/>
        <item x="119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20"/>
        <item x="121"/>
        <item x="122"/>
        <item x="182"/>
        <item x="183"/>
        <item x="184"/>
        <item x="123"/>
        <item x="185"/>
        <item x="124"/>
        <item x="186"/>
        <item x="187"/>
        <item x="188"/>
        <item x="189"/>
        <item x="125"/>
        <item x="190"/>
        <item x="191"/>
        <item x="192"/>
        <item x="126"/>
        <item x="127"/>
        <item x="128"/>
        <item x="193"/>
        <item x="194"/>
        <item x="195"/>
        <item x="129"/>
        <item x="130"/>
        <item x="196"/>
        <item x="197"/>
        <item x="209"/>
        <item x="198"/>
        <item x="210"/>
        <item x="199"/>
        <item x="211"/>
        <item x="200"/>
        <item x="212"/>
        <item x="201"/>
        <item x="213"/>
        <item x="214"/>
        <item x="202"/>
        <item x="215"/>
        <item x="216"/>
        <item x="203"/>
        <item x="217"/>
        <item x="204"/>
        <item x="205"/>
        <item x="218"/>
        <item x="206"/>
        <item x="219"/>
        <item x="207"/>
        <item x="220"/>
        <item x="221"/>
        <item x="208"/>
        <item x="222"/>
        <item x="223"/>
        <item x="224"/>
        <item x="306"/>
        <item x="225"/>
        <item x="226"/>
        <item x="307"/>
        <item x="308"/>
        <item x="309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310"/>
        <item x="238"/>
        <item x="239"/>
        <item x="240"/>
        <item x="241"/>
        <item x="242"/>
        <item x="243"/>
        <item x="244"/>
        <item x="311"/>
        <item x="245"/>
        <item x="246"/>
        <item x="312"/>
        <item x="247"/>
        <item x="248"/>
        <item x="249"/>
        <item x="250"/>
        <item x="251"/>
        <item x="252"/>
        <item x="253"/>
        <item x="254"/>
        <item x="255"/>
        <item x="256"/>
        <item x="313"/>
        <item x="314"/>
        <item x="257"/>
        <item x="315"/>
        <item x="258"/>
        <item x="259"/>
        <item x="260"/>
        <item x="33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340"/>
        <item x="273"/>
        <item x="341"/>
        <item x="274"/>
        <item x="34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343"/>
        <item x="286"/>
        <item x="344"/>
        <item x="287"/>
        <item x="288"/>
        <item x="289"/>
        <item x="290"/>
        <item x="291"/>
        <item x="345"/>
        <item x="292"/>
        <item x="293"/>
        <item x="294"/>
        <item x="295"/>
        <item x="296"/>
        <item x="346"/>
        <item x="365"/>
        <item x="366"/>
        <item x="367"/>
        <item x="297"/>
        <item x="298"/>
        <item x="368"/>
        <item x="369"/>
        <item x="299"/>
        <item x="300"/>
        <item x="301"/>
        <item x="302"/>
        <item x="370"/>
        <item x="303"/>
        <item x="304"/>
        <item x="305"/>
        <item x="316"/>
        <item x="317"/>
        <item x="318"/>
        <item x="371"/>
        <item x="319"/>
        <item x="320"/>
        <item x="321"/>
        <item x="322"/>
        <item x="323"/>
        <item x="324"/>
        <item x="325"/>
        <item x="372"/>
        <item x="326"/>
        <item x="373"/>
        <item x="374"/>
        <item x="327"/>
        <item x="375"/>
        <item x="376"/>
        <item x="328"/>
        <item x="329"/>
        <item x="330"/>
        <item x="331"/>
        <item x="377"/>
        <item x="332"/>
        <item x="333"/>
        <item x="334"/>
        <item x="335"/>
        <item x="336"/>
        <item x="378"/>
        <item x="379"/>
        <item x="337"/>
        <item x="380"/>
        <item x="338"/>
        <item x="347"/>
        <item x="348"/>
        <item x="381"/>
        <item x="349"/>
        <item x="350"/>
        <item x="382"/>
        <item x="395"/>
        <item x="396"/>
        <item x="351"/>
        <item x="352"/>
        <item x="397"/>
        <item x="398"/>
        <item x="399"/>
        <item x="400"/>
        <item x="353"/>
        <item x="401"/>
        <item x="354"/>
        <item x="355"/>
        <item x="356"/>
        <item x="357"/>
        <item x="358"/>
        <item x="359"/>
        <item x="360"/>
        <item x="361"/>
        <item x="402"/>
        <item x="403"/>
        <item x="362"/>
        <item x="404"/>
        <item x="405"/>
        <item x="406"/>
        <item x="407"/>
        <item x="363"/>
        <item x="364"/>
        <item x="383"/>
        <item x="408"/>
        <item x="384"/>
        <item x="409"/>
        <item x="385"/>
        <item x="410"/>
        <item x="411"/>
        <item x="386"/>
        <item x="387"/>
        <item x="388"/>
        <item x="389"/>
        <item x="390"/>
        <item x="391"/>
        <item x="392"/>
        <item x="412"/>
        <item x="413"/>
        <item x="393"/>
        <item x="414"/>
        <item x="394"/>
        <item t="default"/>
      </items>
    </pivotField>
    <pivotField dataField="1" showAll="0">
      <items count="50">
        <item x="5"/>
        <item x="4"/>
        <item x="8"/>
        <item x="3"/>
        <item x="6"/>
        <item x="14"/>
        <item x="2"/>
        <item x="1"/>
        <item x="7"/>
        <item x="13"/>
        <item x="19"/>
        <item x="20"/>
        <item x="26"/>
        <item x="43"/>
        <item x="22"/>
        <item x="33"/>
        <item x="40"/>
        <item x="11"/>
        <item x="25"/>
        <item x="18"/>
        <item x="10"/>
        <item x="36"/>
        <item x="31"/>
        <item x="9"/>
        <item x="39"/>
        <item x="27"/>
        <item x="24"/>
        <item x="35"/>
        <item x="47"/>
        <item x="30"/>
        <item x="32"/>
        <item x="21"/>
        <item x="42"/>
        <item x="23"/>
        <item x="41"/>
        <item x="38"/>
        <item x="29"/>
        <item x="28"/>
        <item x="17"/>
        <item x="12"/>
        <item x="46"/>
        <item x="34"/>
        <item x="16"/>
        <item x="45"/>
        <item x="44"/>
        <item x="37"/>
        <item x="48"/>
        <item x="15"/>
        <item x="0"/>
        <item t="default"/>
      </items>
    </pivotField>
    <pivotField dataField="1" showAll="0"/>
    <pivotField dataField="1" showAll="0"/>
    <pivotField dataField="1" showAll="0"/>
    <pivotField dataField="1" showAll="0">
      <items count="3">
        <item x="0"/>
        <item x="1"/>
        <item t="default"/>
      </items>
    </pivotField>
    <pivotField showAll="0"/>
    <pivotField showAll="0">
      <items count="2">
        <item x="0"/>
        <item t="default"/>
      </items>
    </pivotField>
  </pivotFields>
  <rowFields count="1">
    <field x="1"/>
  </rowFields>
  <rowItems count="4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Quantidade" fld="2" baseField="0" baseItem="0"/>
    <dataField name="Soma de Valor gasto" fld="3" baseField="0" baseItem="0"/>
    <dataField name="Soma de Valor venddo" fld="4" baseField="0" baseItem="0"/>
    <dataField name="Soma de Valor do lucro" fld="5" baseField="0" baseItem="0"/>
    <dataField name="Contagem de vendas shopee" fld="6" subtotal="count" baseField="0" baseItem="0"/>
  </dataFields>
  <formats count="14">
    <format dxfId="871">
      <pivotArea type="all" dataOnly="0" outline="0" fieldPosition="0"/>
    </format>
    <format dxfId="870">
      <pivotArea outline="0" collapsedLevelsAreSubtotals="1" fieldPosition="0"/>
    </format>
    <format dxfId="869">
      <pivotArea field="1" type="button" dataOnly="0" labelOnly="1" outline="0" axis="axisRow" fieldPosition="0"/>
    </format>
    <format dxfId="86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6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66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65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864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863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862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861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860">
      <pivotArea dataOnly="0" labelOnly="1" fieldPosition="0">
        <references count="1">
          <reference field="1" count="15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</reference>
        </references>
      </pivotArea>
    </format>
    <format dxfId="859">
      <pivotArea dataOnly="0" labelOnly="1" grandRow="1" outline="0" fieldPosition="0"/>
    </format>
    <format dxfId="8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17643-847A-445F-AF4B-E869E5DF6DF0}" name="Tabela1" displayName="Tabela1" ref="A1:I831" totalsRowShown="0" headerRowDxfId="134" headerRowBorderDxfId="133" tableBorderDxfId="132" totalsRowBorderDxfId="131" headerRowCellStyle="Moeda">
  <autoFilter ref="A1:I831" xr:uid="{2CE80573-4417-48A4-985F-F80A7C1A9DB6}"/>
  <sortState ref="A2:I831">
    <sortCondition ref="B1:B831"/>
  </sortState>
  <tableColumns count="9">
    <tableColumn id="1" xr3:uid="{4C2C3CC9-F254-46AE-903B-4DBCB736C25D}" name="Codigo" dataDxfId="130"/>
    <tableColumn id="2" xr3:uid="{F56E5C48-E7F4-42C2-9786-2A60C208F518}" name="Produtos" dataDxfId="129"/>
    <tableColumn id="3" xr3:uid="{99713322-B84C-4F6A-A0CD-1565475F51AF}" name="Quantidade" dataDxfId="128"/>
    <tableColumn id="4" xr3:uid="{65361B34-30C0-4F83-AFF8-1111DA53E136}" name="Valor gasto" dataDxfId="127" dataCellStyle="Moeda"/>
    <tableColumn id="5" xr3:uid="{D20158AF-D7A7-42C9-9448-EBFC4172B0F0}" name="Valor venddo"/>
    <tableColumn id="6" xr3:uid="{0C23BB27-9802-4C16-A8DF-B47C094A8C3D}" name="Valor do lucro" dataDxfId="126" dataCellStyle="Moeda"/>
    <tableColumn id="7" xr3:uid="{EAA80341-B229-4D86-A84D-651A8DB0E7E8}" name="vendas shopee" dataDxfId="125"/>
    <tableColumn id="8" xr3:uid="{7B3903D0-7609-4630-92F9-7AD5A130C1A0}" name="Coluna1" dataDxfId="124"/>
    <tableColumn id="9" xr3:uid="{1775EA2F-94BF-49FC-A0C0-3A0B4FC657FA}" name="Vendas df2" dataDxfId="1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L20"/>
  <sheetViews>
    <sheetView zoomScale="115" zoomScaleNormal="115" workbookViewId="0">
      <selection activeCell="H15" sqref="H15"/>
    </sheetView>
  </sheetViews>
  <sheetFormatPr defaultRowHeight="15" x14ac:dyDescent="0.25"/>
  <cols>
    <col min="1" max="1" width="18.42578125" bestFit="1" customWidth="1"/>
    <col min="2" max="2" width="12.28515625" bestFit="1" customWidth="1"/>
    <col min="3" max="3" width="23.85546875" bestFit="1" customWidth="1"/>
    <col min="4" max="4" width="12.140625" bestFit="1" customWidth="1"/>
    <col min="5" max="5" width="10" bestFit="1" customWidth="1"/>
    <col min="6" max="6" width="1.85546875" customWidth="1"/>
    <col min="7" max="7" width="11.85546875" style="65" bestFit="1" customWidth="1"/>
    <col min="8" max="8" width="9.5703125" style="66" bestFit="1" customWidth="1"/>
    <col min="9" max="9" width="9.7109375" style="65" bestFit="1" customWidth="1"/>
    <col min="10" max="10" width="9.140625" style="65"/>
    <col min="11" max="11" width="11.85546875" bestFit="1" customWidth="1"/>
    <col min="12" max="12" width="12.7109375" style="114" bestFit="1" customWidth="1"/>
  </cols>
  <sheetData>
    <row r="1" spans="1:12" ht="23.25" x14ac:dyDescent="0.25">
      <c r="A1" s="28"/>
      <c r="B1" s="28"/>
      <c r="C1" s="31">
        <f ca="1">SUM(C3:C13)</f>
        <v>1414.4</v>
      </c>
      <c r="D1" s="32"/>
      <c r="E1" s="28"/>
      <c r="F1" s="65"/>
      <c r="G1" s="90" t="s">
        <v>41</v>
      </c>
      <c r="H1" s="91" t="s">
        <v>379</v>
      </c>
      <c r="I1" s="91" t="s">
        <v>378</v>
      </c>
      <c r="J1" s="92" t="s">
        <v>2</v>
      </c>
      <c r="K1" s="93" t="s">
        <v>380</v>
      </c>
      <c r="L1" s="112" t="s">
        <v>381</v>
      </c>
    </row>
    <row r="2" spans="1:12" ht="23.25" x14ac:dyDescent="0.25">
      <c r="A2" s="28" t="s">
        <v>58</v>
      </c>
      <c r="B2" s="31" t="s">
        <v>64</v>
      </c>
      <c r="C2" s="31" t="s">
        <v>65</v>
      </c>
      <c r="D2" s="31" t="s">
        <v>66</v>
      </c>
      <c r="E2" s="28" t="s">
        <v>67</v>
      </c>
      <c r="F2" s="65"/>
      <c r="G2" s="122" t="s">
        <v>241</v>
      </c>
      <c r="H2" s="49" t="s">
        <v>270</v>
      </c>
      <c r="I2" s="64">
        <v>72.8</v>
      </c>
      <c r="J2" s="88">
        <v>6</v>
      </c>
      <c r="K2" s="94">
        <f ca="1">TODAY()</f>
        <v>44895</v>
      </c>
      <c r="L2" s="178">
        <f ca="1">(K2-K3)</f>
        <v>441</v>
      </c>
    </row>
    <row r="3" spans="1:12" ht="19.5" thickBot="1" x14ac:dyDescent="0.3">
      <c r="A3" s="29" t="s">
        <v>59</v>
      </c>
      <c r="B3" s="33">
        <v>50</v>
      </c>
      <c r="C3" s="34">
        <v>0</v>
      </c>
      <c r="D3" s="33">
        <v>50</v>
      </c>
      <c r="E3" s="39" t="s">
        <v>68</v>
      </c>
      <c r="F3" s="65"/>
      <c r="G3" s="180">
        <v>44531</v>
      </c>
      <c r="H3" s="181"/>
      <c r="I3" s="181"/>
      <c r="J3" s="182"/>
      <c r="K3" s="95">
        <v>44454</v>
      </c>
      <c r="L3" s="179"/>
    </row>
    <row r="4" spans="1:12" ht="18.75" x14ac:dyDescent="0.25">
      <c r="A4" s="29" t="s">
        <v>60</v>
      </c>
      <c r="B4" s="35">
        <v>230</v>
      </c>
      <c r="C4" s="34"/>
      <c r="D4" s="35">
        <v>100</v>
      </c>
      <c r="E4" s="39" t="s">
        <v>68</v>
      </c>
      <c r="F4" s="65"/>
      <c r="G4" s="49"/>
      <c r="H4" s="49"/>
      <c r="I4" s="64"/>
      <c r="J4" s="49"/>
      <c r="K4" s="93" t="s">
        <v>57</v>
      </c>
      <c r="L4" s="113"/>
    </row>
    <row r="5" spans="1:12" ht="18.75" x14ac:dyDescent="0.25">
      <c r="A5" s="29" t="s">
        <v>61</v>
      </c>
      <c r="B5" s="35">
        <v>205</v>
      </c>
      <c r="C5" s="81"/>
      <c r="D5" s="35">
        <v>90</v>
      </c>
      <c r="E5" s="39" t="s">
        <v>68</v>
      </c>
      <c r="F5" s="65"/>
      <c r="G5" s="41" t="s">
        <v>63</v>
      </c>
      <c r="H5" s="49">
        <v>10</v>
      </c>
      <c r="I5" s="64">
        <v>35</v>
      </c>
      <c r="J5" s="49">
        <v>1</v>
      </c>
      <c r="K5" s="37">
        <f>J5*I5</f>
        <v>35</v>
      </c>
      <c r="L5" s="37"/>
    </row>
    <row r="6" spans="1:12" ht="18.75" x14ac:dyDescent="0.25">
      <c r="A6" s="30" t="s">
        <v>62</v>
      </c>
      <c r="B6" s="37">
        <f>600</f>
        <v>600</v>
      </c>
      <c r="C6" s="34">
        <f t="shared" ref="C6" si="0">B6-D6</f>
        <v>200</v>
      </c>
      <c r="D6" s="36">
        <f>200+100+100</f>
        <v>400</v>
      </c>
      <c r="E6" s="40" t="str">
        <f t="shared" ref="E6:E8" si="1">IF(C6=0,"Pago","Pendente")</f>
        <v>Pendente</v>
      </c>
      <c r="F6" s="65"/>
      <c r="G6" s="41" t="s">
        <v>414</v>
      </c>
      <c r="H6" s="49">
        <v>10</v>
      </c>
      <c r="I6" s="64">
        <v>35</v>
      </c>
      <c r="J6" s="49">
        <v>1</v>
      </c>
      <c r="K6" s="37">
        <f t="shared" ref="K6:K9" si="2">J6*I6</f>
        <v>35</v>
      </c>
      <c r="L6" s="37"/>
    </row>
    <row r="7" spans="1:12" ht="18.75" x14ac:dyDescent="0.25">
      <c r="A7" s="30" t="s">
        <v>63</v>
      </c>
      <c r="B7" s="38">
        <f ca="1">(1820+10+40)+L2+24.5</f>
        <v>2335.5</v>
      </c>
      <c r="C7" s="34">
        <f ca="1">B7-D7</f>
        <v>763.5</v>
      </c>
      <c r="D7" s="38">
        <f>1220+300+52</f>
        <v>1572</v>
      </c>
      <c r="E7" s="40" t="str">
        <f t="shared" ca="1" si="1"/>
        <v>Pendente</v>
      </c>
      <c r="F7" s="65"/>
      <c r="G7" s="41" t="s">
        <v>415</v>
      </c>
      <c r="H7" s="49">
        <v>10</v>
      </c>
      <c r="I7" s="64">
        <v>35</v>
      </c>
      <c r="J7" s="49">
        <v>1</v>
      </c>
      <c r="K7" s="37">
        <f t="shared" si="2"/>
        <v>35</v>
      </c>
      <c r="L7" s="37"/>
    </row>
    <row r="8" spans="1:12" ht="18.75" x14ac:dyDescent="0.25">
      <c r="A8" s="41" t="s">
        <v>241</v>
      </c>
      <c r="B8" s="42">
        <v>727.7</v>
      </c>
      <c r="C8" s="34">
        <f>B8-D8</f>
        <v>290.90000000000009</v>
      </c>
      <c r="D8" s="36">
        <f>I2*J2</f>
        <v>436.79999999999995</v>
      </c>
      <c r="E8" s="40" t="str">
        <f t="shared" si="1"/>
        <v>Pendente</v>
      </c>
      <c r="F8" s="65"/>
      <c r="G8" s="41" t="s">
        <v>416</v>
      </c>
      <c r="H8" s="49">
        <v>10</v>
      </c>
      <c r="I8" s="64">
        <v>35</v>
      </c>
      <c r="J8" s="49">
        <v>4.3</v>
      </c>
      <c r="K8" s="37">
        <f>J8*I8</f>
        <v>150.5</v>
      </c>
      <c r="L8" s="37"/>
    </row>
    <row r="9" spans="1:12" ht="18.75" hidden="1" x14ac:dyDescent="0.25">
      <c r="A9" s="41" t="s">
        <v>297</v>
      </c>
      <c r="B9" s="42">
        <f>10+5+(150)</f>
        <v>165</v>
      </c>
      <c r="C9" s="34">
        <f>B9-D9</f>
        <v>0</v>
      </c>
      <c r="D9" s="36">
        <v>165</v>
      </c>
      <c r="E9" s="40" t="str">
        <f>IF(C9=0,"Pago","Pendente")</f>
        <v>Pago</v>
      </c>
      <c r="F9" s="65"/>
      <c r="G9" s="98" t="s">
        <v>417</v>
      </c>
      <c r="H9" s="99">
        <v>10</v>
      </c>
      <c r="I9" s="100">
        <v>35</v>
      </c>
      <c r="J9" s="99">
        <v>10</v>
      </c>
      <c r="K9" s="101">
        <f t="shared" si="2"/>
        <v>350</v>
      </c>
      <c r="L9" s="101"/>
    </row>
    <row r="10" spans="1:12" ht="18.75" x14ac:dyDescent="0.25">
      <c r="A10" s="96" t="s">
        <v>276</v>
      </c>
      <c r="B10" s="42">
        <f>50+80+30</f>
        <v>160</v>
      </c>
      <c r="C10" s="34">
        <f>B10-D10</f>
        <v>10</v>
      </c>
      <c r="D10" s="36">
        <v>150</v>
      </c>
      <c r="E10" s="40" t="str">
        <f>IF(C10=0,"Pago","Pendente")</f>
        <v>Pendente</v>
      </c>
      <c r="F10" s="65"/>
    </row>
    <row r="11" spans="1:12" ht="18.75" hidden="1" x14ac:dyDescent="0.25">
      <c r="A11" s="96" t="s">
        <v>415</v>
      </c>
      <c r="B11" s="42">
        <f>80+20</f>
        <v>100</v>
      </c>
      <c r="C11" s="34">
        <f>B11-D11</f>
        <v>0</v>
      </c>
      <c r="D11" s="36">
        <v>100</v>
      </c>
      <c r="E11" s="40" t="str">
        <f>IF(C11=0,"Pago","Pendente")</f>
        <v>Pago</v>
      </c>
      <c r="F11" s="65"/>
    </row>
    <row r="12" spans="1:12" ht="18.75" x14ac:dyDescent="0.25">
      <c r="A12" s="41" t="s">
        <v>427</v>
      </c>
      <c r="B12" s="42">
        <v>300</v>
      </c>
      <c r="C12" s="34">
        <f t="shared" ref="C12" si="3">B12-D12</f>
        <v>150</v>
      </c>
      <c r="D12" s="36">
        <v>150</v>
      </c>
      <c r="E12" s="40" t="str">
        <f>IF(C12=0,"Pago","Pendente")</f>
        <v>Pendente</v>
      </c>
      <c r="F12" s="65"/>
    </row>
    <row r="13" spans="1:12" ht="18.75" hidden="1" x14ac:dyDescent="0.25">
      <c r="A13" s="41" t="s">
        <v>451</v>
      </c>
      <c r="B13" s="42">
        <v>440</v>
      </c>
      <c r="C13" s="34">
        <f t="shared" ref="C13" si="4">B13-D13</f>
        <v>0</v>
      </c>
      <c r="D13" s="36">
        <v>440</v>
      </c>
      <c r="E13" s="40" t="str">
        <f>IF(C13=0,"Pago","Pendente")</f>
        <v>Pago</v>
      </c>
      <c r="F13" s="65"/>
    </row>
    <row r="14" spans="1:12" ht="15.75" thickBot="1" x14ac:dyDescent="0.3">
      <c r="F14" s="65"/>
    </row>
    <row r="15" spans="1:12" ht="18.75" x14ac:dyDescent="0.25">
      <c r="A15" s="105" t="s">
        <v>63</v>
      </c>
      <c r="B15" s="106">
        <v>350</v>
      </c>
      <c r="C15" s="107">
        <f>B15-D15</f>
        <v>315</v>
      </c>
      <c r="D15" s="108">
        <f>J5*I5</f>
        <v>35</v>
      </c>
      <c r="E15" s="109" t="str">
        <f>IF(C15=0,"Pago","Pendente")</f>
        <v>Pendente</v>
      </c>
      <c r="F15" s="65"/>
      <c r="H15" s="97"/>
    </row>
    <row r="16" spans="1:12" ht="18.75" x14ac:dyDescent="0.25">
      <c r="A16" s="110" t="s">
        <v>414</v>
      </c>
      <c r="B16" s="102">
        <v>350</v>
      </c>
      <c r="C16" s="103">
        <f t="shared" ref="C16:C19" si="5">B16-D16</f>
        <v>315</v>
      </c>
      <c r="D16" s="104">
        <f>J6*I6</f>
        <v>35</v>
      </c>
      <c r="E16" s="111" t="str">
        <f t="shared" ref="E16:E19" si="6">IF(C16=0,"Pago","Pendente")</f>
        <v>Pendente</v>
      </c>
      <c r="F16" s="89"/>
      <c r="H16" s="65"/>
    </row>
    <row r="17" spans="1:6" ht="18.75" x14ac:dyDescent="0.25">
      <c r="A17" s="110" t="s">
        <v>415</v>
      </c>
      <c r="B17" s="102">
        <v>350</v>
      </c>
      <c r="C17" s="103">
        <f t="shared" si="5"/>
        <v>315</v>
      </c>
      <c r="D17" s="104">
        <f>J7*I7</f>
        <v>35</v>
      </c>
      <c r="E17" s="111" t="str">
        <f t="shared" si="6"/>
        <v>Pendente</v>
      </c>
      <c r="F17" s="89"/>
    </row>
    <row r="18" spans="1:6" ht="18.75" x14ac:dyDescent="0.25">
      <c r="A18" s="110" t="s">
        <v>416</v>
      </c>
      <c r="B18" s="102">
        <v>350</v>
      </c>
      <c r="C18" s="103">
        <f t="shared" si="5"/>
        <v>200</v>
      </c>
      <c r="D18" s="104">
        <v>150</v>
      </c>
      <c r="E18" s="111" t="str">
        <f t="shared" si="6"/>
        <v>Pendente</v>
      </c>
      <c r="F18" s="89"/>
    </row>
    <row r="19" spans="1:6" ht="18.75" hidden="1" x14ac:dyDescent="0.25">
      <c r="A19" s="118" t="s">
        <v>417</v>
      </c>
      <c r="B19" s="119">
        <v>350</v>
      </c>
      <c r="C19" s="120">
        <f t="shared" si="5"/>
        <v>0</v>
      </c>
      <c r="D19" s="119">
        <f>J9*I9</f>
        <v>350</v>
      </c>
      <c r="E19" s="121" t="str">
        <f t="shared" si="6"/>
        <v>Pago</v>
      </c>
    </row>
    <row r="20" spans="1:6" ht="19.5" thickBot="1" x14ac:dyDescent="0.3">
      <c r="A20" s="115" t="s">
        <v>57</v>
      </c>
      <c r="B20" s="116">
        <f>SUM(B15:B19)</f>
        <v>1750</v>
      </c>
      <c r="C20" s="116">
        <f t="shared" ref="C20:D20" si="7">SUM(C15:C19)</f>
        <v>1145</v>
      </c>
      <c r="D20" s="116">
        <f t="shared" si="7"/>
        <v>605</v>
      </c>
      <c r="E20" s="117"/>
    </row>
  </sheetData>
  <autoFilter ref="A1:E20" xr:uid="{00000000-0009-0000-0000-000000000000}">
    <filterColumn colId="4">
      <filters blank="1">
        <filter val="Caloteiros"/>
        <filter val="OBS"/>
        <filter val="Pendente"/>
      </filters>
    </filterColumn>
  </autoFilter>
  <mergeCells count="2">
    <mergeCell ref="L2:L3"/>
    <mergeCell ref="G3:J3"/>
  </mergeCells>
  <conditionalFormatting sqref="C3:C10 C15:C19 C12">
    <cfRule type="cellIs" dxfId="1836" priority="70" operator="greaterThan">
      <formula>187.5</formula>
    </cfRule>
  </conditionalFormatting>
  <conditionalFormatting sqref="E1:E5 F17 E15:E19">
    <cfRule type="expression" dxfId="1835" priority="68">
      <formula>E1 = "Pendente"</formula>
    </cfRule>
    <cfRule type="expression" dxfId="1834" priority="69">
      <formula>E1 = "Pago"</formula>
    </cfRule>
  </conditionalFormatting>
  <conditionalFormatting sqref="F16 F18">
    <cfRule type="expression" dxfId="1833" priority="38">
      <formula>F16 = "Pendente"</formula>
    </cfRule>
    <cfRule type="expression" dxfId="1832" priority="39">
      <formula>F16 = "Pago"</formula>
    </cfRule>
  </conditionalFormatting>
  <conditionalFormatting sqref="E6">
    <cfRule type="expression" dxfId="1831" priority="36">
      <formula>E6 = "Pendente"</formula>
    </cfRule>
    <cfRule type="expression" dxfId="1830" priority="37">
      <formula>E6 = "Pago"</formula>
    </cfRule>
  </conditionalFormatting>
  <conditionalFormatting sqref="E7">
    <cfRule type="expression" dxfId="1829" priority="34">
      <formula>E7 = "Pendente"</formula>
    </cfRule>
    <cfRule type="expression" dxfId="1828" priority="35">
      <formula>E7 = "Pago"</formula>
    </cfRule>
  </conditionalFormatting>
  <conditionalFormatting sqref="E8">
    <cfRule type="expression" dxfId="1827" priority="32">
      <formula>E8 = "Pendente"</formula>
    </cfRule>
    <cfRule type="expression" dxfId="1826" priority="33">
      <formula>E8 = "Pago"</formula>
    </cfRule>
  </conditionalFormatting>
  <conditionalFormatting sqref="E10">
    <cfRule type="expression" dxfId="1825" priority="30">
      <formula>E10 = "Pendente"</formula>
    </cfRule>
    <cfRule type="expression" dxfId="1824" priority="31">
      <formula>E10 = "Pago"</formula>
    </cfRule>
  </conditionalFormatting>
  <conditionalFormatting sqref="E9">
    <cfRule type="expression" dxfId="1823" priority="28">
      <formula>E9 = "Pendente"</formula>
    </cfRule>
    <cfRule type="expression" dxfId="1822" priority="29">
      <formula>E9 = "Pago"</formula>
    </cfRule>
  </conditionalFormatting>
  <conditionalFormatting sqref="E12">
    <cfRule type="expression" dxfId="1821" priority="7">
      <formula>E12 = "Pendente"</formula>
    </cfRule>
    <cfRule type="expression" dxfId="1820" priority="8">
      <formula>E12 = "Pago"</formula>
    </cfRule>
  </conditionalFormatting>
  <conditionalFormatting sqref="E11">
    <cfRule type="expression" dxfId="1819" priority="4">
      <formula>E11 = "Pendente"</formula>
    </cfRule>
    <cfRule type="expression" dxfId="1818" priority="5">
      <formula>E11 = "Pago"</formula>
    </cfRule>
  </conditionalFormatting>
  <conditionalFormatting sqref="C11">
    <cfRule type="cellIs" dxfId="1817" priority="6" operator="greaterThan">
      <formula>187.5</formula>
    </cfRule>
  </conditionalFormatting>
  <conditionalFormatting sqref="C13">
    <cfRule type="cellIs" dxfId="1816" priority="3" operator="greaterThan">
      <formula>187.5</formula>
    </cfRule>
  </conditionalFormatting>
  <conditionalFormatting sqref="E13">
    <cfRule type="expression" dxfId="1815" priority="1">
      <formula>E13 = "Pendente"</formula>
    </cfRule>
    <cfRule type="expression" dxfId="1814" priority="2">
      <formula>E13 = "Pago"</formula>
    </cfRule>
  </conditionalFormatting>
  <dataValidations disablePrompts="1" count="1">
    <dataValidation allowBlank="1" showInputMessage="1" showErrorMessage="1" promptTitle="Referente" prompt="A Setembro" sqref="A3:B3 D3:E3" xr:uid="{00000000-0002-0000-0000-000000000000}"/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0"/>
  <sheetViews>
    <sheetView topLeftCell="I10" zoomScaleNormal="100" workbookViewId="0">
      <selection activeCell="P5" sqref="P5"/>
    </sheetView>
  </sheetViews>
  <sheetFormatPr defaultRowHeight="15" x14ac:dyDescent="0.25"/>
  <cols>
    <col min="1" max="1" width="15" style="16" bestFit="1" customWidth="1"/>
    <col min="2" max="4" width="14.7109375" style="16" bestFit="1" customWidth="1"/>
    <col min="5" max="5" width="5" style="16" bestFit="1" customWidth="1"/>
    <col min="6" max="6" width="8.28515625" style="16" customWidth="1"/>
    <col min="7" max="7" width="15" style="16" bestFit="1" customWidth="1"/>
    <col min="8" max="10" width="14.7109375" style="16" bestFit="1" customWidth="1"/>
    <col min="11" max="11" width="5.5703125" style="16" bestFit="1" customWidth="1"/>
    <col min="12" max="12" width="5.5703125" style="16" customWidth="1"/>
    <col min="13" max="13" width="6.7109375" style="16" customWidth="1"/>
    <col min="14" max="14" width="14.5703125" style="16" bestFit="1" customWidth="1"/>
    <col min="15" max="17" width="14.140625" style="16" bestFit="1" customWidth="1"/>
    <col min="18" max="18" width="8.85546875" style="16" bestFit="1" customWidth="1"/>
    <col min="19" max="19" width="12.5703125" style="16" bestFit="1" customWidth="1"/>
    <col min="20" max="21" width="15.140625" style="16" bestFit="1" customWidth="1"/>
    <col min="22" max="22" width="11.7109375" bestFit="1" customWidth="1"/>
  </cols>
  <sheetData>
    <row r="1" spans="1:22" ht="21" x14ac:dyDescent="0.25">
      <c r="A1" s="18">
        <v>2019</v>
      </c>
      <c r="B1" s="19" t="s">
        <v>53</v>
      </c>
      <c r="C1" s="18" t="s">
        <v>54</v>
      </c>
      <c r="D1" s="18">
        <v>2019</v>
      </c>
      <c r="E1" s="20" t="s">
        <v>55</v>
      </c>
      <c r="G1" s="19">
        <v>2020</v>
      </c>
      <c r="H1" s="19" t="s">
        <v>53</v>
      </c>
      <c r="I1" s="19" t="s">
        <v>54</v>
      </c>
      <c r="J1" s="19">
        <v>2020</v>
      </c>
      <c r="K1" s="20" t="s">
        <v>55</v>
      </c>
      <c r="L1" s="20" t="s">
        <v>55</v>
      </c>
      <c r="N1" s="19">
        <v>2021</v>
      </c>
      <c r="O1" s="19" t="s">
        <v>53</v>
      </c>
      <c r="P1" s="19" t="s">
        <v>54</v>
      </c>
      <c r="Q1" s="19">
        <v>2021</v>
      </c>
      <c r="R1" s="20" t="s">
        <v>55</v>
      </c>
      <c r="S1" s="20" t="s">
        <v>165</v>
      </c>
      <c r="T1" s="20" t="s">
        <v>56</v>
      </c>
    </row>
    <row r="2" spans="1:22" ht="21" x14ac:dyDescent="0.25">
      <c r="A2" s="18" t="s">
        <v>7</v>
      </c>
      <c r="B2" s="21">
        <v>0</v>
      </c>
      <c r="C2" s="21">
        <v>310</v>
      </c>
      <c r="D2" s="21">
        <v>310</v>
      </c>
      <c r="E2" s="22">
        <v>0</v>
      </c>
      <c r="G2" s="18" t="s">
        <v>7</v>
      </c>
      <c r="H2" s="23">
        <v>1482.3999999999999</v>
      </c>
      <c r="I2" s="23">
        <v>4122.2999999999993</v>
      </c>
      <c r="J2" s="23">
        <v>2639.9000000000005</v>
      </c>
      <c r="K2" s="22">
        <v>63</v>
      </c>
      <c r="L2" s="22"/>
      <c r="N2" s="18" t="s">
        <v>7</v>
      </c>
      <c r="O2" s="23">
        <f>vendas!D2</f>
        <v>3701.8</v>
      </c>
      <c r="P2" s="23">
        <f>vendas!E2</f>
        <v>7125.449999999998</v>
      </c>
      <c r="Q2" s="23">
        <f>vendas!F2</f>
        <v>3423.650000000001</v>
      </c>
      <c r="R2" s="22">
        <f>vendas!G2</f>
        <v>319</v>
      </c>
      <c r="S2" s="22">
        <f>vendas!I2</f>
        <v>38</v>
      </c>
      <c r="T2" s="22">
        <f>vendas!H2</f>
        <v>281</v>
      </c>
    </row>
    <row r="3" spans="1:22" ht="21" x14ac:dyDescent="0.25">
      <c r="A3" s="18" t="s">
        <v>42</v>
      </c>
      <c r="B3" s="21">
        <v>0</v>
      </c>
      <c r="C3" s="21">
        <v>45</v>
      </c>
      <c r="D3" s="21">
        <v>45</v>
      </c>
      <c r="E3" s="24">
        <v>0</v>
      </c>
      <c r="G3" s="18" t="s">
        <v>42</v>
      </c>
      <c r="H3" s="21">
        <v>1348.19</v>
      </c>
      <c r="I3" s="21">
        <v>2617</v>
      </c>
      <c r="J3" s="21">
        <v>1268.81</v>
      </c>
      <c r="K3" s="24">
        <v>53</v>
      </c>
      <c r="L3" s="24"/>
      <c r="N3" s="18" t="s">
        <v>42</v>
      </c>
      <c r="O3" s="21">
        <f>vendas!D87</f>
        <v>5248.7</v>
      </c>
      <c r="P3" s="21">
        <f>vendas!E87</f>
        <v>11712.679999999997</v>
      </c>
      <c r="Q3" s="21">
        <f>vendas!F87</f>
        <v>6463.9800000000005</v>
      </c>
      <c r="R3" s="24">
        <f>vendas!G87</f>
        <v>696</v>
      </c>
      <c r="S3" s="24">
        <f>vendas!I87</f>
        <v>60</v>
      </c>
      <c r="T3" s="24">
        <f>vendas!H87</f>
        <v>636</v>
      </c>
    </row>
    <row r="4" spans="1:22" ht="21" x14ac:dyDescent="0.25">
      <c r="A4" s="18" t="s">
        <v>43</v>
      </c>
      <c r="B4" s="21">
        <v>923.6</v>
      </c>
      <c r="C4" s="21">
        <v>1662</v>
      </c>
      <c r="D4" s="21">
        <v>738.4</v>
      </c>
      <c r="E4" s="24">
        <v>40</v>
      </c>
      <c r="G4" s="19" t="s">
        <v>43</v>
      </c>
      <c r="H4" s="21">
        <v>1501.3700000000001</v>
      </c>
      <c r="I4" s="21">
        <v>3257.75</v>
      </c>
      <c r="J4" s="21">
        <v>1756.3799999999999</v>
      </c>
      <c r="K4" s="24">
        <v>79</v>
      </c>
      <c r="L4" s="24"/>
      <c r="N4" s="19" t="s">
        <v>43</v>
      </c>
      <c r="O4" s="21">
        <f>vendas!D146</f>
        <v>1461.0416666666667</v>
      </c>
      <c r="P4" s="21">
        <f>vendas!E146</f>
        <v>8961.0416666666661</v>
      </c>
      <c r="Q4" s="21">
        <f>vendas!F146</f>
        <v>8483.6883333333353</v>
      </c>
      <c r="R4" s="24">
        <f>vendas!G146</f>
        <v>517</v>
      </c>
      <c r="S4" s="24">
        <f>vendas!I146</f>
        <v>42</v>
      </c>
      <c r="T4" s="24">
        <f>vendas!H146</f>
        <v>475</v>
      </c>
    </row>
    <row r="5" spans="1:22" ht="21" x14ac:dyDescent="0.25">
      <c r="A5" s="18" t="s">
        <v>44</v>
      </c>
      <c r="B5" s="21">
        <v>1575.9899999999998</v>
      </c>
      <c r="C5" s="21">
        <v>2775.5</v>
      </c>
      <c r="D5" s="21">
        <v>1199.51</v>
      </c>
      <c r="E5" s="25">
        <v>50</v>
      </c>
      <c r="G5" s="19" t="s">
        <v>44</v>
      </c>
      <c r="H5" s="23">
        <v>3123.31</v>
      </c>
      <c r="I5" s="23">
        <v>6498</v>
      </c>
      <c r="J5" s="23">
        <v>3374.69</v>
      </c>
      <c r="K5" s="25">
        <v>148</v>
      </c>
      <c r="L5" s="25"/>
      <c r="N5" s="19" t="s">
        <v>44</v>
      </c>
      <c r="O5" s="23">
        <f>vendas!D226</f>
        <v>7240.8</v>
      </c>
      <c r="P5" s="23">
        <f>vendas!E226</f>
        <v>14329.375</v>
      </c>
      <c r="Q5" s="23">
        <f>vendas!F226</f>
        <v>7088.5749999999998</v>
      </c>
      <c r="R5" s="25">
        <f>vendas!G226</f>
        <v>481</v>
      </c>
      <c r="S5" s="25">
        <v>27</v>
      </c>
      <c r="T5" s="25">
        <v>458</v>
      </c>
    </row>
    <row r="6" spans="1:22" ht="21" x14ac:dyDescent="0.25">
      <c r="A6" s="18" t="s">
        <v>45</v>
      </c>
      <c r="B6" s="21">
        <v>2048.1999999999998</v>
      </c>
      <c r="C6" s="21">
        <v>3807</v>
      </c>
      <c r="D6" s="21">
        <v>2048.1999999999998</v>
      </c>
      <c r="E6" s="25">
        <v>75</v>
      </c>
      <c r="G6" s="19" t="s">
        <v>45</v>
      </c>
      <c r="H6" s="23">
        <v>4743.9600000000028</v>
      </c>
      <c r="I6" s="23">
        <v>10370.5</v>
      </c>
      <c r="J6" s="23">
        <v>5626.5399999999981</v>
      </c>
      <c r="K6" s="25">
        <v>255</v>
      </c>
      <c r="L6" s="25"/>
      <c r="N6" s="19" t="s">
        <v>45</v>
      </c>
      <c r="O6" s="23">
        <f>vendas!D295</f>
        <v>3278.5666666666666</v>
      </c>
      <c r="P6" s="23">
        <f>vendas!E295</f>
        <v>7054.3499999999995</v>
      </c>
      <c r="Q6" s="23">
        <f>vendas!F295</f>
        <v>3775.7833333333338</v>
      </c>
      <c r="R6" s="25">
        <f>vendas!G295</f>
        <v>364</v>
      </c>
      <c r="S6" s="25">
        <f>vendas!I226</f>
        <v>35</v>
      </c>
      <c r="T6" s="25">
        <f>vendas!H295</f>
        <v>338</v>
      </c>
      <c r="V6" s="124"/>
    </row>
    <row r="7" spans="1:22" ht="21" x14ac:dyDescent="0.25">
      <c r="A7" s="18" t="s">
        <v>46</v>
      </c>
      <c r="B7" s="21">
        <v>2852.09</v>
      </c>
      <c r="C7" s="21">
        <v>5267</v>
      </c>
      <c r="D7" s="21">
        <v>2414.91</v>
      </c>
      <c r="E7" s="25">
        <v>129</v>
      </c>
      <c r="G7" s="19" t="s">
        <v>46</v>
      </c>
      <c r="H7" s="23">
        <v>2795.7500000000005</v>
      </c>
      <c r="I7" s="23">
        <v>6103.99</v>
      </c>
      <c r="J7" s="23">
        <v>3308.2399999999993</v>
      </c>
      <c r="K7" s="25">
        <v>124</v>
      </c>
      <c r="L7" s="25"/>
      <c r="N7" s="19" t="s">
        <v>46</v>
      </c>
      <c r="O7" s="23">
        <f>vendas!D349</f>
        <v>2899.04</v>
      </c>
      <c r="P7" s="23">
        <f>vendas!E349</f>
        <v>6008.82</v>
      </c>
      <c r="Q7" s="23">
        <f>vendas!F349</f>
        <v>3109.7799999999988</v>
      </c>
      <c r="R7" s="25">
        <f>vendas!G349</f>
        <v>292</v>
      </c>
      <c r="S7" s="25">
        <f>vendas!I349</f>
        <v>14</v>
      </c>
      <c r="T7" s="25">
        <f>vendas!H349</f>
        <v>278</v>
      </c>
      <c r="V7" s="124"/>
    </row>
    <row r="8" spans="1:22" ht="21" x14ac:dyDescent="0.25">
      <c r="A8" s="18" t="s">
        <v>47</v>
      </c>
      <c r="B8" s="21">
        <v>3060.2299999999996</v>
      </c>
      <c r="C8" s="21">
        <v>5746.5</v>
      </c>
      <c r="D8" s="21">
        <v>2686.27</v>
      </c>
      <c r="E8" s="25">
        <v>150</v>
      </c>
      <c r="G8" s="19" t="s">
        <v>47</v>
      </c>
      <c r="H8" s="23">
        <v>2287.08</v>
      </c>
      <c r="I8" s="23">
        <v>5556</v>
      </c>
      <c r="J8" s="23">
        <v>3268.92</v>
      </c>
      <c r="K8" s="25">
        <v>112</v>
      </c>
      <c r="L8" s="25"/>
      <c r="N8" s="19" t="s">
        <v>47</v>
      </c>
      <c r="O8" s="23">
        <f>vendas!D413</f>
        <v>2126.1833333333334</v>
      </c>
      <c r="P8" s="23">
        <f>vendas!E413</f>
        <v>4830.6499999999987</v>
      </c>
      <c r="Q8" s="23">
        <f>vendas!F413</f>
        <v>2704.4666666666672</v>
      </c>
      <c r="R8" s="25">
        <f>vendas!G413</f>
        <v>223</v>
      </c>
      <c r="S8" s="25">
        <f>vendas!I413</f>
        <v>24</v>
      </c>
      <c r="T8" s="25">
        <f>vendas!H413</f>
        <v>199</v>
      </c>
      <c r="V8" s="124"/>
    </row>
    <row r="9" spans="1:22" ht="21" x14ac:dyDescent="0.25">
      <c r="A9" s="18" t="s">
        <v>48</v>
      </c>
      <c r="B9" s="21">
        <v>2057.59</v>
      </c>
      <c r="C9" s="21">
        <v>3756.8</v>
      </c>
      <c r="D9" s="21">
        <v>1788.21</v>
      </c>
      <c r="E9" s="25">
        <v>68</v>
      </c>
      <c r="G9" s="19" t="s">
        <v>48</v>
      </c>
      <c r="H9" s="23">
        <v>2519.5</v>
      </c>
      <c r="I9" s="23">
        <v>5025</v>
      </c>
      <c r="J9" s="23">
        <v>2505.5</v>
      </c>
      <c r="K9" s="25">
        <v>78</v>
      </c>
      <c r="L9" s="25"/>
      <c r="N9" s="19" t="s">
        <v>48</v>
      </c>
      <c r="O9" s="23">
        <f>vendas!D477</f>
        <v>5508.6966666666658</v>
      </c>
      <c r="P9" s="23">
        <f>vendas!E477</f>
        <v>5830.1100000000015</v>
      </c>
      <c r="Q9" s="23">
        <f>vendas!F477</f>
        <v>3012.4933333333329</v>
      </c>
      <c r="R9" s="25">
        <f>vendas!G477</f>
        <v>201</v>
      </c>
      <c r="S9" s="25">
        <f>vendas!I477</f>
        <v>38</v>
      </c>
      <c r="T9" s="25">
        <f>vendas!H477</f>
        <v>163</v>
      </c>
      <c r="V9" s="124"/>
    </row>
    <row r="10" spans="1:22" ht="21" x14ac:dyDescent="0.25">
      <c r="A10" s="18" t="s">
        <v>49</v>
      </c>
      <c r="B10" s="21">
        <v>2319.62</v>
      </c>
      <c r="C10" s="21">
        <v>4003.9</v>
      </c>
      <c r="D10" s="21">
        <v>1684.2799999999997</v>
      </c>
      <c r="E10" s="25">
        <v>66</v>
      </c>
      <c r="G10" s="19" t="s">
        <v>49</v>
      </c>
      <c r="H10" s="23">
        <v>2261.71</v>
      </c>
      <c r="I10" s="23">
        <v>5004</v>
      </c>
      <c r="J10" s="23">
        <v>2742.29</v>
      </c>
      <c r="K10" s="25">
        <v>140</v>
      </c>
      <c r="L10" s="25"/>
      <c r="N10" s="19" t="s">
        <v>49</v>
      </c>
      <c r="O10" s="23">
        <f>vendas!D560</f>
        <v>2017.2200000000003</v>
      </c>
      <c r="P10" s="23">
        <f>vendas!E560</f>
        <v>10125.51</v>
      </c>
      <c r="Q10" s="23">
        <f>vendas!F560</f>
        <v>5233.8899999999994</v>
      </c>
      <c r="R10" s="25">
        <f>vendas!G560</f>
        <v>527</v>
      </c>
      <c r="S10" s="25">
        <f>vendas!I560</f>
        <v>53</v>
      </c>
      <c r="T10" s="25">
        <f>vendas!H560</f>
        <v>474</v>
      </c>
      <c r="V10" s="124"/>
    </row>
    <row r="11" spans="1:22" ht="21" x14ac:dyDescent="0.25">
      <c r="A11" s="18" t="s">
        <v>50</v>
      </c>
      <c r="B11" s="21">
        <v>5257.26</v>
      </c>
      <c r="C11" s="21">
        <v>6788.82</v>
      </c>
      <c r="D11" s="21">
        <v>3284.3399999999992</v>
      </c>
      <c r="E11" s="25">
        <v>162</v>
      </c>
      <c r="G11" s="19" t="s">
        <v>50</v>
      </c>
      <c r="H11" s="23">
        <v>1695.72</v>
      </c>
      <c r="I11" s="23">
        <v>3885</v>
      </c>
      <c r="J11" s="23">
        <v>2189.2800000000002</v>
      </c>
      <c r="K11" s="25">
        <v>67</v>
      </c>
      <c r="L11" s="25"/>
      <c r="N11" s="19" t="s">
        <v>50</v>
      </c>
      <c r="O11" s="23">
        <f>vendas!D653</f>
        <v>4107.8999999999996</v>
      </c>
      <c r="P11" s="23">
        <f>vendas!E653</f>
        <v>8220.23</v>
      </c>
      <c r="Q11" s="23">
        <f>vendas!F653</f>
        <v>4112.329999999999</v>
      </c>
      <c r="R11" s="25">
        <f>vendas!G653</f>
        <v>245</v>
      </c>
      <c r="S11" s="25">
        <f>vendas!I653</f>
        <v>32</v>
      </c>
      <c r="T11" s="25">
        <f>vendas!H653</f>
        <v>213</v>
      </c>
      <c r="V11" s="124"/>
    </row>
    <row r="12" spans="1:22" ht="21" x14ac:dyDescent="0.25">
      <c r="A12" s="18" t="s">
        <v>51</v>
      </c>
      <c r="B12" s="21">
        <v>1752.2399999999998</v>
      </c>
      <c r="C12" s="21">
        <v>3394.41</v>
      </c>
      <c r="D12" s="21">
        <v>1642.17</v>
      </c>
      <c r="E12" s="25">
        <v>79</v>
      </c>
      <c r="G12" s="19" t="s">
        <v>51</v>
      </c>
      <c r="H12" s="23">
        <v>2108.77</v>
      </c>
      <c r="I12" s="23">
        <v>4560.45</v>
      </c>
      <c r="J12" s="23">
        <v>2451.6800000000003</v>
      </c>
      <c r="K12" s="25">
        <v>158</v>
      </c>
      <c r="L12" s="25"/>
      <c r="N12" s="19" t="s">
        <v>51</v>
      </c>
      <c r="O12" s="23">
        <f>vendas!D726</f>
        <v>3150.4</v>
      </c>
      <c r="P12" s="23">
        <f>vendas!E726</f>
        <v>6205.0199999999995</v>
      </c>
      <c r="Q12" s="23">
        <f>vendas!F726</f>
        <v>3054.62</v>
      </c>
      <c r="R12" s="25">
        <f>vendas!G726</f>
        <v>367</v>
      </c>
      <c r="S12" s="25">
        <f>vendas!I726</f>
        <v>26</v>
      </c>
      <c r="T12" s="25">
        <f>vendas!H726</f>
        <v>341</v>
      </c>
      <c r="V12" s="124"/>
    </row>
    <row r="13" spans="1:22" ht="21" x14ac:dyDescent="0.25">
      <c r="A13" s="18" t="s">
        <v>52</v>
      </c>
      <c r="B13" s="21">
        <v>2756.16</v>
      </c>
      <c r="C13" s="21">
        <v>4343.2</v>
      </c>
      <c r="D13" s="21">
        <v>2482.0199999999995</v>
      </c>
      <c r="E13" s="25">
        <v>72</v>
      </c>
      <c r="G13" s="19" t="s">
        <v>52</v>
      </c>
      <c r="H13" s="23">
        <v>3461.24</v>
      </c>
      <c r="I13" s="23">
        <v>7616.1599999999989</v>
      </c>
      <c r="J13" s="23">
        <v>4190.92</v>
      </c>
      <c r="K13" s="25">
        <v>254</v>
      </c>
      <c r="L13" s="25"/>
      <c r="N13" s="19" t="s">
        <v>52</v>
      </c>
      <c r="O13" s="23">
        <f>vendas!D797</f>
        <v>3421.3066666666659</v>
      </c>
      <c r="P13" s="23">
        <f>vendas!E797</f>
        <v>6739.9953999999998</v>
      </c>
      <c r="Q13" s="23">
        <f>vendas!F797</f>
        <v>3318.6887333333339</v>
      </c>
      <c r="R13" s="25">
        <f>vendas!G797</f>
        <v>395</v>
      </c>
      <c r="S13" s="25">
        <f>vendas!I797</f>
        <v>31</v>
      </c>
      <c r="T13" s="25">
        <f>vendas!H797</f>
        <v>364</v>
      </c>
      <c r="V13" s="124"/>
    </row>
    <row r="14" spans="1:22" ht="21" x14ac:dyDescent="0.25">
      <c r="A14" s="18" t="s">
        <v>57</v>
      </c>
      <c r="B14" s="21">
        <v>24602.98</v>
      </c>
      <c r="C14" s="21">
        <v>41900.130000000005</v>
      </c>
      <c r="D14" s="21">
        <v>20323.310000000001</v>
      </c>
      <c r="E14" s="25">
        <v>891</v>
      </c>
      <c r="G14" s="19" t="s">
        <v>57</v>
      </c>
      <c r="H14" s="23">
        <v>29329.000000000007</v>
      </c>
      <c r="I14" s="23">
        <v>64616.149999999994</v>
      </c>
      <c r="J14" s="23">
        <v>35323.149999999994</v>
      </c>
      <c r="K14" s="25">
        <v>1531</v>
      </c>
      <c r="L14" s="25">
        <f>SUM(L2:L13)</f>
        <v>0</v>
      </c>
      <c r="N14" s="19" t="s">
        <v>57</v>
      </c>
      <c r="O14" s="23">
        <f>SUM(O2:O13)</f>
        <v>44161.654999999999</v>
      </c>
      <c r="P14" s="23">
        <f>SUM(P2:P13)</f>
        <v>97143.232066666664</v>
      </c>
      <c r="Q14" s="23">
        <f t="shared" ref="Q14:T14" si="0">SUM(Q2:Q13)</f>
        <v>53781.945400000011</v>
      </c>
      <c r="R14" s="25">
        <f t="shared" si="0"/>
        <v>4627</v>
      </c>
      <c r="S14" s="25">
        <f t="shared" si="0"/>
        <v>420</v>
      </c>
      <c r="T14" s="25">
        <f t="shared" si="0"/>
        <v>4220</v>
      </c>
    </row>
    <row r="17" spans="17:17" x14ac:dyDescent="0.25">
      <c r="Q17" s="54"/>
    </row>
    <row r="36" spans="20:21" x14ac:dyDescent="0.25">
      <c r="T36" s="26"/>
      <c r="U36" s="26"/>
    </row>
    <row r="160" spans="10:10" x14ac:dyDescent="0.25">
      <c r="J160" s="27"/>
    </row>
  </sheetData>
  <conditionalFormatting sqref="R2:S2">
    <cfRule type="cellIs" dxfId="1813" priority="5" operator="greaterThan">
      <formula>$D$4</formula>
    </cfRule>
  </conditionalFormatting>
  <conditionalFormatting sqref="E2">
    <cfRule type="cellIs" dxfId="1812" priority="4" operator="greaterThan">
      <formula>$AO$4</formula>
    </cfRule>
  </conditionalFormatting>
  <conditionalFormatting sqref="D2:D14">
    <cfRule type="cellIs" dxfId="1811" priority="3" operator="lessThanOrEqual">
      <formula>$AU$13</formula>
    </cfRule>
  </conditionalFormatting>
  <conditionalFormatting sqref="T2">
    <cfRule type="cellIs" dxfId="1810" priority="2" operator="greaterThan">
      <formula>$D$4</formula>
    </cfRule>
  </conditionalFormatting>
  <conditionalFormatting sqref="L2">
    <cfRule type="cellIs" dxfId="1809" priority="1" operator="greaterThan">
      <formula>$AO$4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I874"/>
  <sheetViews>
    <sheetView topLeftCell="A531" zoomScale="115" zoomScaleNormal="115" workbookViewId="0">
      <selection activeCell="D409" sqref="D409"/>
    </sheetView>
  </sheetViews>
  <sheetFormatPr defaultRowHeight="15" outlineLevelRow="1" x14ac:dyDescent="0.25"/>
  <cols>
    <col min="1" max="1" width="4.7109375" style="66" bestFit="1" customWidth="1"/>
    <col min="2" max="2" width="35.140625" style="66" customWidth="1"/>
    <col min="3" max="3" width="7.42578125" style="66" bestFit="1" customWidth="1"/>
    <col min="4" max="4" width="17.5703125" style="65" bestFit="1" customWidth="1"/>
    <col min="5" max="5" width="18.85546875" style="65" bestFit="1" customWidth="1"/>
    <col min="6" max="6" width="16.5703125" bestFit="1" customWidth="1"/>
    <col min="7" max="7" width="13.140625" bestFit="1" customWidth="1"/>
    <col min="8" max="8" width="14" bestFit="1" customWidth="1"/>
    <col min="9" max="9" width="10.42578125" bestFit="1" customWidth="1"/>
  </cols>
  <sheetData>
    <row r="1" spans="1:9" ht="21" x14ac:dyDescent="0.25">
      <c r="A1" s="1"/>
      <c r="B1" s="2" t="s">
        <v>0</v>
      </c>
      <c r="C1" s="51" t="s">
        <v>1</v>
      </c>
      <c r="D1" s="46" t="s">
        <v>2</v>
      </c>
      <c r="E1" s="3" t="s">
        <v>3</v>
      </c>
      <c r="F1" s="3" t="s">
        <v>4</v>
      </c>
      <c r="G1" s="53" t="s">
        <v>5</v>
      </c>
      <c r="H1" s="53" t="s">
        <v>114</v>
      </c>
      <c r="I1" s="2" t="s">
        <v>115</v>
      </c>
    </row>
    <row r="2" spans="1:9" ht="21" x14ac:dyDescent="0.25">
      <c r="A2" s="186" t="s">
        <v>7</v>
      </c>
      <c r="B2" s="187"/>
      <c r="C2" s="188"/>
      <c r="D2" s="47">
        <f>SUM(D3:D86)</f>
        <v>3701.8</v>
      </c>
      <c r="E2" s="4">
        <f>SUM(E3:E86)</f>
        <v>7125.449999999998</v>
      </c>
      <c r="F2" s="4">
        <f>SUM(F3:F86)</f>
        <v>3423.650000000001</v>
      </c>
      <c r="G2" s="5">
        <f>H2+I2</f>
        <v>319</v>
      </c>
      <c r="H2" s="5">
        <f>277+4</f>
        <v>281</v>
      </c>
      <c r="I2" s="6">
        <v>38</v>
      </c>
    </row>
    <row r="3" spans="1:9" ht="15.75" outlineLevel="1" x14ac:dyDescent="0.25">
      <c r="A3" s="17">
        <v>73</v>
      </c>
      <c r="B3" s="10" t="s">
        <v>8</v>
      </c>
      <c r="C3" s="14"/>
      <c r="D3" s="63">
        <v>30</v>
      </c>
      <c r="E3" s="61">
        <v>40</v>
      </c>
      <c r="F3" s="61">
        <f t="shared" ref="F3:F40" si="0">E3-D3</f>
        <v>10</v>
      </c>
      <c r="G3" s="8" t="s">
        <v>15</v>
      </c>
      <c r="H3" s="55"/>
      <c r="I3" s="9"/>
    </row>
    <row r="4" spans="1:9" ht="15.75" outlineLevel="1" x14ac:dyDescent="0.25">
      <c r="A4" s="17">
        <v>74</v>
      </c>
      <c r="B4" s="10" t="s">
        <v>16</v>
      </c>
      <c r="C4" s="14"/>
      <c r="D4" s="63">
        <v>9</v>
      </c>
      <c r="E4" s="61">
        <v>15</v>
      </c>
      <c r="F4" s="61">
        <f t="shared" si="0"/>
        <v>6</v>
      </c>
      <c r="G4" s="8" t="s">
        <v>15</v>
      </c>
      <c r="H4" s="56"/>
      <c r="I4" s="9">
        <v>44209</v>
      </c>
    </row>
    <row r="5" spans="1:9" ht="15.75" outlineLevel="1" x14ac:dyDescent="0.25">
      <c r="A5" s="17">
        <v>75</v>
      </c>
      <c r="B5" s="10" t="s">
        <v>17</v>
      </c>
      <c r="C5" s="14"/>
      <c r="D5" s="63">
        <v>25</v>
      </c>
      <c r="E5" s="61">
        <v>50</v>
      </c>
      <c r="F5" s="61">
        <f t="shared" si="0"/>
        <v>25</v>
      </c>
      <c r="G5" s="8" t="s">
        <v>15</v>
      </c>
      <c r="H5" s="55"/>
      <c r="I5" s="9">
        <v>44209</v>
      </c>
    </row>
    <row r="6" spans="1:9" ht="15.75" outlineLevel="1" x14ac:dyDescent="0.25">
      <c r="A6" s="17">
        <v>76</v>
      </c>
      <c r="B6" s="7" t="s">
        <v>18</v>
      </c>
      <c r="C6" s="14"/>
      <c r="D6" s="63">
        <v>12</v>
      </c>
      <c r="E6" s="61">
        <v>20</v>
      </c>
      <c r="F6" s="61">
        <f t="shared" si="0"/>
        <v>8</v>
      </c>
      <c r="G6" s="8" t="s">
        <v>15</v>
      </c>
      <c r="H6" s="57"/>
      <c r="I6" s="15">
        <v>44203</v>
      </c>
    </row>
    <row r="7" spans="1:9" ht="15.75" outlineLevel="1" x14ac:dyDescent="0.25">
      <c r="A7" s="17">
        <v>77</v>
      </c>
      <c r="B7" s="12" t="s">
        <v>19</v>
      </c>
      <c r="C7" s="14"/>
      <c r="D7" s="63">
        <v>10</v>
      </c>
      <c r="E7" s="61">
        <v>40</v>
      </c>
      <c r="F7" s="61">
        <f t="shared" si="0"/>
        <v>30</v>
      </c>
      <c r="G7" s="8" t="s">
        <v>15</v>
      </c>
      <c r="H7" s="57"/>
      <c r="I7" s="15">
        <v>44200</v>
      </c>
    </row>
    <row r="8" spans="1:9" ht="15.75" outlineLevel="1" x14ac:dyDescent="0.25">
      <c r="A8" s="17">
        <v>78</v>
      </c>
      <c r="B8" s="12" t="s">
        <v>19</v>
      </c>
      <c r="C8" s="14"/>
      <c r="D8" s="63">
        <v>10</v>
      </c>
      <c r="E8" s="61">
        <v>25</v>
      </c>
      <c r="F8" s="61">
        <f t="shared" si="0"/>
        <v>15</v>
      </c>
      <c r="G8" s="8" t="s">
        <v>15</v>
      </c>
      <c r="H8" s="57"/>
      <c r="I8" s="13"/>
    </row>
    <row r="9" spans="1:9" ht="15.75" outlineLevel="1" x14ac:dyDescent="0.25">
      <c r="A9" s="17">
        <v>79</v>
      </c>
      <c r="B9" s="10" t="s">
        <v>20</v>
      </c>
      <c r="C9" s="14"/>
      <c r="D9" s="63">
        <v>22</v>
      </c>
      <c r="E9" s="61">
        <v>45</v>
      </c>
      <c r="F9" s="61">
        <f t="shared" si="0"/>
        <v>23</v>
      </c>
      <c r="G9" s="8" t="s">
        <v>15</v>
      </c>
      <c r="H9" s="8"/>
      <c r="I9" s="15"/>
    </row>
    <row r="10" spans="1:9" ht="15.75" outlineLevel="1" x14ac:dyDescent="0.25">
      <c r="A10" s="17">
        <v>80</v>
      </c>
      <c r="B10" s="10" t="s">
        <v>21</v>
      </c>
      <c r="C10" s="14"/>
      <c r="D10" s="63">
        <v>7</v>
      </c>
      <c r="E10" s="61">
        <v>15</v>
      </c>
      <c r="F10" s="61">
        <f t="shared" si="0"/>
        <v>8</v>
      </c>
      <c r="G10" s="8" t="s">
        <v>15</v>
      </c>
      <c r="H10" s="8"/>
      <c r="I10" s="15">
        <v>44204</v>
      </c>
    </row>
    <row r="11" spans="1:9" ht="15.75" outlineLevel="1" x14ac:dyDescent="0.25">
      <c r="A11" s="17">
        <v>81</v>
      </c>
      <c r="B11" s="12" t="s">
        <v>22</v>
      </c>
      <c r="C11" s="14"/>
      <c r="D11" s="63">
        <v>35</v>
      </c>
      <c r="E11" s="61">
        <v>60</v>
      </c>
      <c r="F11" s="61">
        <f t="shared" si="0"/>
        <v>25</v>
      </c>
      <c r="G11" s="8" t="s">
        <v>15</v>
      </c>
      <c r="H11" s="57"/>
      <c r="I11" s="13"/>
    </row>
    <row r="12" spans="1:9" ht="15.75" outlineLevel="1" x14ac:dyDescent="0.25">
      <c r="A12" s="17">
        <v>82</v>
      </c>
      <c r="B12" s="12" t="s">
        <v>23</v>
      </c>
      <c r="C12" s="14"/>
      <c r="D12" s="63">
        <v>8</v>
      </c>
      <c r="E12" s="61">
        <v>20</v>
      </c>
      <c r="F12" s="61">
        <f t="shared" si="0"/>
        <v>12</v>
      </c>
      <c r="G12" s="8" t="s">
        <v>15</v>
      </c>
      <c r="H12" s="57"/>
      <c r="I12" s="13"/>
    </row>
    <row r="13" spans="1:9" ht="15.75" outlineLevel="1" x14ac:dyDescent="0.25">
      <c r="A13" s="17">
        <v>83</v>
      </c>
      <c r="B13" s="12" t="s">
        <v>24</v>
      </c>
      <c r="C13" s="14"/>
      <c r="D13" s="63">
        <v>30</v>
      </c>
      <c r="E13" s="61">
        <v>50</v>
      </c>
      <c r="F13" s="61">
        <f t="shared" si="0"/>
        <v>20</v>
      </c>
      <c r="G13" s="8" t="s">
        <v>15</v>
      </c>
      <c r="H13" s="57"/>
      <c r="I13" s="13"/>
    </row>
    <row r="14" spans="1:9" ht="15.75" outlineLevel="1" x14ac:dyDescent="0.25">
      <c r="A14" s="17">
        <v>84</v>
      </c>
      <c r="B14" s="12" t="s">
        <v>25</v>
      </c>
      <c r="C14" s="14"/>
      <c r="D14" s="63">
        <v>26</v>
      </c>
      <c r="E14" s="61">
        <v>50</v>
      </c>
      <c r="F14" s="61">
        <f t="shared" si="0"/>
        <v>24</v>
      </c>
      <c r="G14" s="8" t="s">
        <v>15</v>
      </c>
      <c r="H14" s="57"/>
      <c r="I14" s="13"/>
    </row>
    <row r="15" spans="1:9" ht="15.75" outlineLevel="1" x14ac:dyDescent="0.25">
      <c r="A15" s="17">
        <v>85</v>
      </c>
      <c r="B15" s="10" t="s">
        <v>26</v>
      </c>
      <c r="C15" s="14"/>
      <c r="D15" s="63">
        <v>14.9</v>
      </c>
      <c r="E15" s="61">
        <v>30</v>
      </c>
      <c r="F15" s="61">
        <f t="shared" si="0"/>
        <v>15.1</v>
      </c>
      <c r="G15" s="8" t="s">
        <v>15</v>
      </c>
      <c r="H15" s="8"/>
      <c r="I15" s="15"/>
    </row>
    <row r="16" spans="1:9" ht="15.75" outlineLevel="1" x14ac:dyDescent="0.25">
      <c r="A16" s="17">
        <v>86</v>
      </c>
      <c r="B16" s="7" t="s">
        <v>27</v>
      </c>
      <c r="C16" s="8"/>
      <c r="D16" s="63">
        <v>3</v>
      </c>
      <c r="E16" s="61">
        <v>15</v>
      </c>
      <c r="F16" s="61">
        <f t="shared" si="0"/>
        <v>12</v>
      </c>
      <c r="G16" s="8" t="s">
        <v>15</v>
      </c>
      <c r="H16" s="57"/>
      <c r="I16" s="15">
        <v>44209</v>
      </c>
    </row>
    <row r="17" spans="1:9" ht="15.75" outlineLevel="1" x14ac:dyDescent="0.25">
      <c r="A17" s="17">
        <v>87</v>
      </c>
      <c r="B17" s="10" t="s">
        <v>27</v>
      </c>
      <c r="C17" s="14"/>
      <c r="D17" s="63">
        <v>5</v>
      </c>
      <c r="E17" s="61">
        <v>15</v>
      </c>
      <c r="F17" s="61">
        <f t="shared" si="0"/>
        <v>10</v>
      </c>
      <c r="G17" s="8" t="s">
        <v>15</v>
      </c>
      <c r="H17" s="8"/>
      <c r="I17" s="15">
        <v>44209</v>
      </c>
    </row>
    <row r="18" spans="1:9" ht="15.75" outlineLevel="1" x14ac:dyDescent="0.25">
      <c r="A18" s="17">
        <v>88</v>
      </c>
      <c r="B18" s="12" t="s">
        <v>69</v>
      </c>
      <c r="C18" s="14"/>
      <c r="D18" s="63">
        <v>0</v>
      </c>
      <c r="E18" s="61">
        <v>70</v>
      </c>
      <c r="F18" s="61">
        <f t="shared" si="0"/>
        <v>70</v>
      </c>
      <c r="G18" s="8" t="s">
        <v>15</v>
      </c>
      <c r="H18" s="57"/>
      <c r="I18" s="13"/>
    </row>
    <row r="19" spans="1:9" ht="15.75" outlineLevel="1" x14ac:dyDescent="0.25">
      <c r="A19" s="17">
        <v>89</v>
      </c>
      <c r="B19" s="12" t="s">
        <v>28</v>
      </c>
      <c r="C19" s="14"/>
      <c r="D19" s="63">
        <v>4</v>
      </c>
      <c r="E19" s="61">
        <v>15</v>
      </c>
      <c r="F19" s="61">
        <f t="shared" si="0"/>
        <v>11</v>
      </c>
      <c r="G19" s="8" t="s">
        <v>15</v>
      </c>
      <c r="H19" s="57"/>
      <c r="I19" s="15">
        <v>44209</v>
      </c>
    </row>
    <row r="20" spans="1:9" ht="15.75" outlineLevel="1" x14ac:dyDescent="0.25">
      <c r="A20" s="17">
        <v>90</v>
      </c>
      <c r="B20" s="12" t="s">
        <v>28</v>
      </c>
      <c r="C20" s="14"/>
      <c r="D20" s="63">
        <v>4</v>
      </c>
      <c r="E20" s="61">
        <v>15</v>
      </c>
      <c r="F20" s="61">
        <f t="shared" si="0"/>
        <v>11</v>
      </c>
      <c r="G20" s="8" t="s">
        <v>15</v>
      </c>
      <c r="H20" s="57"/>
      <c r="I20" s="15">
        <v>44209</v>
      </c>
    </row>
    <row r="21" spans="1:9" ht="15.75" outlineLevel="1" x14ac:dyDescent="0.25">
      <c r="A21" s="17">
        <v>91</v>
      </c>
      <c r="B21" s="12" t="s">
        <v>28</v>
      </c>
      <c r="C21" s="14"/>
      <c r="D21" s="63">
        <v>4</v>
      </c>
      <c r="E21" s="61">
        <v>20</v>
      </c>
      <c r="F21" s="61">
        <f t="shared" si="0"/>
        <v>16</v>
      </c>
      <c r="G21" s="8" t="s">
        <v>15</v>
      </c>
      <c r="H21" s="57"/>
      <c r="I21" s="13"/>
    </row>
    <row r="22" spans="1:9" ht="15.75" outlineLevel="1" x14ac:dyDescent="0.25">
      <c r="A22" s="17">
        <v>92</v>
      </c>
      <c r="B22" s="10" t="s">
        <v>29</v>
      </c>
      <c r="C22" s="14"/>
      <c r="D22" s="63">
        <v>60</v>
      </c>
      <c r="E22" s="61">
        <v>90</v>
      </c>
      <c r="F22" s="61">
        <f t="shared" si="0"/>
        <v>30</v>
      </c>
      <c r="G22" s="8" t="s">
        <v>15</v>
      </c>
      <c r="H22" s="8"/>
      <c r="I22" s="15">
        <v>44200</v>
      </c>
    </row>
    <row r="23" spans="1:9" ht="15.75" outlineLevel="1" x14ac:dyDescent="0.25">
      <c r="A23" s="17">
        <v>93</v>
      </c>
      <c r="B23" s="10" t="s">
        <v>30</v>
      </c>
      <c r="C23" s="14"/>
      <c r="D23" s="63">
        <v>35</v>
      </c>
      <c r="E23" s="61">
        <v>70</v>
      </c>
      <c r="F23" s="61">
        <f t="shared" si="0"/>
        <v>35</v>
      </c>
      <c r="G23" s="8" t="s">
        <v>15</v>
      </c>
      <c r="H23" s="57"/>
      <c r="I23" s="15">
        <v>44202</v>
      </c>
    </row>
    <row r="24" spans="1:9" ht="15.75" outlineLevel="1" x14ac:dyDescent="0.25">
      <c r="A24" s="17">
        <v>94</v>
      </c>
      <c r="B24" s="10" t="s">
        <v>30</v>
      </c>
      <c r="C24" s="14"/>
      <c r="D24" s="63">
        <v>35</v>
      </c>
      <c r="E24" s="61">
        <v>70</v>
      </c>
      <c r="F24" s="61">
        <f t="shared" si="0"/>
        <v>35</v>
      </c>
      <c r="G24" s="8" t="s">
        <v>15</v>
      </c>
      <c r="H24" s="57"/>
      <c r="I24" s="15">
        <v>44209</v>
      </c>
    </row>
    <row r="25" spans="1:9" ht="15.75" outlineLevel="1" x14ac:dyDescent="0.25">
      <c r="A25" s="17">
        <v>95</v>
      </c>
      <c r="B25" s="12" t="s">
        <v>30</v>
      </c>
      <c r="C25" s="14"/>
      <c r="D25" s="63">
        <v>35</v>
      </c>
      <c r="E25" s="61">
        <v>70</v>
      </c>
      <c r="F25" s="61">
        <f t="shared" si="0"/>
        <v>35</v>
      </c>
      <c r="G25" s="8" t="s">
        <v>15</v>
      </c>
      <c r="H25" s="57"/>
      <c r="I25" s="13"/>
    </row>
    <row r="26" spans="1:9" ht="15.75" outlineLevel="1" x14ac:dyDescent="0.25">
      <c r="A26" s="17">
        <v>96</v>
      </c>
      <c r="B26" s="10" t="s">
        <v>31</v>
      </c>
      <c r="C26" s="14"/>
      <c r="D26" s="63">
        <v>28</v>
      </c>
      <c r="E26" s="61">
        <v>50</v>
      </c>
      <c r="F26" s="61">
        <f t="shared" si="0"/>
        <v>22</v>
      </c>
      <c r="G26" s="8" t="s">
        <v>15</v>
      </c>
      <c r="H26" s="8"/>
      <c r="I26" s="15"/>
    </row>
    <row r="27" spans="1:9" ht="15.75" outlineLevel="1" x14ac:dyDescent="0.25">
      <c r="A27" s="17">
        <v>97</v>
      </c>
      <c r="B27" s="12" t="s">
        <v>32</v>
      </c>
      <c r="C27" s="14"/>
      <c r="D27" s="63">
        <v>10</v>
      </c>
      <c r="E27" s="61">
        <v>20</v>
      </c>
      <c r="F27" s="61">
        <f t="shared" si="0"/>
        <v>10</v>
      </c>
      <c r="G27" s="8" t="s">
        <v>15</v>
      </c>
      <c r="H27" s="57"/>
      <c r="I27" s="15">
        <v>44204</v>
      </c>
    </row>
    <row r="28" spans="1:9" ht="15.75" outlineLevel="1" x14ac:dyDescent="0.25">
      <c r="A28" s="17">
        <v>98</v>
      </c>
      <c r="B28" s="12" t="s">
        <v>33</v>
      </c>
      <c r="C28" s="14"/>
      <c r="D28" s="63">
        <v>15</v>
      </c>
      <c r="E28" s="61">
        <v>30</v>
      </c>
      <c r="F28" s="61">
        <f t="shared" si="0"/>
        <v>15</v>
      </c>
      <c r="G28" s="8" t="s">
        <v>15</v>
      </c>
      <c r="H28" s="57"/>
      <c r="I28" s="15">
        <v>44203</v>
      </c>
    </row>
    <row r="29" spans="1:9" ht="15.75" outlineLevel="1" x14ac:dyDescent="0.25">
      <c r="A29" s="17">
        <v>99</v>
      </c>
      <c r="B29" s="12" t="s">
        <v>34</v>
      </c>
      <c r="C29" s="14"/>
      <c r="D29" s="63">
        <v>2.5</v>
      </c>
      <c r="E29" s="61">
        <v>5</v>
      </c>
      <c r="F29" s="61">
        <f t="shared" si="0"/>
        <v>2.5</v>
      </c>
      <c r="G29" s="8" t="s">
        <v>15</v>
      </c>
      <c r="H29" s="57"/>
      <c r="I29" s="13"/>
    </row>
    <row r="30" spans="1:9" ht="15.75" outlineLevel="1" x14ac:dyDescent="0.25">
      <c r="A30" s="17">
        <v>100</v>
      </c>
      <c r="B30" s="12" t="s">
        <v>40</v>
      </c>
      <c r="C30" s="14"/>
      <c r="D30" s="63">
        <v>20</v>
      </c>
      <c r="E30" s="61">
        <v>50</v>
      </c>
      <c r="F30" s="61">
        <f t="shared" si="0"/>
        <v>30</v>
      </c>
      <c r="G30" s="8" t="s">
        <v>15</v>
      </c>
      <c r="H30" s="57"/>
      <c r="I30" s="13"/>
    </row>
    <row r="31" spans="1:9" ht="15.75" outlineLevel="1" x14ac:dyDescent="0.25">
      <c r="A31" s="17">
        <v>101</v>
      </c>
      <c r="B31" s="10" t="s">
        <v>35</v>
      </c>
      <c r="C31" s="14"/>
      <c r="D31" s="63">
        <v>18</v>
      </c>
      <c r="E31" s="61">
        <v>40</v>
      </c>
      <c r="F31" s="61">
        <f t="shared" si="0"/>
        <v>22</v>
      </c>
      <c r="G31" s="8" t="s">
        <v>15</v>
      </c>
      <c r="H31" s="8"/>
      <c r="I31" s="15">
        <v>44207</v>
      </c>
    </row>
    <row r="32" spans="1:9" ht="15.75" outlineLevel="1" x14ac:dyDescent="0.25">
      <c r="A32" s="17">
        <v>102</v>
      </c>
      <c r="B32" s="12" t="s">
        <v>11</v>
      </c>
      <c r="C32" s="14"/>
      <c r="D32" s="63">
        <v>7</v>
      </c>
      <c r="E32" s="61">
        <v>20</v>
      </c>
      <c r="F32" s="61">
        <f t="shared" si="0"/>
        <v>13</v>
      </c>
      <c r="G32" s="8" t="s">
        <v>15</v>
      </c>
      <c r="H32" s="57"/>
      <c r="I32" s="13"/>
    </row>
    <row r="33" spans="1:9" ht="15.75" outlineLevel="1" x14ac:dyDescent="0.25">
      <c r="A33" s="17">
        <v>103</v>
      </c>
      <c r="B33" s="12" t="s">
        <v>11</v>
      </c>
      <c r="C33" s="14"/>
      <c r="D33" s="63">
        <v>7</v>
      </c>
      <c r="E33" s="61">
        <v>20</v>
      </c>
      <c r="F33" s="61">
        <f t="shared" si="0"/>
        <v>13</v>
      </c>
      <c r="G33" s="8" t="s">
        <v>15</v>
      </c>
      <c r="H33" s="57"/>
      <c r="I33" s="13"/>
    </row>
    <row r="34" spans="1:9" ht="15.75" outlineLevel="1" x14ac:dyDescent="0.25">
      <c r="A34" s="17">
        <v>104</v>
      </c>
      <c r="B34" s="12" t="s">
        <v>12</v>
      </c>
      <c r="C34" s="14"/>
      <c r="D34" s="63">
        <v>16</v>
      </c>
      <c r="E34" s="61">
        <v>50</v>
      </c>
      <c r="F34" s="61">
        <f t="shared" si="0"/>
        <v>34</v>
      </c>
      <c r="G34" s="8" t="s">
        <v>15</v>
      </c>
      <c r="H34" s="56"/>
      <c r="I34" s="11"/>
    </row>
    <row r="35" spans="1:9" ht="15.75" outlineLevel="1" x14ac:dyDescent="0.25">
      <c r="A35" s="17">
        <v>105</v>
      </c>
      <c r="B35" s="12" t="s">
        <v>36</v>
      </c>
      <c r="C35" s="14"/>
      <c r="D35" s="63">
        <v>13</v>
      </c>
      <c r="E35" s="61">
        <v>20</v>
      </c>
      <c r="F35" s="61">
        <f t="shared" si="0"/>
        <v>7</v>
      </c>
      <c r="G35" s="8" t="s">
        <v>15</v>
      </c>
      <c r="H35" s="56"/>
      <c r="I35" s="9">
        <v>44204</v>
      </c>
    </row>
    <row r="36" spans="1:9" ht="15.75" outlineLevel="1" x14ac:dyDescent="0.25">
      <c r="A36" s="17">
        <v>106</v>
      </c>
      <c r="B36" s="12" t="s">
        <v>36</v>
      </c>
      <c r="C36" s="14"/>
      <c r="D36" s="63">
        <v>13</v>
      </c>
      <c r="E36" s="61">
        <v>30</v>
      </c>
      <c r="F36" s="61">
        <f t="shared" si="0"/>
        <v>17</v>
      </c>
      <c r="G36" s="8" t="s">
        <v>15</v>
      </c>
      <c r="H36" s="56"/>
      <c r="I36" s="11"/>
    </row>
    <row r="37" spans="1:9" ht="15.75" outlineLevel="1" x14ac:dyDescent="0.25">
      <c r="A37" s="17">
        <v>107</v>
      </c>
      <c r="B37" s="12" t="s">
        <v>37</v>
      </c>
      <c r="C37" s="14"/>
      <c r="D37" s="63">
        <v>15</v>
      </c>
      <c r="E37" s="61">
        <v>30</v>
      </c>
      <c r="F37" s="61">
        <f t="shared" si="0"/>
        <v>15</v>
      </c>
      <c r="G37" s="8" t="s">
        <v>15</v>
      </c>
      <c r="H37" s="56"/>
      <c r="I37" s="11"/>
    </row>
    <row r="38" spans="1:9" ht="15.75" outlineLevel="1" x14ac:dyDescent="0.25">
      <c r="A38" s="17">
        <v>108</v>
      </c>
      <c r="B38" s="12" t="s">
        <v>38</v>
      </c>
      <c r="C38" s="14"/>
      <c r="D38" s="63">
        <v>160</v>
      </c>
      <c r="E38" s="61">
        <v>250</v>
      </c>
      <c r="F38" s="61">
        <f t="shared" si="0"/>
        <v>90</v>
      </c>
      <c r="G38" s="8" t="s">
        <v>15</v>
      </c>
      <c r="H38" s="57"/>
      <c r="I38" s="13"/>
    </row>
    <row r="39" spans="1:9" ht="15.75" outlineLevel="1" x14ac:dyDescent="0.25">
      <c r="A39" s="17">
        <v>109</v>
      </c>
      <c r="B39" s="12" t="s">
        <v>38</v>
      </c>
      <c r="C39" s="14"/>
      <c r="D39" s="63">
        <v>160</v>
      </c>
      <c r="E39" s="61">
        <v>200</v>
      </c>
      <c r="F39" s="61">
        <f t="shared" si="0"/>
        <v>40</v>
      </c>
      <c r="G39" s="8" t="s">
        <v>15</v>
      </c>
      <c r="H39" s="57"/>
      <c r="I39" s="13"/>
    </row>
    <row r="40" spans="1:9" ht="15.75" outlineLevel="1" x14ac:dyDescent="0.25">
      <c r="A40" s="17">
        <v>110</v>
      </c>
      <c r="B40" s="12" t="s">
        <v>39</v>
      </c>
      <c r="C40" s="14"/>
      <c r="D40" s="63">
        <v>23</v>
      </c>
      <c r="E40" s="61">
        <v>50</v>
      </c>
      <c r="F40" s="61">
        <f t="shared" si="0"/>
        <v>27</v>
      </c>
      <c r="G40" s="8" t="s">
        <v>15</v>
      </c>
      <c r="H40" s="57"/>
      <c r="I40" s="13"/>
    </row>
    <row r="41" spans="1:9" ht="15.75" outlineLevel="1" x14ac:dyDescent="0.25">
      <c r="A41" s="17">
        <v>111</v>
      </c>
      <c r="B41" s="45" t="s">
        <v>72</v>
      </c>
      <c r="C41" s="14"/>
      <c r="D41" s="63">
        <f t="shared" ref="D41:D78" si="1">E41-F41</f>
        <v>324</v>
      </c>
      <c r="E41" s="61">
        <v>868.72</v>
      </c>
      <c r="F41" s="61">
        <v>544.72</v>
      </c>
      <c r="G41" s="8" t="s">
        <v>15</v>
      </c>
      <c r="H41" s="57" t="s">
        <v>6</v>
      </c>
      <c r="I41" s="13"/>
    </row>
    <row r="42" spans="1:9" ht="15.75" outlineLevel="1" x14ac:dyDescent="0.25">
      <c r="A42" s="17">
        <v>112</v>
      </c>
      <c r="B42" s="45" t="s">
        <v>73</v>
      </c>
      <c r="C42" s="14"/>
      <c r="D42" s="63">
        <f t="shared" si="1"/>
        <v>37</v>
      </c>
      <c r="E42" s="58">
        <v>79.569999999999993</v>
      </c>
      <c r="F42" s="61">
        <v>42.569999999999993</v>
      </c>
      <c r="G42" s="8" t="s">
        <v>15</v>
      </c>
      <c r="H42" s="57" t="s">
        <v>6</v>
      </c>
      <c r="I42" s="13"/>
    </row>
    <row r="43" spans="1:9" ht="15.75" outlineLevel="1" x14ac:dyDescent="0.25">
      <c r="A43" s="17">
        <v>113</v>
      </c>
      <c r="B43" s="45" t="s">
        <v>74</v>
      </c>
      <c r="C43" s="14"/>
      <c r="D43" s="63">
        <f t="shared" si="1"/>
        <v>33</v>
      </c>
      <c r="E43" s="58">
        <v>62.36</v>
      </c>
      <c r="F43" s="61">
        <v>29.36</v>
      </c>
      <c r="G43" s="8" t="s">
        <v>15</v>
      </c>
      <c r="H43" s="57" t="s">
        <v>6</v>
      </c>
      <c r="I43" s="13"/>
    </row>
    <row r="44" spans="1:9" ht="15.75" outlineLevel="1" x14ac:dyDescent="0.25">
      <c r="A44" s="17">
        <v>114</v>
      </c>
      <c r="B44" s="45" t="s">
        <v>75</v>
      </c>
      <c r="C44" s="14"/>
      <c r="D44" s="63">
        <f t="shared" si="1"/>
        <v>110</v>
      </c>
      <c r="E44" s="58">
        <v>221.1</v>
      </c>
      <c r="F44" s="61">
        <v>111.1</v>
      </c>
      <c r="G44" s="8" t="s">
        <v>15</v>
      </c>
      <c r="H44" s="57" t="s">
        <v>6</v>
      </c>
      <c r="I44" s="13"/>
    </row>
    <row r="45" spans="1:9" ht="15.75" outlineLevel="1" x14ac:dyDescent="0.25">
      <c r="A45" s="17">
        <v>115</v>
      </c>
      <c r="B45" s="45" t="s">
        <v>76</v>
      </c>
      <c r="C45" s="14"/>
      <c r="D45" s="63">
        <f t="shared" si="1"/>
        <v>306</v>
      </c>
      <c r="E45" s="58">
        <v>520.08999999999992</v>
      </c>
      <c r="F45" s="61">
        <v>214.08999999999992</v>
      </c>
      <c r="G45" s="8" t="s">
        <v>15</v>
      </c>
      <c r="H45" s="57" t="s">
        <v>6</v>
      </c>
      <c r="I45" s="13"/>
    </row>
    <row r="46" spans="1:9" ht="15.75" outlineLevel="1" x14ac:dyDescent="0.25">
      <c r="A46" s="17">
        <v>116</v>
      </c>
      <c r="B46" s="45" t="s">
        <v>77</v>
      </c>
      <c r="C46" s="14"/>
      <c r="D46" s="63">
        <f t="shared" si="1"/>
        <v>1225</v>
      </c>
      <c r="E46" s="58">
        <v>2287.14</v>
      </c>
      <c r="F46" s="61">
        <v>1062.1399999999999</v>
      </c>
      <c r="G46" s="8" t="s">
        <v>15</v>
      </c>
      <c r="H46" s="57" t="s">
        <v>6</v>
      </c>
      <c r="I46" s="13"/>
    </row>
    <row r="47" spans="1:9" ht="15.75" outlineLevel="1" x14ac:dyDescent="0.25">
      <c r="A47" s="17">
        <v>117</v>
      </c>
      <c r="B47" s="45" t="s">
        <v>78</v>
      </c>
      <c r="C47" s="14"/>
      <c r="D47" s="63">
        <f t="shared" si="1"/>
        <v>31.5</v>
      </c>
      <c r="E47" s="58">
        <v>93.92</v>
      </c>
      <c r="F47" s="61">
        <v>62.42</v>
      </c>
      <c r="G47" s="8" t="s">
        <v>15</v>
      </c>
      <c r="H47" s="57" t="s">
        <v>6</v>
      </c>
      <c r="I47" s="13"/>
    </row>
    <row r="48" spans="1:9" ht="15.75" outlineLevel="1" x14ac:dyDescent="0.25">
      <c r="A48" s="17">
        <v>118</v>
      </c>
      <c r="B48" s="45" t="s">
        <v>79</v>
      </c>
      <c r="C48" s="14"/>
      <c r="D48" s="63">
        <f t="shared" si="1"/>
        <v>14.399999999999999</v>
      </c>
      <c r="E48" s="58">
        <v>38.56</v>
      </c>
      <c r="F48" s="61">
        <v>24.160000000000004</v>
      </c>
      <c r="G48" s="8" t="s">
        <v>15</v>
      </c>
      <c r="H48" s="57" t="s">
        <v>6</v>
      </c>
      <c r="I48" s="13"/>
    </row>
    <row r="49" spans="1:9" ht="15.75" outlineLevel="1" x14ac:dyDescent="0.25">
      <c r="A49" s="17">
        <v>119</v>
      </c>
      <c r="B49" s="45" t="s">
        <v>80</v>
      </c>
      <c r="C49" s="14"/>
      <c r="D49" s="63">
        <f t="shared" si="1"/>
        <v>63</v>
      </c>
      <c r="E49" s="58">
        <v>89.56</v>
      </c>
      <c r="F49" s="61">
        <v>26.560000000000002</v>
      </c>
      <c r="G49" s="8" t="s">
        <v>15</v>
      </c>
      <c r="H49" s="57" t="s">
        <v>6</v>
      </c>
      <c r="I49" s="13"/>
    </row>
    <row r="50" spans="1:9" ht="15.75" outlineLevel="1" x14ac:dyDescent="0.25">
      <c r="A50" s="17">
        <v>120</v>
      </c>
      <c r="B50" s="45" t="s">
        <v>81</v>
      </c>
      <c r="C50" s="14"/>
      <c r="D50" s="63">
        <f t="shared" si="1"/>
        <v>15</v>
      </c>
      <c r="E50" s="58">
        <v>23.79</v>
      </c>
      <c r="F50" s="61">
        <v>8.7899999999999991</v>
      </c>
      <c r="G50" s="8" t="s">
        <v>15</v>
      </c>
      <c r="H50" s="57" t="s">
        <v>6</v>
      </c>
      <c r="I50" s="13"/>
    </row>
    <row r="51" spans="1:9" ht="15.75" outlineLevel="1" x14ac:dyDescent="0.25">
      <c r="A51" s="17">
        <v>121</v>
      </c>
      <c r="B51" s="45" t="s">
        <v>82</v>
      </c>
      <c r="C51" s="14"/>
      <c r="D51" s="63">
        <f t="shared" si="1"/>
        <v>42</v>
      </c>
      <c r="E51" s="58">
        <v>62.8</v>
      </c>
      <c r="F51" s="61">
        <v>20.799999999999997</v>
      </c>
      <c r="G51" s="8" t="s">
        <v>15</v>
      </c>
      <c r="H51" s="57" t="s">
        <v>6</v>
      </c>
      <c r="I51" s="13"/>
    </row>
    <row r="52" spans="1:9" ht="15.75" outlineLevel="1" x14ac:dyDescent="0.25">
      <c r="A52" s="17">
        <v>122</v>
      </c>
      <c r="B52" s="45" t="s">
        <v>83</v>
      </c>
      <c r="C52" s="14"/>
      <c r="D52" s="63">
        <f t="shared" si="1"/>
        <v>120</v>
      </c>
      <c r="E52" s="58">
        <v>168.9</v>
      </c>
      <c r="F52" s="61">
        <v>48.900000000000006</v>
      </c>
      <c r="G52" s="8" t="s">
        <v>15</v>
      </c>
      <c r="H52" s="57" t="s">
        <v>6</v>
      </c>
      <c r="I52" s="13"/>
    </row>
    <row r="53" spans="1:9" ht="15.75" outlineLevel="1" x14ac:dyDescent="0.25">
      <c r="A53" s="17">
        <v>123</v>
      </c>
      <c r="B53" s="45" t="s">
        <v>84</v>
      </c>
      <c r="C53" s="14"/>
      <c r="D53" s="63">
        <f t="shared" si="1"/>
        <v>9</v>
      </c>
      <c r="E53" s="58">
        <v>22.94</v>
      </c>
      <c r="F53" s="61">
        <v>13.940000000000001</v>
      </c>
      <c r="G53" s="8" t="s">
        <v>15</v>
      </c>
      <c r="H53" s="57" t="s">
        <v>6</v>
      </c>
      <c r="I53" s="13"/>
    </row>
    <row r="54" spans="1:9" ht="15.75" outlineLevel="1" x14ac:dyDescent="0.25">
      <c r="A54" s="17">
        <v>124</v>
      </c>
      <c r="B54" s="45" t="s">
        <v>85</v>
      </c>
      <c r="C54" s="14"/>
      <c r="D54" s="63">
        <f t="shared" si="1"/>
        <v>96</v>
      </c>
      <c r="E54" s="58">
        <v>119.69</v>
      </c>
      <c r="F54" s="61">
        <v>23.689999999999998</v>
      </c>
      <c r="G54" s="8" t="s">
        <v>15</v>
      </c>
      <c r="H54" s="57" t="s">
        <v>6</v>
      </c>
      <c r="I54" s="13"/>
    </row>
    <row r="55" spans="1:9" ht="15.75" outlineLevel="1" x14ac:dyDescent="0.25">
      <c r="A55" s="17">
        <v>125</v>
      </c>
      <c r="B55" s="45" t="s">
        <v>86</v>
      </c>
      <c r="C55" s="14"/>
      <c r="D55" s="63">
        <f t="shared" si="1"/>
        <v>15</v>
      </c>
      <c r="E55" s="58">
        <v>23.69</v>
      </c>
      <c r="F55" s="61">
        <v>8.6900000000000013</v>
      </c>
      <c r="G55" s="8" t="s">
        <v>15</v>
      </c>
      <c r="H55" s="57" t="s">
        <v>6</v>
      </c>
      <c r="I55" s="13"/>
    </row>
    <row r="56" spans="1:9" ht="15.75" outlineLevel="1" x14ac:dyDescent="0.25">
      <c r="A56" s="17">
        <v>126</v>
      </c>
      <c r="B56" s="45" t="s">
        <v>87</v>
      </c>
      <c r="C56" s="14"/>
      <c r="D56" s="63">
        <f t="shared" si="1"/>
        <v>36</v>
      </c>
      <c r="E56" s="58">
        <v>58.98</v>
      </c>
      <c r="F56" s="61">
        <v>22.979999999999997</v>
      </c>
      <c r="G56" s="8" t="s">
        <v>15</v>
      </c>
      <c r="H56" s="57" t="s">
        <v>6</v>
      </c>
      <c r="I56" s="13"/>
    </row>
    <row r="57" spans="1:9" ht="15.75" outlineLevel="1" x14ac:dyDescent="0.25">
      <c r="A57" s="17">
        <v>127</v>
      </c>
      <c r="B57" s="45" t="s">
        <v>88</v>
      </c>
      <c r="C57" s="14"/>
      <c r="D57" s="63">
        <f t="shared" si="1"/>
        <v>5</v>
      </c>
      <c r="E57" s="58">
        <v>12.07</v>
      </c>
      <c r="F57" s="61">
        <v>7.07</v>
      </c>
      <c r="G57" s="8" t="s">
        <v>15</v>
      </c>
      <c r="H57" s="57" t="s">
        <v>6</v>
      </c>
      <c r="I57" s="13"/>
    </row>
    <row r="58" spans="1:9" ht="15.75" outlineLevel="1" x14ac:dyDescent="0.25">
      <c r="A58" s="17">
        <v>128</v>
      </c>
      <c r="B58" s="45" t="s">
        <v>89</v>
      </c>
      <c r="C58" s="14"/>
      <c r="D58" s="63">
        <f t="shared" si="1"/>
        <v>10</v>
      </c>
      <c r="E58" s="58">
        <v>21.35</v>
      </c>
      <c r="F58" s="61">
        <v>11.350000000000001</v>
      </c>
      <c r="G58" s="8" t="s">
        <v>15</v>
      </c>
      <c r="H58" s="57" t="s">
        <v>6</v>
      </c>
      <c r="I58" s="13"/>
    </row>
    <row r="59" spans="1:9" ht="15.75" outlineLevel="1" x14ac:dyDescent="0.25">
      <c r="A59" s="17">
        <v>129</v>
      </c>
      <c r="B59" s="45" t="s">
        <v>90</v>
      </c>
      <c r="C59" s="14"/>
      <c r="D59" s="63">
        <f t="shared" si="1"/>
        <v>50</v>
      </c>
      <c r="E59" s="58">
        <v>100.06</v>
      </c>
      <c r="F59" s="61">
        <v>50.06</v>
      </c>
      <c r="G59" s="8" t="s">
        <v>15</v>
      </c>
      <c r="H59" s="57" t="s">
        <v>6</v>
      </c>
      <c r="I59" s="13"/>
    </row>
    <row r="60" spans="1:9" ht="15.75" outlineLevel="1" x14ac:dyDescent="0.25">
      <c r="A60" s="17">
        <v>130</v>
      </c>
      <c r="B60" s="45" t="s">
        <v>91</v>
      </c>
      <c r="C60" s="14"/>
      <c r="D60" s="63">
        <f t="shared" si="1"/>
        <v>2.5</v>
      </c>
      <c r="E60" s="58">
        <v>13.32</v>
      </c>
      <c r="F60" s="61">
        <v>10.82</v>
      </c>
      <c r="G60" s="8" t="s">
        <v>15</v>
      </c>
      <c r="H60" s="57" t="s">
        <v>6</v>
      </c>
      <c r="I60" s="13"/>
    </row>
    <row r="61" spans="1:9" ht="15.75" outlineLevel="1" x14ac:dyDescent="0.25">
      <c r="A61" s="17">
        <v>131</v>
      </c>
      <c r="B61" s="45" t="s">
        <v>92</v>
      </c>
      <c r="C61" s="14"/>
      <c r="D61" s="63">
        <f t="shared" si="1"/>
        <v>5</v>
      </c>
      <c r="E61" s="58">
        <v>28</v>
      </c>
      <c r="F61" s="61">
        <v>23</v>
      </c>
      <c r="G61" s="8" t="s">
        <v>15</v>
      </c>
      <c r="H61" s="57" t="s">
        <v>6</v>
      </c>
      <c r="I61" s="13"/>
    </row>
    <row r="62" spans="1:9" ht="15.75" outlineLevel="1" x14ac:dyDescent="0.25">
      <c r="A62" s="17">
        <v>132</v>
      </c>
      <c r="B62" s="45" t="s">
        <v>93</v>
      </c>
      <c r="C62" s="14"/>
      <c r="D62" s="63">
        <f t="shared" si="1"/>
        <v>2.5</v>
      </c>
      <c r="E62" s="58">
        <v>5</v>
      </c>
      <c r="F62" s="61">
        <v>2.5</v>
      </c>
      <c r="G62" s="8" t="s">
        <v>15</v>
      </c>
      <c r="H62" s="57" t="s">
        <v>6</v>
      </c>
      <c r="I62" s="13"/>
    </row>
    <row r="63" spans="1:9" ht="15.75" outlineLevel="1" x14ac:dyDescent="0.25">
      <c r="A63" s="17">
        <v>133</v>
      </c>
      <c r="B63" s="45" t="s">
        <v>94</v>
      </c>
      <c r="C63" s="14"/>
      <c r="D63" s="63">
        <f t="shared" si="1"/>
        <v>10</v>
      </c>
      <c r="E63" s="58">
        <v>20</v>
      </c>
      <c r="F63" s="61">
        <v>10</v>
      </c>
      <c r="G63" s="8" t="s">
        <v>15</v>
      </c>
      <c r="H63" s="57" t="s">
        <v>6</v>
      </c>
      <c r="I63" s="13"/>
    </row>
    <row r="64" spans="1:9" ht="15.75" outlineLevel="1" x14ac:dyDescent="0.25">
      <c r="A64" s="17">
        <v>134</v>
      </c>
      <c r="B64" s="45" t="s">
        <v>95</v>
      </c>
      <c r="C64" s="14"/>
      <c r="D64" s="63">
        <f t="shared" si="1"/>
        <v>4</v>
      </c>
      <c r="E64" s="58">
        <v>6.4</v>
      </c>
      <c r="F64" s="61">
        <v>2.4000000000000004</v>
      </c>
      <c r="G64" s="8" t="s">
        <v>15</v>
      </c>
      <c r="H64" s="57" t="s">
        <v>6</v>
      </c>
      <c r="I64" s="13"/>
    </row>
    <row r="65" spans="1:9" ht="15.75" outlineLevel="1" x14ac:dyDescent="0.25">
      <c r="A65" s="17">
        <v>135</v>
      </c>
      <c r="B65" s="45" t="s">
        <v>96</v>
      </c>
      <c r="C65" s="14"/>
      <c r="D65" s="63">
        <f t="shared" si="1"/>
        <v>28</v>
      </c>
      <c r="E65" s="58">
        <v>40.61</v>
      </c>
      <c r="F65" s="61">
        <v>12.61</v>
      </c>
      <c r="G65" s="8" t="s">
        <v>15</v>
      </c>
      <c r="H65" s="57" t="s">
        <v>6</v>
      </c>
      <c r="I65" s="13"/>
    </row>
    <row r="66" spans="1:9" ht="15.75" outlineLevel="1" x14ac:dyDescent="0.25">
      <c r="A66" s="17">
        <v>136</v>
      </c>
      <c r="B66" s="45" t="s">
        <v>97</v>
      </c>
      <c r="C66" s="14"/>
      <c r="D66" s="63">
        <f t="shared" si="1"/>
        <v>3</v>
      </c>
      <c r="E66" s="58">
        <v>12</v>
      </c>
      <c r="F66" s="61">
        <v>9</v>
      </c>
      <c r="G66" s="8" t="s">
        <v>15</v>
      </c>
      <c r="H66" s="57" t="s">
        <v>6</v>
      </c>
      <c r="I66" s="13"/>
    </row>
    <row r="67" spans="1:9" ht="15.75" outlineLevel="1" x14ac:dyDescent="0.25">
      <c r="A67" s="17">
        <v>137</v>
      </c>
      <c r="B67" s="45" t="s">
        <v>98</v>
      </c>
      <c r="C67" s="14"/>
      <c r="D67" s="63">
        <f t="shared" si="1"/>
        <v>1</v>
      </c>
      <c r="E67" s="58">
        <v>1.99</v>
      </c>
      <c r="F67" s="61">
        <v>0.99</v>
      </c>
      <c r="G67" s="8" t="s">
        <v>15</v>
      </c>
      <c r="H67" s="57" t="s">
        <v>6</v>
      </c>
      <c r="I67" s="13"/>
    </row>
    <row r="68" spans="1:9" ht="15.75" outlineLevel="1" x14ac:dyDescent="0.25">
      <c r="A68" s="17">
        <v>138</v>
      </c>
      <c r="B68" s="45" t="s">
        <v>99</v>
      </c>
      <c r="C68" s="14"/>
      <c r="D68" s="63">
        <f t="shared" si="1"/>
        <v>16</v>
      </c>
      <c r="E68" s="58">
        <v>28</v>
      </c>
      <c r="F68" s="61">
        <v>12</v>
      </c>
      <c r="G68" s="8" t="s">
        <v>15</v>
      </c>
      <c r="H68" s="57" t="s">
        <v>6</v>
      </c>
      <c r="I68" s="13"/>
    </row>
    <row r="69" spans="1:9" ht="15.75" outlineLevel="1" x14ac:dyDescent="0.25">
      <c r="A69" s="17">
        <v>139</v>
      </c>
      <c r="B69" s="45" t="s">
        <v>100</v>
      </c>
      <c r="C69" s="14"/>
      <c r="D69" s="63">
        <f t="shared" si="1"/>
        <v>5</v>
      </c>
      <c r="E69" s="58">
        <v>12</v>
      </c>
      <c r="F69" s="61">
        <v>7</v>
      </c>
      <c r="G69" s="8" t="s">
        <v>15</v>
      </c>
      <c r="H69" s="57" t="s">
        <v>6</v>
      </c>
      <c r="I69" s="13"/>
    </row>
    <row r="70" spans="1:9" ht="15.75" outlineLevel="1" x14ac:dyDescent="0.25">
      <c r="A70" s="17">
        <v>140</v>
      </c>
      <c r="B70" s="45" t="s">
        <v>101</v>
      </c>
      <c r="C70" s="14"/>
      <c r="D70" s="63">
        <f t="shared" si="1"/>
        <v>0</v>
      </c>
      <c r="E70" s="58">
        <v>11.09</v>
      </c>
      <c r="F70" s="61">
        <v>11.09</v>
      </c>
      <c r="G70" s="8" t="s">
        <v>15</v>
      </c>
      <c r="H70" s="57" t="s">
        <v>6</v>
      </c>
      <c r="I70" s="13"/>
    </row>
    <row r="71" spans="1:9" ht="15.75" outlineLevel="1" x14ac:dyDescent="0.25">
      <c r="A71" s="17">
        <v>141</v>
      </c>
      <c r="B71" s="45" t="s">
        <v>102</v>
      </c>
      <c r="C71" s="14"/>
      <c r="D71" s="63">
        <f t="shared" si="1"/>
        <v>14</v>
      </c>
      <c r="E71" s="58">
        <v>24.4</v>
      </c>
      <c r="F71" s="61">
        <v>10.399999999999999</v>
      </c>
      <c r="G71" s="8" t="s">
        <v>15</v>
      </c>
      <c r="H71" s="57" t="s">
        <v>6</v>
      </c>
      <c r="I71" s="13"/>
    </row>
    <row r="72" spans="1:9" ht="15.75" outlineLevel="1" x14ac:dyDescent="0.25">
      <c r="A72" s="17">
        <v>142</v>
      </c>
      <c r="B72" s="45" t="s">
        <v>75</v>
      </c>
      <c r="C72" s="14"/>
      <c r="D72" s="63">
        <f t="shared" si="1"/>
        <v>5</v>
      </c>
      <c r="E72" s="58">
        <v>8</v>
      </c>
      <c r="F72" s="61">
        <v>3</v>
      </c>
      <c r="G72" s="8" t="s">
        <v>15</v>
      </c>
      <c r="H72" s="57" t="s">
        <v>6</v>
      </c>
      <c r="I72" s="13"/>
    </row>
    <row r="73" spans="1:9" ht="15.75" outlineLevel="1" x14ac:dyDescent="0.25">
      <c r="A73" s="17">
        <v>143</v>
      </c>
      <c r="B73" s="45" t="s">
        <v>103</v>
      </c>
      <c r="C73" s="14"/>
      <c r="D73" s="63">
        <f t="shared" si="1"/>
        <v>16</v>
      </c>
      <c r="E73" s="58">
        <v>32</v>
      </c>
      <c r="F73" s="61">
        <v>16</v>
      </c>
      <c r="G73" s="8" t="s">
        <v>15</v>
      </c>
      <c r="H73" s="57" t="s">
        <v>6</v>
      </c>
      <c r="I73" s="13"/>
    </row>
    <row r="74" spans="1:9" ht="15.75" outlineLevel="1" x14ac:dyDescent="0.25">
      <c r="A74" s="17">
        <v>144</v>
      </c>
      <c r="B74" s="45" t="s">
        <v>104</v>
      </c>
      <c r="C74" s="14"/>
      <c r="D74" s="63">
        <f t="shared" si="1"/>
        <v>16</v>
      </c>
      <c r="E74" s="58">
        <v>26.71</v>
      </c>
      <c r="F74" s="61">
        <v>10.71</v>
      </c>
      <c r="G74" s="8" t="s">
        <v>15</v>
      </c>
      <c r="H74" s="57" t="s">
        <v>6</v>
      </c>
      <c r="I74" s="13"/>
    </row>
    <row r="75" spans="1:9" ht="15.75" outlineLevel="1" x14ac:dyDescent="0.25">
      <c r="A75" s="17">
        <v>145</v>
      </c>
      <c r="B75" s="45" t="s">
        <v>105</v>
      </c>
      <c r="C75" s="14"/>
      <c r="D75" s="63">
        <f t="shared" si="1"/>
        <v>25</v>
      </c>
      <c r="E75" s="58">
        <v>50</v>
      </c>
      <c r="F75" s="61">
        <v>25</v>
      </c>
      <c r="G75" s="8" t="s">
        <v>15</v>
      </c>
      <c r="H75" s="57" t="s">
        <v>6</v>
      </c>
      <c r="I75" s="13"/>
    </row>
    <row r="76" spans="1:9" ht="15.75" outlineLevel="1" x14ac:dyDescent="0.25">
      <c r="A76" s="17">
        <v>146</v>
      </c>
      <c r="B76" s="45" t="s">
        <v>106</v>
      </c>
      <c r="C76" s="14"/>
      <c r="D76" s="63">
        <f t="shared" si="1"/>
        <v>0.5</v>
      </c>
      <c r="E76" s="58">
        <v>2.0499999999999998</v>
      </c>
      <c r="F76" s="61">
        <v>1.5499999999999998</v>
      </c>
      <c r="G76" s="8" t="s">
        <v>15</v>
      </c>
      <c r="H76" s="57" t="s">
        <v>6</v>
      </c>
      <c r="I76" s="13"/>
    </row>
    <row r="77" spans="1:9" ht="15.75" outlineLevel="1" x14ac:dyDescent="0.25">
      <c r="A77" s="17">
        <v>146</v>
      </c>
      <c r="B77" s="45" t="s">
        <v>107</v>
      </c>
      <c r="C77" s="8"/>
      <c r="D77" s="63">
        <f t="shared" si="1"/>
        <v>22</v>
      </c>
      <c r="E77" s="58">
        <v>40</v>
      </c>
      <c r="F77" s="61">
        <v>18</v>
      </c>
      <c r="G77" s="8" t="s">
        <v>15</v>
      </c>
      <c r="H77" s="57" t="s">
        <v>6</v>
      </c>
      <c r="I77" s="44"/>
    </row>
    <row r="78" spans="1:9" ht="15.75" outlineLevel="1" x14ac:dyDescent="0.25">
      <c r="A78" s="17">
        <v>146</v>
      </c>
      <c r="B78" s="45" t="s">
        <v>108</v>
      </c>
      <c r="C78" s="8"/>
      <c r="D78" s="63">
        <f t="shared" si="1"/>
        <v>1</v>
      </c>
      <c r="E78" s="58">
        <v>11.59</v>
      </c>
      <c r="F78" s="61">
        <v>10.59</v>
      </c>
      <c r="G78" s="8" t="s">
        <v>15</v>
      </c>
      <c r="H78" s="57" t="s">
        <v>6</v>
      </c>
      <c r="I78" s="44"/>
    </row>
    <row r="79" spans="1:9" ht="15.75" outlineLevel="1" x14ac:dyDescent="0.25">
      <c r="A79" s="17">
        <v>146</v>
      </c>
      <c r="B79" s="12" t="s">
        <v>11</v>
      </c>
      <c r="C79" s="14"/>
      <c r="D79" s="63">
        <v>5</v>
      </c>
      <c r="E79" s="61">
        <v>16</v>
      </c>
      <c r="F79" s="61">
        <f>SUM(E79-D79)</f>
        <v>11</v>
      </c>
      <c r="G79" s="8" t="s">
        <v>15</v>
      </c>
      <c r="H79" s="57" t="s">
        <v>6</v>
      </c>
      <c r="I79" s="13"/>
    </row>
    <row r="80" spans="1:9" ht="15.75" outlineLevel="1" x14ac:dyDescent="0.25">
      <c r="A80" s="17">
        <v>146</v>
      </c>
      <c r="B80" s="12" t="s">
        <v>11</v>
      </c>
      <c r="C80" s="14"/>
      <c r="D80" s="63">
        <v>5</v>
      </c>
      <c r="E80" s="61">
        <v>16</v>
      </c>
      <c r="F80" s="61">
        <f>SUM(E80-D80)</f>
        <v>11</v>
      </c>
      <c r="G80" s="8" t="s">
        <v>15</v>
      </c>
      <c r="H80" s="57" t="s">
        <v>6</v>
      </c>
      <c r="I80" s="13"/>
    </row>
    <row r="81" spans="1:9" ht="15.75" outlineLevel="1" x14ac:dyDescent="0.25">
      <c r="A81" s="17">
        <v>146</v>
      </c>
      <c r="B81" s="12" t="s">
        <v>109</v>
      </c>
      <c r="C81" s="14"/>
      <c r="D81" s="63">
        <v>17</v>
      </c>
      <c r="E81" s="61">
        <v>30</v>
      </c>
      <c r="F81" s="61">
        <f>SUM(E81-D81)</f>
        <v>13</v>
      </c>
      <c r="G81" s="8" t="s">
        <v>15</v>
      </c>
      <c r="H81" s="57" t="s">
        <v>6</v>
      </c>
      <c r="I81" s="13"/>
    </row>
    <row r="82" spans="1:9" ht="15.75" outlineLevel="1" x14ac:dyDescent="0.25">
      <c r="A82" s="17">
        <v>146</v>
      </c>
      <c r="B82" s="12" t="s">
        <v>110</v>
      </c>
      <c r="C82" s="14"/>
      <c r="D82" s="63">
        <v>25</v>
      </c>
      <c r="E82" s="61">
        <v>40</v>
      </c>
      <c r="F82" s="61">
        <f>SUM(E82-D82)</f>
        <v>15</v>
      </c>
      <c r="G82" s="8" t="s">
        <v>15</v>
      </c>
      <c r="H82" s="57" t="s">
        <v>6</v>
      </c>
      <c r="I82" s="13"/>
    </row>
    <row r="83" spans="1:9" ht="15.75" outlineLevel="1" x14ac:dyDescent="0.25">
      <c r="A83" s="17">
        <v>146</v>
      </c>
      <c r="B83" s="12"/>
      <c r="C83" s="14"/>
      <c r="D83" s="63"/>
      <c r="E83" s="61"/>
      <c r="F83" s="61"/>
      <c r="G83" s="8"/>
      <c r="H83" s="57"/>
      <c r="I83" s="13"/>
    </row>
    <row r="84" spans="1:9" ht="15.75" outlineLevel="1" x14ac:dyDescent="0.25">
      <c r="A84" s="17">
        <v>146</v>
      </c>
      <c r="B84" s="12"/>
      <c r="C84" s="14"/>
      <c r="D84" s="63"/>
      <c r="E84" s="61"/>
      <c r="F84" s="61"/>
      <c r="G84" s="8"/>
      <c r="H84" s="57"/>
      <c r="I84" s="13"/>
    </row>
    <row r="85" spans="1:9" ht="15.75" outlineLevel="1" x14ac:dyDescent="0.25">
      <c r="A85" s="17">
        <v>146</v>
      </c>
      <c r="B85" s="12"/>
      <c r="C85" s="14"/>
      <c r="D85" s="63"/>
      <c r="E85" s="61"/>
      <c r="F85" s="61"/>
      <c r="G85" s="8"/>
      <c r="H85" s="57"/>
      <c r="I85" s="13"/>
    </row>
    <row r="86" spans="1:9" ht="15.75" outlineLevel="1" x14ac:dyDescent="0.25">
      <c r="A86" s="17"/>
      <c r="B86" s="12"/>
      <c r="C86" s="14"/>
      <c r="D86" s="63"/>
      <c r="E86" s="61"/>
      <c r="F86" s="61"/>
      <c r="G86" s="8"/>
      <c r="H86" s="57"/>
      <c r="I86" s="13"/>
    </row>
    <row r="87" spans="1:9" ht="21" x14ac:dyDescent="0.25">
      <c r="A87" s="189" t="s">
        <v>42</v>
      </c>
      <c r="B87" s="189"/>
      <c r="C87" s="189"/>
      <c r="D87" s="4">
        <f>SUM(D88:D145)</f>
        <v>5248.7</v>
      </c>
      <c r="E87" s="4">
        <f>SUM(E88:E145)</f>
        <v>11712.679999999997</v>
      </c>
      <c r="F87" s="4">
        <f>SUM(F88:F145)</f>
        <v>6463.9800000000005</v>
      </c>
      <c r="G87" s="5">
        <f>SUM(C88:C145)</f>
        <v>696</v>
      </c>
      <c r="H87" s="43">
        <f>G87-I87</f>
        <v>636</v>
      </c>
      <c r="I87" s="5">
        <f>COUNTIF(H88:H216,"bsb")</f>
        <v>60</v>
      </c>
    </row>
    <row r="88" spans="1:9" ht="15.75" outlineLevel="1" x14ac:dyDescent="0.25">
      <c r="A88" s="17">
        <v>69</v>
      </c>
      <c r="B88" s="12" t="s">
        <v>70</v>
      </c>
      <c r="C88" s="14">
        <v>1</v>
      </c>
      <c r="D88" s="61">
        <v>4</v>
      </c>
      <c r="E88" s="61">
        <v>25</v>
      </c>
      <c r="F88" s="61">
        <f t="shared" ref="F88:F105" si="2">E88-D88</f>
        <v>21</v>
      </c>
      <c r="G88" s="8" t="s">
        <v>15</v>
      </c>
      <c r="H88" s="57" t="s">
        <v>113</v>
      </c>
      <c r="I88" s="13"/>
    </row>
    <row r="89" spans="1:9" ht="15.75" outlineLevel="1" x14ac:dyDescent="0.25">
      <c r="A89" s="17">
        <v>61</v>
      </c>
      <c r="B89" s="7" t="s">
        <v>14</v>
      </c>
      <c r="C89" s="14">
        <v>1</v>
      </c>
      <c r="D89" s="61">
        <v>22</v>
      </c>
      <c r="E89" s="61">
        <v>110</v>
      </c>
      <c r="F89" s="61">
        <f t="shared" si="2"/>
        <v>88</v>
      </c>
      <c r="G89" s="8" t="s">
        <v>15</v>
      </c>
      <c r="H89" s="8" t="s">
        <v>113</v>
      </c>
      <c r="I89" s="15"/>
    </row>
    <row r="90" spans="1:9" ht="15.75" outlineLevel="1" x14ac:dyDescent="0.25">
      <c r="A90" s="17">
        <v>72</v>
      </c>
      <c r="B90" s="12" t="s">
        <v>37</v>
      </c>
      <c r="C90" s="14">
        <v>1</v>
      </c>
      <c r="D90" s="61">
        <v>15</v>
      </c>
      <c r="E90" s="61">
        <v>30</v>
      </c>
      <c r="F90" s="61">
        <f t="shared" si="2"/>
        <v>15</v>
      </c>
      <c r="G90" s="8" t="s">
        <v>15</v>
      </c>
      <c r="H90" s="57" t="s">
        <v>113</v>
      </c>
      <c r="I90" s="15"/>
    </row>
    <row r="91" spans="1:9" ht="15.75" outlineLevel="1" x14ac:dyDescent="0.25">
      <c r="A91" s="17">
        <v>73</v>
      </c>
      <c r="B91" s="12" t="s">
        <v>13</v>
      </c>
      <c r="C91" s="14">
        <v>1</v>
      </c>
      <c r="D91" s="61">
        <v>15</v>
      </c>
      <c r="E91" s="61">
        <v>35</v>
      </c>
      <c r="F91" s="61">
        <f t="shared" si="2"/>
        <v>20</v>
      </c>
      <c r="G91" s="8" t="s">
        <v>15</v>
      </c>
      <c r="H91" s="57" t="s">
        <v>113</v>
      </c>
      <c r="I91" s="13"/>
    </row>
    <row r="92" spans="1:9" ht="15.75" outlineLevel="1" x14ac:dyDescent="0.25">
      <c r="A92" s="17">
        <v>74</v>
      </c>
      <c r="B92" s="12" t="s">
        <v>111</v>
      </c>
      <c r="C92" s="14">
        <v>1</v>
      </c>
      <c r="D92" s="61">
        <v>0</v>
      </c>
      <c r="E92" s="61">
        <v>405</v>
      </c>
      <c r="F92" s="61">
        <f t="shared" si="2"/>
        <v>405</v>
      </c>
      <c r="G92" s="8" t="s">
        <v>15</v>
      </c>
      <c r="H92" s="57" t="s">
        <v>113</v>
      </c>
      <c r="I92" s="13"/>
    </row>
    <row r="93" spans="1:9" ht="15.75" outlineLevel="1" x14ac:dyDescent="0.25">
      <c r="A93" s="17">
        <v>75</v>
      </c>
      <c r="B93" s="12" t="s">
        <v>112</v>
      </c>
      <c r="C93" s="14">
        <v>1</v>
      </c>
      <c r="D93" s="61">
        <v>0</v>
      </c>
      <c r="E93" s="61">
        <v>200</v>
      </c>
      <c r="F93" s="61">
        <f t="shared" si="2"/>
        <v>200</v>
      </c>
      <c r="G93" s="8" t="s">
        <v>15</v>
      </c>
      <c r="H93" s="57" t="s">
        <v>113</v>
      </c>
      <c r="I93" s="13"/>
    </row>
    <row r="94" spans="1:9" ht="15.75" outlineLevel="1" x14ac:dyDescent="0.25">
      <c r="A94" s="17">
        <v>95</v>
      </c>
      <c r="B94" s="48" t="s">
        <v>77</v>
      </c>
      <c r="C94" s="59">
        <v>1</v>
      </c>
      <c r="D94" s="60">
        <v>35</v>
      </c>
      <c r="E94" s="60">
        <v>85</v>
      </c>
      <c r="F94" s="64">
        <f t="shared" si="2"/>
        <v>50</v>
      </c>
      <c r="G94" s="8" t="s">
        <v>15</v>
      </c>
      <c r="H94" s="57" t="s">
        <v>113</v>
      </c>
      <c r="I94" s="13"/>
    </row>
    <row r="95" spans="1:9" ht="15.75" outlineLevel="1" x14ac:dyDescent="0.25">
      <c r="A95" s="17">
        <v>96</v>
      </c>
      <c r="B95" s="12" t="s">
        <v>116</v>
      </c>
      <c r="C95" s="14">
        <v>1</v>
      </c>
      <c r="D95" s="61">
        <v>28</v>
      </c>
      <c r="E95" s="61">
        <v>60</v>
      </c>
      <c r="F95" s="64">
        <f t="shared" si="2"/>
        <v>32</v>
      </c>
      <c r="G95" s="8" t="s">
        <v>15</v>
      </c>
      <c r="H95" s="57" t="s">
        <v>113</v>
      </c>
      <c r="I95" s="13"/>
    </row>
    <row r="96" spans="1:9" ht="15.75" outlineLevel="1" x14ac:dyDescent="0.25">
      <c r="A96" s="17">
        <v>97</v>
      </c>
      <c r="B96" s="48" t="s">
        <v>77</v>
      </c>
      <c r="C96" s="59">
        <v>1</v>
      </c>
      <c r="D96" s="60">
        <v>35</v>
      </c>
      <c r="E96" s="60">
        <v>83</v>
      </c>
      <c r="F96" s="64">
        <f t="shared" si="2"/>
        <v>48</v>
      </c>
      <c r="G96" s="8" t="s">
        <v>15</v>
      </c>
      <c r="H96" s="57" t="s">
        <v>113</v>
      </c>
      <c r="I96" s="13"/>
    </row>
    <row r="97" spans="1:9" ht="15.75" outlineLevel="1" x14ac:dyDescent="0.25">
      <c r="A97" s="17">
        <v>98</v>
      </c>
      <c r="B97" s="48" t="s">
        <v>77</v>
      </c>
      <c r="C97" s="59">
        <v>1</v>
      </c>
      <c r="D97" s="60">
        <v>35</v>
      </c>
      <c r="E97" s="60">
        <v>70</v>
      </c>
      <c r="F97" s="64">
        <f t="shared" si="2"/>
        <v>35</v>
      </c>
      <c r="G97" s="8" t="s">
        <v>15</v>
      </c>
      <c r="H97" s="57" t="s">
        <v>113</v>
      </c>
      <c r="I97" s="13"/>
    </row>
    <row r="98" spans="1:9" ht="15.75" outlineLevel="1" x14ac:dyDescent="0.25">
      <c r="A98" s="17">
        <v>99</v>
      </c>
      <c r="B98" s="12" t="s">
        <v>117</v>
      </c>
      <c r="C98" s="14">
        <v>1</v>
      </c>
      <c r="D98" s="61">
        <v>300</v>
      </c>
      <c r="E98" s="61">
        <v>500</v>
      </c>
      <c r="F98" s="61">
        <f t="shared" si="2"/>
        <v>200</v>
      </c>
      <c r="G98" s="8" t="s">
        <v>15</v>
      </c>
      <c r="H98" s="57" t="s">
        <v>113</v>
      </c>
      <c r="I98" s="13"/>
    </row>
    <row r="99" spans="1:9" ht="15.75" outlineLevel="1" x14ac:dyDescent="0.25">
      <c r="A99" s="17">
        <v>100</v>
      </c>
      <c r="B99" s="12" t="s">
        <v>118</v>
      </c>
      <c r="C99" s="14">
        <v>1</v>
      </c>
      <c r="D99" s="61">
        <v>18</v>
      </c>
      <c r="E99" s="61">
        <v>40</v>
      </c>
      <c r="F99" s="61">
        <f t="shared" si="2"/>
        <v>22</v>
      </c>
      <c r="G99" s="8" t="s">
        <v>15</v>
      </c>
      <c r="H99" s="57" t="s">
        <v>113</v>
      </c>
      <c r="I99" s="13"/>
    </row>
    <row r="100" spans="1:9" ht="15.75" outlineLevel="1" x14ac:dyDescent="0.25">
      <c r="A100" s="17">
        <v>101</v>
      </c>
      <c r="B100" s="12" t="s">
        <v>37</v>
      </c>
      <c r="C100" s="14">
        <v>1</v>
      </c>
      <c r="D100" s="61">
        <v>15</v>
      </c>
      <c r="E100" s="61">
        <v>30</v>
      </c>
      <c r="F100" s="61">
        <f t="shared" si="2"/>
        <v>15</v>
      </c>
      <c r="G100" s="8" t="s">
        <v>15</v>
      </c>
      <c r="H100" s="57" t="s">
        <v>113</v>
      </c>
      <c r="I100" s="15"/>
    </row>
    <row r="101" spans="1:9" ht="15.75" outlineLevel="1" x14ac:dyDescent="0.25">
      <c r="A101" s="17">
        <v>102</v>
      </c>
      <c r="B101" s="12" t="s">
        <v>119</v>
      </c>
      <c r="C101" s="14">
        <v>1</v>
      </c>
      <c r="D101" s="61">
        <v>1.5</v>
      </c>
      <c r="E101" s="61">
        <v>6</v>
      </c>
      <c r="F101" s="61">
        <f t="shared" si="2"/>
        <v>4.5</v>
      </c>
      <c r="G101" s="8" t="s">
        <v>15</v>
      </c>
      <c r="H101" s="57" t="s">
        <v>113</v>
      </c>
      <c r="I101" s="13"/>
    </row>
    <row r="102" spans="1:9" ht="15.75" outlineLevel="1" x14ac:dyDescent="0.25">
      <c r="A102" s="17">
        <v>103</v>
      </c>
      <c r="B102" s="12" t="s">
        <v>120</v>
      </c>
      <c r="C102" s="14">
        <v>1</v>
      </c>
      <c r="D102" s="61">
        <v>2.8</v>
      </c>
      <c r="E102" s="61">
        <v>10</v>
      </c>
      <c r="F102" s="61">
        <f t="shared" si="2"/>
        <v>7.2</v>
      </c>
      <c r="G102" s="8" t="s">
        <v>15</v>
      </c>
      <c r="H102" s="57" t="s">
        <v>113</v>
      </c>
      <c r="I102" s="13"/>
    </row>
    <row r="103" spans="1:9" ht="15.75" outlineLevel="1" x14ac:dyDescent="0.25">
      <c r="A103" s="17">
        <v>104</v>
      </c>
      <c r="B103" s="12" t="s">
        <v>121</v>
      </c>
      <c r="C103" s="14">
        <v>1</v>
      </c>
      <c r="D103" s="61">
        <v>9</v>
      </c>
      <c r="E103" s="61">
        <v>20</v>
      </c>
      <c r="F103" s="61">
        <f t="shared" si="2"/>
        <v>11</v>
      </c>
      <c r="G103" s="8" t="s">
        <v>15</v>
      </c>
      <c r="H103" s="57" t="s">
        <v>113</v>
      </c>
      <c r="I103" s="13"/>
    </row>
    <row r="104" spans="1:9" ht="15.75" outlineLevel="1" x14ac:dyDescent="0.25">
      <c r="A104" s="17">
        <v>105</v>
      </c>
      <c r="B104" s="12" t="s">
        <v>122</v>
      </c>
      <c r="C104" s="14">
        <v>1</v>
      </c>
      <c r="D104" s="61">
        <v>26</v>
      </c>
      <c r="E104" s="61">
        <v>50</v>
      </c>
      <c r="F104" s="61">
        <f t="shared" si="2"/>
        <v>24</v>
      </c>
      <c r="G104" s="8" t="s">
        <v>15</v>
      </c>
      <c r="H104" s="57" t="s">
        <v>113</v>
      </c>
      <c r="I104" s="13"/>
    </row>
    <row r="105" spans="1:9" ht="15.75" outlineLevel="1" x14ac:dyDescent="0.25">
      <c r="A105" s="17">
        <v>106</v>
      </c>
      <c r="B105" s="12" t="s">
        <v>123</v>
      </c>
      <c r="C105" s="14">
        <v>1</v>
      </c>
      <c r="D105" s="61">
        <v>28</v>
      </c>
      <c r="E105" s="61">
        <v>55</v>
      </c>
      <c r="F105" s="61">
        <f t="shared" si="2"/>
        <v>27</v>
      </c>
      <c r="G105" s="8" t="s">
        <v>15</v>
      </c>
      <c r="H105" s="57" t="s">
        <v>113</v>
      </c>
      <c r="I105" s="13"/>
    </row>
    <row r="106" spans="1:9" ht="15.75" outlineLevel="1" x14ac:dyDescent="0.25">
      <c r="A106" s="17">
        <v>107</v>
      </c>
      <c r="B106" s="52" t="s">
        <v>72</v>
      </c>
      <c r="C106" s="59">
        <v>163</v>
      </c>
      <c r="D106" s="60">
        <v>978</v>
      </c>
      <c r="E106" s="60">
        <v>2394.59</v>
      </c>
      <c r="F106" s="60">
        <v>1416.5900000000001</v>
      </c>
      <c r="G106" s="8" t="s">
        <v>15</v>
      </c>
      <c r="H106" s="57" t="s">
        <v>6</v>
      </c>
      <c r="I106" s="13"/>
    </row>
    <row r="107" spans="1:9" ht="15.75" outlineLevel="1" x14ac:dyDescent="0.25">
      <c r="A107" s="17">
        <v>108</v>
      </c>
      <c r="B107" s="52" t="s">
        <v>124</v>
      </c>
      <c r="C107" s="59">
        <v>37</v>
      </c>
      <c r="D107" s="60">
        <v>1295</v>
      </c>
      <c r="E107" s="60">
        <v>2319.84</v>
      </c>
      <c r="F107" s="60">
        <v>1024.8400000000001</v>
      </c>
      <c r="G107" s="8" t="s">
        <v>15</v>
      </c>
      <c r="H107" s="57" t="s">
        <v>6</v>
      </c>
      <c r="I107" s="13"/>
    </row>
    <row r="108" spans="1:9" ht="15.75" outlineLevel="1" x14ac:dyDescent="0.25">
      <c r="A108" s="17">
        <v>109</v>
      </c>
      <c r="B108" s="52" t="s">
        <v>125</v>
      </c>
      <c r="C108" s="59">
        <v>112</v>
      </c>
      <c r="D108" s="60">
        <v>560</v>
      </c>
      <c r="E108" s="60">
        <v>1170.73</v>
      </c>
      <c r="F108" s="60">
        <v>610.73</v>
      </c>
      <c r="G108" s="8" t="s">
        <v>15</v>
      </c>
      <c r="H108" s="57" t="s">
        <v>6</v>
      </c>
      <c r="I108" s="13"/>
    </row>
    <row r="109" spans="1:9" ht="15.75" outlineLevel="1" x14ac:dyDescent="0.25">
      <c r="A109" s="17">
        <v>110</v>
      </c>
      <c r="B109" s="52" t="s">
        <v>90</v>
      </c>
      <c r="C109" s="59">
        <v>19</v>
      </c>
      <c r="D109" s="60">
        <v>475</v>
      </c>
      <c r="E109" s="60">
        <v>910.83</v>
      </c>
      <c r="F109" s="60">
        <v>435.83000000000004</v>
      </c>
      <c r="G109" s="8" t="s">
        <v>15</v>
      </c>
      <c r="H109" s="57" t="s">
        <v>6</v>
      </c>
      <c r="I109" s="13"/>
    </row>
    <row r="110" spans="1:9" ht="15.75" outlineLevel="1" x14ac:dyDescent="0.25">
      <c r="A110" s="17">
        <v>111</v>
      </c>
      <c r="B110" s="52" t="s">
        <v>76</v>
      </c>
      <c r="C110" s="59">
        <v>23</v>
      </c>
      <c r="D110" s="60">
        <v>391</v>
      </c>
      <c r="E110" s="60">
        <v>674.82</v>
      </c>
      <c r="F110" s="60">
        <v>283.82000000000005</v>
      </c>
      <c r="G110" s="8" t="s">
        <v>15</v>
      </c>
      <c r="H110" s="57" t="s">
        <v>6</v>
      </c>
      <c r="I110" s="13"/>
    </row>
    <row r="111" spans="1:9" ht="15.75" outlineLevel="1" x14ac:dyDescent="0.25">
      <c r="A111" s="17">
        <v>112</v>
      </c>
      <c r="B111" s="52" t="s">
        <v>126</v>
      </c>
      <c r="C111" s="59">
        <v>12</v>
      </c>
      <c r="D111" s="60">
        <v>108</v>
      </c>
      <c r="E111" s="60">
        <v>329.42</v>
      </c>
      <c r="F111" s="60">
        <v>221.42000000000002</v>
      </c>
      <c r="G111" s="8" t="s">
        <v>15</v>
      </c>
      <c r="H111" s="57" t="s">
        <v>6</v>
      </c>
      <c r="I111" s="13"/>
    </row>
    <row r="112" spans="1:9" ht="15.75" outlineLevel="1" x14ac:dyDescent="0.25">
      <c r="A112" s="17">
        <v>113</v>
      </c>
      <c r="B112" s="52" t="s">
        <v>127</v>
      </c>
      <c r="C112" s="59">
        <v>32</v>
      </c>
      <c r="D112" s="60">
        <v>64</v>
      </c>
      <c r="E112" s="60">
        <v>246.99</v>
      </c>
      <c r="F112" s="60">
        <v>182.99</v>
      </c>
      <c r="G112" s="8" t="s">
        <v>15</v>
      </c>
      <c r="H112" s="57" t="s">
        <v>6</v>
      </c>
      <c r="I112" s="13"/>
    </row>
    <row r="113" spans="1:9" ht="15.75" outlineLevel="1" x14ac:dyDescent="0.25">
      <c r="A113" s="17">
        <v>114</v>
      </c>
      <c r="B113" s="52" t="s">
        <v>73</v>
      </c>
      <c r="C113" s="59">
        <v>113</v>
      </c>
      <c r="D113" s="60">
        <v>113</v>
      </c>
      <c r="E113" s="60">
        <v>269.88</v>
      </c>
      <c r="F113" s="60">
        <v>156.88</v>
      </c>
      <c r="G113" s="8" t="s">
        <v>15</v>
      </c>
      <c r="H113" s="57" t="s">
        <v>6</v>
      </c>
      <c r="I113" s="13"/>
    </row>
    <row r="114" spans="1:9" ht="15.75" outlineLevel="1" x14ac:dyDescent="0.25">
      <c r="A114" s="17">
        <v>115</v>
      </c>
      <c r="B114" s="52" t="s">
        <v>128</v>
      </c>
      <c r="C114" s="59">
        <v>1</v>
      </c>
      <c r="D114" s="60">
        <v>20</v>
      </c>
      <c r="E114" s="60">
        <v>142.21</v>
      </c>
      <c r="F114" s="60">
        <v>122.21000000000001</v>
      </c>
      <c r="G114" s="8" t="s">
        <v>15</v>
      </c>
      <c r="H114" s="57" t="s">
        <v>6</v>
      </c>
      <c r="I114" s="13"/>
    </row>
    <row r="115" spans="1:9" ht="15.75" outlineLevel="1" x14ac:dyDescent="0.25">
      <c r="A115" s="17">
        <v>116</v>
      </c>
      <c r="B115" s="52" t="s">
        <v>105</v>
      </c>
      <c r="C115" s="59">
        <v>2</v>
      </c>
      <c r="D115" s="60">
        <v>50</v>
      </c>
      <c r="E115" s="60">
        <v>151.76</v>
      </c>
      <c r="F115" s="60">
        <v>101.75999999999999</v>
      </c>
      <c r="G115" s="8" t="s">
        <v>15</v>
      </c>
      <c r="H115" s="57" t="s">
        <v>6</v>
      </c>
      <c r="I115" s="13"/>
    </row>
    <row r="116" spans="1:9" ht="15.75" outlineLevel="1" x14ac:dyDescent="0.25">
      <c r="A116" s="17">
        <v>117</v>
      </c>
      <c r="B116" s="52" t="s">
        <v>79</v>
      </c>
      <c r="C116" s="59">
        <v>33</v>
      </c>
      <c r="D116" s="60">
        <v>49.5</v>
      </c>
      <c r="E116" s="60">
        <v>135.13</v>
      </c>
      <c r="F116" s="60">
        <v>85.63</v>
      </c>
      <c r="G116" s="8" t="s">
        <v>15</v>
      </c>
      <c r="H116" s="57" t="s">
        <v>6</v>
      </c>
      <c r="I116" s="13"/>
    </row>
    <row r="117" spans="1:9" ht="15.75" outlineLevel="1" x14ac:dyDescent="0.25">
      <c r="A117" s="17">
        <v>118</v>
      </c>
      <c r="B117" s="52" t="s">
        <v>87</v>
      </c>
      <c r="C117" s="59">
        <v>4</v>
      </c>
      <c r="D117" s="60">
        <v>52</v>
      </c>
      <c r="E117" s="60">
        <v>131.30000000000001</v>
      </c>
      <c r="F117" s="60">
        <v>79.300000000000011</v>
      </c>
      <c r="G117" s="8" t="s">
        <v>15</v>
      </c>
      <c r="H117" s="57" t="s">
        <v>6</v>
      </c>
      <c r="I117" s="13"/>
    </row>
    <row r="118" spans="1:9" ht="15.75" outlineLevel="1" x14ac:dyDescent="0.25">
      <c r="A118" s="17">
        <v>119</v>
      </c>
      <c r="B118" s="52" t="s">
        <v>129</v>
      </c>
      <c r="C118" s="59">
        <v>4</v>
      </c>
      <c r="D118" s="60">
        <v>64</v>
      </c>
      <c r="E118" s="60">
        <v>120.05000000000001</v>
      </c>
      <c r="F118" s="60">
        <v>56.050000000000011</v>
      </c>
      <c r="G118" s="8" t="s">
        <v>15</v>
      </c>
      <c r="H118" s="57" t="s">
        <v>6</v>
      </c>
      <c r="I118" s="13"/>
    </row>
    <row r="119" spans="1:9" ht="15.75" outlineLevel="1" x14ac:dyDescent="0.25">
      <c r="A119" s="17">
        <v>120</v>
      </c>
      <c r="B119" s="52" t="s">
        <v>74</v>
      </c>
      <c r="C119" s="59">
        <v>33</v>
      </c>
      <c r="D119" s="60">
        <v>16.5</v>
      </c>
      <c r="E119" s="60">
        <v>64.240000000000009</v>
      </c>
      <c r="F119" s="60">
        <v>47.740000000000009</v>
      </c>
      <c r="G119" s="8" t="s">
        <v>15</v>
      </c>
      <c r="H119" s="57" t="s">
        <v>6</v>
      </c>
      <c r="I119" s="13"/>
    </row>
    <row r="120" spans="1:9" ht="15.75" outlineLevel="1" x14ac:dyDescent="0.25">
      <c r="A120" s="17">
        <v>121</v>
      </c>
      <c r="B120" s="52" t="s">
        <v>130</v>
      </c>
      <c r="C120" s="59">
        <v>2</v>
      </c>
      <c r="D120" s="60">
        <v>26</v>
      </c>
      <c r="E120" s="60">
        <v>64.87</v>
      </c>
      <c r="F120" s="60">
        <v>38.870000000000005</v>
      </c>
      <c r="G120" s="8" t="s">
        <v>15</v>
      </c>
      <c r="H120" s="57" t="s">
        <v>6</v>
      </c>
      <c r="I120" s="13"/>
    </row>
    <row r="121" spans="1:9" ht="15.75" outlineLevel="1" x14ac:dyDescent="0.25">
      <c r="A121" s="17">
        <v>122</v>
      </c>
      <c r="B121" s="52" t="s">
        <v>78</v>
      </c>
      <c r="C121" s="59">
        <v>9</v>
      </c>
      <c r="D121" s="60">
        <v>31.5</v>
      </c>
      <c r="E121" s="60">
        <v>68.45</v>
      </c>
      <c r="F121" s="60">
        <v>36.950000000000003</v>
      </c>
      <c r="G121" s="8" t="s">
        <v>15</v>
      </c>
      <c r="H121" s="57" t="s">
        <v>6</v>
      </c>
      <c r="I121" s="13"/>
    </row>
    <row r="122" spans="1:9" ht="15.75" outlineLevel="1" x14ac:dyDescent="0.25">
      <c r="A122" s="17">
        <v>123</v>
      </c>
      <c r="B122" s="52" t="s">
        <v>100</v>
      </c>
      <c r="C122" s="59">
        <v>6</v>
      </c>
      <c r="D122" s="60">
        <v>15</v>
      </c>
      <c r="E122" s="60">
        <v>44.37</v>
      </c>
      <c r="F122" s="60">
        <v>29.369999999999997</v>
      </c>
      <c r="G122" s="8" t="s">
        <v>15</v>
      </c>
      <c r="H122" s="57" t="s">
        <v>6</v>
      </c>
      <c r="I122" s="13"/>
    </row>
    <row r="123" spans="1:9" ht="15.75" outlineLevel="1" x14ac:dyDescent="0.25">
      <c r="A123" s="17">
        <v>124</v>
      </c>
      <c r="B123" s="52" t="s">
        <v>131</v>
      </c>
      <c r="C123" s="59">
        <v>3</v>
      </c>
      <c r="D123" s="60">
        <v>42</v>
      </c>
      <c r="E123" s="60">
        <v>70.240000000000009</v>
      </c>
      <c r="F123" s="60">
        <v>28.240000000000009</v>
      </c>
      <c r="G123" s="8" t="s">
        <v>15</v>
      </c>
      <c r="H123" s="57" t="s">
        <v>6</v>
      </c>
      <c r="I123" s="13"/>
    </row>
    <row r="124" spans="1:9" ht="15.75" outlineLevel="1" x14ac:dyDescent="0.25">
      <c r="A124" s="17">
        <v>125</v>
      </c>
      <c r="B124" s="52" t="s">
        <v>81</v>
      </c>
      <c r="C124" s="59">
        <v>9</v>
      </c>
      <c r="D124" s="60">
        <v>22.5</v>
      </c>
      <c r="E124" s="60">
        <v>49.94</v>
      </c>
      <c r="F124" s="60">
        <v>27.439999999999998</v>
      </c>
      <c r="G124" s="8" t="s">
        <v>15</v>
      </c>
      <c r="H124" s="57" t="s">
        <v>6</v>
      </c>
      <c r="I124" s="13"/>
    </row>
    <row r="125" spans="1:9" ht="15.75" outlineLevel="1" x14ac:dyDescent="0.25">
      <c r="A125" s="17">
        <v>126</v>
      </c>
      <c r="B125" s="52" t="s">
        <v>96</v>
      </c>
      <c r="C125" s="59">
        <v>1</v>
      </c>
      <c r="D125" s="60">
        <v>25</v>
      </c>
      <c r="E125" s="60">
        <v>50</v>
      </c>
      <c r="F125" s="60">
        <v>25</v>
      </c>
      <c r="G125" s="8" t="s">
        <v>15</v>
      </c>
      <c r="H125" s="57" t="s">
        <v>6</v>
      </c>
      <c r="I125" s="13"/>
    </row>
    <row r="126" spans="1:9" ht="15.75" outlineLevel="1" x14ac:dyDescent="0.25">
      <c r="A126" s="17">
        <v>127</v>
      </c>
      <c r="B126" s="52" t="s">
        <v>132</v>
      </c>
      <c r="C126" s="59">
        <v>7</v>
      </c>
      <c r="D126" s="60">
        <v>24.5</v>
      </c>
      <c r="E126" s="60">
        <v>49.46</v>
      </c>
      <c r="F126" s="60">
        <v>24.96</v>
      </c>
      <c r="G126" s="8" t="s">
        <v>15</v>
      </c>
      <c r="H126" s="57" t="s">
        <v>6</v>
      </c>
      <c r="I126" s="13"/>
    </row>
    <row r="127" spans="1:9" ht="15.75" outlineLevel="1" x14ac:dyDescent="0.25">
      <c r="A127" s="17">
        <v>128</v>
      </c>
      <c r="B127" s="52" t="s">
        <v>133</v>
      </c>
      <c r="C127" s="59">
        <v>2</v>
      </c>
      <c r="D127" s="60">
        <v>14</v>
      </c>
      <c r="E127" s="60">
        <v>36</v>
      </c>
      <c r="F127" s="60">
        <v>22</v>
      </c>
      <c r="G127" s="8" t="s">
        <v>15</v>
      </c>
      <c r="H127" s="57" t="s">
        <v>6</v>
      </c>
      <c r="I127" s="13"/>
    </row>
    <row r="128" spans="1:9" ht="15.75" outlineLevel="1" x14ac:dyDescent="0.25">
      <c r="A128" s="17">
        <v>129</v>
      </c>
      <c r="B128" s="52" t="s">
        <v>134</v>
      </c>
      <c r="C128" s="59">
        <v>2</v>
      </c>
      <c r="D128" s="60">
        <v>12</v>
      </c>
      <c r="E128" s="60">
        <v>31.42</v>
      </c>
      <c r="F128" s="60">
        <v>19.420000000000002</v>
      </c>
      <c r="G128" s="8" t="s">
        <v>15</v>
      </c>
      <c r="H128" s="57" t="s">
        <v>6</v>
      </c>
      <c r="I128" s="13"/>
    </row>
    <row r="129" spans="1:9" ht="15.75" outlineLevel="1" x14ac:dyDescent="0.25">
      <c r="A129" s="17">
        <v>130</v>
      </c>
      <c r="B129" s="52" t="s">
        <v>98</v>
      </c>
      <c r="C129" s="59">
        <v>16</v>
      </c>
      <c r="D129" s="60">
        <v>14.4</v>
      </c>
      <c r="E129" s="60">
        <v>31.310000000000002</v>
      </c>
      <c r="F129" s="60">
        <v>16.910000000000004</v>
      </c>
      <c r="G129" s="8" t="s">
        <v>15</v>
      </c>
      <c r="H129" s="57" t="s">
        <v>6</v>
      </c>
      <c r="I129" s="13"/>
    </row>
    <row r="130" spans="1:9" ht="15.75" outlineLevel="1" x14ac:dyDescent="0.25">
      <c r="A130" s="17">
        <v>131</v>
      </c>
      <c r="B130" s="52" t="s">
        <v>135</v>
      </c>
      <c r="C130" s="59">
        <v>7</v>
      </c>
      <c r="D130" s="60">
        <v>21</v>
      </c>
      <c r="E130" s="60">
        <v>37.43</v>
      </c>
      <c r="F130" s="60">
        <v>16.43</v>
      </c>
      <c r="G130" s="8" t="s">
        <v>15</v>
      </c>
      <c r="H130" s="57" t="s">
        <v>6</v>
      </c>
      <c r="I130" s="13"/>
    </row>
    <row r="131" spans="1:9" ht="15.75" outlineLevel="1" x14ac:dyDescent="0.25">
      <c r="A131" s="17">
        <v>132</v>
      </c>
      <c r="B131" s="52" t="s">
        <v>136</v>
      </c>
      <c r="C131" s="59">
        <v>5</v>
      </c>
      <c r="D131" s="60">
        <v>10</v>
      </c>
      <c r="E131" s="60">
        <v>26.04</v>
      </c>
      <c r="F131" s="60">
        <v>16.04</v>
      </c>
      <c r="G131" s="8" t="s">
        <v>15</v>
      </c>
      <c r="H131" s="57" t="s">
        <v>6</v>
      </c>
      <c r="I131" s="13"/>
    </row>
    <row r="132" spans="1:9" ht="15.75" outlineLevel="1" x14ac:dyDescent="0.25">
      <c r="A132" s="17">
        <v>133</v>
      </c>
      <c r="B132" s="52" t="s">
        <v>89</v>
      </c>
      <c r="C132" s="59">
        <v>2</v>
      </c>
      <c r="D132" s="60">
        <v>10</v>
      </c>
      <c r="E132" s="60">
        <v>22.39</v>
      </c>
      <c r="F132" s="60">
        <v>12.39</v>
      </c>
      <c r="G132" s="8" t="s">
        <v>15</v>
      </c>
      <c r="H132" s="57" t="s">
        <v>6</v>
      </c>
      <c r="I132" s="13"/>
    </row>
    <row r="133" spans="1:9" ht="15.75" outlineLevel="1" x14ac:dyDescent="0.25">
      <c r="A133" s="17">
        <v>134</v>
      </c>
      <c r="B133" s="52" t="s">
        <v>99</v>
      </c>
      <c r="C133" s="59">
        <v>1</v>
      </c>
      <c r="D133" s="60">
        <v>16</v>
      </c>
      <c r="E133" s="60">
        <v>27.84</v>
      </c>
      <c r="F133" s="60">
        <v>11.84</v>
      </c>
      <c r="G133" s="8" t="s">
        <v>15</v>
      </c>
      <c r="H133" s="57" t="s">
        <v>6</v>
      </c>
      <c r="I133" s="13"/>
    </row>
    <row r="134" spans="1:9" ht="15.75" outlineLevel="1" x14ac:dyDescent="0.25">
      <c r="A134" s="17">
        <v>135</v>
      </c>
      <c r="B134" s="52" t="s">
        <v>84</v>
      </c>
      <c r="C134" s="59">
        <v>3</v>
      </c>
      <c r="D134" s="60">
        <v>9</v>
      </c>
      <c r="E134" s="60">
        <v>20.420000000000002</v>
      </c>
      <c r="F134" s="60">
        <v>11.420000000000002</v>
      </c>
      <c r="G134" s="8" t="s">
        <v>15</v>
      </c>
      <c r="H134" s="57" t="s">
        <v>6</v>
      </c>
      <c r="I134" s="13"/>
    </row>
    <row r="135" spans="1:9" ht="15.75" outlineLevel="1" x14ac:dyDescent="0.25">
      <c r="A135" s="17">
        <v>136</v>
      </c>
      <c r="B135" s="52" t="s">
        <v>137</v>
      </c>
      <c r="C135" s="59">
        <v>1</v>
      </c>
      <c r="D135" s="60">
        <v>10</v>
      </c>
      <c r="E135" s="60">
        <v>21.33</v>
      </c>
      <c r="F135" s="60">
        <v>11.329999999999998</v>
      </c>
      <c r="G135" s="8" t="s">
        <v>15</v>
      </c>
      <c r="H135" s="57" t="s">
        <v>6</v>
      </c>
      <c r="I135" s="13"/>
    </row>
    <row r="136" spans="1:9" ht="15.75" outlineLevel="1" x14ac:dyDescent="0.25">
      <c r="A136" s="17">
        <v>137</v>
      </c>
      <c r="B136" s="52" t="s">
        <v>138</v>
      </c>
      <c r="C136" s="59">
        <v>2</v>
      </c>
      <c r="D136" s="60">
        <v>6</v>
      </c>
      <c r="E136" s="60">
        <v>16</v>
      </c>
      <c r="F136" s="60">
        <v>10</v>
      </c>
      <c r="G136" s="8" t="s">
        <v>15</v>
      </c>
      <c r="H136" s="57" t="s">
        <v>6</v>
      </c>
      <c r="I136" s="13"/>
    </row>
    <row r="137" spans="1:9" ht="15.75" outlineLevel="1" x14ac:dyDescent="0.25">
      <c r="A137" s="17">
        <v>138</v>
      </c>
      <c r="B137" s="52" t="s">
        <v>139</v>
      </c>
      <c r="C137" s="59">
        <v>1</v>
      </c>
      <c r="D137" s="60">
        <v>14</v>
      </c>
      <c r="E137" s="60">
        <v>24</v>
      </c>
      <c r="F137" s="60">
        <v>10</v>
      </c>
      <c r="G137" s="8" t="s">
        <v>15</v>
      </c>
      <c r="H137" s="57" t="s">
        <v>6</v>
      </c>
      <c r="I137" s="13"/>
    </row>
    <row r="138" spans="1:9" ht="15.75" outlineLevel="1" x14ac:dyDescent="0.25">
      <c r="A138" s="17">
        <v>139</v>
      </c>
      <c r="B138" s="52" t="s">
        <v>103</v>
      </c>
      <c r="C138" s="59">
        <v>1</v>
      </c>
      <c r="D138" s="60">
        <v>16</v>
      </c>
      <c r="E138" s="60">
        <v>25</v>
      </c>
      <c r="F138" s="60">
        <v>9</v>
      </c>
      <c r="G138" s="8" t="s">
        <v>15</v>
      </c>
      <c r="H138" s="57" t="s">
        <v>6</v>
      </c>
      <c r="I138" s="13"/>
    </row>
    <row r="139" spans="1:9" ht="15.75" outlineLevel="1" x14ac:dyDescent="0.25">
      <c r="A139" s="17">
        <v>140</v>
      </c>
      <c r="B139" s="52" t="s">
        <v>140</v>
      </c>
      <c r="C139" s="59">
        <v>2</v>
      </c>
      <c r="D139" s="60">
        <v>4</v>
      </c>
      <c r="E139" s="60">
        <v>12.8</v>
      </c>
      <c r="F139" s="60">
        <v>8.8000000000000007</v>
      </c>
      <c r="G139" s="8" t="s">
        <v>15</v>
      </c>
      <c r="H139" s="57" t="s">
        <v>6</v>
      </c>
      <c r="I139" s="13"/>
    </row>
    <row r="140" spans="1:9" ht="15.75" outlineLevel="1" x14ac:dyDescent="0.25">
      <c r="A140" s="17">
        <v>141</v>
      </c>
      <c r="B140" s="52" t="s">
        <v>141</v>
      </c>
      <c r="C140" s="59">
        <v>1</v>
      </c>
      <c r="D140" s="60">
        <v>2.5</v>
      </c>
      <c r="E140" s="60">
        <v>9</v>
      </c>
      <c r="F140" s="60">
        <v>6.5</v>
      </c>
      <c r="G140" s="8" t="s">
        <v>15</v>
      </c>
      <c r="H140" s="57" t="s">
        <v>6</v>
      </c>
      <c r="I140" s="13"/>
    </row>
    <row r="141" spans="1:9" ht="15.75" outlineLevel="1" x14ac:dyDescent="0.25">
      <c r="A141" s="17">
        <v>142</v>
      </c>
      <c r="B141" s="52" t="s">
        <v>142</v>
      </c>
      <c r="C141" s="59">
        <v>2</v>
      </c>
      <c r="D141" s="60">
        <v>4</v>
      </c>
      <c r="E141" s="60">
        <v>9.6</v>
      </c>
      <c r="F141" s="60">
        <v>5.6</v>
      </c>
      <c r="G141" s="8" t="s">
        <v>15</v>
      </c>
      <c r="H141" s="57" t="s">
        <v>6</v>
      </c>
      <c r="I141" s="13"/>
    </row>
    <row r="142" spans="1:9" ht="15.75" outlineLevel="1" x14ac:dyDescent="0.25">
      <c r="A142" s="17">
        <v>143</v>
      </c>
      <c r="B142" s="52" t="s">
        <v>143</v>
      </c>
      <c r="C142" s="59">
        <v>2</v>
      </c>
      <c r="D142" s="60">
        <v>26</v>
      </c>
      <c r="E142" s="60">
        <v>31.48</v>
      </c>
      <c r="F142" s="60">
        <v>5.48</v>
      </c>
      <c r="G142" s="8" t="s">
        <v>15</v>
      </c>
      <c r="H142" s="57" t="s">
        <v>6</v>
      </c>
      <c r="I142" s="13"/>
    </row>
    <row r="143" spans="1:9" ht="15.75" outlineLevel="1" x14ac:dyDescent="0.25">
      <c r="A143" s="17">
        <v>144</v>
      </c>
      <c r="B143" s="52" t="s">
        <v>144</v>
      </c>
      <c r="C143" s="59">
        <v>1</v>
      </c>
      <c r="D143" s="60">
        <v>25</v>
      </c>
      <c r="E143" s="60">
        <v>30</v>
      </c>
      <c r="F143" s="60">
        <v>5</v>
      </c>
      <c r="G143" s="8" t="s">
        <v>15</v>
      </c>
      <c r="H143" s="57" t="s">
        <v>6</v>
      </c>
      <c r="I143" s="13"/>
    </row>
    <row r="144" spans="1:9" ht="15.75" outlineLevel="1" x14ac:dyDescent="0.25">
      <c r="A144" s="17">
        <v>145</v>
      </c>
      <c r="B144" s="52" t="s">
        <v>145</v>
      </c>
      <c r="C144" s="59">
        <v>1</v>
      </c>
      <c r="D144" s="60">
        <v>6</v>
      </c>
      <c r="E144" s="60">
        <v>10</v>
      </c>
      <c r="F144" s="60">
        <v>4</v>
      </c>
      <c r="G144" s="8" t="s">
        <v>15</v>
      </c>
      <c r="H144" s="57" t="s">
        <v>6</v>
      </c>
      <c r="I144" s="13"/>
    </row>
    <row r="145" spans="1:9" ht="15.75" outlineLevel="1" x14ac:dyDescent="0.25">
      <c r="A145" s="17">
        <v>146</v>
      </c>
      <c r="B145" s="52" t="s">
        <v>92</v>
      </c>
      <c r="C145" s="59">
        <v>1</v>
      </c>
      <c r="D145" s="60">
        <v>17</v>
      </c>
      <c r="E145" s="60">
        <v>17.5</v>
      </c>
      <c r="F145" s="60">
        <v>0.5</v>
      </c>
      <c r="G145" s="8" t="s">
        <v>15</v>
      </c>
      <c r="H145" s="57" t="s">
        <v>6</v>
      </c>
      <c r="I145" s="13"/>
    </row>
    <row r="146" spans="1:9" ht="21" x14ac:dyDescent="0.25">
      <c r="A146" s="189" t="s">
        <v>43</v>
      </c>
      <c r="B146" s="189"/>
      <c r="C146" s="189"/>
      <c r="D146" s="4">
        <f>SUM(D147:D225)</f>
        <v>1461.0416666666667</v>
      </c>
      <c r="E146" s="4">
        <f>SUM(E147:E225)</f>
        <v>8961.0416666666661</v>
      </c>
      <c r="F146" s="4">
        <f>SUM(F147:F225)</f>
        <v>8483.6883333333353</v>
      </c>
      <c r="G146" s="5">
        <f>SUM(C147:C225)</f>
        <v>517</v>
      </c>
      <c r="H146" s="43">
        <f>G146-I146</f>
        <v>475</v>
      </c>
      <c r="I146" s="5">
        <f>COUNTIF(H147:H225,"bsb")</f>
        <v>42</v>
      </c>
    </row>
    <row r="147" spans="1:9" ht="15.75" outlineLevel="1" x14ac:dyDescent="0.25">
      <c r="A147" s="17">
        <v>72</v>
      </c>
      <c r="B147" s="12" t="s">
        <v>71</v>
      </c>
      <c r="C147" s="14"/>
      <c r="D147" s="61">
        <v>22</v>
      </c>
      <c r="E147" s="61">
        <v>40</v>
      </c>
      <c r="F147" s="61">
        <f>E147-D147</f>
        <v>18</v>
      </c>
      <c r="G147" s="8" t="s">
        <v>15</v>
      </c>
      <c r="H147" s="57" t="s">
        <v>113</v>
      </c>
      <c r="I147" s="13"/>
    </row>
    <row r="148" spans="1:9" ht="15.75" outlineLevel="1" x14ac:dyDescent="0.25">
      <c r="A148" s="17">
        <v>37</v>
      </c>
      <c r="B148" s="7" t="s">
        <v>9</v>
      </c>
      <c r="C148" s="8">
        <v>1</v>
      </c>
      <c r="D148" s="61">
        <v>13.5</v>
      </c>
      <c r="E148" s="61">
        <v>20</v>
      </c>
      <c r="F148" s="61">
        <f>E148-D148</f>
        <v>6.5</v>
      </c>
      <c r="G148" s="8" t="s">
        <v>15</v>
      </c>
      <c r="H148" s="57" t="s">
        <v>113</v>
      </c>
      <c r="I148" s="15"/>
    </row>
    <row r="149" spans="1:9" ht="15.75" outlineLevel="1" x14ac:dyDescent="0.25">
      <c r="A149" s="17">
        <v>213</v>
      </c>
      <c r="B149" s="12" t="s">
        <v>146</v>
      </c>
      <c r="C149" s="14">
        <v>1</v>
      </c>
      <c r="D149" s="61">
        <v>65</v>
      </c>
      <c r="E149" s="61">
        <v>120</v>
      </c>
      <c r="F149" s="61">
        <f>E149-D149</f>
        <v>55</v>
      </c>
      <c r="G149" s="8" t="s">
        <v>15</v>
      </c>
      <c r="H149" s="57" t="s">
        <v>113</v>
      </c>
      <c r="I149" s="13"/>
    </row>
    <row r="150" spans="1:9" ht="15.75" outlineLevel="1" x14ac:dyDescent="0.25">
      <c r="A150" s="17">
        <v>214</v>
      </c>
      <c r="B150" s="12" t="s">
        <v>147</v>
      </c>
      <c r="C150" s="14">
        <v>1</v>
      </c>
      <c r="D150" s="61">
        <v>9</v>
      </c>
      <c r="E150" s="61">
        <v>25</v>
      </c>
      <c r="F150" s="61">
        <f t="shared" ref="F150:F158" si="3">E150-D150</f>
        <v>16</v>
      </c>
      <c r="G150" s="8" t="s">
        <v>15</v>
      </c>
      <c r="H150" s="57" t="s">
        <v>113</v>
      </c>
      <c r="I150" s="13"/>
    </row>
    <row r="151" spans="1:9" ht="15.75" outlineLevel="1" x14ac:dyDescent="0.25">
      <c r="A151" s="17">
        <v>215</v>
      </c>
      <c r="B151" s="12" t="s">
        <v>148</v>
      </c>
      <c r="C151" s="14">
        <v>1</v>
      </c>
      <c r="D151" s="61">
        <v>25</v>
      </c>
      <c r="E151" s="61">
        <v>50</v>
      </c>
      <c r="F151" s="61">
        <f t="shared" si="3"/>
        <v>25</v>
      </c>
      <c r="G151" s="8" t="s">
        <v>15</v>
      </c>
      <c r="H151" s="57" t="s">
        <v>113</v>
      </c>
      <c r="I151" s="13"/>
    </row>
    <row r="152" spans="1:9" ht="15.75" outlineLevel="1" x14ac:dyDescent="0.25">
      <c r="A152" s="17">
        <v>216</v>
      </c>
      <c r="B152" s="12" t="s">
        <v>149</v>
      </c>
      <c r="C152" s="14">
        <v>1</v>
      </c>
      <c r="D152" s="61">
        <v>9</v>
      </c>
      <c r="E152" s="61">
        <v>30</v>
      </c>
      <c r="F152" s="61">
        <f t="shared" si="3"/>
        <v>21</v>
      </c>
      <c r="G152" s="8" t="s">
        <v>15</v>
      </c>
      <c r="H152" s="57" t="s">
        <v>113</v>
      </c>
      <c r="I152" s="13"/>
    </row>
    <row r="153" spans="1:9" ht="15.75" outlineLevel="1" x14ac:dyDescent="0.25">
      <c r="A153" s="17">
        <v>217</v>
      </c>
      <c r="B153" s="12" t="s">
        <v>129</v>
      </c>
      <c r="C153" s="14">
        <v>1</v>
      </c>
      <c r="D153" s="61">
        <v>12</v>
      </c>
      <c r="E153" s="61">
        <v>35</v>
      </c>
      <c r="F153" s="61">
        <f t="shared" si="3"/>
        <v>23</v>
      </c>
      <c r="G153" s="8" t="s">
        <v>15</v>
      </c>
      <c r="H153" s="57" t="s">
        <v>113</v>
      </c>
      <c r="I153" s="13"/>
    </row>
    <row r="154" spans="1:9" ht="15.75" outlineLevel="1" x14ac:dyDescent="0.25">
      <c r="A154" s="17">
        <v>218</v>
      </c>
      <c r="B154" s="12" t="s">
        <v>150</v>
      </c>
      <c r="C154" s="14">
        <v>1</v>
      </c>
      <c r="D154" s="61">
        <v>13</v>
      </c>
      <c r="E154" s="61">
        <v>30</v>
      </c>
      <c r="F154" s="61">
        <f t="shared" si="3"/>
        <v>17</v>
      </c>
      <c r="G154" s="8" t="s">
        <v>15</v>
      </c>
      <c r="H154" s="57" t="s">
        <v>113</v>
      </c>
      <c r="I154" s="13"/>
    </row>
    <row r="155" spans="1:9" ht="15.75" outlineLevel="1" x14ac:dyDescent="0.25">
      <c r="A155" s="17">
        <v>219</v>
      </c>
      <c r="B155" s="12" t="s">
        <v>119</v>
      </c>
      <c r="C155" s="14">
        <v>1</v>
      </c>
      <c r="D155" s="61">
        <v>1.5</v>
      </c>
      <c r="E155" s="61">
        <v>10</v>
      </c>
      <c r="F155" s="61">
        <f t="shared" si="3"/>
        <v>8.5</v>
      </c>
      <c r="G155" s="8" t="s">
        <v>15</v>
      </c>
      <c r="H155" s="57" t="s">
        <v>113</v>
      </c>
      <c r="I155" s="13"/>
    </row>
    <row r="156" spans="1:9" ht="15.75" outlineLevel="1" x14ac:dyDescent="0.25">
      <c r="A156" s="17">
        <v>220</v>
      </c>
      <c r="B156" s="12" t="s">
        <v>151</v>
      </c>
      <c r="C156" s="14">
        <v>1</v>
      </c>
      <c r="D156" s="61">
        <v>12</v>
      </c>
      <c r="E156" s="61">
        <v>50</v>
      </c>
      <c r="F156" s="61">
        <f t="shared" si="3"/>
        <v>38</v>
      </c>
      <c r="G156" s="8" t="s">
        <v>15</v>
      </c>
      <c r="H156" s="57" t="s">
        <v>113</v>
      </c>
      <c r="I156" s="13"/>
    </row>
    <row r="157" spans="1:9" ht="15.75" outlineLevel="1" x14ac:dyDescent="0.25">
      <c r="A157" s="17">
        <v>222</v>
      </c>
      <c r="B157" s="12" t="s">
        <v>152</v>
      </c>
      <c r="C157" s="14">
        <v>1</v>
      </c>
      <c r="D157" s="61">
        <v>22</v>
      </c>
      <c r="E157" s="61">
        <v>35</v>
      </c>
      <c r="F157" s="61">
        <f t="shared" si="3"/>
        <v>13</v>
      </c>
      <c r="G157" s="8" t="s">
        <v>15</v>
      </c>
      <c r="H157" s="57" t="s">
        <v>113</v>
      </c>
      <c r="I157" s="13"/>
    </row>
    <row r="158" spans="1:9" ht="15.75" outlineLevel="1" x14ac:dyDescent="0.25">
      <c r="A158" s="17">
        <v>222</v>
      </c>
      <c r="B158" s="12" t="s">
        <v>152</v>
      </c>
      <c r="C158" s="14">
        <v>1</v>
      </c>
      <c r="D158" s="61">
        <v>22</v>
      </c>
      <c r="E158" s="61">
        <v>35</v>
      </c>
      <c r="F158" s="61">
        <f t="shared" si="3"/>
        <v>13</v>
      </c>
      <c r="G158" s="8" t="s">
        <v>15</v>
      </c>
      <c r="H158" s="57" t="s">
        <v>113</v>
      </c>
      <c r="I158" s="13"/>
    </row>
    <row r="159" spans="1:9" ht="15.75" outlineLevel="1" x14ac:dyDescent="0.25">
      <c r="A159" s="17">
        <v>222</v>
      </c>
      <c r="B159" s="12" t="s">
        <v>152</v>
      </c>
      <c r="C159" s="14">
        <v>1</v>
      </c>
      <c r="D159" s="61">
        <v>22</v>
      </c>
      <c r="E159" s="61">
        <v>35</v>
      </c>
      <c r="F159" s="61">
        <f>E159-D159</f>
        <v>13</v>
      </c>
      <c r="G159" s="8" t="s">
        <v>15</v>
      </c>
      <c r="H159" s="57" t="s">
        <v>113</v>
      </c>
      <c r="I159" s="13"/>
    </row>
    <row r="160" spans="1:9" ht="15.75" outlineLevel="1" x14ac:dyDescent="0.25">
      <c r="A160" s="17">
        <v>222</v>
      </c>
      <c r="B160" s="12" t="s">
        <v>152</v>
      </c>
      <c r="C160" s="14">
        <v>1</v>
      </c>
      <c r="D160" s="61">
        <v>22</v>
      </c>
      <c r="E160" s="61">
        <v>40</v>
      </c>
      <c r="F160" s="61">
        <f t="shared" ref="F160:F171" si="4">E160-D160</f>
        <v>18</v>
      </c>
      <c r="G160" s="8" t="s">
        <v>15</v>
      </c>
      <c r="H160" s="57" t="s">
        <v>113</v>
      </c>
      <c r="I160" s="13"/>
    </row>
    <row r="161" spans="1:9" ht="15.75" outlineLevel="1" x14ac:dyDescent="0.25">
      <c r="A161" s="17">
        <v>223</v>
      </c>
      <c r="B161" s="12" t="s">
        <v>153</v>
      </c>
      <c r="C161" s="14">
        <v>1</v>
      </c>
      <c r="D161" s="61">
        <v>30</v>
      </c>
      <c r="E161" s="61">
        <v>50</v>
      </c>
      <c r="F161" s="61">
        <f t="shared" si="4"/>
        <v>20</v>
      </c>
      <c r="G161" s="8" t="s">
        <v>15</v>
      </c>
      <c r="H161" s="57" t="s">
        <v>113</v>
      </c>
      <c r="I161" s="13"/>
    </row>
    <row r="162" spans="1:9" ht="15.75" outlineLevel="1" x14ac:dyDescent="0.25">
      <c r="A162" s="17">
        <v>224</v>
      </c>
      <c r="B162" s="12" t="s">
        <v>153</v>
      </c>
      <c r="C162" s="14">
        <v>1</v>
      </c>
      <c r="D162" s="61">
        <v>30</v>
      </c>
      <c r="E162" s="61">
        <v>80</v>
      </c>
      <c r="F162" s="61">
        <f t="shared" si="4"/>
        <v>50</v>
      </c>
      <c r="G162" s="8" t="s">
        <v>15</v>
      </c>
      <c r="H162" s="57" t="s">
        <v>113</v>
      </c>
      <c r="I162" s="13"/>
    </row>
    <row r="163" spans="1:9" ht="15.75" outlineLevel="1" x14ac:dyDescent="0.25">
      <c r="A163" s="17">
        <v>225</v>
      </c>
      <c r="B163" s="12" t="s">
        <v>154</v>
      </c>
      <c r="C163" s="14">
        <v>1</v>
      </c>
      <c r="D163" s="61">
        <v>30</v>
      </c>
      <c r="E163" s="61">
        <v>65</v>
      </c>
      <c r="F163" s="61">
        <f>E163-D163</f>
        <v>35</v>
      </c>
      <c r="G163" s="8" t="s">
        <v>15</v>
      </c>
      <c r="H163" s="57" t="s">
        <v>113</v>
      </c>
      <c r="I163" s="13"/>
    </row>
    <row r="164" spans="1:9" ht="15.75" outlineLevel="1" x14ac:dyDescent="0.25">
      <c r="A164" s="17">
        <v>225</v>
      </c>
      <c r="B164" s="12" t="s">
        <v>154</v>
      </c>
      <c r="C164" s="14">
        <v>1</v>
      </c>
      <c r="D164" s="61">
        <v>30</v>
      </c>
      <c r="E164" s="61">
        <v>65</v>
      </c>
      <c r="F164" s="61">
        <f t="shared" si="4"/>
        <v>35</v>
      </c>
      <c r="G164" s="8" t="s">
        <v>15</v>
      </c>
      <c r="H164" s="57" t="s">
        <v>113</v>
      </c>
      <c r="I164" s="13"/>
    </row>
    <row r="165" spans="1:9" ht="15.75" outlineLevel="1" x14ac:dyDescent="0.25">
      <c r="A165" s="17">
        <v>226</v>
      </c>
      <c r="B165" s="12" t="s">
        <v>155</v>
      </c>
      <c r="C165" s="14">
        <v>1</v>
      </c>
      <c r="D165" s="61">
        <v>10</v>
      </c>
      <c r="E165" s="61">
        <v>25</v>
      </c>
      <c r="F165" s="61">
        <f t="shared" si="4"/>
        <v>15</v>
      </c>
      <c r="G165" s="8" t="s">
        <v>15</v>
      </c>
      <c r="H165" s="57" t="s">
        <v>113</v>
      </c>
      <c r="I165" s="13"/>
    </row>
    <row r="166" spans="1:9" ht="15.75" outlineLevel="1" x14ac:dyDescent="0.25">
      <c r="A166" s="17">
        <v>227</v>
      </c>
      <c r="B166" s="12" t="s">
        <v>156</v>
      </c>
      <c r="C166" s="14">
        <v>1</v>
      </c>
      <c r="D166" s="61">
        <v>160</v>
      </c>
      <c r="E166" s="61">
        <v>250</v>
      </c>
      <c r="F166" s="61">
        <f t="shared" si="4"/>
        <v>90</v>
      </c>
      <c r="G166" s="8" t="s">
        <v>15</v>
      </c>
      <c r="H166" s="57" t="s">
        <v>113</v>
      </c>
      <c r="I166" s="13"/>
    </row>
    <row r="167" spans="1:9" ht="15.75" outlineLevel="1" x14ac:dyDescent="0.25">
      <c r="A167" s="17">
        <v>228</v>
      </c>
      <c r="B167" s="12" t="s">
        <v>157</v>
      </c>
      <c r="C167" s="14">
        <v>1</v>
      </c>
      <c r="D167" s="61">
        <v>80</v>
      </c>
      <c r="E167" s="61">
        <v>160</v>
      </c>
      <c r="F167" s="61">
        <f t="shared" si="4"/>
        <v>80</v>
      </c>
      <c r="G167" s="8" t="s">
        <v>15</v>
      </c>
      <c r="H167" s="57" t="s">
        <v>113</v>
      </c>
      <c r="I167" s="13"/>
    </row>
    <row r="168" spans="1:9" ht="15.75" outlineLevel="1" x14ac:dyDescent="0.25">
      <c r="A168" s="17">
        <v>229</v>
      </c>
      <c r="B168" s="12" t="s">
        <v>158</v>
      </c>
      <c r="C168" s="14">
        <v>1</v>
      </c>
      <c r="D168" s="61">
        <v>30</v>
      </c>
      <c r="E168" s="61">
        <v>60</v>
      </c>
      <c r="F168" s="61">
        <f t="shared" si="4"/>
        <v>30</v>
      </c>
      <c r="G168" s="8" t="s">
        <v>15</v>
      </c>
      <c r="H168" s="57" t="s">
        <v>113</v>
      </c>
      <c r="I168" s="13"/>
    </row>
    <row r="169" spans="1:9" ht="15.75" outlineLevel="1" x14ac:dyDescent="0.25">
      <c r="A169" s="17">
        <v>230</v>
      </c>
      <c r="B169" s="12" t="s">
        <v>135</v>
      </c>
      <c r="C169" s="14">
        <v>1</v>
      </c>
      <c r="D169" s="61">
        <v>4</v>
      </c>
      <c r="E169" s="61">
        <v>15</v>
      </c>
      <c r="F169" s="61">
        <f t="shared" si="4"/>
        <v>11</v>
      </c>
      <c r="G169" s="8" t="s">
        <v>15</v>
      </c>
      <c r="H169" s="57" t="s">
        <v>113</v>
      </c>
      <c r="I169" s="13"/>
    </row>
    <row r="170" spans="1:9" ht="15.75" outlineLevel="1" x14ac:dyDescent="0.25">
      <c r="A170" s="17">
        <v>231</v>
      </c>
      <c r="B170" s="12" t="s">
        <v>159</v>
      </c>
      <c r="C170" s="14">
        <v>1</v>
      </c>
      <c r="D170" s="61">
        <v>10</v>
      </c>
      <c r="E170" s="61">
        <v>50</v>
      </c>
      <c r="F170" s="61">
        <f t="shared" si="4"/>
        <v>40</v>
      </c>
      <c r="G170" s="8" t="s">
        <v>15</v>
      </c>
      <c r="H170" s="57" t="s">
        <v>113</v>
      </c>
      <c r="I170" s="13"/>
    </row>
    <row r="171" spans="1:9" ht="15.75" outlineLevel="1" x14ac:dyDescent="0.25">
      <c r="A171" s="17">
        <v>232</v>
      </c>
      <c r="B171" s="12" t="s">
        <v>160</v>
      </c>
      <c r="C171" s="14">
        <v>1</v>
      </c>
      <c r="D171" s="61">
        <v>33</v>
      </c>
      <c r="E171" s="61">
        <v>80</v>
      </c>
      <c r="F171" s="61">
        <f t="shared" si="4"/>
        <v>47</v>
      </c>
      <c r="G171" s="8" t="s">
        <v>15</v>
      </c>
      <c r="H171" s="57" t="s">
        <v>113</v>
      </c>
      <c r="I171" s="13"/>
    </row>
    <row r="172" spans="1:9" ht="15.75" outlineLevel="1" x14ac:dyDescent="0.25">
      <c r="A172" s="17">
        <v>233</v>
      </c>
      <c r="B172" s="12" t="s">
        <v>152</v>
      </c>
      <c r="C172" s="14">
        <v>1</v>
      </c>
      <c r="D172" s="61">
        <v>22</v>
      </c>
      <c r="E172" s="61">
        <v>50</v>
      </c>
      <c r="F172" s="61">
        <f t="shared" ref="F172:F180" si="5">E172-D172</f>
        <v>28</v>
      </c>
      <c r="G172" s="8" t="s">
        <v>15</v>
      </c>
      <c r="H172" s="57" t="s">
        <v>113</v>
      </c>
      <c r="I172" s="13"/>
    </row>
    <row r="173" spans="1:9" ht="15.75" outlineLevel="1" x14ac:dyDescent="0.25">
      <c r="A173" s="17">
        <v>234</v>
      </c>
      <c r="B173" s="12" t="s">
        <v>152</v>
      </c>
      <c r="C173" s="14">
        <v>1</v>
      </c>
      <c r="D173" s="61">
        <v>22</v>
      </c>
      <c r="E173" s="61">
        <v>60</v>
      </c>
      <c r="F173" s="61">
        <f t="shared" si="5"/>
        <v>38</v>
      </c>
      <c r="G173" s="8" t="s">
        <v>15</v>
      </c>
      <c r="H173" s="57" t="s">
        <v>113</v>
      </c>
      <c r="I173" s="13"/>
    </row>
    <row r="174" spans="1:9" ht="15.75" outlineLevel="1" x14ac:dyDescent="0.25">
      <c r="A174" s="17">
        <v>235</v>
      </c>
      <c r="B174" s="12" t="s">
        <v>135</v>
      </c>
      <c r="C174" s="14">
        <v>1</v>
      </c>
      <c r="D174" s="61">
        <v>4</v>
      </c>
      <c r="E174" s="61">
        <v>25</v>
      </c>
      <c r="F174" s="61">
        <f t="shared" si="5"/>
        <v>21</v>
      </c>
      <c r="G174" s="8" t="s">
        <v>15</v>
      </c>
      <c r="H174" s="57" t="s">
        <v>113</v>
      </c>
      <c r="I174" s="13"/>
    </row>
    <row r="175" spans="1:9" ht="15.75" outlineLevel="1" x14ac:dyDescent="0.25">
      <c r="A175" s="17">
        <v>236</v>
      </c>
      <c r="B175" s="12" t="s">
        <v>161</v>
      </c>
      <c r="C175" s="14">
        <v>1</v>
      </c>
      <c r="D175" s="61">
        <v>10</v>
      </c>
      <c r="E175" s="61">
        <v>20</v>
      </c>
      <c r="F175" s="61">
        <f t="shared" si="5"/>
        <v>10</v>
      </c>
      <c r="G175" s="8" t="s">
        <v>15</v>
      </c>
      <c r="H175" s="57" t="s">
        <v>113</v>
      </c>
      <c r="I175" s="13"/>
    </row>
    <row r="176" spans="1:9" ht="15.75" outlineLevel="1" x14ac:dyDescent="0.25">
      <c r="A176" s="17">
        <v>237</v>
      </c>
      <c r="B176" s="12" t="s">
        <v>161</v>
      </c>
      <c r="C176" s="14">
        <v>1</v>
      </c>
      <c r="D176" s="61">
        <v>10</v>
      </c>
      <c r="E176" s="61">
        <v>20</v>
      </c>
      <c r="F176" s="61">
        <f t="shared" si="5"/>
        <v>10</v>
      </c>
      <c r="G176" s="8" t="s">
        <v>15</v>
      </c>
      <c r="H176" s="57" t="s">
        <v>113</v>
      </c>
      <c r="I176" s="13"/>
    </row>
    <row r="177" spans="1:9" ht="15.75" outlineLevel="1" x14ac:dyDescent="0.25">
      <c r="A177" s="17">
        <v>235</v>
      </c>
      <c r="B177" s="12" t="s">
        <v>135</v>
      </c>
      <c r="C177" s="14">
        <v>1</v>
      </c>
      <c r="D177" s="61">
        <v>4</v>
      </c>
      <c r="E177" s="61">
        <v>15</v>
      </c>
      <c r="F177" s="61">
        <f t="shared" si="5"/>
        <v>11</v>
      </c>
      <c r="G177" s="8" t="s">
        <v>15</v>
      </c>
      <c r="H177" s="57" t="s">
        <v>113</v>
      </c>
      <c r="I177" s="13"/>
    </row>
    <row r="178" spans="1:9" ht="15.75" outlineLevel="1" x14ac:dyDescent="0.25">
      <c r="A178" s="17">
        <v>239</v>
      </c>
      <c r="B178" s="12" t="s">
        <v>162</v>
      </c>
      <c r="C178" s="14">
        <v>1</v>
      </c>
      <c r="D178" s="61">
        <v>0</v>
      </c>
      <c r="E178" s="61">
        <v>100</v>
      </c>
      <c r="F178" s="61">
        <f t="shared" si="5"/>
        <v>100</v>
      </c>
      <c r="G178" s="8" t="s">
        <v>15</v>
      </c>
      <c r="H178" s="57" t="s">
        <v>113</v>
      </c>
      <c r="I178" s="13"/>
    </row>
    <row r="179" spans="1:9" ht="15.75" outlineLevel="1" x14ac:dyDescent="0.25">
      <c r="A179" s="17">
        <v>240</v>
      </c>
      <c r="B179" s="12" t="s">
        <v>163</v>
      </c>
      <c r="C179" s="14">
        <v>1</v>
      </c>
      <c r="D179" s="61">
        <v>7</v>
      </c>
      <c r="E179" s="61">
        <v>20</v>
      </c>
      <c r="F179" s="61">
        <f t="shared" si="5"/>
        <v>13</v>
      </c>
      <c r="G179" s="8" t="s">
        <v>15</v>
      </c>
      <c r="H179" s="57" t="s">
        <v>113</v>
      </c>
      <c r="I179" s="13"/>
    </row>
    <row r="180" spans="1:9" ht="15.75" outlineLevel="1" x14ac:dyDescent="0.25">
      <c r="A180" s="17">
        <v>241</v>
      </c>
      <c r="B180" s="12" t="s">
        <v>163</v>
      </c>
      <c r="C180" s="14">
        <v>1</v>
      </c>
      <c r="D180" s="61">
        <v>7</v>
      </c>
      <c r="E180" s="61">
        <v>20</v>
      </c>
      <c r="F180" s="61">
        <f t="shared" si="5"/>
        <v>13</v>
      </c>
      <c r="G180" s="8" t="s">
        <v>15</v>
      </c>
      <c r="H180" s="57" t="s">
        <v>113</v>
      </c>
      <c r="I180" s="13"/>
    </row>
    <row r="181" spans="1:9" ht="15.75" outlineLevel="1" x14ac:dyDescent="0.25">
      <c r="A181" s="17">
        <v>242</v>
      </c>
      <c r="B181" s="12" t="s">
        <v>153</v>
      </c>
      <c r="C181" s="14">
        <v>1</v>
      </c>
      <c r="D181" s="61">
        <v>30</v>
      </c>
      <c r="E181" s="61">
        <v>70</v>
      </c>
      <c r="F181" s="61">
        <f t="shared" ref="F181:F188" si="6">E181-D181</f>
        <v>40</v>
      </c>
      <c r="G181" s="8" t="s">
        <v>15</v>
      </c>
      <c r="H181" s="57" t="s">
        <v>113</v>
      </c>
      <c r="I181" s="13"/>
    </row>
    <row r="182" spans="1:9" ht="15.75" outlineLevel="1" x14ac:dyDescent="0.25">
      <c r="A182" s="17">
        <v>243</v>
      </c>
      <c r="B182" s="12" t="s">
        <v>163</v>
      </c>
      <c r="C182" s="14">
        <v>1</v>
      </c>
      <c r="D182" s="61">
        <v>7</v>
      </c>
      <c r="E182" s="61">
        <v>30</v>
      </c>
      <c r="F182" s="61">
        <f t="shared" si="6"/>
        <v>23</v>
      </c>
      <c r="G182" s="8" t="s">
        <v>15</v>
      </c>
      <c r="H182" s="57" t="s">
        <v>113</v>
      </c>
      <c r="I182" s="13"/>
    </row>
    <row r="183" spans="1:9" ht="15.75" outlineLevel="1" x14ac:dyDescent="0.25">
      <c r="A183" s="17">
        <v>244</v>
      </c>
      <c r="B183" s="12" t="s">
        <v>148</v>
      </c>
      <c r="C183" s="14">
        <v>1</v>
      </c>
      <c r="D183" s="61">
        <v>30</v>
      </c>
      <c r="E183" s="61">
        <v>50</v>
      </c>
      <c r="F183" s="61">
        <f t="shared" si="6"/>
        <v>20</v>
      </c>
      <c r="G183" s="8" t="s">
        <v>15</v>
      </c>
      <c r="H183" s="57" t="s">
        <v>113</v>
      </c>
      <c r="I183" s="13"/>
    </row>
    <row r="184" spans="1:9" ht="15.75" outlineLevel="1" x14ac:dyDescent="0.25">
      <c r="A184" s="17">
        <v>245</v>
      </c>
      <c r="B184" s="12" t="s">
        <v>153</v>
      </c>
      <c r="C184" s="14">
        <v>1</v>
      </c>
      <c r="D184" s="61">
        <v>30</v>
      </c>
      <c r="E184" s="61">
        <v>50</v>
      </c>
      <c r="F184" s="61">
        <f t="shared" si="6"/>
        <v>20</v>
      </c>
      <c r="G184" s="8" t="s">
        <v>15</v>
      </c>
      <c r="H184" s="57" t="s">
        <v>113</v>
      </c>
      <c r="I184" s="13"/>
    </row>
    <row r="185" spans="1:9" ht="15.75" outlineLevel="1" x14ac:dyDescent="0.25">
      <c r="A185" s="17">
        <v>246</v>
      </c>
      <c r="B185" s="12" t="s">
        <v>164</v>
      </c>
      <c r="C185" s="14">
        <v>1</v>
      </c>
      <c r="D185" s="61">
        <v>30</v>
      </c>
      <c r="E185" s="61">
        <v>110</v>
      </c>
      <c r="F185" s="61">
        <f t="shared" si="6"/>
        <v>80</v>
      </c>
      <c r="G185" s="8" t="s">
        <v>15</v>
      </c>
      <c r="H185" s="57" t="s">
        <v>113</v>
      </c>
      <c r="I185" s="13"/>
    </row>
    <row r="186" spans="1:9" ht="15.75" outlineLevel="1" x14ac:dyDescent="0.25">
      <c r="A186" s="17">
        <v>247</v>
      </c>
      <c r="B186" s="12" t="s">
        <v>166</v>
      </c>
      <c r="C186" s="14">
        <v>1</v>
      </c>
      <c r="D186" s="61">
        <v>80</v>
      </c>
      <c r="E186" s="61">
        <v>150</v>
      </c>
      <c r="F186" s="61">
        <f t="shared" si="6"/>
        <v>70</v>
      </c>
      <c r="G186" s="8" t="s">
        <v>15</v>
      </c>
      <c r="H186" s="57" t="s">
        <v>113</v>
      </c>
      <c r="I186" s="13"/>
    </row>
    <row r="187" spans="1:9" ht="15.75" outlineLevel="1" x14ac:dyDescent="0.25">
      <c r="A187" s="17">
        <v>248</v>
      </c>
      <c r="B187" s="12" t="s">
        <v>25</v>
      </c>
      <c r="C187" s="14">
        <v>1</v>
      </c>
      <c r="D187" s="61">
        <v>22</v>
      </c>
      <c r="E187" s="61">
        <v>50</v>
      </c>
      <c r="F187" s="61">
        <f t="shared" si="6"/>
        <v>28</v>
      </c>
      <c r="G187" s="8" t="s">
        <v>15</v>
      </c>
      <c r="H187" s="57" t="s">
        <v>113</v>
      </c>
      <c r="I187" s="13"/>
    </row>
    <row r="188" spans="1:9" ht="15.75" outlineLevel="1" x14ac:dyDescent="0.25">
      <c r="A188" s="17">
        <v>249</v>
      </c>
      <c r="B188" s="12" t="s">
        <v>163</v>
      </c>
      <c r="C188" s="14">
        <v>1</v>
      </c>
      <c r="D188" s="61">
        <v>7</v>
      </c>
      <c r="E188" s="61">
        <v>20</v>
      </c>
      <c r="F188" s="61">
        <f t="shared" si="6"/>
        <v>13</v>
      </c>
      <c r="G188" s="8" t="s">
        <v>15</v>
      </c>
      <c r="H188" s="57" t="s">
        <v>113</v>
      </c>
      <c r="I188" s="13"/>
    </row>
    <row r="189" spans="1:9" ht="15.75" outlineLevel="1" x14ac:dyDescent="0.25">
      <c r="A189" s="17">
        <v>250</v>
      </c>
      <c r="B189" s="45" t="s">
        <v>108</v>
      </c>
      <c r="C189" s="17">
        <v>7</v>
      </c>
      <c r="D189" s="58">
        <v>0.79166666666666663</v>
      </c>
      <c r="E189" s="58">
        <v>5.5416666666666661</v>
      </c>
      <c r="F189" s="58">
        <v>1.2783333333333342</v>
      </c>
      <c r="G189" s="8" t="s">
        <v>15</v>
      </c>
      <c r="H189" s="57" t="s">
        <v>114</v>
      </c>
      <c r="I189" s="13"/>
    </row>
    <row r="190" spans="1:9" ht="15.75" outlineLevel="1" x14ac:dyDescent="0.25">
      <c r="A190" s="17">
        <v>251</v>
      </c>
      <c r="B190" s="45" t="s">
        <v>167</v>
      </c>
      <c r="C190" s="17">
        <v>6</v>
      </c>
      <c r="D190" s="58">
        <v>65</v>
      </c>
      <c r="E190" s="58">
        <v>390</v>
      </c>
      <c r="F190" s="58">
        <v>411.89</v>
      </c>
      <c r="G190" s="8" t="s">
        <v>15</v>
      </c>
      <c r="H190" s="57" t="s">
        <v>114</v>
      </c>
      <c r="I190" s="13"/>
    </row>
    <row r="191" spans="1:9" ht="15.75" outlineLevel="1" x14ac:dyDescent="0.25">
      <c r="A191" s="17">
        <v>252</v>
      </c>
      <c r="B191" s="45" t="s">
        <v>90</v>
      </c>
      <c r="C191" s="17">
        <v>119</v>
      </c>
      <c r="D191" s="58">
        <v>25</v>
      </c>
      <c r="E191" s="58">
        <v>2975</v>
      </c>
      <c r="F191" s="58">
        <v>3315.42</v>
      </c>
      <c r="G191" s="8" t="s">
        <v>15</v>
      </c>
      <c r="H191" s="57" t="s">
        <v>114</v>
      </c>
      <c r="I191" s="13"/>
    </row>
    <row r="192" spans="1:9" ht="15.75" outlineLevel="1" x14ac:dyDescent="0.25">
      <c r="A192" s="17">
        <v>253</v>
      </c>
      <c r="B192" s="45" t="s">
        <v>74</v>
      </c>
      <c r="C192" s="17">
        <v>12</v>
      </c>
      <c r="D192" s="58">
        <v>0.41666666666666669</v>
      </c>
      <c r="E192" s="58">
        <v>5</v>
      </c>
      <c r="F192" s="58">
        <v>20.97</v>
      </c>
      <c r="G192" s="8" t="s">
        <v>15</v>
      </c>
      <c r="H192" s="57" t="s">
        <v>114</v>
      </c>
      <c r="I192" s="13"/>
    </row>
    <row r="193" spans="1:9" ht="15.75" outlineLevel="1" x14ac:dyDescent="0.25">
      <c r="A193" s="17">
        <v>254</v>
      </c>
      <c r="B193" s="45" t="s">
        <v>89</v>
      </c>
      <c r="C193" s="17">
        <v>1</v>
      </c>
      <c r="D193" s="58">
        <v>5</v>
      </c>
      <c r="E193" s="58">
        <v>5</v>
      </c>
      <c r="F193" s="58">
        <v>9.7200000000000006</v>
      </c>
      <c r="G193" s="8" t="s">
        <v>15</v>
      </c>
      <c r="H193" s="57" t="s">
        <v>114</v>
      </c>
      <c r="I193" s="13"/>
    </row>
    <row r="194" spans="1:9" ht="15.75" outlineLevel="1" x14ac:dyDescent="0.25">
      <c r="A194" s="17">
        <v>255</v>
      </c>
      <c r="B194" s="45" t="s">
        <v>168</v>
      </c>
      <c r="C194" s="17">
        <v>1</v>
      </c>
      <c r="D194" s="58">
        <v>10</v>
      </c>
      <c r="E194" s="58">
        <v>10</v>
      </c>
      <c r="F194" s="58">
        <v>10</v>
      </c>
      <c r="G194" s="8" t="s">
        <v>15</v>
      </c>
      <c r="H194" s="57" t="s">
        <v>114</v>
      </c>
      <c r="I194" s="13"/>
    </row>
    <row r="195" spans="1:9" ht="15.75" outlineLevel="1" x14ac:dyDescent="0.25">
      <c r="A195" s="17">
        <v>256</v>
      </c>
      <c r="B195" s="45" t="s">
        <v>131</v>
      </c>
      <c r="C195" s="17">
        <v>2</v>
      </c>
      <c r="D195" s="58">
        <v>14</v>
      </c>
      <c r="E195" s="58">
        <v>28</v>
      </c>
      <c r="F195" s="58">
        <v>26</v>
      </c>
      <c r="G195" s="8" t="s">
        <v>15</v>
      </c>
      <c r="H195" s="57" t="s">
        <v>114</v>
      </c>
      <c r="I195" s="13"/>
    </row>
    <row r="196" spans="1:9" ht="15.75" outlineLevel="1" x14ac:dyDescent="0.25">
      <c r="A196" s="17">
        <v>257</v>
      </c>
      <c r="B196" s="45" t="s">
        <v>72</v>
      </c>
      <c r="C196" s="17">
        <v>37</v>
      </c>
      <c r="D196" s="58">
        <v>7</v>
      </c>
      <c r="E196" s="58">
        <v>259</v>
      </c>
      <c r="F196" s="58">
        <v>455.81999999999994</v>
      </c>
      <c r="G196" s="8" t="s">
        <v>15</v>
      </c>
      <c r="H196" s="57" t="s">
        <v>114</v>
      </c>
      <c r="I196" s="13"/>
    </row>
    <row r="197" spans="1:9" ht="15.75" outlineLevel="1" x14ac:dyDescent="0.25">
      <c r="A197" s="17">
        <v>258</v>
      </c>
      <c r="B197" s="45" t="s">
        <v>169</v>
      </c>
      <c r="C197" s="17">
        <v>4</v>
      </c>
      <c r="D197" s="58">
        <v>18</v>
      </c>
      <c r="E197" s="58">
        <v>72</v>
      </c>
      <c r="F197" s="58">
        <v>62.27000000000001</v>
      </c>
      <c r="G197" s="8" t="s">
        <v>15</v>
      </c>
      <c r="H197" s="57" t="s">
        <v>114</v>
      </c>
      <c r="I197" s="13"/>
    </row>
    <row r="198" spans="1:9" ht="15.75" outlineLevel="1" x14ac:dyDescent="0.25">
      <c r="A198" s="17">
        <v>259</v>
      </c>
      <c r="B198" s="45" t="s">
        <v>170</v>
      </c>
      <c r="C198" s="17">
        <v>2</v>
      </c>
      <c r="D198" s="58">
        <v>19.5</v>
      </c>
      <c r="E198" s="58">
        <v>39</v>
      </c>
      <c r="F198" s="58">
        <v>30.72</v>
      </c>
      <c r="G198" s="8" t="s">
        <v>15</v>
      </c>
      <c r="H198" s="57" t="s">
        <v>114</v>
      </c>
      <c r="I198" s="13"/>
    </row>
    <row r="199" spans="1:9" ht="15.75" outlineLevel="1" x14ac:dyDescent="0.25">
      <c r="A199" s="17">
        <v>260</v>
      </c>
      <c r="B199" s="45" t="s">
        <v>137</v>
      </c>
      <c r="C199" s="17">
        <v>1</v>
      </c>
      <c r="D199" s="58">
        <v>10</v>
      </c>
      <c r="E199" s="58">
        <v>10</v>
      </c>
      <c r="F199" s="58">
        <v>11.45</v>
      </c>
      <c r="G199" s="8" t="s">
        <v>15</v>
      </c>
      <c r="H199" s="57" t="s">
        <v>114</v>
      </c>
      <c r="I199" s="13"/>
    </row>
    <row r="200" spans="1:9" ht="15.75" outlineLevel="1" x14ac:dyDescent="0.25">
      <c r="A200" s="17">
        <v>261</v>
      </c>
      <c r="B200" s="45" t="s">
        <v>76</v>
      </c>
      <c r="C200" s="17">
        <v>16</v>
      </c>
      <c r="D200" s="58">
        <v>20</v>
      </c>
      <c r="E200" s="58">
        <v>320</v>
      </c>
      <c r="F200" s="58">
        <v>179.54999999999995</v>
      </c>
      <c r="G200" s="8" t="s">
        <v>15</v>
      </c>
      <c r="H200" s="57" t="s">
        <v>114</v>
      </c>
      <c r="I200" s="13"/>
    </row>
    <row r="201" spans="1:9" ht="15.75" outlineLevel="1" x14ac:dyDescent="0.25">
      <c r="A201" s="17">
        <v>262</v>
      </c>
      <c r="B201" s="45" t="s">
        <v>125</v>
      </c>
      <c r="C201" s="17">
        <v>37</v>
      </c>
      <c r="D201" s="58">
        <v>7</v>
      </c>
      <c r="E201" s="58">
        <v>259</v>
      </c>
      <c r="F201" s="58">
        <v>283.73</v>
      </c>
      <c r="G201" s="8" t="s">
        <v>15</v>
      </c>
      <c r="H201" s="57" t="s">
        <v>114</v>
      </c>
      <c r="I201" s="13"/>
    </row>
    <row r="202" spans="1:9" ht="15.75" outlineLevel="1" x14ac:dyDescent="0.25">
      <c r="A202" s="17">
        <v>263</v>
      </c>
      <c r="B202" s="45" t="s">
        <v>171</v>
      </c>
      <c r="C202" s="17">
        <v>1</v>
      </c>
      <c r="D202" s="58">
        <v>2</v>
      </c>
      <c r="E202" s="58">
        <v>2</v>
      </c>
      <c r="F202" s="58">
        <v>5.5</v>
      </c>
      <c r="G202" s="8" t="s">
        <v>15</v>
      </c>
      <c r="H202" s="57" t="s">
        <v>114</v>
      </c>
      <c r="I202" s="13"/>
    </row>
    <row r="203" spans="1:9" ht="15.75" outlineLevel="1" x14ac:dyDescent="0.25">
      <c r="A203" s="17">
        <v>264</v>
      </c>
      <c r="B203" s="45" t="s">
        <v>172</v>
      </c>
      <c r="C203" s="17">
        <v>1</v>
      </c>
      <c r="D203" s="58">
        <v>19</v>
      </c>
      <c r="E203" s="58">
        <v>19</v>
      </c>
      <c r="F203" s="58">
        <v>19.18</v>
      </c>
      <c r="G203" s="8" t="s">
        <v>15</v>
      </c>
      <c r="H203" s="57" t="s">
        <v>114</v>
      </c>
      <c r="I203" s="13"/>
    </row>
    <row r="204" spans="1:9" ht="15.75" outlineLevel="1" x14ac:dyDescent="0.25">
      <c r="A204" s="17">
        <v>265</v>
      </c>
      <c r="B204" s="45" t="s">
        <v>78</v>
      </c>
      <c r="C204" s="17">
        <v>11</v>
      </c>
      <c r="D204" s="58">
        <v>3.5</v>
      </c>
      <c r="E204" s="58">
        <v>38.5</v>
      </c>
      <c r="F204" s="58">
        <v>87.34</v>
      </c>
      <c r="G204" s="8" t="s">
        <v>15</v>
      </c>
      <c r="H204" s="57" t="s">
        <v>114</v>
      </c>
      <c r="I204" s="13"/>
    </row>
    <row r="205" spans="1:9" ht="15.75" outlineLevel="1" x14ac:dyDescent="0.25">
      <c r="A205" s="17">
        <v>266</v>
      </c>
      <c r="B205" s="45" t="s">
        <v>173</v>
      </c>
      <c r="C205" s="17">
        <v>1</v>
      </c>
      <c r="D205" s="58">
        <v>16</v>
      </c>
      <c r="E205" s="58">
        <v>16</v>
      </c>
      <c r="F205" s="58">
        <v>23.560000000000002</v>
      </c>
      <c r="G205" s="8" t="s">
        <v>15</v>
      </c>
      <c r="H205" s="57" t="s">
        <v>114</v>
      </c>
      <c r="I205" s="13"/>
    </row>
    <row r="206" spans="1:9" ht="15.75" outlineLevel="1" x14ac:dyDescent="0.25">
      <c r="A206" s="17">
        <v>267</v>
      </c>
      <c r="B206" s="45" t="s">
        <v>85</v>
      </c>
      <c r="C206" s="17">
        <v>17</v>
      </c>
      <c r="D206" s="58">
        <v>22</v>
      </c>
      <c r="E206" s="58">
        <v>374</v>
      </c>
      <c r="F206" s="58">
        <v>174.66999999999996</v>
      </c>
      <c r="G206" s="8" t="s">
        <v>15</v>
      </c>
      <c r="H206" s="57" t="s">
        <v>114</v>
      </c>
      <c r="I206" s="13"/>
    </row>
    <row r="207" spans="1:9" ht="15.75" outlineLevel="1" x14ac:dyDescent="0.25">
      <c r="A207" s="17">
        <v>268</v>
      </c>
      <c r="B207" s="45" t="s">
        <v>100</v>
      </c>
      <c r="C207" s="17">
        <v>25</v>
      </c>
      <c r="D207" s="58">
        <v>5</v>
      </c>
      <c r="E207" s="58">
        <v>125</v>
      </c>
      <c r="F207" s="58">
        <v>59.419999999999987</v>
      </c>
      <c r="G207" s="8" t="s">
        <v>15</v>
      </c>
      <c r="H207" s="57" t="s">
        <v>114</v>
      </c>
      <c r="I207" s="13"/>
    </row>
    <row r="208" spans="1:9" ht="15.75" outlineLevel="1" x14ac:dyDescent="0.25">
      <c r="A208" s="17">
        <v>269</v>
      </c>
      <c r="B208" s="45" t="s">
        <v>99</v>
      </c>
      <c r="C208" s="17">
        <v>1</v>
      </c>
      <c r="D208" s="58">
        <v>16</v>
      </c>
      <c r="E208" s="58">
        <v>16</v>
      </c>
      <c r="F208" s="58">
        <v>22.17</v>
      </c>
      <c r="G208" s="8" t="s">
        <v>15</v>
      </c>
      <c r="H208" s="57" t="s">
        <v>114</v>
      </c>
      <c r="I208" s="13"/>
    </row>
    <row r="209" spans="1:9" ht="15.75" outlineLevel="1" x14ac:dyDescent="0.25">
      <c r="A209" s="17">
        <v>270</v>
      </c>
      <c r="B209" s="45" t="s">
        <v>174</v>
      </c>
      <c r="C209" s="17">
        <v>1</v>
      </c>
      <c r="D209" s="58">
        <v>10</v>
      </c>
      <c r="E209" s="58">
        <v>10</v>
      </c>
      <c r="F209" s="58">
        <v>5.9600000000000009</v>
      </c>
      <c r="G209" s="8" t="s">
        <v>15</v>
      </c>
      <c r="H209" s="57" t="s">
        <v>114</v>
      </c>
      <c r="I209" s="13"/>
    </row>
    <row r="210" spans="1:9" ht="15.75" outlineLevel="1" x14ac:dyDescent="0.25">
      <c r="A210" s="17">
        <v>271</v>
      </c>
      <c r="B210" s="45" t="s">
        <v>124</v>
      </c>
      <c r="C210" s="17">
        <v>32</v>
      </c>
      <c r="D210" s="58">
        <v>35</v>
      </c>
      <c r="E210" s="58">
        <v>1120</v>
      </c>
      <c r="F210" s="58">
        <v>1194.8400000000001</v>
      </c>
      <c r="G210" s="8" t="s">
        <v>15</v>
      </c>
      <c r="H210" s="57" t="s">
        <v>114</v>
      </c>
      <c r="I210" s="13"/>
    </row>
    <row r="211" spans="1:9" ht="15.75" outlineLevel="1" x14ac:dyDescent="0.25">
      <c r="A211" s="17">
        <v>272</v>
      </c>
      <c r="B211" s="45" t="s">
        <v>135</v>
      </c>
      <c r="C211" s="17">
        <v>3</v>
      </c>
      <c r="D211" s="58">
        <v>2</v>
      </c>
      <c r="E211" s="58">
        <v>6</v>
      </c>
      <c r="F211" s="58">
        <v>25.95</v>
      </c>
      <c r="G211" s="8" t="s">
        <v>15</v>
      </c>
      <c r="H211" s="57" t="s">
        <v>114</v>
      </c>
      <c r="I211" s="13"/>
    </row>
    <row r="212" spans="1:9" ht="15.75" outlineLevel="1" x14ac:dyDescent="0.25">
      <c r="A212" s="17">
        <v>273</v>
      </c>
      <c r="B212" s="45" t="s">
        <v>175</v>
      </c>
      <c r="C212" s="17">
        <v>3</v>
      </c>
      <c r="D212" s="58">
        <v>6</v>
      </c>
      <c r="E212" s="58">
        <v>18</v>
      </c>
      <c r="F212" s="58">
        <v>20.64</v>
      </c>
      <c r="G212" s="8" t="s">
        <v>15</v>
      </c>
      <c r="H212" s="57" t="s">
        <v>114</v>
      </c>
      <c r="I212" s="13"/>
    </row>
    <row r="213" spans="1:9" ht="15.75" outlineLevel="1" x14ac:dyDescent="0.25">
      <c r="A213" s="17">
        <v>274</v>
      </c>
      <c r="B213" s="45" t="s">
        <v>81</v>
      </c>
      <c r="C213" s="17">
        <v>1</v>
      </c>
      <c r="D213" s="58">
        <v>2.5</v>
      </c>
      <c r="E213" s="58">
        <v>2.5</v>
      </c>
      <c r="F213" s="58">
        <v>3.9699999999999998</v>
      </c>
      <c r="G213" s="8" t="s">
        <v>15</v>
      </c>
      <c r="H213" s="57" t="s">
        <v>114</v>
      </c>
      <c r="I213" s="13"/>
    </row>
    <row r="214" spans="1:9" ht="15.75" outlineLevel="1" x14ac:dyDescent="0.25">
      <c r="A214" s="17">
        <v>275</v>
      </c>
      <c r="B214" s="45" t="s">
        <v>176</v>
      </c>
      <c r="C214" s="17">
        <v>1</v>
      </c>
      <c r="D214" s="58">
        <v>6</v>
      </c>
      <c r="E214" s="58">
        <v>6</v>
      </c>
      <c r="F214" s="58">
        <v>2</v>
      </c>
      <c r="G214" s="8" t="s">
        <v>15</v>
      </c>
      <c r="H214" s="57" t="s">
        <v>114</v>
      </c>
      <c r="I214" s="13"/>
    </row>
    <row r="215" spans="1:9" ht="15.75" outlineLevel="1" x14ac:dyDescent="0.25">
      <c r="A215" s="17">
        <v>276</v>
      </c>
      <c r="B215" s="45" t="s">
        <v>177</v>
      </c>
      <c r="C215" s="17">
        <v>1</v>
      </c>
      <c r="D215" s="58">
        <v>45</v>
      </c>
      <c r="E215" s="58">
        <v>45</v>
      </c>
      <c r="F215" s="58">
        <v>44.650000000000006</v>
      </c>
      <c r="G215" s="8" t="s">
        <v>15</v>
      </c>
      <c r="H215" s="57" t="s">
        <v>114</v>
      </c>
      <c r="I215" s="13"/>
    </row>
    <row r="216" spans="1:9" ht="15.75" outlineLevel="1" x14ac:dyDescent="0.25">
      <c r="A216" s="17">
        <v>277</v>
      </c>
      <c r="B216" s="45" t="s">
        <v>97</v>
      </c>
      <c r="C216" s="17">
        <v>1</v>
      </c>
      <c r="D216" s="58">
        <v>4</v>
      </c>
      <c r="E216" s="58">
        <v>4</v>
      </c>
      <c r="F216" s="58">
        <v>6.7200000000000006</v>
      </c>
      <c r="G216" s="8" t="s">
        <v>15</v>
      </c>
      <c r="H216" s="57" t="s">
        <v>114</v>
      </c>
      <c r="I216" s="13"/>
    </row>
    <row r="217" spans="1:9" ht="15.75" outlineLevel="1" x14ac:dyDescent="0.25">
      <c r="A217" s="17">
        <v>278</v>
      </c>
      <c r="B217" s="45" t="s">
        <v>127</v>
      </c>
      <c r="C217" s="17">
        <v>48</v>
      </c>
      <c r="D217" s="58">
        <v>2</v>
      </c>
      <c r="E217" s="58">
        <v>96</v>
      </c>
      <c r="F217" s="58">
        <v>388.15</v>
      </c>
      <c r="G217" s="8" t="s">
        <v>15</v>
      </c>
      <c r="H217" s="57" t="s">
        <v>114</v>
      </c>
      <c r="I217" s="13"/>
    </row>
    <row r="218" spans="1:9" ht="15.75" outlineLevel="1" x14ac:dyDescent="0.25">
      <c r="A218" s="17">
        <v>279</v>
      </c>
      <c r="B218" s="45" t="s">
        <v>178</v>
      </c>
      <c r="C218" s="17">
        <v>40</v>
      </c>
      <c r="D218" s="58">
        <v>6</v>
      </c>
      <c r="E218" s="58">
        <v>240</v>
      </c>
      <c r="F218" s="58">
        <v>154.57</v>
      </c>
      <c r="G218" s="8" t="s">
        <v>15</v>
      </c>
      <c r="H218" s="57" t="s">
        <v>114</v>
      </c>
      <c r="I218" s="13"/>
    </row>
    <row r="219" spans="1:9" ht="15.75" outlineLevel="1" x14ac:dyDescent="0.25">
      <c r="A219" s="17">
        <v>280</v>
      </c>
      <c r="B219" s="45" t="s">
        <v>179</v>
      </c>
      <c r="C219" s="17">
        <v>5</v>
      </c>
      <c r="D219" s="58">
        <v>2</v>
      </c>
      <c r="E219" s="58">
        <v>10</v>
      </c>
      <c r="F219" s="58">
        <v>30</v>
      </c>
      <c r="G219" s="8" t="s">
        <v>15</v>
      </c>
      <c r="H219" s="57" t="s">
        <v>114</v>
      </c>
      <c r="I219" s="13"/>
    </row>
    <row r="220" spans="1:9" ht="15.75" outlineLevel="1" x14ac:dyDescent="0.25">
      <c r="A220" s="17">
        <v>281</v>
      </c>
      <c r="B220" s="45" t="s">
        <v>139</v>
      </c>
      <c r="C220" s="17">
        <v>9</v>
      </c>
      <c r="D220" s="58">
        <v>9</v>
      </c>
      <c r="E220" s="58">
        <v>81</v>
      </c>
      <c r="F220" s="58">
        <v>47.949999999999989</v>
      </c>
      <c r="G220" s="8" t="s">
        <v>15</v>
      </c>
      <c r="H220" s="57" t="s">
        <v>114</v>
      </c>
      <c r="I220" s="13"/>
    </row>
    <row r="221" spans="1:9" ht="15.75" outlineLevel="1" x14ac:dyDescent="0.25">
      <c r="A221" s="17">
        <v>282</v>
      </c>
      <c r="B221" s="45" t="s">
        <v>180</v>
      </c>
      <c r="C221" s="17">
        <v>1</v>
      </c>
      <c r="D221" s="58">
        <v>2</v>
      </c>
      <c r="E221" s="58">
        <v>2</v>
      </c>
      <c r="F221" s="58">
        <v>7.4</v>
      </c>
      <c r="G221" s="8" t="s">
        <v>15</v>
      </c>
      <c r="H221" s="57" t="s">
        <v>114</v>
      </c>
      <c r="I221" s="13"/>
    </row>
    <row r="222" spans="1:9" ht="15.75" outlineLevel="1" x14ac:dyDescent="0.25">
      <c r="A222" s="17">
        <v>283</v>
      </c>
      <c r="B222" s="45" t="s">
        <v>73</v>
      </c>
      <c r="C222" s="17">
        <v>21</v>
      </c>
      <c r="D222" s="58">
        <v>1</v>
      </c>
      <c r="E222" s="58">
        <v>21</v>
      </c>
      <c r="F222" s="58">
        <v>41.92</v>
      </c>
      <c r="G222" s="8" t="s">
        <v>15</v>
      </c>
      <c r="H222" s="57" t="s">
        <v>114</v>
      </c>
      <c r="I222" s="50"/>
    </row>
    <row r="223" spans="1:9" ht="15.75" outlineLevel="1" x14ac:dyDescent="0.25">
      <c r="A223" s="17">
        <v>284</v>
      </c>
      <c r="B223" s="45" t="s">
        <v>181</v>
      </c>
      <c r="C223" s="17">
        <v>3</v>
      </c>
      <c r="D223" s="58">
        <v>0.83333333333333337</v>
      </c>
      <c r="E223" s="58">
        <v>2.5</v>
      </c>
      <c r="F223" s="58">
        <v>6.4700000000000006</v>
      </c>
      <c r="G223" s="8" t="s">
        <v>15</v>
      </c>
      <c r="H223" s="57" t="s">
        <v>114</v>
      </c>
      <c r="I223" s="50"/>
    </row>
    <row r="224" spans="1:9" ht="15.75" outlineLevel="1" x14ac:dyDescent="0.25">
      <c r="A224" s="17">
        <v>285</v>
      </c>
      <c r="B224" s="45" t="s">
        <v>132</v>
      </c>
      <c r="C224" s="17">
        <v>4</v>
      </c>
      <c r="D224" s="58">
        <v>3.5</v>
      </c>
      <c r="E224" s="58">
        <v>14</v>
      </c>
      <c r="F224" s="58">
        <v>15.84</v>
      </c>
      <c r="G224" s="8" t="s">
        <v>15</v>
      </c>
      <c r="H224" s="57" t="s">
        <v>114</v>
      </c>
      <c r="I224" s="50"/>
    </row>
    <row r="225" spans="1:9" ht="15.75" outlineLevel="1" x14ac:dyDescent="0.25">
      <c r="A225" s="17">
        <v>286</v>
      </c>
      <c r="B225" s="44"/>
      <c r="C225" s="62"/>
      <c r="D225" s="64"/>
      <c r="E225" s="64"/>
      <c r="F225" s="64"/>
      <c r="G225" s="8"/>
      <c r="H225" s="57"/>
      <c r="I225" s="50"/>
    </row>
    <row r="226" spans="1:9" ht="21" x14ac:dyDescent="0.25">
      <c r="A226" s="189" t="s">
        <v>44</v>
      </c>
      <c r="B226" s="189"/>
      <c r="C226" s="189"/>
      <c r="D226" s="4">
        <f>SUM(D227:D294)</f>
        <v>7240.8</v>
      </c>
      <c r="E226" s="4">
        <f>SUM(E227:E288)</f>
        <v>14329.375</v>
      </c>
      <c r="F226" s="4">
        <f>SUM(F227:F288)</f>
        <v>7088.5749999999998</v>
      </c>
      <c r="G226" s="5">
        <f>SUM(C227:C294)</f>
        <v>481</v>
      </c>
      <c r="H226" s="43">
        <f>G226-I226</f>
        <v>446</v>
      </c>
      <c r="I226" s="5">
        <f>COUNTIF(H227:H317,"bsb")</f>
        <v>35</v>
      </c>
    </row>
    <row r="227" spans="1:9" ht="15.75" outlineLevel="1" x14ac:dyDescent="0.25">
      <c r="A227" s="17">
        <v>43</v>
      </c>
      <c r="B227" s="12" t="s">
        <v>70</v>
      </c>
      <c r="C227" s="14">
        <v>1</v>
      </c>
      <c r="D227" s="61">
        <v>2</v>
      </c>
      <c r="E227" s="61">
        <v>10</v>
      </c>
      <c r="F227" s="61">
        <f>E227-D227</f>
        <v>8</v>
      </c>
      <c r="G227" s="8" t="s">
        <v>3</v>
      </c>
      <c r="H227" s="57" t="s">
        <v>183</v>
      </c>
      <c r="I227" s="13"/>
    </row>
    <row r="228" spans="1:9" ht="15.75" outlineLevel="1" x14ac:dyDescent="0.25">
      <c r="A228" s="17">
        <v>44</v>
      </c>
      <c r="B228" s="12" t="s">
        <v>70</v>
      </c>
      <c r="C228" s="14">
        <v>1</v>
      </c>
      <c r="D228" s="61">
        <v>2</v>
      </c>
      <c r="E228" s="61">
        <v>10</v>
      </c>
      <c r="F228" s="61">
        <f t="shared" ref="F228:F238" si="7">E228-D228</f>
        <v>8</v>
      </c>
      <c r="G228" s="8" t="s">
        <v>3</v>
      </c>
      <c r="H228" s="57" t="s">
        <v>183</v>
      </c>
      <c r="I228" s="13"/>
    </row>
    <row r="229" spans="1:9" ht="15.75" outlineLevel="1" x14ac:dyDescent="0.25">
      <c r="A229" s="17">
        <v>45</v>
      </c>
      <c r="B229" s="44" t="s">
        <v>182</v>
      </c>
      <c r="C229" s="14">
        <v>1</v>
      </c>
      <c r="D229" s="64">
        <v>2.5</v>
      </c>
      <c r="E229" s="64">
        <v>10</v>
      </c>
      <c r="F229" s="61">
        <f t="shared" si="7"/>
        <v>7.5</v>
      </c>
      <c r="G229" s="8" t="s">
        <v>3</v>
      </c>
      <c r="H229" s="62" t="s">
        <v>183</v>
      </c>
      <c r="I229" s="50"/>
    </row>
    <row r="230" spans="1:9" ht="15.75" outlineLevel="1" x14ac:dyDescent="0.25">
      <c r="A230" s="17">
        <v>46</v>
      </c>
      <c r="B230" s="44" t="s">
        <v>182</v>
      </c>
      <c r="C230" s="14">
        <v>1</v>
      </c>
      <c r="D230" s="64">
        <v>2.5</v>
      </c>
      <c r="E230" s="64">
        <v>10</v>
      </c>
      <c r="F230" s="61">
        <f t="shared" si="7"/>
        <v>7.5</v>
      </c>
      <c r="G230" s="8" t="s">
        <v>3</v>
      </c>
      <c r="H230" s="62" t="s">
        <v>183</v>
      </c>
      <c r="I230" s="50"/>
    </row>
    <row r="231" spans="1:9" ht="15.75" outlineLevel="1" x14ac:dyDescent="0.25">
      <c r="A231" s="17">
        <v>47</v>
      </c>
      <c r="B231" s="12" t="s">
        <v>70</v>
      </c>
      <c r="C231" s="14">
        <v>1</v>
      </c>
      <c r="D231" s="61">
        <v>2</v>
      </c>
      <c r="E231" s="61">
        <v>10</v>
      </c>
      <c r="F231" s="61">
        <f t="shared" si="7"/>
        <v>8</v>
      </c>
      <c r="G231" s="8" t="s">
        <v>3</v>
      </c>
      <c r="H231" s="57" t="s">
        <v>183</v>
      </c>
      <c r="I231" s="50"/>
    </row>
    <row r="232" spans="1:9" ht="15.75" outlineLevel="1" x14ac:dyDescent="0.25">
      <c r="A232" s="17">
        <v>48</v>
      </c>
      <c r="B232" s="12" t="s">
        <v>70</v>
      </c>
      <c r="C232" s="14">
        <v>1</v>
      </c>
      <c r="D232" s="61">
        <v>2</v>
      </c>
      <c r="E232" s="61">
        <v>10</v>
      </c>
      <c r="F232" s="61">
        <f t="shared" si="7"/>
        <v>8</v>
      </c>
      <c r="G232" s="8" t="s">
        <v>3</v>
      </c>
      <c r="H232" s="57" t="s">
        <v>183</v>
      </c>
      <c r="I232" s="50"/>
    </row>
    <row r="233" spans="1:9" ht="15.75" outlineLevel="1" x14ac:dyDescent="0.25">
      <c r="A233" s="17">
        <v>49</v>
      </c>
      <c r="B233" s="44" t="s">
        <v>184</v>
      </c>
      <c r="C233" s="62">
        <v>1</v>
      </c>
      <c r="D233" s="64">
        <v>10</v>
      </c>
      <c r="E233" s="64">
        <v>20</v>
      </c>
      <c r="F233" s="64">
        <f t="shared" si="7"/>
        <v>10</v>
      </c>
      <c r="G233" s="8" t="s">
        <v>3</v>
      </c>
      <c r="H233" s="62" t="s">
        <v>183</v>
      </c>
      <c r="I233" s="50"/>
    </row>
    <row r="234" spans="1:9" ht="15.75" outlineLevel="1" x14ac:dyDescent="0.25">
      <c r="A234" s="17">
        <v>50</v>
      </c>
      <c r="B234" s="44" t="s">
        <v>185</v>
      </c>
      <c r="C234" s="62">
        <v>1</v>
      </c>
      <c r="D234" s="64">
        <v>30</v>
      </c>
      <c r="E234" s="64">
        <v>80</v>
      </c>
      <c r="F234" s="64">
        <f t="shared" si="7"/>
        <v>50</v>
      </c>
      <c r="G234" s="8" t="s">
        <v>3</v>
      </c>
      <c r="H234" s="62" t="s">
        <v>183</v>
      </c>
      <c r="I234" s="50"/>
    </row>
    <row r="235" spans="1:9" ht="15.75" outlineLevel="1" x14ac:dyDescent="0.25">
      <c r="A235" s="17">
        <v>51</v>
      </c>
      <c r="B235" s="44" t="s">
        <v>186</v>
      </c>
      <c r="C235" s="62">
        <v>1</v>
      </c>
      <c r="D235" s="64">
        <v>9</v>
      </c>
      <c r="E235" s="64">
        <v>20</v>
      </c>
      <c r="F235" s="64">
        <f t="shared" si="7"/>
        <v>11</v>
      </c>
      <c r="G235" s="8" t="s">
        <v>3</v>
      </c>
      <c r="H235" s="62" t="s">
        <v>183</v>
      </c>
      <c r="I235" s="50"/>
    </row>
    <row r="236" spans="1:9" ht="15.75" outlineLevel="1" x14ac:dyDescent="0.25">
      <c r="A236" s="17">
        <v>52</v>
      </c>
      <c r="B236" s="44" t="s">
        <v>187</v>
      </c>
      <c r="C236" s="62">
        <v>1</v>
      </c>
      <c r="D236" s="64">
        <v>20</v>
      </c>
      <c r="E236" s="64">
        <v>40</v>
      </c>
      <c r="F236" s="64">
        <f t="shared" si="7"/>
        <v>20</v>
      </c>
      <c r="G236" s="8" t="s">
        <v>3</v>
      </c>
      <c r="H236" s="62" t="s">
        <v>183</v>
      </c>
      <c r="I236" s="50"/>
    </row>
    <row r="237" spans="1:9" ht="15.75" outlineLevel="1" x14ac:dyDescent="0.25">
      <c r="A237" s="17">
        <v>53</v>
      </c>
      <c r="B237" s="44" t="s">
        <v>188</v>
      </c>
      <c r="C237" s="62">
        <v>1</v>
      </c>
      <c r="D237" s="64">
        <v>9</v>
      </c>
      <c r="E237" s="64">
        <v>20</v>
      </c>
      <c r="F237" s="64">
        <f t="shared" si="7"/>
        <v>11</v>
      </c>
      <c r="G237" s="8" t="s">
        <v>3</v>
      </c>
      <c r="H237" s="62" t="s">
        <v>183</v>
      </c>
      <c r="I237" s="50"/>
    </row>
    <row r="238" spans="1:9" ht="15.75" outlineLevel="1" x14ac:dyDescent="0.25">
      <c r="A238" s="17">
        <v>54</v>
      </c>
      <c r="B238" s="44" t="s">
        <v>189</v>
      </c>
      <c r="C238" s="62">
        <v>1</v>
      </c>
      <c r="D238" s="64">
        <v>30</v>
      </c>
      <c r="E238" s="64">
        <v>60</v>
      </c>
      <c r="F238" s="64">
        <f t="shared" si="7"/>
        <v>30</v>
      </c>
      <c r="G238" s="8" t="s">
        <v>3</v>
      </c>
      <c r="H238" s="62" t="s">
        <v>183</v>
      </c>
      <c r="I238" s="50"/>
    </row>
    <row r="239" spans="1:9" ht="15.75" outlineLevel="1" x14ac:dyDescent="0.25">
      <c r="A239" s="17">
        <v>55</v>
      </c>
      <c r="B239" s="44" t="s">
        <v>182</v>
      </c>
      <c r="C239" s="14">
        <v>1</v>
      </c>
      <c r="D239" s="64">
        <v>2.5</v>
      </c>
      <c r="E239" s="64">
        <v>10</v>
      </c>
      <c r="F239" s="61">
        <f t="shared" ref="F239:F247" si="8">E239-D239</f>
        <v>7.5</v>
      </c>
      <c r="G239" s="8" t="s">
        <v>3</v>
      </c>
      <c r="H239" s="62" t="s">
        <v>183</v>
      </c>
      <c r="I239" s="50"/>
    </row>
    <row r="240" spans="1:9" ht="15.75" outlineLevel="1" x14ac:dyDescent="0.25">
      <c r="A240" s="17">
        <v>56</v>
      </c>
      <c r="B240" s="44" t="s">
        <v>182</v>
      </c>
      <c r="C240" s="14">
        <v>1</v>
      </c>
      <c r="D240" s="64">
        <v>2.5</v>
      </c>
      <c r="E240" s="64">
        <v>10</v>
      </c>
      <c r="F240" s="61">
        <f t="shared" si="8"/>
        <v>7.5</v>
      </c>
      <c r="G240" s="8" t="s">
        <v>3</v>
      </c>
      <c r="H240" s="62" t="s">
        <v>183</v>
      </c>
      <c r="I240" s="50"/>
    </row>
    <row r="241" spans="1:9" ht="15.75" outlineLevel="1" x14ac:dyDescent="0.25">
      <c r="A241" s="17">
        <v>57</v>
      </c>
      <c r="B241" s="44" t="s">
        <v>190</v>
      </c>
      <c r="C241" s="62">
        <v>1</v>
      </c>
      <c r="D241" s="64">
        <v>15</v>
      </c>
      <c r="E241" s="64">
        <v>40</v>
      </c>
      <c r="F241" s="64">
        <f t="shared" si="8"/>
        <v>25</v>
      </c>
      <c r="G241" s="8" t="s">
        <v>3</v>
      </c>
      <c r="H241" s="62" t="s">
        <v>183</v>
      </c>
      <c r="I241" s="50"/>
    </row>
    <row r="242" spans="1:9" ht="15.75" outlineLevel="1" x14ac:dyDescent="0.25">
      <c r="A242" s="17">
        <v>58</v>
      </c>
      <c r="B242" s="44" t="s">
        <v>34</v>
      </c>
      <c r="C242" s="62">
        <v>1</v>
      </c>
      <c r="D242" s="64">
        <v>22</v>
      </c>
      <c r="E242" s="64">
        <v>40</v>
      </c>
      <c r="F242" s="64">
        <f t="shared" si="8"/>
        <v>18</v>
      </c>
      <c r="G242" s="8" t="s">
        <v>3</v>
      </c>
      <c r="H242" s="62" t="s">
        <v>183</v>
      </c>
      <c r="I242" s="50"/>
    </row>
    <row r="243" spans="1:9" ht="15.75" outlineLevel="1" x14ac:dyDescent="0.25">
      <c r="A243" s="17">
        <v>59</v>
      </c>
      <c r="B243" s="44" t="s">
        <v>184</v>
      </c>
      <c r="C243" s="62">
        <v>1</v>
      </c>
      <c r="D243" s="64">
        <v>10</v>
      </c>
      <c r="E243" s="64">
        <v>30</v>
      </c>
      <c r="F243" s="64">
        <f t="shared" si="8"/>
        <v>20</v>
      </c>
      <c r="G243" s="8" t="s">
        <v>3</v>
      </c>
      <c r="H243" s="62" t="s">
        <v>183</v>
      </c>
      <c r="I243" s="50"/>
    </row>
    <row r="244" spans="1:9" ht="15.75" outlineLevel="1" x14ac:dyDescent="0.25">
      <c r="A244" s="17">
        <v>60</v>
      </c>
      <c r="B244" s="44" t="s">
        <v>191</v>
      </c>
      <c r="C244" s="62">
        <v>1</v>
      </c>
      <c r="D244" s="64">
        <v>30</v>
      </c>
      <c r="E244" s="64">
        <v>60</v>
      </c>
      <c r="F244" s="64">
        <f t="shared" si="8"/>
        <v>30</v>
      </c>
      <c r="G244" s="8" t="s">
        <v>3</v>
      </c>
      <c r="H244" s="62" t="s">
        <v>183</v>
      </c>
      <c r="I244" s="50"/>
    </row>
    <row r="245" spans="1:9" ht="15.75" outlineLevel="1" x14ac:dyDescent="0.25">
      <c r="A245" s="17">
        <v>61</v>
      </c>
      <c r="B245" s="44" t="s">
        <v>34</v>
      </c>
      <c r="C245" s="62">
        <v>1</v>
      </c>
      <c r="D245" s="64">
        <v>22</v>
      </c>
      <c r="E245" s="64">
        <v>40</v>
      </c>
      <c r="F245" s="64">
        <f t="shared" si="8"/>
        <v>18</v>
      </c>
      <c r="G245" s="8" t="s">
        <v>3</v>
      </c>
      <c r="H245" s="62" t="s">
        <v>183</v>
      </c>
      <c r="I245" s="50"/>
    </row>
    <row r="246" spans="1:9" ht="15.75" outlineLevel="1" x14ac:dyDescent="0.25">
      <c r="A246" s="17">
        <v>62</v>
      </c>
      <c r="B246" s="44" t="s">
        <v>192</v>
      </c>
      <c r="C246" s="62">
        <v>1</v>
      </c>
      <c r="D246" s="64">
        <v>16</v>
      </c>
      <c r="E246" s="64">
        <v>30</v>
      </c>
      <c r="F246" s="64">
        <f t="shared" si="8"/>
        <v>14</v>
      </c>
      <c r="G246" s="8" t="s">
        <v>3</v>
      </c>
      <c r="H246" s="62" t="s">
        <v>183</v>
      </c>
      <c r="I246" s="50"/>
    </row>
    <row r="247" spans="1:9" ht="15.75" outlineLevel="1" x14ac:dyDescent="0.25">
      <c r="A247" s="17">
        <v>63</v>
      </c>
      <c r="B247" s="44" t="s">
        <v>186</v>
      </c>
      <c r="C247" s="62">
        <v>1</v>
      </c>
      <c r="D247" s="64">
        <v>9</v>
      </c>
      <c r="E247" s="64">
        <v>20</v>
      </c>
      <c r="F247" s="64">
        <f t="shared" si="8"/>
        <v>11</v>
      </c>
      <c r="G247" s="8" t="s">
        <v>3</v>
      </c>
      <c r="H247" s="62" t="s">
        <v>183</v>
      </c>
      <c r="I247" s="50"/>
    </row>
    <row r="248" spans="1:9" ht="15.75" outlineLevel="1" x14ac:dyDescent="0.25">
      <c r="A248" s="17">
        <v>64</v>
      </c>
      <c r="B248" s="44" t="s">
        <v>192</v>
      </c>
      <c r="C248" s="62">
        <v>1</v>
      </c>
      <c r="D248" s="64">
        <v>16</v>
      </c>
      <c r="E248" s="64">
        <v>35</v>
      </c>
      <c r="F248" s="64">
        <f>E248-D248</f>
        <v>19</v>
      </c>
      <c r="G248" s="8" t="s">
        <v>3</v>
      </c>
      <c r="H248" s="62" t="s">
        <v>183</v>
      </c>
      <c r="I248" s="50"/>
    </row>
    <row r="249" spans="1:9" ht="15.75" outlineLevel="1" x14ac:dyDescent="0.25">
      <c r="A249" s="17">
        <v>65</v>
      </c>
      <c r="B249" s="44" t="s">
        <v>193</v>
      </c>
      <c r="C249" s="62">
        <v>1</v>
      </c>
      <c r="D249" s="64">
        <v>7</v>
      </c>
      <c r="E249" s="64">
        <v>25</v>
      </c>
      <c r="F249" s="64">
        <f>E249-D249</f>
        <v>18</v>
      </c>
      <c r="G249" s="8" t="s">
        <v>3</v>
      </c>
      <c r="H249" s="62" t="s">
        <v>183</v>
      </c>
      <c r="I249" s="50"/>
    </row>
    <row r="250" spans="1:9" ht="15.75" outlineLevel="1" x14ac:dyDescent="0.25">
      <c r="A250" s="17">
        <v>66</v>
      </c>
      <c r="B250" s="52" t="s">
        <v>93</v>
      </c>
      <c r="C250" s="67">
        <v>1</v>
      </c>
      <c r="D250" s="68">
        <v>2.5</v>
      </c>
      <c r="E250" s="68">
        <v>7.5</v>
      </c>
      <c r="F250" s="68">
        <v>5</v>
      </c>
      <c r="G250" s="8" t="s">
        <v>3</v>
      </c>
      <c r="H250" s="62" t="s">
        <v>114</v>
      </c>
      <c r="I250" s="50"/>
    </row>
    <row r="251" spans="1:9" ht="15.75" outlineLevel="1" x14ac:dyDescent="0.25">
      <c r="A251" s="17">
        <v>67</v>
      </c>
      <c r="B251" s="52" t="s">
        <v>194</v>
      </c>
      <c r="C251" s="67">
        <v>26</v>
      </c>
      <c r="D251" s="68">
        <v>31.2</v>
      </c>
      <c r="E251" s="68">
        <v>74.260000000000005</v>
      </c>
      <c r="F251" s="68">
        <v>43.06</v>
      </c>
      <c r="G251" s="8" t="s">
        <v>3</v>
      </c>
      <c r="H251" s="62" t="s">
        <v>114</v>
      </c>
      <c r="I251" s="50"/>
    </row>
    <row r="252" spans="1:9" ht="15.75" outlineLevel="1" x14ac:dyDescent="0.25">
      <c r="A252" s="17">
        <v>68</v>
      </c>
      <c r="B252" s="52" t="s">
        <v>195</v>
      </c>
      <c r="C252" s="67">
        <v>1</v>
      </c>
      <c r="D252" s="68">
        <v>2.5</v>
      </c>
      <c r="E252" s="68">
        <v>3.81</v>
      </c>
      <c r="F252" s="68">
        <v>1.31</v>
      </c>
      <c r="G252" s="8" t="s">
        <v>3</v>
      </c>
      <c r="H252" s="62" t="s">
        <v>114</v>
      </c>
      <c r="I252" s="50"/>
    </row>
    <row r="253" spans="1:9" ht="15.75" outlineLevel="1" x14ac:dyDescent="0.25">
      <c r="A253" s="17">
        <v>69</v>
      </c>
      <c r="B253" s="52" t="s">
        <v>181</v>
      </c>
      <c r="C253" s="67">
        <v>10</v>
      </c>
      <c r="D253" s="68">
        <v>6</v>
      </c>
      <c r="E253" s="68">
        <v>28.3</v>
      </c>
      <c r="F253" s="68">
        <v>22.3</v>
      </c>
      <c r="G253" s="8" t="s">
        <v>3</v>
      </c>
      <c r="H253" s="62" t="s">
        <v>114</v>
      </c>
      <c r="I253" s="50"/>
    </row>
    <row r="254" spans="1:9" ht="15.75" outlineLevel="1" x14ac:dyDescent="0.25">
      <c r="A254" s="17">
        <v>70</v>
      </c>
      <c r="B254" s="52" t="s">
        <v>73</v>
      </c>
      <c r="C254" s="67">
        <v>4</v>
      </c>
      <c r="D254" s="68">
        <v>4</v>
      </c>
      <c r="E254" s="68">
        <v>10.8</v>
      </c>
      <c r="F254" s="68">
        <v>6.8000000000000007</v>
      </c>
      <c r="G254" s="8" t="s">
        <v>3</v>
      </c>
      <c r="H254" s="62" t="s">
        <v>114</v>
      </c>
      <c r="I254" s="50"/>
    </row>
    <row r="255" spans="1:9" ht="15.75" outlineLevel="1" x14ac:dyDescent="0.25">
      <c r="A255" s="17">
        <v>71</v>
      </c>
      <c r="B255" s="52" t="s">
        <v>196</v>
      </c>
      <c r="C255" s="67">
        <v>1</v>
      </c>
      <c r="D255" s="68">
        <v>25</v>
      </c>
      <c r="E255" s="68">
        <v>50</v>
      </c>
      <c r="F255" s="68">
        <v>25</v>
      </c>
      <c r="G255" s="8" t="s">
        <v>3</v>
      </c>
      <c r="H255" s="62" t="s">
        <v>114</v>
      </c>
      <c r="I255" s="50"/>
    </row>
    <row r="256" spans="1:9" ht="15.75" outlineLevel="1" x14ac:dyDescent="0.25">
      <c r="A256" s="17">
        <v>72</v>
      </c>
      <c r="B256" s="52" t="s">
        <v>180</v>
      </c>
      <c r="C256" s="67">
        <v>3</v>
      </c>
      <c r="D256" s="68">
        <v>6</v>
      </c>
      <c r="E256" s="68">
        <v>36.03</v>
      </c>
      <c r="F256" s="68">
        <v>30.03</v>
      </c>
      <c r="G256" s="8" t="s">
        <v>3</v>
      </c>
      <c r="H256" s="62" t="s">
        <v>114</v>
      </c>
      <c r="I256" s="50"/>
    </row>
    <row r="257" spans="1:9" ht="15.75" outlineLevel="1" x14ac:dyDescent="0.25">
      <c r="A257" s="17">
        <v>73</v>
      </c>
      <c r="B257" s="52" t="s">
        <v>197</v>
      </c>
      <c r="C257" s="67">
        <v>1</v>
      </c>
      <c r="D257" s="68">
        <v>8</v>
      </c>
      <c r="E257" s="68">
        <v>18.75</v>
      </c>
      <c r="F257" s="68">
        <v>10.75</v>
      </c>
      <c r="G257" s="8" t="s">
        <v>3</v>
      </c>
      <c r="H257" s="62" t="s">
        <v>114</v>
      </c>
      <c r="I257" s="50"/>
    </row>
    <row r="258" spans="1:9" ht="15.75" outlineLevel="1" x14ac:dyDescent="0.25">
      <c r="A258" s="17">
        <v>74</v>
      </c>
      <c r="B258" s="52" t="s">
        <v>198</v>
      </c>
      <c r="C258" s="67">
        <v>7</v>
      </c>
      <c r="D258" s="68">
        <v>7</v>
      </c>
      <c r="E258" s="68">
        <v>18.07</v>
      </c>
      <c r="F258" s="68">
        <v>11.07</v>
      </c>
      <c r="G258" s="8" t="s">
        <v>3</v>
      </c>
      <c r="H258" s="62" t="s">
        <v>114</v>
      </c>
      <c r="I258" s="50"/>
    </row>
    <row r="259" spans="1:9" ht="15.75" outlineLevel="1" x14ac:dyDescent="0.25">
      <c r="A259" s="17">
        <v>75</v>
      </c>
      <c r="B259" s="52" t="s">
        <v>126</v>
      </c>
      <c r="C259" s="67">
        <v>1</v>
      </c>
      <c r="D259" s="68">
        <v>9</v>
      </c>
      <c r="E259" s="68">
        <v>17.760000000000002</v>
      </c>
      <c r="F259" s="68">
        <v>8.7600000000000016</v>
      </c>
      <c r="G259" s="8" t="s">
        <v>3</v>
      </c>
      <c r="H259" s="62" t="s">
        <v>114</v>
      </c>
      <c r="I259" s="50"/>
    </row>
    <row r="260" spans="1:9" ht="15.75" outlineLevel="1" x14ac:dyDescent="0.25">
      <c r="A260" s="17">
        <v>76</v>
      </c>
      <c r="B260" s="52" t="s">
        <v>179</v>
      </c>
      <c r="C260" s="67">
        <v>2</v>
      </c>
      <c r="D260" s="68">
        <v>4</v>
      </c>
      <c r="E260" s="68">
        <v>17.899999999999999</v>
      </c>
      <c r="F260" s="68">
        <v>13.899999999999999</v>
      </c>
      <c r="G260" s="8" t="s">
        <v>3</v>
      </c>
      <c r="H260" s="62" t="s">
        <v>114</v>
      </c>
      <c r="I260" s="50"/>
    </row>
    <row r="261" spans="1:9" ht="15.75" outlineLevel="1" x14ac:dyDescent="0.25">
      <c r="A261" s="17">
        <v>77</v>
      </c>
      <c r="B261" s="52" t="s">
        <v>199</v>
      </c>
      <c r="C261" s="67">
        <v>4</v>
      </c>
      <c r="D261" s="68">
        <v>24</v>
      </c>
      <c r="E261" s="68">
        <v>51.18</v>
      </c>
      <c r="F261" s="68">
        <v>27.18</v>
      </c>
      <c r="G261" s="8" t="s">
        <v>3</v>
      </c>
      <c r="H261" s="62" t="s">
        <v>114</v>
      </c>
      <c r="I261" s="50"/>
    </row>
    <row r="262" spans="1:9" ht="15.75" outlineLevel="1" x14ac:dyDescent="0.25">
      <c r="A262" s="17">
        <v>78</v>
      </c>
      <c r="B262" s="52" t="s">
        <v>200</v>
      </c>
      <c r="C262" s="67">
        <v>16</v>
      </c>
      <c r="D262" s="68">
        <v>32</v>
      </c>
      <c r="E262" s="68">
        <v>295.67</v>
      </c>
      <c r="F262" s="68">
        <v>263.67</v>
      </c>
      <c r="G262" s="8" t="s">
        <v>3</v>
      </c>
      <c r="H262" s="62" t="s">
        <v>114</v>
      </c>
      <c r="I262" s="50"/>
    </row>
    <row r="263" spans="1:9" ht="15.75" outlineLevel="1" x14ac:dyDescent="0.25">
      <c r="A263" s="17">
        <v>79</v>
      </c>
      <c r="B263" s="52" t="s">
        <v>145</v>
      </c>
      <c r="C263" s="67">
        <v>1</v>
      </c>
      <c r="D263" s="68">
        <v>6</v>
      </c>
      <c r="E263" s="68">
        <v>14.41</v>
      </c>
      <c r="F263" s="68">
        <v>8.41</v>
      </c>
      <c r="G263" s="8" t="s">
        <v>3</v>
      </c>
      <c r="H263" s="62" t="s">
        <v>114</v>
      </c>
      <c r="I263" s="50"/>
    </row>
    <row r="264" spans="1:9" ht="15.75" outlineLevel="1" x14ac:dyDescent="0.25">
      <c r="A264" s="17">
        <v>80</v>
      </c>
      <c r="B264" s="52" t="s">
        <v>201</v>
      </c>
      <c r="C264" s="67">
        <v>1</v>
      </c>
      <c r="D264" s="68">
        <v>6</v>
      </c>
      <c r="E264" s="68">
        <v>14.01</v>
      </c>
      <c r="F264" s="68">
        <v>8.01</v>
      </c>
      <c r="G264" s="8" t="s">
        <v>3</v>
      </c>
      <c r="H264" s="62" t="s">
        <v>114</v>
      </c>
      <c r="I264" s="50"/>
    </row>
    <row r="265" spans="1:9" ht="15.75" outlineLevel="1" x14ac:dyDescent="0.25">
      <c r="A265" s="17">
        <v>81</v>
      </c>
      <c r="B265" s="52" t="s">
        <v>98</v>
      </c>
      <c r="C265" s="67">
        <v>14</v>
      </c>
      <c r="D265" s="68">
        <v>12.6</v>
      </c>
      <c r="E265" s="68">
        <v>30.23</v>
      </c>
      <c r="F265" s="68">
        <v>17.630000000000003</v>
      </c>
      <c r="G265" s="8" t="s">
        <v>3</v>
      </c>
      <c r="H265" s="62" t="s">
        <v>114</v>
      </c>
      <c r="I265" s="50"/>
    </row>
    <row r="266" spans="1:9" ht="15.75" outlineLevel="1" x14ac:dyDescent="0.25">
      <c r="A266" s="17">
        <v>82</v>
      </c>
      <c r="B266" s="52" t="s">
        <v>81</v>
      </c>
      <c r="C266" s="67">
        <v>20</v>
      </c>
      <c r="D266" s="68">
        <v>60</v>
      </c>
      <c r="E266" s="68">
        <v>213.41</v>
      </c>
      <c r="F266" s="68">
        <v>153.41</v>
      </c>
      <c r="G266" s="8" t="s">
        <v>3</v>
      </c>
      <c r="H266" s="62" t="s">
        <v>114</v>
      </c>
      <c r="I266" s="50"/>
    </row>
    <row r="267" spans="1:9" ht="15.75" outlineLevel="1" x14ac:dyDescent="0.25">
      <c r="A267" s="17">
        <v>83</v>
      </c>
      <c r="B267" s="52" t="s">
        <v>175</v>
      </c>
      <c r="C267" s="67">
        <v>4</v>
      </c>
      <c r="D267" s="68">
        <v>24</v>
      </c>
      <c r="E267" s="68">
        <v>59.41</v>
      </c>
      <c r="F267" s="68">
        <v>35.409999999999997</v>
      </c>
      <c r="G267" s="8" t="s">
        <v>3</v>
      </c>
      <c r="H267" s="62" t="s">
        <v>114</v>
      </c>
      <c r="I267" s="50"/>
    </row>
    <row r="268" spans="1:9" ht="15.75" outlineLevel="1" x14ac:dyDescent="0.25">
      <c r="A268" s="17">
        <v>84</v>
      </c>
      <c r="B268" s="52" t="s">
        <v>135</v>
      </c>
      <c r="C268" s="67">
        <v>1</v>
      </c>
      <c r="D268" s="68">
        <v>2</v>
      </c>
      <c r="E268" s="68">
        <v>18.25</v>
      </c>
      <c r="F268" s="68">
        <v>16.25</v>
      </c>
      <c r="G268" s="8" t="s">
        <v>3</v>
      </c>
      <c r="H268" s="62" t="s">
        <v>114</v>
      </c>
      <c r="I268" s="50"/>
    </row>
    <row r="269" spans="1:9" ht="15.75" outlineLevel="1" x14ac:dyDescent="0.25">
      <c r="A269" s="17">
        <v>85</v>
      </c>
      <c r="B269" s="52" t="s">
        <v>77</v>
      </c>
      <c r="C269" s="67">
        <v>31</v>
      </c>
      <c r="D269" s="68">
        <v>1147</v>
      </c>
      <c r="E269" s="68">
        <v>2291.5699999999997</v>
      </c>
      <c r="F269" s="68">
        <v>1144.5699999999997</v>
      </c>
      <c r="G269" s="8" t="s">
        <v>3</v>
      </c>
      <c r="H269" s="62" t="s">
        <v>114</v>
      </c>
      <c r="I269" s="50"/>
    </row>
    <row r="270" spans="1:9" ht="15.75" outlineLevel="1" x14ac:dyDescent="0.25">
      <c r="A270" s="17">
        <v>86</v>
      </c>
      <c r="B270" s="52" t="s">
        <v>100</v>
      </c>
      <c r="C270" s="67">
        <v>2</v>
      </c>
      <c r="D270" s="68">
        <v>10</v>
      </c>
      <c r="E270" s="68">
        <v>20.48</v>
      </c>
      <c r="F270" s="68">
        <v>10.48</v>
      </c>
      <c r="G270" s="8" t="s">
        <v>3</v>
      </c>
      <c r="H270" s="62" t="s">
        <v>114</v>
      </c>
      <c r="I270" s="50"/>
    </row>
    <row r="271" spans="1:9" ht="15.75" outlineLevel="1" x14ac:dyDescent="0.25">
      <c r="A271" s="17">
        <v>87</v>
      </c>
      <c r="B271" s="52" t="s">
        <v>85</v>
      </c>
      <c r="C271" s="67">
        <v>39</v>
      </c>
      <c r="D271" s="68">
        <v>858</v>
      </c>
      <c r="E271" s="68">
        <v>1605.0900000000001</v>
      </c>
      <c r="F271" s="68">
        <v>747.09000000000015</v>
      </c>
      <c r="G271" s="8" t="s">
        <v>3</v>
      </c>
      <c r="H271" s="62" t="s">
        <v>114</v>
      </c>
      <c r="I271" s="50"/>
    </row>
    <row r="272" spans="1:9" ht="15.75" outlineLevel="1" x14ac:dyDescent="0.25">
      <c r="A272" s="17">
        <v>88</v>
      </c>
      <c r="B272" s="52" t="s">
        <v>78</v>
      </c>
      <c r="C272" s="67">
        <v>9</v>
      </c>
      <c r="D272" s="68">
        <v>27</v>
      </c>
      <c r="E272" s="68">
        <v>73.88</v>
      </c>
      <c r="F272" s="68">
        <v>46.879999999999995</v>
      </c>
      <c r="G272" s="8" t="s">
        <v>3</v>
      </c>
      <c r="H272" s="62" t="s">
        <v>114</v>
      </c>
      <c r="I272" s="50"/>
    </row>
    <row r="273" spans="1:9" ht="15.75" outlineLevel="1" x14ac:dyDescent="0.25">
      <c r="A273" s="17">
        <v>89</v>
      </c>
      <c r="B273" s="52" t="s">
        <v>171</v>
      </c>
      <c r="C273" s="67">
        <v>6</v>
      </c>
      <c r="D273" s="68">
        <v>15</v>
      </c>
      <c r="E273" s="68">
        <v>46.27</v>
      </c>
      <c r="F273" s="68">
        <v>31.270000000000003</v>
      </c>
      <c r="G273" s="8" t="s">
        <v>3</v>
      </c>
      <c r="H273" s="62" t="s">
        <v>114</v>
      </c>
      <c r="I273" s="50"/>
    </row>
    <row r="274" spans="1:9" ht="15.75" outlineLevel="1" x14ac:dyDescent="0.25">
      <c r="A274" s="17">
        <v>90</v>
      </c>
      <c r="B274" s="52" t="s">
        <v>125</v>
      </c>
      <c r="C274" s="67">
        <v>33</v>
      </c>
      <c r="D274" s="68">
        <v>247.5</v>
      </c>
      <c r="E274" s="68">
        <v>564.04999999999995</v>
      </c>
      <c r="F274" s="68">
        <v>316.54999999999995</v>
      </c>
      <c r="G274" s="8" t="s">
        <v>3</v>
      </c>
      <c r="H274" s="62" t="s">
        <v>114</v>
      </c>
      <c r="I274" s="50"/>
    </row>
    <row r="275" spans="1:9" ht="15.75" outlineLevel="1" x14ac:dyDescent="0.25">
      <c r="A275" s="17">
        <v>91</v>
      </c>
      <c r="B275" s="52" t="s">
        <v>76</v>
      </c>
      <c r="C275" s="67">
        <v>5</v>
      </c>
      <c r="D275" s="68">
        <v>100</v>
      </c>
      <c r="E275" s="68">
        <v>182.42000000000002</v>
      </c>
      <c r="F275" s="68">
        <v>82.420000000000016</v>
      </c>
      <c r="G275" s="8" t="s">
        <v>3</v>
      </c>
      <c r="H275" s="62" t="s">
        <v>114</v>
      </c>
      <c r="I275" s="50"/>
    </row>
    <row r="276" spans="1:9" ht="15.75" outlineLevel="1" x14ac:dyDescent="0.25">
      <c r="A276" s="17">
        <v>92</v>
      </c>
      <c r="B276" s="52" t="s">
        <v>169</v>
      </c>
      <c r="C276" s="67">
        <v>1</v>
      </c>
      <c r="D276" s="68">
        <v>18</v>
      </c>
      <c r="E276" s="68">
        <v>31.12</v>
      </c>
      <c r="F276" s="68">
        <v>13.120000000000001</v>
      </c>
      <c r="G276" s="8" t="s">
        <v>3</v>
      </c>
      <c r="H276" s="62" t="s">
        <v>114</v>
      </c>
      <c r="I276" s="50"/>
    </row>
    <row r="277" spans="1:9" ht="15.75" outlineLevel="1" x14ac:dyDescent="0.25">
      <c r="A277" s="17">
        <v>93</v>
      </c>
      <c r="B277" s="52" t="s">
        <v>72</v>
      </c>
      <c r="C277" s="67">
        <v>39</v>
      </c>
      <c r="D277" s="68">
        <v>273</v>
      </c>
      <c r="E277" s="68">
        <v>551.13</v>
      </c>
      <c r="F277" s="68">
        <v>278.13</v>
      </c>
      <c r="G277" s="8" t="s">
        <v>3</v>
      </c>
      <c r="H277" s="62" t="s">
        <v>114</v>
      </c>
      <c r="I277" s="50"/>
    </row>
    <row r="278" spans="1:9" ht="15.75" outlineLevel="1" x14ac:dyDescent="0.25">
      <c r="A278" s="17">
        <v>94</v>
      </c>
      <c r="B278" s="52" t="s">
        <v>131</v>
      </c>
      <c r="C278" s="67">
        <v>1</v>
      </c>
      <c r="D278" s="68">
        <v>12</v>
      </c>
      <c r="E278" s="68">
        <v>19.98</v>
      </c>
      <c r="F278" s="68">
        <v>7.98</v>
      </c>
      <c r="G278" s="8" t="s">
        <v>3</v>
      </c>
      <c r="H278" s="62" t="s">
        <v>114</v>
      </c>
      <c r="I278" s="50"/>
    </row>
    <row r="279" spans="1:9" ht="15.75" outlineLevel="1" x14ac:dyDescent="0.25">
      <c r="A279" s="17">
        <v>95</v>
      </c>
      <c r="B279" s="52" t="s">
        <v>202</v>
      </c>
      <c r="C279" s="67">
        <v>1</v>
      </c>
      <c r="D279" s="68">
        <v>8</v>
      </c>
      <c r="E279" s="68">
        <v>15.52</v>
      </c>
      <c r="F279" s="68">
        <v>7.52</v>
      </c>
      <c r="G279" s="8" t="s">
        <v>3</v>
      </c>
      <c r="H279" s="62" t="s">
        <v>114</v>
      </c>
      <c r="I279" s="50"/>
    </row>
    <row r="280" spans="1:9" ht="15.75" outlineLevel="1" x14ac:dyDescent="0.25">
      <c r="A280" s="17">
        <v>96</v>
      </c>
      <c r="B280" s="52" t="s">
        <v>79</v>
      </c>
      <c r="C280" s="67">
        <v>2</v>
      </c>
      <c r="D280" s="68">
        <v>3</v>
      </c>
      <c r="E280" s="68">
        <v>16.21</v>
      </c>
      <c r="F280" s="68">
        <v>13.21</v>
      </c>
      <c r="G280" s="8" t="s">
        <v>3</v>
      </c>
      <c r="H280" s="62" t="s">
        <v>114</v>
      </c>
      <c r="I280" s="50"/>
    </row>
    <row r="281" spans="1:9" ht="15.75" outlineLevel="1" x14ac:dyDescent="0.25">
      <c r="A281" s="17">
        <v>97</v>
      </c>
      <c r="B281" s="52" t="s">
        <v>203</v>
      </c>
      <c r="C281" s="67">
        <v>2</v>
      </c>
      <c r="D281" s="68">
        <v>8</v>
      </c>
      <c r="E281" s="68">
        <v>27.54</v>
      </c>
      <c r="F281" s="68">
        <v>19.54</v>
      </c>
      <c r="G281" s="8" t="s">
        <v>3</v>
      </c>
      <c r="H281" s="62" t="s">
        <v>114</v>
      </c>
      <c r="I281" s="50"/>
    </row>
    <row r="282" spans="1:9" ht="15.75" outlineLevel="1" x14ac:dyDescent="0.25">
      <c r="A282" s="17">
        <v>98</v>
      </c>
      <c r="B282" s="52" t="s">
        <v>89</v>
      </c>
      <c r="C282" s="67">
        <v>2</v>
      </c>
      <c r="D282" s="68">
        <v>10</v>
      </c>
      <c r="E282" s="68">
        <v>20</v>
      </c>
      <c r="F282" s="68">
        <v>10</v>
      </c>
      <c r="G282" s="8" t="s">
        <v>3</v>
      </c>
      <c r="H282" s="62" t="s">
        <v>114</v>
      </c>
      <c r="I282" s="50"/>
    </row>
    <row r="283" spans="1:9" ht="15.75" outlineLevel="1" x14ac:dyDescent="0.25">
      <c r="A283" s="17">
        <v>99</v>
      </c>
      <c r="B283" s="52" t="s">
        <v>204</v>
      </c>
      <c r="C283" s="67">
        <v>1</v>
      </c>
      <c r="D283" s="68">
        <v>24</v>
      </c>
      <c r="E283" s="68">
        <v>50</v>
      </c>
      <c r="F283" s="68">
        <v>26</v>
      </c>
      <c r="G283" s="8" t="s">
        <v>3</v>
      </c>
      <c r="H283" s="62" t="s">
        <v>114</v>
      </c>
      <c r="I283" s="50"/>
    </row>
    <row r="284" spans="1:9" ht="15.75" outlineLevel="1" x14ac:dyDescent="0.25">
      <c r="A284" s="17">
        <v>100</v>
      </c>
      <c r="B284" s="52" t="s">
        <v>86</v>
      </c>
      <c r="C284" s="67">
        <v>23</v>
      </c>
      <c r="D284" s="68">
        <v>138</v>
      </c>
      <c r="E284" s="68">
        <v>104.12</v>
      </c>
      <c r="F284" s="68">
        <v>-33.879999999999995</v>
      </c>
      <c r="G284" s="8" t="s">
        <v>3</v>
      </c>
      <c r="H284" s="62" t="s">
        <v>114</v>
      </c>
      <c r="I284" s="50"/>
    </row>
    <row r="285" spans="1:9" ht="15.75" outlineLevel="1" x14ac:dyDescent="0.25">
      <c r="A285" s="17">
        <v>101</v>
      </c>
      <c r="B285" s="52" t="s">
        <v>90</v>
      </c>
      <c r="C285" s="67">
        <v>130</v>
      </c>
      <c r="D285" s="68">
        <v>3640</v>
      </c>
      <c r="E285" s="68">
        <v>6783.57</v>
      </c>
      <c r="F285" s="68">
        <v>3143.57</v>
      </c>
      <c r="G285" s="8" t="s">
        <v>3</v>
      </c>
      <c r="H285" s="62" t="s">
        <v>114</v>
      </c>
      <c r="I285" s="50"/>
    </row>
    <row r="286" spans="1:9" ht="15.75" outlineLevel="1" x14ac:dyDescent="0.25">
      <c r="A286" s="17">
        <v>102</v>
      </c>
      <c r="B286" s="52" t="s">
        <v>167</v>
      </c>
      <c r="C286" s="67">
        <v>2</v>
      </c>
      <c r="D286" s="68">
        <v>130</v>
      </c>
      <c r="E286" s="68">
        <v>253.89</v>
      </c>
      <c r="F286" s="68">
        <v>123.88999999999999</v>
      </c>
      <c r="G286" s="8" t="s">
        <v>3</v>
      </c>
      <c r="H286" s="62" t="s">
        <v>114</v>
      </c>
      <c r="I286" s="50"/>
    </row>
    <row r="287" spans="1:9" ht="15.75" outlineLevel="1" x14ac:dyDescent="0.25">
      <c r="A287" s="17">
        <v>103</v>
      </c>
      <c r="B287" s="52" t="s">
        <v>205</v>
      </c>
      <c r="C287" s="67">
        <v>2</v>
      </c>
      <c r="D287" s="68">
        <v>20</v>
      </c>
      <c r="E287" s="68">
        <v>38.674999999999997</v>
      </c>
      <c r="F287" s="68">
        <v>18.674999999999997</v>
      </c>
      <c r="G287" s="8" t="s">
        <v>3</v>
      </c>
      <c r="H287" s="62" t="s">
        <v>114</v>
      </c>
      <c r="I287" s="50"/>
    </row>
    <row r="288" spans="1:9" ht="15.75" outlineLevel="1" x14ac:dyDescent="0.25">
      <c r="A288" s="17">
        <v>104</v>
      </c>
      <c r="B288" s="52" t="s">
        <v>206</v>
      </c>
      <c r="C288" s="67">
        <v>9</v>
      </c>
      <c r="D288" s="68">
        <v>7.5</v>
      </c>
      <c r="E288" s="68">
        <v>14.11</v>
      </c>
      <c r="F288" s="68">
        <v>6.6099999999999994</v>
      </c>
      <c r="G288" s="8" t="s">
        <v>3</v>
      </c>
      <c r="H288" s="62" t="s">
        <v>114</v>
      </c>
      <c r="I288" s="50"/>
    </row>
    <row r="289" spans="1:9" ht="15.75" outlineLevel="1" x14ac:dyDescent="0.25">
      <c r="A289" s="17">
        <v>105</v>
      </c>
      <c r="B289" s="44"/>
      <c r="C289" s="62"/>
      <c r="D289" s="64"/>
      <c r="E289" s="64"/>
      <c r="F289" s="64"/>
      <c r="G289" s="8"/>
      <c r="H289" s="62"/>
      <c r="I289" s="50"/>
    </row>
    <row r="290" spans="1:9" ht="15.75" outlineLevel="1" x14ac:dyDescent="0.25">
      <c r="A290" s="17">
        <v>106</v>
      </c>
      <c r="B290" s="44"/>
      <c r="C290" s="62"/>
      <c r="D290" s="64"/>
      <c r="E290" s="64"/>
      <c r="F290" s="64"/>
      <c r="G290" s="8"/>
      <c r="H290" s="62"/>
      <c r="I290" s="50"/>
    </row>
    <row r="291" spans="1:9" ht="15.75" outlineLevel="1" x14ac:dyDescent="0.25">
      <c r="A291" s="17">
        <v>107</v>
      </c>
      <c r="B291" s="44"/>
      <c r="C291" s="62"/>
      <c r="D291" s="64"/>
      <c r="E291" s="64"/>
      <c r="F291" s="64"/>
      <c r="G291" s="8"/>
      <c r="H291" s="62"/>
      <c r="I291" s="50"/>
    </row>
    <row r="292" spans="1:9" ht="15.75" outlineLevel="1" x14ac:dyDescent="0.25">
      <c r="A292" s="17">
        <v>108</v>
      </c>
      <c r="B292" s="44"/>
      <c r="C292" s="62"/>
      <c r="D292" s="64"/>
      <c r="E292" s="64"/>
      <c r="F292" s="64"/>
      <c r="G292" s="8"/>
      <c r="H292" s="62"/>
      <c r="I292" s="50"/>
    </row>
    <row r="293" spans="1:9" ht="15.75" outlineLevel="1" x14ac:dyDescent="0.25">
      <c r="A293" s="17">
        <v>109</v>
      </c>
      <c r="B293" s="44"/>
      <c r="C293" s="62"/>
      <c r="D293" s="64"/>
      <c r="E293" s="64"/>
      <c r="F293" s="64"/>
      <c r="G293" s="8"/>
      <c r="H293" s="62"/>
      <c r="I293" s="50"/>
    </row>
    <row r="294" spans="1:9" outlineLevel="1" x14ac:dyDescent="0.25">
      <c r="A294" s="49"/>
      <c r="B294" s="44"/>
      <c r="C294" s="62"/>
      <c r="D294" s="64"/>
      <c r="E294" s="64"/>
      <c r="F294" s="64"/>
      <c r="G294" s="62"/>
      <c r="H294" s="62"/>
      <c r="I294" s="50"/>
    </row>
    <row r="295" spans="1:9" ht="21" x14ac:dyDescent="0.25">
      <c r="A295" s="189" t="s">
        <v>45</v>
      </c>
      <c r="B295" s="189"/>
      <c r="C295" s="189"/>
      <c r="D295" s="4">
        <f>SUM(D296:D348)</f>
        <v>3278.5666666666666</v>
      </c>
      <c r="E295" s="4">
        <f>SUM(E296:E348)</f>
        <v>7054.3499999999995</v>
      </c>
      <c r="F295" s="4">
        <f>SUM(F296:F348)</f>
        <v>3775.7833333333338</v>
      </c>
      <c r="G295" s="5">
        <f>SUM(C296:C348)</f>
        <v>364</v>
      </c>
      <c r="H295" s="43">
        <f>G295-I295</f>
        <v>338</v>
      </c>
      <c r="I295" s="5">
        <f>COUNTIF(H296:H392,"bsb")</f>
        <v>26</v>
      </c>
    </row>
    <row r="296" spans="1:9" ht="15.75" outlineLevel="1" x14ac:dyDescent="0.25">
      <c r="A296" s="17">
        <v>36</v>
      </c>
      <c r="B296" s="7" t="s">
        <v>14</v>
      </c>
      <c r="C296" s="14">
        <v>1</v>
      </c>
      <c r="D296" s="61">
        <v>22</v>
      </c>
      <c r="E296" s="61">
        <v>65</v>
      </c>
      <c r="F296" s="61">
        <f t="shared" ref="F296:F306" si="9">SUM(E296-D296)</f>
        <v>43</v>
      </c>
      <c r="G296" s="8" t="s">
        <v>15</v>
      </c>
      <c r="H296" s="8" t="s">
        <v>113</v>
      </c>
      <c r="I296" s="15"/>
    </row>
    <row r="297" spans="1:9" ht="15.75" outlineLevel="1" x14ac:dyDescent="0.25">
      <c r="A297" s="17">
        <v>36</v>
      </c>
      <c r="B297" s="7" t="s">
        <v>14</v>
      </c>
      <c r="C297" s="14">
        <v>1</v>
      </c>
      <c r="D297" s="61">
        <v>22</v>
      </c>
      <c r="E297" s="61">
        <v>65</v>
      </c>
      <c r="F297" s="61">
        <f t="shared" si="9"/>
        <v>43</v>
      </c>
      <c r="G297" s="8" t="s">
        <v>15</v>
      </c>
      <c r="H297" s="8" t="s">
        <v>113</v>
      </c>
      <c r="I297" s="15"/>
    </row>
    <row r="298" spans="1:9" ht="15.75" outlineLevel="1" x14ac:dyDescent="0.25">
      <c r="A298" s="17">
        <v>35</v>
      </c>
      <c r="B298" s="7" t="s">
        <v>14</v>
      </c>
      <c r="C298" s="14">
        <v>1</v>
      </c>
      <c r="D298" s="61">
        <v>22</v>
      </c>
      <c r="E298" s="61">
        <v>90</v>
      </c>
      <c r="F298" s="61">
        <f t="shared" si="9"/>
        <v>68</v>
      </c>
      <c r="G298" s="8" t="s">
        <v>15</v>
      </c>
      <c r="H298" s="8" t="s">
        <v>113</v>
      </c>
      <c r="I298" s="15"/>
    </row>
    <row r="299" spans="1:9" ht="15.75" outlineLevel="1" x14ac:dyDescent="0.25">
      <c r="A299" s="17">
        <v>43</v>
      </c>
      <c r="B299" s="10" t="s">
        <v>207</v>
      </c>
      <c r="C299" s="14">
        <v>1</v>
      </c>
      <c r="D299" s="61">
        <v>50</v>
      </c>
      <c r="E299" s="61">
        <v>70</v>
      </c>
      <c r="F299" s="61">
        <f t="shared" si="9"/>
        <v>20</v>
      </c>
      <c r="G299" s="8" t="s">
        <v>15</v>
      </c>
      <c r="H299" s="8" t="s">
        <v>113</v>
      </c>
      <c r="I299" s="15"/>
    </row>
    <row r="300" spans="1:9" ht="15.75" outlineLevel="1" x14ac:dyDescent="0.25">
      <c r="A300" s="17">
        <v>44</v>
      </c>
      <c r="B300" s="10" t="s">
        <v>208</v>
      </c>
      <c r="C300" s="14">
        <v>1</v>
      </c>
      <c r="D300" s="61">
        <v>22</v>
      </c>
      <c r="E300" s="61">
        <v>50</v>
      </c>
      <c r="F300" s="61">
        <f t="shared" si="9"/>
        <v>28</v>
      </c>
      <c r="G300" s="8" t="s">
        <v>15</v>
      </c>
      <c r="H300" s="8" t="s">
        <v>113</v>
      </c>
      <c r="I300" s="15"/>
    </row>
    <row r="301" spans="1:9" ht="15.75" outlineLevel="1" x14ac:dyDescent="0.25">
      <c r="A301" s="17">
        <v>45</v>
      </c>
      <c r="B301" s="10" t="s">
        <v>209</v>
      </c>
      <c r="C301" s="14">
        <v>1</v>
      </c>
      <c r="D301" s="61">
        <v>16</v>
      </c>
      <c r="E301" s="61">
        <v>30</v>
      </c>
      <c r="F301" s="61">
        <f t="shared" si="9"/>
        <v>14</v>
      </c>
      <c r="G301" s="8" t="s">
        <v>15</v>
      </c>
      <c r="H301" s="8" t="s">
        <v>113</v>
      </c>
      <c r="I301" s="15"/>
    </row>
    <row r="302" spans="1:9" ht="15.75" outlineLevel="1" x14ac:dyDescent="0.25">
      <c r="A302" s="17">
        <v>46</v>
      </c>
      <c r="B302" s="10" t="s">
        <v>210</v>
      </c>
      <c r="C302" s="14">
        <v>1</v>
      </c>
      <c r="D302" s="61">
        <v>2</v>
      </c>
      <c r="E302" s="61">
        <v>30</v>
      </c>
      <c r="F302" s="61">
        <f t="shared" si="9"/>
        <v>28</v>
      </c>
      <c r="G302" s="8" t="s">
        <v>15</v>
      </c>
      <c r="H302" s="8" t="s">
        <v>113</v>
      </c>
      <c r="I302" s="15"/>
    </row>
    <row r="303" spans="1:9" ht="15.75" outlineLevel="1" x14ac:dyDescent="0.25">
      <c r="A303" s="17">
        <v>47</v>
      </c>
      <c r="B303" s="10" t="s">
        <v>211</v>
      </c>
      <c r="C303" s="14">
        <v>1</v>
      </c>
      <c r="D303" s="61">
        <v>3</v>
      </c>
      <c r="E303" s="61">
        <v>12</v>
      </c>
      <c r="F303" s="61">
        <f t="shared" si="9"/>
        <v>9</v>
      </c>
      <c r="G303" s="8" t="s">
        <v>15</v>
      </c>
      <c r="H303" s="8" t="s">
        <v>113</v>
      </c>
      <c r="I303" s="15"/>
    </row>
    <row r="304" spans="1:9" ht="15.75" outlineLevel="1" x14ac:dyDescent="0.25">
      <c r="A304" s="17">
        <v>48</v>
      </c>
      <c r="B304" s="10" t="s">
        <v>212</v>
      </c>
      <c r="C304" s="14">
        <v>1</v>
      </c>
      <c r="D304" s="61">
        <v>3</v>
      </c>
      <c r="E304" s="61">
        <v>10</v>
      </c>
      <c r="F304" s="61">
        <f t="shared" si="9"/>
        <v>7</v>
      </c>
      <c r="G304" s="8" t="s">
        <v>15</v>
      </c>
      <c r="H304" s="8" t="s">
        <v>113</v>
      </c>
      <c r="I304" s="15"/>
    </row>
    <row r="305" spans="1:9" ht="15.75" outlineLevel="1" x14ac:dyDescent="0.25">
      <c r="A305" s="17">
        <v>49</v>
      </c>
      <c r="B305" s="10" t="s">
        <v>213</v>
      </c>
      <c r="C305" s="14">
        <v>1</v>
      </c>
      <c r="D305" s="61">
        <v>30</v>
      </c>
      <c r="E305" s="61">
        <v>50</v>
      </c>
      <c r="F305" s="61">
        <f t="shared" si="9"/>
        <v>20</v>
      </c>
      <c r="G305" s="8" t="s">
        <v>15</v>
      </c>
      <c r="H305" s="8" t="s">
        <v>113</v>
      </c>
      <c r="I305" s="15"/>
    </row>
    <row r="306" spans="1:9" ht="15.75" outlineLevel="1" x14ac:dyDescent="0.25">
      <c r="A306" s="17">
        <v>50</v>
      </c>
      <c r="B306" s="10" t="s">
        <v>153</v>
      </c>
      <c r="C306" s="14">
        <v>1</v>
      </c>
      <c r="D306" s="61">
        <v>35</v>
      </c>
      <c r="E306" s="61">
        <v>50</v>
      </c>
      <c r="F306" s="61">
        <f t="shared" si="9"/>
        <v>15</v>
      </c>
      <c r="G306" s="8" t="s">
        <v>15</v>
      </c>
      <c r="H306" s="8" t="s">
        <v>113</v>
      </c>
      <c r="I306" s="15"/>
    </row>
    <row r="307" spans="1:9" ht="15.75" outlineLevel="1" x14ac:dyDescent="0.25">
      <c r="A307" s="17">
        <v>51</v>
      </c>
      <c r="B307" s="10" t="s">
        <v>208</v>
      </c>
      <c r="C307" s="14">
        <v>1</v>
      </c>
      <c r="D307" s="61">
        <v>22</v>
      </c>
      <c r="E307" s="61">
        <v>60</v>
      </c>
      <c r="F307" s="61">
        <f t="shared" ref="F307:F346" si="10">SUM(E307-D307)</f>
        <v>38</v>
      </c>
      <c r="G307" s="8" t="s">
        <v>15</v>
      </c>
      <c r="H307" s="8" t="s">
        <v>113</v>
      </c>
      <c r="I307" s="15"/>
    </row>
    <row r="308" spans="1:9" ht="15.75" outlineLevel="1" x14ac:dyDescent="0.25">
      <c r="A308" s="17">
        <v>52</v>
      </c>
      <c r="B308" s="69" t="s">
        <v>214</v>
      </c>
      <c r="C308" s="70">
        <v>1</v>
      </c>
      <c r="D308" s="61">
        <v>2</v>
      </c>
      <c r="E308" s="61">
        <v>15.01</v>
      </c>
      <c r="F308" s="61">
        <f t="shared" si="10"/>
        <v>13.01</v>
      </c>
      <c r="G308" s="8" t="s">
        <v>15</v>
      </c>
      <c r="H308" s="8"/>
      <c r="I308" s="15"/>
    </row>
    <row r="309" spans="1:9" ht="15.75" outlineLevel="1" x14ac:dyDescent="0.25">
      <c r="A309" s="17">
        <v>53</v>
      </c>
      <c r="B309" s="69" t="s">
        <v>87</v>
      </c>
      <c r="C309" s="70">
        <v>1</v>
      </c>
      <c r="D309" s="61">
        <v>18</v>
      </c>
      <c r="E309" s="61">
        <v>30.59</v>
      </c>
      <c r="F309" s="61">
        <f t="shared" si="10"/>
        <v>12.59</v>
      </c>
      <c r="G309" s="8" t="s">
        <v>15</v>
      </c>
      <c r="H309" s="8"/>
      <c r="I309" s="15"/>
    </row>
    <row r="310" spans="1:9" ht="15.75" outlineLevel="1" x14ac:dyDescent="0.25">
      <c r="A310" s="17">
        <v>54</v>
      </c>
      <c r="B310" s="69" t="s">
        <v>215</v>
      </c>
      <c r="C310" s="70">
        <v>1</v>
      </c>
      <c r="D310" s="61">
        <v>10</v>
      </c>
      <c r="E310" s="61">
        <v>28.41</v>
      </c>
      <c r="F310" s="61">
        <f t="shared" si="10"/>
        <v>18.41</v>
      </c>
      <c r="G310" s="8" t="s">
        <v>15</v>
      </c>
      <c r="H310" s="8"/>
      <c r="I310" s="15"/>
    </row>
    <row r="311" spans="1:9" ht="15.75" outlineLevel="1" x14ac:dyDescent="0.25">
      <c r="A311" s="17">
        <v>55</v>
      </c>
      <c r="B311" s="69" t="s">
        <v>216</v>
      </c>
      <c r="C311" s="71">
        <v>1</v>
      </c>
      <c r="D311" s="61">
        <v>30</v>
      </c>
      <c r="E311" s="61">
        <v>59.99</v>
      </c>
      <c r="F311" s="61">
        <f t="shared" si="10"/>
        <v>29.990000000000002</v>
      </c>
      <c r="G311" s="8" t="s">
        <v>15</v>
      </c>
      <c r="H311" s="8"/>
      <c r="I311" s="15"/>
    </row>
    <row r="312" spans="1:9" ht="15.75" outlineLevel="1" x14ac:dyDescent="0.25">
      <c r="A312" s="17">
        <v>56</v>
      </c>
      <c r="B312" s="69" t="s">
        <v>217</v>
      </c>
      <c r="C312" s="71">
        <v>84</v>
      </c>
      <c r="D312" s="61">
        <v>84</v>
      </c>
      <c r="E312" s="61">
        <v>226.54</v>
      </c>
      <c r="F312" s="61">
        <f t="shared" si="10"/>
        <v>142.54</v>
      </c>
      <c r="G312" s="8" t="s">
        <v>15</v>
      </c>
      <c r="H312" s="8"/>
      <c r="I312" s="15"/>
    </row>
    <row r="313" spans="1:9" ht="15.75" outlineLevel="1" x14ac:dyDescent="0.25">
      <c r="A313" s="17">
        <v>57</v>
      </c>
      <c r="B313" s="69" t="s">
        <v>181</v>
      </c>
      <c r="C313" s="71">
        <v>2</v>
      </c>
      <c r="D313" s="61">
        <v>2</v>
      </c>
      <c r="E313" s="61">
        <v>7.8</v>
      </c>
      <c r="F313" s="61">
        <f t="shared" si="10"/>
        <v>5.8</v>
      </c>
      <c r="G313" s="8" t="s">
        <v>15</v>
      </c>
      <c r="H313" s="8"/>
      <c r="I313" s="15"/>
    </row>
    <row r="314" spans="1:9" ht="15.75" outlineLevel="1" x14ac:dyDescent="0.25">
      <c r="A314" s="17">
        <v>58</v>
      </c>
      <c r="B314" s="69" t="s">
        <v>73</v>
      </c>
      <c r="C314" s="71">
        <v>25</v>
      </c>
      <c r="D314" s="61">
        <v>25</v>
      </c>
      <c r="E314" s="61">
        <v>58.27</v>
      </c>
      <c r="F314" s="61">
        <f t="shared" si="10"/>
        <v>33.270000000000003</v>
      </c>
      <c r="G314" s="8" t="s">
        <v>15</v>
      </c>
      <c r="H314" s="8"/>
      <c r="I314" s="15"/>
    </row>
    <row r="315" spans="1:9" ht="15.75" outlineLevel="1" x14ac:dyDescent="0.25">
      <c r="A315" s="17">
        <v>59</v>
      </c>
      <c r="B315" s="69" t="s">
        <v>198</v>
      </c>
      <c r="C315" s="71">
        <v>49</v>
      </c>
      <c r="D315" s="61">
        <v>78.400000000000006</v>
      </c>
      <c r="E315" s="61">
        <v>116.65</v>
      </c>
      <c r="F315" s="61">
        <f t="shared" si="10"/>
        <v>38.25</v>
      </c>
      <c r="G315" s="8" t="s">
        <v>15</v>
      </c>
      <c r="H315" s="8"/>
      <c r="I315" s="15"/>
    </row>
    <row r="316" spans="1:9" ht="15.75" outlineLevel="1" x14ac:dyDescent="0.25">
      <c r="A316" s="17">
        <v>60</v>
      </c>
      <c r="B316" s="69" t="s">
        <v>218</v>
      </c>
      <c r="C316" s="70">
        <v>1</v>
      </c>
      <c r="D316" s="61">
        <v>7</v>
      </c>
      <c r="E316" s="61">
        <v>15</v>
      </c>
      <c r="F316" s="61">
        <f t="shared" si="10"/>
        <v>8</v>
      </c>
      <c r="G316" s="8" t="s">
        <v>15</v>
      </c>
      <c r="H316" s="8"/>
      <c r="I316" s="15"/>
    </row>
    <row r="317" spans="1:9" ht="15.75" outlineLevel="1" x14ac:dyDescent="0.25">
      <c r="A317" s="17">
        <v>61</v>
      </c>
      <c r="B317" s="69" t="s">
        <v>139</v>
      </c>
      <c r="C317" s="71">
        <v>1</v>
      </c>
      <c r="D317" s="61">
        <v>14</v>
      </c>
      <c r="E317" s="61">
        <v>24</v>
      </c>
      <c r="F317" s="61">
        <f t="shared" si="10"/>
        <v>10</v>
      </c>
      <c r="G317" s="8" t="s">
        <v>15</v>
      </c>
      <c r="H317" s="8"/>
      <c r="I317" s="15"/>
    </row>
    <row r="318" spans="1:9" ht="15.75" outlineLevel="1" x14ac:dyDescent="0.25">
      <c r="A318" s="17">
        <v>62</v>
      </c>
      <c r="B318" s="69" t="s">
        <v>179</v>
      </c>
      <c r="C318" s="71">
        <v>2</v>
      </c>
      <c r="D318" s="61">
        <v>8</v>
      </c>
      <c r="E318" s="61">
        <v>36.909999999999997</v>
      </c>
      <c r="F318" s="61">
        <f t="shared" si="10"/>
        <v>28.909999999999997</v>
      </c>
      <c r="G318" s="8" t="s">
        <v>15</v>
      </c>
      <c r="H318" s="8"/>
      <c r="I318" s="15"/>
    </row>
    <row r="319" spans="1:9" ht="15.75" outlineLevel="1" x14ac:dyDescent="0.25">
      <c r="A319" s="17">
        <v>63</v>
      </c>
      <c r="B319" s="69" t="s">
        <v>199</v>
      </c>
      <c r="C319" s="71">
        <v>6</v>
      </c>
      <c r="D319" s="61">
        <v>36</v>
      </c>
      <c r="E319" s="61">
        <v>81.86</v>
      </c>
      <c r="F319" s="61">
        <f t="shared" si="10"/>
        <v>45.86</v>
      </c>
      <c r="G319" s="8" t="s">
        <v>15</v>
      </c>
      <c r="H319" s="8"/>
      <c r="I319" s="15"/>
    </row>
    <row r="320" spans="1:9" ht="15.75" outlineLevel="1" x14ac:dyDescent="0.25">
      <c r="A320" s="17">
        <v>64</v>
      </c>
      <c r="B320" s="69" t="s">
        <v>127</v>
      </c>
      <c r="C320" s="71">
        <v>9</v>
      </c>
      <c r="D320" s="61">
        <v>18</v>
      </c>
      <c r="E320" s="61">
        <v>111.83</v>
      </c>
      <c r="F320" s="61">
        <f t="shared" si="10"/>
        <v>93.83</v>
      </c>
      <c r="G320" s="8" t="s">
        <v>15</v>
      </c>
      <c r="H320" s="8"/>
      <c r="I320" s="15"/>
    </row>
    <row r="321" spans="1:9" ht="15.75" outlineLevel="1" x14ac:dyDescent="0.25">
      <c r="A321" s="17">
        <v>65</v>
      </c>
      <c r="B321" s="69" t="s">
        <v>219</v>
      </c>
      <c r="C321" s="70">
        <v>2</v>
      </c>
      <c r="D321" s="61">
        <v>7</v>
      </c>
      <c r="E321" s="61">
        <v>39.15</v>
      </c>
      <c r="F321" s="61">
        <f t="shared" si="10"/>
        <v>32.15</v>
      </c>
      <c r="G321" s="8" t="s">
        <v>15</v>
      </c>
      <c r="H321" s="8"/>
      <c r="I321" s="15"/>
    </row>
    <row r="322" spans="1:9" ht="15.75" outlineLevel="1" x14ac:dyDescent="0.25">
      <c r="A322" s="17">
        <v>66</v>
      </c>
      <c r="B322" s="69" t="s">
        <v>81</v>
      </c>
      <c r="C322" s="70">
        <v>1</v>
      </c>
      <c r="D322" s="61">
        <v>3.5</v>
      </c>
      <c r="E322" s="61">
        <v>10</v>
      </c>
      <c r="F322" s="61">
        <f t="shared" si="10"/>
        <v>6.5</v>
      </c>
      <c r="G322" s="8" t="s">
        <v>15</v>
      </c>
      <c r="H322" s="8"/>
      <c r="I322" s="15"/>
    </row>
    <row r="323" spans="1:9" ht="15.75" outlineLevel="1" x14ac:dyDescent="0.25">
      <c r="A323" s="17">
        <v>67</v>
      </c>
      <c r="B323" s="69" t="s">
        <v>220</v>
      </c>
      <c r="C323" s="70">
        <v>42</v>
      </c>
      <c r="D323" s="61">
        <v>1470</v>
      </c>
      <c r="E323" s="61">
        <v>2848.3399999999997</v>
      </c>
      <c r="F323" s="61">
        <f t="shared" si="10"/>
        <v>1378.3399999999997</v>
      </c>
      <c r="G323" s="8" t="s">
        <v>15</v>
      </c>
      <c r="H323" s="8"/>
      <c r="I323" s="15"/>
    </row>
    <row r="324" spans="1:9" ht="15.75" outlineLevel="1" x14ac:dyDescent="0.25">
      <c r="A324" s="17">
        <v>68</v>
      </c>
      <c r="B324" s="69" t="s">
        <v>221</v>
      </c>
      <c r="C324" s="70">
        <v>1</v>
      </c>
      <c r="D324" s="61">
        <v>7.5</v>
      </c>
      <c r="E324" s="61">
        <v>23.51</v>
      </c>
      <c r="F324" s="61">
        <f t="shared" si="10"/>
        <v>16.010000000000002</v>
      </c>
      <c r="G324" s="8" t="s">
        <v>15</v>
      </c>
      <c r="H324" s="8"/>
      <c r="I324" s="15"/>
    </row>
    <row r="325" spans="1:9" ht="15.75" outlineLevel="1" x14ac:dyDescent="0.25">
      <c r="A325" s="17">
        <v>69</v>
      </c>
      <c r="B325" s="69" t="s">
        <v>85</v>
      </c>
      <c r="C325" s="70">
        <v>30</v>
      </c>
      <c r="D325" s="61">
        <v>660</v>
      </c>
      <c r="E325" s="61">
        <v>1387.8</v>
      </c>
      <c r="F325" s="61">
        <f t="shared" si="10"/>
        <v>727.8</v>
      </c>
      <c r="G325" s="8" t="s">
        <v>15</v>
      </c>
      <c r="H325" s="8"/>
      <c r="I325" s="15"/>
    </row>
    <row r="326" spans="1:9" ht="15.75" outlineLevel="1" x14ac:dyDescent="0.25">
      <c r="A326" s="17">
        <v>70</v>
      </c>
      <c r="B326" s="69" t="s">
        <v>140</v>
      </c>
      <c r="C326" s="70">
        <v>1</v>
      </c>
      <c r="D326" s="61">
        <v>2.5</v>
      </c>
      <c r="E326" s="61">
        <v>7.5</v>
      </c>
      <c r="F326" s="61">
        <f t="shared" si="10"/>
        <v>5</v>
      </c>
      <c r="G326" s="8" t="s">
        <v>15</v>
      </c>
      <c r="H326" s="8"/>
      <c r="I326" s="15"/>
    </row>
    <row r="327" spans="1:9" ht="15.75" outlineLevel="1" x14ac:dyDescent="0.25">
      <c r="A327" s="17">
        <v>71</v>
      </c>
      <c r="B327" s="69" t="s">
        <v>222</v>
      </c>
      <c r="C327" s="71">
        <v>5</v>
      </c>
      <c r="D327" s="61">
        <v>15</v>
      </c>
      <c r="E327" s="61">
        <v>48.800000000000004</v>
      </c>
      <c r="F327" s="61">
        <f t="shared" si="10"/>
        <v>33.800000000000004</v>
      </c>
      <c r="G327" s="8" t="s">
        <v>15</v>
      </c>
      <c r="H327" s="8"/>
      <c r="I327" s="15"/>
    </row>
    <row r="328" spans="1:9" ht="15.75" outlineLevel="1" x14ac:dyDescent="0.25">
      <c r="A328" s="17">
        <v>72</v>
      </c>
      <c r="B328" s="69" t="s">
        <v>138</v>
      </c>
      <c r="C328" s="71">
        <v>1</v>
      </c>
      <c r="D328" s="61">
        <v>3</v>
      </c>
      <c r="E328" s="61">
        <v>9.99</v>
      </c>
      <c r="F328" s="61">
        <f t="shared" si="10"/>
        <v>6.99</v>
      </c>
      <c r="G328" s="8" t="s">
        <v>15</v>
      </c>
      <c r="H328" s="8"/>
      <c r="I328" s="15"/>
    </row>
    <row r="329" spans="1:9" ht="15.75" outlineLevel="1" x14ac:dyDescent="0.25">
      <c r="A329" s="17">
        <v>73</v>
      </c>
      <c r="B329" s="69" t="s">
        <v>223</v>
      </c>
      <c r="C329" s="70">
        <v>15</v>
      </c>
      <c r="D329" s="61">
        <v>105</v>
      </c>
      <c r="E329" s="61">
        <v>269.82</v>
      </c>
      <c r="F329" s="61">
        <f t="shared" si="10"/>
        <v>164.82</v>
      </c>
      <c r="G329" s="8" t="s">
        <v>15</v>
      </c>
      <c r="H329" s="8"/>
      <c r="I329" s="15"/>
    </row>
    <row r="330" spans="1:9" ht="15.75" outlineLevel="1" x14ac:dyDescent="0.25">
      <c r="A330" s="17">
        <v>74</v>
      </c>
      <c r="B330" s="69" t="s">
        <v>224</v>
      </c>
      <c r="C330" s="71">
        <v>3</v>
      </c>
      <c r="D330" s="61">
        <v>48</v>
      </c>
      <c r="E330" s="61">
        <v>105.55</v>
      </c>
      <c r="F330" s="61">
        <f t="shared" si="10"/>
        <v>57.55</v>
      </c>
      <c r="G330" s="8" t="s">
        <v>15</v>
      </c>
      <c r="H330" s="8"/>
      <c r="I330" s="15"/>
    </row>
    <row r="331" spans="1:9" ht="15.75" outlineLevel="1" x14ac:dyDescent="0.25">
      <c r="A331" s="17">
        <v>75</v>
      </c>
      <c r="B331" s="69" t="s">
        <v>225</v>
      </c>
      <c r="C331" s="71">
        <v>1</v>
      </c>
      <c r="D331" s="61">
        <v>35</v>
      </c>
      <c r="E331" s="61">
        <v>90.36</v>
      </c>
      <c r="F331" s="61">
        <f t="shared" si="10"/>
        <v>55.36</v>
      </c>
      <c r="G331" s="8" t="s">
        <v>15</v>
      </c>
      <c r="H331" s="8"/>
      <c r="I331" s="15"/>
    </row>
    <row r="332" spans="1:9" ht="15.75" outlineLevel="1" x14ac:dyDescent="0.25">
      <c r="A332" s="17">
        <v>76</v>
      </c>
      <c r="B332" s="69" t="s">
        <v>76</v>
      </c>
      <c r="C332" s="70">
        <v>3</v>
      </c>
      <c r="D332" s="61">
        <v>57</v>
      </c>
      <c r="E332" s="61">
        <v>88.76</v>
      </c>
      <c r="F332" s="61">
        <f t="shared" si="10"/>
        <v>31.760000000000005</v>
      </c>
      <c r="G332" s="8" t="s">
        <v>15</v>
      </c>
      <c r="H332" s="8"/>
      <c r="I332" s="15"/>
    </row>
    <row r="333" spans="1:9" ht="15.75" outlineLevel="1" x14ac:dyDescent="0.25">
      <c r="A333" s="17">
        <v>77</v>
      </c>
      <c r="B333" s="69" t="s">
        <v>226</v>
      </c>
      <c r="C333" s="70">
        <v>2</v>
      </c>
      <c r="D333" s="61">
        <v>22</v>
      </c>
      <c r="E333" s="61">
        <v>77.209999999999994</v>
      </c>
      <c r="F333" s="61">
        <f t="shared" si="10"/>
        <v>55.209999999999994</v>
      </c>
      <c r="G333" s="8" t="s">
        <v>15</v>
      </c>
      <c r="H333" s="8"/>
      <c r="I333" s="15"/>
    </row>
    <row r="334" spans="1:9" ht="15.75" outlineLevel="1" x14ac:dyDescent="0.25">
      <c r="A334" s="17">
        <v>78</v>
      </c>
      <c r="B334" s="69" t="s">
        <v>227</v>
      </c>
      <c r="C334" s="71">
        <v>1</v>
      </c>
      <c r="D334" s="61">
        <v>40</v>
      </c>
      <c r="E334" s="61">
        <v>80</v>
      </c>
      <c r="F334" s="61">
        <f t="shared" si="10"/>
        <v>40</v>
      </c>
      <c r="G334" s="8" t="s">
        <v>15</v>
      </c>
      <c r="H334" s="8"/>
      <c r="I334" s="15"/>
    </row>
    <row r="335" spans="1:9" ht="15.75" outlineLevel="1" x14ac:dyDescent="0.25">
      <c r="A335" s="17">
        <v>79</v>
      </c>
      <c r="B335" s="69" t="s">
        <v>228</v>
      </c>
      <c r="C335" s="71">
        <v>5</v>
      </c>
      <c r="D335" s="61">
        <v>80</v>
      </c>
      <c r="E335" s="61">
        <v>182.49</v>
      </c>
      <c r="F335" s="61">
        <f t="shared" si="10"/>
        <v>102.49000000000001</v>
      </c>
      <c r="G335" s="8" t="s">
        <v>15</v>
      </c>
      <c r="H335" s="8"/>
      <c r="I335" s="15"/>
    </row>
    <row r="336" spans="1:9" ht="15.75" outlineLevel="1" x14ac:dyDescent="0.25">
      <c r="A336" s="17">
        <v>80</v>
      </c>
      <c r="B336" s="69" t="s">
        <v>72</v>
      </c>
      <c r="C336" s="71">
        <v>4</v>
      </c>
      <c r="D336" s="61">
        <v>28</v>
      </c>
      <c r="E336" s="61">
        <v>76.78</v>
      </c>
      <c r="F336" s="61">
        <f t="shared" si="10"/>
        <v>48.78</v>
      </c>
      <c r="G336" s="8" t="s">
        <v>15</v>
      </c>
      <c r="H336" s="8"/>
      <c r="I336" s="15"/>
    </row>
    <row r="337" spans="1:9" ht="15.75" outlineLevel="1" x14ac:dyDescent="0.25">
      <c r="A337" s="17">
        <v>81</v>
      </c>
      <c r="B337" s="69" t="s">
        <v>131</v>
      </c>
      <c r="C337" s="71">
        <v>2</v>
      </c>
      <c r="D337" s="61">
        <v>28</v>
      </c>
      <c r="E337" s="61">
        <v>42.92</v>
      </c>
      <c r="F337" s="61">
        <f t="shared" si="10"/>
        <v>14.920000000000002</v>
      </c>
      <c r="G337" s="8" t="s">
        <v>15</v>
      </c>
      <c r="H337" s="8"/>
      <c r="I337" s="15"/>
    </row>
    <row r="338" spans="1:9" ht="15.75" outlineLevel="1" x14ac:dyDescent="0.25">
      <c r="A338" s="17">
        <v>82</v>
      </c>
      <c r="B338" s="69" t="s">
        <v>229</v>
      </c>
      <c r="C338" s="70">
        <v>1</v>
      </c>
      <c r="D338" s="61">
        <v>14</v>
      </c>
      <c r="E338" s="61">
        <v>25.6</v>
      </c>
      <c r="F338" s="61">
        <f t="shared" si="10"/>
        <v>11.600000000000001</v>
      </c>
      <c r="G338" s="8" t="s">
        <v>15</v>
      </c>
      <c r="H338" s="8"/>
      <c r="I338" s="15"/>
    </row>
    <row r="339" spans="1:9" ht="15.75" outlineLevel="1" x14ac:dyDescent="0.25">
      <c r="A339" s="17">
        <v>83</v>
      </c>
      <c r="B339" s="69" t="s">
        <v>230</v>
      </c>
      <c r="C339" s="70">
        <v>2</v>
      </c>
      <c r="D339" s="61">
        <v>4</v>
      </c>
      <c r="E339" s="61">
        <v>30.95</v>
      </c>
      <c r="F339" s="61">
        <f t="shared" si="10"/>
        <v>26.95</v>
      </c>
      <c r="G339" s="8" t="s">
        <v>15</v>
      </c>
      <c r="H339" s="8"/>
      <c r="I339" s="15"/>
    </row>
    <row r="340" spans="1:9" ht="15.75" outlineLevel="1" x14ac:dyDescent="0.25">
      <c r="A340" s="17">
        <v>84</v>
      </c>
      <c r="B340" s="69" t="s">
        <v>231</v>
      </c>
      <c r="C340" s="70">
        <v>1</v>
      </c>
      <c r="D340" s="61">
        <v>15</v>
      </c>
      <c r="E340" s="61">
        <v>20</v>
      </c>
      <c r="F340" s="61">
        <f t="shared" si="10"/>
        <v>5</v>
      </c>
      <c r="G340" s="8" t="s">
        <v>15</v>
      </c>
      <c r="H340" s="8"/>
      <c r="I340" s="15"/>
    </row>
    <row r="341" spans="1:9" ht="15.75" outlineLevel="1" x14ac:dyDescent="0.25">
      <c r="A341" s="17">
        <v>85</v>
      </c>
      <c r="B341" s="69" t="s">
        <v>232</v>
      </c>
      <c r="C341" s="71">
        <v>1</v>
      </c>
      <c r="D341" s="61">
        <v>7</v>
      </c>
      <c r="E341" s="61">
        <v>21.21</v>
      </c>
      <c r="F341" s="61">
        <f t="shared" si="10"/>
        <v>14.21</v>
      </c>
      <c r="G341" s="8" t="s">
        <v>15</v>
      </c>
      <c r="H341" s="8"/>
      <c r="I341" s="15"/>
    </row>
    <row r="342" spans="1:9" ht="15.75" outlineLevel="1" x14ac:dyDescent="0.25">
      <c r="A342" s="17">
        <v>86</v>
      </c>
      <c r="B342" s="69" t="s">
        <v>89</v>
      </c>
      <c r="C342" s="70">
        <v>1</v>
      </c>
      <c r="D342" s="61">
        <v>5</v>
      </c>
      <c r="E342" s="61">
        <v>11.5</v>
      </c>
      <c r="F342" s="61">
        <f t="shared" si="10"/>
        <v>6.5</v>
      </c>
      <c r="G342" s="8" t="s">
        <v>15</v>
      </c>
      <c r="H342" s="8"/>
      <c r="I342" s="15"/>
    </row>
    <row r="343" spans="1:9" ht="15.75" outlineLevel="1" x14ac:dyDescent="0.25">
      <c r="A343" s="17">
        <v>87</v>
      </c>
      <c r="B343" s="69" t="s">
        <v>233</v>
      </c>
      <c r="C343" s="71">
        <v>40</v>
      </c>
      <c r="D343" s="61">
        <v>16.666666666666668</v>
      </c>
      <c r="E343" s="61">
        <v>110.42</v>
      </c>
      <c r="F343" s="61">
        <f t="shared" si="10"/>
        <v>93.75333333333333</v>
      </c>
      <c r="G343" s="8" t="s">
        <v>15</v>
      </c>
      <c r="H343" s="8"/>
      <c r="I343" s="15"/>
    </row>
    <row r="344" spans="1:9" ht="15.75" outlineLevel="1" x14ac:dyDescent="0.25">
      <c r="A344" s="17">
        <v>88</v>
      </c>
      <c r="B344" s="69" t="s">
        <v>234</v>
      </c>
      <c r="C344" s="71">
        <v>1</v>
      </c>
      <c r="D344" s="61">
        <v>3</v>
      </c>
      <c r="E344" s="61">
        <v>8.65</v>
      </c>
      <c r="F344" s="61">
        <f t="shared" si="10"/>
        <v>5.65</v>
      </c>
      <c r="G344" s="8" t="s">
        <v>15</v>
      </c>
      <c r="H344" s="8"/>
      <c r="I344" s="15"/>
    </row>
    <row r="345" spans="1:9" ht="15.75" outlineLevel="1" x14ac:dyDescent="0.25">
      <c r="A345" s="17">
        <v>89</v>
      </c>
      <c r="B345" s="69" t="s">
        <v>205</v>
      </c>
      <c r="C345" s="71">
        <v>2</v>
      </c>
      <c r="D345" s="61">
        <v>20</v>
      </c>
      <c r="E345" s="61">
        <v>40</v>
      </c>
      <c r="F345" s="61">
        <f t="shared" si="10"/>
        <v>20</v>
      </c>
      <c r="G345" s="8" t="s">
        <v>15</v>
      </c>
      <c r="H345" s="8"/>
      <c r="I345" s="15"/>
    </row>
    <row r="346" spans="1:9" ht="15.75" outlineLevel="1" x14ac:dyDescent="0.25">
      <c r="A346" s="17">
        <v>90</v>
      </c>
      <c r="B346" s="69" t="s">
        <v>235</v>
      </c>
      <c r="C346" s="71">
        <v>1</v>
      </c>
      <c r="D346" s="61">
        <v>1</v>
      </c>
      <c r="E346" s="61">
        <v>2.1800000000000002</v>
      </c>
      <c r="F346" s="61">
        <f t="shared" si="10"/>
        <v>1.1800000000000002</v>
      </c>
      <c r="G346" s="8" t="s">
        <v>15</v>
      </c>
      <c r="H346" s="8"/>
      <c r="I346" s="15"/>
    </row>
    <row r="347" spans="1:9" ht="15.75" outlineLevel="1" x14ac:dyDescent="0.25">
      <c r="A347" s="17"/>
      <c r="B347" s="10"/>
      <c r="C347" s="14"/>
      <c r="D347" s="61"/>
      <c r="E347" s="61"/>
      <c r="F347" s="61"/>
      <c r="G347" s="8"/>
      <c r="H347" s="8"/>
      <c r="I347" s="15"/>
    </row>
    <row r="348" spans="1:9" ht="15.75" outlineLevel="1" x14ac:dyDescent="0.25">
      <c r="A348" s="17"/>
      <c r="B348" s="10"/>
      <c r="C348" s="14"/>
      <c r="D348" s="61"/>
      <c r="E348" s="61"/>
      <c r="F348" s="61"/>
      <c r="G348" s="8"/>
      <c r="H348" s="8"/>
      <c r="I348" s="15"/>
    </row>
    <row r="349" spans="1:9" ht="21" x14ac:dyDescent="0.25">
      <c r="A349" s="186" t="s">
        <v>46</v>
      </c>
      <c r="B349" s="187"/>
      <c r="C349" s="188"/>
      <c r="D349" s="72">
        <f>SUM(D350:D412)</f>
        <v>2899.04</v>
      </c>
      <c r="E349" s="72">
        <f>SUM(E350:E412)</f>
        <v>6008.82</v>
      </c>
      <c r="F349" s="72">
        <f>SUM(F350:F412)</f>
        <v>3109.7799999999988</v>
      </c>
      <c r="G349" s="73">
        <f>SUM(C350:C412)</f>
        <v>292</v>
      </c>
      <c r="H349" s="74">
        <f>G349-I349</f>
        <v>278</v>
      </c>
      <c r="I349" s="73">
        <f>COUNTIF(H350:H412,"bsb")</f>
        <v>14</v>
      </c>
    </row>
    <row r="350" spans="1:9" outlineLevel="1" x14ac:dyDescent="0.25">
      <c r="A350" s="75">
        <v>38</v>
      </c>
      <c r="B350" s="44" t="s">
        <v>14</v>
      </c>
      <c r="C350" s="76">
        <v>1</v>
      </c>
      <c r="D350" s="64">
        <v>30</v>
      </c>
      <c r="E350" s="64">
        <v>80</v>
      </c>
      <c r="F350" s="64">
        <f t="shared" ref="F350:F358" si="11">SUM(E350-D350)</f>
        <v>50</v>
      </c>
      <c r="G350" s="62" t="s">
        <v>15</v>
      </c>
      <c r="H350" s="62" t="s">
        <v>113</v>
      </c>
      <c r="I350" s="77"/>
    </row>
    <row r="351" spans="1:9" outlineLevel="1" x14ac:dyDescent="0.25">
      <c r="A351" s="75">
        <v>43</v>
      </c>
      <c r="B351" s="78" t="s">
        <v>236</v>
      </c>
      <c r="C351" s="76">
        <v>1</v>
      </c>
      <c r="D351" s="64">
        <v>5.5</v>
      </c>
      <c r="E351" s="64">
        <v>15</v>
      </c>
      <c r="F351" s="64">
        <f t="shared" si="11"/>
        <v>9.5</v>
      </c>
      <c r="G351" s="62" t="s">
        <v>15</v>
      </c>
      <c r="H351" s="62" t="s">
        <v>113</v>
      </c>
      <c r="I351" s="77"/>
    </row>
    <row r="352" spans="1:9" outlineLevel="1" x14ac:dyDescent="0.25">
      <c r="A352" s="75">
        <v>44</v>
      </c>
      <c r="B352" s="78" t="s">
        <v>237</v>
      </c>
      <c r="C352" s="76">
        <v>1</v>
      </c>
      <c r="D352" s="64">
        <v>70</v>
      </c>
      <c r="E352" s="64">
        <v>100</v>
      </c>
      <c r="F352" s="64">
        <f t="shared" si="11"/>
        <v>30</v>
      </c>
      <c r="G352" s="62" t="s">
        <v>15</v>
      </c>
      <c r="H352" s="62" t="s">
        <v>113</v>
      </c>
      <c r="I352" s="77"/>
    </row>
    <row r="353" spans="1:9" outlineLevel="1" x14ac:dyDescent="0.25">
      <c r="A353" s="75">
        <v>45</v>
      </c>
      <c r="B353" s="78" t="s">
        <v>238</v>
      </c>
      <c r="C353" s="76">
        <v>1</v>
      </c>
      <c r="D353" s="64">
        <v>30</v>
      </c>
      <c r="E353" s="64">
        <v>50</v>
      </c>
      <c r="F353" s="64">
        <f t="shared" si="11"/>
        <v>20</v>
      </c>
      <c r="G353" s="62" t="s">
        <v>15</v>
      </c>
      <c r="H353" s="62" t="s">
        <v>113</v>
      </c>
      <c r="I353" s="77"/>
    </row>
    <row r="354" spans="1:9" outlineLevel="1" x14ac:dyDescent="0.25">
      <c r="A354" s="75">
        <v>46</v>
      </c>
      <c r="B354" s="78" t="s">
        <v>239</v>
      </c>
      <c r="C354" s="76">
        <v>1</v>
      </c>
      <c r="D354" s="64">
        <v>18</v>
      </c>
      <c r="E354" s="64">
        <v>40</v>
      </c>
      <c r="F354" s="64">
        <f t="shared" si="11"/>
        <v>22</v>
      </c>
      <c r="G354" s="62" t="s">
        <v>15</v>
      </c>
      <c r="H354" s="62" t="s">
        <v>113</v>
      </c>
      <c r="I354" s="77"/>
    </row>
    <row r="355" spans="1:9" outlineLevel="1" x14ac:dyDescent="0.25">
      <c r="A355" s="75">
        <v>47</v>
      </c>
      <c r="B355" s="78" t="s">
        <v>240</v>
      </c>
      <c r="C355" s="76">
        <v>1</v>
      </c>
      <c r="D355" s="64">
        <v>30</v>
      </c>
      <c r="E355" s="64">
        <v>60</v>
      </c>
      <c r="F355" s="64">
        <f t="shared" si="11"/>
        <v>30</v>
      </c>
      <c r="G355" s="62" t="s">
        <v>15</v>
      </c>
      <c r="H355" s="62" t="s">
        <v>113</v>
      </c>
      <c r="I355" s="77"/>
    </row>
    <row r="356" spans="1:9" outlineLevel="1" x14ac:dyDescent="0.25">
      <c r="A356" s="75">
        <v>48</v>
      </c>
      <c r="B356" s="78" t="s">
        <v>240</v>
      </c>
      <c r="C356" s="76">
        <v>1</v>
      </c>
      <c r="D356" s="64">
        <v>30</v>
      </c>
      <c r="E356" s="64">
        <v>60</v>
      </c>
      <c r="F356" s="64">
        <f t="shared" si="11"/>
        <v>30</v>
      </c>
      <c r="G356" s="62" t="s">
        <v>15</v>
      </c>
      <c r="H356" s="62" t="s">
        <v>113</v>
      </c>
      <c r="I356" s="77"/>
    </row>
    <row r="357" spans="1:9" outlineLevel="1" x14ac:dyDescent="0.25">
      <c r="A357" s="75">
        <v>49</v>
      </c>
      <c r="B357" s="78" t="s">
        <v>240</v>
      </c>
      <c r="C357" s="76">
        <v>1</v>
      </c>
      <c r="D357" s="64">
        <v>30</v>
      </c>
      <c r="E357" s="64">
        <v>60</v>
      </c>
      <c r="F357" s="64">
        <f t="shared" si="11"/>
        <v>30</v>
      </c>
      <c r="G357" s="62" t="s">
        <v>15</v>
      </c>
      <c r="H357" s="62" t="s">
        <v>113</v>
      </c>
      <c r="I357" s="77"/>
    </row>
    <row r="358" spans="1:9" outlineLevel="1" x14ac:dyDescent="0.25">
      <c r="A358" s="75">
        <v>50</v>
      </c>
      <c r="B358" s="78" t="s">
        <v>240</v>
      </c>
      <c r="C358" s="76">
        <v>1</v>
      </c>
      <c r="D358" s="64">
        <v>30</v>
      </c>
      <c r="E358" s="64">
        <v>60</v>
      </c>
      <c r="F358" s="64">
        <f t="shared" si="11"/>
        <v>30</v>
      </c>
      <c r="G358" s="62" t="s">
        <v>15</v>
      </c>
      <c r="H358" s="62" t="s">
        <v>113</v>
      </c>
      <c r="I358" s="77"/>
    </row>
    <row r="359" spans="1:9" outlineLevel="1" x14ac:dyDescent="0.25">
      <c r="A359" s="75">
        <v>51</v>
      </c>
      <c r="B359" s="44" t="s">
        <v>14</v>
      </c>
      <c r="C359" s="76">
        <v>1</v>
      </c>
      <c r="D359" s="64">
        <v>30</v>
      </c>
      <c r="E359" s="64">
        <v>80</v>
      </c>
      <c r="F359" s="64">
        <f>SUM(E359-D359)</f>
        <v>50</v>
      </c>
      <c r="G359" s="62" t="s">
        <v>15</v>
      </c>
      <c r="H359" s="62" t="s">
        <v>113</v>
      </c>
      <c r="I359" s="77" t="s">
        <v>241</v>
      </c>
    </row>
    <row r="360" spans="1:9" outlineLevel="1" x14ac:dyDescent="0.25">
      <c r="A360" s="75">
        <v>52</v>
      </c>
      <c r="B360" s="44" t="s">
        <v>14</v>
      </c>
      <c r="C360" s="76">
        <v>1</v>
      </c>
      <c r="D360" s="64">
        <v>30</v>
      </c>
      <c r="E360" s="64">
        <v>80</v>
      </c>
      <c r="F360" s="64">
        <f>SUM(E360-D360)</f>
        <v>50</v>
      </c>
      <c r="G360" s="62" t="s">
        <v>15</v>
      </c>
      <c r="H360" s="62" t="s">
        <v>113</v>
      </c>
      <c r="I360" s="77" t="s">
        <v>241</v>
      </c>
    </row>
    <row r="361" spans="1:9" outlineLevel="1" x14ac:dyDescent="0.25">
      <c r="A361" s="75">
        <v>53</v>
      </c>
      <c r="B361" s="78" t="s">
        <v>242</v>
      </c>
      <c r="C361" s="76">
        <v>1</v>
      </c>
      <c r="D361" s="64">
        <v>7</v>
      </c>
      <c r="E361" s="64">
        <v>20</v>
      </c>
      <c r="F361" s="64">
        <f>SUM(E361-D361)</f>
        <v>13</v>
      </c>
      <c r="G361" s="62" t="s">
        <v>15</v>
      </c>
      <c r="H361" s="62" t="s">
        <v>113</v>
      </c>
      <c r="I361" s="77"/>
    </row>
    <row r="362" spans="1:9" outlineLevel="1" x14ac:dyDescent="0.25">
      <c r="A362" s="75">
        <v>54</v>
      </c>
      <c r="B362" s="78" t="s">
        <v>242</v>
      </c>
      <c r="C362" s="76">
        <v>1</v>
      </c>
      <c r="D362" s="64">
        <v>7</v>
      </c>
      <c r="E362" s="64">
        <v>20</v>
      </c>
      <c r="F362" s="64">
        <f>SUM(E362-D362)</f>
        <v>13</v>
      </c>
      <c r="G362" s="62" t="s">
        <v>15</v>
      </c>
      <c r="H362" s="62" t="s">
        <v>113</v>
      </c>
      <c r="I362" s="77"/>
    </row>
    <row r="363" spans="1:9" outlineLevel="1" x14ac:dyDescent="0.25">
      <c r="A363" s="75">
        <v>55</v>
      </c>
      <c r="B363" s="78" t="s">
        <v>243</v>
      </c>
      <c r="C363" s="76">
        <v>1</v>
      </c>
      <c r="D363" s="64">
        <v>10</v>
      </c>
      <c r="E363" s="64">
        <v>35</v>
      </c>
      <c r="F363" s="64">
        <f>SUM(E363-D363)</f>
        <v>25</v>
      </c>
      <c r="G363" s="62" t="s">
        <v>15</v>
      </c>
      <c r="H363" s="62" t="s">
        <v>113</v>
      </c>
      <c r="I363" s="77"/>
    </row>
    <row r="364" spans="1:9" outlineLevel="1" x14ac:dyDescent="0.25">
      <c r="A364" s="75">
        <v>56</v>
      </c>
      <c r="B364" s="79" t="s">
        <v>244</v>
      </c>
      <c r="C364" s="75">
        <v>1</v>
      </c>
      <c r="D364" s="80">
        <v>14</v>
      </c>
      <c r="E364" s="64">
        <v>20</v>
      </c>
      <c r="F364" s="64">
        <f>E364-D364</f>
        <v>6</v>
      </c>
      <c r="G364" s="62" t="s">
        <v>15</v>
      </c>
      <c r="H364" s="62"/>
      <c r="I364" s="77"/>
    </row>
    <row r="365" spans="1:9" outlineLevel="1" x14ac:dyDescent="0.25">
      <c r="A365" s="75">
        <v>57</v>
      </c>
      <c r="B365" s="79" t="s">
        <v>245</v>
      </c>
      <c r="C365" s="75">
        <v>3</v>
      </c>
      <c r="D365" s="80">
        <v>54</v>
      </c>
      <c r="E365" s="64">
        <v>120.01</v>
      </c>
      <c r="F365" s="64">
        <f t="shared" ref="F365:F412" si="12">E365-D365</f>
        <v>66.010000000000005</v>
      </c>
      <c r="G365" s="62" t="s">
        <v>15</v>
      </c>
      <c r="H365" s="62"/>
      <c r="I365" s="77"/>
    </row>
    <row r="366" spans="1:9" outlineLevel="1" x14ac:dyDescent="0.25">
      <c r="A366" s="75">
        <v>58</v>
      </c>
      <c r="B366" s="79" t="s">
        <v>93</v>
      </c>
      <c r="C366" s="75">
        <v>4</v>
      </c>
      <c r="D366" s="80">
        <v>10</v>
      </c>
      <c r="E366" s="64">
        <v>26.25</v>
      </c>
      <c r="F366" s="64">
        <f t="shared" si="12"/>
        <v>16.25</v>
      </c>
      <c r="G366" s="62" t="s">
        <v>15</v>
      </c>
      <c r="H366" s="62"/>
      <c r="I366" s="77"/>
    </row>
    <row r="367" spans="1:9" outlineLevel="1" x14ac:dyDescent="0.25">
      <c r="A367" s="75">
        <v>59</v>
      </c>
      <c r="B367" s="79" t="s">
        <v>216</v>
      </c>
      <c r="C367" s="75">
        <v>1</v>
      </c>
      <c r="D367" s="80">
        <v>30</v>
      </c>
      <c r="E367" s="64">
        <v>66.069999999999993</v>
      </c>
      <c r="F367" s="64">
        <f t="shared" si="12"/>
        <v>36.069999999999993</v>
      </c>
      <c r="G367" s="62" t="s">
        <v>15</v>
      </c>
      <c r="H367" s="62"/>
      <c r="I367" s="77"/>
    </row>
    <row r="368" spans="1:9" outlineLevel="1" x14ac:dyDescent="0.25">
      <c r="A368" s="75">
        <v>60</v>
      </c>
      <c r="B368" s="79" t="s">
        <v>246</v>
      </c>
      <c r="C368" s="75">
        <v>2</v>
      </c>
      <c r="D368" s="80">
        <v>5</v>
      </c>
      <c r="E368" s="64">
        <v>10.95</v>
      </c>
      <c r="F368" s="64">
        <f t="shared" si="12"/>
        <v>5.9499999999999993</v>
      </c>
      <c r="G368" s="62" t="s">
        <v>15</v>
      </c>
      <c r="H368" s="62"/>
      <c r="I368" s="77"/>
    </row>
    <row r="369" spans="1:9" outlineLevel="1" x14ac:dyDescent="0.25">
      <c r="A369" s="75">
        <v>61</v>
      </c>
      <c r="B369" s="79" t="s">
        <v>217</v>
      </c>
      <c r="C369" s="75">
        <v>77</v>
      </c>
      <c r="D369" s="80">
        <v>100.10000000000001</v>
      </c>
      <c r="E369" s="64">
        <v>201.82</v>
      </c>
      <c r="F369" s="64">
        <f t="shared" si="12"/>
        <v>101.71999999999998</v>
      </c>
      <c r="G369" s="62" t="s">
        <v>15</v>
      </c>
      <c r="H369" s="62"/>
      <c r="I369" s="77"/>
    </row>
    <row r="370" spans="1:9" outlineLevel="1" x14ac:dyDescent="0.25">
      <c r="A370" s="75">
        <v>62</v>
      </c>
      <c r="B370" s="79" t="s">
        <v>181</v>
      </c>
      <c r="C370" s="75">
        <v>7</v>
      </c>
      <c r="D370" s="80">
        <v>7</v>
      </c>
      <c r="E370" s="64">
        <v>14.96</v>
      </c>
      <c r="F370" s="64">
        <f t="shared" si="12"/>
        <v>7.9600000000000009</v>
      </c>
      <c r="G370" s="62" t="s">
        <v>15</v>
      </c>
      <c r="H370" s="62"/>
      <c r="I370" s="77"/>
    </row>
    <row r="371" spans="1:9" outlineLevel="1" x14ac:dyDescent="0.25">
      <c r="A371" s="75">
        <v>63</v>
      </c>
      <c r="B371" s="79" t="s">
        <v>73</v>
      </c>
      <c r="C371" s="75">
        <v>7</v>
      </c>
      <c r="D371" s="80">
        <v>7</v>
      </c>
      <c r="E371" s="64">
        <v>20.350000000000001</v>
      </c>
      <c r="F371" s="64">
        <f t="shared" si="12"/>
        <v>13.350000000000001</v>
      </c>
      <c r="G371" s="62" t="s">
        <v>15</v>
      </c>
      <c r="H371" s="62"/>
      <c r="I371" s="77"/>
    </row>
    <row r="372" spans="1:9" outlineLevel="1" x14ac:dyDescent="0.25">
      <c r="A372" s="75">
        <v>64</v>
      </c>
      <c r="B372" s="79" t="s">
        <v>247</v>
      </c>
      <c r="C372" s="75">
        <v>1</v>
      </c>
      <c r="D372" s="80">
        <v>40</v>
      </c>
      <c r="E372" s="64">
        <v>80</v>
      </c>
      <c r="F372" s="64">
        <f t="shared" si="12"/>
        <v>40</v>
      </c>
      <c r="G372" s="62" t="s">
        <v>15</v>
      </c>
      <c r="H372" s="62"/>
      <c r="I372" s="77"/>
    </row>
    <row r="373" spans="1:9" outlineLevel="1" x14ac:dyDescent="0.25">
      <c r="A373" s="75">
        <v>65</v>
      </c>
      <c r="B373" s="79" t="s">
        <v>198</v>
      </c>
      <c r="C373" s="75">
        <v>45</v>
      </c>
      <c r="D373" s="80">
        <v>72</v>
      </c>
      <c r="E373" s="64">
        <v>127.73</v>
      </c>
      <c r="F373" s="64">
        <f t="shared" si="12"/>
        <v>55.730000000000004</v>
      </c>
      <c r="G373" s="62" t="s">
        <v>15</v>
      </c>
      <c r="H373" s="62"/>
      <c r="I373" s="77"/>
    </row>
    <row r="374" spans="1:9" outlineLevel="1" x14ac:dyDescent="0.25">
      <c r="A374" s="75">
        <v>66</v>
      </c>
      <c r="B374" s="79" t="s">
        <v>126</v>
      </c>
      <c r="C374" s="75">
        <v>1</v>
      </c>
      <c r="D374" s="80">
        <v>9.99</v>
      </c>
      <c r="E374" s="64">
        <v>20</v>
      </c>
      <c r="F374" s="64">
        <f t="shared" si="12"/>
        <v>10.01</v>
      </c>
      <c r="G374" s="62" t="s">
        <v>15</v>
      </c>
      <c r="H374" s="62"/>
      <c r="I374" s="77"/>
    </row>
    <row r="375" spans="1:9" outlineLevel="1" x14ac:dyDescent="0.25">
      <c r="A375" s="75">
        <v>67</v>
      </c>
      <c r="B375" s="79" t="s">
        <v>248</v>
      </c>
      <c r="C375" s="75">
        <v>1</v>
      </c>
      <c r="D375" s="80">
        <v>10</v>
      </c>
      <c r="E375" s="64">
        <v>59.41</v>
      </c>
      <c r="F375" s="64">
        <f t="shared" si="12"/>
        <v>49.41</v>
      </c>
      <c r="G375" s="62" t="s">
        <v>15</v>
      </c>
      <c r="H375" s="62"/>
      <c r="I375" s="77"/>
    </row>
    <row r="376" spans="1:9" outlineLevel="1" x14ac:dyDescent="0.25">
      <c r="A376" s="75">
        <v>68</v>
      </c>
      <c r="B376" s="79" t="s">
        <v>249</v>
      </c>
      <c r="C376" s="75">
        <v>2</v>
      </c>
      <c r="D376" s="80">
        <v>70</v>
      </c>
      <c r="E376" s="64">
        <v>179.75</v>
      </c>
      <c r="F376" s="64">
        <f t="shared" si="12"/>
        <v>109.75</v>
      </c>
      <c r="G376" s="62" t="s">
        <v>15</v>
      </c>
      <c r="H376" s="62"/>
      <c r="I376" s="77"/>
    </row>
    <row r="377" spans="1:9" outlineLevel="1" x14ac:dyDescent="0.25">
      <c r="A377" s="75">
        <v>69</v>
      </c>
      <c r="B377" s="79" t="s">
        <v>250</v>
      </c>
      <c r="C377" s="75">
        <v>1</v>
      </c>
      <c r="D377" s="80">
        <v>8</v>
      </c>
      <c r="E377" s="64">
        <v>16.72</v>
      </c>
      <c r="F377" s="64">
        <f t="shared" si="12"/>
        <v>8.7199999999999989</v>
      </c>
      <c r="G377" s="62" t="s">
        <v>15</v>
      </c>
      <c r="H377" s="62"/>
      <c r="I377" s="77"/>
    </row>
    <row r="378" spans="1:9" outlineLevel="1" x14ac:dyDescent="0.25">
      <c r="A378" s="75">
        <v>70</v>
      </c>
      <c r="B378" s="79" t="s">
        <v>179</v>
      </c>
      <c r="C378" s="75">
        <v>1</v>
      </c>
      <c r="D378" s="80">
        <v>2</v>
      </c>
      <c r="E378" s="64">
        <v>5.5</v>
      </c>
      <c r="F378" s="64">
        <f t="shared" si="12"/>
        <v>3.5</v>
      </c>
      <c r="G378" s="62" t="s">
        <v>15</v>
      </c>
      <c r="H378" s="62"/>
      <c r="I378" s="77"/>
    </row>
    <row r="379" spans="1:9" outlineLevel="1" x14ac:dyDescent="0.25">
      <c r="A379" s="75">
        <v>71</v>
      </c>
      <c r="B379" s="79" t="s">
        <v>199</v>
      </c>
      <c r="C379" s="75">
        <v>1</v>
      </c>
      <c r="D379" s="80">
        <v>6</v>
      </c>
      <c r="E379" s="64">
        <v>13.64</v>
      </c>
      <c r="F379" s="64">
        <f t="shared" si="12"/>
        <v>7.6400000000000006</v>
      </c>
      <c r="G379" s="62" t="s">
        <v>15</v>
      </c>
      <c r="H379" s="62"/>
      <c r="I379" s="77"/>
    </row>
    <row r="380" spans="1:9" outlineLevel="1" x14ac:dyDescent="0.25">
      <c r="A380" s="75">
        <v>72</v>
      </c>
      <c r="B380" s="79" t="s">
        <v>83</v>
      </c>
      <c r="C380" s="75">
        <v>2</v>
      </c>
      <c r="D380" s="80">
        <v>50</v>
      </c>
      <c r="E380" s="64">
        <v>90</v>
      </c>
      <c r="F380" s="64">
        <f t="shared" si="12"/>
        <v>40</v>
      </c>
      <c r="G380" s="62" t="s">
        <v>15</v>
      </c>
      <c r="H380" s="62"/>
      <c r="I380" s="77"/>
    </row>
    <row r="381" spans="1:9" outlineLevel="1" x14ac:dyDescent="0.25">
      <c r="A381" s="75">
        <v>73</v>
      </c>
      <c r="B381" s="79" t="s">
        <v>200</v>
      </c>
      <c r="C381" s="75">
        <v>14</v>
      </c>
      <c r="D381" s="80">
        <v>28</v>
      </c>
      <c r="E381" s="64">
        <v>255.23</v>
      </c>
      <c r="F381" s="64">
        <f t="shared" si="12"/>
        <v>227.23</v>
      </c>
      <c r="G381" s="62" t="s">
        <v>15</v>
      </c>
      <c r="H381" s="62"/>
      <c r="I381" s="77"/>
    </row>
    <row r="382" spans="1:9" outlineLevel="1" x14ac:dyDescent="0.25">
      <c r="A382" s="75">
        <v>74</v>
      </c>
      <c r="B382" s="79" t="s">
        <v>251</v>
      </c>
      <c r="C382" s="75">
        <v>3</v>
      </c>
      <c r="D382" s="80">
        <v>15</v>
      </c>
      <c r="E382" s="64">
        <v>28.56</v>
      </c>
      <c r="F382" s="64">
        <f t="shared" si="12"/>
        <v>13.559999999999999</v>
      </c>
      <c r="G382" s="62" t="s">
        <v>15</v>
      </c>
      <c r="H382" s="62"/>
      <c r="I382" s="77"/>
    </row>
    <row r="383" spans="1:9" outlineLevel="1" x14ac:dyDescent="0.25">
      <c r="A383" s="75">
        <v>75</v>
      </c>
      <c r="B383" s="79" t="s">
        <v>252</v>
      </c>
      <c r="C383" s="75">
        <v>1</v>
      </c>
      <c r="D383" s="80">
        <v>0.9</v>
      </c>
      <c r="E383" s="64">
        <v>2.21</v>
      </c>
      <c r="F383" s="64">
        <f t="shared" si="12"/>
        <v>1.31</v>
      </c>
      <c r="G383" s="62" t="s">
        <v>15</v>
      </c>
      <c r="H383" s="62"/>
      <c r="I383" s="77"/>
    </row>
    <row r="384" spans="1:9" outlineLevel="1" x14ac:dyDescent="0.25">
      <c r="A384" s="75">
        <v>76</v>
      </c>
      <c r="B384" s="79" t="s">
        <v>98</v>
      </c>
      <c r="C384" s="75">
        <v>2</v>
      </c>
      <c r="D384" s="80">
        <v>1.8</v>
      </c>
      <c r="E384" s="64">
        <v>3.98</v>
      </c>
      <c r="F384" s="64">
        <f t="shared" si="12"/>
        <v>2.1799999999999997</v>
      </c>
      <c r="G384" s="62" t="s">
        <v>15</v>
      </c>
      <c r="H384" s="62"/>
      <c r="I384" s="77"/>
    </row>
    <row r="385" spans="1:9" outlineLevel="1" x14ac:dyDescent="0.25">
      <c r="A385" s="75">
        <v>77</v>
      </c>
      <c r="B385" s="79" t="s">
        <v>253</v>
      </c>
      <c r="C385" s="75">
        <v>1</v>
      </c>
      <c r="D385" s="80">
        <v>12</v>
      </c>
      <c r="E385" s="64">
        <v>21.63</v>
      </c>
      <c r="F385" s="64">
        <f t="shared" si="12"/>
        <v>9.629999999999999</v>
      </c>
      <c r="G385" s="62" t="s">
        <v>15</v>
      </c>
      <c r="H385" s="62"/>
      <c r="I385" s="77"/>
    </row>
    <row r="386" spans="1:9" outlineLevel="1" x14ac:dyDescent="0.25">
      <c r="A386" s="75">
        <v>78</v>
      </c>
      <c r="B386" s="79" t="s">
        <v>77</v>
      </c>
      <c r="C386" s="75">
        <v>33</v>
      </c>
      <c r="D386" s="80">
        <v>1221</v>
      </c>
      <c r="E386" s="64">
        <v>2284.41</v>
      </c>
      <c r="F386" s="64">
        <f t="shared" si="12"/>
        <v>1063.4099999999999</v>
      </c>
      <c r="G386" s="62" t="s">
        <v>15</v>
      </c>
      <c r="H386" s="62"/>
      <c r="I386" s="77"/>
    </row>
    <row r="387" spans="1:9" outlineLevel="1" x14ac:dyDescent="0.25">
      <c r="A387" s="75">
        <v>79</v>
      </c>
      <c r="B387" s="79" t="s">
        <v>174</v>
      </c>
      <c r="C387" s="75">
        <v>1</v>
      </c>
      <c r="D387" s="80">
        <v>10</v>
      </c>
      <c r="E387" s="64">
        <v>20.58</v>
      </c>
      <c r="F387" s="64">
        <f t="shared" si="12"/>
        <v>10.579999999999998</v>
      </c>
      <c r="G387" s="62" t="s">
        <v>15</v>
      </c>
      <c r="H387" s="62"/>
      <c r="I387" s="77"/>
    </row>
    <row r="388" spans="1:9" outlineLevel="1" x14ac:dyDescent="0.25">
      <c r="A388" s="75">
        <v>80</v>
      </c>
      <c r="B388" s="79" t="s">
        <v>221</v>
      </c>
      <c r="C388" s="75">
        <v>1</v>
      </c>
      <c r="D388" s="80">
        <v>7</v>
      </c>
      <c r="E388" s="64">
        <v>25.47</v>
      </c>
      <c r="F388" s="64">
        <f t="shared" si="12"/>
        <v>18.47</v>
      </c>
      <c r="G388" s="62" t="s">
        <v>15</v>
      </c>
      <c r="H388" s="62"/>
      <c r="I388" s="77"/>
    </row>
    <row r="389" spans="1:9" outlineLevel="1" x14ac:dyDescent="0.25">
      <c r="A389" s="75">
        <v>81</v>
      </c>
      <c r="B389" s="79" t="s">
        <v>85</v>
      </c>
      <c r="C389" s="75">
        <v>16</v>
      </c>
      <c r="D389" s="80">
        <v>352</v>
      </c>
      <c r="E389" s="64">
        <v>721.03</v>
      </c>
      <c r="F389" s="64">
        <f t="shared" si="12"/>
        <v>369.03</v>
      </c>
      <c r="G389" s="62" t="s">
        <v>15</v>
      </c>
      <c r="H389" s="62"/>
      <c r="I389" s="77"/>
    </row>
    <row r="390" spans="1:9" outlineLevel="1" x14ac:dyDescent="0.25">
      <c r="A390" s="75">
        <v>82</v>
      </c>
      <c r="B390" s="79" t="s">
        <v>140</v>
      </c>
      <c r="C390" s="75">
        <v>1</v>
      </c>
      <c r="D390" s="80">
        <v>2.5</v>
      </c>
      <c r="E390" s="64">
        <v>10.4</v>
      </c>
      <c r="F390" s="64">
        <f t="shared" si="12"/>
        <v>7.9</v>
      </c>
      <c r="G390" s="62" t="s">
        <v>15</v>
      </c>
      <c r="H390" s="62"/>
      <c r="I390" s="77"/>
    </row>
    <row r="391" spans="1:9" outlineLevel="1" x14ac:dyDescent="0.25">
      <c r="A391" s="75">
        <v>83</v>
      </c>
      <c r="B391" s="79" t="s">
        <v>254</v>
      </c>
      <c r="C391" s="75">
        <v>1</v>
      </c>
      <c r="D391" s="80">
        <v>3</v>
      </c>
      <c r="E391" s="64">
        <v>5.21</v>
      </c>
      <c r="F391" s="64">
        <f t="shared" si="12"/>
        <v>2.21</v>
      </c>
      <c r="G391" s="62" t="s">
        <v>15</v>
      </c>
      <c r="H391" s="62"/>
      <c r="I391" s="77"/>
    </row>
    <row r="392" spans="1:9" outlineLevel="1" x14ac:dyDescent="0.25">
      <c r="A392" s="75">
        <v>84</v>
      </c>
      <c r="B392" s="79" t="s">
        <v>255</v>
      </c>
      <c r="C392" s="75">
        <v>1</v>
      </c>
      <c r="D392" s="80">
        <v>10</v>
      </c>
      <c r="E392" s="64">
        <v>19.989999999999998</v>
      </c>
      <c r="F392" s="64">
        <f t="shared" si="12"/>
        <v>9.9899999999999984</v>
      </c>
      <c r="G392" s="62" t="s">
        <v>15</v>
      </c>
      <c r="H392" s="62"/>
      <c r="I392" s="77"/>
    </row>
    <row r="393" spans="1:9" outlineLevel="1" x14ac:dyDescent="0.25">
      <c r="A393" s="75">
        <v>85</v>
      </c>
      <c r="B393" s="79" t="s">
        <v>171</v>
      </c>
      <c r="C393" s="75">
        <v>1</v>
      </c>
      <c r="D393" s="80">
        <v>2</v>
      </c>
      <c r="E393" s="64">
        <v>13</v>
      </c>
      <c r="F393" s="64">
        <f t="shared" si="12"/>
        <v>11</v>
      </c>
      <c r="G393" s="62" t="s">
        <v>15</v>
      </c>
      <c r="H393" s="62"/>
      <c r="I393" s="77"/>
    </row>
    <row r="394" spans="1:9" outlineLevel="1" x14ac:dyDescent="0.25">
      <c r="A394" s="75">
        <v>86</v>
      </c>
      <c r="B394" s="79" t="s">
        <v>223</v>
      </c>
      <c r="C394" s="75">
        <v>3</v>
      </c>
      <c r="D394" s="80">
        <v>24</v>
      </c>
      <c r="E394" s="64">
        <v>49.44</v>
      </c>
      <c r="F394" s="64">
        <f t="shared" si="12"/>
        <v>25.439999999999998</v>
      </c>
      <c r="G394" s="62" t="s">
        <v>15</v>
      </c>
      <c r="H394" s="62"/>
      <c r="I394" s="77"/>
    </row>
    <row r="395" spans="1:9" outlineLevel="1" x14ac:dyDescent="0.25">
      <c r="A395" s="75">
        <v>87</v>
      </c>
      <c r="B395" s="79" t="s">
        <v>226</v>
      </c>
      <c r="C395" s="75">
        <v>4</v>
      </c>
      <c r="D395" s="80">
        <v>40</v>
      </c>
      <c r="E395" s="64">
        <v>88.46</v>
      </c>
      <c r="F395" s="64">
        <f t="shared" si="12"/>
        <v>48.459999999999994</v>
      </c>
      <c r="G395" s="62" t="s">
        <v>15</v>
      </c>
      <c r="H395" s="62"/>
      <c r="I395" s="77"/>
    </row>
    <row r="396" spans="1:9" outlineLevel="1" x14ac:dyDescent="0.25">
      <c r="A396" s="75">
        <v>88</v>
      </c>
      <c r="B396" s="79" t="s">
        <v>256</v>
      </c>
      <c r="C396" s="75">
        <v>1</v>
      </c>
      <c r="D396" s="80">
        <v>36</v>
      </c>
      <c r="E396" s="64">
        <v>52</v>
      </c>
      <c r="F396" s="64">
        <f t="shared" si="12"/>
        <v>16</v>
      </c>
      <c r="G396" s="62" t="s">
        <v>15</v>
      </c>
      <c r="H396" s="62"/>
      <c r="I396" s="77"/>
    </row>
    <row r="397" spans="1:9" outlineLevel="1" x14ac:dyDescent="0.25">
      <c r="A397" s="75">
        <v>89</v>
      </c>
      <c r="B397" s="79" t="s">
        <v>170</v>
      </c>
      <c r="C397" s="75">
        <v>1</v>
      </c>
      <c r="D397" s="80">
        <v>20</v>
      </c>
      <c r="E397" s="64">
        <v>33.33</v>
      </c>
      <c r="F397" s="64">
        <f t="shared" si="12"/>
        <v>13.329999999999998</v>
      </c>
      <c r="G397" s="62" t="s">
        <v>15</v>
      </c>
      <c r="H397" s="62"/>
      <c r="I397" s="77"/>
    </row>
    <row r="398" spans="1:9" outlineLevel="1" x14ac:dyDescent="0.25">
      <c r="A398" s="75">
        <v>90</v>
      </c>
      <c r="B398" s="79" t="s">
        <v>80</v>
      </c>
      <c r="C398" s="75">
        <v>1</v>
      </c>
      <c r="D398" s="80">
        <v>9</v>
      </c>
      <c r="E398" s="64">
        <v>21.21</v>
      </c>
      <c r="F398" s="64">
        <f t="shared" si="12"/>
        <v>12.21</v>
      </c>
      <c r="G398" s="62" t="s">
        <v>15</v>
      </c>
      <c r="H398" s="62"/>
      <c r="I398" s="77"/>
    </row>
    <row r="399" spans="1:9" outlineLevel="1" x14ac:dyDescent="0.25">
      <c r="A399" s="75">
        <v>91</v>
      </c>
      <c r="B399" s="79" t="s">
        <v>257</v>
      </c>
      <c r="C399" s="75">
        <v>1</v>
      </c>
      <c r="D399" s="80">
        <v>10</v>
      </c>
      <c r="E399" s="64">
        <v>26.62</v>
      </c>
      <c r="F399" s="64">
        <f t="shared" si="12"/>
        <v>16.62</v>
      </c>
      <c r="G399" s="62" t="s">
        <v>15</v>
      </c>
      <c r="H399" s="62"/>
      <c r="I399" s="77"/>
    </row>
    <row r="400" spans="1:9" outlineLevel="1" x14ac:dyDescent="0.25">
      <c r="A400" s="75">
        <v>92</v>
      </c>
      <c r="B400" s="79" t="s">
        <v>258</v>
      </c>
      <c r="C400" s="75">
        <v>1</v>
      </c>
      <c r="D400" s="80">
        <v>2</v>
      </c>
      <c r="E400" s="64">
        <v>11</v>
      </c>
      <c r="F400" s="64">
        <f t="shared" si="12"/>
        <v>9</v>
      </c>
      <c r="G400" s="62" t="s">
        <v>15</v>
      </c>
      <c r="H400" s="62"/>
      <c r="I400" s="77"/>
    </row>
    <row r="401" spans="1:9" outlineLevel="1" x14ac:dyDescent="0.25">
      <c r="A401" s="75">
        <v>93</v>
      </c>
      <c r="B401" s="79" t="s">
        <v>259</v>
      </c>
      <c r="C401" s="75">
        <v>1</v>
      </c>
      <c r="D401" s="80">
        <v>14</v>
      </c>
      <c r="E401" s="64">
        <v>19.850000000000001</v>
      </c>
      <c r="F401" s="64">
        <f t="shared" si="12"/>
        <v>5.8500000000000014</v>
      </c>
      <c r="G401" s="62" t="s">
        <v>15</v>
      </c>
      <c r="H401" s="62"/>
      <c r="I401" s="77"/>
    </row>
    <row r="402" spans="1:9" outlineLevel="1" x14ac:dyDescent="0.25">
      <c r="A402" s="75">
        <v>94</v>
      </c>
      <c r="B402" s="79" t="s">
        <v>72</v>
      </c>
      <c r="C402" s="75">
        <v>3</v>
      </c>
      <c r="D402" s="80">
        <v>21</v>
      </c>
      <c r="E402" s="64">
        <v>50.36</v>
      </c>
      <c r="F402" s="64">
        <f t="shared" si="12"/>
        <v>29.36</v>
      </c>
      <c r="G402" s="62" t="s">
        <v>15</v>
      </c>
      <c r="H402" s="62"/>
      <c r="I402" s="77"/>
    </row>
    <row r="403" spans="1:9" outlineLevel="1" x14ac:dyDescent="0.25">
      <c r="A403" s="75">
        <v>95</v>
      </c>
      <c r="B403" s="79" t="s">
        <v>229</v>
      </c>
      <c r="C403" s="75">
        <v>1</v>
      </c>
      <c r="D403" s="80">
        <v>20</v>
      </c>
      <c r="E403" s="64">
        <v>35.58</v>
      </c>
      <c r="F403" s="64">
        <f t="shared" si="12"/>
        <v>15.579999999999998</v>
      </c>
      <c r="G403" s="62" t="s">
        <v>15</v>
      </c>
      <c r="H403" s="62"/>
      <c r="I403" s="77"/>
    </row>
    <row r="404" spans="1:9" outlineLevel="1" x14ac:dyDescent="0.25">
      <c r="A404" s="75">
        <v>96</v>
      </c>
      <c r="B404" s="79" t="s">
        <v>260</v>
      </c>
      <c r="C404" s="75">
        <v>19</v>
      </c>
      <c r="D404" s="80">
        <v>114</v>
      </c>
      <c r="E404" s="64">
        <v>224.32999999999998</v>
      </c>
      <c r="F404" s="64">
        <f t="shared" si="12"/>
        <v>110.32999999999998</v>
      </c>
      <c r="G404" s="62" t="s">
        <v>15</v>
      </c>
      <c r="H404" s="62"/>
      <c r="I404" s="77"/>
    </row>
    <row r="405" spans="1:9" outlineLevel="1" x14ac:dyDescent="0.25">
      <c r="A405" s="75">
        <v>97</v>
      </c>
      <c r="B405" s="79" t="s">
        <v>261</v>
      </c>
      <c r="C405" s="75">
        <v>2</v>
      </c>
      <c r="D405" s="80">
        <v>12</v>
      </c>
      <c r="E405" s="64">
        <v>33.81</v>
      </c>
      <c r="F405" s="64">
        <f t="shared" si="12"/>
        <v>21.810000000000002</v>
      </c>
      <c r="G405" s="62" t="s">
        <v>15</v>
      </c>
      <c r="H405" s="62"/>
      <c r="I405" s="77"/>
    </row>
    <row r="406" spans="1:9" outlineLevel="1" x14ac:dyDescent="0.25">
      <c r="A406" s="75">
        <v>98</v>
      </c>
      <c r="B406" s="79" t="s">
        <v>262</v>
      </c>
      <c r="C406" s="75">
        <v>1</v>
      </c>
      <c r="D406" s="80">
        <v>15</v>
      </c>
      <c r="E406" s="64">
        <v>20</v>
      </c>
      <c r="F406" s="64">
        <f t="shared" si="12"/>
        <v>5</v>
      </c>
      <c r="G406" s="62" t="s">
        <v>15</v>
      </c>
      <c r="H406" s="62"/>
      <c r="I406" s="77"/>
    </row>
    <row r="407" spans="1:9" outlineLevel="1" x14ac:dyDescent="0.25">
      <c r="A407" s="75">
        <v>99</v>
      </c>
      <c r="B407" s="79" t="s">
        <v>263</v>
      </c>
      <c r="C407" s="75">
        <v>1</v>
      </c>
      <c r="D407" s="80">
        <v>10</v>
      </c>
      <c r="E407" s="64">
        <v>22</v>
      </c>
      <c r="F407" s="64">
        <f t="shared" si="12"/>
        <v>12</v>
      </c>
      <c r="G407" s="62" t="s">
        <v>15</v>
      </c>
      <c r="H407" s="62"/>
      <c r="I407" s="77"/>
    </row>
    <row r="408" spans="1:9" outlineLevel="1" x14ac:dyDescent="0.25">
      <c r="A408" s="75">
        <v>100</v>
      </c>
      <c r="B408" s="79" t="s">
        <v>264</v>
      </c>
      <c r="C408" s="75">
        <v>1</v>
      </c>
      <c r="D408" s="80">
        <v>3</v>
      </c>
      <c r="E408" s="64">
        <v>10</v>
      </c>
      <c r="F408" s="64">
        <f t="shared" si="12"/>
        <v>7</v>
      </c>
      <c r="G408" s="62" t="s">
        <v>15</v>
      </c>
      <c r="H408" s="62"/>
      <c r="I408" s="77"/>
    </row>
    <row r="409" spans="1:9" outlineLevel="1" x14ac:dyDescent="0.25">
      <c r="A409" s="75">
        <v>101</v>
      </c>
      <c r="B409" s="79" t="s">
        <v>128</v>
      </c>
      <c r="C409" s="75">
        <v>1</v>
      </c>
      <c r="D409" s="80">
        <v>30</v>
      </c>
      <c r="E409" s="64">
        <v>60</v>
      </c>
      <c r="F409" s="64">
        <f t="shared" si="12"/>
        <v>30</v>
      </c>
      <c r="G409" s="62" t="s">
        <v>15</v>
      </c>
      <c r="H409" s="62"/>
      <c r="I409" s="77"/>
    </row>
    <row r="410" spans="1:9" outlineLevel="1" x14ac:dyDescent="0.25">
      <c r="A410" s="75">
        <v>102</v>
      </c>
      <c r="B410" s="79" t="s">
        <v>74</v>
      </c>
      <c r="C410" s="75">
        <v>3</v>
      </c>
      <c r="D410" s="80">
        <v>1.25</v>
      </c>
      <c r="E410" s="64">
        <v>5.97</v>
      </c>
      <c r="F410" s="64">
        <f t="shared" si="12"/>
        <v>4.72</v>
      </c>
      <c r="G410" s="62" t="s">
        <v>15</v>
      </c>
      <c r="H410" s="62"/>
      <c r="I410" s="77"/>
    </row>
    <row r="411" spans="1:9" outlineLevel="1" x14ac:dyDescent="0.25">
      <c r="A411" s="75"/>
      <c r="B411" s="78"/>
      <c r="C411" s="76"/>
      <c r="D411" s="64"/>
      <c r="E411" s="64"/>
      <c r="F411" s="64">
        <f t="shared" si="12"/>
        <v>0</v>
      </c>
      <c r="G411" s="62" t="s">
        <v>15</v>
      </c>
      <c r="H411" s="62"/>
      <c r="I411" s="77"/>
    </row>
    <row r="412" spans="1:9" outlineLevel="1" x14ac:dyDescent="0.25">
      <c r="A412" s="75"/>
      <c r="B412" s="78"/>
      <c r="C412" s="76"/>
      <c r="D412" s="64"/>
      <c r="E412" s="64"/>
      <c r="F412" s="64">
        <f t="shared" si="12"/>
        <v>0</v>
      </c>
      <c r="G412" s="62" t="s">
        <v>15</v>
      </c>
      <c r="H412" s="62"/>
      <c r="I412" s="77"/>
    </row>
    <row r="413" spans="1:9" ht="21" x14ac:dyDescent="0.25">
      <c r="A413" s="186" t="s">
        <v>47</v>
      </c>
      <c r="B413" s="187"/>
      <c r="C413" s="188"/>
      <c r="D413" s="72">
        <f>SUM(D414:D476)</f>
        <v>2126.1833333333334</v>
      </c>
      <c r="E413" s="72">
        <f>SUM(E414:E476)</f>
        <v>4830.6499999999987</v>
      </c>
      <c r="F413" s="72">
        <f>SUM(F414:F476)</f>
        <v>2704.4666666666672</v>
      </c>
      <c r="G413" s="73">
        <f>SUM(C414:C476)</f>
        <v>223</v>
      </c>
      <c r="H413" s="74">
        <f>G413-I413</f>
        <v>199</v>
      </c>
      <c r="I413" s="73">
        <f>COUNTIF(H414:H476,"bsb")</f>
        <v>24</v>
      </c>
    </row>
    <row r="414" spans="1:9" ht="15.75" outlineLevel="1" x14ac:dyDescent="0.25">
      <c r="A414" s="75">
        <v>41</v>
      </c>
      <c r="B414" s="10" t="s">
        <v>265</v>
      </c>
      <c r="C414" s="14">
        <v>1</v>
      </c>
      <c r="D414" s="61">
        <v>6.5</v>
      </c>
      <c r="E414" s="61">
        <v>10</v>
      </c>
      <c r="F414" s="61">
        <f>SUM(E414-D414)</f>
        <v>3.5</v>
      </c>
      <c r="G414" s="8" t="s">
        <v>15</v>
      </c>
      <c r="H414" s="8" t="s">
        <v>113</v>
      </c>
      <c r="I414" s="15"/>
    </row>
    <row r="415" spans="1:9" ht="15.75" outlineLevel="1" x14ac:dyDescent="0.25">
      <c r="A415" s="75">
        <v>42</v>
      </c>
      <c r="B415" s="10" t="s">
        <v>242</v>
      </c>
      <c r="C415" s="14">
        <v>1</v>
      </c>
      <c r="D415" s="61">
        <v>7</v>
      </c>
      <c r="E415" s="61">
        <v>25</v>
      </c>
      <c r="F415" s="61">
        <f t="shared" ref="F415:F474" si="13">SUM(E415-D415)</f>
        <v>18</v>
      </c>
      <c r="G415" s="8" t="s">
        <v>15</v>
      </c>
      <c r="H415" s="8" t="s">
        <v>113</v>
      </c>
      <c r="I415" s="15"/>
    </row>
    <row r="416" spans="1:9" ht="15.75" outlineLevel="1" x14ac:dyDescent="0.25">
      <c r="A416" s="75">
        <v>43</v>
      </c>
      <c r="B416" s="10" t="s">
        <v>266</v>
      </c>
      <c r="C416" s="14">
        <v>1</v>
      </c>
      <c r="D416" s="61">
        <v>14</v>
      </c>
      <c r="E416" s="61">
        <v>25</v>
      </c>
      <c r="F416" s="61">
        <f t="shared" si="13"/>
        <v>11</v>
      </c>
      <c r="G416" s="8" t="s">
        <v>15</v>
      </c>
      <c r="H416" s="8" t="s">
        <v>113</v>
      </c>
      <c r="I416" s="15"/>
    </row>
    <row r="417" spans="1:9" ht="15.75" outlineLevel="1" x14ac:dyDescent="0.25">
      <c r="A417" s="75">
        <v>44</v>
      </c>
      <c r="B417" s="10" t="s">
        <v>242</v>
      </c>
      <c r="C417" s="14">
        <v>1</v>
      </c>
      <c r="D417" s="61">
        <v>7</v>
      </c>
      <c r="E417" s="61">
        <v>20</v>
      </c>
      <c r="F417" s="61">
        <f>SUM(E417-D417)</f>
        <v>13</v>
      </c>
      <c r="G417" s="8" t="s">
        <v>15</v>
      </c>
      <c r="H417" s="8" t="s">
        <v>113</v>
      </c>
      <c r="I417" s="15"/>
    </row>
    <row r="418" spans="1:9" ht="15.75" outlineLevel="1" x14ac:dyDescent="0.25">
      <c r="A418" s="75">
        <v>45</v>
      </c>
      <c r="B418" s="10" t="s">
        <v>271</v>
      </c>
      <c r="C418" s="14">
        <v>1</v>
      </c>
      <c r="D418" s="61">
        <v>5</v>
      </c>
      <c r="E418" s="61">
        <v>20</v>
      </c>
      <c r="F418" s="61">
        <f t="shared" si="13"/>
        <v>15</v>
      </c>
      <c r="G418" s="8" t="s">
        <v>15</v>
      </c>
      <c r="H418" s="8" t="s">
        <v>113</v>
      </c>
      <c r="I418" s="15"/>
    </row>
    <row r="419" spans="1:9" ht="15.75" outlineLevel="1" x14ac:dyDescent="0.25">
      <c r="A419" s="75">
        <v>46</v>
      </c>
      <c r="B419" s="10" t="s">
        <v>267</v>
      </c>
      <c r="C419" s="14">
        <v>1</v>
      </c>
      <c r="D419" s="61">
        <v>19</v>
      </c>
      <c r="E419" s="61">
        <v>35</v>
      </c>
      <c r="F419" s="61">
        <f t="shared" si="13"/>
        <v>16</v>
      </c>
      <c r="G419" s="8" t="s">
        <v>15</v>
      </c>
      <c r="H419" s="8" t="s">
        <v>113</v>
      </c>
      <c r="I419" s="15"/>
    </row>
    <row r="420" spans="1:9" ht="15.75" outlineLevel="1" x14ac:dyDescent="0.25">
      <c r="A420" s="75">
        <v>47</v>
      </c>
      <c r="B420" s="10" t="s">
        <v>237</v>
      </c>
      <c r="C420" s="14">
        <v>1</v>
      </c>
      <c r="D420" s="61">
        <v>70</v>
      </c>
      <c r="E420" s="61">
        <v>120</v>
      </c>
      <c r="F420" s="61">
        <f t="shared" si="13"/>
        <v>50</v>
      </c>
      <c r="G420" s="8" t="s">
        <v>15</v>
      </c>
      <c r="H420" s="8" t="s">
        <v>113</v>
      </c>
      <c r="I420" s="15"/>
    </row>
    <row r="421" spans="1:9" ht="15.75" outlineLevel="1" x14ac:dyDescent="0.25">
      <c r="A421" s="75">
        <v>48</v>
      </c>
      <c r="B421" s="10" t="s">
        <v>153</v>
      </c>
      <c r="C421" s="14">
        <v>1</v>
      </c>
      <c r="D421" s="61">
        <v>35</v>
      </c>
      <c r="E421" s="61">
        <v>60</v>
      </c>
      <c r="F421" s="61">
        <f t="shared" si="13"/>
        <v>25</v>
      </c>
      <c r="G421" s="8" t="s">
        <v>15</v>
      </c>
      <c r="H421" s="8" t="s">
        <v>113</v>
      </c>
      <c r="I421" s="15"/>
    </row>
    <row r="422" spans="1:9" ht="15.75" outlineLevel="1" x14ac:dyDescent="0.25">
      <c r="A422" s="75">
        <v>49</v>
      </c>
      <c r="B422" s="10" t="s">
        <v>268</v>
      </c>
      <c r="C422" s="14">
        <v>1</v>
      </c>
      <c r="D422" s="61">
        <v>60</v>
      </c>
      <c r="E422" s="61">
        <v>120</v>
      </c>
      <c r="F422" s="61">
        <f t="shared" si="13"/>
        <v>60</v>
      </c>
      <c r="G422" s="8" t="s">
        <v>15</v>
      </c>
      <c r="H422" s="8" t="s">
        <v>113</v>
      </c>
      <c r="I422" s="15"/>
    </row>
    <row r="423" spans="1:9" ht="15.75" outlineLevel="1" x14ac:dyDescent="0.25">
      <c r="A423" s="75">
        <v>50</v>
      </c>
      <c r="B423" s="10" t="s">
        <v>269</v>
      </c>
      <c r="C423" s="14">
        <v>1</v>
      </c>
      <c r="D423" s="61">
        <v>90</v>
      </c>
      <c r="E423" s="61">
        <v>150</v>
      </c>
      <c r="F423" s="61">
        <f t="shared" si="13"/>
        <v>60</v>
      </c>
      <c r="G423" s="8" t="s">
        <v>15</v>
      </c>
      <c r="H423" s="8" t="s">
        <v>113</v>
      </c>
      <c r="I423" s="15"/>
    </row>
    <row r="424" spans="1:9" ht="15.75" outlineLevel="1" x14ac:dyDescent="0.25">
      <c r="A424" s="75">
        <v>51</v>
      </c>
      <c r="B424" s="44" t="s">
        <v>14</v>
      </c>
      <c r="C424" s="14">
        <v>1</v>
      </c>
      <c r="D424" s="61">
        <v>30</v>
      </c>
      <c r="E424" s="61">
        <v>100</v>
      </c>
      <c r="F424" s="61">
        <f t="shared" si="13"/>
        <v>70</v>
      </c>
      <c r="G424" s="8" t="s">
        <v>15</v>
      </c>
      <c r="H424" s="8" t="s">
        <v>113</v>
      </c>
      <c r="I424" s="15"/>
    </row>
    <row r="425" spans="1:9" ht="15.75" outlineLevel="1" x14ac:dyDescent="0.25">
      <c r="A425" s="75">
        <v>52</v>
      </c>
      <c r="B425" s="10" t="s">
        <v>268</v>
      </c>
      <c r="C425" s="14">
        <v>1</v>
      </c>
      <c r="D425" s="61">
        <v>60</v>
      </c>
      <c r="E425" s="61">
        <v>120</v>
      </c>
      <c r="F425" s="61">
        <f>SUM(E425-D425)</f>
        <v>60</v>
      </c>
      <c r="G425" s="8" t="s">
        <v>15</v>
      </c>
      <c r="H425" s="8" t="s">
        <v>113</v>
      </c>
      <c r="I425" s="15"/>
    </row>
    <row r="426" spans="1:9" ht="15.75" outlineLevel="1" x14ac:dyDescent="0.25">
      <c r="A426" s="75">
        <v>53</v>
      </c>
      <c r="B426" s="10" t="s">
        <v>153</v>
      </c>
      <c r="C426" s="14">
        <v>1</v>
      </c>
      <c r="D426" s="61">
        <v>35</v>
      </c>
      <c r="E426" s="61">
        <v>50</v>
      </c>
      <c r="F426" s="61">
        <f>SUM(E426-D426)</f>
        <v>15</v>
      </c>
      <c r="G426" s="8" t="s">
        <v>15</v>
      </c>
      <c r="H426" s="8" t="s">
        <v>113</v>
      </c>
      <c r="I426" s="15"/>
    </row>
    <row r="427" spans="1:9" ht="15.75" outlineLevel="1" x14ac:dyDescent="0.25">
      <c r="A427" s="75">
        <v>54</v>
      </c>
      <c r="B427" s="10" t="s">
        <v>273</v>
      </c>
      <c r="C427" s="14">
        <v>1</v>
      </c>
      <c r="D427" s="61">
        <v>37</v>
      </c>
      <c r="E427" s="61">
        <v>80</v>
      </c>
      <c r="F427" s="61">
        <f>SUM(E427-D427)</f>
        <v>43</v>
      </c>
      <c r="G427" s="8" t="s">
        <v>15</v>
      </c>
      <c r="H427" s="8" t="s">
        <v>113</v>
      </c>
      <c r="I427" s="15"/>
    </row>
    <row r="428" spans="1:9" ht="15.75" outlineLevel="1" x14ac:dyDescent="0.25">
      <c r="A428" s="75">
        <v>55</v>
      </c>
      <c r="B428" s="10" t="s">
        <v>272</v>
      </c>
      <c r="C428" s="14">
        <v>1</v>
      </c>
      <c r="D428" s="61">
        <v>6.5</v>
      </c>
      <c r="E428" s="61">
        <v>15</v>
      </c>
      <c r="F428" s="61">
        <f t="shared" si="13"/>
        <v>8.5</v>
      </c>
      <c r="G428" s="8" t="s">
        <v>15</v>
      </c>
      <c r="H428" s="8" t="s">
        <v>113</v>
      </c>
      <c r="I428" s="15"/>
    </row>
    <row r="429" spans="1:9" ht="15.75" outlineLevel="1" x14ac:dyDescent="0.25">
      <c r="A429" s="75">
        <v>56</v>
      </c>
      <c r="B429" s="10" t="s">
        <v>272</v>
      </c>
      <c r="C429" s="14">
        <v>1</v>
      </c>
      <c r="D429" s="61">
        <v>6.5</v>
      </c>
      <c r="E429" s="61">
        <v>15</v>
      </c>
      <c r="F429" s="61">
        <f>SUM(E429-D429)</f>
        <v>8.5</v>
      </c>
      <c r="G429" s="8" t="s">
        <v>15</v>
      </c>
      <c r="H429" s="8" t="s">
        <v>113</v>
      </c>
      <c r="I429" s="15"/>
    </row>
    <row r="430" spans="1:9" ht="15.75" outlineLevel="1" x14ac:dyDescent="0.25">
      <c r="A430" s="75">
        <v>57</v>
      </c>
      <c r="B430" s="10" t="s">
        <v>10</v>
      </c>
      <c r="C430" s="14">
        <v>1</v>
      </c>
      <c r="D430" s="61">
        <v>60</v>
      </c>
      <c r="E430" s="61">
        <v>100</v>
      </c>
      <c r="F430" s="61">
        <f t="shared" si="13"/>
        <v>40</v>
      </c>
      <c r="G430" s="8" t="s">
        <v>15</v>
      </c>
      <c r="H430" s="8" t="s">
        <v>113</v>
      </c>
      <c r="I430" s="15"/>
    </row>
    <row r="431" spans="1:9" ht="15.75" outlineLevel="1" x14ac:dyDescent="0.25">
      <c r="A431" s="75">
        <v>58</v>
      </c>
      <c r="B431" s="10" t="s">
        <v>273</v>
      </c>
      <c r="C431" s="14">
        <v>1</v>
      </c>
      <c r="D431" s="61">
        <v>37</v>
      </c>
      <c r="E431" s="61">
        <v>70</v>
      </c>
      <c r="F431" s="61">
        <f t="shared" si="13"/>
        <v>33</v>
      </c>
      <c r="G431" s="8" t="s">
        <v>15</v>
      </c>
      <c r="H431" s="8" t="s">
        <v>113</v>
      </c>
      <c r="I431" s="15"/>
    </row>
    <row r="432" spans="1:9" ht="15.75" outlineLevel="1" x14ac:dyDescent="0.25">
      <c r="A432" s="75">
        <v>59</v>
      </c>
      <c r="B432" s="10" t="s">
        <v>273</v>
      </c>
      <c r="C432" s="14">
        <v>1</v>
      </c>
      <c r="D432" s="61">
        <v>37</v>
      </c>
      <c r="E432" s="61">
        <v>70</v>
      </c>
      <c r="F432" s="61">
        <f t="shared" si="13"/>
        <v>33</v>
      </c>
      <c r="G432" s="8" t="s">
        <v>15</v>
      </c>
      <c r="H432" s="8" t="s">
        <v>113</v>
      </c>
      <c r="I432" s="15"/>
    </row>
    <row r="433" spans="1:9" ht="15.75" outlineLevel="1" x14ac:dyDescent="0.25">
      <c r="A433" s="75">
        <v>60</v>
      </c>
      <c r="B433" s="10" t="s">
        <v>274</v>
      </c>
      <c r="C433" s="14">
        <v>1</v>
      </c>
      <c r="D433" s="61">
        <v>37</v>
      </c>
      <c r="E433" s="61">
        <v>80</v>
      </c>
      <c r="F433" s="61">
        <f t="shared" si="13"/>
        <v>43</v>
      </c>
      <c r="G433" s="8" t="s">
        <v>15</v>
      </c>
      <c r="H433" s="8" t="s">
        <v>113</v>
      </c>
      <c r="I433" s="15"/>
    </row>
    <row r="434" spans="1:9" ht="15.75" outlineLevel="1" x14ac:dyDescent="0.25">
      <c r="A434" s="75">
        <v>61</v>
      </c>
      <c r="B434" s="10" t="s">
        <v>275</v>
      </c>
      <c r="C434" s="14">
        <v>1</v>
      </c>
      <c r="D434" s="61">
        <v>20</v>
      </c>
      <c r="E434" s="61">
        <v>40</v>
      </c>
      <c r="F434" s="61">
        <f t="shared" si="13"/>
        <v>20</v>
      </c>
      <c r="G434" s="8" t="s">
        <v>15</v>
      </c>
      <c r="H434" s="8" t="s">
        <v>113</v>
      </c>
      <c r="I434" s="15"/>
    </row>
    <row r="435" spans="1:9" ht="15.75" outlineLevel="1" x14ac:dyDescent="0.25">
      <c r="A435" s="75">
        <v>60</v>
      </c>
      <c r="B435" s="10" t="s">
        <v>274</v>
      </c>
      <c r="C435" s="14">
        <v>1</v>
      </c>
      <c r="D435" s="61">
        <v>37</v>
      </c>
      <c r="E435" s="61">
        <v>60</v>
      </c>
      <c r="F435" s="61">
        <f>SUM(E435-D435)</f>
        <v>23</v>
      </c>
      <c r="G435" s="8" t="s">
        <v>15</v>
      </c>
      <c r="H435" s="8" t="s">
        <v>113</v>
      </c>
      <c r="I435" s="15"/>
    </row>
    <row r="436" spans="1:9" ht="15.75" outlineLevel="1" x14ac:dyDescent="0.25">
      <c r="A436" s="75">
        <v>63</v>
      </c>
      <c r="B436" s="10" t="s">
        <v>277</v>
      </c>
      <c r="C436" s="14">
        <v>1</v>
      </c>
      <c r="D436" s="61">
        <v>70</v>
      </c>
      <c r="E436" s="61">
        <v>120</v>
      </c>
      <c r="F436" s="61">
        <f t="shared" si="13"/>
        <v>50</v>
      </c>
      <c r="G436" s="8" t="s">
        <v>15</v>
      </c>
      <c r="H436" s="8" t="s">
        <v>113</v>
      </c>
      <c r="I436" s="15"/>
    </row>
    <row r="437" spans="1:9" ht="15.75" outlineLevel="1" x14ac:dyDescent="0.25">
      <c r="A437" s="75">
        <v>64</v>
      </c>
      <c r="B437" s="10" t="s">
        <v>256</v>
      </c>
      <c r="C437" s="14">
        <v>1</v>
      </c>
      <c r="D437" s="61">
        <v>26</v>
      </c>
      <c r="E437" s="61">
        <v>50</v>
      </c>
      <c r="F437" s="61">
        <f t="shared" si="13"/>
        <v>24</v>
      </c>
      <c r="G437" s="8" t="s">
        <v>15</v>
      </c>
      <c r="H437" s="8" t="s">
        <v>113</v>
      </c>
      <c r="I437" s="15"/>
    </row>
    <row r="438" spans="1:9" ht="15.75" outlineLevel="1" x14ac:dyDescent="0.25">
      <c r="A438" s="75">
        <v>65</v>
      </c>
      <c r="B438" s="10" t="s">
        <v>278</v>
      </c>
      <c r="C438" s="14">
        <v>1</v>
      </c>
      <c r="D438" s="61">
        <v>15</v>
      </c>
      <c r="E438" s="61">
        <v>35</v>
      </c>
      <c r="F438" s="61">
        <f t="shared" si="13"/>
        <v>20</v>
      </c>
      <c r="G438" s="8" t="s">
        <v>15</v>
      </c>
      <c r="H438" s="8" t="s">
        <v>114</v>
      </c>
      <c r="I438" s="15"/>
    </row>
    <row r="439" spans="1:9" ht="15.75" outlineLevel="1" x14ac:dyDescent="0.25">
      <c r="A439" s="75">
        <v>66</v>
      </c>
      <c r="B439" s="52" t="s">
        <v>214</v>
      </c>
      <c r="C439" s="82">
        <v>1</v>
      </c>
      <c r="D439" s="61">
        <v>2</v>
      </c>
      <c r="E439" s="68">
        <v>8</v>
      </c>
      <c r="F439" s="61">
        <f t="shared" si="13"/>
        <v>6</v>
      </c>
      <c r="G439" s="8" t="s">
        <v>15</v>
      </c>
      <c r="H439" s="8" t="s">
        <v>114</v>
      </c>
      <c r="I439" s="15"/>
    </row>
    <row r="440" spans="1:9" ht="15.75" outlineLevel="1" x14ac:dyDescent="0.25">
      <c r="A440" s="75">
        <v>68</v>
      </c>
      <c r="B440" s="52" t="s">
        <v>93</v>
      </c>
      <c r="C440" s="82">
        <v>1</v>
      </c>
      <c r="D440" s="61">
        <v>2.5</v>
      </c>
      <c r="E440" s="68">
        <v>10</v>
      </c>
      <c r="F440" s="61">
        <f t="shared" si="13"/>
        <v>7.5</v>
      </c>
      <c r="G440" s="8" t="s">
        <v>15</v>
      </c>
      <c r="H440" s="8" t="s">
        <v>114</v>
      </c>
      <c r="I440" s="15"/>
    </row>
    <row r="441" spans="1:9" ht="15.75" outlineLevel="1" x14ac:dyDescent="0.25">
      <c r="A441" s="75">
        <v>70</v>
      </c>
      <c r="B441" s="52" t="s">
        <v>279</v>
      </c>
      <c r="C441" s="82">
        <v>1</v>
      </c>
      <c r="D441" s="61">
        <v>7</v>
      </c>
      <c r="E441" s="68">
        <v>10.119999999999999</v>
      </c>
      <c r="F441" s="61">
        <f t="shared" si="13"/>
        <v>3.1199999999999992</v>
      </c>
      <c r="G441" s="8" t="s">
        <v>15</v>
      </c>
      <c r="H441" s="8" t="s">
        <v>114</v>
      </c>
      <c r="I441" s="15"/>
    </row>
    <row r="442" spans="1:9" ht="15.75" outlineLevel="1" x14ac:dyDescent="0.25">
      <c r="A442" s="75">
        <v>71</v>
      </c>
      <c r="B442" s="52" t="s">
        <v>126</v>
      </c>
      <c r="C442" s="82">
        <v>1</v>
      </c>
      <c r="D442" s="61">
        <v>9</v>
      </c>
      <c r="E442" s="68">
        <v>19.510000000000002</v>
      </c>
      <c r="F442" s="61">
        <f t="shared" si="13"/>
        <v>10.510000000000002</v>
      </c>
      <c r="G442" s="8" t="s">
        <v>15</v>
      </c>
      <c r="H442" s="8" t="s">
        <v>114</v>
      </c>
      <c r="I442" s="15"/>
    </row>
    <row r="443" spans="1:9" ht="15.75" outlineLevel="1" x14ac:dyDescent="0.25">
      <c r="A443" s="75">
        <v>72</v>
      </c>
      <c r="B443" s="52" t="s">
        <v>250</v>
      </c>
      <c r="C443" s="82">
        <v>1</v>
      </c>
      <c r="D443" s="61">
        <v>8</v>
      </c>
      <c r="E443" s="68">
        <v>13.99</v>
      </c>
      <c r="F443" s="61">
        <f t="shared" si="13"/>
        <v>5.99</v>
      </c>
      <c r="G443" s="8" t="s">
        <v>15</v>
      </c>
      <c r="H443" s="8" t="s">
        <v>114</v>
      </c>
      <c r="I443" s="15"/>
    </row>
    <row r="444" spans="1:9" ht="15.75" outlineLevel="1" x14ac:dyDescent="0.25">
      <c r="A444" s="75">
        <v>73</v>
      </c>
      <c r="B444" s="52" t="s">
        <v>219</v>
      </c>
      <c r="C444" s="83">
        <v>1</v>
      </c>
      <c r="D444" s="61">
        <v>5</v>
      </c>
      <c r="E444" s="60">
        <v>17.170000000000002</v>
      </c>
      <c r="F444" s="61">
        <f t="shared" si="13"/>
        <v>12.170000000000002</v>
      </c>
      <c r="G444" s="8" t="s">
        <v>15</v>
      </c>
      <c r="H444" s="8" t="s">
        <v>114</v>
      </c>
      <c r="I444" s="15"/>
    </row>
    <row r="445" spans="1:9" ht="15.75" outlineLevel="1" x14ac:dyDescent="0.25">
      <c r="A445" s="75">
        <v>74</v>
      </c>
      <c r="B445" s="52" t="s">
        <v>145</v>
      </c>
      <c r="C445" s="83">
        <v>1</v>
      </c>
      <c r="D445" s="61">
        <v>8</v>
      </c>
      <c r="E445" s="60">
        <v>11.11</v>
      </c>
      <c r="F445" s="61">
        <f t="shared" si="13"/>
        <v>3.1099999999999994</v>
      </c>
      <c r="G445" s="8" t="s">
        <v>15</v>
      </c>
      <c r="H445" s="8" t="s">
        <v>114</v>
      </c>
      <c r="I445" s="15"/>
    </row>
    <row r="446" spans="1:9" ht="15.75" outlineLevel="1" x14ac:dyDescent="0.25">
      <c r="A446" s="75">
        <v>75</v>
      </c>
      <c r="B446" s="52" t="s">
        <v>201</v>
      </c>
      <c r="C446" s="82">
        <v>1</v>
      </c>
      <c r="D446" s="61">
        <v>5</v>
      </c>
      <c r="E446" s="68">
        <v>15</v>
      </c>
      <c r="F446" s="61">
        <f t="shared" si="13"/>
        <v>10</v>
      </c>
      <c r="G446" s="8" t="s">
        <v>15</v>
      </c>
      <c r="H446" s="8" t="s">
        <v>114</v>
      </c>
      <c r="I446" s="15"/>
    </row>
    <row r="447" spans="1:9" ht="15.75" outlineLevel="1" x14ac:dyDescent="0.25">
      <c r="A447" s="75">
        <v>76</v>
      </c>
      <c r="B447" s="52" t="s">
        <v>175</v>
      </c>
      <c r="C447" s="82">
        <v>1</v>
      </c>
      <c r="D447" s="61">
        <v>7</v>
      </c>
      <c r="E447" s="68">
        <v>16.149999999999999</v>
      </c>
      <c r="F447" s="61">
        <f t="shared" si="13"/>
        <v>9.1499999999999986</v>
      </c>
      <c r="G447" s="8" t="s">
        <v>15</v>
      </c>
      <c r="H447" s="8" t="s">
        <v>114</v>
      </c>
      <c r="I447" s="15"/>
    </row>
    <row r="448" spans="1:9" ht="15.75" outlineLevel="1" x14ac:dyDescent="0.25">
      <c r="A448" s="75">
        <v>77</v>
      </c>
      <c r="B448" s="52" t="s">
        <v>100</v>
      </c>
      <c r="C448" s="82">
        <v>1</v>
      </c>
      <c r="D448" s="61">
        <v>5</v>
      </c>
      <c r="E448" s="68">
        <v>11.11</v>
      </c>
      <c r="F448" s="61">
        <f t="shared" si="13"/>
        <v>6.1099999999999994</v>
      </c>
      <c r="G448" s="8" t="s">
        <v>15</v>
      </c>
      <c r="H448" s="8" t="s">
        <v>114</v>
      </c>
      <c r="I448" s="15"/>
    </row>
    <row r="449" spans="1:9" ht="15.75" outlineLevel="1" x14ac:dyDescent="0.25">
      <c r="A449" s="75">
        <v>78</v>
      </c>
      <c r="B449" s="52" t="s">
        <v>280</v>
      </c>
      <c r="C449" s="82">
        <v>1</v>
      </c>
      <c r="D449" s="61">
        <v>1</v>
      </c>
      <c r="E449" s="68">
        <v>7.3</v>
      </c>
      <c r="F449" s="61">
        <f t="shared" si="13"/>
        <v>6.3</v>
      </c>
      <c r="G449" s="8" t="s">
        <v>15</v>
      </c>
      <c r="H449" s="8" t="s">
        <v>114</v>
      </c>
      <c r="I449" s="15"/>
    </row>
    <row r="450" spans="1:9" ht="15.75" outlineLevel="1" x14ac:dyDescent="0.25">
      <c r="A450" s="75">
        <v>79</v>
      </c>
      <c r="B450" s="52" t="s">
        <v>138</v>
      </c>
      <c r="C450" s="82">
        <v>1</v>
      </c>
      <c r="D450" s="61">
        <v>3</v>
      </c>
      <c r="E450" s="68">
        <v>10.95</v>
      </c>
      <c r="F450" s="61">
        <f t="shared" si="13"/>
        <v>7.9499999999999993</v>
      </c>
      <c r="G450" s="8" t="s">
        <v>15</v>
      </c>
      <c r="H450" s="8" t="s">
        <v>114</v>
      </c>
      <c r="I450" s="15"/>
    </row>
    <row r="451" spans="1:9" ht="15.75" outlineLevel="1" x14ac:dyDescent="0.25">
      <c r="A451" s="75">
        <v>80</v>
      </c>
      <c r="B451" s="52" t="s">
        <v>254</v>
      </c>
      <c r="C451" s="82">
        <v>1</v>
      </c>
      <c r="D451" s="61">
        <v>3</v>
      </c>
      <c r="E451" s="68">
        <v>10</v>
      </c>
      <c r="F451" s="61">
        <f t="shared" si="13"/>
        <v>7</v>
      </c>
      <c r="G451" s="8" t="s">
        <v>15</v>
      </c>
      <c r="H451" s="8" t="s">
        <v>114</v>
      </c>
      <c r="I451" s="15"/>
    </row>
    <row r="452" spans="1:9" ht="15.75" outlineLevel="1" x14ac:dyDescent="0.25">
      <c r="A452" s="75">
        <v>81</v>
      </c>
      <c r="B452" s="52" t="s">
        <v>223</v>
      </c>
      <c r="C452" s="83">
        <v>1</v>
      </c>
      <c r="D452" s="61">
        <v>7.5</v>
      </c>
      <c r="E452" s="60">
        <v>16.21</v>
      </c>
      <c r="F452" s="61">
        <f t="shared" si="13"/>
        <v>8.7100000000000009</v>
      </c>
      <c r="G452" s="8" t="s">
        <v>15</v>
      </c>
      <c r="H452" s="8" t="s">
        <v>114</v>
      </c>
      <c r="I452" s="15"/>
    </row>
    <row r="453" spans="1:9" ht="15.75" outlineLevel="1" x14ac:dyDescent="0.25">
      <c r="A453" s="75">
        <v>82</v>
      </c>
      <c r="B453" s="52" t="s">
        <v>256</v>
      </c>
      <c r="C453" s="82">
        <v>1</v>
      </c>
      <c r="D453" s="61">
        <v>26</v>
      </c>
      <c r="E453" s="68">
        <v>50.55</v>
      </c>
      <c r="F453" s="61">
        <f t="shared" si="13"/>
        <v>24.549999999999997</v>
      </c>
      <c r="G453" s="8" t="s">
        <v>15</v>
      </c>
      <c r="H453" s="8" t="s">
        <v>114</v>
      </c>
      <c r="I453" s="15"/>
    </row>
    <row r="454" spans="1:9" ht="15.75" outlineLevel="1" x14ac:dyDescent="0.25">
      <c r="A454" s="75">
        <v>83</v>
      </c>
      <c r="B454" s="52" t="s">
        <v>169</v>
      </c>
      <c r="C454" s="82">
        <v>1</v>
      </c>
      <c r="D454" s="61">
        <v>18</v>
      </c>
      <c r="E454" s="68">
        <v>40.590000000000003</v>
      </c>
      <c r="F454" s="61">
        <f t="shared" si="13"/>
        <v>22.590000000000003</v>
      </c>
      <c r="G454" s="8" t="s">
        <v>15</v>
      </c>
      <c r="H454" s="8" t="s">
        <v>114</v>
      </c>
      <c r="I454" s="15"/>
    </row>
    <row r="455" spans="1:9" ht="15.75" outlineLevel="1" x14ac:dyDescent="0.25">
      <c r="A455" s="75">
        <v>84</v>
      </c>
      <c r="B455" s="52" t="s">
        <v>80</v>
      </c>
      <c r="C455" s="83">
        <v>1</v>
      </c>
      <c r="D455" s="61">
        <v>9</v>
      </c>
      <c r="E455" s="60">
        <v>26.53</v>
      </c>
      <c r="F455" s="61">
        <f t="shared" si="13"/>
        <v>17.53</v>
      </c>
      <c r="G455" s="8" t="s">
        <v>15</v>
      </c>
      <c r="H455" s="8" t="s">
        <v>114</v>
      </c>
      <c r="I455" s="15"/>
    </row>
    <row r="456" spans="1:9" ht="15.75" outlineLevel="1" x14ac:dyDescent="0.25">
      <c r="A456" s="75">
        <v>85</v>
      </c>
      <c r="B456" s="52" t="s">
        <v>281</v>
      </c>
      <c r="C456" s="82">
        <v>1</v>
      </c>
      <c r="D456" s="61">
        <v>2</v>
      </c>
      <c r="E456" s="68">
        <v>20</v>
      </c>
      <c r="F456" s="61">
        <f t="shared" si="13"/>
        <v>18</v>
      </c>
      <c r="G456" s="8" t="s">
        <v>15</v>
      </c>
      <c r="H456" s="8" t="s">
        <v>114</v>
      </c>
      <c r="I456" s="15"/>
    </row>
    <row r="457" spans="1:9" ht="15.75" outlineLevel="1" x14ac:dyDescent="0.25">
      <c r="A457" s="75">
        <v>86</v>
      </c>
      <c r="B457" s="52" t="s">
        <v>230</v>
      </c>
      <c r="C457" s="82">
        <v>1</v>
      </c>
      <c r="D457" s="61">
        <v>5</v>
      </c>
      <c r="E457" s="68">
        <v>9.24</v>
      </c>
      <c r="F457" s="61">
        <f t="shared" si="13"/>
        <v>4.24</v>
      </c>
      <c r="G457" s="8" t="s">
        <v>15</v>
      </c>
      <c r="H457" s="8" t="s">
        <v>114</v>
      </c>
      <c r="I457" s="15"/>
    </row>
    <row r="458" spans="1:9" ht="15.75" outlineLevel="1" x14ac:dyDescent="0.25">
      <c r="A458" s="75">
        <v>87</v>
      </c>
      <c r="B458" s="52" t="s">
        <v>168</v>
      </c>
      <c r="C458" s="82">
        <v>1</v>
      </c>
      <c r="D458" s="61">
        <v>9</v>
      </c>
      <c r="E458" s="68">
        <v>18.11</v>
      </c>
      <c r="F458" s="61">
        <f t="shared" si="13"/>
        <v>9.11</v>
      </c>
      <c r="G458" s="8" t="s">
        <v>15</v>
      </c>
      <c r="H458" s="8" t="s">
        <v>114</v>
      </c>
      <c r="I458" s="15"/>
    </row>
    <row r="459" spans="1:9" ht="15.75" outlineLevel="1" x14ac:dyDescent="0.25">
      <c r="A459" s="75">
        <v>88</v>
      </c>
      <c r="B459" s="52" t="s">
        <v>282</v>
      </c>
      <c r="C459" s="82">
        <v>1</v>
      </c>
      <c r="D459" s="61">
        <v>15</v>
      </c>
      <c r="E459" s="68">
        <v>40.97</v>
      </c>
      <c r="F459" s="61">
        <f t="shared" si="13"/>
        <v>25.97</v>
      </c>
      <c r="G459" s="8" t="s">
        <v>15</v>
      </c>
      <c r="H459" s="8" t="s">
        <v>114</v>
      </c>
      <c r="I459" s="15"/>
    </row>
    <row r="460" spans="1:9" ht="15.75" outlineLevel="1" x14ac:dyDescent="0.25">
      <c r="A460" s="75">
        <v>89</v>
      </c>
      <c r="B460" s="52" t="s">
        <v>216</v>
      </c>
      <c r="C460" s="82">
        <v>2</v>
      </c>
      <c r="D460" s="61">
        <v>60</v>
      </c>
      <c r="E460" s="68">
        <v>109.98</v>
      </c>
      <c r="F460" s="61">
        <f t="shared" si="13"/>
        <v>49.980000000000004</v>
      </c>
      <c r="G460" s="8" t="s">
        <v>15</v>
      </c>
      <c r="H460" s="8" t="s">
        <v>114</v>
      </c>
      <c r="I460" s="15"/>
    </row>
    <row r="461" spans="1:9" ht="15.75" outlineLevel="1" x14ac:dyDescent="0.25">
      <c r="A461" s="75">
        <v>90</v>
      </c>
      <c r="B461" s="52" t="s">
        <v>98</v>
      </c>
      <c r="C461" s="82">
        <v>2</v>
      </c>
      <c r="D461" s="61">
        <v>1.8</v>
      </c>
      <c r="E461" s="68">
        <v>3.61</v>
      </c>
      <c r="F461" s="61">
        <f t="shared" si="13"/>
        <v>1.8099999999999998</v>
      </c>
      <c r="G461" s="8" t="s">
        <v>15</v>
      </c>
      <c r="H461" s="8" t="s">
        <v>114</v>
      </c>
      <c r="I461" s="15"/>
    </row>
    <row r="462" spans="1:9" ht="15.75" outlineLevel="1" x14ac:dyDescent="0.25">
      <c r="A462" s="75">
        <v>91</v>
      </c>
      <c r="B462" s="52" t="s">
        <v>174</v>
      </c>
      <c r="C462" s="83">
        <v>2</v>
      </c>
      <c r="D462" s="61">
        <v>20</v>
      </c>
      <c r="E462" s="60">
        <v>44.24</v>
      </c>
      <c r="F462" s="61">
        <f t="shared" si="13"/>
        <v>24.240000000000002</v>
      </c>
      <c r="G462" s="8" t="s">
        <v>15</v>
      </c>
      <c r="H462" s="8" t="s">
        <v>114</v>
      </c>
      <c r="I462" s="15"/>
    </row>
    <row r="463" spans="1:9" ht="15.75" outlineLevel="1" x14ac:dyDescent="0.25">
      <c r="A463" s="75">
        <v>92</v>
      </c>
      <c r="B463" s="52" t="s">
        <v>76</v>
      </c>
      <c r="C463" s="82">
        <v>2</v>
      </c>
      <c r="D463" s="61">
        <v>38</v>
      </c>
      <c r="E463" s="68">
        <v>75.459999999999994</v>
      </c>
      <c r="F463" s="61">
        <f t="shared" si="13"/>
        <v>37.459999999999994</v>
      </c>
      <c r="G463" s="8" t="s">
        <v>15</v>
      </c>
      <c r="H463" s="8" t="s">
        <v>114</v>
      </c>
      <c r="I463" s="15"/>
    </row>
    <row r="464" spans="1:9" ht="15.75" outlineLevel="1" x14ac:dyDescent="0.25">
      <c r="A464" s="75">
        <v>93</v>
      </c>
      <c r="B464" s="52" t="s">
        <v>226</v>
      </c>
      <c r="C464" s="83">
        <v>2</v>
      </c>
      <c r="D464" s="61">
        <v>22</v>
      </c>
      <c r="E464" s="60">
        <v>42.99</v>
      </c>
      <c r="F464" s="61">
        <f t="shared" si="13"/>
        <v>20.990000000000002</v>
      </c>
      <c r="G464" s="8" t="s">
        <v>15</v>
      </c>
      <c r="H464" s="8" t="s">
        <v>114</v>
      </c>
      <c r="I464" s="15"/>
    </row>
    <row r="465" spans="1:9" ht="15.75" outlineLevel="1" x14ac:dyDescent="0.25">
      <c r="A465" s="75">
        <v>94</v>
      </c>
      <c r="B465" s="52" t="s">
        <v>261</v>
      </c>
      <c r="C465" s="82">
        <v>2</v>
      </c>
      <c r="D465" s="61">
        <v>10</v>
      </c>
      <c r="E465" s="68">
        <v>29.17</v>
      </c>
      <c r="F465" s="61">
        <f t="shared" si="13"/>
        <v>19.170000000000002</v>
      </c>
      <c r="G465" s="8" t="s">
        <v>15</v>
      </c>
      <c r="H465" s="8" t="s">
        <v>114</v>
      </c>
      <c r="I465" s="15"/>
    </row>
    <row r="466" spans="1:9" ht="15.75" outlineLevel="1" x14ac:dyDescent="0.25">
      <c r="A466" s="75">
        <v>95</v>
      </c>
      <c r="B466" s="52" t="s">
        <v>137</v>
      </c>
      <c r="C466" s="82">
        <v>3</v>
      </c>
      <c r="D466" s="61">
        <v>33</v>
      </c>
      <c r="E466" s="68">
        <v>61.21</v>
      </c>
      <c r="F466" s="61">
        <f t="shared" si="13"/>
        <v>28.21</v>
      </c>
      <c r="G466" s="8" t="s">
        <v>15</v>
      </c>
      <c r="H466" s="8" t="s">
        <v>114</v>
      </c>
      <c r="I466" s="15"/>
    </row>
    <row r="467" spans="1:9" ht="15.75" outlineLevel="1" x14ac:dyDescent="0.25">
      <c r="A467" s="75">
        <v>96</v>
      </c>
      <c r="B467" s="52" t="s">
        <v>283</v>
      </c>
      <c r="C467" s="82">
        <v>3</v>
      </c>
      <c r="D467" s="61">
        <v>6</v>
      </c>
      <c r="E467" s="68">
        <v>14.97</v>
      </c>
      <c r="F467" s="61">
        <f t="shared" si="13"/>
        <v>8.9700000000000006</v>
      </c>
      <c r="G467" s="8" t="s">
        <v>15</v>
      </c>
      <c r="H467" s="8" t="s">
        <v>114</v>
      </c>
      <c r="I467" s="15"/>
    </row>
    <row r="468" spans="1:9" ht="15.75" outlineLevel="1" x14ac:dyDescent="0.25">
      <c r="A468" s="75">
        <v>97</v>
      </c>
      <c r="B468" s="52" t="s">
        <v>74</v>
      </c>
      <c r="C468" s="82">
        <v>5</v>
      </c>
      <c r="D468" s="61">
        <v>2.0833333333333335</v>
      </c>
      <c r="E468" s="68">
        <v>9.57</v>
      </c>
      <c r="F468" s="61">
        <f t="shared" si="13"/>
        <v>7.4866666666666664</v>
      </c>
      <c r="G468" s="8" t="s">
        <v>15</v>
      </c>
      <c r="H468" s="8" t="s">
        <v>114</v>
      </c>
      <c r="I468" s="15"/>
    </row>
    <row r="469" spans="1:9" ht="15.75" outlineLevel="1" x14ac:dyDescent="0.25">
      <c r="A469" s="75">
        <v>98</v>
      </c>
      <c r="B469" s="52" t="s">
        <v>132</v>
      </c>
      <c r="C469" s="82">
        <v>8</v>
      </c>
      <c r="D469" s="61">
        <v>56</v>
      </c>
      <c r="E469" s="68">
        <v>120.69</v>
      </c>
      <c r="F469" s="61">
        <f t="shared" si="13"/>
        <v>64.69</v>
      </c>
      <c r="G469" s="8" t="s">
        <v>15</v>
      </c>
      <c r="H469" s="8" t="s">
        <v>114</v>
      </c>
      <c r="I469" s="15"/>
    </row>
    <row r="470" spans="1:9" ht="15.75" outlineLevel="1" x14ac:dyDescent="0.25">
      <c r="A470" s="75">
        <v>99</v>
      </c>
      <c r="B470" s="52" t="s">
        <v>220</v>
      </c>
      <c r="C470" s="82">
        <v>19</v>
      </c>
      <c r="D470" s="61">
        <v>703</v>
      </c>
      <c r="E470" s="68">
        <v>1509.54</v>
      </c>
      <c r="F470" s="61">
        <f t="shared" si="13"/>
        <v>806.54</v>
      </c>
      <c r="G470" s="8" t="s">
        <v>15</v>
      </c>
      <c r="H470" s="8" t="s">
        <v>114</v>
      </c>
      <c r="I470" s="15"/>
    </row>
    <row r="471" spans="1:9" ht="15.75" outlineLevel="1" x14ac:dyDescent="0.25">
      <c r="A471" s="75">
        <v>100</v>
      </c>
      <c r="B471" s="52" t="s">
        <v>72</v>
      </c>
      <c r="C471" s="82">
        <v>12</v>
      </c>
      <c r="D471" s="61">
        <v>84</v>
      </c>
      <c r="E471" s="68">
        <v>231.59</v>
      </c>
      <c r="F471" s="61">
        <f t="shared" si="13"/>
        <v>147.59</v>
      </c>
      <c r="G471" s="8" t="s">
        <v>15</v>
      </c>
      <c r="H471" s="8" t="s">
        <v>114</v>
      </c>
      <c r="I471" s="15"/>
    </row>
    <row r="472" spans="1:9" ht="15.75" outlineLevel="1" x14ac:dyDescent="0.25">
      <c r="A472" s="75">
        <v>101</v>
      </c>
      <c r="B472" s="52" t="s">
        <v>127</v>
      </c>
      <c r="C472" s="82">
        <v>20</v>
      </c>
      <c r="D472" s="61">
        <v>40</v>
      </c>
      <c r="E472" s="68">
        <v>311.07</v>
      </c>
      <c r="F472" s="61">
        <f t="shared" si="13"/>
        <v>271.07</v>
      </c>
      <c r="G472" s="8" t="s">
        <v>15</v>
      </c>
      <c r="H472" s="8" t="s">
        <v>114</v>
      </c>
      <c r="I472" s="15"/>
    </row>
    <row r="473" spans="1:9" ht="15.75" outlineLevel="1" x14ac:dyDescent="0.25">
      <c r="A473" s="75">
        <v>102</v>
      </c>
      <c r="B473" s="52" t="s">
        <v>217</v>
      </c>
      <c r="C473" s="82">
        <v>22</v>
      </c>
      <c r="D473" s="61">
        <v>22</v>
      </c>
      <c r="E473" s="68">
        <v>60.71</v>
      </c>
      <c r="F473" s="61">
        <f t="shared" si="13"/>
        <v>38.71</v>
      </c>
      <c r="G473" s="8" t="s">
        <v>15</v>
      </c>
      <c r="H473" s="8" t="s">
        <v>114</v>
      </c>
      <c r="I473" s="15"/>
    </row>
    <row r="474" spans="1:9" ht="15.75" outlineLevel="1" x14ac:dyDescent="0.25">
      <c r="A474" s="75">
        <v>103</v>
      </c>
      <c r="B474" s="52" t="s">
        <v>181</v>
      </c>
      <c r="C474" s="82">
        <v>73</v>
      </c>
      <c r="D474" s="61">
        <v>43.8</v>
      </c>
      <c r="E474" s="68">
        <v>233.24</v>
      </c>
      <c r="F474" s="61">
        <f t="shared" si="13"/>
        <v>189.44</v>
      </c>
      <c r="G474" s="8" t="s">
        <v>15</v>
      </c>
      <c r="H474" s="8" t="s">
        <v>114</v>
      </c>
      <c r="I474" s="15"/>
    </row>
    <row r="475" spans="1:9" ht="15.75" outlineLevel="1" x14ac:dyDescent="0.25">
      <c r="A475" s="75"/>
      <c r="B475" s="10"/>
      <c r="C475" s="14"/>
      <c r="D475" s="61"/>
      <c r="E475" s="61"/>
      <c r="F475" s="61"/>
      <c r="G475" s="8"/>
      <c r="H475" s="8"/>
      <c r="I475" s="15"/>
    </row>
    <row r="476" spans="1:9" ht="15.75" outlineLevel="1" x14ac:dyDescent="0.25">
      <c r="A476" s="17"/>
      <c r="B476" s="10"/>
      <c r="C476" s="14"/>
      <c r="D476" s="61"/>
      <c r="E476" s="61"/>
      <c r="F476" s="61"/>
      <c r="G476" s="8"/>
      <c r="H476" s="8"/>
      <c r="I476" s="15"/>
    </row>
    <row r="477" spans="1:9" ht="21" x14ac:dyDescent="0.25">
      <c r="A477" s="189" t="s">
        <v>48</v>
      </c>
      <c r="B477" s="189"/>
      <c r="C477" s="189"/>
      <c r="D477" s="72">
        <f>SUM(D478:D597)</f>
        <v>5508.6966666666658</v>
      </c>
      <c r="E477" s="72">
        <f>SUM(E478:E559)</f>
        <v>5830.1100000000015</v>
      </c>
      <c r="F477" s="72">
        <f>SUM(F478:F559)</f>
        <v>3012.4933333333329</v>
      </c>
      <c r="G477" s="73">
        <f>SUM(C478:C559)</f>
        <v>201</v>
      </c>
      <c r="H477" s="74">
        <f>G477-I477</f>
        <v>163</v>
      </c>
      <c r="I477" s="73">
        <f>COUNTIF(H478:H559,"bsb")</f>
        <v>38</v>
      </c>
    </row>
    <row r="478" spans="1:9" outlineLevel="1" x14ac:dyDescent="0.25">
      <c r="A478" s="75">
        <v>1</v>
      </c>
      <c r="B478" s="50" t="s">
        <v>302</v>
      </c>
      <c r="C478" s="49"/>
      <c r="D478" s="64">
        <v>23.3</v>
      </c>
      <c r="E478" s="64">
        <v>70</v>
      </c>
      <c r="F478" s="64">
        <f t="shared" ref="F478:F479" si="14">E478-D478</f>
        <v>46.7</v>
      </c>
      <c r="G478" s="49" t="s">
        <v>15</v>
      </c>
      <c r="H478" s="49" t="s">
        <v>113</v>
      </c>
      <c r="I478" s="50"/>
    </row>
    <row r="479" spans="1:9" outlineLevel="1" x14ac:dyDescent="0.25">
      <c r="A479" s="75">
        <v>2</v>
      </c>
      <c r="B479" s="50" t="s">
        <v>303</v>
      </c>
      <c r="C479" s="49">
        <v>1</v>
      </c>
      <c r="D479" s="64">
        <v>100</v>
      </c>
      <c r="E479" s="64">
        <v>110</v>
      </c>
      <c r="F479" s="64">
        <f t="shared" si="14"/>
        <v>10</v>
      </c>
      <c r="G479" s="49" t="s">
        <v>15</v>
      </c>
      <c r="H479" s="49" t="s">
        <v>113</v>
      </c>
      <c r="I479" s="50"/>
    </row>
    <row r="480" spans="1:9" outlineLevel="1" x14ac:dyDescent="0.25">
      <c r="A480" s="75">
        <v>3</v>
      </c>
      <c r="B480" s="50" t="s">
        <v>157</v>
      </c>
      <c r="C480" s="49">
        <v>1</v>
      </c>
      <c r="D480" s="64">
        <v>80</v>
      </c>
      <c r="E480" s="64">
        <v>150</v>
      </c>
      <c r="F480" s="64">
        <f t="shared" ref="F480:F516" si="15">E480-D480</f>
        <v>70</v>
      </c>
      <c r="G480" s="49" t="s">
        <v>15</v>
      </c>
      <c r="H480" s="49" t="s">
        <v>113</v>
      </c>
      <c r="I480" s="50"/>
    </row>
    <row r="481" spans="1:9" outlineLevel="1" x14ac:dyDescent="0.25">
      <c r="A481" s="75">
        <v>4</v>
      </c>
      <c r="B481" s="50" t="s">
        <v>284</v>
      </c>
      <c r="C481" s="49">
        <v>1</v>
      </c>
      <c r="D481" s="64">
        <v>14</v>
      </c>
      <c r="E481" s="64">
        <v>30</v>
      </c>
      <c r="F481" s="64">
        <f t="shared" si="15"/>
        <v>16</v>
      </c>
      <c r="G481" s="49" t="s">
        <v>15</v>
      </c>
      <c r="H481" s="49" t="s">
        <v>113</v>
      </c>
      <c r="I481" s="50"/>
    </row>
    <row r="482" spans="1:9" outlineLevel="1" x14ac:dyDescent="0.25">
      <c r="A482" s="75">
        <v>5</v>
      </c>
      <c r="B482" s="50" t="s">
        <v>285</v>
      </c>
      <c r="C482" s="49">
        <v>1</v>
      </c>
      <c r="D482" s="64">
        <v>14</v>
      </c>
      <c r="E482" s="64">
        <v>25</v>
      </c>
      <c r="F482" s="64">
        <f t="shared" si="15"/>
        <v>11</v>
      </c>
      <c r="G482" s="49" t="s">
        <v>15</v>
      </c>
      <c r="H482" s="49" t="s">
        <v>113</v>
      </c>
      <c r="I482" s="50"/>
    </row>
    <row r="483" spans="1:9" outlineLevel="1" x14ac:dyDescent="0.25">
      <c r="A483" s="75">
        <v>6</v>
      </c>
      <c r="B483" s="50" t="s">
        <v>286</v>
      </c>
      <c r="C483" s="49">
        <v>1</v>
      </c>
      <c r="D483" s="64">
        <v>11</v>
      </c>
      <c r="E483" s="64">
        <v>20</v>
      </c>
      <c r="F483" s="64">
        <f t="shared" si="15"/>
        <v>9</v>
      </c>
      <c r="G483" s="49" t="s">
        <v>15</v>
      </c>
      <c r="H483" s="49" t="s">
        <v>113</v>
      </c>
      <c r="I483" s="50"/>
    </row>
    <row r="484" spans="1:9" outlineLevel="1" x14ac:dyDescent="0.25">
      <c r="A484" s="75">
        <v>7</v>
      </c>
      <c r="B484" s="50" t="s">
        <v>287</v>
      </c>
      <c r="C484" s="49">
        <v>1</v>
      </c>
      <c r="D484" s="64">
        <v>10</v>
      </c>
      <c r="E484" s="64">
        <v>20</v>
      </c>
      <c r="F484" s="64">
        <f t="shared" si="15"/>
        <v>10</v>
      </c>
      <c r="G484" s="49" t="s">
        <v>15</v>
      </c>
      <c r="H484" s="49" t="s">
        <v>113</v>
      </c>
      <c r="I484" s="50"/>
    </row>
    <row r="485" spans="1:9" outlineLevel="1" x14ac:dyDescent="0.25">
      <c r="A485" s="75">
        <v>8</v>
      </c>
      <c r="B485" s="50" t="s">
        <v>288</v>
      </c>
      <c r="C485" s="49">
        <v>1</v>
      </c>
      <c r="D485" s="64">
        <v>18</v>
      </c>
      <c r="E485" s="64">
        <v>35</v>
      </c>
      <c r="F485" s="64">
        <f t="shared" si="15"/>
        <v>17</v>
      </c>
      <c r="G485" s="49" t="s">
        <v>15</v>
      </c>
      <c r="H485" s="49" t="s">
        <v>113</v>
      </c>
      <c r="I485" s="50"/>
    </row>
    <row r="486" spans="1:9" outlineLevel="1" x14ac:dyDescent="0.25">
      <c r="A486" s="75">
        <v>9</v>
      </c>
      <c r="B486" s="50" t="s">
        <v>289</v>
      </c>
      <c r="C486" s="49">
        <v>1</v>
      </c>
      <c r="D486" s="64">
        <v>2</v>
      </c>
      <c r="E486" s="64">
        <v>10</v>
      </c>
      <c r="F486" s="64">
        <f t="shared" si="15"/>
        <v>8</v>
      </c>
      <c r="G486" s="49" t="s">
        <v>15</v>
      </c>
      <c r="H486" s="49" t="s">
        <v>113</v>
      </c>
      <c r="I486" s="50"/>
    </row>
    <row r="487" spans="1:9" outlineLevel="1" x14ac:dyDescent="0.25">
      <c r="A487" s="75">
        <v>10</v>
      </c>
      <c r="B487" s="50" t="s">
        <v>289</v>
      </c>
      <c r="C487" s="49">
        <v>1</v>
      </c>
      <c r="D487" s="64">
        <v>2</v>
      </c>
      <c r="E487" s="64">
        <v>10</v>
      </c>
      <c r="F487" s="64">
        <f t="shared" si="15"/>
        <v>8</v>
      </c>
      <c r="G487" s="49" t="s">
        <v>15</v>
      </c>
      <c r="H487" s="49" t="s">
        <v>113</v>
      </c>
      <c r="I487" s="50"/>
    </row>
    <row r="488" spans="1:9" outlineLevel="1" x14ac:dyDescent="0.25">
      <c r="A488" s="75">
        <v>11</v>
      </c>
      <c r="B488" s="50" t="s">
        <v>290</v>
      </c>
      <c r="C488" s="49">
        <v>1</v>
      </c>
      <c r="D488" s="64">
        <v>25</v>
      </c>
      <c r="E488" s="64">
        <v>80</v>
      </c>
      <c r="F488" s="64">
        <f t="shared" si="15"/>
        <v>55</v>
      </c>
      <c r="G488" s="49" t="s">
        <v>15</v>
      </c>
      <c r="H488" s="49" t="s">
        <v>113</v>
      </c>
      <c r="I488" s="50"/>
    </row>
    <row r="489" spans="1:9" outlineLevel="1" x14ac:dyDescent="0.25">
      <c r="A489" s="75">
        <v>12</v>
      </c>
      <c r="B489" s="50" t="s">
        <v>291</v>
      </c>
      <c r="C489" s="49">
        <v>1</v>
      </c>
      <c r="D489" s="64">
        <v>12</v>
      </c>
      <c r="E489" s="64">
        <v>20</v>
      </c>
      <c r="F489" s="64">
        <f t="shared" si="15"/>
        <v>8</v>
      </c>
      <c r="G489" s="49" t="s">
        <v>15</v>
      </c>
      <c r="H489" s="49" t="s">
        <v>113</v>
      </c>
      <c r="I489" s="50"/>
    </row>
    <row r="490" spans="1:9" outlineLevel="1" x14ac:dyDescent="0.25">
      <c r="A490" s="75">
        <v>13</v>
      </c>
      <c r="B490" s="50" t="s">
        <v>292</v>
      </c>
      <c r="C490" s="49">
        <v>1</v>
      </c>
      <c r="D490" s="64">
        <v>25</v>
      </c>
      <c r="E490" s="64">
        <v>50</v>
      </c>
      <c r="F490" s="64">
        <f t="shared" si="15"/>
        <v>25</v>
      </c>
      <c r="G490" s="49" t="s">
        <v>15</v>
      </c>
      <c r="H490" s="49" t="s">
        <v>113</v>
      </c>
      <c r="I490" s="50"/>
    </row>
    <row r="491" spans="1:9" outlineLevel="1" x14ac:dyDescent="0.25">
      <c r="A491" s="75">
        <v>14</v>
      </c>
      <c r="B491" s="50" t="s">
        <v>293</v>
      </c>
      <c r="C491" s="49">
        <v>1</v>
      </c>
      <c r="D491" s="64">
        <v>28</v>
      </c>
      <c r="E491" s="64">
        <v>65</v>
      </c>
      <c r="F491" s="64">
        <f t="shared" si="15"/>
        <v>37</v>
      </c>
      <c r="G491" s="49" t="s">
        <v>15</v>
      </c>
      <c r="H491" s="49" t="s">
        <v>113</v>
      </c>
      <c r="I491" s="50"/>
    </row>
    <row r="492" spans="1:9" outlineLevel="1" x14ac:dyDescent="0.25">
      <c r="A492" s="75">
        <v>15</v>
      </c>
      <c r="B492" s="50" t="s">
        <v>293</v>
      </c>
      <c r="C492" s="49">
        <v>1</v>
      </c>
      <c r="D492" s="64">
        <v>28</v>
      </c>
      <c r="E492" s="64">
        <v>50</v>
      </c>
      <c r="F492" s="64">
        <f t="shared" si="15"/>
        <v>22</v>
      </c>
      <c r="G492" s="49" t="s">
        <v>15</v>
      </c>
      <c r="H492" s="49" t="s">
        <v>113</v>
      </c>
      <c r="I492" s="50"/>
    </row>
    <row r="493" spans="1:9" outlineLevel="1" x14ac:dyDescent="0.25">
      <c r="A493" s="75">
        <v>16</v>
      </c>
      <c r="B493" s="50" t="s">
        <v>293</v>
      </c>
      <c r="C493" s="49">
        <v>1</v>
      </c>
      <c r="D493" s="64">
        <v>28</v>
      </c>
      <c r="E493" s="64">
        <v>50</v>
      </c>
      <c r="F493" s="64">
        <f t="shared" si="15"/>
        <v>22</v>
      </c>
      <c r="G493" s="49" t="s">
        <v>15</v>
      </c>
      <c r="H493" s="49" t="s">
        <v>113</v>
      </c>
      <c r="I493" s="50"/>
    </row>
    <row r="494" spans="1:9" outlineLevel="1" x14ac:dyDescent="0.25">
      <c r="A494" s="75">
        <v>17</v>
      </c>
      <c r="B494" s="50" t="s">
        <v>294</v>
      </c>
      <c r="C494" s="49">
        <v>1</v>
      </c>
      <c r="D494" s="64">
        <v>19</v>
      </c>
      <c r="E494" s="64">
        <v>30</v>
      </c>
      <c r="F494" s="64">
        <f t="shared" si="15"/>
        <v>11</v>
      </c>
      <c r="G494" s="49" t="s">
        <v>15</v>
      </c>
      <c r="H494" s="49" t="s">
        <v>113</v>
      </c>
      <c r="I494" s="50"/>
    </row>
    <row r="495" spans="1:9" outlineLevel="1" x14ac:dyDescent="0.25">
      <c r="A495" s="75">
        <v>18</v>
      </c>
      <c r="B495" s="50" t="s">
        <v>295</v>
      </c>
      <c r="C495" s="49">
        <v>1</v>
      </c>
      <c r="D495" s="64">
        <v>12</v>
      </c>
      <c r="E495" s="64">
        <v>20</v>
      </c>
      <c r="F495" s="64">
        <f t="shared" si="15"/>
        <v>8</v>
      </c>
      <c r="G495" s="49" t="s">
        <v>15</v>
      </c>
      <c r="H495" s="49" t="s">
        <v>113</v>
      </c>
      <c r="I495" s="50"/>
    </row>
    <row r="496" spans="1:9" outlineLevel="1" x14ac:dyDescent="0.25">
      <c r="A496" s="75">
        <v>19</v>
      </c>
      <c r="B496" s="50" t="s">
        <v>296</v>
      </c>
      <c r="C496" s="49">
        <v>1</v>
      </c>
      <c r="D496" s="64">
        <v>2</v>
      </c>
      <c r="E496" s="64">
        <v>20</v>
      </c>
      <c r="F496" s="64">
        <f t="shared" si="15"/>
        <v>18</v>
      </c>
      <c r="G496" s="49" t="s">
        <v>15</v>
      </c>
      <c r="H496" s="49" t="s">
        <v>113</v>
      </c>
      <c r="I496" s="50"/>
    </row>
    <row r="497" spans="1:9" outlineLevel="1" x14ac:dyDescent="0.25">
      <c r="A497" s="75">
        <v>20</v>
      </c>
      <c r="B497" s="50" t="s">
        <v>293</v>
      </c>
      <c r="C497" s="49">
        <v>1</v>
      </c>
      <c r="D497" s="64">
        <v>28</v>
      </c>
      <c r="E497" s="64">
        <v>50</v>
      </c>
      <c r="F497" s="64">
        <f t="shared" si="15"/>
        <v>22</v>
      </c>
      <c r="G497" s="49" t="s">
        <v>15</v>
      </c>
      <c r="H497" s="49" t="s">
        <v>113</v>
      </c>
      <c r="I497" s="50"/>
    </row>
    <row r="498" spans="1:9" outlineLevel="1" x14ac:dyDescent="0.25">
      <c r="A498" s="75">
        <v>21</v>
      </c>
      <c r="B498" s="50" t="s">
        <v>293</v>
      </c>
      <c r="C498" s="49">
        <v>1</v>
      </c>
      <c r="D498" s="64">
        <v>28</v>
      </c>
      <c r="E498" s="64">
        <v>50</v>
      </c>
      <c r="F498" s="64">
        <f t="shared" si="15"/>
        <v>22</v>
      </c>
      <c r="G498" s="49" t="s">
        <v>15</v>
      </c>
      <c r="H498" s="49" t="s">
        <v>113</v>
      </c>
      <c r="I498" s="50"/>
    </row>
    <row r="499" spans="1:9" outlineLevel="1" x14ac:dyDescent="0.25">
      <c r="A499" s="75">
        <v>22</v>
      </c>
      <c r="B499" s="50" t="s">
        <v>293</v>
      </c>
      <c r="C499" s="49">
        <v>1</v>
      </c>
      <c r="D499" s="64">
        <v>28</v>
      </c>
      <c r="E499" s="64">
        <v>65</v>
      </c>
      <c r="F499" s="64">
        <f t="shared" si="15"/>
        <v>37</v>
      </c>
      <c r="G499" s="49" t="s">
        <v>15</v>
      </c>
      <c r="H499" s="49" t="s">
        <v>113</v>
      </c>
      <c r="I499" s="50"/>
    </row>
    <row r="500" spans="1:9" outlineLevel="1" x14ac:dyDescent="0.25">
      <c r="A500" s="75">
        <v>23</v>
      </c>
      <c r="B500" s="50" t="s">
        <v>298</v>
      </c>
      <c r="C500" s="49">
        <v>1</v>
      </c>
      <c r="D500" s="64">
        <v>100</v>
      </c>
      <c r="E500" s="64">
        <v>200</v>
      </c>
      <c r="F500" s="64">
        <f t="shared" si="15"/>
        <v>100</v>
      </c>
      <c r="G500" s="49" t="s">
        <v>15</v>
      </c>
      <c r="H500" s="49" t="s">
        <v>113</v>
      </c>
      <c r="I500" s="50"/>
    </row>
    <row r="501" spans="1:9" outlineLevel="1" x14ac:dyDescent="0.25">
      <c r="A501" s="75">
        <v>24</v>
      </c>
      <c r="B501" s="50" t="s">
        <v>299</v>
      </c>
      <c r="C501" s="49">
        <v>1</v>
      </c>
      <c r="D501" s="64">
        <v>10</v>
      </c>
      <c r="E501" s="64">
        <v>15</v>
      </c>
      <c r="F501" s="64">
        <f t="shared" si="15"/>
        <v>5</v>
      </c>
      <c r="G501" s="49" t="s">
        <v>15</v>
      </c>
      <c r="H501" s="49" t="s">
        <v>113</v>
      </c>
      <c r="I501" s="50"/>
    </row>
    <row r="502" spans="1:9" outlineLevel="1" x14ac:dyDescent="0.25">
      <c r="A502" s="75">
        <v>25</v>
      </c>
      <c r="B502" s="50" t="s">
        <v>304</v>
      </c>
      <c r="C502" s="49">
        <v>1</v>
      </c>
      <c r="D502" s="64">
        <v>10</v>
      </c>
      <c r="E502" s="64">
        <v>25</v>
      </c>
      <c r="F502" s="64">
        <f t="shared" si="15"/>
        <v>15</v>
      </c>
      <c r="G502" s="49" t="s">
        <v>15</v>
      </c>
      <c r="H502" s="49" t="s">
        <v>113</v>
      </c>
      <c r="I502" s="50"/>
    </row>
    <row r="503" spans="1:9" outlineLevel="1" x14ac:dyDescent="0.25">
      <c r="A503" s="75">
        <v>26</v>
      </c>
      <c r="B503" s="50" t="s">
        <v>305</v>
      </c>
      <c r="C503" s="49">
        <v>1</v>
      </c>
      <c r="D503" s="64">
        <v>28</v>
      </c>
      <c r="E503" s="64">
        <v>45</v>
      </c>
      <c r="F503" s="64">
        <f t="shared" si="15"/>
        <v>17</v>
      </c>
      <c r="G503" s="49" t="s">
        <v>15</v>
      </c>
      <c r="H503" s="49" t="s">
        <v>114</v>
      </c>
      <c r="I503" s="50" t="s">
        <v>306</v>
      </c>
    </row>
    <row r="504" spans="1:9" outlineLevel="1" x14ac:dyDescent="0.25">
      <c r="A504" s="75">
        <v>27</v>
      </c>
      <c r="B504" s="50" t="s">
        <v>288</v>
      </c>
      <c r="C504" s="49">
        <v>1</v>
      </c>
      <c r="D504" s="64">
        <v>16</v>
      </c>
      <c r="E504" s="64">
        <v>30</v>
      </c>
      <c r="F504" s="64">
        <f t="shared" si="15"/>
        <v>14</v>
      </c>
      <c r="G504" s="49" t="s">
        <v>15</v>
      </c>
      <c r="H504" s="49" t="s">
        <v>113</v>
      </c>
      <c r="I504" s="50"/>
    </row>
    <row r="505" spans="1:9" outlineLevel="1" x14ac:dyDescent="0.25">
      <c r="A505" s="75">
        <v>28</v>
      </c>
      <c r="B505" s="50" t="s">
        <v>288</v>
      </c>
      <c r="C505" s="49">
        <v>1</v>
      </c>
      <c r="D505" s="64">
        <v>16</v>
      </c>
      <c r="E505" s="64">
        <v>30</v>
      </c>
      <c r="F505" s="64">
        <f t="shared" si="15"/>
        <v>14</v>
      </c>
      <c r="G505" s="49" t="s">
        <v>15</v>
      </c>
      <c r="H505" s="49" t="s">
        <v>113</v>
      </c>
      <c r="I505" s="50"/>
    </row>
    <row r="506" spans="1:9" outlineLevel="1" x14ac:dyDescent="0.25">
      <c r="A506" s="75">
        <v>29</v>
      </c>
      <c r="B506" s="50" t="s">
        <v>307</v>
      </c>
      <c r="C506" s="49">
        <v>1</v>
      </c>
      <c r="D506" s="64">
        <v>10</v>
      </c>
      <c r="E506" s="64">
        <v>20</v>
      </c>
      <c r="F506" s="64">
        <f t="shared" si="15"/>
        <v>10</v>
      </c>
      <c r="G506" s="49" t="s">
        <v>15</v>
      </c>
      <c r="H506" s="49" t="s">
        <v>113</v>
      </c>
      <c r="I506" s="50"/>
    </row>
    <row r="507" spans="1:9" outlineLevel="1" x14ac:dyDescent="0.25">
      <c r="A507" s="75">
        <v>30</v>
      </c>
      <c r="B507" s="50" t="s">
        <v>307</v>
      </c>
      <c r="C507" s="49">
        <v>1</v>
      </c>
      <c r="D507" s="64">
        <v>10</v>
      </c>
      <c r="E507" s="64">
        <v>20</v>
      </c>
      <c r="F507" s="64">
        <f t="shared" si="15"/>
        <v>10</v>
      </c>
      <c r="G507" s="49" t="s">
        <v>15</v>
      </c>
      <c r="H507" s="49" t="s">
        <v>113</v>
      </c>
      <c r="I507" s="50"/>
    </row>
    <row r="508" spans="1:9" outlineLevel="1" x14ac:dyDescent="0.25">
      <c r="A508" s="75">
        <v>31</v>
      </c>
      <c r="B508" s="50" t="s">
        <v>308</v>
      </c>
      <c r="C508" s="49">
        <v>1</v>
      </c>
      <c r="D508" s="64">
        <v>7.5</v>
      </c>
      <c r="E508" s="64">
        <v>15</v>
      </c>
      <c r="F508" s="64">
        <f t="shared" si="15"/>
        <v>7.5</v>
      </c>
      <c r="G508" s="49" t="s">
        <v>15</v>
      </c>
      <c r="H508" s="49" t="s">
        <v>113</v>
      </c>
      <c r="I508" s="50"/>
    </row>
    <row r="509" spans="1:9" outlineLevel="1" x14ac:dyDescent="0.25">
      <c r="A509" s="75">
        <v>32</v>
      </c>
      <c r="B509" s="50" t="s">
        <v>309</v>
      </c>
      <c r="C509" s="49">
        <v>1</v>
      </c>
      <c r="D509" s="64">
        <v>1.5</v>
      </c>
      <c r="E509" s="64">
        <v>5</v>
      </c>
      <c r="F509" s="64">
        <f t="shared" si="15"/>
        <v>3.5</v>
      </c>
      <c r="G509" s="49" t="s">
        <v>15</v>
      </c>
      <c r="H509" s="49" t="s">
        <v>113</v>
      </c>
      <c r="I509" s="50"/>
    </row>
    <row r="510" spans="1:9" outlineLevel="1" x14ac:dyDescent="0.25">
      <c r="A510" s="75">
        <v>33</v>
      </c>
      <c r="B510" s="50" t="s">
        <v>309</v>
      </c>
      <c r="C510" s="49">
        <v>1</v>
      </c>
      <c r="D510" s="64">
        <v>1.5</v>
      </c>
      <c r="E510" s="64">
        <v>5</v>
      </c>
      <c r="F510" s="64">
        <f t="shared" si="15"/>
        <v>3.5</v>
      </c>
      <c r="G510" s="49" t="s">
        <v>15</v>
      </c>
      <c r="H510" s="49" t="s">
        <v>113</v>
      </c>
      <c r="I510" s="50"/>
    </row>
    <row r="511" spans="1:9" outlineLevel="1" x14ac:dyDescent="0.25">
      <c r="A511" s="75">
        <v>34</v>
      </c>
      <c r="B511" s="50" t="s">
        <v>69</v>
      </c>
      <c r="C511" s="49">
        <v>1</v>
      </c>
      <c r="D511" s="64">
        <v>0</v>
      </c>
      <c r="E511" s="64">
        <v>50</v>
      </c>
      <c r="F511" s="64">
        <f t="shared" si="15"/>
        <v>50</v>
      </c>
      <c r="G511" s="49" t="s">
        <v>15</v>
      </c>
      <c r="H511" s="49" t="s">
        <v>113</v>
      </c>
      <c r="I511" s="50"/>
    </row>
    <row r="512" spans="1:9" outlineLevel="1" x14ac:dyDescent="0.25">
      <c r="A512" s="75">
        <v>35</v>
      </c>
      <c r="B512" s="50" t="s">
        <v>310</v>
      </c>
      <c r="C512" s="49">
        <v>1</v>
      </c>
      <c r="D512" s="64">
        <v>0</v>
      </c>
      <c r="E512" s="64">
        <v>70</v>
      </c>
      <c r="F512" s="64">
        <f t="shared" si="15"/>
        <v>70</v>
      </c>
      <c r="G512" s="49" t="s">
        <v>15</v>
      </c>
      <c r="H512" s="49" t="s">
        <v>113</v>
      </c>
      <c r="I512" s="50"/>
    </row>
    <row r="513" spans="1:9" outlineLevel="1" x14ac:dyDescent="0.25">
      <c r="A513" s="75">
        <v>36</v>
      </c>
      <c r="B513" s="50" t="s">
        <v>311</v>
      </c>
      <c r="C513" s="49">
        <v>1</v>
      </c>
      <c r="D513" s="64">
        <v>13</v>
      </c>
      <c r="E513" s="64">
        <v>30</v>
      </c>
      <c r="F513" s="64">
        <f t="shared" si="15"/>
        <v>17</v>
      </c>
      <c r="G513" s="49" t="s">
        <v>15</v>
      </c>
      <c r="H513" s="49" t="s">
        <v>113</v>
      </c>
      <c r="I513" s="50"/>
    </row>
    <row r="514" spans="1:9" outlineLevel="1" x14ac:dyDescent="0.25">
      <c r="A514" s="75">
        <v>37</v>
      </c>
      <c r="B514" s="50" t="s">
        <v>312</v>
      </c>
      <c r="C514" s="49">
        <v>1</v>
      </c>
      <c r="D514" s="64">
        <v>6</v>
      </c>
      <c r="E514" s="64">
        <v>12</v>
      </c>
      <c r="F514" s="64">
        <f t="shared" si="15"/>
        <v>6</v>
      </c>
      <c r="G514" s="49" t="s">
        <v>15</v>
      </c>
      <c r="H514" s="49" t="s">
        <v>113</v>
      </c>
      <c r="I514" s="50"/>
    </row>
    <row r="515" spans="1:9" outlineLevel="1" x14ac:dyDescent="0.25">
      <c r="A515" s="75">
        <v>38</v>
      </c>
      <c r="B515" s="50" t="s">
        <v>313</v>
      </c>
      <c r="C515" s="49">
        <v>1</v>
      </c>
      <c r="D515" s="64">
        <v>28</v>
      </c>
      <c r="E515" s="64">
        <v>50</v>
      </c>
      <c r="F515" s="64">
        <f t="shared" si="15"/>
        <v>22</v>
      </c>
      <c r="G515" s="49" t="s">
        <v>15</v>
      </c>
      <c r="H515" s="49" t="s">
        <v>113</v>
      </c>
      <c r="I515" s="50"/>
    </row>
    <row r="516" spans="1:9" outlineLevel="1" x14ac:dyDescent="0.25">
      <c r="A516" s="75">
        <v>39</v>
      </c>
      <c r="B516" s="50" t="s">
        <v>313</v>
      </c>
      <c r="C516" s="49">
        <v>1</v>
      </c>
      <c r="D516" s="64">
        <v>28</v>
      </c>
      <c r="E516" s="64">
        <v>65</v>
      </c>
      <c r="F516" s="64">
        <f t="shared" si="15"/>
        <v>37</v>
      </c>
      <c r="G516" s="49" t="s">
        <v>15</v>
      </c>
      <c r="H516" s="49" t="s">
        <v>113</v>
      </c>
      <c r="I516" s="50"/>
    </row>
    <row r="517" spans="1:9" outlineLevel="1" x14ac:dyDescent="0.25">
      <c r="A517" s="75">
        <v>40</v>
      </c>
      <c r="B517" s="52" t="s">
        <v>132</v>
      </c>
      <c r="C517" s="67">
        <v>4</v>
      </c>
      <c r="D517" s="68">
        <v>28</v>
      </c>
      <c r="E517" s="68">
        <v>38.46</v>
      </c>
      <c r="F517" s="64">
        <f t="shared" ref="F517:F557" si="16">E517-D517</f>
        <v>10.46</v>
      </c>
      <c r="G517" s="49" t="s">
        <v>15</v>
      </c>
      <c r="H517" s="49"/>
      <c r="I517" s="50"/>
    </row>
    <row r="518" spans="1:9" outlineLevel="1" x14ac:dyDescent="0.25">
      <c r="A518" s="75">
        <v>41</v>
      </c>
      <c r="B518" s="52" t="s">
        <v>214</v>
      </c>
      <c r="C518" s="67">
        <v>1</v>
      </c>
      <c r="D518" s="68">
        <v>9</v>
      </c>
      <c r="E518" s="68">
        <v>11.55</v>
      </c>
      <c r="F518" s="64">
        <f t="shared" si="16"/>
        <v>2.5500000000000007</v>
      </c>
      <c r="G518" s="49" t="s">
        <v>15</v>
      </c>
      <c r="H518" s="49"/>
      <c r="I518" s="50"/>
    </row>
    <row r="519" spans="1:9" outlineLevel="1" x14ac:dyDescent="0.25">
      <c r="A519" s="75">
        <v>42</v>
      </c>
      <c r="B519" s="52" t="s">
        <v>314</v>
      </c>
      <c r="C519" s="67">
        <v>1</v>
      </c>
      <c r="D519" s="68">
        <v>0</v>
      </c>
      <c r="E519" s="68">
        <v>19.989999999999998</v>
      </c>
      <c r="F519" s="64">
        <f t="shared" si="16"/>
        <v>19.989999999999998</v>
      </c>
      <c r="G519" s="49" t="s">
        <v>15</v>
      </c>
      <c r="H519" s="49"/>
      <c r="I519" s="50"/>
    </row>
    <row r="520" spans="1:9" outlineLevel="1" x14ac:dyDescent="0.25">
      <c r="A520" s="75">
        <v>43</v>
      </c>
      <c r="B520" s="52" t="s">
        <v>215</v>
      </c>
      <c r="C520" s="67">
        <v>1</v>
      </c>
      <c r="D520" s="68">
        <v>20</v>
      </c>
      <c r="E520" s="68">
        <v>26.75</v>
      </c>
      <c r="F520" s="64">
        <f t="shared" si="16"/>
        <v>6.75</v>
      </c>
      <c r="G520" s="49" t="s">
        <v>15</v>
      </c>
      <c r="H520" s="49"/>
      <c r="I520" s="50"/>
    </row>
    <row r="521" spans="1:9" outlineLevel="1" x14ac:dyDescent="0.25">
      <c r="A521" s="75">
        <v>44</v>
      </c>
      <c r="B521" s="52" t="s">
        <v>216</v>
      </c>
      <c r="C521" s="67">
        <v>6</v>
      </c>
      <c r="D521" s="68">
        <v>180</v>
      </c>
      <c r="E521" s="68">
        <v>305.25</v>
      </c>
      <c r="F521" s="64">
        <f t="shared" si="16"/>
        <v>125.25</v>
      </c>
      <c r="G521" s="49" t="s">
        <v>15</v>
      </c>
      <c r="H521" s="49"/>
      <c r="I521" s="50"/>
    </row>
    <row r="522" spans="1:9" outlineLevel="1" x14ac:dyDescent="0.25">
      <c r="A522" s="75">
        <v>45</v>
      </c>
      <c r="B522" s="52" t="s">
        <v>217</v>
      </c>
      <c r="C522" s="67">
        <v>16</v>
      </c>
      <c r="D522" s="68">
        <v>19.2</v>
      </c>
      <c r="E522" s="68">
        <v>40.42</v>
      </c>
      <c r="F522" s="64">
        <f t="shared" si="16"/>
        <v>21.220000000000002</v>
      </c>
      <c r="G522" s="49" t="s">
        <v>15</v>
      </c>
      <c r="H522" s="49"/>
      <c r="I522" s="50"/>
    </row>
    <row r="523" spans="1:9" outlineLevel="1" x14ac:dyDescent="0.25">
      <c r="A523" s="75">
        <v>46</v>
      </c>
      <c r="B523" s="52" t="s">
        <v>181</v>
      </c>
      <c r="C523" s="67">
        <v>2</v>
      </c>
      <c r="D523" s="68">
        <v>1.4</v>
      </c>
      <c r="E523" s="68">
        <v>4.4800000000000004</v>
      </c>
      <c r="F523" s="64">
        <f t="shared" si="16"/>
        <v>3.0800000000000005</v>
      </c>
      <c r="G523" s="49" t="s">
        <v>15</v>
      </c>
      <c r="H523" s="49"/>
      <c r="I523" s="50"/>
    </row>
    <row r="524" spans="1:9" outlineLevel="1" x14ac:dyDescent="0.25">
      <c r="A524" s="75">
        <v>47</v>
      </c>
      <c r="B524" s="52" t="s">
        <v>73</v>
      </c>
      <c r="C524" s="67">
        <v>15</v>
      </c>
      <c r="D524" s="68">
        <v>15</v>
      </c>
      <c r="E524" s="68">
        <v>22.84</v>
      </c>
      <c r="F524" s="64">
        <f t="shared" si="16"/>
        <v>7.84</v>
      </c>
      <c r="G524" s="49" t="s">
        <v>15</v>
      </c>
      <c r="H524" s="49"/>
      <c r="I524" s="50"/>
    </row>
    <row r="525" spans="1:9" outlineLevel="1" x14ac:dyDescent="0.25">
      <c r="A525" s="75">
        <v>48</v>
      </c>
      <c r="B525" s="52" t="s">
        <v>315</v>
      </c>
      <c r="C525" s="67">
        <v>1</v>
      </c>
      <c r="D525" s="68">
        <v>13</v>
      </c>
      <c r="E525" s="68">
        <v>23.43</v>
      </c>
      <c r="F525" s="64">
        <f t="shared" si="16"/>
        <v>10.43</v>
      </c>
      <c r="G525" s="49" t="s">
        <v>15</v>
      </c>
      <c r="H525" s="49"/>
      <c r="I525" s="50"/>
    </row>
    <row r="526" spans="1:9" outlineLevel="1" x14ac:dyDescent="0.25">
      <c r="A526" s="75">
        <v>49</v>
      </c>
      <c r="B526" s="52" t="s">
        <v>198</v>
      </c>
      <c r="C526" s="67">
        <v>3</v>
      </c>
      <c r="D526" s="68">
        <v>4.8000000000000007</v>
      </c>
      <c r="E526" s="68">
        <v>8.15</v>
      </c>
      <c r="F526" s="64">
        <f t="shared" si="16"/>
        <v>3.3499999999999996</v>
      </c>
      <c r="G526" s="49" t="s">
        <v>15</v>
      </c>
      <c r="H526" s="49"/>
      <c r="I526" s="50"/>
    </row>
    <row r="527" spans="1:9" outlineLevel="1" x14ac:dyDescent="0.25">
      <c r="A527" s="75">
        <v>50</v>
      </c>
      <c r="B527" s="52" t="s">
        <v>139</v>
      </c>
      <c r="C527" s="67">
        <v>2</v>
      </c>
      <c r="D527" s="68">
        <v>28</v>
      </c>
      <c r="E527" s="68">
        <v>54</v>
      </c>
      <c r="F527" s="64">
        <f t="shared" si="16"/>
        <v>26</v>
      </c>
      <c r="G527" s="49" t="s">
        <v>15</v>
      </c>
      <c r="H527" s="49"/>
      <c r="I527" s="50"/>
    </row>
    <row r="528" spans="1:9" outlineLevel="1" x14ac:dyDescent="0.25">
      <c r="A528" s="75">
        <v>51</v>
      </c>
      <c r="B528" s="52" t="s">
        <v>316</v>
      </c>
      <c r="C528" s="67">
        <v>1</v>
      </c>
      <c r="D528" s="68">
        <v>8</v>
      </c>
      <c r="E528" s="68">
        <v>20.88</v>
      </c>
      <c r="F528" s="64">
        <f t="shared" si="16"/>
        <v>12.879999999999999</v>
      </c>
      <c r="G528" s="49" t="s">
        <v>15</v>
      </c>
      <c r="H528" s="49"/>
      <c r="I528" s="50"/>
    </row>
    <row r="529" spans="1:9" outlineLevel="1" x14ac:dyDescent="0.25">
      <c r="A529" s="75">
        <v>52</v>
      </c>
      <c r="B529" s="52" t="s">
        <v>317</v>
      </c>
      <c r="C529" s="67">
        <v>2</v>
      </c>
      <c r="D529" s="68">
        <v>4</v>
      </c>
      <c r="E529" s="68">
        <v>12.96</v>
      </c>
      <c r="F529" s="64">
        <f t="shared" si="16"/>
        <v>8.9600000000000009</v>
      </c>
      <c r="G529" s="49" t="s">
        <v>15</v>
      </c>
      <c r="H529" s="49"/>
      <c r="I529" s="50"/>
    </row>
    <row r="530" spans="1:9" outlineLevel="1" x14ac:dyDescent="0.25">
      <c r="A530" s="75">
        <v>53</v>
      </c>
      <c r="B530" s="52" t="s">
        <v>318</v>
      </c>
      <c r="C530" s="67">
        <v>2</v>
      </c>
      <c r="D530" s="68">
        <v>38</v>
      </c>
      <c r="E530" s="68">
        <v>83.9</v>
      </c>
      <c r="F530" s="64">
        <f t="shared" si="16"/>
        <v>45.900000000000006</v>
      </c>
      <c r="G530" s="49" t="s">
        <v>15</v>
      </c>
      <c r="H530" s="49"/>
      <c r="I530" s="50"/>
    </row>
    <row r="531" spans="1:9" outlineLevel="1" x14ac:dyDescent="0.25">
      <c r="A531" s="75">
        <v>54</v>
      </c>
      <c r="B531" s="52" t="s">
        <v>95</v>
      </c>
      <c r="C531" s="67">
        <v>1</v>
      </c>
      <c r="D531" s="68">
        <v>5</v>
      </c>
      <c r="E531" s="68">
        <v>7.48</v>
      </c>
      <c r="F531" s="64">
        <f t="shared" si="16"/>
        <v>2.4800000000000004</v>
      </c>
      <c r="G531" s="49" t="s">
        <v>15</v>
      </c>
      <c r="H531" s="49"/>
      <c r="I531" s="50"/>
    </row>
    <row r="532" spans="1:9" outlineLevel="1" x14ac:dyDescent="0.25">
      <c r="A532" s="75">
        <v>55</v>
      </c>
      <c r="B532" s="52" t="s">
        <v>83</v>
      </c>
      <c r="C532" s="67">
        <v>1</v>
      </c>
      <c r="D532" s="68">
        <v>20</v>
      </c>
      <c r="E532" s="68">
        <v>51.68</v>
      </c>
      <c r="F532" s="64">
        <f t="shared" si="16"/>
        <v>31.68</v>
      </c>
      <c r="G532" s="49" t="s">
        <v>15</v>
      </c>
      <c r="H532" s="49"/>
      <c r="I532" s="50"/>
    </row>
    <row r="533" spans="1:9" outlineLevel="1" x14ac:dyDescent="0.25">
      <c r="A533" s="75">
        <v>56</v>
      </c>
      <c r="B533" s="52" t="s">
        <v>97</v>
      </c>
      <c r="C533" s="67">
        <v>1</v>
      </c>
      <c r="D533" s="68">
        <v>4</v>
      </c>
      <c r="E533" s="68">
        <v>13.5</v>
      </c>
      <c r="F533" s="64">
        <f t="shared" si="16"/>
        <v>9.5</v>
      </c>
      <c r="G533" s="49" t="s">
        <v>15</v>
      </c>
      <c r="H533" s="49"/>
      <c r="I533" s="50"/>
    </row>
    <row r="534" spans="1:9" outlineLevel="1" x14ac:dyDescent="0.25">
      <c r="A534" s="75">
        <v>57</v>
      </c>
      <c r="B534" s="52" t="s">
        <v>177</v>
      </c>
      <c r="C534" s="67">
        <v>1</v>
      </c>
      <c r="D534" s="68">
        <v>40</v>
      </c>
      <c r="E534" s="68">
        <v>69.989999999999995</v>
      </c>
      <c r="F534" s="64">
        <f t="shared" si="16"/>
        <v>29.989999999999995</v>
      </c>
      <c r="G534" s="49" t="s">
        <v>15</v>
      </c>
      <c r="H534" s="49"/>
      <c r="I534" s="50"/>
    </row>
    <row r="535" spans="1:9" outlineLevel="1" x14ac:dyDescent="0.25">
      <c r="A535" s="75">
        <v>58</v>
      </c>
      <c r="B535" s="52" t="s">
        <v>319</v>
      </c>
      <c r="C535" s="67">
        <v>2</v>
      </c>
      <c r="D535" s="68">
        <v>12</v>
      </c>
      <c r="E535" s="68">
        <v>40.870000000000005</v>
      </c>
      <c r="F535" s="64">
        <f t="shared" si="16"/>
        <v>28.870000000000005</v>
      </c>
      <c r="G535" s="49" t="s">
        <v>15</v>
      </c>
      <c r="H535" s="49"/>
      <c r="I535" s="50"/>
    </row>
    <row r="536" spans="1:9" outlineLevel="1" x14ac:dyDescent="0.25">
      <c r="A536" s="75">
        <v>59</v>
      </c>
      <c r="B536" s="52" t="s">
        <v>320</v>
      </c>
      <c r="C536" s="67">
        <v>1</v>
      </c>
      <c r="D536" s="68">
        <v>11</v>
      </c>
      <c r="E536" s="68">
        <v>15.53</v>
      </c>
      <c r="F536" s="64">
        <f t="shared" si="16"/>
        <v>4.5299999999999994</v>
      </c>
      <c r="G536" s="49" t="s">
        <v>15</v>
      </c>
      <c r="H536" s="49"/>
      <c r="I536" s="50"/>
    </row>
    <row r="537" spans="1:9" outlineLevel="1" x14ac:dyDescent="0.25">
      <c r="A537" s="75">
        <v>60</v>
      </c>
      <c r="B537" s="52" t="s">
        <v>220</v>
      </c>
      <c r="C537" s="67">
        <v>39</v>
      </c>
      <c r="D537" s="68">
        <v>1170</v>
      </c>
      <c r="E537" s="68">
        <v>2514.25</v>
      </c>
      <c r="F537" s="64">
        <f t="shared" si="16"/>
        <v>1344.25</v>
      </c>
      <c r="G537" s="49" t="s">
        <v>15</v>
      </c>
      <c r="H537" s="49"/>
      <c r="I537" s="50"/>
    </row>
    <row r="538" spans="1:9" outlineLevel="1" x14ac:dyDescent="0.25">
      <c r="A538" s="75">
        <v>61</v>
      </c>
      <c r="B538" s="52" t="s">
        <v>100</v>
      </c>
      <c r="C538" s="67">
        <v>1</v>
      </c>
      <c r="D538" s="68">
        <v>5</v>
      </c>
      <c r="E538" s="68">
        <v>11.26</v>
      </c>
      <c r="F538" s="64">
        <f t="shared" si="16"/>
        <v>6.26</v>
      </c>
      <c r="G538" s="49" t="s">
        <v>15</v>
      </c>
      <c r="H538" s="49"/>
      <c r="I538" s="50"/>
    </row>
    <row r="539" spans="1:9" outlineLevel="1" x14ac:dyDescent="0.25">
      <c r="A539" s="75">
        <v>62</v>
      </c>
      <c r="B539" s="52" t="s">
        <v>321</v>
      </c>
      <c r="C539" s="67">
        <v>1</v>
      </c>
      <c r="D539" s="68">
        <v>1</v>
      </c>
      <c r="E539" s="68">
        <v>1.39</v>
      </c>
      <c r="F539" s="64">
        <f t="shared" si="16"/>
        <v>0.3899999999999999</v>
      </c>
      <c r="G539" s="49" t="s">
        <v>15</v>
      </c>
      <c r="H539" s="49"/>
      <c r="I539" s="50"/>
    </row>
    <row r="540" spans="1:9" outlineLevel="1" x14ac:dyDescent="0.25">
      <c r="A540" s="75">
        <v>63</v>
      </c>
      <c r="B540" s="52" t="s">
        <v>125</v>
      </c>
      <c r="C540" s="67">
        <v>2</v>
      </c>
      <c r="D540" s="68">
        <v>14</v>
      </c>
      <c r="E540" s="68">
        <v>21.26</v>
      </c>
      <c r="F540" s="64">
        <f t="shared" si="16"/>
        <v>7.2600000000000016</v>
      </c>
      <c r="G540" s="49" t="s">
        <v>15</v>
      </c>
      <c r="H540" s="49"/>
      <c r="I540" s="50"/>
    </row>
    <row r="541" spans="1:9" outlineLevel="1" x14ac:dyDescent="0.25">
      <c r="A541" s="75">
        <v>64</v>
      </c>
      <c r="B541" s="52" t="s">
        <v>223</v>
      </c>
      <c r="C541" s="67">
        <v>17</v>
      </c>
      <c r="D541" s="68">
        <v>119</v>
      </c>
      <c r="E541" s="68">
        <v>236.75</v>
      </c>
      <c r="F541" s="64">
        <f t="shared" si="16"/>
        <v>117.75</v>
      </c>
      <c r="G541" s="49" t="s">
        <v>15</v>
      </c>
      <c r="H541" s="49"/>
      <c r="I541" s="50"/>
    </row>
    <row r="542" spans="1:9" outlineLevel="1" x14ac:dyDescent="0.25">
      <c r="A542" s="75">
        <v>65</v>
      </c>
      <c r="B542" s="52" t="s">
        <v>322</v>
      </c>
      <c r="C542" s="67">
        <v>1</v>
      </c>
      <c r="D542" s="68">
        <v>10</v>
      </c>
      <c r="E542" s="68">
        <v>21.21</v>
      </c>
      <c r="F542" s="64">
        <f t="shared" si="16"/>
        <v>11.21</v>
      </c>
      <c r="G542" s="49" t="s">
        <v>15</v>
      </c>
      <c r="H542" s="49"/>
      <c r="I542" s="50"/>
    </row>
    <row r="543" spans="1:9" outlineLevel="1" x14ac:dyDescent="0.25">
      <c r="A543" s="75">
        <v>66</v>
      </c>
      <c r="B543" s="52" t="s">
        <v>225</v>
      </c>
      <c r="C543" s="67">
        <v>1</v>
      </c>
      <c r="D543" s="68">
        <v>35</v>
      </c>
      <c r="E543" s="68">
        <v>66.89</v>
      </c>
      <c r="F543" s="64">
        <f t="shared" si="16"/>
        <v>31.89</v>
      </c>
      <c r="G543" s="49" t="s">
        <v>15</v>
      </c>
      <c r="H543" s="49"/>
      <c r="I543" s="50"/>
    </row>
    <row r="544" spans="1:9" outlineLevel="1" x14ac:dyDescent="0.25">
      <c r="A544" s="75">
        <v>67</v>
      </c>
      <c r="B544" s="52" t="s">
        <v>76</v>
      </c>
      <c r="C544" s="67">
        <v>1</v>
      </c>
      <c r="D544" s="68">
        <v>20</v>
      </c>
      <c r="E544" s="68">
        <v>19.989999999999998</v>
      </c>
      <c r="F544" s="64">
        <f t="shared" si="16"/>
        <v>-1.0000000000001563E-2</v>
      </c>
      <c r="G544" s="49" t="s">
        <v>15</v>
      </c>
      <c r="H544" s="49"/>
      <c r="I544" s="50"/>
    </row>
    <row r="545" spans="1:9" outlineLevel="1" x14ac:dyDescent="0.25">
      <c r="A545" s="75">
        <v>68</v>
      </c>
      <c r="B545" s="52" t="s">
        <v>169</v>
      </c>
      <c r="C545" s="67">
        <v>1</v>
      </c>
      <c r="D545" s="68">
        <v>18</v>
      </c>
      <c r="E545" s="68">
        <v>31.31</v>
      </c>
      <c r="F545" s="64">
        <f t="shared" si="16"/>
        <v>13.309999999999999</v>
      </c>
      <c r="G545" s="49" t="s">
        <v>15</v>
      </c>
      <c r="H545" s="49"/>
      <c r="I545" s="50"/>
    </row>
    <row r="546" spans="1:9" outlineLevel="1" x14ac:dyDescent="0.25">
      <c r="A546" s="75">
        <v>69</v>
      </c>
      <c r="B546" s="52" t="s">
        <v>80</v>
      </c>
      <c r="C546" s="67">
        <v>4</v>
      </c>
      <c r="D546" s="68">
        <v>36</v>
      </c>
      <c r="E546" s="68">
        <v>70.67</v>
      </c>
      <c r="F546" s="64">
        <f t="shared" si="16"/>
        <v>34.67</v>
      </c>
      <c r="G546" s="49" t="s">
        <v>15</v>
      </c>
      <c r="H546" s="49"/>
      <c r="I546" s="50"/>
    </row>
    <row r="547" spans="1:9" outlineLevel="1" x14ac:dyDescent="0.25">
      <c r="A547" s="75">
        <v>70</v>
      </c>
      <c r="B547" s="52" t="s">
        <v>72</v>
      </c>
      <c r="C547" s="67">
        <v>5</v>
      </c>
      <c r="D547" s="68">
        <v>35</v>
      </c>
      <c r="E547" s="68">
        <v>68.349999999999994</v>
      </c>
      <c r="F547" s="64">
        <f t="shared" si="16"/>
        <v>33.349999999999994</v>
      </c>
      <c r="G547" s="49" t="s">
        <v>15</v>
      </c>
      <c r="H547" s="49"/>
      <c r="I547" s="50"/>
    </row>
    <row r="548" spans="1:9" outlineLevel="1" x14ac:dyDescent="0.25">
      <c r="A548" s="75">
        <v>71</v>
      </c>
      <c r="B548" s="52" t="s">
        <v>230</v>
      </c>
      <c r="C548" s="67">
        <v>1</v>
      </c>
      <c r="D548" s="68">
        <v>5</v>
      </c>
      <c r="E548" s="68">
        <v>8.27</v>
      </c>
      <c r="F548" s="64">
        <f t="shared" si="16"/>
        <v>3.2699999999999996</v>
      </c>
      <c r="G548" s="49" t="s">
        <v>15</v>
      </c>
      <c r="H548" s="49"/>
      <c r="I548" s="50"/>
    </row>
    <row r="549" spans="1:9" outlineLevel="1" x14ac:dyDescent="0.25">
      <c r="A549" s="75">
        <v>72</v>
      </c>
      <c r="B549" s="52" t="s">
        <v>261</v>
      </c>
      <c r="C549" s="67">
        <v>1</v>
      </c>
      <c r="D549" s="68">
        <v>5</v>
      </c>
      <c r="E549" s="68">
        <v>8.9</v>
      </c>
      <c r="F549" s="64">
        <f t="shared" si="16"/>
        <v>3.9000000000000004</v>
      </c>
      <c r="G549" s="49" t="s">
        <v>15</v>
      </c>
      <c r="H549" s="49"/>
      <c r="I549" s="50"/>
    </row>
    <row r="550" spans="1:9" outlineLevel="1" x14ac:dyDescent="0.25">
      <c r="A550" s="75">
        <v>73</v>
      </c>
      <c r="B550" s="52" t="s">
        <v>323</v>
      </c>
      <c r="C550" s="67">
        <v>1</v>
      </c>
      <c r="D550" s="68">
        <v>8</v>
      </c>
      <c r="E550" s="68">
        <v>25.31</v>
      </c>
      <c r="F550" s="64">
        <f t="shared" si="16"/>
        <v>17.309999999999999</v>
      </c>
      <c r="G550" s="49" t="s">
        <v>15</v>
      </c>
      <c r="H550" s="49"/>
      <c r="I550" s="50"/>
    </row>
    <row r="551" spans="1:9" outlineLevel="1" x14ac:dyDescent="0.25">
      <c r="A551" s="75">
        <v>74</v>
      </c>
      <c r="B551" s="52" t="s">
        <v>324</v>
      </c>
      <c r="C551" s="67">
        <v>1</v>
      </c>
      <c r="D551" s="68">
        <v>8</v>
      </c>
      <c r="E551" s="68">
        <v>10</v>
      </c>
      <c r="F551" s="64">
        <f t="shared" si="16"/>
        <v>2</v>
      </c>
      <c r="G551" s="49" t="s">
        <v>15</v>
      </c>
      <c r="H551" s="49"/>
      <c r="I551" s="50"/>
    </row>
    <row r="552" spans="1:9" outlineLevel="1" x14ac:dyDescent="0.25">
      <c r="A552" s="75">
        <v>75</v>
      </c>
      <c r="B552" s="52" t="s">
        <v>264</v>
      </c>
      <c r="C552" s="67">
        <v>1</v>
      </c>
      <c r="D552" s="68">
        <v>3</v>
      </c>
      <c r="E552" s="68">
        <v>9.99</v>
      </c>
      <c r="F552" s="64">
        <f t="shared" si="16"/>
        <v>6.99</v>
      </c>
      <c r="G552" s="49" t="s">
        <v>15</v>
      </c>
      <c r="H552" s="49"/>
      <c r="I552" s="50"/>
    </row>
    <row r="553" spans="1:9" outlineLevel="1" x14ac:dyDescent="0.25">
      <c r="A553" s="75">
        <v>76</v>
      </c>
      <c r="B553" s="52" t="s">
        <v>89</v>
      </c>
      <c r="C553" s="67">
        <v>3</v>
      </c>
      <c r="D553" s="68">
        <v>15</v>
      </c>
      <c r="E553" s="68">
        <v>28.94</v>
      </c>
      <c r="F553" s="64">
        <f t="shared" si="16"/>
        <v>13.940000000000001</v>
      </c>
      <c r="G553" s="49" t="s">
        <v>15</v>
      </c>
      <c r="H553" s="49"/>
      <c r="I553" s="50"/>
    </row>
    <row r="554" spans="1:9" outlineLevel="1" x14ac:dyDescent="0.25">
      <c r="A554" s="75">
        <v>77</v>
      </c>
      <c r="B554" s="52" t="s">
        <v>325</v>
      </c>
      <c r="C554" s="67">
        <v>1</v>
      </c>
      <c r="D554" s="68">
        <v>9</v>
      </c>
      <c r="E554" s="68">
        <v>18</v>
      </c>
      <c r="F554" s="64">
        <f t="shared" si="16"/>
        <v>9</v>
      </c>
      <c r="G554" s="49" t="s">
        <v>15</v>
      </c>
      <c r="H554" s="49"/>
      <c r="I554" s="50"/>
    </row>
    <row r="555" spans="1:9" outlineLevel="1" x14ac:dyDescent="0.25">
      <c r="A555" s="75">
        <v>78</v>
      </c>
      <c r="B555" s="52" t="s">
        <v>233</v>
      </c>
      <c r="C555" s="67">
        <v>1</v>
      </c>
      <c r="D555" s="68">
        <v>0.41666666666666669</v>
      </c>
      <c r="E555" s="68">
        <v>1.9</v>
      </c>
      <c r="F555" s="64">
        <f t="shared" si="16"/>
        <v>1.4833333333333332</v>
      </c>
      <c r="G555" s="49" t="s">
        <v>15</v>
      </c>
      <c r="H555" s="49"/>
      <c r="I555" s="50"/>
    </row>
    <row r="556" spans="1:9" outlineLevel="1" x14ac:dyDescent="0.25">
      <c r="A556" s="75">
        <v>79</v>
      </c>
      <c r="B556" s="52" t="s">
        <v>326</v>
      </c>
      <c r="C556" s="67">
        <v>14</v>
      </c>
      <c r="D556" s="68">
        <v>14</v>
      </c>
      <c r="E556" s="68">
        <v>37.25</v>
      </c>
      <c r="F556" s="64">
        <f t="shared" si="16"/>
        <v>23.25</v>
      </c>
      <c r="G556" s="49" t="s">
        <v>15</v>
      </c>
      <c r="H556" s="49"/>
      <c r="I556" s="50"/>
    </row>
    <row r="557" spans="1:9" outlineLevel="1" x14ac:dyDescent="0.25">
      <c r="A557" s="75">
        <v>80</v>
      </c>
      <c r="B557" s="52" t="s">
        <v>327</v>
      </c>
      <c r="C557" s="67">
        <v>2</v>
      </c>
      <c r="D557" s="68">
        <v>4</v>
      </c>
      <c r="E557" s="68">
        <v>29.11</v>
      </c>
      <c r="F557" s="64">
        <f t="shared" si="16"/>
        <v>25.11</v>
      </c>
      <c r="G557" s="49" t="s">
        <v>15</v>
      </c>
      <c r="H557" s="49"/>
      <c r="I557" s="50"/>
    </row>
    <row r="558" spans="1:9" outlineLevel="1" x14ac:dyDescent="0.25">
      <c r="A558" s="75">
        <v>81</v>
      </c>
      <c r="B558" s="50"/>
      <c r="C558" s="49"/>
      <c r="D558" s="64"/>
      <c r="E558" s="64"/>
      <c r="F558" s="64"/>
      <c r="G558" s="49"/>
      <c r="H558" s="49"/>
      <c r="I558" s="50"/>
    </row>
    <row r="559" spans="1:9" outlineLevel="1" x14ac:dyDescent="0.25">
      <c r="A559" s="75"/>
      <c r="B559" s="50"/>
      <c r="C559" s="49"/>
      <c r="D559" s="64"/>
      <c r="E559" s="64"/>
      <c r="F559" s="64"/>
      <c r="G559" s="49"/>
      <c r="H559" s="49"/>
      <c r="I559" s="50"/>
    </row>
    <row r="560" spans="1:9" ht="21" x14ac:dyDescent="0.25">
      <c r="A560" s="186" t="s">
        <v>49</v>
      </c>
      <c r="B560" s="187"/>
      <c r="C560" s="188"/>
      <c r="D560" s="72">
        <f>SUM(D561:D652)</f>
        <v>2017.2200000000003</v>
      </c>
      <c r="E560" s="72">
        <f>SUM(E561:E652)</f>
        <v>10125.51</v>
      </c>
      <c r="F560" s="72">
        <f>SUM(F561:F652)</f>
        <v>5233.8899999999994</v>
      </c>
      <c r="G560" s="73">
        <f>SUM(C561:C652)</f>
        <v>527</v>
      </c>
      <c r="H560" s="74">
        <f>G560-I560</f>
        <v>474</v>
      </c>
      <c r="I560" s="73">
        <f>COUNTIF(H561:H652,"bsb")</f>
        <v>53</v>
      </c>
    </row>
    <row r="561" spans="1:9" outlineLevel="1" x14ac:dyDescent="0.25">
      <c r="A561" s="49"/>
      <c r="B561" s="50" t="s">
        <v>369</v>
      </c>
      <c r="C561" s="49">
        <v>1</v>
      </c>
      <c r="D561" s="64">
        <v>22</v>
      </c>
      <c r="E561" s="64">
        <v>40</v>
      </c>
      <c r="F561" s="64">
        <f t="shared" ref="F561:F563" si="17">E561-D561</f>
        <v>18</v>
      </c>
      <c r="G561" s="49" t="s">
        <v>15</v>
      </c>
      <c r="H561" s="49" t="s">
        <v>113</v>
      </c>
      <c r="I561" s="50"/>
    </row>
    <row r="562" spans="1:9" outlineLevel="1" x14ac:dyDescent="0.25">
      <c r="A562" s="49"/>
      <c r="B562" s="50" t="s">
        <v>370</v>
      </c>
      <c r="C562" s="49">
        <v>1</v>
      </c>
      <c r="D562" s="64">
        <v>37</v>
      </c>
      <c r="E562" s="64">
        <v>80</v>
      </c>
      <c r="F562" s="64">
        <f t="shared" si="17"/>
        <v>43</v>
      </c>
      <c r="G562" s="49" t="s">
        <v>15</v>
      </c>
      <c r="H562" s="49" t="s">
        <v>113</v>
      </c>
      <c r="I562" s="50"/>
    </row>
    <row r="563" spans="1:9" outlineLevel="1" x14ac:dyDescent="0.25">
      <c r="A563" s="49"/>
      <c r="B563" s="50" t="s">
        <v>371</v>
      </c>
      <c r="C563" s="49">
        <v>1</v>
      </c>
      <c r="D563" s="64">
        <v>50</v>
      </c>
      <c r="E563" s="64">
        <v>80</v>
      </c>
      <c r="F563" s="64">
        <f t="shared" si="17"/>
        <v>30</v>
      </c>
      <c r="G563" s="49" t="s">
        <v>15</v>
      </c>
      <c r="H563" s="49" t="s">
        <v>113</v>
      </c>
      <c r="I563" s="50"/>
    </row>
    <row r="564" spans="1:9" outlineLevel="1" x14ac:dyDescent="0.25">
      <c r="A564" s="75">
        <v>88</v>
      </c>
      <c r="B564" s="50" t="s">
        <v>331</v>
      </c>
      <c r="C564" s="49">
        <v>1</v>
      </c>
      <c r="D564" s="64">
        <v>2</v>
      </c>
      <c r="E564" s="64">
        <v>5</v>
      </c>
      <c r="F564" s="64">
        <f t="shared" ref="F564:F595" si="18">E564-D564</f>
        <v>3</v>
      </c>
      <c r="G564" s="49" t="s">
        <v>15</v>
      </c>
      <c r="H564" s="49" t="s">
        <v>113</v>
      </c>
      <c r="I564" s="50"/>
    </row>
    <row r="565" spans="1:9" outlineLevel="1" x14ac:dyDescent="0.25">
      <c r="A565" s="75">
        <v>103</v>
      </c>
      <c r="B565" s="50" t="s">
        <v>346</v>
      </c>
      <c r="C565" s="49">
        <v>1</v>
      </c>
      <c r="D565" s="64">
        <v>3</v>
      </c>
      <c r="E565" s="64">
        <v>6</v>
      </c>
      <c r="F565" s="64">
        <f t="shared" si="18"/>
        <v>3</v>
      </c>
      <c r="G565" s="49" t="s">
        <v>15</v>
      </c>
      <c r="H565" s="49" t="s">
        <v>113</v>
      </c>
      <c r="I565" s="50"/>
    </row>
    <row r="566" spans="1:9" outlineLevel="1" x14ac:dyDescent="0.25">
      <c r="A566" s="75">
        <v>104</v>
      </c>
      <c r="B566" s="50" t="s">
        <v>346</v>
      </c>
      <c r="C566" s="49">
        <v>1</v>
      </c>
      <c r="D566" s="64">
        <v>3</v>
      </c>
      <c r="E566" s="64">
        <v>6</v>
      </c>
      <c r="F566" s="64">
        <f t="shared" si="18"/>
        <v>3</v>
      </c>
      <c r="G566" s="49" t="s">
        <v>15</v>
      </c>
      <c r="H566" s="49" t="s">
        <v>113</v>
      </c>
      <c r="I566" s="50"/>
    </row>
    <row r="567" spans="1:9" outlineLevel="1" x14ac:dyDescent="0.25">
      <c r="A567" s="75">
        <v>105</v>
      </c>
      <c r="B567" s="50" t="s">
        <v>346</v>
      </c>
      <c r="C567" s="49">
        <v>1</v>
      </c>
      <c r="D567" s="64">
        <v>3</v>
      </c>
      <c r="E567" s="64">
        <v>6</v>
      </c>
      <c r="F567" s="64">
        <f t="shared" si="18"/>
        <v>3</v>
      </c>
      <c r="G567" s="49" t="s">
        <v>15</v>
      </c>
      <c r="H567" s="49" t="s">
        <v>113</v>
      </c>
      <c r="I567" s="50"/>
    </row>
    <row r="568" spans="1:9" outlineLevel="1" x14ac:dyDescent="0.25">
      <c r="A568" s="75">
        <v>86</v>
      </c>
      <c r="B568" s="50" t="s">
        <v>337</v>
      </c>
      <c r="C568" s="49">
        <v>1</v>
      </c>
      <c r="D568" s="64">
        <v>5.5</v>
      </c>
      <c r="E568" s="64">
        <v>10</v>
      </c>
      <c r="F568" s="64">
        <f t="shared" si="18"/>
        <v>4.5</v>
      </c>
      <c r="G568" s="49" t="s">
        <v>15</v>
      </c>
      <c r="H568" s="49" t="s">
        <v>113</v>
      </c>
      <c r="I568" s="50"/>
    </row>
    <row r="569" spans="1:9" outlineLevel="1" x14ac:dyDescent="0.25">
      <c r="A569" s="75">
        <v>87</v>
      </c>
      <c r="B569" s="50" t="s">
        <v>338</v>
      </c>
      <c r="C569" s="49">
        <v>1</v>
      </c>
      <c r="D569" s="64">
        <v>8</v>
      </c>
      <c r="E569" s="64">
        <v>15</v>
      </c>
      <c r="F569" s="64">
        <f t="shared" si="18"/>
        <v>7</v>
      </c>
      <c r="G569" s="49" t="s">
        <v>15</v>
      </c>
      <c r="H569" s="49" t="s">
        <v>113</v>
      </c>
      <c r="I569" s="50"/>
    </row>
    <row r="570" spans="1:9" outlineLevel="1" x14ac:dyDescent="0.25">
      <c r="A570" s="75">
        <v>101</v>
      </c>
      <c r="B570" s="50" t="s">
        <v>345</v>
      </c>
      <c r="C570" s="49">
        <v>1</v>
      </c>
      <c r="D570" s="64">
        <v>3</v>
      </c>
      <c r="E570" s="64">
        <v>10</v>
      </c>
      <c r="F570" s="64">
        <f t="shared" si="18"/>
        <v>7</v>
      </c>
      <c r="G570" s="49" t="s">
        <v>15</v>
      </c>
      <c r="H570" s="49" t="s">
        <v>113</v>
      </c>
      <c r="I570" s="50"/>
    </row>
    <row r="571" spans="1:9" outlineLevel="1" x14ac:dyDescent="0.25">
      <c r="A571" s="75">
        <v>95</v>
      </c>
      <c r="B571" s="50" t="s">
        <v>340</v>
      </c>
      <c r="C571" s="49">
        <v>1</v>
      </c>
      <c r="D571" s="64">
        <v>14</v>
      </c>
      <c r="E571" s="64">
        <v>25</v>
      </c>
      <c r="F571" s="64">
        <f t="shared" si="18"/>
        <v>11</v>
      </c>
      <c r="G571" s="49" t="s">
        <v>15</v>
      </c>
      <c r="H571" s="49" t="s">
        <v>113</v>
      </c>
      <c r="I571" s="50"/>
    </row>
    <row r="572" spans="1:9" outlineLevel="1" x14ac:dyDescent="0.25">
      <c r="A572" s="75">
        <v>96</v>
      </c>
      <c r="B572" s="50" t="s">
        <v>340</v>
      </c>
      <c r="C572" s="49">
        <v>1</v>
      </c>
      <c r="D572" s="64">
        <v>14</v>
      </c>
      <c r="E572" s="64">
        <v>25</v>
      </c>
      <c r="F572" s="64">
        <f t="shared" si="18"/>
        <v>11</v>
      </c>
      <c r="G572" s="49" t="s">
        <v>15</v>
      </c>
      <c r="H572" s="49" t="s">
        <v>113</v>
      </c>
      <c r="I572" s="50"/>
    </row>
    <row r="573" spans="1:9" outlineLevel="1" x14ac:dyDescent="0.25">
      <c r="A573" s="75">
        <v>77</v>
      </c>
      <c r="B573" s="50" t="s">
        <v>331</v>
      </c>
      <c r="C573" s="49">
        <v>1</v>
      </c>
      <c r="D573" s="64">
        <v>18</v>
      </c>
      <c r="E573" s="64">
        <v>30</v>
      </c>
      <c r="F573" s="64">
        <f t="shared" si="18"/>
        <v>12</v>
      </c>
      <c r="G573" s="49" t="s">
        <v>15</v>
      </c>
      <c r="H573" s="49" t="s">
        <v>113</v>
      </c>
      <c r="I573" s="50"/>
    </row>
    <row r="574" spans="1:9" outlineLevel="1" x14ac:dyDescent="0.25">
      <c r="A574" s="75">
        <v>80</v>
      </c>
      <c r="B574" s="50" t="s">
        <v>333</v>
      </c>
      <c r="C574" s="49">
        <v>1</v>
      </c>
      <c r="D574" s="64">
        <v>12</v>
      </c>
      <c r="E574" s="64">
        <v>25</v>
      </c>
      <c r="F574" s="64">
        <f t="shared" si="18"/>
        <v>13</v>
      </c>
      <c r="G574" s="49" t="s">
        <v>15</v>
      </c>
      <c r="H574" s="49" t="s">
        <v>113</v>
      </c>
      <c r="I574" s="50"/>
    </row>
    <row r="575" spans="1:9" outlineLevel="1" x14ac:dyDescent="0.25">
      <c r="A575" s="75">
        <v>99</v>
      </c>
      <c r="B575" s="50" t="s">
        <v>343</v>
      </c>
      <c r="C575" s="49">
        <v>1</v>
      </c>
      <c r="D575" s="64">
        <v>6</v>
      </c>
      <c r="E575" s="64">
        <v>20</v>
      </c>
      <c r="F575" s="64">
        <f t="shared" si="18"/>
        <v>14</v>
      </c>
      <c r="G575" s="49" t="s">
        <v>15</v>
      </c>
      <c r="H575" s="49" t="s">
        <v>113</v>
      </c>
      <c r="I575" s="50"/>
    </row>
    <row r="576" spans="1:9" outlineLevel="1" x14ac:dyDescent="0.25">
      <c r="A576" s="75">
        <v>79</v>
      </c>
      <c r="B576" s="50" t="s">
        <v>332</v>
      </c>
      <c r="C576" s="49">
        <v>1</v>
      </c>
      <c r="D576" s="64">
        <v>15</v>
      </c>
      <c r="E576" s="64">
        <v>30</v>
      </c>
      <c r="F576" s="64">
        <f t="shared" si="18"/>
        <v>15</v>
      </c>
      <c r="G576" s="49" t="s">
        <v>15</v>
      </c>
      <c r="H576" s="49" t="s">
        <v>113</v>
      </c>
      <c r="I576" s="50"/>
    </row>
    <row r="577" spans="1:9" outlineLevel="1" x14ac:dyDescent="0.25">
      <c r="A577" s="75">
        <v>97</v>
      </c>
      <c r="B577" s="50" t="s">
        <v>341</v>
      </c>
      <c r="C577" s="49">
        <v>1</v>
      </c>
      <c r="D577" s="64">
        <v>25</v>
      </c>
      <c r="E577" s="64">
        <v>40</v>
      </c>
      <c r="F577" s="64">
        <f t="shared" si="18"/>
        <v>15</v>
      </c>
      <c r="G577" s="49" t="s">
        <v>15</v>
      </c>
      <c r="H577" s="49" t="s">
        <v>113</v>
      </c>
      <c r="I577" s="50"/>
    </row>
    <row r="578" spans="1:9" outlineLevel="1" x14ac:dyDescent="0.25">
      <c r="A578" s="75">
        <v>100</v>
      </c>
      <c r="B578" s="50" t="s">
        <v>344</v>
      </c>
      <c r="C578" s="49">
        <v>1</v>
      </c>
      <c r="D578" s="64">
        <v>14</v>
      </c>
      <c r="E578" s="64">
        <v>30</v>
      </c>
      <c r="F578" s="64">
        <f t="shared" si="18"/>
        <v>16</v>
      </c>
      <c r="G578" s="49" t="s">
        <v>15</v>
      </c>
      <c r="H578" s="49" t="s">
        <v>113</v>
      </c>
      <c r="I578" s="50"/>
    </row>
    <row r="579" spans="1:9" outlineLevel="1" x14ac:dyDescent="0.25">
      <c r="A579" s="75">
        <v>73</v>
      </c>
      <c r="B579" s="50" t="s">
        <v>329</v>
      </c>
      <c r="C579" s="49">
        <v>1</v>
      </c>
      <c r="D579" s="64">
        <v>18</v>
      </c>
      <c r="E579" s="64">
        <v>35</v>
      </c>
      <c r="F579" s="64">
        <f t="shared" si="18"/>
        <v>17</v>
      </c>
      <c r="G579" s="49" t="s">
        <v>15</v>
      </c>
      <c r="H579" s="49" t="s">
        <v>113</v>
      </c>
      <c r="I579" s="50"/>
    </row>
    <row r="580" spans="1:9" outlineLevel="1" x14ac:dyDescent="0.25">
      <c r="A580" s="75">
        <v>70</v>
      </c>
      <c r="B580" s="50" t="s">
        <v>163</v>
      </c>
      <c r="C580" s="49">
        <v>1</v>
      </c>
      <c r="D580" s="64">
        <v>7</v>
      </c>
      <c r="E580" s="64">
        <v>25</v>
      </c>
      <c r="F580" s="64">
        <f t="shared" si="18"/>
        <v>18</v>
      </c>
      <c r="G580" s="49" t="s">
        <v>15</v>
      </c>
      <c r="H580" s="49" t="s">
        <v>113</v>
      </c>
      <c r="I580" s="50"/>
    </row>
    <row r="581" spans="1:9" outlineLevel="1" x14ac:dyDescent="0.25">
      <c r="A581" s="75">
        <v>71</v>
      </c>
      <c r="B581" s="50" t="s">
        <v>163</v>
      </c>
      <c r="C581" s="49">
        <v>1</v>
      </c>
      <c r="D581" s="64">
        <v>7</v>
      </c>
      <c r="E581" s="64">
        <v>25</v>
      </c>
      <c r="F581" s="64">
        <f t="shared" si="18"/>
        <v>18</v>
      </c>
      <c r="G581" s="49" t="s">
        <v>15</v>
      </c>
      <c r="H581" s="49" t="s">
        <v>113</v>
      </c>
      <c r="I581" s="50"/>
    </row>
    <row r="582" spans="1:9" outlineLevel="1" x14ac:dyDescent="0.25">
      <c r="A582" s="75">
        <v>106</v>
      </c>
      <c r="B582" s="50" t="s">
        <v>338</v>
      </c>
      <c r="C582" s="49">
        <v>1</v>
      </c>
      <c r="D582" s="64">
        <v>2</v>
      </c>
      <c r="E582" s="64">
        <v>20</v>
      </c>
      <c r="F582" s="64">
        <f t="shared" si="18"/>
        <v>18</v>
      </c>
      <c r="G582" s="49" t="s">
        <v>15</v>
      </c>
      <c r="H582" s="49" t="s">
        <v>113</v>
      </c>
      <c r="I582" s="50"/>
    </row>
    <row r="583" spans="1:9" outlineLevel="1" x14ac:dyDescent="0.25">
      <c r="A583" s="75">
        <v>76</v>
      </c>
      <c r="B583" s="50" t="s">
        <v>330</v>
      </c>
      <c r="C583" s="49">
        <v>1</v>
      </c>
      <c r="D583" s="64">
        <v>20</v>
      </c>
      <c r="E583" s="64">
        <v>40</v>
      </c>
      <c r="F583" s="64">
        <f t="shared" si="18"/>
        <v>20</v>
      </c>
      <c r="G583" s="49" t="s">
        <v>15</v>
      </c>
      <c r="H583" s="49" t="s">
        <v>113</v>
      </c>
      <c r="I583" s="50"/>
    </row>
    <row r="584" spans="1:9" outlineLevel="1" x14ac:dyDescent="0.25">
      <c r="A584" s="75">
        <v>83</v>
      </c>
      <c r="B584" s="50" t="s">
        <v>335</v>
      </c>
      <c r="C584" s="49">
        <v>1</v>
      </c>
      <c r="D584" s="64">
        <v>4</v>
      </c>
      <c r="E584" s="64">
        <v>25</v>
      </c>
      <c r="F584" s="64">
        <f t="shared" si="18"/>
        <v>21</v>
      </c>
      <c r="G584" s="49" t="s">
        <v>15</v>
      </c>
      <c r="H584" s="49" t="s">
        <v>113</v>
      </c>
      <c r="I584" s="50"/>
    </row>
    <row r="585" spans="1:9" outlineLevel="1" x14ac:dyDescent="0.25">
      <c r="A585" s="75">
        <v>108</v>
      </c>
      <c r="B585" s="50" t="s">
        <v>348</v>
      </c>
      <c r="C585" s="49">
        <v>1</v>
      </c>
      <c r="D585" s="64">
        <v>29</v>
      </c>
      <c r="E585" s="64">
        <v>50</v>
      </c>
      <c r="F585" s="64">
        <f t="shared" si="18"/>
        <v>21</v>
      </c>
      <c r="G585" s="49" t="s">
        <v>15</v>
      </c>
      <c r="H585" s="49" t="s">
        <v>113</v>
      </c>
      <c r="I585" s="50"/>
    </row>
    <row r="586" spans="1:9" outlineLevel="1" x14ac:dyDescent="0.25">
      <c r="A586" s="75">
        <v>68</v>
      </c>
      <c r="B586" s="50" t="s">
        <v>153</v>
      </c>
      <c r="C586" s="49">
        <v>1</v>
      </c>
      <c r="D586" s="64">
        <v>28</v>
      </c>
      <c r="E586" s="64">
        <v>50</v>
      </c>
      <c r="F586" s="64">
        <f t="shared" si="18"/>
        <v>22</v>
      </c>
      <c r="G586" s="49" t="s">
        <v>15</v>
      </c>
      <c r="H586" s="49" t="s">
        <v>113</v>
      </c>
      <c r="I586" s="50"/>
    </row>
    <row r="587" spans="1:9" outlineLevel="1" x14ac:dyDescent="0.25">
      <c r="A587" s="75">
        <v>72</v>
      </c>
      <c r="B587" s="50" t="s">
        <v>153</v>
      </c>
      <c r="C587" s="49">
        <v>1</v>
      </c>
      <c r="D587" s="64">
        <v>28</v>
      </c>
      <c r="E587" s="64">
        <v>50</v>
      </c>
      <c r="F587" s="64">
        <f t="shared" si="18"/>
        <v>22</v>
      </c>
      <c r="G587" s="49" t="s">
        <v>15</v>
      </c>
      <c r="H587" s="49" t="s">
        <v>113</v>
      </c>
      <c r="I587" s="50"/>
    </row>
    <row r="588" spans="1:9" outlineLevel="1" x14ac:dyDescent="0.25">
      <c r="A588" s="75">
        <v>74</v>
      </c>
      <c r="B588" s="50" t="s">
        <v>153</v>
      </c>
      <c r="C588" s="49">
        <v>1</v>
      </c>
      <c r="D588" s="64">
        <v>28</v>
      </c>
      <c r="E588" s="64">
        <v>50</v>
      </c>
      <c r="F588" s="64">
        <f t="shared" si="18"/>
        <v>22</v>
      </c>
      <c r="G588" s="49" t="s">
        <v>15</v>
      </c>
      <c r="H588" s="49" t="s">
        <v>113</v>
      </c>
      <c r="I588" s="50"/>
    </row>
    <row r="589" spans="1:9" outlineLevel="1" x14ac:dyDescent="0.25">
      <c r="A589" s="75">
        <v>85</v>
      </c>
      <c r="B589" s="50" t="s">
        <v>336</v>
      </c>
      <c r="C589" s="49">
        <v>1</v>
      </c>
      <c r="D589" s="64">
        <v>17</v>
      </c>
      <c r="E589" s="64">
        <v>40</v>
      </c>
      <c r="F589" s="64">
        <f t="shared" si="18"/>
        <v>23</v>
      </c>
      <c r="G589" s="49" t="s">
        <v>15</v>
      </c>
      <c r="H589" s="49" t="s">
        <v>113</v>
      </c>
      <c r="I589" s="50"/>
    </row>
    <row r="590" spans="1:9" outlineLevel="1" x14ac:dyDescent="0.25">
      <c r="A590" s="75">
        <v>102</v>
      </c>
      <c r="B590" s="50" t="s">
        <v>341</v>
      </c>
      <c r="C590" s="49">
        <v>1</v>
      </c>
      <c r="D590" s="64">
        <v>25</v>
      </c>
      <c r="E590" s="64">
        <v>50</v>
      </c>
      <c r="F590" s="64">
        <f t="shared" si="18"/>
        <v>25</v>
      </c>
      <c r="G590" s="49" t="s">
        <v>15</v>
      </c>
      <c r="H590" s="49" t="s">
        <v>113</v>
      </c>
      <c r="I590" s="50"/>
    </row>
    <row r="591" spans="1:9" outlineLevel="1" x14ac:dyDescent="0.25">
      <c r="A591" s="75">
        <v>89</v>
      </c>
      <c r="B591" s="50" t="s">
        <v>153</v>
      </c>
      <c r="C591" s="49">
        <v>1</v>
      </c>
      <c r="D591" s="64">
        <v>30</v>
      </c>
      <c r="E591" s="64">
        <v>60</v>
      </c>
      <c r="F591" s="64">
        <f t="shared" si="18"/>
        <v>30</v>
      </c>
      <c r="G591" s="49" t="s">
        <v>15</v>
      </c>
      <c r="H591" s="49" t="s">
        <v>113</v>
      </c>
      <c r="I591" s="50"/>
    </row>
    <row r="592" spans="1:9" outlineLevel="1" x14ac:dyDescent="0.25">
      <c r="A592" s="75">
        <v>98</v>
      </c>
      <c r="B592" s="50" t="s">
        <v>342</v>
      </c>
      <c r="C592" s="49">
        <v>1</v>
      </c>
      <c r="D592" s="64">
        <v>20</v>
      </c>
      <c r="E592" s="64">
        <v>50</v>
      </c>
      <c r="F592" s="64">
        <f t="shared" si="18"/>
        <v>30</v>
      </c>
      <c r="G592" s="49" t="s">
        <v>15</v>
      </c>
      <c r="H592" s="49" t="s">
        <v>113</v>
      </c>
      <c r="I592" s="50"/>
    </row>
    <row r="593" spans="1:9" outlineLevel="1" x14ac:dyDescent="0.25">
      <c r="A593" s="75">
        <v>64</v>
      </c>
      <c r="B593" s="84" t="s">
        <v>300</v>
      </c>
      <c r="C593" s="49">
        <v>1</v>
      </c>
      <c r="D593" s="64">
        <v>16</v>
      </c>
      <c r="E593" s="64">
        <v>50</v>
      </c>
      <c r="F593" s="64">
        <f t="shared" si="18"/>
        <v>34</v>
      </c>
      <c r="G593" s="49" t="s">
        <v>15</v>
      </c>
      <c r="H593" s="49" t="s">
        <v>113</v>
      </c>
      <c r="I593" s="50"/>
    </row>
    <row r="594" spans="1:9" outlineLevel="1" x14ac:dyDescent="0.25">
      <c r="A594" s="75">
        <v>65</v>
      </c>
      <c r="B594" s="50" t="s">
        <v>301</v>
      </c>
      <c r="C594" s="49">
        <v>1</v>
      </c>
      <c r="D594" s="64">
        <v>11.36</v>
      </c>
      <c r="E594" s="64">
        <v>50</v>
      </c>
      <c r="F594" s="64">
        <f t="shared" si="18"/>
        <v>38.64</v>
      </c>
      <c r="G594" s="49" t="s">
        <v>15</v>
      </c>
      <c r="H594" s="49" t="s">
        <v>113</v>
      </c>
      <c r="I594" s="50"/>
    </row>
    <row r="595" spans="1:9" outlineLevel="1" x14ac:dyDescent="0.25">
      <c r="A595" s="75">
        <v>84</v>
      </c>
      <c r="B595" s="50" t="s">
        <v>301</v>
      </c>
      <c r="C595" s="49">
        <v>1</v>
      </c>
      <c r="D595" s="64">
        <v>11</v>
      </c>
      <c r="E595" s="64">
        <v>50</v>
      </c>
      <c r="F595" s="64">
        <f t="shared" si="18"/>
        <v>39</v>
      </c>
      <c r="G595" s="49" t="s">
        <v>15</v>
      </c>
      <c r="H595" s="49" t="s">
        <v>113</v>
      </c>
      <c r="I595" s="50"/>
    </row>
    <row r="596" spans="1:9" outlineLevel="1" x14ac:dyDescent="0.25">
      <c r="A596" s="75">
        <v>81</v>
      </c>
      <c r="B596" s="50" t="s">
        <v>334</v>
      </c>
      <c r="C596" s="49">
        <v>1</v>
      </c>
      <c r="D596" s="64">
        <v>60</v>
      </c>
      <c r="E596" s="64">
        <v>100</v>
      </c>
      <c r="F596" s="64">
        <f t="shared" ref="F596:F611" si="19">E596-D596</f>
        <v>40</v>
      </c>
      <c r="G596" s="49" t="s">
        <v>15</v>
      </c>
      <c r="H596" s="49" t="s">
        <v>113</v>
      </c>
      <c r="I596" s="50"/>
    </row>
    <row r="597" spans="1:9" outlineLevel="1" x14ac:dyDescent="0.25">
      <c r="A597" s="75">
        <v>94</v>
      </c>
      <c r="B597" s="50" t="s">
        <v>339</v>
      </c>
      <c r="C597" s="49">
        <v>1</v>
      </c>
      <c r="D597" s="64">
        <v>58</v>
      </c>
      <c r="E597" s="64">
        <v>100</v>
      </c>
      <c r="F597" s="64">
        <f t="shared" si="19"/>
        <v>42</v>
      </c>
      <c r="G597" s="49" t="s">
        <v>15</v>
      </c>
      <c r="H597" s="49" t="s">
        <v>113</v>
      </c>
      <c r="I597" s="50"/>
    </row>
    <row r="598" spans="1:9" outlineLevel="1" x14ac:dyDescent="0.25">
      <c r="A598" s="75">
        <v>75</v>
      </c>
      <c r="B598" s="50" t="s">
        <v>153</v>
      </c>
      <c r="C598" s="49">
        <v>1</v>
      </c>
      <c r="D598" s="64">
        <v>30</v>
      </c>
      <c r="E598" s="64">
        <v>75</v>
      </c>
      <c r="F598" s="64">
        <f t="shared" si="19"/>
        <v>45</v>
      </c>
      <c r="G598" s="49" t="s">
        <v>15</v>
      </c>
      <c r="H598" s="49" t="s">
        <v>113</v>
      </c>
      <c r="I598" s="50"/>
    </row>
    <row r="599" spans="1:9" outlineLevel="1" x14ac:dyDescent="0.25">
      <c r="A599" s="75">
        <v>67</v>
      </c>
      <c r="B599" s="50" t="s">
        <v>328</v>
      </c>
      <c r="C599" s="49">
        <v>1</v>
      </c>
      <c r="D599" s="64">
        <v>0</v>
      </c>
      <c r="E599" s="64">
        <v>50</v>
      </c>
      <c r="F599" s="64">
        <f t="shared" si="19"/>
        <v>50</v>
      </c>
      <c r="G599" s="49" t="s">
        <v>15</v>
      </c>
      <c r="H599" s="49" t="s">
        <v>113</v>
      </c>
      <c r="I599" s="50"/>
    </row>
    <row r="600" spans="1:9" outlineLevel="1" x14ac:dyDescent="0.25">
      <c r="A600" s="75">
        <v>78</v>
      </c>
      <c r="B600" s="50" t="s">
        <v>328</v>
      </c>
      <c r="C600" s="49">
        <v>1</v>
      </c>
      <c r="D600" s="64">
        <v>0</v>
      </c>
      <c r="E600" s="64">
        <v>50</v>
      </c>
      <c r="F600" s="64">
        <f t="shared" si="19"/>
        <v>50</v>
      </c>
      <c r="G600" s="49" t="s">
        <v>15</v>
      </c>
      <c r="H600" s="49" t="s">
        <v>113</v>
      </c>
      <c r="I600" s="50"/>
    </row>
    <row r="601" spans="1:9" outlineLevel="1" x14ac:dyDescent="0.25">
      <c r="A601" s="75">
        <v>109</v>
      </c>
      <c r="B601" s="50" t="s">
        <v>349</v>
      </c>
      <c r="C601" s="49">
        <v>1</v>
      </c>
      <c r="D601" s="64">
        <v>0</v>
      </c>
      <c r="E601" s="64">
        <v>50</v>
      </c>
      <c r="F601" s="64">
        <f t="shared" si="19"/>
        <v>50</v>
      </c>
      <c r="G601" s="49" t="s">
        <v>15</v>
      </c>
      <c r="H601" s="49" t="s">
        <v>113</v>
      </c>
      <c r="I601" s="50"/>
    </row>
    <row r="602" spans="1:9" outlineLevel="1" x14ac:dyDescent="0.25">
      <c r="A602" s="75">
        <v>66</v>
      </c>
      <c r="B602" s="50" t="s">
        <v>301</v>
      </c>
      <c r="C602" s="49">
        <v>1</v>
      </c>
      <c r="D602" s="64">
        <v>11.36</v>
      </c>
      <c r="E602" s="64">
        <v>70</v>
      </c>
      <c r="F602" s="64">
        <f t="shared" si="19"/>
        <v>58.64</v>
      </c>
      <c r="G602" s="49" t="s">
        <v>15</v>
      </c>
      <c r="H602" s="49" t="s">
        <v>113</v>
      </c>
      <c r="I602" s="50"/>
    </row>
    <row r="603" spans="1:9" outlineLevel="1" x14ac:dyDescent="0.25">
      <c r="A603" s="75">
        <v>82</v>
      </c>
      <c r="B603" s="50" t="s">
        <v>334</v>
      </c>
      <c r="C603" s="49">
        <v>1</v>
      </c>
      <c r="D603" s="64">
        <v>60</v>
      </c>
      <c r="E603" s="64">
        <v>130</v>
      </c>
      <c r="F603" s="64">
        <f t="shared" si="19"/>
        <v>70</v>
      </c>
      <c r="G603" s="49" t="s">
        <v>15</v>
      </c>
      <c r="H603" s="49" t="s">
        <v>113</v>
      </c>
      <c r="I603" s="50"/>
    </row>
    <row r="604" spans="1:9" outlineLevel="1" x14ac:dyDescent="0.25">
      <c r="A604" s="75">
        <v>93</v>
      </c>
      <c r="B604" s="50" t="s">
        <v>334</v>
      </c>
      <c r="C604" s="49">
        <v>1</v>
      </c>
      <c r="D604" s="64">
        <v>60</v>
      </c>
      <c r="E604" s="64">
        <v>140</v>
      </c>
      <c r="F604" s="64">
        <f t="shared" si="19"/>
        <v>80</v>
      </c>
      <c r="G604" s="49" t="s">
        <v>15</v>
      </c>
      <c r="H604" s="49" t="s">
        <v>113</v>
      </c>
      <c r="I604" s="50"/>
    </row>
    <row r="605" spans="1:9" outlineLevel="1" x14ac:dyDescent="0.25">
      <c r="A605" s="75">
        <v>107</v>
      </c>
      <c r="B605" s="50" t="s">
        <v>347</v>
      </c>
      <c r="C605" s="49">
        <v>1</v>
      </c>
      <c r="D605" s="64">
        <v>165</v>
      </c>
      <c r="E605" s="64">
        <v>260</v>
      </c>
      <c r="F605" s="64">
        <f t="shared" si="19"/>
        <v>95</v>
      </c>
      <c r="G605" s="49" t="s">
        <v>15</v>
      </c>
      <c r="H605" s="49" t="s">
        <v>113</v>
      </c>
      <c r="I605" s="50"/>
    </row>
    <row r="606" spans="1:9" outlineLevel="1" x14ac:dyDescent="0.25">
      <c r="A606" s="75">
        <v>110</v>
      </c>
      <c r="B606" s="50" t="s">
        <v>350</v>
      </c>
      <c r="C606" s="49">
        <v>1</v>
      </c>
      <c r="D606" s="64">
        <v>68</v>
      </c>
      <c r="E606" s="64">
        <v>100</v>
      </c>
      <c r="F606" s="64">
        <f t="shared" si="19"/>
        <v>32</v>
      </c>
      <c r="G606" s="49" t="s">
        <v>15</v>
      </c>
      <c r="H606" s="49" t="s">
        <v>113</v>
      </c>
      <c r="I606" s="50"/>
    </row>
    <row r="607" spans="1:9" outlineLevel="1" x14ac:dyDescent="0.25">
      <c r="A607" s="75">
        <v>115</v>
      </c>
      <c r="B607" s="50" t="s">
        <v>353</v>
      </c>
      <c r="C607" s="49">
        <v>1</v>
      </c>
      <c r="D607" s="64">
        <v>90</v>
      </c>
      <c r="E607" s="64">
        <v>160</v>
      </c>
      <c r="F607" s="64">
        <f t="shared" si="19"/>
        <v>70</v>
      </c>
      <c r="G607" s="49" t="s">
        <v>15</v>
      </c>
      <c r="H607" s="49" t="s">
        <v>113</v>
      </c>
      <c r="I607" s="50"/>
    </row>
    <row r="608" spans="1:9" outlineLevel="1" x14ac:dyDescent="0.25">
      <c r="A608" s="75">
        <v>117</v>
      </c>
      <c r="B608" s="50" t="s">
        <v>350</v>
      </c>
      <c r="C608" s="49">
        <v>1</v>
      </c>
      <c r="D608" s="64">
        <v>68</v>
      </c>
      <c r="E608" s="64">
        <v>100</v>
      </c>
      <c r="F608" s="64">
        <f t="shared" si="19"/>
        <v>32</v>
      </c>
      <c r="G608" s="49" t="s">
        <v>15</v>
      </c>
      <c r="H608" s="49" t="s">
        <v>113</v>
      </c>
      <c r="I608" s="50"/>
    </row>
    <row r="609" spans="1:9" outlineLevel="1" x14ac:dyDescent="0.25">
      <c r="A609" s="75">
        <v>118</v>
      </c>
      <c r="B609" s="50" t="s">
        <v>354</v>
      </c>
      <c r="C609" s="49">
        <v>1</v>
      </c>
      <c r="D609" s="64">
        <v>2</v>
      </c>
      <c r="E609" s="64">
        <v>15</v>
      </c>
      <c r="F609" s="64">
        <f t="shared" si="19"/>
        <v>13</v>
      </c>
      <c r="G609" s="49" t="s">
        <v>15</v>
      </c>
      <c r="H609" s="49" t="s">
        <v>113</v>
      </c>
      <c r="I609" s="50"/>
    </row>
    <row r="610" spans="1:9" outlineLevel="1" x14ac:dyDescent="0.25">
      <c r="A610" s="75">
        <v>119</v>
      </c>
      <c r="B610" s="50" t="s">
        <v>355</v>
      </c>
      <c r="C610" s="49">
        <v>1</v>
      </c>
      <c r="D610" s="64">
        <v>48</v>
      </c>
      <c r="E610" s="64">
        <v>80</v>
      </c>
      <c r="F610" s="64">
        <f t="shared" si="19"/>
        <v>32</v>
      </c>
      <c r="G610" s="49" t="s">
        <v>15</v>
      </c>
      <c r="H610" s="49" t="s">
        <v>113</v>
      </c>
      <c r="I610" s="50"/>
    </row>
    <row r="611" spans="1:9" outlineLevel="1" x14ac:dyDescent="0.25">
      <c r="A611" s="75">
        <v>120</v>
      </c>
      <c r="B611" s="50" t="s">
        <v>356</v>
      </c>
      <c r="C611" s="49">
        <v>1</v>
      </c>
      <c r="D611" s="64">
        <v>17</v>
      </c>
      <c r="E611" s="64">
        <v>30</v>
      </c>
      <c r="F611" s="64">
        <f t="shared" si="19"/>
        <v>13</v>
      </c>
      <c r="G611" s="49" t="s">
        <v>15</v>
      </c>
      <c r="H611" s="49" t="s">
        <v>113</v>
      </c>
      <c r="I611" s="50"/>
    </row>
    <row r="612" spans="1:9" outlineLevel="1" x14ac:dyDescent="0.25">
      <c r="A612" s="75">
        <v>121</v>
      </c>
      <c r="B612" s="50" t="s">
        <v>153</v>
      </c>
      <c r="C612" s="49">
        <v>1</v>
      </c>
      <c r="D612" s="64">
        <v>30</v>
      </c>
      <c r="E612" s="64">
        <v>60</v>
      </c>
      <c r="F612" s="64">
        <f t="shared" ref="F612" si="20">E612-D612</f>
        <v>30</v>
      </c>
      <c r="G612" s="49" t="s">
        <v>15</v>
      </c>
      <c r="H612" s="49" t="s">
        <v>113</v>
      </c>
      <c r="I612" s="50"/>
    </row>
    <row r="613" spans="1:9" outlineLevel="1" x14ac:dyDescent="0.25">
      <c r="A613" s="75">
        <v>122</v>
      </c>
      <c r="B613" s="85" t="s">
        <v>357</v>
      </c>
      <c r="C613" s="86">
        <v>1</v>
      </c>
      <c r="D613" s="37">
        <v>30</v>
      </c>
      <c r="E613" s="64">
        <v>31.59</v>
      </c>
      <c r="F613" s="64">
        <v>1.5899999999999999</v>
      </c>
      <c r="G613" s="49" t="s">
        <v>15</v>
      </c>
      <c r="H613" s="49" t="s">
        <v>114</v>
      </c>
      <c r="I613" s="50"/>
    </row>
    <row r="614" spans="1:9" outlineLevel="1" x14ac:dyDescent="0.25">
      <c r="A614" s="75">
        <v>123</v>
      </c>
      <c r="B614" s="85" t="s">
        <v>321</v>
      </c>
      <c r="C614" s="87">
        <v>3</v>
      </c>
      <c r="D614" s="37">
        <v>1</v>
      </c>
      <c r="E614" s="64">
        <v>5.7</v>
      </c>
      <c r="F614" s="64">
        <v>2.7</v>
      </c>
      <c r="G614" s="49" t="s">
        <v>15</v>
      </c>
      <c r="H614" s="49" t="s">
        <v>114</v>
      </c>
      <c r="I614" s="50"/>
    </row>
    <row r="615" spans="1:9" outlineLevel="1" x14ac:dyDescent="0.25">
      <c r="A615" s="75">
        <v>124</v>
      </c>
      <c r="B615" s="85" t="s">
        <v>98</v>
      </c>
      <c r="C615" s="87">
        <v>2</v>
      </c>
      <c r="D615" s="37">
        <f>9/10</f>
        <v>0.9</v>
      </c>
      <c r="E615" s="64">
        <v>4.51</v>
      </c>
      <c r="F615" s="64">
        <v>2.71</v>
      </c>
      <c r="G615" s="49" t="s">
        <v>15</v>
      </c>
      <c r="H615" s="49" t="s">
        <v>114</v>
      </c>
      <c r="I615" s="50"/>
    </row>
    <row r="616" spans="1:9" outlineLevel="1" x14ac:dyDescent="0.25">
      <c r="A616" s="75">
        <v>125</v>
      </c>
      <c r="B616" s="85" t="s">
        <v>358</v>
      </c>
      <c r="C616" s="86">
        <v>1</v>
      </c>
      <c r="D616" s="37">
        <v>9</v>
      </c>
      <c r="E616" s="64">
        <v>13.99</v>
      </c>
      <c r="F616" s="64">
        <v>4.99</v>
      </c>
      <c r="G616" s="49" t="s">
        <v>15</v>
      </c>
      <c r="H616" s="49" t="s">
        <v>114</v>
      </c>
      <c r="I616" s="50"/>
    </row>
    <row r="617" spans="1:9" outlineLevel="1" x14ac:dyDescent="0.25">
      <c r="A617" s="75">
        <v>126</v>
      </c>
      <c r="B617" s="85" t="s">
        <v>198</v>
      </c>
      <c r="C617" s="87">
        <v>8</v>
      </c>
      <c r="D617" s="37">
        <v>1.6</v>
      </c>
      <c r="E617" s="64">
        <v>19.03</v>
      </c>
      <c r="F617" s="64">
        <v>6.23</v>
      </c>
      <c r="G617" s="49" t="s">
        <v>15</v>
      </c>
      <c r="H617" s="49" t="s">
        <v>114</v>
      </c>
      <c r="I617" s="50"/>
    </row>
    <row r="618" spans="1:9" outlineLevel="1" x14ac:dyDescent="0.25">
      <c r="A618" s="75">
        <v>127</v>
      </c>
      <c r="B618" s="85" t="s">
        <v>359</v>
      </c>
      <c r="C618" s="87">
        <v>1</v>
      </c>
      <c r="D618" s="37">
        <v>5</v>
      </c>
      <c r="E618" s="64">
        <v>10</v>
      </c>
      <c r="F618" s="64">
        <v>5</v>
      </c>
      <c r="G618" s="49" t="s">
        <v>15</v>
      </c>
      <c r="H618" s="49" t="s">
        <v>114</v>
      </c>
      <c r="I618" s="50"/>
    </row>
    <row r="619" spans="1:9" outlineLevel="1" x14ac:dyDescent="0.25">
      <c r="A619" s="75">
        <v>128</v>
      </c>
      <c r="B619" s="85" t="s">
        <v>89</v>
      </c>
      <c r="C619" s="86">
        <v>1</v>
      </c>
      <c r="D619" s="37">
        <v>5</v>
      </c>
      <c r="E619" s="64">
        <v>10</v>
      </c>
      <c r="F619" s="64">
        <v>5</v>
      </c>
      <c r="G619" s="49" t="s">
        <v>15</v>
      </c>
      <c r="H619" s="49" t="s">
        <v>114</v>
      </c>
      <c r="I619" s="50"/>
    </row>
    <row r="620" spans="1:9" outlineLevel="1" x14ac:dyDescent="0.25">
      <c r="A620" s="75">
        <v>129</v>
      </c>
      <c r="B620" s="85" t="s">
        <v>81</v>
      </c>
      <c r="C620" s="87">
        <v>1</v>
      </c>
      <c r="D620" s="37">
        <v>5</v>
      </c>
      <c r="E620" s="64">
        <v>10.87</v>
      </c>
      <c r="F620" s="64">
        <v>5.8699999999999992</v>
      </c>
      <c r="G620" s="49" t="s">
        <v>15</v>
      </c>
      <c r="H620" s="49" t="s">
        <v>114</v>
      </c>
      <c r="I620" s="50"/>
    </row>
    <row r="621" spans="1:9" outlineLevel="1" x14ac:dyDescent="0.25">
      <c r="A621" s="75">
        <v>130</v>
      </c>
      <c r="B621" s="85" t="s">
        <v>360</v>
      </c>
      <c r="C621" s="87">
        <v>1</v>
      </c>
      <c r="D621" s="37">
        <v>2.5</v>
      </c>
      <c r="E621" s="64">
        <v>8.32</v>
      </c>
      <c r="F621" s="64">
        <v>5.82</v>
      </c>
      <c r="G621" s="49" t="s">
        <v>15</v>
      </c>
      <c r="H621" s="49" t="s">
        <v>114</v>
      </c>
      <c r="I621" s="50"/>
    </row>
    <row r="622" spans="1:9" outlineLevel="1" x14ac:dyDescent="0.25">
      <c r="A622" s="75">
        <v>131</v>
      </c>
      <c r="B622" s="85" t="s">
        <v>361</v>
      </c>
      <c r="C622" s="86">
        <v>1</v>
      </c>
      <c r="D622" s="37">
        <v>5</v>
      </c>
      <c r="E622" s="64">
        <v>11.73</v>
      </c>
      <c r="F622" s="64">
        <v>6.73</v>
      </c>
      <c r="G622" s="49" t="s">
        <v>15</v>
      </c>
      <c r="H622" s="49" t="s">
        <v>114</v>
      </c>
      <c r="I622" s="50"/>
    </row>
    <row r="623" spans="1:9" outlineLevel="1" x14ac:dyDescent="0.25">
      <c r="A623" s="75">
        <v>132</v>
      </c>
      <c r="B623" s="85" t="s">
        <v>181</v>
      </c>
      <c r="C623" s="87">
        <v>4</v>
      </c>
      <c r="D623" s="37">
        <f>3.5/5</f>
        <v>0.7</v>
      </c>
      <c r="E623" s="64">
        <v>9.2200000000000006</v>
      </c>
      <c r="F623" s="64">
        <v>6.4200000000000008</v>
      </c>
      <c r="G623" s="49" t="s">
        <v>15</v>
      </c>
      <c r="H623" s="49" t="s">
        <v>114</v>
      </c>
      <c r="I623" s="50"/>
    </row>
    <row r="624" spans="1:9" outlineLevel="1" x14ac:dyDescent="0.25">
      <c r="A624" s="75">
        <v>133</v>
      </c>
      <c r="B624" s="85" t="s">
        <v>323</v>
      </c>
      <c r="C624" s="87">
        <v>1</v>
      </c>
      <c r="D624" s="37">
        <v>8</v>
      </c>
      <c r="E624" s="64">
        <v>16.25</v>
      </c>
      <c r="F624" s="64">
        <v>8.25</v>
      </c>
      <c r="G624" s="49" t="s">
        <v>15</v>
      </c>
      <c r="H624" s="49" t="s">
        <v>114</v>
      </c>
      <c r="I624" s="50"/>
    </row>
    <row r="625" spans="1:9" outlineLevel="1" x14ac:dyDescent="0.25">
      <c r="A625" s="75">
        <v>134</v>
      </c>
      <c r="B625" s="85" t="s">
        <v>135</v>
      </c>
      <c r="C625" s="87">
        <v>1</v>
      </c>
      <c r="D625" s="37">
        <v>2</v>
      </c>
      <c r="E625" s="64">
        <v>9.07</v>
      </c>
      <c r="F625" s="64">
        <v>7.07</v>
      </c>
      <c r="G625" s="49" t="s">
        <v>15</v>
      </c>
      <c r="H625" s="49" t="s">
        <v>114</v>
      </c>
      <c r="I625" s="50"/>
    </row>
    <row r="626" spans="1:9" outlineLevel="1" x14ac:dyDescent="0.25">
      <c r="A626" s="75">
        <v>135</v>
      </c>
      <c r="B626" s="85" t="s">
        <v>172</v>
      </c>
      <c r="C626" s="86">
        <v>1</v>
      </c>
      <c r="D626" s="37">
        <v>20</v>
      </c>
      <c r="E626" s="64">
        <v>32.549999999999997</v>
      </c>
      <c r="F626" s="64">
        <v>12.549999999999997</v>
      </c>
      <c r="G626" s="49" t="s">
        <v>15</v>
      </c>
      <c r="H626" s="49" t="s">
        <v>114</v>
      </c>
      <c r="I626" s="50"/>
    </row>
    <row r="627" spans="1:9" outlineLevel="1" x14ac:dyDescent="0.25">
      <c r="A627" s="75">
        <v>136</v>
      </c>
      <c r="B627" s="85" t="s">
        <v>86</v>
      </c>
      <c r="C627" s="86">
        <v>1</v>
      </c>
      <c r="D627" s="37">
        <v>9</v>
      </c>
      <c r="E627" s="64">
        <v>21.96</v>
      </c>
      <c r="F627" s="64">
        <v>12.96</v>
      </c>
      <c r="G627" s="49" t="s">
        <v>15</v>
      </c>
      <c r="H627" s="49" t="s">
        <v>114</v>
      </c>
      <c r="I627" s="50"/>
    </row>
    <row r="628" spans="1:9" outlineLevel="1" x14ac:dyDescent="0.25">
      <c r="A628" s="75">
        <v>137</v>
      </c>
      <c r="B628" s="85" t="s">
        <v>362</v>
      </c>
      <c r="C628" s="87">
        <v>1</v>
      </c>
      <c r="D628" s="37">
        <v>18</v>
      </c>
      <c r="E628" s="64">
        <v>33.75</v>
      </c>
      <c r="F628" s="64">
        <v>15.75</v>
      </c>
      <c r="G628" s="49" t="s">
        <v>15</v>
      </c>
      <c r="H628" s="49" t="s">
        <v>114</v>
      </c>
      <c r="I628" s="50"/>
    </row>
    <row r="629" spans="1:9" outlineLevel="1" x14ac:dyDescent="0.25">
      <c r="A629" s="75">
        <v>138</v>
      </c>
      <c r="B629" s="85" t="s">
        <v>363</v>
      </c>
      <c r="C629" s="86">
        <v>1</v>
      </c>
      <c r="D629" s="37">
        <v>30</v>
      </c>
      <c r="E629" s="64">
        <v>50.15</v>
      </c>
      <c r="F629" s="64">
        <v>20.149999999999999</v>
      </c>
      <c r="G629" s="49" t="s">
        <v>15</v>
      </c>
      <c r="H629" s="49" t="s">
        <v>114</v>
      </c>
      <c r="I629" s="50"/>
    </row>
    <row r="630" spans="1:9" outlineLevel="1" x14ac:dyDescent="0.25">
      <c r="A630" s="75">
        <v>139</v>
      </c>
      <c r="B630" s="85" t="s">
        <v>76</v>
      </c>
      <c r="C630" s="87">
        <v>2</v>
      </c>
      <c r="D630" s="37">
        <v>20</v>
      </c>
      <c r="E630" s="64">
        <v>62.42</v>
      </c>
      <c r="F630" s="64">
        <v>22.42</v>
      </c>
      <c r="G630" s="49" t="s">
        <v>15</v>
      </c>
      <c r="H630" s="49" t="s">
        <v>114</v>
      </c>
      <c r="I630" s="50"/>
    </row>
    <row r="631" spans="1:9" outlineLevel="1" x14ac:dyDescent="0.25">
      <c r="A631" s="75">
        <v>140</v>
      </c>
      <c r="B631" s="85" t="s">
        <v>364</v>
      </c>
      <c r="C631" s="87">
        <v>4</v>
      </c>
      <c r="D631" s="37">
        <v>7</v>
      </c>
      <c r="E631" s="64">
        <v>50.15</v>
      </c>
      <c r="F631" s="64">
        <v>22.15</v>
      </c>
      <c r="G631" s="49" t="s">
        <v>15</v>
      </c>
      <c r="H631" s="49" t="s">
        <v>114</v>
      </c>
      <c r="I631" s="50"/>
    </row>
    <row r="632" spans="1:9" outlineLevel="1" x14ac:dyDescent="0.25">
      <c r="A632" s="75">
        <v>141</v>
      </c>
      <c r="B632" s="85" t="s">
        <v>263</v>
      </c>
      <c r="C632" s="87">
        <v>2</v>
      </c>
      <c r="D632" s="37">
        <v>12</v>
      </c>
      <c r="E632" s="64">
        <v>46.61</v>
      </c>
      <c r="F632" s="64">
        <v>22.61</v>
      </c>
      <c r="G632" s="49" t="s">
        <v>15</v>
      </c>
      <c r="H632" s="49" t="s">
        <v>114</v>
      </c>
      <c r="I632" s="50"/>
    </row>
    <row r="633" spans="1:9" outlineLevel="1" x14ac:dyDescent="0.25">
      <c r="A633" s="75">
        <v>142</v>
      </c>
      <c r="B633" s="85" t="s">
        <v>365</v>
      </c>
      <c r="C633" s="87">
        <v>1</v>
      </c>
      <c r="D633" s="37">
        <v>2</v>
      </c>
      <c r="E633" s="64">
        <v>23.4</v>
      </c>
      <c r="F633" s="64">
        <v>21.4</v>
      </c>
      <c r="G633" s="49" t="s">
        <v>15</v>
      </c>
      <c r="H633" s="49" t="s">
        <v>114</v>
      </c>
      <c r="I633" s="50"/>
    </row>
    <row r="634" spans="1:9" outlineLevel="1" x14ac:dyDescent="0.25">
      <c r="A634" s="75">
        <v>143</v>
      </c>
      <c r="B634" s="85" t="s">
        <v>80</v>
      </c>
      <c r="C634" s="86">
        <v>2</v>
      </c>
      <c r="D634" s="37">
        <v>9</v>
      </c>
      <c r="E634" s="64">
        <v>44.16</v>
      </c>
      <c r="F634" s="64">
        <v>26.159999999999997</v>
      </c>
      <c r="G634" s="49" t="s">
        <v>15</v>
      </c>
      <c r="H634" s="49" t="s">
        <v>114</v>
      </c>
      <c r="I634" s="50"/>
    </row>
    <row r="635" spans="1:9" outlineLevel="1" x14ac:dyDescent="0.25">
      <c r="A635" s="75">
        <v>144</v>
      </c>
      <c r="B635" s="85" t="s">
        <v>316</v>
      </c>
      <c r="C635" s="87">
        <v>2</v>
      </c>
      <c r="D635" s="37">
        <v>7</v>
      </c>
      <c r="E635" s="64">
        <v>39.93</v>
      </c>
      <c r="F635" s="64">
        <v>25.93</v>
      </c>
      <c r="G635" s="49" t="s">
        <v>15</v>
      </c>
      <c r="H635" s="49" t="s">
        <v>114</v>
      </c>
      <c r="I635" s="50"/>
    </row>
    <row r="636" spans="1:9" outlineLevel="1" x14ac:dyDescent="0.25">
      <c r="A636" s="75">
        <v>145</v>
      </c>
      <c r="B636" s="85" t="s">
        <v>318</v>
      </c>
      <c r="C636" s="87">
        <v>1</v>
      </c>
      <c r="D636" s="37">
        <v>18</v>
      </c>
      <c r="E636" s="64">
        <v>45.11</v>
      </c>
      <c r="F636" s="64">
        <v>27.11</v>
      </c>
      <c r="G636" s="49" t="s">
        <v>15</v>
      </c>
      <c r="H636" s="49" t="s">
        <v>114</v>
      </c>
      <c r="I636" s="50"/>
    </row>
    <row r="637" spans="1:9" outlineLevel="1" x14ac:dyDescent="0.25">
      <c r="A637" s="75">
        <v>146</v>
      </c>
      <c r="B637" s="85" t="s">
        <v>366</v>
      </c>
      <c r="C637" s="87">
        <v>2</v>
      </c>
      <c r="D637" s="37">
        <v>6</v>
      </c>
      <c r="E637" s="64">
        <v>40.26</v>
      </c>
      <c r="F637" s="64">
        <v>28.259999999999998</v>
      </c>
      <c r="G637" s="49" t="s">
        <v>15</v>
      </c>
      <c r="H637" s="49" t="s">
        <v>114</v>
      </c>
      <c r="I637" s="50"/>
    </row>
    <row r="638" spans="1:9" outlineLevel="1" x14ac:dyDescent="0.25">
      <c r="A638" s="75">
        <v>147</v>
      </c>
      <c r="B638" s="85" t="s">
        <v>367</v>
      </c>
      <c r="C638" s="87">
        <v>1</v>
      </c>
      <c r="D638" s="37">
        <v>30</v>
      </c>
      <c r="E638" s="64">
        <v>65</v>
      </c>
      <c r="F638" s="64">
        <v>35</v>
      </c>
      <c r="G638" s="49" t="s">
        <v>15</v>
      </c>
      <c r="H638" s="49" t="s">
        <v>114</v>
      </c>
      <c r="I638" s="50"/>
    </row>
    <row r="639" spans="1:9" outlineLevel="1" x14ac:dyDescent="0.25">
      <c r="A639" s="75">
        <v>148</v>
      </c>
      <c r="B639" s="85" t="s">
        <v>217</v>
      </c>
      <c r="C639" s="87">
        <v>19</v>
      </c>
      <c r="D639" s="37">
        <f>7/5</f>
        <v>1.4</v>
      </c>
      <c r="E639" s="64">
        <v>71.37</v>
      </c>
      <c r="F639" s="64">
        <v>44.77000000000001</v>
      </c>
      <c r="G639" s="49" t="s">
        <v>15</v>
      </c>
      <c r="H639" s="49" t="s">
        <v>114</v>
      </c>
      <c r="I639" s="50"/>
    </row>
    <row r="640" spans="1:9" outlineLevel="1" x14ac:dyDescent="0.25">
      <c r="A640" s="75">
        <v>149</v>
      </c>
      <c r="B640" s="85" t="s">
        <v>261</v>
      </c>
      <c r="C640" s="87">
        <v>8</v>
      </c>
      <c r="D640" s="37">
        <v>5.5</v>
      </c>
      <c r="E640" s="64">
        <v>96.94</v>
      </c>
      <c r="F640" s="64">
        <v>52.94</v>
      </c>
      <c r="G640" s="49" t="s">
        <v>15</v>
      </c>
      <c r="H640" s="49" t="s">
        <v>114</v>
      </c>
      <c r="I640" s="50"/>
    </row>
    <row r="641" spans="1:9" outlineLevel="1" x14ac:dyDescent="0.25">
      <c r="A641" s="75">
        <v>150</v>
      </c>
      <c r="B641" s="85" t="s">
        <v>223</v>
      </c>
      <c r="C641" s="86">
        <v>6</v>
      </c>
      <c r="D641" s="37">
        <v>6.5</v>
      </c>
      <c r="E641" s="64">
        <v>98.67</v>
      </c>
      <c r="F641" s="64">
        <v>59.67</v>
      </c>
      <c r="G641" s="49" t="s">
        <v>15</v>
      </c>
      <c r="H641" s="49" t="s">
        <v>114</v>
      </c>
      <c r="I641" s="50"/>
    </row>
    <row r="642" spans="1:9" outlineLevel="1" x14ac:dyDescent="0.25">
      <c r="A642" s="75">
        <v>151</v>
      </c>
      <c r="B642" s="85" t="s">
        <v>282</v>
      </c>
      <c r="C642" s="87">
        <v>4</v>
      </c>
      <c r="D642" s="37">
        <v>15</v>
      </c>
      <c r="E642" s="64">
        <v>125.12</v>
      </c>
      <c r="F642" s="64">
        <v>65.12</v>
      </c>
      <c r="G642" s="49" t="s">
        <v>15</v>
      </c>
      <c r="H642" s="49" t="s">
        <v>114</v>
      </c>
      <c r="I642" s="50"/>
    </row>
    <row r="643" spans="1:9" outlineLevel="1" x14ac:dyDescent="0.25">
      <c r="A643" s="75">
        <v>152</v>
      </c>
      <c r="B643" s="85" t="s">
        <v>325</v>
      </c>
      <c r="C643" s="87">
        <v>8</v>
      </c>
      <c r="D643" s="37">
        <v>9</v>
      </c>
      <c r="E643" s="64">
        <v>163.06</v>
      </c>
      <c r="F643" s="64">
        <v>91.06</v>
      </c>
      <c r="G643" s="49" t="s">
        <v>15</v>
      </c>
      <c r="H643" s="49" t="s">
        <v>114</v>
      </c>
      <c r="I643" s="50"/>
    </row>
    <row r="644" spans="1:9" outlineLevel="1" x14ac:dyDescent="0.25">
      <c r="A644" s="75">
        <v>153</v>
      </c>
      <c r="B644" s="85" t="s">
        <v>216</v>
      </c>
      <c r="C644" s="87">
        <v>9</v>
      </c>
      <c r="D644" s="37">
        <v>35</v>
      </c>
      <c r="E644" s="64">
        <v>505.89</v>
      </c>
      <c r="F644" s="64">
        <v>190.89</v>
      </c>
      <c r="G644" s="49" t="s">
        <v>15</v>
      </c>
      <c r="H644" s="49" t="s">
        <v>114</v>
      </c>
      <c r="I644" s="50"/>
    </row>
    <row r="645" spans="1:9" outlineLevel="1" x14ac:dyDescent="0.25">
      <c r="A645" s="75">
        <v>154</v>
      </c>
      <c r="B645" s="85" t="s">
        <v>326</v>
      </c>
      <c r="C645" s="86">
        <v>37</v>
      </c>
      <c r="D645" s="37">
        <v>1</v>
      </c>
      <c r="E645" s="64">
        <v>204.13</v>
      </c>
      <c r="F645" s="64">
        <v>167.13</v>
      </c>
      <c r="G645" s="49" t="s">
        <v>15</v>
      </c>
      <c r="H645" s="49" t="s">
        <v>114</v>
      </c>
      <c r="I645" s="50"/>
    </row>
    <row r="646" spans="1:9" outlineLevel="1" x14ac:dyDescent="0.25">
      <c r="A646" s="75">
        <v>155</v>
      </c>
      <c r="B646" s="85" t="s">
        <v>368</v>
      </c>
      <c r="C646" s="87">
        <v>1</v>
      </c>
      <c r="D646" s="37">
        <v>260</v>
      </c>
      <c r="E646" s="64">
        <v>480.17</v>
      </c>
      <c r="F646" s="64">
        <v>220.17000000000002</v>
      </c>
      <c r="G646" s="49" t="s">
        <v>15</v>
      </c>
      <c r="H646" s="49" t="s">
        <v>114</v>
      </c>
      <c r="I646" s="50"/>
    </row>
    <row r="647" spans="1:9" outlineLevel="1" x14ac:dyDescent="0.25">
      <c r="A647" s="75">
        <v>156</v>
      </c>
      <c r="B647" s="85" t="s">
        <v>72</v>
      </c>
      <c r="C647" s="86">
        <v>56</v>
      </c>
      <c r="D647" s="37">
        <v>7</v>
      </c>
      <c r="E647" s="64">
        <v>726.68000000000006</v>
      </c>
      <c r="F647" s="64">
        <v>334.68000000000006</v>
      </c>
      <c r="G647" s="49" t="s">
        <v>15</v>
      </c>
      <c r="H647" s="49" t="s">
        <v>114</v>
      </c>
      <c r="I647" s="50"/>
    </row>
    <row r="648" spans="1:9" outlineLevel="1" x14ac:dyDescent="0.25">
      <c r="A648" s="75">
        <v>157</v>
      </c>
      <c r="B648" s="85" t="s">
        <v>73</v>
      </c>
      <c r="C648" s="87">
        <v>221</v>
      </c>
      <c r="D648" s="37">
        <f>4.5/5</f>
        <v>0.9</v>
      </c>
      <c r="E648" s="64">
        <v>533.65</v>
      </c>
      <c r="F648" s="64">
        <v>334.75</v>
      </c>
      <c r="G648" s="49" t="s">
        <v>15</v>
      </c>
      <c r="H648" s="49" t="s">
        <v>114</v>
      </c>
      <c r="I648" s="50"/>
    </row>
    <row r="649" spans="1:9" outlineLevel="1" x14ac:dyDescent="0.25">
      <c r="A649" s="75">
        <v>158</v>
      </c>
      <c r="B649" s="85" t="s">
        <v>220</v>
      </c>
      <c r="C649" s="87">
        <v>57</v>
      </c>
      <c r="D649" s="37">
        <v>30</v>
      </c>
      <c r="E649" s="64">
        <v>3519.1</v>
      </c>
      <c r="F649" s="64">
        <v>1809.1</v>
      </c>
      <c r="G649" s="49" t="s">
        <v>15</v>
      </c>
      <c r="H649" s="49" t="s">
        <v>114</v>
      </c>
      <c r="I649" s="50"/>
    </row>
    <row r="650" spans="1:9" outlineLevel="1" x14ac:dyDescent="0.25">
      <c r="A650" s="75">
        <v>159</v>
      </c>
      <c r="B650" s="85" t="s">
        <v>220</v>
      </c>
      <c r="C650" s="87">
        <v>1</v>
      </c>
      <c r="D650" s="37">
        <v>37</v>
      </c>
      <c r="E650" s="64">
        <v>62</v>
      </c>
      <c r="F650" s="64">
        <f t="shared" ref="F650:F651" si="21">E650-D650</f>
        <v>25</v>
      </c>
      <c r="G650" s="49" t="s">
        <v>15</v>
      </c>
      <c r="H650" s="49" t="s">
        <v>114</v>
      </c>
      <c r="I650" s="50"/>
    </row>
    <row r="651" spans="1:9" outlineLevel="1" x14ac:dyDescent="0.25">
      <c r="A651" s="75">
        <v>160</v>
      </c>
      <c r="B651" s="50" t="s">
        <v>372</v>
      </c>
      <c r="C651" s="49">
        <v>1</v>
      </c>
      <c r="D651" s="64">
        <v>22</v>
      </c>
      <c r="E651" s="64">
        <v>50</v>
      </c>
      <c r="F651" s="64">
        <f t="shared" si="21"/>
        <v>28</v>
      </c>
      <c r="G651" s="49" t="s">
        <v>15</v>
      </c>
      <c r="H651" s="49" t="s">
        <v>113</v>
      </c>
      <c r="I651" s="50"/>
    </row>
    <row r="652" spans="1:9" outlineLevel="1" x14ac:dyDescent="0.25">
      <c r="A652" s="75"/>
      <c r="B652" s="50"/>
      <c r="C652" s="49"/>
      <c r="D652" s="64"/>
      <c r="E652" s="64"/>
      <c r="F652" s="64"/>
      <c r="G652" s="49"/>
      <c r="H652" s="49"/>
      <c r="I652" s="50"/>
    </row>
    <row r="653" spans="1:9" ht="15.75" x14ac:dyDescent="0.25">
      <c r="A653" s="183" t="s">
        <v>50</v>
      </c>
      <c r="B653" s="184"/>
      <c r="C653" s="185"/>
      <c r="D653" s="137">
        <f>SUM(D654:D725)</f>
        <v>4107.8999999999996</v>
      </c>
      <c r="E653" s="137">
        <f t="shared" ref="E653:F653" si="22">SUM(E654:E725)</f>
        <v>8220.23</v>
      </c>
      <c r="F653" s="137">
        <f t="shared" si="22"/>
        <v>4112.329999999999</v>
      </c>
      <c r="G653" s="138">
        <f>SUM(C654:C725)</f>
        <v>245</v>
      </c>
      <c r="H653" s="139">
        <f>G653-I653</f>
        <v>213</v>
      </c>
      <c r="I653" s="138">
        <f>COUNTIF(H654:H725,"bsb")</f>
        <v>32</v>
      </c>
    </row>
    <row r="654" spans="1:9" ht="15.75" outlineLevel="1" x14ac:dyDescent="0.25">
      <c r="A654" s="140">
        <v>9</v>
      </c>
      <c r="B654" s="141" t="s">
        <v>373</v>
      </c>
      <c r="C654" s="142">
        <v>1</v>
      </c>
      <c r="D654" s="143">
        <v>15</v>
      </c>
      <c r="E654" s="143">
        <v>50</v>
      </c>
      <c r="F654" s="143">
        <f t="shared" ref="F654:F659" si="23">E654-D654</f>
        <v>35</v>
      </c>
      <c r="G654" s="142" t="s">
        <v>15</v>
      </c>
      <c r="H654" s="142" t="s">
        <v>113</v>
      </c>
      <c r="I654" s="141"/>
    </row>
    <row r="655" spans="1:9" ht="15.75" outlineLevel="1" x14ac:dyDescent="0.25">
      <c r="A655" s="140">
        <v>10</v>
      </c>
      <c r="B655" s="141" t="s">
        <v>374</v>
      </c>
      <c r="C655" s="142">
        <v>1</v>
      </c>
      <c r="D655" s="143">
        <v>7</v>
      </c>
      <c r="E655" s="143">
        <v>20</v>
      </c>
      <c r="F655" s="143">
        <f t="shared" si="23"/>
        <v>13</v>
      </c>
      <c r="G655" s="142" t="s">
        <v>15</v>
      </c>
      <c r="H655" s="142" t="s">
        <v>113</v>
      </c>
      <c r="I655" s="141"/>
    </row>
    <row r="656" spans="1:9" ht="15.75" outlineLevel="1" x14ac:dyDescent="0.25">
      <c r="A656" s="140">
        <v>11</v>
      </c>
      <c r="B656" s="141" t="s">
        <v>242</v>
      </c>
      <c r="C656" s="142">
        <v>1</v>
      </c>
      <c r="D656" s="143">
        <v>7</v>
      </c>
      <c r="E656" s="143">
        <v>20</v>
      </c>
      <c r="F656" s="143">
        <f t="shared" si="23"/>
        <v>13</v>
      </c>
      <c r="G656" s="142" t="s">
        <v>15</v>
      </c>
      <c r="H656" s="142" t="s">
        <v>113</v>
      </c>
      <c r="I656" s="141"/>
    </row>
    <row r="657" spans="1:9" ht="15.75" outlineLevel="1" x14ac:dyDescent="0.25">
      <c r="A657" s="140">
        <v>22</v>
      </c>
      <c r="B657" s="141" t="s">
        <v>375</v>
      </c>
      <c r="C657" s="142">
        <v>1</v>
      </c>
      <c r="D657" s="143">
        <v>60</v>
      </c>
      <c r="E657" s="143">
        <v>140</v>
      </c>
      <c r="F657" s="143">
        <f t="shared" si="23"/>
        <v>80</v>
      </c>
      <c r="G657" s="142" t="s">
        <v>15</v>
      </c>
      <c r="H657" s="142" t="s">
        <v>113</v>
      </c>
      <c r="I657" s="141"/>
    </row>
    <row r="658" spans="1:9" ht="15.75" outlineLevel="1" x14ac:dyDescent="0.25">
      <c r="A658" s="140">
        <v>23</v>
      </c>
      <c r="B658" s="141" t="s">
        <v>370</v>
      </c>
      <c r="C658" s="142">
        <v>1</v>
      </c>
      <c r="D658" s="143">
        <v>37</v>
      </c>
      <c r="E658" s="143">
        <v>76</v>
      </c>
      <c r="F658" s="143">
        <f t="shared" si="23"/>
        <v>39</v>
      </c>
      <c r="G658" s="142" t="s">
        <v>15</v>
      </c>
      <c r="H658" s="142" t="s">
        <v>113</v>
      </c>
      <c r="I658" s="141"/>
    </row>
    <row r="659" spans="1:9" ht="15.75" outlineLevel="1" x14ac:dyDescent="0.25">
      <c r="A659" s="140">
        <v>24</v>
      </c>
      <c r="B659" s="141" t="s">
        <v>242</v>
      </c>
      <c r="C659" s="142">
        <v>1</v>
      </c>
      <c r="D659" s="143">
        <v>7</v>
      </c>
      <c r="E659" s="143">
        <v>40</v>
      </c>
      <c r="F659" s="143">
        <f t="shared" si="23"/>
        <v>33</v>
      </c>
      <c r="G659" s="142" t="s">
        <v>15</v>
      </c>
      <c r="H659" s="142" t="s">
        <v>113</v>
      </c>
      <c r="I659" s="141"/>
    </row>
    <row r="660" spans="1:9" ht="15.75" outlineLevel="1" x14ac:dyDescent="0.25">
      <c r="A660" s="140">
        <v>25</v>
      </c>
      <c r="B660" s="141" t="s">
        <v>242</v>
      </c>
      <c r="C660" s="142">
        <v>1</v>
      </c>
      <c r="D660" s="143">
        <v>7</v>
      </c>
      <c r="E660" s="143">
        <v>20</v>
      </c>
      <c r="F660" s="143">
        <f t="shared" ref="F660:F662" si="24">E660-D660</f>
        <v>13</v>
      </c>
      <c r="G660" s="142" t="s">
        <v>15</v>
      </c>
      <c r="H660" s="142" t="s">
        <v>113</v>
      </c>
      <c r="I660" s="141"/>
    </row>
    <row r="661" spans="1:9" ht="15.75" outlineLevel="1" x14ac:dyDescent="0.25">
      <c r="A661" s="140">
        <v>26</v>
      </c>
      <c r="B661" s="141" t="s">
        <v>242</v>
      </c>
      <c r="C661" s="142">
        <v>1</v>
      </c>
      <c r="D661" s="143">
        <v>7</v>
      </c>
      <c r="E661" s="143">
        <v>20</v>
      </c>
      <c r="F661" s="143">
        <f t="shared" si="24"/>
        <v>13</v>
      </c>
      <c r="G661" s="142" t="s">
        <v>15</v>
      </c>
      <c r="H661" s="142" t="s">
        <v>113</v>
      </c>
      <c r="I661" s="141"/>
    </row>
    <row r="662" spans="1:9" ht="15.75" outlineLevel="1" x14ac:dyDescent="0.25">
      <c r="A662" s="140">
        <v>27</v>
      </c>
      <c r="B662" s="141" t="s">
        <v>376</v>
      </c>
      <c r="C662" s="142">
        <v>1</v>
      </c>
      <c r="D662" s="143">
        <v>60</v>
      </c>
      <c r="E662" s="143">
        <v>150</v>
      </c>
      <c r="F662" s="143">
        <f t="shared" si="24"/>
        <v>90</v>
      </c>
      <c r="G662" s="142" t="s">
        <v>15</v>
      </c>
      <c r="H662" s="142" t="s">
        <v>113</v>
      </c>
      <c r="I662" s="141"/>
    </row>
    <row r="663" spans="1:9" ht="15.75" outlineLevel="1" x14ac:dyDescent="0.25">
      <c r="A663" s="140">
        <v>28</v>
      </c>
      <c r="B663" s="141" t="s">
        <v>376</v>
      </c>
      <c r="C663" s="142">
        <v>1</v>
      </c>
      <c r="D663" s="143">
        <v>60</v>
      </c>
      <c r="E663" s="143">
        <v>150</v>
      </c>
      <c r="F663" s="143">
        <f t="shared" ref="F663:F664" si="25">E663-D663</f>
        <v>90</v>
      </c>
      <c r="G663" s="142" t="s">
        <v>15</v>
      </c>
      <c r="H663" s="142" t="s">
        <v>113</v>
      </c>
      <c r="I663" s="141"/>
    </row>
    <row r="664" spans="1:9" ht="15.75" outlineLevel="1" x14ac:dyDescent="0.25">
      <c r="A664" s="140">
        <v>29</v>
      </c>
      <c r="B664" s="141" t="s">
        <v>377</v>
      </c>
      <c r="C664" s="142">
        <v>1</v>
      </c>
      <c r="D664" s="143">
        <v>40</v>
      </c>
      <c r="E664" s="143">
        <v>80</v>
      </c>
      <c r="F664" s="143">
        <f t="shared" si="25"/>
        <v>40</v>
      </c>
      <c r="G664" s="142" t="s">
        <v>15</v>
      </c>
      <c r="H664" s="142" t="s">
        <v>113</v>
      </c>
      <c r="I664" s="141"/>
    </row>
    <row r="665" spans="1:9" ht="15.75" outlineLevel="1" x14ac:dyDescent="0.25">
      <c r="A665" s="140">
        <v>30</v>
      </c>
      <c r="B665" s="141" t="s">
        <v>376</v>
      </c>
      <c r="C665" s="142">
        <v>1</v>
      </c>
      <c r="D665" s="143">
        <v>60</v>
      </c>
      <c r="E665" s="143">
        <v>120</v>
      </c>
      <c r="F665" s="143">
        <f t="shared" ref="F665:F668" si="26">E665-D665</f>
        <v>60</v>
      </c>
      <c r="G665" s="142" t="s">
        <v>15</v>
      </c>
      <c r="H665" s="142" t="s">
        <v>113</v>
      </c>
      <c r="I665" s="141"/>
    </row>
    <row r="666" spans="1:9" ht="15.75" outlineLevel="1" x14ac:dyDescent="0.25">
      <c r="A666" s="140">
        <v>31</v>
      </c>
      <c r="B666" s="141" t="s">
        <v>371</v>
      </c>
      <c r="C666" s="142">
        <v>1</v>
      </c>
      <c r="D666" s="143">
        <v>38</v>
      </c>
      <c r="E666" s="143">
        <v>80</v>
      </c>
      <c r="F666" s="143">
        <f t="shared" si="26"/>
        <v>42</v>
      </c>
      <c r="G666" s="142" t="s">
        <v>15</v>
      </c>
      <c r="H666" s="142" t="s">
        <v>113</v>
      </c>
      <c r="I666" s="141"/>
    </row>
    <row r="667" spans="1:9" ht="15.75" outlineLevel="1" x14ac:dyDescent="0.25">
      <c r="A667" s="140">
        <v>32</v>
      </c>
      <c r="B667" s="141" t="s">
        <v>334</v>
      </c>
      <c r="C667" s="142">
        <v>1</v>
      </c>
      <c r="D667" s="143">
        <v>63</v>
      </c>
      <c r="E667" s="143">
        <v>120</v>
      </c>
      <c r="F667" s="143">
        <f t="shared" si="26"/>
        <v>57</v>
      </c>
      <c r="G667" s="142" t="s">
        <v>15</v>
      </c>
      <c r="H667" s="142" t="s">
        <v>113</v>
      </c>
      <c r="I667" s="141"/>
    </row>
    <row r="668" spans="1:9" ht="15.75" outlineLevel="1" x14ac:dyDescent="0.25">
      <c r="A668" s="140">
        <v>33</v>
      </c>
      <c r="B668" s="141" t="s">
        <v>382</v>
      </c>
      <c r="C668" s="142">
        <v>1</v>
      </c>
      <c r="D668" s="143">
        <v>21</v>
      </c>
      <c r="E668" s="143">
        <v>50</v>
      </c>
      <c r="F668" s="143">
        <f t="shared" si="26"/>
        <v>29</v>
      </c>
      <c r="G668" s="142" t="s">
        <v>15</v>
      </c>
      <c r="H668" s="142" t="s">
        <v>113</v>
      </c>
      <c r="I668" s="141"/>
    </row>
    <row r="669" spans="1:9" ht="15.75" outlineLevel="1" x14ac:dyDescent="0.25">
      <c r="A669" s="140">
        <v>34</v>
      </c>
      <c r="B669" s="141" t="s">
        <v>382</v>
      </c>
      <c r="C669" s="142">
        <v>1</v>
      </c>
      <c r="D669" s="143">
        <v>21</v>
      </c>
      <c r="E669" s="143">
        <v>50</v>
      </c>
      <c r="F669" s="143">
        <f t="shared" ref="F669:F675" si="27">E669-D669</f>
        <v>29</v>
      </c>
      <c r="G669" s="142" t="s">
        <v>15</v>
      </c>
      <c r="H669" s="142" t="s">
        <v>113</v>
      </c>
      <c r="I669" s="141"/>
    </row>
    <row r="670" spans="1:9" ht="15.75" outlineLevel="1" x14ac:dyDescent="0.25">
      <c r="A670" s="140">
        <v>35</v>
      </c>
      <c r="B670" s="141" t="s">
        <v>376</v>
      </c>
      <c r="C670" s="142">
        <v>1</v>
      </c>
      <c r="D670" s="143">
        <v>60</v>
      </c>
      <c r="E670" s="143">
        <v>120</v>
      </c>
      <c r="F670" s="143">
        <f t="shared" si="27"/>
        <v>60</v>
      </c>
      <c r="G670" s="142" t="s">
        <v>15</v>
      </c>
      <c r="H670" s="142" t="s">
        <v>113</v>
      </c>
      <c r="I670" s="141"/>
    </row>
    <row r="671" spans="1:9" ht="15.75" outlineLevel="1" x14ac:dyDescent="0.25">
      <c r="A671" s="140">
        <v>36</v>
      </c>
      <c r="B671" s="141" t="s">
        <v>383</v>
      </c>
      <c r="C671" s="142">
        <v>1</v>
      </c>
      <c r="D671" s="143">
        <v>2</v>
      </c>
      <c r="E671" s="143">
        <v>15</v>
      </c>
      <c r="F671" s="143">
        <f t="shared" si="27"/>
        <v>13</v>
      </c>
      <c r="G671" s="142" t="s">
        <v>15</v>
      </c>
      <c r="H671" s="142" t="s">
        <v>113</v>
      </c>
      <c r="I671" s="141"/>
    </row>
    <row r="672" spans="1:9" ht="15.75" outlineLevel="1" x14ac:dyDescent="0.25">
      <c r="A672" s="140">
        <v>37</v>
      </c>
      <c r="B672" s="141" t="s">
        <v>384</v>
      </c>
      <c r="C672" s="142">
        <v>1</v>
      </c>
      <c r="D672" s="143">
        <v>40</v>
      </c>
      <c r="E672" s="143">
        <v>80</v>
      </c>
      <c r="F672" s="143">
        <f t="shared" si="27"/>
        <v>40</v>
      </c>
      <c r="G672" s="142" t="s">
        <v>15</v>
      </c>
      <c r="H672" s="142" t="s">
        <v>113</v>
      </c>
      <c r="I672" s="141"/>
    </row>
    <row r="673" spans="1:9" ht="15.75" outlineLevel="1" x14ac:dyDescent="0.25">
      <c r="A673" s="140">
        <v>38</v>
      </c>
      <c r="B673" s="141" t="s">
        <v>385</v>
      </c>
      <c r="C673" s="142">
        <v>1</v>
      </c>
      <c r="D673" s="143">
        <v>13</v>
      </c>
      <c r="E673" s="143">
        <v>25</v>
      </c>
      <c r="F673" s="143">
        <f t="shared" si="27"/>
        <v>12</v>
      </c>
      <c r="G673" s="142" t="s">
        <v>15</v>
      </c>
      <c r="H673" s="142" t="s">
        <v>113</v>
      </c>
      <c r="I673" s="141"/>
    </row>
    <row r="674" spans="1:9" ht="15.75" outlineLevel="1" x14ac:dyDescent="0.25">
      <c r="A674" s="140">
        <v>39</v>
      </c>
      <c r="B674" s="141" t="s">
        <v>386</v>
      </c>
      <c r="C674" s="142">
        <v>1</v>
      </c>
      <c r="D674" s="143">
        <v>18</v>
      </c>
      <c r="E674" s="143">
        <v>35</v>
      </c>
      <c r="F674" s="143">
        <f t="shared" si="27"/>
        <v>17</v>
      </c>
      <c r="G674" s="142" t="s">
        <v>15</v>
      </c>
      <c r="H674" s="142" t="s">
        <v>113</v>
      </c>
      <c r="I674" s="141"/>
    </row>
    <row r="675" spans="1:9" ht="15.75" outlineLevel="1" x14ac:dyDescent="0.25">
      <c r="A675" s="140">
        <v>40</v>
      </c>
      <c r="B675" s="141" t="s">
        <v>387</v>
      </c>
      <c r="C675" s="142">
        <v>1</v>
      </c>
      <c r="D675" s="143">
        <v>2</v>
      </c>
      <c r="E675" s="143">
        <v>10</v>
      </c>
      <c r="F675" s="143">
        <f t="shared" si="27"/>
        <v>8</v>
      </c>
      <c r="G675" s="142" t="s">
        <v>15</v>
      </c>
      <c r="H675" s="142" t="s">
        <v>113</v>
      </c>
      <c r="I675" s="141"/>
    </row>
    <row r="676" spans="1:9" ht="15.75" outlineLevel="1" x14ac:dyDescent="0.25">
      <c r="A676" s="140">
        <v>41</v>
      </c>
      <c r="B676" s="141" t="s">
        <v>386</v>
      </c>
      <c r="C676" s="142">
        <v>1</v>
      </c>
      <c r="D676" s="143">
        <v>18</v>
      </c>
      <c r="E676" s="143">
        <v>35</v>
      </c>
      <c r="F676" s="143">
        <f t="shared" ref="F676:F678" si="28">E676-D676</f>
        <v>17</v>
      </c>
      <c r="G676" s="142" t="s">
        <v>15</v>
      </c>
      <c r="H676" s="142" t="s">
        <v>113</v>
      </c>
      <c r="I676" s="141"/>
    </row>
    <row r="677" spans="1:9" ht="15.75" outlineLevel="1" x14ac:dyDescent="0.25">
      <c r="A677" s="140">
        <v>42</v>
      </c>
      <c r="B677" s="141" t="s">
        <v>386</v>
      </c>
      <c r="C677" s="142">
        <v>1</v>
      </c>
      <c r="D677" s="143">
        <v>18</v>
      </c>
      <c r="E677" s="143">
        <v>35</v>
      </c>
      <c r="F677" s="143">
        <f t="shared" si="28"/>
        <v>17</v>
      </c>
      <c r="G677" s="142" t="s">
        <v>15</v>
      </c>
      <c r="H677" s="142" t="s">
        <v>113</v>
      </c>
      <c r="I677" s="141"/>
    </row>
    <row r="678" spans="1:9" ht="15.75" outlineLevel="1" x14ac:dyDescent="0.25">
      <c r="A678" s="140">
        <v>43</v>
      </c>
      <c r="B678" s="141" t="s">
        <v>388</v>
      </c>
      <c r="C678" s="142">
        <v>1</v>
      </c>
      <c r="D678" s="143">
        <v>5</v>
      </c>
      <c r="E678" s="143">
        <v>10</v>
      </c>
      <c r="F678" s="143">
        <f t="shared" si="28"/>
        <v>5</v>
      </c>
      <c r="G678" s="142" t="s">
        <v>15</v>
      </c>
      <c r="H678" s="142" t="s">
        <v>113</v>
      </c>
      <c r="I678" s="141"/>
    </row>
    <row r="679" spans="1:9" ht="15.75" outlineLevel="1" x14ac:dyDescent="0.25">
      <c r="A679" s="140">
        <v>44</v>
      </c>
      <c r="B679" s="141" t="s">
        <v>388</v>
      </c>
      <c r="C679" s="142">
        <v>1</v>
      </c>
      <c r="D679" s="143">
        <v>5</v>
      </c>
      <c r="E679" s="143">
        <v>10</v>
      </c>
      <c r="F679" s="143">
        <f t="shared" ref="F679:F682" si="29">E679-D679</f>
        <v>5</v>
      </c>
      <c r="G679" s="142" t="s">
        <v>15</v>
      </c>
      <c r="H679" s="142" t="s">
        <v>113</v>
      </c>
      <c r="I679" s="141"/>
    </row>
    <row r="680" spans="1:9" ht="15.75" outlineLevel="1" x14ac:dyDescent="0.25">
      <c r="A680" s="140">
        <v>45</v>
      </c>
      <c r="B680" s="141" t="s">
        <v>389</v>
      </c>
      <c r="C680" s="142">
        <v>1</v>
      </c>
      <c r="D680" s="143">
        <v>3</v>
      </c>
      <c r="E680" s="143">
        <v>10</v>
      </c>
      <c r="F680" s="143">
        <f t="shared" si="29"/>
        <v>7</v>
      </c>
      <c r="G680" s="142" t="s">
        <v>15</v>
      </c>
      <c r="H680" s="142" t="s">
        <v>113</v>
      </c>
      <c r="I680" s="141"/>
    </row>
    <row r="681" spans="1:9" ht="15.75" outlineLevel="1" x14ac:dyDescent="0.25">
      <c r="A681" s="140">
        <v>46</v>
      </c>
      <c r="B681" s="141" t="s">
        <v>390</v>
      </c>
      <c r="C681" s="142">
        <v>1</v>
      </c>
      <c r="D681" s="143">
        <v>7.5</v>
      </c>
      <c r="E681" s="143">
        <v>15</v>
      </c>
      <c r="F681" s="143">
        <f t="shared" si="29"/>
        <v>7.5</v>
      </c>
      <c r="G681" s="142" t="s">
        <v>15</v>
      </c>
      <c r="H681" s="142" t="s">
        <v>113</v>
      </c>
      <c r="I681" s="141"/>
    </row>
    <row r="682" spans="1:9" ht="15.75" outlineLevel="1" x14ac:dyDescent="0.25">
      <c r="A682" s="140">
        <v>47</v>
      </c>
      <c r="B682" s="141" t="s">
        <v>391</v>
      </c>
      <c r="C682" s="142">
        <v>1</v>
      </c>
      <c r="D682" s="143">
        <v>64.5</v>
      </c>
      <c r="E682" s="143">
        <f>120-(120*0.03)</f>
        <v>116.4</v>
      </c>
      <c r="F682" s="143">
        <f t="shared" si="29"/>
        <v>51.900000000000006</v>
      </c>
      <c r="G682" s="142" t="s">
        <v>15</v>
      </c>
      <c r="H682" s="142" t="s">
        <v>113</v>
      </c>
      <c r="I682" s="141"/>
    </row>
    <row r="683" spans="1:9" ht="15.75" outlineLevel="1" x14ac:dyDescent="0.25">
      <c r="A683" s="140">
        <v>48</v>
      </c>
      <c r="B683" s="141" t="s">
        <v>392</v>
      </c>
      <c r="C683" s="142">
        <v>1</v>
      </c>
      <c r="D683" s="143">
        <v>13.5</v>
      </c>
      <c r="E683" s="143">
        <f>20-(20*0.03)</f>
        <v>19.399999999999999</v>
      </c>
      <c r="F683" s="143">
        <f>E683-D683</f>
        <v>5.8999999999999986</v>
      </c>
      <c r="G683" s="142" t="s">
        <v>15</v>
      </c>
      <c r="H683" s="142" t="s">
        <v>113</v>
      </c>
      <c r="I683" s="141"/>
    </row>
    <row r="684" spans="1:9" ht="15.75" outlineLevel="1" x14ac:dyDescent="0.25">
      <c r="A684" s="140">
        <v>49</v>
      </c>
      <c r="B684" s="141" t="s">
        <v>392</v>
      </c>
      <c r="C684" s="142">
        <v>1</v>
      </c>
      <c r="D684" s="143">
        <v>13.5</v>
      </c>
      <c r="E684" s="143">
        <f>20-(20*0.03)</f>
        <v>19.399999999999999</v>
      </c>
      <c r="F684" s="143">
        <f>E684-D684</f>
        <v>5.8999999999999986</v>
      </c>
      <c r="G684" s="142" t="s">
        <v>15</v>
      </c>
      <c r="H684" s="142" t="s">
        <v>113</v>
      </c>
      <c r="I684" s="141"/>
    </row>
    <row r="685" spans="1:9" ht="15.75" outlineLevel="1" x14ac:dyDescent="0.25">
      <c r="A685" s="140">
        <v>50</v>
      </c>
      <c r="B685" s="141" t="s">
        <v>393</v>
      </c>
      <c r="C685" s="142">
        <v>1</v>
      </c>
      <c r="D685" s="143">
        <v>12.5</v>
      </c>
      <c r="E685" s="143">
        <v>20</v>
      </c>
      <c r="F685" s="143">
        <f>E685-D685</f>
        <v>7.5</v>
      </c>
      <c r="G685" s="142" t="s">
        <v>15</v>
      </c>
      <c r="H685" s="142" t="s">
        <v>113</v>
      </c>
      <c r="I685" s="141"/>
    </row>
    <row r="686" spans="1:9" ht="15.75" outlineLevel="1" x14ac:dyDescent="0.25">
      <c r="A686" s="140">
        <v>52</v>
      </c>
      <c r="B686" s="144" t="s">
        <v>132</v>
      </c>
      <c r="C686" s="145">
        <v>4</v>
      </c>
      <c r="D686" s="146">
        <v>16</v>
      </c>
      <c r="E686" s="146">
        <v>38.49</v>
      </c>
      <c r="F686" s="146">
        <v>22.490000000000002</v>
      </c>
      <c r="G686" s="142" t="s">
        <v>15</v>
      </c>
      <c r="H686" s="142" t="s">
        <v>114</v>
      </c>
      <c r="I686" s="141"/>
    </row>
    <row r="687" spans="1:9" ht="15.75" outlineLevel="1" x14ac:dyDescent="0.25">
      <c r="A687" s="140">
        <v>53</v>
      </c>
      <c r="B687" s="144" t="s">
        <v>395</v>
      </c>
      <c r="C687" s="145">
        <v>8</v>
      </c>
      <c r="D687" s="146">
        <v>16</v>
      </c>
      <c r="E687" s="146">
        <v>54.15</v>
      </c>
      <c r="F687" s="146">
        <v>38.15</v>
      </c>
      <c r="G687" s="142" t="s">
        <v>15</v>
      </c>
      <c r="H687" s="142" t="s">
        <v>114</v>
      </c>
      <c r="I687" s="141"/>
    </row>
    <row r="688" spans="1:9" ht="15.75" outlineLevel="1" x14ac:dyDescent="0.25">
      <c r="A688" s="140">
        <v>54</v>
      </c>
      <c r="B688" s="144" t="s">
        <v>216</v>
      </c>
      <c r="C688" s="145">
        <v>2</v>
      </c>
      <c r="D688" s="146">
        <v>70</v>
      </c>
      <c r="E688" s="146">
        <v>98.65</v>
      </c>
      <c r="F688" s="146">
        <v>28.650000000000006</v>
      </c>
      <c r="G688" s="142" t="s">
        <v>15</v>
      </c>
      <c r="H688" s="142" t="s">
        <v>114</v>
      </c>
      <c r="I688" s="141"/>
    </row>
    <row r="689" spans="1:9" ht="15.75" outlineLevel="1" x14ac:dyDescent="0.25">
      <c r="A689" s="140">
        <v>55</v>
      </c>
      <c r="B689" s="144" t="s">
        <v>396</v>
      </c>
      <c r="C689" s="145">
        <v>2</v>
      </c>
      <c r="D689" s="146">
        <v>18</v>
      </c>
      <c r="E689" s="146">
        <v>37.51</v>
      </c>
      <c r="F689" s="146">
        <v>19.509999999999998</v>
      </c>
      <c r="G689" s="142" t="s">
        <v>15</v>
      </c>
      <c r="H689" s="142" t="s">
        <v>114</v>
      </c>
      <c r="I689" s="141"/>
    </row>
    <row r="690" spans="1:9" ht="15.75" outlineLevel="1" x14ac:dyDescent="0.25">
      <c r="A690" s="140">
        <v>56</v>
      </c>
      <c r="B690" s="144" t="s">
        <v>181</v>
      </c>
      <c r="C690" s="145">
        <v>6</v>
      </c>
      <c r="D690" s="146">
        <v>4.1999999999999993</v>
      </c>
      <c r="E690" s="146">
        <v>6.56</v>
      </c>
      <c r="F690" s="146">
        <v>2.3600000000000003</v>
      </c>
      <c r="G690" s="142" t="s">
        <v>15</v>
      </c>
      <c r="H690" s="142" t="s">
        <v>114</v>
      </c>
      <c r="I690" s="141"/>
    </row>
    <row r="691" spans="1:9" ht="15.75" outlineLevel="1" x14ac:dyDescent="0.25">
      <c r="A691" s="140">
        <v>57</v>
      </c>
      <c r="B691" s="144" t="s">
        <v>73</v>
      </c>
      <c r="C691" s="145">
        <v>6</v>
      </c>
      <c r="D691" s="146">
        <v>4.1999999999999993</v>
      </c>
      <c r="E691" s="146">
        <v>13.63</v>
      </c>
      <c r="F691" s="146">
        <v>9.4300000000000015</v>
      </c>
      <c r="G691" s="142" t="s">
        <v>15</v>
      </c>
      <c r="H691" s="142" t="s">
        <v>114</v>
      </c>
      <c r="I691" s="141"/>
    </row>
    <row r="692" spans="1:9" ht="15.75" outlineLevel="1" x14ac:dyDescent="0.25">
      <c r="A692" s="140">
        <v>58</v>
      </c>
      <c r="B692" s="144" t="s">
        <v>397</v>
      </c>
      <c r="C692" s="145">
        <v>1</v>
      </c>
      <c r="D692" s="146">
        <v>15</v>
      </c>
      <c r="E692" s="146">
        <v>33.6</v>
      </c>
      <c r="F692" s="146">
        <v>18.600000000000001</v>
      </c>
      <c r="G692" s="142" t="s">
        <v>15</v>
      </c>
      <c r="H692" s="142" t="s">
        <v>114</v>
      </c>
      <c r="I692" s="141"/>
    </row>
    <row r="693" spans="1:9" ht="15.75" outlineLevel="1" x14ac:dyDescent="0.25">
      <c r="A693" s="140">
        <v>59</v>
      </c>
      <c r="B693" s="144" t="s">
        <v>398</v>
      </c>
      <c r="C693" s="145">
        <v>1</v>
      </c>
      <c r="D693" s="146">
        <v>10</v>
      </c>
      <c r="E693" s="146">
        <v>18.57</v>
      </c>
      <c r="F693" s="146">
        <v>8.57</v>
      </c>
      <c r="G693" s="142" t="s">
        <v>15</v>
      </c>
      <c r="H693" s="142" t="s">
        <v>114</v>
      </c>
      <c r="I693" s="141"/>
    </row>
    <row r="694" spans="1:9" ht="15.75" outlineLevel="1" x14ac:dyDescent="0.25">
      <c r="A694" s="140">
        <v>60</v>
      </c>
      <c r="B694" s="144" t="s">
        <v>198</v>
      </c>
      <c r="C694" s="145">
        <v>1</v>
      </c>
      <c r="D694" s="146">
        <v>1.5</v>
      </c>
      <c r="E694" s="146">
        <v>11.91</v>
      </c>
      <c r="F694" s="146">
        <v>10.41</v>
      </c>
      <c r="G694" s="142" t="s">
        <v>15</v>
      </c>
      <c r="H694" s="142" t="s">
        <v>114</v>
      </c>
      <c r="I694" s="141"/>
    </row>
    <row r="695" spans="1:9" ht="15.75" outlineLevel="1" x14ac:dyDescent="0.25">
      <c r="A695" s="140">
        <v>61</v>
      </c>
      <c r="B695" s="144" t="s">
        <v>139</v>
      </c>
      <c r="C695" s="145">
        <v>1</v>
      </c>
      <c r="D695" s="146">
        <v>14</v>
      </c>
      <c r="E695" s="146">
        <v>24.04</v>
      </c>
      <c r="F695" s="146">
        <v>10.039999999999999</v>
      </c>
      <c r="G695" s="142" t="s">
        <v>15</v>
      </c>
      <c r="H695" s="142" t="s">
        <v>114</v>
      </c>
      <c r="I695" s="141"/>
    </row>
    <row r="696" spans="1:9" ht="15.75" outlineLevel="1" x14ac:dyDescent="0.25">
      <c r="A696" s="140">
        <v>62</v>
      </c>
      <c r="B696" s="144" t="s">
        <v>399</v>
      </c>
      <c r="C696" s="145">
        <v>2</v>
      </c>
      <c r="D696" s="146">
        <v>76</v>
      </c>
      <c r="E696" s="146">
        <v>97.94</v>
      </c>
      <c r="F696" s="146">
        <v>21.939999999999998</v>
      </c>
      <c r="G696" s="142" t="s">
        <v>15</v>
      </c>
      <c r="H696" s="142" t="s">
        <v>114</v>
      </c>
      <c r="I696" s="141"/>
    </row>
    <row r="697" spans="1:9" ht="15.75" outlineLevel="1" x14ac:dyDescent="0.25">
      <c r="A697" s="140">
        <v>63</v>
      </c>
      <c r="B697" s="144" t="s">
        <v>318</v>
      </c>
      <c r="C697" s="145">
        <v>1</v>
      </c>
      <c r="D697" s="146">
        <v>19</v>
      </c>
      <c r="E697" s="146">
        <v>51.5</v>
      </c>
      <c r="F697" s="146">
        <v>32.5</v>
      </c>
      <c r="G697" s="142" t="s">
        <v>15</v>
      </c>
      <c r="H697" s="142" t="s">
        <v>114</v>
      </c>
      <c r="I697" s="141"/>
    </row>
    <row r="698" spans="1:9" ht="15.75" outlineLevel="1" x14ac:dyDescent="0.25">
      <c r="A698" s="140">
        <v>64</v>
      </c>
      <c r="B698" s="144" t="s">
        <v>400</v>
      </c>
      <c r="C698" s="145">
        <v>1</v>
      </c>
      <c r="D698" s="146">
        <v>6</v>
      </c>
      <c r="E698" s="146">
        <v>8.5500000000000007</v>
      </c>
      <c r="F698" s="146">
        <v>2.5500000000000007</v>
      </c>
      <c r="G698" s="142" t="s">
        <v>15</v>
      </c>
      <c r="H698" s="142" t="s">
        <v>114</v>
      </c>
      <c r="I698" s="141"/>
    </row>
    <row r="699" spans="1:9" ht="15.75" outlineLevel="1" x14ac:dyDescent="0.25">
      <c r="A699" s="140">
        <v>65</v>
      </c>
      <c r="B699" s="144" t="s">
        <v>201</v>
      </c>
      <c r="C699" s="145">
        <v>1</v>
      </c>
      <c r="D699" s="146">
        <v>6</v>
      </c>
      <c r="E699" s="146">
        <v>13.98</v>
      </c>
      <c r="F699" s="146">
        <v>7.98</v>
      </c>
      <c r="G699" s="142" t="s">
        <v>15</v>
      </c>
      <c r="H699" s="142" t="s">
        <v>114</v>
      </c>
      <c r="I699" s="141"/>
    </row>
    <row r="700" spans="1:9" ht="15.75" outlineLevel="1" x14ac:dyDescent="0.25">
      <c r="A700" s="140">
        <v>66</v>
      </c>
      <c r="B700" s="144" t="s">
        <v>252</v>
      </c>
      <c r="C700" s="145">
        <v>1</v>
      </c>
      <c r="D700" s="146">
        <v>1</v>
      </c>
      <c r="E700" s="146">
        <v>1.86</v>
      </c>
      <c r="F700" s="146">
        <v>0.8600000000000001</v>
      </c>
      <c r="G700" s="142" t="s">
        <v>15</v>
      </c>
      <c r="H700" s="142" t="s">
        <v>114</v>
      </c>
      <c r="I700" s="141"/>
    </row>
    <row r="701" spans="1:9" ht="15.75" outlineLevel="1" x14ac:dyDescent="0.25">
      <c r="A701" s="140">
        <v>67</v>
      </c>
      <c r="B701" s="144" t="s">
        <v>98</v>
      </c>
      <c r="C701" s="145">
        <v>1</v>
      </c>
      <c r="D701" s="146">
        <v>1</v>
      </c>
      <c r="E701" s="146">
        <v>2.09</v>
      </c>
      <c r="F701" s="146">
        <v>1.0899999999999999</v>
      </c>
      <c r="G701" s="142" t="s">
        <v>15</v>
      </c>
      <c r="H701" s="142" t="s">
        <v>114</v>
      </c>
      <c r="I701" s="141"/>
    </row>
    <row r="702" spans="1:9" ht="15.75" outlineLevel="1" x14ac:dyDescent="0.25">
      <c r="A702" s="140">
        <v>68</v>
      </c>
      <c r="B702" s="144" t="s">
        <v>81</v>
      </c>
      <c r="C702" s="145">
        <v>2</v>
      </c>
      <c r="D702" s="146">
        <v>10</v>
      </c>
      <c r="E702" s="146">
        <v>30.85</v>
      </c>
      <c r="F702" s="146">
        <v>20.85</v>
      </c>
      <c r="G702" s="142" t="s">
        <v>15</v>
      </c>
      <c r="H702" s="142" t="s">
        <v>114</v>
      </c>
      <c r="I702" s="141"/>
    </row>
    <row r="703" spans="1:9" ht="15.75" outlineLevel="1" x14ac:dyDescent="0.25">
      <c r="A703" s="140">
        <v>69</v>
      </c>
      <c r="B703" s="144" t="s">
        <v>175</v>
      </c>
      <c r="C703" s="145">
        <v>2</v>
      </c>
      <c r="D703" s="146">
        <v>12</v>
      </c>
      <c r="E703" s="146">
        <v>29.9</v>
      </c>
      <c r="F703" s="146">
        <v>17.899999999999999</v>
      </c>
      <c r="G703" s="142" t="s">
        <v>15</v>
      </c>
      <c r="H703" s="142" t="s">
        <v>114</v>
      </c>
      <c r="I703" s="141"/>
    </row>
    <row r="704" spans="1:9" ht="15.75" outlineLevel="1" x14ac:dyDescent="0.25">
      <c r="A704" s="140">
        <v>70</v>
      </c>
      <c r="B704" s="144" t="s">
        <v>135</v>
      </c>
      <c r="C704" s="145">
        <v>1</v>
      </c>
      <c r="D704" s="146">
        <v>2</v>
      </c>
      <c r="E704" s="146">
        <v>8.57</v>
      </c>
      <c r="F704" s="146">
        <v>6.57</v>
      </c>
      <c r="G704" s="142" t="s">
        <v>15</v>
      </c>
      <c r="H704" s="142" t="s">
        <v>114</v>
      </c>
      <c r="I704" s="141"/>
    </row>
    <row r="705" spans="1:9" ht="15.75" outlineLevel="1" x14ac:dyDescent="0.25">
      <c r="A705" s="140">
        <v>71</v>
      </c>
      <c r="B705" s="144" t="s">
        <v>220</v>
      </c>
      <c r="C705" s="145">
        <v>65</v>
      </c>
      <c r="D705" s="146">
        <v>2405</v>
      </c>
      <c r="E705" s="147">
        <v>4505.99</v>
      </c>
      <c r="F705" s="146">
        <v>2100.9899999999998</v>
      </c>
      <c r="G705" s="142" t="s">
        <v>15</v>
      </c>
      <c r="H705" s="142" t="s">
        <v>114</v>
      </c>
      <c r="I705" s="141"/>
    </row>
    <row r="706" spans="1:9" ht="15.75" outlineLevel="1" x14ac:dyDescent="0.25">
      <c r="A706" s="140">
        <v>72</v>
      </c>
      <c r="B706" s="144" t="s">
        <v>401</v>
      </c>
      <c r="C706" s="145">
        <v>1</v>
      </c>
      <c r="D706" s="146">
        <v>8</v>
      </c>
      <c r="E706" s="146">
        <v>20.77</v>
      </c>
      <c r="F706" s="146">
        <v>12.77</v>
      </c>
      <c r="G706" s="142" t="s">
        <v>15</v>
      </c>
      <c r="H706" s="142" t="s">
        <v>114</v>
      </c>
      <c r="I706" s="141"/>
    </row>
    <row r="707" spans="1:9" ht="15.75" outlineLevel="1" x14ac:dyDescent="0.25">
      <c r="A707" s="140">
        <v>73</v>
      </c>
      <c r="B707" s="144" t="s">
        <v>402</v>
      </c>
      <c r="C707" s="145">
        <v>1</v>
      </c>
      <c r="D707" s="146">
        <v>7</v>
      </c>
      <c r="E707" s="146">
        <v>15.03</v>
      </c>
      <c r="F707" s="146">
        <v>8.0299999999999994</v>
      </c>
      <c r="G707" s="142" t="s">
        <v>15</v>
      </c>
      <c r="H707" s="142" t="s">
        <v>114</v>
      </c>
      <c r="I707" s="141"/>
    </row>
    <row r="708" spans="1:9" ht="15.75" outlineLevel="1" x14ac:dyDescent="0.25">
      <c r="A708" s="140">
        <v>74</v>
      </c>
      <c r="B708" s="144" t="s">
        <v>403</v>
      </c>
      <c r="C708" s="145">
        <v>1</v>
      </c>
      <c r="D708" s="146">
        <v>12</v>
      </c>
      <c r="E708" s="146">
        <v>37.15</v>
      </c>
      <c r="F708" s="146">
        <v>25.15</v>
      </c>
      <c r="G708" s="142" t="s">
        <v>15</v>
      </c>
      <c r="H708" s="142" t="s">
        <v>114</v>
      </c>
      <c r="I708" s="141"/>
    </row>
    <row r="709" spans="1:9" ht="15.75" outlineLevel="1" x14ac:dyDescent="0.25">
      <c r="A709" s="140">
        <v>75</v>
      </c>
      <c r="B709" s="144" t="s">
        <v>404</v>
      </c>
      <c r="C709" s="145">
        <v>1</v>
      </c>
      <c r="D709" s="146">
        <v>3</v>
      </c>
      <c r="E709" s="146">
        <v>14.25</v>
      </c>
      <c r="F709" s="146">
        <v>11.25</v>
      </c>
      <c r="G709" s="142" t="s">
        <v>15</v>
      </c>
      <c r="H709" s="142" t="s">
        <v>114</v>
      </c>
      <c r="I709" s="141"/>
    </row>
    <row r="710" spans="1:9" ht="15.75" outlineLevel="1" x14ac:dyDescent="0.25">
      <c r="A710" s="140">
        <v>76</v>
      </c>
      <c r="B710" s="144" t="s">
        <v>405</v>
      </c>
      <c r="C710" s="145">
        <v>1</v>
      </c>
      <c r="D710" s="146">
        <v>3</v>
      </c>
      <c r="E710" s="146">
        <v>8.14</v>
      </c>
      <c r="F710" s="146">
        <v>5.1400000000000006</v>
      </c>
      <c r="G710" s="142" t="s">
        <v>15</v>
      </c>
      <c r="H710" s="142" t="s">
        <v>114</v>
      </c>
      <c r="I710" s="141"/>
    </row>
    <row r="711" spans="1:9" ht="15.75" outlineLevel="1" x14ac:dyDescent="0.25">
      <c r="A711" s="140">
        <v>77</v>
      </c>
      <c r="B711" s="144" t="s">
        <v>223</v>
      </c>
      <c r="C711" s="145">
        <v>4</v>
      </c>
      <c r="D711" s="146">
        <v>28</v>
      </c>
      <c r="E711" s="146">
        <v>72.489999999999995</v>
      </c>
      <c r="F711" s="146">
        <v>44.489999999999995</v>
      </c>
      <c r="G711" s="142" t="s">
        <v>15</v>
      </c>
      <c r="H711" s="142" t="s">
        <v>114</v>
      </c>
      <c r="I711" s="141"/>
    </row>
    <row r="712" spans="1:9" ht="15.75" outlineLevel="1" x14ac:dyDescent="0.25">
      <c r="A712" s="140">
        <v>78</v>
      </c>
      <c r="B712" s="144" t="s">
        <v>224</v>
      </c>
      <c r="C712" s="145">
        <v>1</v>
      </c>
      <c r="D712" s="146">
        <v>15</v>
      </c>
      <c r="E712" s="146">
        <v>30</v>
      </c>
      <c r="F712" s="146">
        <v>15</v>
      </c>
      <c r="G712" s="142" t="s">
        <v>15</v>
      </c>
      <c r="H712" s="142" t="s">
        <v>114</v>
      </c>
      <c r="I712" s="141"/>
    </row>
    <row r="713" spans="1:9" ht="15.75" outlineLevel="1" x14ac:dyDescent="0.25">
      <c r="A713" s="140">
        <v>79</v>
      </c>
      <c r="B713" s="144" t="s">
        <v>76</v>
      </c>
      <c r="C713" s="145">
        <v>1</v>
      </c>
      <c r="D713" s="146">
        <v>20</v>
      </c>
      <c r="E713" s="146">
        <v>30.95</v>
      </c>
      <c r="F713" s="146">
        <v>10.95</v>
      </c>
      <c r="G713" s="142" t="s">
        <v>15</v>
      </c>
      <c r="H713" s="142" t="s">
        <v>114</v>
      </c>
      <c r="I713" s="141"/>
    </row>
    <row r="714" spans="1:9" ht="15.75" outlineLevel="1" x14ac:dyDescent="0.25">
      <c r="A714" s="140">
        <v>80</v>
      </c>
      <c r="B714" s="144" t="s">
        <v>361</v>
      </c>
      <c r="C714" s="145">
        <v>2</v>
      </c>
      <c r="D714" s="146">
        <v>6</v>
      </c>
      <c r="E714" s="146">
        <v>13.41</v>
      </c>
      <c r="F714" s="146">
        <v>7.41</v>
      </c>
      <c r="G714" s="142" t="s">
        <v>15</v>
      </c>
      <c r="H714" s="142" t="s">
        <v>114</v>
      </c>
      <c r="I714" s="141"/>
    </row>
    <row r="715" spans="1:9" ht="15.75" outlineLevel="1" x14ac:dyDescent="0.25">
      <c r="A715" s="140">
        <v>81</v>
      </c>
      <c r="B715" s="144" t="s">
        <v>170</v>
      </c>
      <c r="C715" s="145">
        <v>3</v>
      </c>
      <c r="D715" s="146">
        <v>60</v>
      </c>
      <c r="E715" s="146">
        <v>121.28</v>
      </c>
      <c r="F715" s="146">
        <v>61.28</v>
      </c>
      <c r="G715" s="142" t="s">
        <v>15</v>
      </c>
      <c r="H715" s="142" t="s">
        <v>114</v>
      </c>
      <c r="I715" s="141"/>
    </row>
    <row r="716" spans="1:9" ht="15.75" outlineLevel="1" x14ac:dyDescent="0.25">
      <c r="A716" s="140">
        <v>82</v>
      </c>
      <c r="B716" s="144" t="s">
        <v>72</v>
      </c>
      <c r="C716" s="145">
        <v>29</v>
      </c>
      <c r="D716" s="146">
        <v>203</v>
      </c>
      <c r="E716" s="147">
        <v>482.52</v>
      </c>
      <c r="F716" s="146">
        <v>279.52</v>
      </c>
      <c r="G716" s="142" t="s">
        <v>15</v>
      </c>
      <c r="H716" s="142" t="s">
        <v>114</v>
      </c>
      <c r="I716" s="141"/>
    </row>
    <row r="717" spans="1:9" ht="15.75" outlineLevel="1" x14ac:dyDescent="0.25">
      <c r="A717" s="140">
        <v>83</v>
      </c>
      <c r="B717" s="144" t="s">
        <v>261</v>
      </c>
      <c r="C717" s="145">
        <v>15</v>
      </c>
      <c r="D717" s="146">
        <v>82.5</v>
      </c>
      <c r="E717" s="146">
        <v>181.14</v>
      </c>
      <c r="F717" s="146">
        <v>98.639999999999986</v>
      </c>
      <c r="G717" s="142" t="s">
        <v>15</v>
      </c>
      <c r="H717" s="142" t="s">
        <v>114</v>
      </c>
      <c r="I717" s="141"/>
    </row>
    <row r="718" spans="1:9" ht="15.75" outlineLevel="1" x14ac:dyDescent="0.25">
      <c r="A718" s="140">
        <v>84</v>
      </c>
      <c r="B718" s="144" t="s">
        <v>323</v>
      </c>
      <c r="C718" s="145">
        <v>1</v>
      </c>
      <c r="D718" s="146">
        <v>8</v>
      </c>
      <c r="E718" s="146">
        <v>18.75</v>
      </c>
      <c r="F718" s="146">
        <v>10.75</v>
      </c>
      <c r="G718" s="142" t="s">
        <v>15</v>
      </c>
      <c r="H718" s="142" t="s">
        <v>114</v>
      </c>
      <c r="I718" s="141"/>
    </row>
    <row r="719" spans="1:9" ht="15.75" outlineLevel="1" x14ac:dyDescent="0.25">
      <c r="A719" s="140">
        <v>85</v>
      </c>
      <c r="B719" s="144" t="s">
        <v>406</v>
      </c>
      <c r="C719" s="145">
        <v>1</v>
      </c>
      <c r="D719" s="146">
        <v>12</v>
      </c>
      <c r="E719" s="146">
        <v>36.630000000000003</v>
      </c>
      <c r="F719" s="146">
        <v>24.630000000000003</v>
      </c>
      <c r="G719" s="142" t="s">
        <v>15</v>
      </c>
      <c r="H719" s="142" t="s">
        <v>114</v>
      </c>
      <c r="I719" s="141"/>
    </row>
    <row r="720" spans="1:9" ht="15.75" outlineLevel="1" x14ac:dyDescent="0.25">
      <c r="A720" s="140">
        <v>86</v>
      </c>
      <c r="B720" s="144" t="s">
        <v>325</v>
      </c>
      <c r="C720" s="145">
        <v>3</v>
      </c>
      <c r="D720" s="146">
        <v>27</v>
      </c>
      <c r="E720" s="146">
        <v>55.99</v>
      </c>
      <c r="F720" s="146">
        <v>28.990000000000002</v>
      </c>
      <c r="G720" s="142" t="s">
        <v>15</v>
      </c>
      <c r="H720" s="142" t="s">
        <v>114</v>
      </c>
      <c r="I720" s="141"/>
    </row>
    <row r="721" spans="1:9" ht="15.75" outlineLevel="1" x14ac:dyDescent="0.25">
      <c r="A721" s="140">
        <v>87</v>
      </c>
      <c r="B721" s="144" t="s">
        <v>86</v>
      </c>
      <c r="C721" s="145">
        <v>1</v>
      </c>
      <c r="D721" s="146">
        <v>7</v>
      </c>
      <c r="E721" s="146">
        <v>16.899999999999999</v>
      </c>
      <c r="F721" s="146">
        <v>9.8999999999999986</v>
      </c>
      <c r="G721" s="142" t="s">
        <v>15</v>
      </c>
      <c r="H721" s="142" t="s">
        <v>114</v>
      </c>
      <c r="I721" s="141"/>
    </row>
    <row r="722" spans="1:9" ht="15.75" outlineLevel="1" x14ac:dyDescent="0.25">
      <c r="A722" s="140">
        <v>88</v>
      </c>
      <c r="B722" s="144" t="s">
        <v>326</v>
      </c>
      <c r="C722" s="145">
        <v>34</v>
      </c>
      <c r="D722" s="146">
        <v>34</v>
      </c>
      <c r="E722" s="146">
        <v>93.16</v>
      </c>
      <c r="F722" s="146">
        <v>59.16</v>
      </c>
      <c r="G722" s="142" t="s">
        <v>15</v>
      </c>
      <c r="H722" s="142" t="s">
        <v>114</v>
      </c>
      <c r="I722" s="141"/>
    </row>
    <row r="723" spans="1:9" ht="15.75" outlineLevel="1" x14ac:dyDescent="0.25">
      <c r="A723" s="140">
        <v>89</v>
      </c>
      <c r="B723" s="144" t="s">
        <v>282</v>
      </c>
      <c r="C723" s="145">
        <v>4</v>
      </c>
      <c r="D723" s="146">
        <v>60</v>
      </c>
      <c r="E723" s="146">
        <v>122.13</v>
      </c>
      <c r="F723" s="146">
        <v>62.129999999999995</v>
      </c>
      <c r="G723" s="142" t="s">
        <v>15</v>
      </c>
      <c r="H723" s="142" t="s">
        <v>114</v>
      </c>
      <c r="I723" s="141"/>
    </row>
    <row r="724" spans="1:9" ht="15.75" outlineLevel="1" x14ac:dyDescent="0.25">
      <c r="A724" s="140">
        <v>90</v>
      </c>
      <c r="B724" s="141"/>
      <c r="C724" s="142"/>
      <c r="D724" s="143"/>
      <c r="E724" s="143"/>
      <c r="F724" s="143"/>
      <c r="G724" s="142"/>
      <c r="H724" s="142"/>
      <c r="I724" s="141"/>
    </row>
    <row r="725" spans="1:9" ht="15.75" outlineLevel="1" x14ac:dyDescent="0.25">
      <c r="A725" s="140">
        <v>91</v>
      </c>
      <c r="B725" s="141"/>
      <c r="C725" s="142"/>
      <c r="D725" s="143"/>
      <c r="E725" s="143"/>
      <c r="F725" s="143"/>
      <c r="G725" s="142"/>
      <c r="H725" s="142"/>
      <c r="I725" s="141"/>
    </row>
    <row r="726" spans="1:9" ht="15.75" x14ac:dyDescent="0.25">
      <c r="A726" s="183" t="s">
        <v>51</v>
      </c>
      <c r="B726" s="184"/>
      <c r="C726" s="185"/>
      <c r="D726" s="137">
        <f>SUM(D727:D796)</f>
        <v>3150.4</v>
      </c>
      <c r="E726" s="137">
        <f>SUM(E727:E796)</f>
        <v>6205.0199999999995</v>
      </c>
      <c r="F726" s="137">
        <f>SUM(F727:F796)</f>
        <v>3054.62</v>
      </c>
      <c r="G726" s="138">
        <f>SUM(C727:C796)</f>
        <v>367</v>
      </c>
      <c r="H726" s="139">
        <f>G726-I726</f>
        <v>341</v>
      </c>
      <c r="I726" s="138">
        <f>COUNTIF(H727:H796,"bsb")</f>
        <v>26</v>
      </c>
    </row>
    <row r="727" spans="1:9" ht="15.75" outlineLevel="1" x14ac:dyDescent="0.25">
      <c r="A727" s="140">
        <v>1</v>
      </c>
      <c r="B727" s="141" t="s">
        <v>412</v>
      </c>
      <c r="C727" s="142">
        <v>1</v>
      </c>
      <c r="D727" s="143">
        <v>35</v>
      </c>
      <c r="E727" s="143">
        <v>40</v>
      </c>
      <c r="F727" s="143">
        <f t="shared" ref="F727:F752" si="30">E727-D727</f>
        <v>5</v>
      </c>
      <c r="G727" s="142" t="s">
        <v>15</v>
      </c>
      <c r="H727" s="142" t="s">
        <v>113</v>
      </c>
      <c r="I727" s="141"/>
    </row>
    <row r="728" spans="1:9" ht="15.75" outlineLevel="1" x14ac:dyDescent="0.25">
      <c r="A728" s="140">
        <v>2</v>
      </c>
      <c r="B728" s="141" t="s">
        <v>390</v>
      </c>
      <c r="C728" s="142">
        <v>1</v>
      </c>
      <c r="D728" s="143">
        <v>7.5</v>
      </c>
      <c r="E728" s="143">
        <v>15</v>
      </c>
      <c r="F728" s="143">
        <f t="shared" si="30"/>
        <v>7.5</v>
      </c>
      <c r="G728" s="142" t="s">
        <v>15</v>
      </c>
      <c r="H728" s="142" t="s">
        <v>113</v>
      </c>
      <c r="I728" s="141"/>
    </row>
    <row r="729" spans="1:9" ht="15.75" outlineLevel="1" x14ac:dyDescent="0.25">
      <c r="A729" s="140">
        <v>3</v>
      </c>
      <c r="B729" s="141" t="s">
        <v>420</v>
      </c>
      <c r="C729" s="142">
        <v>1</v>
      </c>
      <c r="D729" s="143">
        <v>20</v>
      </c>
      <c r="E729" s="143">
        <v>50</v>
      </c>
      <c r="F729" s="143">
        <f t="shared" si="30"/>
        <v>30</v>
      </c>
      <c r="G729" s="142" t="s">
        <v>15</v>
      </c>
      <c r="H729" s="142" t="s">
        <v>113</v>
      </c>
      <c r="I729" s="141"/>
    </row>
    <row r="730" spans="1:9" ht="15.75" outlineLevel="1" x14ac:dyDescent="0.25">
      <c r="A730" s="140">
        <v>4</v>
      </c>
      <c r="B730" s="141" t="s">
        <v>413</v>
      </c>
      <c r="C730" s="142">
        <v>1</v>
      </c>
      <c r="D730" s="143">
        <v>10</v>
      </c>
      <c r="E730" s="143">
        <v>20</v>
      </c>
      <c r="F730" s="143">
        <f t="shared" si="30"/>
        <v>10</v>
      </c>
      <c r="G730" s="142" t="s">
        <v>15</v>
      </c>
      <c r="H730" s="142" t="s">
        <v>113</v>
      </c>
      <c r="I730" s="141"/>
    </row>
    <row r="731" spans="1:9" ht="15.75" outlineLevel="1" x14ac:dyDescent="0.25">
      <c r="A731" s="140">
        <v>5</v>
      </c>
      <c r="B731" s="141" t="s">
        <v>424</v>
      </c>
      <c r="C731" s="142">
        <v>1</v>
      </c>
      <c r="D731" s="143">
        <v>3</v>
      </c>
      <c r="E731" s="143">
        <v>10</v>
      </c>
      <c r="F731" s="143">
        <f t="shared" si="30"/>
        <v>7</v>
      </c>
      <c r="G731" s="142" t="s">
        <v>15</v>
      </c>
      <c r="H731" s="142" t="s">
        <v>113</v>
      </c>
      <c r="I731" s="141"/>
    </row>
    <row r="732" spans="1:9" ht="15.75" outlineLevel="1" x14ac:dyDescent="0.25">
      <c r="A732" s="140">
        <v>6</v>
      </c>
      <c r="B732" s="141" t="s">
        <v>408</v>
      </c>
      <c r="C732" s="142">
        <v>1</v>
      </c>
      <c r="D732" s="143">
        <v>5</v>
      </c>
      <c r="E732" s="143">
        <v>10</v>
      </c>
      <c r="F732" s="143">
        <f t="shared" si="30"/>
        <v>5</v>
      </c>
      <c r="G732" s="142" t="s">
        <v>15</v>
      </c>
      <c r="H732" s="142" t="s">
        <v>113</v>
      </c>
      <c r="I732" s="141"/>
    </row>
    <row r="733" spans="1:9" ht="15.75" outlineLevel="1" x14ac:dyDescent="0.25">
      <c r="A733" s="140">
        <v>7</v>
      </c>
      <c r="B733" s="141" t="s">
        <v>423</v>
      </c>
      <c r="C733" s="142">
        <v>1</v>
      </c>
      <c r="D733" s="143">
        <v>15</v>
      </c>
      <c r="E733" s="143">
        <v>30</v>
      </c>
      <c r="F733" s="143">
        <f t="shared" si="30"/>
        <v>15</v>
      </c>
      <c r="G733" s="142" t="s">
        <v>15</v>
      </c>
      <c r="H733" s="142" t="s">
        <v>113</v>
      </c>
      <c r="I733" s="141"/>
    </row>
    <row r="734" spans="1:9" ht="15.75" outlineLevel="1" x14ac:dyDescent="0.25">
      <c r="A734" s="140">
        <v>8</v>
      </c>
      <c r="B734" s="141" t="s">
        <v>421</v>
      </c>
      <c r="C734" s="142">
        <v>1</v>
      </c>
      <c r="D734" s="143">
        <v>20</v>
      </c>
      <c r="E734" s="143">
        <v>85</v>
      </c>
      <c r="F734" s="143">
        <f t="shared" si="30"/>
        <v>65</v>
      </c>
      <c r="G734" s="142" t="s">
        <v>15</v>
      </c>
      <c r="H734" s="142" t="s">
        <v>113</v>
      </c>
      <c r="I734" s="141"/>
    </row>
    <row r="735" spans="1:9" ht="15.75" outlineLevel="1" x14ac:dyDescent="0.25">
      <c r="A735" s="140">
        <v>9</v>
      </c>
      <c r="B735" s="141" t="s">
        <v>352</v>
      </c>
      <c r="C735" s="142">
        <v>1</v>
      </c>
      <c r="D735" s="143">
        <v>23</v>
      </c>
      <c r="E735" s="143">
        <v>50</v>
      </c>
      <c r="F735" s="143">
        <f t="shared" si="30"/>
        <v>27</v>
      </c>
      <c r="G735" s="142" t="s">
        <v>15</v>
      </c>
      <c r="H735" s="142" t="s">
        <v>113</v>
      </c>
      <c r="I735" s="141"/>
    </row>
    <row r="736" spans="1:9" ht="15.75" outlineLevel="1" x14ac:dyDescent="0.25">
      <c r="A736" s="140">
        <v>10</v>
      </c>
      <c r="B736" s="141" t="s">
        <v>153</v>
      </c>
      <c r="C736" s="142">
        <v>1</v>
      </c>
      <c r="D736" s="143">
        <v>30</v>
      </c>
      <c r="E736" s="143">
        <v>50</v>
      </c>
      <c r="F736" s="143">
        <f t="shared" si="30"/>
        <v>20</v>
      </c>
      <c r="G736" s="142" t="s">
        <v>15</v>
      </c>
      <c r="H736" s="142" t="s">
        <v>113</v>
      </c>
      <c r="I736" s="141"/>
    </row>
    <row r="737" spans="1:9" ht="15.75" outlineLevel="1" x14ac:dyDescent="0.25">
      <c r="A737" s="140">
        <v>11</v>
      </c>
      <c r="B737" s="141" t="s">
        <v>411</v>
      </c>
      <c r="C737" s="142">
        <v>1</v>
      </c>
      <c r="D737" s="143">
        <v>2</v>
      </c>
      <c r="E737" s="143">
        <v>10</v>
      </c>
      <c r="F737" s="143">
        <f t="shared" si="30"/>
        <v>8</v>
      </c>
      <c r="G737" s="142" t="s">
        <v>15</v>
      </c>
      <c r="H737" s="142" t="s">
        <v>113</v>
      </c>
      <c r="I737" s="141"/>
    </row>
    <row r="738" spans="1:9" ht="15.75" outlineLevel="1" x14ac:dyDescent="0.25">
      <c r="A738" s="140">
        <v>12</v>
      </c>
      <c r="B738" s="141" t="s">
        <v>411</v>
      </c>
      <c r="C738" s="142">
        <v>1</v>
      </c>
      <c r="D738" s="143">
        <v>9</v>
      </c>
      <c r="E738" s="143">
        <v>15</v>
      </c>
      <c r="F738" s="143">
        <f t="shared" si="30"/>
        <v>6</v>
      </c>
      <c r="G738" s="142" t="s">
        <v>15</v>
      </c>
      <c r="H738" s="142" t="s">
        <v>113</v>
      </c>
      <c r="I738" s="141"/>
    </row>
    <row r="739" spans="1:9" ht="15.75" outlineLevel="1" x14ac:dyDescent="0.25">
      <c r="A739" s="140">
        <v>13</v>
      </c>
      <c r="B739" s="141" t="s">
        <v>407</v>
      </c>
      <c r="C739" s="142">
        <v>1</v>
      </c>
      <c r="D739" s="143">
        <v>4</v>
      </c>
      <c r="E739" s="143">
        <v>10</v>
      </c>
      <c r="F739" s="143">
        <f t="shared" si="30"/>
        <v>6</v>
      </c>
      <c r="G739" s="142" t="s">
        <v>15</v>
      </c>
      <c r="H739" s="142" t="s">
        <v>113</v>
      </c>
      <c r="I739" s="141"/>
    </row>
    <row r="740" spans="1:9" ht="15.75" outlineLevel="1" x14ac:dyDescent="0.25">
      <c r="A740" s="140">
        <v>14</v>
      </c>
      <c r="B740" s="141" t="s">
        <v>407</v>
      </c>
      <c r="C740" s="142">
        <v>1</v>
      </c>
      <c r="D740" s="143">
        <v>6</v>
      </c>
      <c r="E740" s="143">
        <v>20</v>
      </c>
      <c r="F740" s="143">
        <f t="shared" si="30"/>
        <v>14</v>
      </c>
      <c r="G740" s="142" t="s">
        <v>15</v>
      </c>
      <c r="H740" s="142" t="s">
        <v>113</v>
      </c>
      <c r="I740" s="141"/>
    </row>
    <row r="741" spans="1:9" ht="15.75" outlineLevel="1" x14ac:dyDescent="0.25">
      <c r="A741" s="140">
        <v>15</v>
      </c>
      <c r="B741" s="141" t="s">
        <v>419</v>
      </c>
      <c r="C741" s="142">
        <v>1</v>
      </c>
      <c r="D741" s="143">
        <v>8</v>
      </c>
      <c r="E741" s="143">
        <v>20</v>
      </c>
      <c r="F741" s="143">
        <f t="shared" si="30"/>
        <v>12</v>
      </c>
      <c r="G741" s="142" t="s">
        <v>15</v>
      </c>
      <c r="H741" s="142" t="s">
        <v>113</v>
      </c>
      <c r="I741" s="141"/>
    </row>
    <row r="742" spans="1:9" ht="15.75" outlineLevel="1" x14ac:dyDescent="0.25">
      <c r="A742" s="140">
        <v>16</v>
      </c>
      <c r="B742" s="141" t="s">
        <v>393</v>
      </c>
      <c r="C742" s="142">
        <v>1</v>
      </c>
      <c r="D742" s="143">
        <v>13.5</v>
      </c>
      <c r="E742" s="143">
        <v>20</v>
      </c>
      <c r="F742" s="143">
        <f t="shared" si="30"/>
        <v>6.5</v>
      </c>
      <c r="G742" s="142" t="s">
        <v>15</v>
      </c>
      <c r="H742" s="142" t="s">
        <v>113</v>
      </c>
      <c r="I742" s="141"/>
    </row>
    <row r="743" spans="1:9" ht="15.75" outlineLevel="1" x14ac:dyDescent="0.25">
      <c r="A743" s="140">
        <v>17</v>
      </c>
      <c r="B743" s="141" t="s">
        <v>410</v>
      </c>
      <c r="C743" s="142">
        <v>1</v>
      </c>
      <c r="D743" s="143">
        <v>9</v>
      </c>
      <c r="E743" s="143">
        <v>20</v>
      </c>
      <c r="F743" s="143">
        <f t="shared" si="30"/>
        <v>11</v>
      </c>
      <c r="G743" s="142" t="s">
        <v>15</v>
      </c>
      <c r="H743" s="142" t="s">
        <v>113</v>
      </c>
      <c r="I743" s="141"/>
    </row>
    <row r="744" spans="1:9" ht="15.75" outlineLevel="1" x14ac:dyDescent="0.25">
      <c r="A744" s="140">
        <v>18</v>
      </c>
      <c r="B744" s="141" t="s">
        <v>409</v>
      </c>
      <c r="C744" s="142">
        <v>1</v>
      </c>
      <c r="D744" s="143">
        <v>27.45</v>
      </c>
      <c r="E744" s="143">
        <v>30</v>
      </c>
      <c r="F744" s="143">
        <f t="shared" si="30"/>
        <v>2.5500000000000007</v>
      </c>
      <c r="G744" s="142" t="s">
        <v>15</v>
      </c>
      <c r="H744" s="142" t="s">
        <v>113</v>
      </c>
      <c r="I744" s="141"/>
    </row>
    <row r="745" spans="1:9" ht="15.75" outlineLevel="1" x14ac:dyDescent="0.25">
      <c r="A745" s="140">
        <v>19</v>
      </c>
      <c r="B745" s="141" t="s">
        <v>394</v>
      </c>
      <c r="C745" s="142">
        <v>1</v>
      </c>
      <c r="D745" s="143">
        <v>30</v>
      </c>
      <c r="E745" s="143">
        <v>70</v>
      </c>
      <c r="F745" s="143">
        <f t="shared" si="30"/>
        <v>40</v>
      </c>
      <c r="G745" s="142" t="s">
        <v>15</v>
      </c>
      <c r="H745" s="142" t="s">
        <v>113</v>
      </c>
      <c r="I745" s="141"/>
    </row>
    <row r="746" spans="1:9" ht="15.75" outlineLevel="1" x14ac:dyDescent="0.25">
      <c r="A746" s="140">
        <v>20</v>
      </c>
      <c r="B746" s="141" t="s">
        <v>418</v>
      </c>
      <c r="C746" s="142">
        <v>1</v>
      </c>
      <c r="D746" s="143">
        <v>15</v>
      </c>
      <c r="E746" s="143">
        <v>30</v>
      </c>
      <c r="F746" s="143">
        <f t="shared" si="30"/>
        <v>15</v>
      </c>
      <c r="G746" s="142" t="s">
        <v>15</v>
      </c>
      <c r="H746" s="142" t="s">
        <v>113</v>
      </c>
      <c r="I746" s="141"/>
    </row>
    <row r="747" spans="1:9" ht="15.75" outlineLevel="1" x14ac:dyDescent="0.25">
      <c r="A747" s="140">
        <v>21</v>
      </c>
      <c r="B747" s="141" t="s">
        <v>422</v>
      </c>
      <c r="C747" s="142">
        <v>1</v>
      </c>
      <c r="D747" s="143">
        <v>165</v>
      </c>
      <c r="E747" s="143">
        <v>280</v>
      </c>
      <c r="F747" s="143">
        <f t="shared" si="30"/>
        <v>115</v>
      </c>
      <c r="G747" s="142" t="s">
        <v>15</v>
      </c>
      <c r="H747" s="142" t="s">
        <v>113</v>
      </c>
      <c r="I747" s="141"/>
    </row>
    <row r="748" spans="1:9" ht="15.75" outlineLevel="1" x14ac:dyDescent="0.25">
      <c r="A748" s="140">
        <v>22</v>
      </c>
      <c r="B748" s="141" t="s">
        <v>413</v>
      </c>
      <c r="C748" s="142">
        <v>1</v>
      </c>
      <c r="D748" s="143">
        <v>10</v>
      </c>
      <c r="E748" s="143">
        <v>20</v>
      </c>
      <c r="F748" s="143">
        <f t="shared" si="30"/>
        <v>10</v>
      </c>
      <c r="G748" s="142" t="s">
        <v>15</v>
      </c>
      <c r="H748" s="142" t="s">
        <v>113</v>
      </c>
      <c r="I748" s="141"/>
    </row>
    <row r="749" spans="1:9" ht="15.75" outlineLevel="1" x14ac:dyDescent="0.25">
      <c r="A749" s="140">
        <v>23</v>
      </c>
      <c r="B749" s="141" t="s">
        <v>418</v>
      </c>
      <c r="C749" s="142">
        <v>1</v>
      </c>
      <c r="D749" s="143">
        <v>15</v>
      </c>
      <c r="E749" s="143">
        <v>30</v>
      </c>
      <c r="F749" s="143">
        <f t="shared" si="30"/>
        <v>15</v>
      </c>
      <c r="G749" s="142" t="s">
        <v>15</v>
      </c>
      <c r="H749" s="142" t="s">
        <v>113</v>
      </c>
      <c r="I749" s="141"/>
    </row>
    <row r="750" spans="1:9" ht="15.75" outlineLevel="1" x14ac:dyDescent="0.25">
      <c r="A750" s="140">
        <v>24</v>
      </c>
      <c r="B750" s="141" t="s">
        <v>425</v>
      </c>
      <c r="C750" s="142">
        <v>1</v>
      </c>
      <c r="D750" s="143">
        <v>19</v>
      </c>
      <c r="E750" s="143">
        <v>50</v>
      </c>
      <c r="F750" s="143">
        <f t="shared" si="30"/>
        <v>31</v>
      </c>
      <c r="G750" s="142" t="s">
        <v>15</v>
      </c>
      <c r="H750" s="142" t="s">
        <v>113</v>
      </c>
      <c r="I750" s="141"/>
    </row>
    <row r="751" spans="1:9" ht="15.75" outlineLevel="1" x14ac:dyDescent="0.25">
      <c r="A751" s="140">
        <v>25</v>
      </c>
      <c r="B751" s="141" t="s">
        <v>426</v>
      </c>
      <c r="C751" s="142">
        <v>1</v>
      </c>
      <c r="D751" s="143">
        <v>30</v>
      </c>
      <c r="E751" s="143">
        <v>60</v>
      </c>
      <c r="F751" s="143">
        <f t="shared" si="30"/>
        <v>30</v>
      </c>
      <c r="G751" s="142" t="s">
        <v>15</v>
      </c>
      <c r="H751" s="142" t="s">
        <v>113</v>
      </c>
      <c r="I751" s="141"/>
    </row>
    <row r="752" spans="1:9" ht="15.75" outlineLevel="1" x14ac:dyDescent="0.25">
      <c r="A752" s="140">
        <v>26</v>
      </c>
      <c r="B752" s="141" t="s">
        <v>428</v>
      </c>
      <c r="C752" s="142">
        <v>1</v>
      </c>
      <c r="D752" s="143">
        <v>48</v>
      </c>
      <c r="E752" s="143">
        <v>85</v>
      </c>
      <c r="F752" s="143">
        <f t="shared" si="30"/>
        <v>37</v>
      </c>
      <c r="G752" s="142" t="s">
        <v>15</v>
      </c>
      <c r="H752" s="142" t="s">
        <v>113</v>
      </c>
      <c r="I752" s="141"/>
    </row>
    <row r="753" spans="1:9" ht="15.75" outlineLevel="1" x14ac:dyDescent="0.25">
      <c r="A753" s="140">
        <v>27</v>
      </c>
      <c r="B753" s="144" t="s">
        <v>359</v>
      </c>
      <c r="C753" s="145">
        <v>1</v>
      </c>
      <c r="D753" s="146">
        <v>5</v>
      </c>
      <c r="E753" s="147">
        <v>10.29</v>
      </c>
      <c r="F753" s="146">
        <v>5.2899999999999991</v>
      </c>
      <c r="G753" s="142" t="s">
        <v>15</v>
      </c>
      <c r="H753" s="142" t="s">
        <v>114</v>
      </c>
      <c r="I753" s="141"/>
    </row>
    <row r="754" spans="1:9" ht="15.75" outlineLevel="1" x14ac:dyDescent="0.25">
      <c r="A754" s="140">
        <v>28</v>
      </c>
      <c r="B754" s="144" t="s">
        <v>130</v>
      </c>
      <c r="C754" s="145">
        <v>1</v>
      </c>
      <c r="D754" s="146">
        <v>15</v>
      </c>
      <c r="E754" s="146">
        <v>20</v>
      </c>
      <c r="F754" s="146">
        <v>5</v>
      </c>
      <c r="G754" s="142" t="s">
        <v>15</v>
      </c>
      <c r="H754" s="142" t="s">
        <v>114</v>
      </c>
      <c r="I754" s="141"/>
    </row>
    <row r="755" spans="1:9" ht="15.75" outlineLevel="1" x14ac:dyDescent="0.25">
      <c r="A755" s="140">
        <v>29</v>
      </c>
      <c r="B755" s="144" t="s">
        <v>216</v>
      </c>
      <c r="C755" s="145">
        <v>3</v>
      </c>
      <c r="D755" s="146">
        <v>114</v>
      </c>
      <c r="E755" s="147">
        <v>206.32</v>
      </c>
      <c r="F755" s="146">
        <v>92.32</v>
      </c>
      <c r="G755" s="142" t="s">
        <v>15</v>
      </c>
      <c r="H755" s="142" t="s">
        <v>114</v>
      </c>
      <c r="I755" s="141"/>
    </row>
    <row r="756" spans="1:9" ht="15.75" outlineLevel="1" x14ac:dyDescent="0.25">
      <c r="A756" s="140">
        <v>30</v>
      </c>
      <c r="B756" s="144" t="s">
        <v>217</v>
      </c>
      <c r="C756" s="145">
        <v>2</v>
      </c>
      <c r="D756" s="146">
        <v>2.8</v>
      </c>
      <c r="E756" s="147">
        <v>29.57</v>
      </c>
      <c r="F756" s="146">
        <v>26.77</v>
      </c>
      <c r="G756" s="142" t="s">
        <v>15</v>
      </c>
      <c r="H756" s="142" t="s">
        <v>114</v>
      </c>
      <c r="I756" s="141"/>
    </row>
    <row r="757" spans="1:9" ht="15.75" outlineLevel="1" x14ac:dyDescent="0.25">
      <c r="A757" s="140">
        <v>31</v>
      </c>
      <c r="B757" s="144" t="s">
        <v>73</v>
      </c>
      <c r="C757" s="145">
        <v>71</v>
      </c>
      <c r="D757" s="146">
        <v>71</v>
      </c>
      <c r="E757" s="147">
        <v>186.92</v>
      </c>
      <c r="F757" s="146">
        <v>115.91999999999999</v>
      </c>
      <c r="G757" s="142" t="s">
        <v>15</v>
      </c>
      <c r="H757" s="142" t="s">
        <v>114</v>
      </c>
      <c r="I757" s="141"/>
    </row>
    <row r="758" spans="1:9" ht="15.75" outlineLevel="1" x14ac:dyDescent="0.25">
      <c r="A758" s="140">
        <v>32</v>
      </c>
      <c r="B758" s="144" t="s">
        <v>429</v>
      </c>
      <c r="C758" s="145">
        <v>1</v>
      </c>
      <c r="D758" s="146">
        <v>30</v>
      </c>
      <c r="E758" s="147">
        <v>51.68</v>
      </c>
      <c r="F758" s="146">
        <v>21.68</v>
      </c>
      <c r="G758" s="142" t="s">
        <v>15</v>
      </c>
      <c r="H758" s="142" t="s">
        <v>114</v>
      </c>
      <c r="I758" s="141"/>
    </row>
    <row r="759" spans="1:9" ht="15.75" outlineLevel="1" x14ac:dyDescent="0.25">
      <c r="A759" s="140">
        <v>33</v>
      </c>
      <c r="B759" s="144" t="s">
        <v>430</v>
      </c>
      <c r="C759" s="145">
        <v>6</v>
      </c>
      <c r="D759" s="146">
        <v>18</v>
      </c>
      <c r="E759" s="147">
        <v>38.01</v>
      </c>
      <c r="F759" s="146">
        <v>20.009999999999998</v>
      </c>
      <c r="G759" s="142" t="s">
        <v>15</v>
      </c>
      <c r="H759" s="142" t="s">
        <v>114</v>
      </c>
      <c r="I759" s="141"/>
    </row>
    <row r="760" spans="1:9" ht="15.75" outlineLevel="1" x14ac:dyDescent="0.25">
      <c r="A760" s="140">
        <v>34</v>
      </c>
      <c r="B760" s="144" t="s">
        <v>95</v>
      </c>
      <c r="C760" s="145">
        <v>1</v>
      </c>
      <c r="D760" s="146">
        <v>3</v>
      </c>
      <c r="E760" s="147">
        <v>10.63</v>
      </c>
      <c r="F760" s="146">
        <v>7.6300000000000008</v>
      </c>
      <c r="G760" s="142" t="s">
        <v>15</v>
      </c>
      <c r="H760" s="142" t="s">
        <v>114</v>
      </c>
      <c r="I760" s="141"/>
    </row>
    <row r="761" spans="1:9" ht="15.75" outlineLevel="1" x14ac:dyDescent="0.25">
      <c r="A761" s="140">
        <v>35</v>
      </c>
      <c r="B761" s="144" t="s">
        <v>431</v>
      </c>
      <c r="C761" s="145">
        <v>2</v>
      </c>
      <c r="D761" s="146">
        <v>12</v>
      </c>
      <c r="E761" s="147">
        <v>46.18</v>
      </c>
      <c r="F761" s="146">
        <v>34.18</v>
      </c>
      <c r="G761" s="142" t="s">
        <v>15</v>
      </c>
      <c r="H761" s="142" t="s">
        <v>114</v>
      </c>
      <c r="I761" s="141"/>
    </row>
    <row r="762" spans="1:9" ht="15.75" outlineLevel="1" x14ac:dyDescent="0.25">
      <c r="A762" s="140">
        <v>36</v>
      </c>
      <c r="B762" s="144" t="s">
        <v>432</v>
      </c>
      <c r="C762" s="145">
        <v>8</v>
      </c>
      <c r="D762" s="146">
        <v>48</v>
      </c>
      <c r="E762" s="147">
        <v>80.22</v>
      </c>
      <c r="F762" s="146">
        <v>32.22</v>
      </c>
      <c r="G762" s="142" t="s">
        <v>15</v>
      </c>
      <c r="H762" s="142" t="s">
        <v>114</v>
      </c>
      <c r="I762" s="141"/>
    </row>
    <row r="763" spans="1:9" ht="15.75" outlineLevel="1" x14ac:dyDescent="0.25">
      <c r="A763" s="140">
        <v>37</v>
      </c>
      <c r="B763" s="144" t="s">
        <v>98</v>
      </c>
      <c r="C763" s="145">
        <v>1</v>
      </c>
      <c r="D763" s="146">
        <v>0.9</v>
      </c>
      <c r="E763" s="147">
        <v>1.99</v>
      </c>
      <c r="F763" s="146">
        <v>1.0899999999999999</v>
      </c>
      <c r="G763" s="142" t="s">
        <v>15</v>
      </c>
      <c r="H763" s="142" t="s">
        <v>114</v>
      </c>
      <c r="I763" s="141"/>
    </row>
    <row r="764" spans="1:9" ht="15.75" outlineLevel="1" x14ac:dyDescent="0.25">
      <c r="A764" s="140">
        <v>38</v>
      </c>
      <c r="B764" s="144" t="s">
        <v>433</v>
      </c>
      <c r="C764" s="145">
        <v>1</v>
      </c>
      <c r="D764" s="146">
        <v>4</v>
      </c>
      <c r="E764" s="147">
        <v>14.53</v>
      </c>
      <c r="F764" s="146">
        <v>10.53</v>
      </c>
      <c r="G764" s="142" t="s">
        <v>15</v>
      </c>
      <c r="H764" s="142" t="s">
        <v>114</v>
      </c>
      <c r="I764" s="141"/>
    </row>
    <row r="765" spans="1:9" ht="15.75" outlineLevel="1" x14ac:dyDescent="0.25">
      <c r="A765" s="140">
        <v>39</v>
      </c>
      <c r="B765" s="144" t="s">
        <v>175</v>
      </c>
      <c r="C765" s="145">
        <v>1</v>
      </c>
      <c r="D765" s="146">
        <v>6</v>
      </c>
      <c r="E765" s="147">
        <v>16.25</v>
      </c>
      <c r="F765" s="146">
        <v>10.25</v>
      </c>
      <c r="G765" s="142" t="s">
        <v>15</v>
      </c>
      <c r="H765" s="142" t="s">
        <v>114</v>
      </c>
      <c r="I765" s="141"/>
    </row>
    <row r="766" spans="1:9" ht="15.75" outlineLevel="1" x14ac:dyDescent="0.25">
      <c r="A766" s="140">
        <v>40</v>
      </c>
      <c r="B766" s="144" t="s">
        <v>77</v>
      </c>
      <c r="C766" s="145">
        <v>19</v>
      </c>
      <c r="D766" s="146">
        <v>722</v>
      </c>
      <c r="E766" s="146">
        <v>1317.14</v>
      </c>
      <c r="F766" s="146">
        <v>595.1400000000001</v>
      </c>
      <c r="G766" s="142" t="s">
        <v>15</v>
      </c>
      <c r="H766" s="142" t="s">
        <v>114</v>
      </c>
      <c r="I766" s="141"/>
    </row>
    <row r="767" spans="1:9" ht="15.75" outlineLevel="1" x14ac:dyDescent="0.25">
      <c r="A767" s="140">
        <v>41</v>
      </c>
      <c r="B767" s="144" t="s">
        <v>434</v>
      </c>
      <c r="C767" s="145">
        <v>1</v>
      </c>
      <c r="D767" s="146">
        <v>75</v>
      </c>
      <c r="E767" s="146">
        <v>112.5</v>
      </c>
      <c r="F767" s="146">
        <v>37.5</v>
      </c>
      <c r="G767" s="142" t="s">
        <v>15</v>
      </c>
      <c r="H767" s="142" t="s">
        <v>114</v>
      </c>
      <c r="I767" s="141"/>
    </row>
    <row r="768" spans="1:9" ht="15.75" outlineLevel="1" x14ac:dyDescent="0.25">
      <c r="A768" s="140">
        <v>42</v>
      </c>
      <c r="B768" s="144" t="s">
        <v>435</v>
      </c>
      <c r="C768" s="145">
        <v>1</v>
      </c>
      <c r="D768" s="146">
        <v>1</v>
      </c>
      <c r="E768" s="146">
        <v>2.06</v>
      </c>
      <c r="F768" s="146">
        <v>1.06</v>
      </c>
      <c r="G768" s="142" t="s">
        <v>15</v>
      </c>
      <c r="H768" s="142" t="s">
        <v>114</v>
      </c>
      <c r="I768" s="141"/>
    </row>
    <row r="769" spans="1:9" ht="15.75" outlineLevel="1" x14ac:dyDescent="0.25">
      <c r="A769" s="140">
        <v>43</v>
      </c>
      <c r="B769" s="144" t="s">
        <v>436</v>
      </c>
      <c r="C769" s="145">
        <v>1</v>
      </c>
      <c r="D769" s="146">
        <v>12</v>
      </c>
      <c r="E769" s="147">
        <v>36.770000000000003</v>
      </c>
      <c r="F769" s="146">
        <v>24.770000000000003</v>
      </c>
      <c r="G769" s="142" t="s">
        <v>15</v>
      </c>
      <c r="H769" s="142" t="s">
        <v>114</v>
      </c>
      <c r="I769" s="141"/>
    </row>
    <row r="770" spans="1:9" ht="15.75" outlineLevel="1" x14ac:dyDescent="0.25">
      <c r="A770" s="140">
        <v>44</v>
      </c>
      <c r="B770" s="144" t="s">
        <v>133</v>
      </c>
      <c r="C770" s="145">
        <v>2</v>
      </c>
      <c r="D770" s="146">
        <v>16</v>
      </c>
      <c r="E770" s="147">
        <v>22.52</v>
      </c>
      <c r="F770" s="146">
        <v>6.52</v>
      </c>
      <c r="G770" s="142" t="s">
        <v>15</v>
      </c>
      <c r="H770" s="142" t="s">
        <v>114</v>
      </c>
      <c r="I770" s="141"/>
    </row>
    <row r="771" spans="1:9" ht="15.75" outlineLevel="1" x14ac:dyDescent="0.25">
      <c r="A771" s="140">
        <v>45</v>
      </c>
      <c r="B771" s="144" t="s">
        <v>223</v>
      </c>
      <c r="C771" s="145">
        <v>3</v>
      </c>
      <c r="D771" s="146">
        <v>24</v>
      </c>
      <c r="E771" s="146">
        <v>42.12</v>
      </c>
      <c r="F771" s="146">
        <v>18.119999999999997</v>
      </c>
      <c r="G771" s="142" t="s">
        <v>15</v>
      </c>
      <c r="H771" s="142" t="s">
        <v>114</v>
      </c>
      <c r="I771" s="141"/>
    </row>
    <row r="772" spans="1:9" ht="15.75" outlineLevel="1" x14ac:dyDescent="0.25">
      <c r="A772" s="140">
        <v>46</v>
      </c>
      <c r="B772" s="144" t="s">
        <v>76</v>
      </c>
      <c r="C772" s="145">
        <v>20</v>
      </c>
      <c r="D772" s="146">
        <v>420</v>
      </c>
      <c r="E772" s="147">
        <v>545</v>
      </c>
      <c r="F772" s="146">
        <v>125</v>
      </c>
      <c r="G772" s="142" t="s">
        <v>15</v>
      </c>
      <c r="H772" s="142" t="s">
        <v>114</v>
      </c>
      <c r="I772" s="141"/>
    </row>
    <row r="773" spans="1:9" ht="15.75" outlineLevel="1" x14ac:dyDescent="0.25">
      <c r="A773" s="140">
        <v>47</v>
      </c>
      <c r="B773" s="144" t="s">
        <v>437</v>
      </c>
      <c r="C773" s="145">
        <v>1</v>
      </c>
      <c r="D773" s="146">
        <v>12</v>
      </c>
      <c r="E773" s="147">
        <v>18.170000000000002</v>
      </c>
      <c r="F773" s="146">
        <v>6.1700000000000017</v>
      </c>
      <c r="G773" s="142" t="s">
        <v>15</v>
      </c>
      <c r="H773" s="142" t="s">
        <v>114</v>
      </c>
      <c r="I773" s="141"/>
    </row>
    <row r="774" spans="1:9" ht="15.75" outlineLevel="1" x14ac:dyDescent="0.25">
      <c r="A774" s="140">
        <v>48</v>
      </c>
      <c r="B774" s="144" t="s">
        <v>170</v>
      </c>
      <c r="C774" s="145">
        <v>1</v>
      </c>
      <c r="D774" s="146">
        <v>25</v>
      </c>
      <c r="E774" s="146">
        <v>32</v>
      </c>
      <c r="F774" s="146">
        <v>7</v>
      </c>
      <c r="G774" s="142" t="s">
        <v>15</v>
      </c>
      <c r="H774" s="142" t="s">
        <v>114</v>
      </c>
      <c r="I774" s="141"/>
    </row>
    <row r="775" spans="1:9" ht="15.75" outlineLevel="1" x14ac:dyDescent="0.25">
      <c r="A775" s="140">
        <v>49</v>
      </c>
      <c r="B775" s="144" t="s">
        <v>80</v>
      </c>
      <c r="C775" s="145">
        <v>3</v>
      </c>
      <c r="D775" s="146">
        <v>30</v>
      </c>
      <c r="E775" s="146">
        <v>58.75</v>
      </c>
      <c r="F775" s="146">
        <v>28.75</v>
      </c>
      <c r="G775" s="142" t="s">
        <v>15</v>
      </c>
      <c r="H775" s="142" t="s">
        <v>114</v>
      </c>
      <c r="I775" s="141"/>
    </row>
    <row r="776" spans="1:9" ht="15.75" outlineLevel="1" x14ac:dyDescent="0.25">
      <c r="A776" s="140">
        <v>50</v>
      </c>
      <c r="B776" s="144" t="s">
        <v>72</v>
      </c>
      <c r="C776" s="145">
        <v>18</v>
      </c>
      <c r="D776" s="146">
        <v>126</v>
      </c>
      <c r="E776" s="147">
        <v>365.28</v>
      </c>
      <c r="F776" s="146">
        <v>239.27999999999997</v>
      </c>
      <c r="G776" s="142" t="s">
        <v>15</v>
      </c>
      <c r="H776" s="142" t="s">
        <v>114</v>
      </c>
      <c r="I776" s="141"/>
    </row>
    <row r="777" spans="1:9" ht="15.75" outlineLevel="1" x14ac:dyDescent="0.25">
      <c r="A777" s="140">
        <v>51</v>
      </c>
      <c r="B777" s="144" t="s">
        <v>131</v>
      </c>
      <c r="C777" s="145">
        <v>1</v>
      </c>
      <c r="D777" s="146">
        <v>12</v>
      </c>
      <c r="E777" s="146">
        <v>26.25</v>
      </c>
      <c r="F777" s="146">
        <v>14.25</v>
      </c>
      <c r="G777" s="142" t="s">
        <v>15</v>
      </c>
      <c r="H777" s="142" t="s">
        <v>114</v>
      </c>
      <c r="I777" s="141"/>
    </row>
    <row r="778" spans="1:9" ht="15.75" outlineLevel="1" x14ac:dyDescent="0.25">
      <c r="A778" s="140">
        <v>52</v>
      </c>
      <c r="B778" s="144" t="s">
        <v>438</v>
      </c>
      <c r="C778" s="145">
        <v>1</v>
      </c>
      <c r="D778" s="146">
        <v>30</v>
      </c>
      <c r="E778" s="146">
        <v>49.48</v>
      </c>
      <c r="F778" s="146">
        <v>19.479999999999997</v>
      </c>
      <c r="G778" s="142" t="s">
        <v>15</v>
      </c>
      <c r="H778" s="142" t="s">
        <v>114</v>
      </c>
      <c r="I778" s="141"/>
    </row>
    <row r="779" spans="1:9" ht="15.75" outlineLevel="1" x14ac:dyDescent="0.25">
      <c r="A779" s="140">
        <v>53</v>
      </c>
      <c r="B779" s="144" t="s">
        <v>439</v>
      </c>
      <c r="C779" s="145">
        <v>52</v>
      </c>
      <c r="D779" s="146">
        <v>286</v>
      </c>
      <c r="E779" s="147">
        <v>724.47</v>
      </c>
      <c r="F779" s="146">
        <v>438.47</v>
      </c>
      <c r="G779" s="142" t="s">
        <v>15</v>
      </c>
      <c r="H779" s="142" t="s">
        <v>114</v>
      </c>
      <c r="I779" s="141"/>
    </row>
    <row r="780" spans="1:9" ht="15.75" outlineLevel="1" x14ac:dyDescent="0.25">
      <c r="A780" s="140">
        <v>54</v>
      </c>
      <c r="B780" s="144" t="s">
        <v>440</v>
      </c>
      <c r="C780" s="145">
        <v>4</v>
      </c>
      <c r="D780" s="146">
        <v>40</v>
      </c>
      <c r="E780" s="147">
        <v>107.66</v>
      </c>
      <c r="F780" s="146">
        <v>67.66</v>
      </c>
      <c r="G780" s="142" t="s">
        <v>15</v>
      </c>
      <c r="H780" s="142" t="s">
        <v>114</v>
      </c>
      <c r="I780" s="141"/>
    </row>
    <row r="781" spans="1:9" ht="15.75" outlineLevel="1" x14ac:dyDescent="0.25">
      <c r="A781" s="140">
        <v>55</v>
      </c>
      <c r="B781" s="144" t="s">
        <v>441</v>
      </c>
      <c r="C781" s="145">
        <v>1</v>
      </c>
      <c r="D781" s="146">
        <v>10</v>
      </c>
      <c r="E781" s="146">
        <v>20</v>
      </c>
      <c r="F781" s="146">
        <v>10</v>
      </c>
      <c r="G781" s="142" t="s">
        <v>15</v>
      </c>
      <c r="H781" s="142" t="s">
        <v>114</v>
      </c>
      <c r="I781" s="141"/>
    </row>
    <row r="782" spans="1:9" ht="15.75" outlineLevel="1" x14ac:dyDescent="0.25">
      <c r="A782" s="140">
        <v>56</v>
      </c>
      <c r="B782" s="144" t="s">
        <v>89</v>
      </c>
      <c r="C782" s="145">
        <v>1</v>
      </c>
      <c r="D782" s="146">
        <v>5</v>
      </c>
      <c r="E782" s="146">
        <v>9.8800000000000008</v>
      </c>
      <c r="F782" s="146">
        <v>4.8800000000000008</v>
      </c>
      <c r="G782" s="142" t="s">
        <v>15</v>
      </c>
      <c r="H782" s="142" t="s">
        <v>114</v>
      </c>
      <c r="I782" s="141"/>
    </row>
    <row r="783" spans="1:9" ht="15.75" outlineLevel="1" x14ac:dyDescent="0.25">
      <c r="A783" s="140">
        <v>57</v>
      </c>
      <c r="B783" s="144" t="s">
        <v>442</v>
      </c>
      <c r="C783" s="145">
        <v>1</v>
      </c>
      <c r="D783" s="146">
        <v>16</v>
      </c>
      <c r="E783" s="146">
        <v>50</v>
      </c>
      <c r="F783" s="146">
        <v>34</v>
      </c>
      <c r="G783" s="142" t="s">
        <v>15</v>
      </c>
      <c r="H783" s="142" t="s">
        <v>114</v>
      </c>
      <c r="I783" s="141"/>
    </row>
    <row r="784" spans="1:9" ht="15.75" outlineLevel="1" x14ac:dyDescent="0.25">
      <c r="A784" s="140">
        <v>58</v>
      </c>
      <c r="B784" s="144" t="s">
        <v>325</v>
      </c>
      <c r="C784" s="145">
        <v>4</v>
      </c>
      <c r="D784" s="146">
        <v>44</v>
      </c>
      <c r="E784" s="147">
        <v>92.3</v>
      </c>
      <c r="F784" s="146">
        <v>48.3</v>
      </c>
      <c r="G784" s="142" t="s">
        <v>15</v>
      </c>
      <c r="H784" s="142" t="s">
        <v>114</v>
      </c>
      <c r="I784" s="141"/>
    </row>
    <row r="785" spans="1:9" ht="15.75" outlineLevel="1" x14ac:dyDescent="0.25">
      <c r="A785" s="140">
        <v>59</v>
      </c>
      <c r="B785" s="144" t="s">
        <v>443</v>
      </c>
      <c r="C785" s="145">
        <v>2</v>
      </c>
      <c r="D785" s="146">
        <v>30</v>
      </c>
      <c r="E785" s="147">
        <v>37.979999999999997</v>
      </c>
      <c r="F785" s="146">
        <v>7.9799999999999969</v>
      </c>
      <c r="G785" s="142" t="s">
        <v>15</v>
      </c>
      <c r="H785" s="142" t="s">
        <v>114</v>
      </c>
      <c r="I785" s="141"/>
    </row>
    <row r="786" spans="1:9" ht="15.75" outlineLevel="1" x14ac:dyDescent="0.25">
      <c r="A786" s="140">
        <v>60</v>
      </c>
      <c r="B786" s="144" t="s">
        <v>74</v>
      </c>
      <c r="C786" s="145">
        <v>3</v>
      </c>
      <c r="D786" s="146">
        <v>1.25</v>
      </c>
      <c r="E786" s="147">
        <v>5.57</v>
      </c>
      <c r="F786" s="146">
        <v>4.32</v>
      </c>
      <c r="G786" s="142" t="s">
        <v>15</v>
      </c>
      <c r="H786" s="142" t="s">
        <v>114</v>
      </c>
      <c r="I786" s="141"/>
    </row>
    <row r="787" spans="1:9" ht="15.75" outlineLevel="1" x14ac:dyDescent="0.25">
      <c r="A787" s="140">
        <v>61</v>
      </c>
      <c r="B787" s="144" t="s">
        <v>444</v>
      </c>
      <c r="C787" s="145">
        <v>1</v>
      </c>
      <c r="D787" s="146">
        <v>3</v>
      </c>
      <c r="E787" s="147">
        <v>5.23</v>
      </c>
      <c r="F787" s="146">
        <v>2.2300000000000004</v>
      </c>
      <c r="G787" s="142" t="s">
        <v>15</v>
      </c>
      <c r="H787" s="142" t="s">
        <v>114</v>
      </c>
      <c r="I787" s="141"/>
    </row>
    <row r="788" spans="1:9" ht="15.75" outlineLevel="1" x14ac:dyDescent="0.25">
      <c r="A788" s="140">
        <v>62</v>
      </c>
      <c r="B788" s="144" t="s">
        <v>445</v>
      </c>
      <c r="C788" s="145">
        <v>7</v>
      </c>
      <c r="D788" s="146">
        <v>70</v>
      </c>
      <c r="E788" s="146">
        <v>139.13999999999999</v>
      </c>
      <c r="F788" s="146">
        <v>69.139999999999986</v>
      </c>
      <c r="G788" s="142" t="s">
        <v>15</v>
      </c>
      <c r="H788" s="142" t="s">
        <v>114</v>
      </c>
      <c r="I788" s="141"/>
    </row>
    <row r="789" spans="1:9" ht="15.75" outlineLevel="1" x14ac:dyDescent="0.25">
      <c r="A789" s="140">
        <v>63</v>
      </c>
      <c r="B789" s="144" t="s">
        <v>446</v>
      </c>
      <c r="C789" s="145">
        <v>81</v>
      </c>
      <c r="D789" s="146">
        <v>81</v>
      </c>
      <c r="E789" s="146">
        <v>260.09000000000003</v>
      </c>
      <c r="F789" s="146">
        <v>179.09000000000003</v>
      </c>
      <c r="G789" s="142" t="s">
        <v>15</v>
      </c>
      <c r="H789" s="142" t="s">
        <v>114</v>
      </c>
      <c r="I789" s="141"/>
    </row>
    <row r="790" spans="1:9" ht="15.75" outlineLevel="1" x14ac:dyDescent="0.25">
      <c r="A790" s="140">
        <v>64</v>
      </c>
      <c r="B790" s="144" t="s">
        <v>358</v>
      </c>
      <c r="C790" s="145">
        <v>3</v>
      </c>
      <c r="D790" s="146">
        <v>27</v>
      </c>
      <c r="E790" s="147">
        <v>38.24</v>
      </c>
      <c r="F790" s="146">
        <v>11.240000000000002</v>
      </c>
      <c r="G790" s="142" t="s">
        <v>15</v>
      </c>
      <c r="H790" s="142" t="s">
        <v>114</v>
      </c>
      <c r="I790" s="141"/>
    </row>
    <row r="791" spans="1:9" ht="15.75" outlineLevel="1" x14ac:dyDescent="0.25">
      <c r="A791" s="140">
        <v>65</v>
      </c>
      <c r="B791" s="144" t="s">
        <v>447</v>
      </c>
      <c r="C791" s="145">
        <v>1</v>
      </c>
      <c r="D791" s="146">
        <v>9</v>
      </c>
      <c r="E791" s="147">
        <v>22.87</v>
      </c>
      <c r="F791" s="146">
        <v>13.870000000000001</v>
      </c>
      <c r="G791" s="142" t="s">
        <v>15</v>
      </c>
      <c r="H791" s="142" t="s">
        <v>114</v>
      </c>
      <c r="I791" s="141"/>
    </row>
    <row r="792" spans="1:9" ht="15.75" outlineLevel="1" x14ac:dyDescent="0.25">
      <c r="A792" s="140">
        <v>66</v>
      </c>
      <c r="B792" s="144" t="s">
        <v>282</v>
      </c>
      <c r="C792" s="145">
        <v>4</v>
      </c>
      <c r="D792" s="146">
        <v>60</v>
      </c>
      <c r="E792" s="147">
        <v>122.51</v>
      </c>
      <c r="F792" s="146">
        <v>62.510000000000005</v>
      </c>
      <c r="G792" s="142" t="s">
        <v>15</v>
      </c>
      <c r="H792" s="142" t="s">
        <v>114</v>
      </c>
      <c r="I792" s="141"/>
    </row>
    <row r="793" spans="1:9" ht="15.75" outlineLevel="1" x14ac:dyDescent="0.25">
      <c r="A793" s="140">
        <v>67</v>
      </c>
      <c r="B793" s="144" t="s">
        <v>327</v>
      </c>
      <c r="C793" s="145">
        <v>1</v>
      </c>
      <c r="D793" s="146">
        <v>2</v>
      </c>
      <c r="E793" s="147">
        <v>20</v>
      </c>
      <c r="F793" s="146">
        <v>18</v>
      </c>
      <c r="G793" s="142" t="s">
        <v>15</v>
      </c>
      <c r="H793" s="142" t="s">
        <v>114</v>
      </c>
      <c r="I793" s="141"/>
    </row>
    <row r="794" spans="1:9" ht="15.75" outlineLevel="1" x14ac:dyDescent="0.25">
      <c r="A794" s="140">
        <v>68</v>
      </c>
      <c r="B794" s="144" t="s">
        <v>448</v>
      </c>
      <c r="C794" s="145">
        <v>4</v>
      </c>
      <c r="D794" s="146">
        <v>52</v>
      </c>
      <c r="E794" s="147">
        <v>78.45</v>
      </c>
      <c r="F794" s="146">
        <v>26.450000000000003</v>
      </c>
      <c r="G794" s="142" t="s">
        <v>15</v>
      </c>
      <c r="H794" s="142" t="s">
        <v>114</v>
      </c>
      <c r="I794" s="141"/>
    </row>
    <row r="795" spans="1:9" ht="15.75" outlineLevel="1" x14ac:dyDescent="0.25">
      <c r="A795" s="140">
        <v>69</v>
      </c>
      <c r="B795" s="141"/>
      <c r="C795" s="142"/>
      <c r="D795" s="143"/>
      <c r="E795" s="143"/>
      <c r="F795" s="143"/>
      <c r="G795" s="142"/>
      <c r="H795" s="142"/>
      <c r="I795" s="141"/>
    </row>
    <row r="796" spans="1:9" ht="15.75" outlineLevel="1" x14ac:dyDescent="0.25">
      <c r="A796" s="140">
        <v>70</v>
      </c>
      <c r="B796" s="141"/>
      <c r="C796" s="142"/>
      <c r="D796" s="143"/>
      <c r="E796" s="143"/>
      <c r="F796" s="143"/>
      <c r="G796" s="142"/>
      <c r="H796" s="142"/>
      <c r="I796" s="141"/>
    </row>
    <row r="797" spans="1:9" ht="15.75" x14ac:dyDescent="0.25">
      <c r="A797" s="183" t="s">
        <v>52</v>
      </c>
      <c r="B797" s="184"/>
      <c r="C797" s="185"/>
      <c r="D797" s="137">
        <f>SUM(D798:D874)</f>
        <v>3421.3066666666659</v>
      </c>
      <c r="E797" s="137">
        <f>SUM(E798:E874)</f>
        <v>6739.9953999999998</v>
      </c>
      <c r="F797" s="137">
        <f>SUM(F798:F874)</f>
        <v>3318.6887333333339</v>
      </c>
      <c r="G797" s="138">
        <f>SUM(C798:C874)</f>
        <v>395</v>
      </c>
      <c r="H797" s="139">
        <f>G797-I797</f>
        <v>364</v>
      </c>
      <c r="I797" s="138">
        <f>COUNTIF(H798:H874,"bsb")</f>
        <v>31</v>
      </c>
    </row>
    <row r="798" spans="1:9" ht="15.75" outlineLevel="1" x14ac:dyDescent="0.25">
      <c r="A798" s="140">
        <v>23</v>
      </c>
      <c r="B798" s="141" t="s">
        <v>454</v>
      </c>
      <c r="C798" s="142">
        <v>1</v>
      </c>
      <c r="D798" s="143">
        <v>54.59</v>
      </c>
      <c r="E798" s="143">
        <v>100</v>
      </c>
      <c r="F798" s="143">
        <f>E798-D798</f>
        <v>45.41</v>
      </c>
      <c r="G798" s="142" t="s">
        <v>15</v>
      </c>
      <c r="H798" s="142" t="s">
        <v>113</v>
      </c>
      <c r="I798" s="141"/>
    </row>
    <row r="799" spans="1:9" ht="15.75" outlineLevel="1" x14ac:dyDescent="0.25">
      <c r="A799" s="140">
        <v>21</v>
      </c>
      <c r="B799" s="141" t="s">
        <v>453</v>
      </c>
      <c r="C799" s="142">
        <v>1</v>
      </c>
      <c r="D799" s="143">
        <v>33.76</v>
      </c>
      <c r="E799" s="143">
        <v>70</v>
      </c>
      <c r="F799" s="143">
        <f t="shared" ref="F799:F818" si="31">E799-D799</f>
        <v>36.24</v>
      </c>
      <c r="G799" s="142" t="s">
        <v>15</v>
      </c>
      <c r="H799" s="142" t="s">
        <v>113</v>
      </c>
      <c r="I799" s="141"/>
    </row>
    <row r="800" spans="1:9" ht="15.75" outlineLevel="1" x14ac:dyDescent="0.25">
      <c r="A800" s="140">
        <v>13</v>
      </c>
      <c r="B800" s="141" t="s">
        <v>351</v>
      </c>
      <c r="C800" s="142">
        <v>1</v>
      </c>
      <c r="D800" s="143">
        <v>9.69</v>
      </c>
      <c r="E800" s="143">
        <v>30</v>
      </c>
      <c r="F800" s="143">
        <f t="shared" si="31"/>
        <v>20.310000000000002</v>
      </c>
      <c r="G800" s="142" t="s">
        <v>3</v>
      </c>
      <c r="H800" s="142" t="s">
        <v>113</v>
      </c>
      <c r="I800" s="141"/>
    </row>
    <row r="801" spans="1:9" ht="15.75" outlineLevel="1" x14ac:dyDescent="0.25">
      <c r="A801" s="140">
        <v>17</v>
      </c>
      <c r="B801" s="141" t="s">
        <v>449</v>
      </c>
      <c r="C801" s="142">
        <v>1</v>
      </c>
      <c r="D801" s="143">
        <v>2</v>
      </c>
      <c r="E801" s="143">
        <v>10</v>
      </c>
      <c r="F801" s="143">
        <f t="shared" si="31"/>
        <v>8</v>
      </c>
      <c r="G801" s="142" t="s">
        <v>3</v>
      </c>
      <c r="H801" s="142" t="s">
        <v>113</v>
      </c>
      <c r="I801" s="141"/>
    </row>
    <row r="802" spans="1:9" ht="15.75" outlineLevel="1" x14ac:dyDescent="0.25">
      <c r="A802" s="140">
        <v>18</v>
      </c>
      <c r="B802" s="141" t="s">
        <v>450</v>
      </c>
      <c r="C802" s="142">
        <v>1</v>
      </c>
      <c r="D802" s="143">
        <v>0</v>
      </c>
      <c r="E802" s="143">
        <v>50</v>
      </c>
      <c r="F802" s="143">
        <f t="shared" si="31"/>
        <v>50</v>
      </c>
      <c r="G802" s="142" t="s">
        <v>3</v>
      </c>
      <c r="H802" s="142" t="s">
        <v>113</v>
      </c>
      <c r="I802" s="141"/>
    </row>
    <row r="803" spans="1:9" ht="15.75" outlineLevel="1" x14ac:dyDescent="0.25">
      <c r="A803" s="140">
        <v>19</v>
      </c>
      <c r="B803" s="141" t="s">
        <v>452</v>
      </c>
      <c r="C803" s="142">
        <v>1</v>
      </c>
      <c r="D803" s="143">
        <v>130</v>
      </c>
      <c r="E803" s="143">
        <v>220</v>
      </c>
      <c r="F803" s="143">
        <f t="shared" si="31"/>
        <v>90</v>
      </c>
      <c r="G803" s="142" t="s">
        <v>3</v>
      </c>
      <c r="H803" s="142" t="s">
        <v>113</v>
      </c>
      <c r="I803" s="141"/>
    </row>
    <row r="804" spans="1:9" ht="15.75" outlineLevel="1" x14ac:dyDescent="0.25">
      <c r="A804" s="140">
        <v>20</v>
      </c>
      <c r="B804" s="141" t="s">
        <v>452</v>
      </c>
      <c r="C804" s="142">
        <v>1</v>
      </c>
      <c r="D804" s="143">
        <v>130</v>
      </c>
      <c r="E804" s="143">
        <v>220</v>
      </c>
      <c r="F804" s="143">
        <f t="shared" si="31"/>
        <v>90</v>
      </c>
      <c r="G804" s="142" t="s">
        <v>3</v>
      </c>
      <c r="H804" s="142" t="s">
        <v>113</v>
      </c>
      <c r="I804" s="141"/>
    </row>
    <row r="805" spans="1:9" ht="15.75" outlineLevel="1" x14ac:dyDescent="0.25">
      <c r="A805" s="140">
        <v>24</v>
      </c>
      <c r="B805" s="141" t="s">
        <v>455</v>
      </c>
      <c r="C805" s="142">
        <v>1</v>
      </c>
      <c r="D805" s="143">
        <v>15</v>
      </c>
      <c r="E805" s="143">
        <v>30</v>
      </c>
      <c r="F805" s="143">
        <f t="shared" si="31"/>
        <v>15</v>
      </c>
      <c r="G805" s="142" t="s">
        <v>3</v>
      </c>
      <c r="H805" s="142" t="s">
        <v>113</v>
      </c>
      <c r="I805" s="141"/>
    </row>
    <row r="806" spans="1:9" ht="15.75" outlineLevel="1" x14ac:dyDescent="0.25">
      <c r="A806" s="140">
        <v>25</v>
      </c>
      <c r="B806" s="141" t="s">
        <v>456</v>
      </c>
      <c r="C806" s="142">
        <v>1</v>
      </c>
      <c r="D806" s="143">
        <v>10</v>
      </c>
      <c r="E806" s="143">
        <v>15</v>
      </c>
      <c r="F806" s="143">
        <f t="shared" si="31"/>
        <v>5</v>
      </c>
      <c r="G806" s="142" t="s">
        <v>15</v>
      </c>
      <c r="H806" s="142" t="s">
        <v>113</v>
      </c>
      <c r="I806" s="141"/>
    </row>
    <row r="807" spans="1:9" ht="15.75" outlineLevel="1" x14ac:dyDescent="0.25">
      <c r="A807" s="140">
        <v>26</v>
      </c>
      <c r="B807" s="141" t="s">
        <v>422</v>
      </c>
      <c r="C807" s="142">
        <v>1</v>
      </c>
      <c r="D807" s="143">
        <v>160</v>
      </c>
      <c r="E807" s="143">
        <v>250</v>
      </c>
      <c r="F807" s="143">
        <f t="shared" si="31"/>
        <v>90</v>
      </c>
      <c r="G807" s="142" t="s">
        <v>15</v>
      </c>
      <c r="H807" s="142" t="s">
        <v>113</v>
      </c>
      <c r="I807" s="141"/>
    </row>
    <row r="808" spans="1:9" ht="15.75" outlineLevel="1" x14ac:dyDescent="0.25">
      <c r="A808" s="140">
        <v>27</v>
      </c>
      <c r="B808" s="141" t="s">
        <v>457</v>
      </c>
      <c r="C808" s="142">
        <v>1</v>
      </c>
      <c r="D808" s="143">
        <v>9</v>
      </c>
      <c r="E808" s="143">
        <v>30</v>
      </c>
      <c r="F808" s="143">
        <f t="shared" si="31"/>
        <v>21</v>
      </c>
      <c r="G808" s="142" t="s">
        <v>15</v>
      </c>
      <c r="H808" s="142" t="s">
        <v>113</v>
      </c>
      <c r="I808" s="141"/>
    </row>
    <row r="809" spans="1:9" ht="15.75" outlineLevel="1" x14ac:dyDescent="0.25">
      <c r="A809" s="140">
        <v>28</v>
      </c>
      <c r="B809" s="141" t="s">
        <v>458</v>
      </c>
      <c r="C809" s="142">
        <v>1</v>
      </c>
      <c r="D809" s="143">
        <v>1.8</v>
      </c>
      <c r="E809" s="143">
        <v>5</v>
      </c>
      <c r="F809" s="143">
        <f t="shared" si="31"/>
        <v>3.2</v>
      </c>
      <c r="G809" s="142" t="s">
        <v>15</v>
      </c>
      <c r="H809" s="142" t="s">
        <v>113</v>
      </c>
      <c r="I809" s="141"/>
    </row>
    <row r="810" spans="1:9" ht="15.75" outlineLevel="1" x14ac:dyDescent="0.25">
      <c r="A810" s="140">
        <v>29</v>
      </c>
      <c r="B810" s="141" t="s">
        <v>459</v>
      </c>
      <c r="C810" s="142">
        <v>1</v>
      </c>
      <c r="D810" s="143">
        <v>13</v>
      </c>
      <c r="E810" s="143">
        <v>30</v>
      </c>
      <c r="F810" s="143">
        <f t="shared" si="31"/>
        <v>17</v>
      </c>
      <c r="G810" s="142" t="s">
        <v>15</v>
      </c>
      <c r="H810" s="142" t="s">
        <v>113</v>
      </c>
      <c r="I810" s="141"/>
    </row>
    <row r="811" spans="1:9" ht="15.75" outlineLevel="1" x14ac:dyDescent="0.25">
      <c r="A811" s="140">
        <v>30</v>
      </c>
      <c r="B811" s="141" t="s">
        <v>460</v>
      </c>
      <c r="C811" s="142">
        <v>1</v>
      </c>
      <c r="D811" s="143">
        <v>13</v>
      </c>
      <c r="E811" s="143">
        <v>20</v>
      </c>
      <c r="F811" s="143">
        <f t="shared" si="31"/>
        <v>7</v>
      </c>
      <c r="G811" s="142" t="s">
        <v>15</v>
      </c>
      <c r="H811" s="142" t="s">
        <v>113</v>
      </c>
      <c r="I811" s="141"/>
    </row>
    <row r="812" spans="1:9" ht="15.75" outlineLevel="1" x14ac:dyDescent="0.25">
      <c r="A812" s="140">
        <v>31</v>
      </c>
      <c r="B812" s="141" t="s">
        <v>461</v>
      </c>
      <c r="C812" s="142">
        <v>1</v>
      </c>
      <c r="D812" s="143">
        <v>40</v>
      </c>
      <c r="E812" s="143">
        <v>80</v>
      </c>
      <c r="F812" s="143">
        <f t="shared" si="31"/>
        <v>40</v>
      </c>
      <c r="G812" s="142" t="s">
        <v>15</v>
      </c>
      <c r="H812" s="142" t="s">
        <v>113</v>
      </c>
      <c r="I812" s="141"/>
    </row>
    <row r="813" spans="1:9" ht="15.75" outlineLevel="1" x14ac:dyDescent="0.25">
      <c r="A813" s="140">
        <v>32</v>
      </c>
      <c r="B813" s="141" t="s">
        <v>462</v>
      </c>
      <c r="C813" s="142">
        <v>1</v>
      </c>
      <c r="D813" s="143">
        <v>40</v>
      </c>
      <c r="E813" s="143">
        <v>80</v>
      </c>
      <c r="F813" s="143">
        <f t="shared" si="31"/>
        <v>40</v>
      </c>
      <c r="G813" s="142" t="s">
        <v>15</v>
      </c>
      <c r="H813" s="142" t="s">
        <v>113</v>
      </c>
      <c r="I813" s="141"/>
    </row>
    <row r="814" spans="1:9" ht="15.75" outlineLevel="1" x14ac:dyDescent="0.25">
      <c r="A814" s="140">
        <v>33</v>
      </c>
      <c r="B814" s="141" t="s">
        <v>370</v>
      </c>
      <c r="C814" s="142">
        <v>1</v>
      </c>
      <c r="D814" s="143">
        <v>40</v>
      </c>
      <c r="E814" s="143">
        <v>100</v>
      </c>
      <c r="F814" s="143">
        <f t="shared" si="31"/>
        <v>60</v>
      </c>
      <c r="G814" s="142" t="s">
        <v>15</v>
      </c>
      <c r="H814" s="142" t="s">
        <v>113</v>
      </c>
      <c r="I814" s="141"/>
    </row>
    <row r="815" spans="1:9" ht="15.75" outlineLevel="1" x14ac:dyDescent="0.25">
      <c r="A815" s="140">
        <v>34</v>
      </c>
      <c r="B815" s="141" t="s">
        <v>463</v>
      </c>
      <c r="C815" s="142">
        <v>1</v>
      </c>
      <c r="D815" s="143">
        <v>0</v>
      </c>
      <c r="E815" s="143">
        <v>40</v>
      </c>
      <c r="F815" s="143">
        <f t="shared" si="31"/>
        <v>40</v>
      </c>
      <c r="G815" s="142" t="s">
        <v>15</v>
      </c>
      <c r="H815" s="142" t="s">
        <v>113</v>
      </c>
      <c r="I815" s="141"/>
    </row>
    <row r="816" spans="1:9" ht="15.75" outlineLevel="1" x14ac:dyDescent="0.25">
      <c r="A816" s="140">
        <v>35</v>
      </c>
      <c r="B816" s="141" t="s">
        <v>464</v>
      </c>
      <c r="C816" s="142">
        <v>1</v>
      </c>
      <c r="D816" s="143">
        <v>40</v>
      </c>
      <c r="E816" s="143">
        <v>80</v>
      </c>
      <c r="F816" s="143">
        <f t="shared" si="31"/>
        <v>40</v>
      </c>
      <c r="G816" s="142" t="s">
        <v>15</v>
      </c>
      <c r="H816" s="142" t="s">
        <v>113</v>
      </c>
      <c r="I816" s="141"/>
    </row>
    <row r="817" spans="1:9" ht="15.75" outlineLevel="1" x14ac:dyDescent="0.25">
      <c r="A817" s="140">
        <v>36</v>
      </c>
      <c r="B817" s="141" t="s">
        <v>391</v>
      </c>
      <c r="C817" s="142">
        <v>1</v>
      </c>
      <c r="D817" s="143">
        <v>75</v>
      </c>
      <c r="E817" s="143">
        <v>125</v>
      </c>
      <c r="F817" s="143">
        <f t="shared" si="31"/>
        <v>50</v>
      </c>
      <c r="G817" s="142" t="s">
        <v>15</v>
      </c>
      <c r="H817" s="142" t="s">
        <v>113</v>
      </c>
      <c r="I817" s="141"/>
    </row>
    <row r="818" spans="1:9" ht="15.75" outlineLevel="1" x14ac:dyDescent="0.25">
      <c r="A818" s="140">
        <v>37</v>
      </c>
      <c r="B818" s="141" t="s">
        <v>465</v>
      </c>
      <c r="C818" s="142">
        <v>1</v>
      </c>
      <c r="D818" s="143">
        <v>50</v>
      </c>
      <c r="E818" s="143">
        <v>70</v>
      </c>
      <c r="F818" s="143">
        <f t="shared" si="31"/>
        <v>20</v>
      </c>
      <c r="G818" s="142" t="s">
        <v>15</v>
      </c>
      <c r="H818" s="142" t="s">
        <v>113</v>
      </c>
      <c r="I818" s="141"/>
    </row>
    <row r="819" spans="1:9" ht="15.75" outlineLevel="1" x14ac:dyDescent="0.25">
      <c r="A819" s="140">
        <v>38</v>
      </c>
      <c r="B819" s="141" t="s">
        <v>391</v>
      </c>
      <c r="C819" s="142">
        <v>1</v>
      </c>
      <c r="D819" s="143">
        <v>75</v>
      </c>
      <c r="E819" s="143">
        <v>125</v>
      </c>
      <c r="F819" s="143">
        <f t="shared" ref="F819:F822" si="32">E819-D819</f>
        <v>50</v>
      </c>
      <c r="G819" s="142" t="s">
        <v>15</v>
      </c>
      <c r="H819" s="142" t="s">
        <v>113</v>
      </c>
      <c r="I819" s="141"/>
    </row>
    <row r="820" spans="1:9" ht="15.75" outlineLevel="1" x14ac:dyDescent="0.25">
      <c r="A820" s="140">
        <v>39</v>
      </c>
      <c r="B820" s="141" t="s">
        <v>466</v>
      </c>
      <c r="C820" s="142">
        <v>1</v>
      </c>
      <c r="D820" s="143">
        <v>130</v>
      </c>
      <c r="E820" s="143">
        <v>230</v>
      </c>
      <c r="F820" s="143">
        <f t="shared" si="32"/>
        <v>100</v>
      </c>
      <c r="G820" s="142" t="s">
        <v>15</v>
      </c>
      <c r="H820" s="142" t="s">
        <v>113</v>
      </c>
      <c r="I820" s="141"/>
    </row>
    <row r="821" spans="1:9" ht="15.75" outlineLevel="1" x14ac:dyDescent="0.25">
      <c r="A821" s="140">
        <v>40</v>
      </c>
      <c r="B821" s="141" t="s">
        <v>465</v>
      </c>
      <c r="C821" s="142">
        <v>1</v>
      </c>
      <c r="D821" s="143">
        <v>15</v>
      </c>
      <c r="E821" s="143">
        <v>65</v>
      </c>
      <c r="F821" s="143">
        <f t="shared" si="32"/>
        <v>50</v>
      </c>
      <c r="G821" s="142" t="s">
        <v>15</v>
      </c>
      <c r="H821" s="142" t="s">
        <v>113</v>
      </c>
      <c r="I821" s="141"/>
    </row>
    <row r="822" spans="1:9" ht="15.75" outlineLevel="1" x14ac:dyDescent="0.25">
      <c r="A822" s="140">
        <v>41</v>
      </c>
      <c r="B822" s="141" t="s">
        <v>467</v>
      </c>
      <c r="C822" s="142">
        <v>1</v>
      </c>
      <c r="D822" s="143">
        <v>110</v>
      </c>
      <c r="E822" s="143">
        <v>150</v>
      </c>
      <c r="F822" s="143">
        <f t="shared" si="32"/>
        <v>40</v>
      </c>
      <c r="G822" s="142" t="s">
        <v>15</v>
      </c>
      <c r="H822" s="142" t="s">
        <v>113</v>
      </c>
      <c r="I822" s="141"/>
    </row>
    <row r="823" spans="1:9" ht="15.75" outlineLevel="1" x14ac:dyDescent="0.25">
      <c r="A823" s="140">
        <v>42</v>
      </c>
      <c r="B823" s="141" t="s">
        <v>467</v>
      </c>
      <c r="C823" s="142">
        <v>1</v>
      </c>
      <c r="D823" s="143">
        <v>110</v>
      </c>
      <c r="E823" s="143">
        <v>150</v>
      </c>
      <c r="F823" s="143">
        <f t="shared" ref="F823:F827" si="33">E823-D823</f>
        <v>40</v>
      </c>
      <c r="G823" s="142" t="s">
        <v>15</v>
      </c>
      <c r="H823" s="142" t="s">
        <v>113</v>
      </c>
      <c r="I823" s="141"/>
    </row>
    <row r="824" spans="1:9" ht="15.75" outlineLevel="1" x14ac:dyDescent="0.25">
      <c r="A824" s="140">
        <v>43</v>
      </c>
      <c r="B824" s="141" t="s">
        <v>393</v>
      </c>
      <c r="C824" s="142">
        <v>1</v>
      </c>
      <c r="D824" s="143">
        <v>12.5</v>
      </c>
      <c r="E824" s="143">
        <v>25</v>
      </c>
      <c r="F824" s="143">
        <f t="shared" si="33"/>
        <v>12.5</v>
      </c>
      <c r="G824" s="142" t="s">
        <v>15</v>
      </c>
      <c r="H824" s="142" t="s">
        <v>113</v>
      </c>
      <c r="I824" s="141"/>
    </row>
    <row r="825" spans="1:9" ht="15.75" outlineLevel="1" x14ac:dyDescent="0.25">
      <c r="A825" s="140">
        <v>44</v>
      </c>
      <c r="B825" s="141" t="s">
        <v>468</v>
      </c>
      <c r="C825" s="142">
        <v>1</v>
      </c>
      <c r="D825" s="143">
        <v>7.5</v>
      </c>
      <c r="E825" s="143">
        <v>15</v>
      </c>
      <c r="F825" s="143">
        <f t="shared" si="33"/>
        <v>7.5</v>
      </c>
      <c r="G825" s="142" t="s">
        <v>15</v>
      </c>
      <c r="H825" s="142" t="s">
        <v>113</v>
      </c>
      <c r="I825" s="141"/>
    </row>
    <row r="826" spans="1:9" ht="15.75" outlineLevel="1" x14ac:dyDescent="0.25">
      <c r="A826" s="140">
        <v>45</v>
      </c>
      <c r="B826" s="141" t="s">
        <v>469</v>
      </c>
      <c r="C826" s="142">
        <v>1</v>
      </c>
      <c r="D826" s="143">
        <v>0</v>
      </c>
      <c r="E826" s="143">
        <v>322</v>
      </c>
      <c r="F826" s="143">
        <f t="shared" si="33"/>
        <v>322</v>
      </c>
      <c r="G826" s="142" t="s">
        <v>15</v>
      </c>
      <c r="H826" s="142" t="s">
        <v>113</v>
      </c>
      <c r="I826" s="141"/>
    </row>
    <row r="827" spans="1:9" ht="15.75" outlineLevel="1" x14ac:dyDescent="0.25">
      <c r="A827" s="140">
        <v>46</v>
      </c>
      <c r="B827" s="141" t="s">
        <v>370</v>
      </c>
      <c r="C827" s="142">
        <v>1</v>
      </c>
      <c r="D827" s="143">
        <v>40</v>
      </c>
      <c r="E827" s="143">
        <v>70</v>
      </c>
      <c r="F827" s="143">
        <f t="shared" si="33"/>
        <v>30</v>
      </c>
      <c r="G827" s="142" t="s">
        <v>15</v>
      </c>
      <c r="H827" s="142" t="s">
        <v>113</v>
      </c>
      <c r="I827" s="141"/>
    </row>
    <row r="828" spans="1:9" ht="15.75" outlineLevel="1" x14ac:dyDescent="0.25">
      <c r="A828" s="140">
        <v>47</v>
      </c>
      <c r="B828" s="141" t="s">
        <v>370</v>
      </c>
      <c r="C828" s="142">
        <v>1</v>
      </c>
      <c r="D828" s="143">
        <v>40</v>
      </c>
      <c r="E828" s="143">
        <v>70</v>
      </c>
      <c r="F828" s="143">
        <f t="shared" ref="F828" si="34">E828-D828</f>
        <v>30</v>
      </c>
      <c r="G828" s="142" t="s">
        <v>15</v>
      </c>
      <c r="H828" s="142" t="s">
        <v>113</v>
      </c>
      <c r="I828" s="141"/>
    </row>
    <row r="829" spans="1:9" ht="15.75" outlineLevel="1" x14ac:dyDescent="0.25">
      <c r="A829" s="140">
        <v>48</v>
      </c>
      <c r="B829" s="144" t="s">
        <v>132</v>
      </c>
      <c r="C829" s="148">
        <v>8</v>
      </c>
      <c r="D829" s="146">
        <v>48</v>
      </c>
      <c r="E829" s="149">
        <v>100.62219999999999</v>
      </c>
      <c r="F829" s="143">
        <f t="shared" ref="F829:F873" si="35">E829-D829</f>
        <v>52.622199999999992</v>
      </c>
      <c r="G829" s="142" t="s">
        <v>15</v>
      </c>
      <c r="H829" s="142" t="s">
        <v>114</v>
      </c>
      <c r="I829" s="141"/>
    </row>
    <row r="830" spans="1:9" ht="15.75" outlineLevel="1" x14ac:dyDescent="0.25">
      <c r="A830" s="140">
        <v>49</v>
      </c>
      <c r="B830" s="144" t="s">
        <v>395</v>
      </c>
      <c r="C830" s="148">
        <v>5</v>
      </c>
      <c r="D830" s="146">
        <v>12.5</v>
      </c>
      <c r="E830" s="149">
        <v>27.781600000000005</v>
      </c>
      <c r="F830" s="143">
        <f t="shared" si="35"/>
        <v>15.281600000000005</v>
      </c>
      <c r="G830" s="142" t="s">
        <v>15</v>
      </c>
      <c r="H830" s="142" t="s">
        <v>114</v>
      </c>
      <c r="I830" s="141"/>
    </row>
    <row r="831" spans="1:9" ht="15.75" outlineLevel="1" x14ac:dyDescent="0.25">
      <c r="A831" s="140">
        <v>50</v>
      </c>
      <c r="B831" s="144" t="s">
        <v>359</v>
      </c>
      <c r="C831" s="148">
        <v>1</v>
      </c>
      <c r="D831" s="146">
        <v>6</v>
      </c>
      <c r="E831" s="149">
        <v>7.7408000000000001</v>
      </c>
      <c r="F831" s="143">
        <f t="shared" si="35"/>
        <v>1.7408000000000001</v>
      </c>
      <c r="G831" s="142" t="s">
        <v>15</v>
      </c>
      <c r="H831" s="142" t="s">
        <v>114</v>
      </c>
      <c r="I831" s="141"/>
    </row>
    <row r="832" spans="1:9" ht="15.75" outlineLevel="1" x14ac:dyDescent="0.25">
      <c r="A832" s="140">
        <v>51</v>
      </c>
      <c r="B832" s="144" t="s">
        <v>215</v>
      </c>
      <c r="C832" s="148">
        <v>1</v>
      </c>
      <c r="D832" s="146">
        <v>25</v>
      </c>
      <c r="E832" s="149">
        <v>20.532799999999998</v>
      </c>
      <c r="F832" s="143">
        <f t="shared" si="35"/>
        <v>-4.4672000000000018</v>
      </c>
      <c r="G832" s="142" t="s">
        <v>15</v>
      </c>
      <c r="H832" s="142" t="s">
        <v>114</v>
      </c>
      <c r="I832" s="141"/>
    </row>
    <row r="833" spans="1:9" ht="15.75" outlineLevel="1" x14ac:dyDescent="0.25">
      <c r="A833" s="140">
        <v>52</v>
      </c>
      <c r="B833" s="144" t="s">
        <v>216</v>
      </c>
      <c r="C833" s="148">
        <v>1</v>
      </c>
      <c r="D833" s="146">
        <v>35</v>
      </c>
      <c r="E833" s="149">
        <v>45.92</v>
      </c>
      <c r="F833" s="143">
        <f t="shared" si="35"/>
        <v>10.920000000000002</v>
      </c>
      <c r="G833" s="142" t="s">
        <v>15</v>
      </c>
      <c r="H833" s="142" t="s">
        <v>114</v>
      </c>
      <c r="I833" s="141"/>
    </row>
    <row r="834" spans="1:9" ht="15.75" outlineLevel="1" x14ac:dyDescent="0.25">
      <c r="A834" s="140">
        <v>53</v>
      </c>
      <c r="B834" s="144" t="s">
        <v>246</v>
      </c>
      <c r="C834" s="148">
        <v>2</v>
      </c>
      <c r="D834" s="146">
        <v>10</v>
      </c>
      <c r="E834" s="149">
        <v>8.1836000000000002</v>
      </c>
      <c r="F834" s="143">
        <f t="shared" si="35"/>
        <v>-1.8163999999999998</v>
      </c>
      <c r="G834" s="142" t="s">
        <v>15</v>
      </c>
      <c r="H834" s="142" t="s">
        <v>114</v>
      </c>
      <c r="I834" s="141"/>
    </row>
    <row r="835" spans="1:9" ht="15.75" outlineLevel="1" x14ac:dyDescent="0.25">
      <c r="A835" s="140">
        <v>54</v>
      </c>
      <c r="B835" s="144" t="s">
        <v>217</v>
      </c>
      <c r="C835" s="148">
        <v>1</v>
      </c>
      <c r="D835" s="146">
        <v>1.4</v>
      </c>
      <c r="E835" s="149">
        <v>4.9118000000000004</v>
      </c>
      <c r="F835" s="143">
        <f t="shared" si="35"/>
        <v>3.5118000000000005</v>
      </c>
      <c r="G835" s="142" t="s">
        <v>15</v>
      </c>
      <c r="H835" s="142" t="s">
        <v>114</v>
      </c>
      <c r="I835" s="141"/>
    </row>
    <row r="836" spans="1:9" ht="15.75" outlineLevel="1" x14ac:dyDescent="0.25">
      <c r="A836" s="140">
        <v>55</v>
      </c>
      <c r="B836" s="144" t="s">
        <v>181</v>
      </c>
      <c r="C836" s="148">
        <v>3</v>
      </c>
      <c r="D836" s="146">
        <v>2.0999999999999996</v>
      </c>
      <c r="E836" s="149">
        <v>2.1238000000000001</v>
      </c>
      <c r="F836" s="143">
        <f t="shared" si="35"/>
        <v>2.3800000000000487E-2</v>
      </c>
      <c r="G836" s="142" t="s">
        <v>15</v>
      </c>
      <c r="H836" s="142" t="s">
        <v>114</v>
      </c>
      <c r="I836" s="141"/>
    </row>
    <row r="837" spans="1:9" ht="15.75" outlineLevel="1" x14ac:dyDescent="0.25">
      <c r="A837" s="140">
        <v>56</v>
      </c>
      <c r="B837" s="144" t="s">
        <v>73</v>
      </c>
      <c r="C837" s="148">
        <v>11</v>
      </c>
      <c r="D837" s="146">
        <v>11</v>
      </c>
      <c r="E837" s="149">
        <v>19.089600000000001</v>
      </c>
      <c r="F837" s="143">
        <f t="shared" si="35"/>
        <v>8.0896000000000008</v>
      </c>
      <c r="G837" s="142" t="s">
        <v>15</v>
      </c>
      <c r="H837" s="142" t="s">
        <v>114</v>
      </c>
      <c r="I837" s="141"/>
    </row>
    <row r="838" spans="1:9" ht="15.75" outlineLevel="1" x14ac:dyDescent="0.25">
      <c r="A838" s="140">
        <v>57</v>
      </c>
      <c r="B838" s="144" t="s">
        <v>470</v>
      </c>
      <c r="C838" s="150">
        <v>2</v>
      </c>
      <c r="D838" s="146">
        <v>24</v>
      </c>
      <c r="E838" s="149">
        <v>40.147199999999998</v>
      </c>
      <c r="F838" s="143">
        <f t="shared" si="35"/>
        <v>16.147199999999998</v>
      </c>
      <c r="G838" s="142" t="s">
        <v>15</v>
      </c>
      <c r="H838" s="142" t="s">
        <v>114</v>
      </c>
      <c r="I838" s="141"/>
    </row>
    <row r="839" spans="1:9" ht="15.75" outlineLevel="1" x14ac:dyDescent="0.25">
      <c r="A839" s="140">
        <v>58</v>
      </c>
      <c r="B839" s="144" t="s">
        <v>471</v>
      </c>
      <c r="C839" s="148">
        <v>1</v>
      </c>
      <c r="D839" s="146">
        <v>6</v>
      </c>
      <c r="E839" s="149">
        <v>20.860800000000001</v>
      </c>
      <c r="F839" s="143">
        <f t="shared" si="35"/>
        <v>14.860800000000001</v>
      </c>
      <c r="G839" s="142" t="s">
        <v>15</v>
      </c>
      <c r="H839" s="142" t="s">
        <v>114</v>
      </c>
      <c r="I839" s="141"/>
    </row>
    <row r="840" spans="1:9" ht="15.75" outlineLevel="1" x14ac:dyDescent="0.25">
      <c r="A840" s="140">
        <v>59</v>
      </c>
      <c r="B840" s="144" t="s">
        <v>279</v>
      </c>
      <c r="C840" s="148">
        <v>2</v>
      </c>
      <c r="D840" s="146">
        <v>16</v>
      </c>
      <c r="E840" s="149">
        <v>23.033799999999999</v>
      </c>
      <c r="F840" s="143">
        <f t="shared" si="35"/>
        <v>7.0337999999999994</v>
      </c>
      <c r="G840" s="142" t="s">
        <v>15</v>
      </c>
      <c r="H840" s="142" t="s">
        <v>114</v>
      </c>
      <c r="I840" s="141"/>
    </row>
    <row r="841" spans="1:9" ht="15.75" outlineLevel="1" x14ac:dyDescent="0.25">
      <c r="A841" s="140">
        <v>60</v>
      </c>
      <c r="B841" s="144" t="s">
        <v>472</v>
      </c>
      <c r="C841" s="148">
        <v>1</v>
      </c>
      <c r="D841" s="146">
        <v>7</v>
      </c>
      <c r="E841" s="149">
        <v>12.3</v>
      </c>
      <c r="F841" s="143">
        <f t="shared" si="35"/>
        <v>5.3000000000000007</v>
      </c>
      <c r="G841" s="142" t="s">
        <v>15</v>
      </c>
      <c r="H841" s="142" t="s">
        <v>114</v>
      </c>
      <c r="I841" s="141"/>
    </row>
    <row r="842" spans="1:9" ht="15.75" outlineLevel="1" x14ac:dyDescent="0.25">
      <c r="A842" s="140">
        <v>61</v>
      </c>
      <c r="B842" s="144" t="s">
        <v>430</v>
      </c>
      <c r="C842" s="148">
        <v>1</v>
      </c>
      <c r="D842" s="146">
        <v>3</v>
      </c>
      <c r="E842" s="149">
        <v>4.8133999999999997</v>
      </c>
      <c r="F842" s="143">
        <f t="shared" si="35"/>
        <v>1.8133999999999997</v>
      </c>
      <c r="G842" s="142" t="s">
        <v>15</v>
      </c>
      <c r="H842" s="142" t="s">
        <v>114</v>
      </c>
      <c r="I842" s="141"/>
    </row>
    <row r="843" spans="1:9" ht="15.75" outlineLevel="1" x14ac:dyDescent="0.25">
      <c r="A843" s="140">
        <v>62</v>
      </c>
      <c r="B843" s="144" t="s">
        <v>473</v>
      </c>
      <c r="C843" s="148">
        <v>1</v>
      </c>
      <c r="D843" s="146">
        <v>15</v>
      </c>
      <c r="E843" s="149">
        <v>37.269000000000005</v>
      </c>
      <c r="F843" s="143">
        <f t="shared" si="35"/>
        <v>22.269000000000005</v>
      </c>
      <c r="G843" s="142" t="s">
        <v>15</v>
      </c>
      <c r="H843" s="142" t="s">
        <v>114</v>
      </c>
      <c r="I843" s="141"/>
    </row>
    <row r="844" spans="1:9" ht="15.75" outlineLevel="1" x14ac:dyDescent="0.25">
      <c r="A844" s="140">
        <v>63</v>
      </c>
      <c r="B844" s="144" t="s">
        <v>474</v>
      </c>
      <c r="C844" s="148">
        <v>1</v>
      </c>
      <c r="D844" s="146">
        <v>90</v>
      </c>
      <c r="E844" s="149">
        <v>123</v>
      </c>
      <c r="F844" s="143">
        <f t="shared" si="35"/>
        <v>33</v>
      </c>
      <c r="G844" s="142" t="s">
        <v>15</v>
      </c>
      <c r="H844" s="142" t="s">
        <v>114</v>
      </c>
      <c r="I844" s="141"/>
    </row>
    <row r="845" spans="1:9" ht="15.75" outlineLevel="1" x14ac:dyDescent="0.25">
      <c r="A845" s="140">
        <v>64</v>
      </c>
      <c r="B845" s="144" t="s">
        <v>475</v>
      </c>
      <c r="C845" s="148">
        <v>1</v>
      </c>
      <c r="D845" s="146">
        <v>1</v>
      </c>
      <c r="E845" s="149">
        <v>5.1331999999999995</v>
      </c>
      <c r="F845" s="143">
        <f t="shared" si="35"/>
        <v>4.1331999999999995</v>
      </c>
      <c r="G845" s="142" t="s">
        <v>15</v>
      </c>
      <c r="H845" s="142" t="s">
        <v>114</v>
      </c>
      <c r="I845" s="141"/>
    </row>
    <row r="846" spans="1:9" ht="15.75" outlineLevel="1" x14ac:dyDescent="0.25">
      <c r="A846" s="140">
        <v>65</v>
      </c>
      <c r="B846" s="144" t="s">
        <v>476</v>
      </c>
      <c r="C846" s="148">
        <v>1</v>
      </c>
      <c r="D846" s="146">
        <v>9</v>
      </c>
      <c r="E846" s="149">
        <v>11.5456</v>
      </c>
      <c r="F846" s="143">
        <f t="shared" si="35"/>
        <v>2.5456000000000003</v>
      </c>
      <c r="G846" s="142" t="s">
        <v>15</v>
      </c>
      <c r="H846" s="142" t="s">
        <v>114</v>
      </c>
      <c r="I846" s="141"/>
    </row>
    <row r="847" spans="1:9" ht="15.75" outlineLevel="1" x14ac:dyDescent="0.25">
      <c r="A847" s="140">
        <v>66</v>
      </c>
      <c r="B847" s="144" t="s">
        <v>477</v>
      </c>
      <c r="C847" s="148">
        <v>1</v>
      </c>
      <c r="D847" s="146">
        <v>58</v>
      </c>
      <c r="E847" s="149">
        <v>131.8888</v>
      </c>
      <c r="F847" s="143">
        <f t="shared" si="35"/>
        <v>73.888800000000003</v>
      </c>
      <c r="G847" s="142" t="s">
        <v>15</v>
      </c>
      <c r="H847" s="142" t="s">
        <v>114</v>
      </c>
      <c r="I847" s="141"/>
    </row>
    <row r="848" spans="1:9" ht="15.75" outlineLevel="1" x14ac:dyDescent="0.25">
      <c r="A848" s="140">
        <v>67</v>
      </c>
      <c r="B848" s="144" t="s">
        <v>478</v>
      </c>
      <c r="C848" s="150">
        <v>2</v>
      </c>
      <c r="D848" s="146">
        <v>3.6</v>
      </c>
      <c r="E848" s="149">
        <v>10.914200000000001</v>
      </c>
      <c r="F848" s="143">
        <f t="shared" si="35"/>
        <v>7.3142000000000014</v>
      </c>
      <c r="G848" s="142" t="s">
        <v>15</v>
      </c>
      <c r="H848" s="142" t="s">
        <v>114</v>
      </c>
      <c r="I848" s="141"/>
    </row>
    <row r="849" spans="1:9" ht="15.75" outlineLevel="1" x14ac:dyDescent="0.25">
      <c r="A849" s="140">
        <v>68</v>
      </c>
      <c r="B849" s="144" t="s">
        <v>77</v>
      </c>
      <c r="C849" s="150">
        <v>14</v>
      </c>
      <c r="D849" s="146">
        <v>560</v>
      </c>
      <c r="E849" s="149">
        <v>995.25040000000001</v>
      </c>
      <c r="F849" s="143">
        <f t="shared" si="35"/>
        <v>435.25040000000001</v>
      </c>
      <c r="G849" s="142" t="s">
        <v>15</v>
      </c>
      <c r="H849" s="142" t="s">
        <v>114</v>
      </c>
      <c r="I849" s="141"/>
    </row>
    <row r="850" spans="1:9" ht="15.75" outlineLevel="1" x14ac:dyDescent="0.25">
      <c r="A850" s="140">
        <v>69</v>
      </c>
      <c r="B850" s="144" t="s">
        <v>402</v>
      </c>
      <c r="C850" s="148">
        <v>1</v>
      </c>
      <c r="D850" s="146">
        <v>7</v>
      </c>
      <c r="E850" s="149">
        <v>16.399999999999999</v>
      </c>
      <c r="F850" s="143">
        <f t="shared" si="35"/>
        <v>9.3999999999999986</v>
      </c>
      <c r="G850" s="142" t="s">
        <v>15</v>
      </c>
      <c r="H850" s="142" t="s">
        <v>114</v>
      </c>
      <c r="I850" s="141"/>
    </row>
    <row r="851" spans="1:9" ht="15.75" outlineLevel="1" x14ac:dyDescent="0.25">
      <c r="A851" s="140">
        <v>70</v>
      </c>
      <c r="B851" s="144" t="s">
        <v>172</v>
      </c>
      <c r="C851" s="150">
        <v>2</v>
      </c>
      <c r="D851" s="146">
        <v>60</v>
      </c>
      <c r="E851" s="149">
        <v>60.278200000000005</v>
      </c>
      <c r="F851" s="143">
        <f t="shared" si="35"/>
        <v>0.27820000000000533</v>
      </c>
      <c r="G851" s="142" t="s">
        <v>15</v>
      </c>
      <c r="H851" s="142" t="s">
        <v>114</v>
      </c>
      <c r="I851" s="141"/>
    </row>
    <row r="852" spans="1:9" ht="15.75" outlineLevel="1" x14ac:dyDescent="0.25">
      <c r="A852" s="140">
        <v>71</v>
      </c>
      <c r="B852" s="144" t="s">
        <v>125</v>
      </c>
      <c r="C852" s="150">
        <v>5</v>
      </c>
      <c r="D852" s="146">
        <v>32.5</v>
      </c>
      <c r="E852" s="149">
        <v>66.551199999999994</v>
      </c>
      <c r="F852" s="143">
        <f t="shared" si="35"/>
        <v>34.051199999999994</v>
      </c>
      <c r="G852" s="142" t="s">
        <v>15</v>
      </c>
      <c r="H852" s="142" t="s">
        <v>114</v>
      </c>
      <c r="I852" s="141"/>
    </row>
    <row r="853" spans="1:9" ht="15.75" outlineLevel="1" x14ac:dyDescent="0.25">
      <c r="A853" s="140">
        <v>72</v>
      </c>
      <c r="B853" s="144" t="s">
        <v>223</v>
      </c>
      <c r="C853" s="150">
        <v>1</v>
      </c>
      <c r="D853" s="146">
        <v>9</v>
      </c>
      <c r="E853" s="149">
        <v>12.3</v>
      </c>
      <c r="F853" s="143">
        <f t="shared" si="35"/>
        <v>3.3000000000000007</v>
      </c>
      <c r="G853" s="142" t="s">
        <v>15</v>
      </c>
      <c r="H853" s="142" t="s">
        <v>114</v>
      </c>
      <c r="I853" s="141"/>
    </row>
    <row r="854" spans="1:9" ht="15.75" outlineLevel="1" x14ac:dyDescent="0.25">
      <c r="A854" s="140">
        <v>73</v>
      </c>
      <c r="B854" s="144" t="s">
        <v>137</v>
      </c>
      <c r="C854" s="148">
        <v>1</v>
      </c>
      <c r="D854" s="146">
        <v>12</v>
      </c>
      <c r="E854" s="149">
        <v>15.907999999999999</v>
      </c>
      <c r="F854" s="143">
        <f t="shared" si="35"/>
        <v>3.9079999999999995</v>
      </c>
      <c r="G854" s="142" t="s">
        <v>15</v>
      </c>
      <c r="H854" s="142" t="s">
        <v>114</v>
      </c>
      <c r="I854" s="141"/>
    </row>
    <row r="855" spans="1:9" ht="15.75" outlineLevel="1" x14ac:dyDescent="0.25">
      <c r="A855" s="140">
        <v>74</v>
      </c>
      <c r="B855" s="144" t="s">
        <v>361</v>
      </c>
      <c r="C855" s="148">
        <v>5</v>
      </c>
      <c r="D855" s="146">
        <v>15</v>
      </c>
      <c r="E855" s="149">
        <v>32.357199999999999</v>
      </c>
      <c r="F855" s="143">
        <f t="shared" si="35"/>
        <v>17.357199999999999</v>
      </c>
      <c r="G855" s="142" t="s">
        <v>15</v>
      </c>
      <c r="H855" s="142" t="s">
        <v>114</v>
      </c>
      <c r="I855" s="141"/>
    </row>
    <row r="856" spans="1:9" ht="15.75" outlineLevel="1" x14ac:dyDescent="0.25">
      <c r="A856" s="140">
        <v>75</v>
      </c>
      <c r="B856" s="144" t="s">
        <v>256</v>
      </c>
      <c r="C856" s="148">
        <v>1</v>
      </c>
      <c r="D856" s="146">
        <v>0</v>
      </c>
      <c r="E856" s="149">
        <v>37.474000000000004</v>
      </c>
      <c r="F856" s="143">
        <f t="shared" si="35"/>
        <v>37.474000000000004</v>
      </c>
      <c r="G856" s="142" t="s">
        <v>15</v>
      </c>
      <c r="H856" s="142" t="s">
        <v>114</v>
      </c>
      <c r="I856" s="141"/>
    </row>
    <row r="857" spans="1:9" ht="15.75" outlineLevel="1" x14ac:dyDescent="0.25">
      <c r="A857" s="140">
        <v>76</v>
      </c>
      <c r="B857" s="144" t="s">
        <v>72</v>
      </c>
      <c r="C857" s="148">
        <v>11</v>
      </c>
      <c r="D857" s="146">
        <v>77</v>
      </c>
      <c r="E857" s="149">
        <v>184.20479999999998</v>
      </c>
      <c r="F857" s="143">
        <f t="shared" si="35"/>
        <v>107.20479999999998</v>
      </c>
      <c r="G857" s="142" t="s">
        <v>15</v>
      </c>
      <c r="H857" s="142" t="s">
        <v>114</v>
      </c>
      <c r="I857" s="141"/>
    </row>
    <row r="858" spans="1:9" ht="15.75" outlineLevel="1" x14ac:dyDescent="0.25">
      <c r="A858" s="140">
        <v>77</v>
      </c>
      <c r="B858" s="144" t="s">
        <v>479</v>
      </c>
      <c r="C858" s="148">
        <v>1</v>
      </c>
      <c r="D858" s="146">
        <v>0.6</v>
      </c>
      <c r="E858" s="149">
        <v>1.4923999999999999</v>
      </c>
      <c r="F858" s="143">
        <f t="shared" si="35"/>
        <v>0.89239999999999997</v>
      </c>
      <c r="G858" s="142" t="s">
        <v>15</v>
      </c>
      <c r="H858" s="142" t="s">
        <v>114</v>
      </c>
      <c r="I858" s="141"/>
    </row>
    <row r="859" spans="1:9" ht="15.75" outlineLevel="1" x14ac:dyDescent="0.25">
      <c r="A859" s="140">
        <v>78</v>
      </c>
      <c r="B859" s="144" t="s">
        <v>230</v>
      </c>
      <c r="C859" s="148">
        <v>1</v>
      </c>
      <c r="D859" s="146">
        <v>2</v>
      </c>
      <c r="E859" s="149">
        <v>8.1999999999999993</v>
      </c>
      <c r="F859" s="143">
        <f t="shared" si="35"/>
        <v>6.1999999999999993</v>
      </c>
      <c r="G859" s="142" t="s">
        <v>15</v>
      </c>
      <c r="H859" s="142" t="s">
        <v>114</v>
      </c>
      <c r="I859" s="141"/>
    </row>
    <row r="860" spans="1:9" ht="15.75" outlineLevel="1" x14ac:dyDescent="0.25">
      <c r="A860" s="140">
        <v>79</v>
      </c>
      <c r="B860" s="144" t="s">
        <v>480</v>
      </c>
      <c r="C860" s="148">
        <v>1</v>
      </c>
      <c r="D860" s="146">
        <v>25</v>
      </c>
      <c r="E860" s="149">
        <v>26.215399999999999</v>
      </c>
      <c r="F860" s="143">
        <f t="shared" si="35"/>
        <v>1.2153999999999989</v>
      </c>
      <c r="G860" s="142" t="s">
        <v>15</v>
      </c>
      <c r="H860" s="142" t="s">
        <v>114</v>
      </c>
      <c r="I860" s="141"/>
    </row>
    <row r="861" spans="1:9" ht="15.75" outlineLevel="1" x14ac:dyDescent="0.25">
      <c r="A861" s="140">
        <v>80</v>
      </c>
      <c r="B861" s="144" t="s">
        <v>439</v>
      </c>
      <c r="C861" s="148">
        <v>43</v>
      </c>
      <c r="D861" s="146">
        <v>236.5</v>
      </c>
      <c r="E861" s="149">
        <v>579.51859999999999</v>
      </c>
      <c r="F861" s="143">
        <f t="shared" si="35"/>
        <v>343.01859999999999</v>
      </c>
      <c r="G861" s="142" t="s">
        <v>15</v>
      </c>
      <c r="H861" s="142" t="s">
        <v>114</v>
      </c>
      <c r="I861" s="141"/>
    </row>
    <row r="862" spans="1:9" ht="15.75" outlineLevel="1" x14ac:dyDescent="0.25">
      <c r="A862" s="140">
        <v>81</v>
      </c>
      <c r="B862" s="144" t="s">
        <v>481</v>
      </c>
      <c r="C862" s="148">
        <v>2</v>
      </c>
      <c r="D862" s="146">
        <v>40</v>
      </c>
      <c r="E862" s="149">
        <v>46.74</v>
      </c>
      <c r="F862" s="143">
        <f t="shared" si="35"/>
        <v>6.740000000000002</v>
      </c>
      <c r="G862" s="142" t="s">
        <v>15</v>
      </c>
      <c r="H862" s="142" t="s">
        <v>114</v>
      </c>
      <c r="I862" s="141"/>
    </row>
    <row r="863" spans="1:9" ht="15.75" outlineLevel="1" x14ac:dyDescent="0.25">
      <c r="A863" s="140">
        <v>82</v>
      </c>
      <c r="B863" s="144" t="s">
        <v>440</v>
      </c>
      <c r="C863" s="148">
        <v>1</v>
      </c>
      <c r="D863" s="146">
        <v>10</v>
      </c>
      <c r="E863" s="149">
        <v>18.236799999999999</v>
      </c>
      <c r="F863" s="143">
        <f t="shared" si="35"/>
        <v>8.2367999999999988</v>
      </c>
      <c r="G863" s="142" t="s">
        <v>15</v>
      </c>
      <c r="H863" s="142" t="s">
        <v>114</v>
      </c>
      <c r="I863" s="141"/>
    </row>
    <row r="864" spans="1:9" ht="15.75" outlineLevel="1" x14ac:dyDescent="0.25">
      <c r="A864" s="140">
        <v>83</v>
      </c>
      <c r="B864" s="144" t="s">
        <v>264</v>
      </c>
      <c r="C864" s="148">
        <v>2</v>
      </c>
      <c r="D864" s="146">
        <v>10</v>
      </c>
      <c r="E864" s="149">
        <v>12.3</v>
      </c>
      <c r="F864" s="143">
        <f t="shared" si="35"/>
        <v>2.3000000000000007</v>
      </c>
      <c r="G864" s="142" t="s">
        <v>15</v>
      </c>
      <c r="H864" s="142" t="s">
        <v>114</v>
      </c>
      <c r="I864" s="141"/>
    </row>
    <row r="865" spans="1:9" ht="15.75" outlineLevel="1" x14ac:dyDescent="0.25">
      <c r="A865" s="140">
        <v>84</v>
      </c>
      <c r="B865" s="144" t="s">
        <v>89</v>
      </c>
      <c r="C865" s="150">
        <v>2</v>
      </c>
      <c r="D865" s="146">
        <v>10</v>
      </c>
      <c r="E865" s="149">
        <v>17.1462</v>
      </c>
      <c r="F865" s="143">
        <f t="shared" si="35"/>
        <v>7.1462000000000003</v>
      </c>
      <c r="G865" s="142" t="s">
        <v>15</v>
      </c>
      <c r="H865" s="142" t="s">
        <v>114</v>
      </c>
      <c r="I865" s="141"/>
    </row>
    <row r="866" spans="1:9" ht="15.75" outlineLevel="1" x14ac:dyDescent="0.25">
      <c r="A866" s="140">
        <v>85</v>
      </c>
      <c r="B866" s="144" t="s">
        <v>482</v>
      </c>
      <c r="C866" s="148">
        <v>1</v>
      </c>
      <c r="D866" s="146">
        <v>180</v>
      </c>
      <c r="E866" s="149">
        <v>241.9</v>
      </c>
      <c r="F866" s="143">
        <f t="shared" si="35"/>
        <v>61.900000000000006</v>
      </c>
      <c r="G866" s="142" t="s">
        <v>15</v>
      </c>
      <c r="H866" s="142" t="s">
        <v>114</v>
      </c>
      <c r="I866" s="141"/>
    </row>
    <row r="867" spans="1:9" ht="15.75" outlineLevel="1" x14ac:dyDescent="0.25">
      <c r="A867" s="140">
        <v>86</v>
      </c>
      <c r="B867" s="144" t="s">
        <v>86</v>
      </c>
      <c r="C867" s="148">
        <v>1</v>
      </c>
      <c r="D867" s="146">
        <v>8</v>
      </c>
      <c r="E867" s="149">
        <v>16.941200000000002</v>
      </c>
      <c r="F867" s="143">
        <f t="shared" si="35"/>
        <v>8.941200000000002</v>
      </c>
      <c r="G867" s="142" t="s">
        <v>15</v>
      </c>
      <c r="H867" s="142" t="s">
        <v>114</v>
      </c>
      <c r="I867" s="141"/>
    </row>
    <row r="868" spans="1:9" ht="15.75" outlineLevel="1" x14ac:dyDescent="0.25">
      <c r="A868" s="140">
        <v>87</v>
      </c>
      <c r="B868" s="144" t="s">
        <v>106</v>
      </c>
      <c r="C868" s="148">
        <v>1</v>
      </c>
      <c r="D868" s="146">
        <v>0.41666666666666669</v>
      </c>
      <c r="E868" s="149">
        <v>3.2390000000000003</v>
      </c>
      <c r="F868" s="143">
        <f t="shared" si="35"/>
        <v>2.8223333333333338</v>
      </c>
      <c r="G868" s="142" t="s">
        <v>15</v>
      </c>
      <c r="H868" s="142" t="s">
        <v>114</v>
      </c>
      <c r="I868" s="141"/>
    </row>
    <row r="869" spans="1:9" ht="15.75" outlineLevel="1" x14ac:dyDescent="0.25">
      <c r="A869" s="140">
        <v>88</v>
      </c>
      <c r="B869" s="144" t="s">
        <v>444</v>
      </c>
      <c r="C869" s="148">
        <v>2</v>
      </c>
      <c r="D869" s="146">
        <v>6</v>
      </c>
      <c r="E869" s="149">
        <v>10.266399999999999</v>
      </c>
      <c r="F869" s="143">
        <f t="shared" si="35"/>
        <v>4.2663999999999991</v>
      </c>
      <c r="G869" s="142" t="s">
        <v>15</v>
      </c>
      <c r="H869" s="142" t="s">
        <v>114</v>
      </c>
      <c r="I869" s="141"/>
    </row>
    <row r="870" spans="1:9" ht="15.75" outlineLevel="1" x14ac:dyDescent="0.25">
      <c r="A870" s="140">
        <v>89</v>
      </c>
      <c r="B870" s="144" t="s">
        <v>483</v>
      </c>
      <c r="C870" s="150">
        <v>215</v>
      </c>
      <c r="D870" s="146">
        <v>212.85</v>
      </c>
      <c r="E870" s="149">
        <v>614.59820000000002</v>
      </c>
      <c r="F870" s="143">
        <f t="shared" si="35"/>
        <v>401.7482</v>
      </c>
      <c r="G870" s="142" t="s">
        <v>15</v>
      </c>
      <c r="H870" s="142" t="s">
        <v>114</v>
      </c>
      <c r="I870" s="141"/>
    </row>
    <row r="871" spans="1:9" ht="15.75" outlineLevel="1" x14ac:dyDescent="0.25">
      <c r="A871" s="140">
        <v>90</v>
      </c>
      <c r="B871" s="144" t="s">
        <v>484</v>
      </c>
      <c r="C871" s="148">
        <v>1</v>
      </c>
      <c r="D871" s="146">
        <v>2</v>
      </c>
      <c r="E871" s="149">
        <v>6.15</v>
      </c>
      <c r="F871" s="143">
        <f t="shared" si="35"/>
        <v>4.1500000000000004</v>
      </c>
      <c r="G871" s="142" t="s">
        <v>15</v>
      </c>
      <c r="H871" s="142" t="s">
        <v>114</v>
      </c>
      <c r="I871" s="141"/>
    </row>
    <row r="872" spans="1:9" ht="15.75" outlineLevel="1" x14ac:dyDescent="0.25">
      <c r="A872" s="140">
        <v>91</v>
      </c>
      <c r="B872" s="144" t="s">
        <v>485</v>
      </c>
      <c r="C872" s="148">
        <v>1</v>
      </c>
      <c r="D872" s="146">
        <v>100</v>
      </c>
      <c r="E872" s="149">
        <v>164</v>
      </c>
      <c r="F872" s="143">
        <f t="shared" si="35"/>
        <v>64</v>
      </c>
      <c r="G872" s="142" t="s">
        <v>15</v>
      </c>
      <c r="H872" s="142" t="s">
        <v>114</v>
      </c>
      <c r="I872" s="141"/>
    </row>
    <row r="873" spans="1:9" ht="15.75" outlineLevel="1" x14ac:dyDescent="0.25">
      <c r="A873" s="140">
        <v>92</v>
      </c>
      <c r="B873" s="144" t="s">
        <v>282</v>
      </c>
      <c r="C873" s="148">
        <v>1</v>
      </c>
      <c r="D873" s="146">
        <v>15</v>
      </c>
      <c r="E873" s="149">
        <v>17.5152</v>
      </c>
      <c r="F873" s="143">
        <f t="shared" si="35"/>
        <v>2.5152000000000001</v>
      </c>
      <c r="G873" s="142" t="s">
        <v>15</v>
      </c>
      <c r="H873" s="142" t="s">
        <v>114</v>
      </c>
      <c r="I873" s="141"/>
    </row>
    <row r="874" spans="1:9" ht="15.75" outlineLevel="1" x14ac:dyDescent="0.25">
      <c r="A874" s="140">
        <v>93</v>
      </c>
      <c r="B874" s="141"/>
      <c r="C874" s="142"/>
      <c r="D874" s="151"/>
      <c r="E874" s="143"/>
      <c r="F874" s="143"/>
      <c r="G874" s="142"/>
      <c r="H874" s="142"/>
      <c r="I874" s="141"/>
    </row>
  </sheetData>
  <autoFilter ref="A797:H829" xr:uid="{00000000-0009-0000-0000-000002000000}">
    <sortState ref="A798:H844">
      <sortCondition ref="G797:G844"/>
    </sortState>
  </autoFilter>
  <mergeCells count="12">
    <mergeCell ref="A726:C726"/>
    <mergeCell ref="A797:C797"/>
    <mergeCell ref="A653:C653"/>
    <mergeCell ref="A560:C560"/>
    <mergeCell ref="A2:C2"/>
    <mergeCell ref="A226:C226"/>
    <mergeCell ref="A295:C295"/>
    <mergeCell ref="A477:C477"/>
    <mergeCell ref="A413:C413"/>
    <mergeCell ref="A349:C349"/>
    <mergeCell ref="A87:C87"/>
    <mergeCell ref="A146:C146"/>
  </mergeCells>
  <phoneticPr fontId="19" type="noConversion"/>
  <conditionalFormatting sqref="I12 G413 G480:G482 G486:G501 G504:G506 G509:G515 G436:G477 G603:G611 G658 G662 G664 G668 G671:G675 G681:G682 G686:G725 G728 D875:D1048576 G799">
    <cfRule type="expression" dxfId="1808" priority="5698">
      <formula>D12 ="Loja"</formula>
    </cfRule>
    <cfRule type="expression" dxfId="1807" priority="5699">
      <formula>D12 ="Entregar"</formula>
    </cfRule>
    <cfRule type="expression" dxfId="1806" priority="5700">
      <formula>D12 = "Tem que compra"</formula>
    </cfRule>
    <cfRule type="expression" dxfId="1805" priority="5701">
      <formula>D12 = "Atacado"</formula>
    </cfRule>
    <cfRule type="expression" dxfId="1804" priority="5702">
      <formula>D12 = "Pedidos"</formula>
    </cfRule>
    <cfRule type="expression" dxfId="1803" priority="5703">
      <formula>D12 = "Estoque"</formula>
    </cfRule>
    <cfRule type="expression" dxfId="1802" priority="5704">
      <formula>D12 = "Pendente"</formula>
    </cfRule>
    <cfRule type="expression" dxfId="1801" priority="5705">
      <formula>D12 = "Vendido"</formula>
    </cfRule>
  </conditionalFormatting>
  <conditionalFormatting sqref="I6">
    <cfRule type="expression" dxfId="1800" priority="5675">
      <formula>I6 ="Loja"</formula>
    </cfRule>
    <cfRule type="expression" dxfId="1799" priority="5676">
      <formula>I6 ="Entregar"</formula>
    </cfRule>
    <cfRule type="expression" dxfId="1798" priority="5677">
      <formula>I6 = "Tem que compra"</formula>
    </cfRule>
    <cfRule type="expression" dxfId="1797" priority="5678">
      <formula>I6 = "Atacado"</formula>
    </cfRule>
    <cfRule type="expression" dxfId="1796" priority="5679">
      <formula>I6 = "Pedidos"</formula>
    </cfRule>
    <cfRule type="expression" dxfId="1795" priority="5680">
      <formula>I6 = "Estoque"</formula>
    </cfRule>
    <cfRule type="expression" dxfId="1794" priority="5681">
      <formula>I6 = "Pendente"</formula>
    </cfRule>
    <cfRule type="expression" dxfId="1793" priority="5682">
      <formula>I6 = "Vendido"</formula>
    </cfRule>
  </conditionalFormatting>
  <conditionalFormatting sqref="I7">
    <cfRule type="expression" dxfId="1792" priority="5637">
      <formula>I7 ="Loja"</formula>
    </cfRule>
    <cfRule type="expression" dxfId="1791" priority="5638">
      <formula>I7 ="Entregar"</formula>
    </cfRule>
    <cfRule type="expression" dxfId="1790" priority="5639">
      <formula>I7 = "Tem que compra"</formula>
    </cfRule>
    <cfRule type="expression" dxfId="1789" priority="5640">
      <formula>I7 = "Atacado"</formula>
    </cfRule>
    <cfRule type="expression" dxfId="1788" priority="5641">
      <formula>I7 = "Pedidos"</formula>
    </cfRule>
    <cfRule type="expression" dxfId="1787" priority="5642">
      <formula>I7 = "Estoque"</formula>
    </cfRule>
    <cfRule type="expression" dxfId="1786" priority="5643">
      <formula>I7 = "Pendente"</formula>
    </cfRule>
    <cfRule type="expression" dxfId="1785" priority="5644">
      <formula>I7 = "Vendido"</formula>
    </cfRule>
  </conditionalFormatting>
  <conditionalFormatting sqref="I13">
    <cfRule type="expression" dxfId="1784" priority="5262">
      <formula>I13 ="Loja"</formula>
    </cfRule>
    <cfRule type="expression" dxfId="1783" priority="5263">
      <formula>I13 ="Entregar"</formula>
    </cfRule>
    <cfRule type="expression" dxfId="1782" priority="5264">
      <formula>I13 = "Tem que compra"</formula>
    </cfRule>
    <cfRule type="expression" dxfId="1781" priority="5265">
      <formula>I13 = "Atacado"</formula>
    </cfRule>
    <cfRule type="expression" dxfId="1780" priority="5266">
      <formula>I13 = "Pedidos"</formula>
    </cfRule>
    <cfRule type="expression" dxfId="1779" priority="5267">
      <formula>I13 = "Estoque"</formula>
    </cfRule>
    <cfRule type="expression" dxfId="1778" priority="5268">
      <formula>I13 = "Pendente"</formula>
    </cfRule>
    <cfRule type="expression" dxfId="1777" priority="5269">
      <formula>I13 = "Vendido"</formula>
    </cfRule>
  </conditionalFormatting>
  <conditionalFormatting sqref="I9">
    <cfRule type="expression" dxfId="1776" priority="5191">
      <formula>I9 ="Loja"</formula>
    </cfRule>
    <cfRule type="expression" dxfId="1775" priority="5192">
      <formula>I9 ="Entregar"</formula>
    </cfRule>
    <cfRule type="expression" dxfId="1774" priority="5193">
      <formula>I9 = "Tem que compra"</formula>
    </cfRule>
    <cfRule type="expression" dxfId="1773" priority="5194">
      <formula>I9 = "Atacado"</formula>
    </cfRule>
    <cfRule type="expression" dxfId="1772" priority="5195">
      <formula>I9 = "Pedidos"</formula>
    </cfRule>
    <cfRule type="expression" dxfId="1771" priority="5196">
      <formula>I9 = "Estoque"</formula>
    </cfRule>
    <cfRule type="expression" dxfId="1770" priority="5197">
      <formula>I9 = "Pendente"</formula>
    </cfRule>
    <cfRule type="expression" dxfId="1769" priority="5198">
      <formula>I9 = "Vendido"</formula>
    </cfRule>
  </conditionalFormatting>
  <conditionalFormatting sqref="I10">
    <cfRule type="expression" dxfId="1768" priority="5153">
      <formula>I10 ="Loja"</formula>
    </cfRule>
    <cfRule type="expression" dxfId="1767" priority="5154">
      <formula>I10 ="Entregar"</formula>
    </cfRule>
    <cfRule type="expression" dxfId="1766" priority="5155">
      <formula>I10 = "Tem que compra"</formula>
    </cfRule>
    <cfRule type="expression" dxfId="1765" priority="5156">
      <formula>I10 = "Atacado"</formula>
    </cfRule>
    <cfRule type="expression" dxfId="1764" priority="5157">
      <formula>I10 = "Pedidos"</formula>
    </cfRule>
    <cfRule type="expression" dxfId="1763" priority="5158">
      <formula>I10 = "Estoque"</formula>
    </cfRule>
    <cfRule type="expression" dxfId="1762" priority="5159">
      <formula>I10 = "Pendente"</formula>
    </cfRule>
    <cfRule type="expression" dxfId="1761" priority="5160">
      <formula>I10 = "Vendido"</formula>
    </cfRule>
  </conditionalFormatting>
  <conditionalFormatting sqref="I16">
    <cfRule type="expression" dxfId="1760" priority="5064">
      <formula>I16 ="Loja"</formula>
    </cfRule>
    <cfRule type="expression" dxfId="1759" priority="5065">
      <formula>I16 ="Entregar"</formula>
    </cfRule>
    <cfRule type="expression" dxfId="1758" priority="5066">
      <formula>I16 = "Tem que compra"</formula>
    </cfRule>
    <cfRule type="expression" dxfId="1757" priority="5067">
      <formula>I16 = "Atacado"</formula>
    </cfRule>
    <cfRule type="expression" dxfId="1756" priority="5068">
      <formula>I16 = "Pedidos"</formula>
    </cfRule>
    <cfRule type="expression" dxfId="1755" priority="5069">
      <formula>I16 = "Estoque"</formula>
    </cfRule>
    <cfRule type="expression" dxfId="1754" priority="5070">
      <formula>I16 = "Pendente"</formula>
    </cfRule>
    <cfRule type="expression" dxfId="1753" priority="5071">
      <formula>I16 = "Vendido"</formula>
    </cfRule>
  </conditionalFormatting>
  <conditionalFormatting sqref="I21">
    <cfRule type="expression" dxfId="1752" priority="4858">
      <formula>I21 ="Loja"</formula>
    </cfRule>
    <cfRule type="expression" dxfId="1751" priority="4859">
      <formula>I21 ="Entregar"</formula>
    </cfRule>
    <cfRule type="expression" dxfId="1750" priority="4860">
      <formula>I21 = "Tem que compra"</formula>
    </cfRule>
    <cfRule type="expression" dxfId="1749" priority="4861">
      <formula>I21 = "Atacado"</formula>
    </cfRule>
    <cfRule type="expression" dxfId="1748" priority="4862">
      <formula>I21 = "Pedidos"</formula>
    </cfRule>
    <cfRule type="expression" dxfId="1747" priority="4863">
      <formula>I21 = "Estoque"</formula>
    </cfRule>
    <cfRule type="expression" dxfId="1746" priority="4864">
      <formula>I21 = "Pendente"</formula>
    </cfRule>
    <cfRule type="expression" dxfId="1745" priority="4865">
      <formula>I21 = "Vendido"</formula>
    </cfRule>
  </conditionalFormatting>
  <conditionalFormatting sqref="I23:I24">
    <cfRule type="expression" dxfId="1744" priority="4531">
      <formula>I23 ="Loja"</formula>
    </cfRule>
    <cfRule type="expression" dxfId="1743" priority="4532">
      <formula>I23 ="Entregar"</formula>
    </cfRule>
    <cfRule type="expression" dxfId="1742" priority="4533">
      <formula>I23 = "Tem que compra"</formula>
    </cfRule>
    <cfRule type="expression" dxfId="1741" priority="4534">
      <formula>I23 = "Atacado"</formula>
    </cfRule>
    <cfRule type="expression" dxfId="1740" priority="4535">
      <formula>I23 = "Pedidos"</formula>
    </cfRule>
    <cfRule type="expression" dxfId="1739" priority="4536">
      <formula>I23 = "Estoque"</formula>
    </cfRule>
    <cfRule type="expression" dxfId="1738" priority="4537">
      <formula>I23 = "Pendente"</formula>
    </cfRule>
    <cfRule type="expression" dxfId="1737" priority="4538">
      <formula>I23 = "Vendido"</formula>
    </cfRule>
  </conditionalFormatting>
  <conditionalFormatting sqref="I28">
    <cfRule type="expression" dxfId="1736" priority="4284">
      <formula>I28 ="Loja"</formula>
    </cfRule>
    <cfRule type="expression" dxfId="1735" priority="4285">
      <formula>I28 ="Entregar"</formula>
    </cfRule>
    <cfRule type="expression" dxfId="1734" priority="4286">
      <formula>I28 = "Tem que compra"</formula>
    </cfRule>
    <cfRule type="expression" dxfId="1733" priority="4287">
      <formula>I28 = "Atacado"</formula>
    </cfRule>
    <cfRule type="expression" dxfId="1732" priority="4288">
      <formula>I28 = "Pedidos"</formula>
    </cfRule>
    <cfRule type="expression" dxfId="1731" priority="4289">
      <formula>I28 = "Estoque"</formula>
    </cfRule>
    <cfRule type="expression" dxfId="1730" priority="4290">
      <formula>I28 = "Pendente"</formula>
    </cfRule>
    <cfRule type="expression" dxfId="1729" priority="4291">
      <formula>I28 = "Vendido"</formula>
    </cfRule>
  </conditionalFormatting>
  <conditionalFormatting sqref="I26">
    <cfRule type="expression" dxfId="1728" priority="4113">
      <formula>I26 ="Loja"</formula>
    </cfRule>
    <cfRule type="expression" dxfId="1727" priority="4114">
      <formula>I26 ="Entregar"</formula>
    </cfRule>
    <cfRule type="expression" dxfId="1726" priority="4115">
      <formula>I26 = "Tem que compra"</formula>
    </cfRule>
    <cfRule type="expression" dxfId="1725" priority="4116">
      <formula>I26 = "Atacado"</formula>
    </cfRule>
    <cfRule type="expression" dxfId="1724" priority="4117">
      <formula>I26 = "Pedidos"</formula>
    </cfRule>
    <cfRule type="expression" dxfId="1723" priority="4118">
      <formula>I26 = "Estoque"</formula>
    </cfRule>
    <cfRule type="expression" dxfId="1722" priority="4119">
      <formula>I26 = "Pendente"</formula>
    </cfRule>
    <cfRule type="expression" dxfId="1721" priority="4120">
      <formula>I26 = "Vendido"</formula>
    </cfRule>
  </conditionalFormatting>
  <conditionalFormatting sqref="I27">
    <cfRule type="expression" dxfId="1720" priority="4067">
      <formula>I27 ="Loja"</formula>
    </cfRule>
    <cfRule type="expression" dxfId="1719" priority="4068">
      <formula>I27 ="Entregar"</formula>
    </cfRule>
    <cfRule type="expression" dxfId="1718" priority="4069">
      <formula>I27 = "Tem que compra"</formula>
    </cfRule>
    <cfRule type="expression" dxfId="1717" priority="4070">
      <formula>I27 = "Atacado"</formula>
    </cfRule>
    <cfRule type="expression" dxfId="1716" priority="4071">
      <formula>I27 = "Pedidos"</formula>
    </cfRule>
    <cfRule type="expression" dxfId="1715" priority="4072">
      <formula>I27 = "Estoque"</formula>
    </cfRule>
    <cfRule type="expression" dxfId="1714" priority="4073">
      <formula>I27 = "Pendente"</formula>
    </cfRule>
    <cfRule type="expression" dxfId="1713" priority="4074">
      <formula>I27 = "Vendido"</formula>
    </cfRule>
  </conditionalFormatting>
  <conditionalFormatting sqref="I29">
    <cfRule type="expression" dxfId="1712" priority="4044">
      <formula>I29 ="Loja"</formula>
    </cfRule>
    <cfRule type="expression" dxfId="1711" priority="4045">
      <formula>I29 ="Entregar"</formula>
    </cfRule>
    <cfRule type="expression" dxfId="1710" priority="4046">
      <formula>I29 = "Tem que compra"</formula>
    </cfRule>
    <cfRule type="expression" dxfId="1709" priority="4047">
      <formula>I29 = "Atacado"</formula>
    </cfRule>
    <cfRule type="expression" dxfId="1708" priority="4048">
      <formula>I29 = "Pedidos"</formula>
    </cfRule>
    <cfRule type="expression" dxfId="1707" priority="4049">
      <formula>I29 = "Estoque"</formula>
    </cfRule>
    <cfRule type="expression" dxfId="1706" priority="4050">
      <formula>I29 = "Pendente"</formula>
    </cfRule>
    <cfRule type="expression" dxfId="1705" priority="4051">
      <formula>I29 = "Vendido"</formula>
    </cfRule>
  </conditionalFormatting>
  <conditionalFormatting sqref="I79:I86">
    <cfRule type="expression" dxfId="1704" priority="3329">
      <formula>I79 ="Loja"</formula>
    </cfRule>
    <cfRule type="expression" dxfId="1703" priority="3330">
      <formula>I79 ="Entregar"</formula>
    </cfRule>
    <cfRule type="expression" dxfId="1702" priority="3331">
      <formula>I79 = "Tem que compra"</formula>
    </cfRule>
    <cfRule type="expression" dxfId="1701" priority="3332">
      <formula>I79 = "Atacado"</formula>
    </cfRule>
    <cfRule type="expression" dxfId="1700" priority="3333">
      <formula>I79 = "Pedidos"</formula>
    </cfRule>
    <cfRule type="expression" dxfId="1699" priority="3334">
      <formula>I79 = "Estoque"</formula>
    </cfRule>
    <cfRule type="expression" dxfId="1698" priority="3335">
      <formula>I79 = "Pendente"</formula>
    </cfRule>
    <cfRule type="expression" dxfId="1697" priority="3336">
      <formula>I79 = "Vendido"</formula>
    </cfRule>
  </conditionalFormatting>
  <conditionalFormatting sqref="A146">
    <cfRule type="expression" dxfId="1696" priority="3254">
      <formula>#REF! = "Entregar"</formula>
    </cfRule>
    <cfRule type="expression" dxfId="1695" priority="3255">
      <formula>#REF! = "Vendido"</formula>
    </cfRule>
    <cfRule type="expression" dxfId="1694" priority="3256">
      <formula>#REF! = "Estoque"</formula>
    </cfRule>
    <cfRule type="expression" dxfId="1693" priority="3257">
      <formula>#REF! = "Pendente"</formula>
    </cfRule>
    <cfRule type="expression" dxfId="1692" priority="3258">
      <formula>#REF! = "Tem que compra"</formula>
    </cfRule>
    <cfRule type="expression" dxfId="1691" priority="3259">
      <formula>#REF! = "Atacado"</formula>
    </cfRule>
  </conditionalFormatting>
  <conditionalFormatting sqref="A87">
    <cfRule type="expression" dxfId="1690" priority="3240">
      <formula>#REF! = "Entregar"</formula>
    </cfRule>
    <cfRule type="expression" dxfId="1689" priority="3241">
      <formula>#REF! = "Vendido"</formula>
    </cfRule>
    <cfRule type="expression" dxfId="1688" priority="3242">
      <formula>#REF! = "Estoque"</formula>
    </cfRule>
    <cfRule type="expression" dxfId="1687" priority="3243">
      <formula>#REF! = "Pendente"</formula>
    </cfRule>
    <cfRule type="expression" dxfId="1686" priority="3244">
      <formula>#REF! = "Tem que compra"</formula>
    </cfRule>
    <cfRule type="expression" dxfId="1685" priority="3245">
      <formula>#REF! = "Atacado"</formula>
    </cfRule>
  </conditionalFormatting>
  <conditionalFormatting sqref="I41:I44">
    <cfRule type="expression" dxfId="1684" priority="3217">
      <formula>I41 ="Loja"</formula>
    </cfRule>
    <cfRule type="expression" dxfId="1683" priority="3218">
      <formula>I41 ="Entregar"</formula>
    </cfRule>
    <cfRule type="expression" dxfId="1682" priority="3219">
      <formula>I41 = "Tem que compra"</formula>
    </cfRule>
    <cfRule type="expression" dxfId="1681" priority="3220">
      <formula>I41 = "Atacado"</formula>
    </cfRule>
    <cfRule type="expression" dxfId="1680" priority="3221">
      <formula>I41 = "Pedidos"</formula>
    </cfRule>
    <cfRule type="expression" dxfId="1679" priority="3222">
      <formula>I41 = "Estoque"</formula>
    </cfRule>
    <cfRule type="expression" dxfId="1678" priority="3223">
      <formula>I41 = "Pendente"</formula>
    </cfRule>
    <cfRule type="expression" dxfId="1677" priority="3224">
      <formula>I41 = "Vendido"</formula>
    </cfRule>
  </conditionalFormatting>
  <conditionalFormatting sqref="I45:I52">
    <cfRule type="expression" dxfId="1676" priority="3194">
      <formula>I45 ="Loja"</formula>
    </cfRule>
    <cfRule type="expression" dxfId="1675" priority="3195">
      <formula>I45 ="Entregar"</formula>
    </cfRule>
    <cfRule type="expression" dxfId="1674" priority="3196">
      <formula>I45 = "Tem que compra"</formula>
    </cfRule>
    <cfRule type="expression" dxfId="1673" priority="3197">
      <formula>I45 = "Atacado"</formula>
    </cfRule>
    <cfRule type="expression" dxfId="1672" priority="3198">
      <formula>I45 = "Pedidos"</formula>
    </cfRule>
    <cfRule type="expression" dxfId="1671" priority="3199">
      <formula>I45 = "Estoque"</formula>
    </cfRule>
    <cfRule type="expression" dxfId="1670" priority="3200">
      <formula>I45 = "Pendente"</formula>
    </cfRule>
    <cfRule type="expression" dxfId="1669" priority="3201">
      <formula>I45 = "Vendido"</formula>
    </cfRule>
  </conditionalFormatting>
  <conditionalFormatting sqref="I53:I60">
    <cfRule type="expression" dxfId="1668" priority="3171">
      <formula>I53 ="Loja"</formula>
    </cfRule>
    <cfRule type="expression" dxfId="1667" priority="3172">
      <formula>I53 ="Entregar"</formula>
    </cfRule>
    <cfRule type="expression" dxfId="1666" priority="3173">
      <formula>I53 = "Tem que compra"</formula>
    </cfRule>
    <cfRule type="expression" dxfId="1665" priority="3174">
      <formula>I53 = "Atacado"</formula>
    </cfRule>
    <cfRule type="expression" dxfId="1664" priority="3175">
      <formula>I53 = "Pedidos"</formula>
    </cfRule>
    <cfRule type="expression" dxfId="1663" priority="3176">
      <formula>I53 = "Estoque"</formula>
    </cfRule>
    <cfRule type="expression" dxfId="1662" priority="3177">
      <formula>I53 = "Pendente"</formula>
    </cfRule>
    <cfRule type="expression" dxfId="1661" priority="3178">
      <formula>I53 = "Vendido"</formula>
    </cfRule>
  </conditionalFormatting>
  <conditionalFormatting sqref="I61:I68">
    <cfRule type="expression" dxfId="1660" priority="3148">
      <formula>I61 ="Loja"</formula>
    </cfRule>
    <cfRule type="expression" dxfId="1659" priority="3149">
      <formula>I61 ="Entregar"</formula>
    </cfRule>
    <cfRule type="expression" dxfId="1658" priority="3150">
      <formula>I61 = "Tem que compra"</formula>
    </cfRule>
    <cfRule type="expression" dxfId="1657" priority="3151">
      <formula>I61 = "Atacado"</formula>
    </cfRule>
    <cfRule type="expression" dxfId="1656" priority="3152">
      <formula>I61 = "Pedidos"</formula>
    </cfRule>
    <cfRule type="expression" dxfId="1655" priority="3153">
      <formula>I61 = "Estoque"</formula>
    </cfRule>
    <cfRule type="expression" dxfId="1654" priority="3154">
      <formula>I61 = "Pendente"</formula>
    </cfRule>
    <cfRule type="expression" dxfId="1653" priority="3155">
      <formula>I61 = "Vendido"</formula>
    </cfRule>
  </conditionalFormatting>
  <conditionalFormatting sqref="I69:I76">
    <cfRule type="expression" dxfId="1652" priority="3125">
      <formula>I69 ="Loja"</formula>
    </cfRule>
    <cfRule type="expression" dxfId="1651" priority="3126">
      <formula>I69 ="Entregar"</formula>
    </cfRule>
    <cfRule type="expression" dxfId="1650" priority="3127">
      <formula>I69 = "Tem que compra"</formula>
    </cfRule>
    <cfRule type="expression" dxfId="1649" priority="3128">
      <formula>I69 = "Atacado"</formula>
    </cfRule>
    <cfRule type="expression" dxfId="1648" priority="3129">
      <formula>I69 = "Pedidos"</formula>
    </cfRule>
    <cfRule type="expression" dxfId="1647" priority="3130">
      <formula>I69 = "Estoque"</formula>
    </cfRule>
    <cfRule type="expression" dxfId="1646" priority="3131">
      <formula>I69 = "Pendente"</formula>
    </cfRule>
    <cfRule type="expression" dxfId="1645" priority="3132">
      <formula>I69 = "Vendido"</formula>
    </cfRule>
  </conditionalFormatting>
  <conditionalFormatting sqref="I38:I39">
    <cfRule type="expression" dxfId="1644" priority="2945">
      <formula>I38 ="Loja"</formula>
    </cfRule>
    <cfRule type="expression" dxfId="1643" priority="2946">
      <formula>I38 ="Entregar"</formula>
    </cfRule>
    <cfRule type="expression" dxfId="1642" priority="2947">
      <formula>I38 = "Tem que compra"</formula>
    </cfRule>
    <cfRule type="expression" dxfId="1641" priority="2948">
      <formula>I38 = "Atacado"</formula>
    </cfRule>
    <cfRule type="expression" dxfId="1640" priority="2949">
      <formula>I38 = "Pedidos"</formula>
    </cfRule>
    <cfRule type="expression" dxfId="1639" priority="2950">
      <formula>I38 = "Estoque"</formula>
    </cfRule>
    <cfRule type="expression" dxfId="1638" priority="2951">
      <formula>I38 = "Pendente"</formula>
    </cfRule>
    <cfRule type="expression" dxfId="1637" priority="2952">
      <formula>I38 = "Vendido"</formula>
    </cfRule>
  </conditionalFormatting>
  <conditionalFormatting sqref="I40">
    <cfRule type="expression" dxfId="1636" priority="2477">
      <formula>I40 ="Loja"</formula>
    </cfRule>
    <cfRule type="expression" dxfId="1635" priority="2478">
      <formula>I40 ="Entregar"</formula>
    </cfRule>
    <cfRule type="expression" dxfId="1634" priority="2479">
      <formula>I40 = "Tem que compra"</formula>
    </cfRule>
    <cfRule type="expression" dxfId="1633" priority="2480">
      <formula>I40 = "Atacado"</formula>
    </cfRule>
    <cfRule type="expression" dxfId="1632" priority="2481">
      <formula>I40 = "Pedidos"</formula>
    </cfRule>
    <cfRule type="expression" dxfId="1631" priority="2482">
      <formula>I40 = "Estoque"</formula>
    </cfRule>
    <cfRule type="expression" dxfId="1630" priority="2483">
      <formula>I40 = "Pendente"</formula>
    </cfRule>
    <cfRule type="expression" dxfId="1629" priority="2484">
      <formula>I40 = "Vendido"</formula>
    </cfRule>
  </conditionalFormatting>
  <conditionalFormatting sqref="A2 A653">
    <cfRule type="expression" dxfId="1628" priority="6438">
      <formula>G2 = "Vendido"</formula>
    </cfRule>
    <cfRule type="expression" dxfId="1627" priority="6439">
      <formula>G2 = "Estoque"</formula>
    </cfRule>
    <cfRule type="expression" dxfId="1626" priority="6440">
      <formula>G2 = "Pendente"</formula>
    </cfRule>
    <cfRule type="expression" dxfId="1625" priority="6441">
      <formula>G2 = "Tem que compra"</formula>
    </cfRule>
    <cfRule type="expression" dxfId="1624" priority="6442">
      <formula>G2 = "Atacado"</formula>
    </cfRule>
    <cfRule type="expression" dxfId="1623" priority="6443">
      <formula>G2 = "Loja"</formula>
    </cfRule>
  </conditionalFormatting>
  <conditionalFormatting sqref="A226">
    <cfRule type="expression" dxfId="1622" priority="2095">
      <formula>#REF! = "Entregar"</formula>
    </cfRule>
    <cfRule type="expression" dxfId="1621" priority="2096">
      <formula>#REF! = "Vendido"</formula>
    </cfRule>
    <cfRule type="expression" dxfId="1620" priority="2097">
      <formula>#REF! = "Estoque"</formula>
    </cfRule>
    <cfRule type="expression" dxfId="1619" priority="2098">
      <formula>#REF! = "Pendente"</formula>
    </cfRule>
    <cfRule type="expression" dxfId="1618" priority="2099">
      <formula>#REF! = "Tem que compra"</formula>
    </cfRule>
    <cfRule type="expression" dxfId="1617" priority="2100">
      <formula>#REF! = "Atacado"</formula>
    </cfRule>
  </conditionalFormatting>
  <conditionalFormatting sqref="A295">
    <cfRule type="expression" dxfId="1616" priority="1984">
      <formula>#REF! = "Entregar"</formula>
    </cfRule>
    <cfRule type="expression" dxfId="1615" priority="1985">
      <formula>#REF! = "Vendido"</formula>
    </cfRule>
    <cfRule type="expression" dxfId="1614" priority="1986">
      <formula>#REF! = "Estoque"</formula>
    </cfRule>
    <cfRule type="expression" dxfId="1613" priority="1987">
      <formula>#REF! = "Pendente"</formula>
    </cfRule>
    <cfRule type="expression" dxfId="1612" priority="1988">
      <formula>#REF! = "Tem que compra"</formula>
    </cfRule>
    <cfRule type="expression" dxfId="1611" priority="1989">
      <formula>#REF! = "Atacado"</formula>
    </cfRule>
  </conditionalFormatting>
  <conditionalFormatting sqref="A349">
    <cfRule type="expression" dxfId="1610" priority="1873">
      <formula>#REF! = "Entregar"</formula>
    </cfRule>
    <cfRule type="expression" dxfId="1609" priority="1874">
      <formula>#REF! = "Vendido"</formula>
    </cfRule>
    <cfRule type="expression" dxfId="1608" priority="1875">
      <formula>#REF! = "Estoque"</formula>
    </cfRule>
    <cfRule type="expression" dxfId="1607" priority="1876">
      <formula>#REF! = "Pendente"</formula>
    </cfRule>
    <cfRule type="expression" dxfId="1606" priority="1877">
      <formula>#REF! = "Tem que compra"</formula>
    </cfRule>
    <cfRule type="expression" dxfId="1605" priority="1878">
      <formula>#REF! = "Atacado"</formula>
    </cfRule>
  </conditionalFormatting>
  <conditionalFormatting sqref="A413">
    <cfRule type="expression" dxfId="1604" priority="1776">
      <formula>#REF! = "Entregar"</formula>
    </cfRule>
    <cfRule type="expression" dxfId="1603" priority="1777">
      <formula>#REF! = "Vendido"</formula>
    </cfRule>
    <cfRule type="expression" dxfId="1602" priority="1778">
      <formula>#REF! = "Estoque"</formula>
    </cfRule>
    <cfRule type="expression" dxfId="1601" priority="1779">
      <formula>#REF! = "Pendente"</formula>
    </cfRule>
    <cfRule type="expression" dxfId="1600" priority="1780">
      <formula>#REF! = "Tem que compra"</formula>
    </cfRule>
    <cfRule type="expression" dxfId="1599" priority="1781">
      <formula>#REF! = "Atacado"</formula>
    </cfRule>
  </conditionalFormatting>
  <conditionalFormatting sqref="G417">
    <cfRule type="expression" dxfId="1598" priority="1762">
      <formula>G417 ="Loja"</formula>
    </cfRule>
    <cfRule type="expression" dxfId="1597" priority="1763">
      <formula>G417 ="Entregar"</formula>
    </cfRule>
    <cfRule type="expression" dxfId="1596" priority="1764">
      <formula>G417 = "Tem que compra"</formula>
    </cfRule>
    <cfRule type="expression" dxfId="1595" priority="1765">
      <formula>G417 = "Atacado"</formula>
    </cfRule>
    <cfRule type="expression" dxfId="1594" priority="1766">
      <formula>G417 = "Pedidos"</formula>
    </cfRule>
    <cfRule type="expression" dxfId="1593" priority="1767">
      <formula>G417 = "Estoque"</formula>
    </cfRule>
    <cfRule type="expression" dxfId="1592" priority="1768">
      <formula>G417 = "Pendente"</formula>
    </cfRule>
    <cfRule type="expression" dxfId="1591" priority="1769">
      <formula>G417 = "Vendido"</formula>
    </cfRule>
  </conditionalFormatting>
  <conditionalFormatting sqref="G418">
    <cfRule type="expression" dxfId="1590" priority="1754">
      <formula>G418 ="Loja"</formula>
    </cfRule>
    <cfRule type="expression" dxfId="1589" priority="1755">
      <formula>G418 ="Entregar"</formula>
    </cfRule>
    <cfRule type="expression" dxfId="1588" priority="1756">
      <formula>G418 = "Tem que compra"</formula>
    </cfRule>
    <cfRule type="expression" dxfId="1587" priority="1757">
      <formula>G418 = "Atacado"</formula>
    </cfRule>
    <cfRule type="expression" dxfId="1586" priority="1758">
      <formula>G418 = "Pedidos"</formula>
    </cfRule>
    <cfRule type="expression" dxfId="1585" priority="1759">
      <formula>G418 = "Estoque"</formula>
    </cfRule>
    <cfRule type="expression" dxfId="1584" priority="1760">
      <formula>G418 = "Pendente"</formula>
    </cfRule>
    <cfRule type="expression" dxfId="1583" priority="1761">
      <formula>G418 = "Vendido"</formula>
    </cfRule>
  </conditionalFormatting>
  <conditionalFormatting sqref="G425">
    <cfRule type="expression" dxfId="1582" priority="1734">
      <formula>G425 ="Loja"</formula>
    </cfRule>
    <cfRule type="expression" dxfId="1581" priority="1735">
      <formula>G425 ="Entregar"</formula>
    </cfRule>
    <cfRule type="expression" dxfId="1580" priority="1736">
      <formula>G425 = "Tem que compra"</formula>
    </cfRule>
    <cfRule type="expression" dxfId="1579" priority="1737">
      <formula>G425 = "Atacado"</formula>
    </cfRule>
    <cfRule type="expression" dxfId="1578" priority="1738">
      <formula>G425 = "Pedidos"</formula>
    </cfRule>
    <cfRule type="expression" dxfId="1577" priority="1739">
      <formula>G425 = "Estoque"</formula>
    </cfRule>
    <cfRule type="expression" dxfId="1576" priority="1740">
      <formula>G425 = "Pendente"</formula>
    </cfRule>
    <cfRule type="expression" dxfId="1575" priority="1741">
      <formula>G425 = "Vendido"</formula>
    </cfRule>
  </conditionalFormatting>
  <conditionalFormatting sqref="G426">
    <cfRule type="expression" dxfId="1574" priority="1720">
      <formula>G426 ="Loja"</formula>
    </cfRule>
    <cfRule type="expression" dxfId="1573" priority="1721">
      <formula>G426 ="Entregar"</formula>
    </cfRule>
    <cfRule type="expression" dxfId="1572" priority="1722">
      <formula>G426 = "Tem que compra"</formula>
    </cfRule>
    <cfRule type="expression" dxfId="1571" priority="1723">
      <formula>G426 = "Atacado"</formula>
    </cfRule>
    <cfRule type="expression" dxfId="1570" priority="1724">
      <formula>G426 = "Pedidos"</formula>
    </cfRule>
    <cfRule type="expression" dxfId="1569" priority="1725">
      <formula>G426 = "Estoque"</formula>
    </cfRule>
    <cfRule type="expression" dxfId="1568" priority="1726">
      <formula>G426 = "Pendente"</formula>
    </cfRule>
    <cfRule type="expression" dxfId="1567" priority="1727">
      <formula>G426 = "Vendido"</formula>
    </cfRule>
  </conditionalFormatting>
  <conditionalFormatting sqref="G427">
    <cfRule type="expression" dxfId="1566" priority="1706">
      <formula>G427 ="Loja"</formula>
    </cfRule>
    <cfRule type="expression" dxfId="1565" priority="1707">
      <formula>G427 ="Entregar"</formula>
    </cfRule>
    <cfRule type="expression" dxfId="1564" priority="1708">
      <formula>G427 = "Tem que compra"</formula>
    </cfRule>
    <cfRule type="expression" dxfId="1563" priority="1709">
      <formula>G427 = "Atacado"</formula>
    </cfRule>
    <cfRule type="expression" dxfId="1562" priority="1710">
      <formula>G427 = "Pedidos"</formula>
    </cfRule>
    <cfRule type="expression" dxfId="1561" priority="1711">
      <formula>G427 = "Estoque"</formula>
    </cfRule>
    <cfRule type="expression" dxfId="1560" priority="1712">
      <formula>G427 = "Pendente"</formula>
    </cfRule>
    <cfRule type="expression" dxfId="1559" priority="1713">
      <formula>G427 = "Vendido"</formula>
    </cfRule>
  </conditionalFormatting>
  <conditionalFormatting sqref="G429">
    <cfRule type="expression" dxfId="1558" priority="1692">
      <formula>G429 ="Loja"</formula>
    </cfRule>
    <cfRule type="expression" dxfId="1557" priority="1693">
      <formula>G429 ="Entregar"</formula>
    </cfRule>
    <cfRule type="expression" dxfId="1556" priority="1694">
      <formula>G429 = "Tem que compra"</formula>
    </cfRule>
    <cfRule type="expression" dxfId="1555" priority="1695">
      <formula>G429 = "Atacado"</formula>
    </cfRule>
    <cfRule type="expression" dxfId="1554" priority="1696">
      <formula>G429 = "Pedidos"</formula>
    </cfRule>
    <cfRule type="expression" dxfId="1553" priority="1697">
      <formula>G429 = "Estoque"</formula>
    </cfRule>
    <cfRule type="expression" dxfId="1552" priority="1698">
      <formula>G429 = "Pendente"</formula>
    </cfRule>
    <cfRule type="expression" dxfId="1551" priority="1699">
      <formula>G429 = "Vendido"</formula>
    </cfRule>
  </conditionalFormatting>
  <conditionalFormatting sqref="G431">
    <cfRule type="expression" dxfId="1550" priority="1678">
      <formula>G431 ="Loja"</formula>
    </cfRule>
    <cfRule type="expression" dxfId="1549" priority="1679">
      <formula>G431 ="Entregar"</formula>
    </cfRule>
    <cfRule type="expression" dxfId="1548" priority="1680">
      <formula>G431 = "Tem que compra"</formula>
    </cfRule>
    <cfRule type="expression" dxfId="1547" priority="1681">
      <formula>G431 = "Atacado"</formula>
    </cfRule>
    <cfRule type="expression" dxfId="1546" priority="1682">
      <formula>G431 = "Pedidos"</formula>
    </cfRule>
    <cfRule type="expression" dxfId="1545" priority="1683">
      <formula>G431 = "Estoque"</formula>
    </cfRule>
    <cfRule type="expression" dxfId="1544" priority="1684">
      <formula>G431 = "Pendente"</formula>
    </cfRule>
    <cfRule type="expression" dxfId="1543" priority="1685">
      <formula>G431 = "Vendido"</formula>
    </cfRule>
  </conditionalFormatting>
  <conditionalFormatting sqref="G432">
    <cfRule type="expression" dxfId="1542" priority="1664">
      <formula>G432 ="Loja"</formula>
    </cfRule>
    <cfRule type="expression" dxfId="1541" priority="1665">
      <formula>G432 ="Entregar"</formula>
    </cfRule>
    <cfRule type="expression" dxfId="1540" priority="1666">
      <formula>G432 = "Tem que compra"</formula>
    </cfRule>
    <cfRule type="expression" dxfId="1539" priority="1667">
      <formula>G432 = "Atacado"</formula>
    </cfRule>
    <cfRule type="expression" dxfId="1538" priority="1668">
      <formula>G432 = "Pedidos"</formula>
    </cfRule>
    <cfRule type="expression" dxfId="1537" priority="1669">
      <formula>G432 = "Estoque"</formula>
    </cfRule>
    <cfRule type="expression" dxfId="1536" priority="1670">
      <formula>G432 = "Pendente"</formula>
    </cfRule>
    <cfRule type="expression" dxfId="1535" priority="1671">
      <formula>G432 = "Vendido"</formula>
    </cfRule>
  </conditionalFormatting>
  <conditionalFormatting sqref="G435">
    <cfRule type="expression" dxfId="1534" priority="1650">
      <formula>G435 ="Loja"</formula>
    </cfRule>
    <cfRule type="expression" dxfId="1533" priority="1651">
      <formula>G435 ="Entregar"</formula>
    </cfRule>
    <cfRule type="expression" dxfId="1532" priority="1652">
      <formula>G435 = "Tem que compra"</formula>
    </cfRule>
    <cfRule type="expression" dxfId="1531" priority="1653">
      <formula>G435 = "Atacado"</formula>
    </cfRule>
    <cfRule type="expression" dxfId="1530" priority="1654">
      <formula>G435 = "Pedidos"</formula>
    </cfRule>
    <cfRule type="expression" dxfId="1529" priority="1655">
      <formula>G435 = "Estoque"</formula>
    </cfRule>
    <cfRule type="expression" dxfId="1528" priority="1656">
      <formula>G435 = "Pendente"</formula>
    </cfRule>
    <cfRule type="expression" dxfId="1527" priority="1657">
      <formula>G435 = "Vendido"</formula>
    </cfRule>
  </conditionalFormatting>
  <conditionalFormatting sqref="A477">
    <cfRule type="expression" dxfId="1526" priority="1636">
      <formula>#REF! = "Entregar"</formula>
    </cfRule>
    <cfRule type="expression" dxfId="1525" priority="1637">
      <formula>#REF! = "Vendido"</formula>
    </cfRule>
    <cfRule type="expression" dxfId="1524" priority="1638">
      <formula>#REF! = "Estoque"</formula>
    </cfRule>
    <cfRule type="expression" dxfId="1523" priority="1639">
      <formula>#REF! = "Pendente"</formula>
    </cfRule>
    <cfRule type="expression" dxfId="1522" priority="1640">
      <formula>#REF! = "Tem que compra"</formula>
    </cfRule>
    <cfRule type="expression" dxfId="1521" priority="1641">
      <formula>#REF! = "Atacado"</formula>
    </cfRule>
  </conditionalFormatting>
  <conditionalFormatting sqref="G477">
    <cfRule type="expression" dxfId="1520" priority="1642">
      <formula>G477 ="Loja"</formula>
    </cfRule>
    <cfRule type="expression" dxfId="1519" priority="1643">
      <formula>G477 ="Entregar"</formula>
    </cfRule>
    <cfRule type="expression" dxfId="1518" priority="1644">
      <formula>G477 = "Tem que compra"</formula>
    </cfRule>
    <cfRule type="expression" dxfId="1517" priority="1645">
      <formula>G477 = "Atacado"</formula>
    </cfRule>
    <cfRule type="expression" dxfId="1516" priority="1646">
      <formula>G477 = "Pedidos"</formula>
    </cfRule>
    <cfRule type="expression" dxfId="1515" priority="1647">
      <formula>G477 = "Estoque"</formula>
    </cfRule>
    <cfRule type="expression" dxfId="1514" priority="1648">
      <formula>G477 = "Pendente"</formula>
    </cfRule>
    <cfRule type="expression" dxfId="1513" priority="1649">
      <formula>G477 = "Vendido"</formula>
    </cfRule>
  </conditionalFormatting>
  <conditionalFormatting sqref="G478">
    <cfRule type="expression" dxfId="1512" priority="1565">
      <formula>G478 ="Loja"</formula>
    </cfRule>
    <cfRule type="expression" dxfId="1511" priority="1566">
      <formula>G478 ="Entregar"</formula>
    </cfRule>
    <cfRule type="expression" dxfId="1510" priority="1567">
      <formula>G478 = "Tem que compra"</formula>
    </cfRule>
    <cfRule type="expression" dxfId="1509" priority="1568">
      <formula>G478 = "Atacado"</formula>
    </cfRule>
    <cfRule type="expression" dxfId="1508" priority="1569">
      <formula>G478 = "Pedidos"</formula>
    </cfRule>
    <cfRule type="expression" dxfId="1507" priority="1570">
      <formula>G478 = "Estoque"</formula>
    </cfRule>
    <cfRule type="expression" dxfId="1506" priority="1571">
      <formula>G478 = "Pendente"</formula>
    </cfRule>
    <cfRule type="expression" dxfId="1505" priority="1572">
      <formula>G478 = "Vendido"</formula>
    </cfRule>
  </conditionalFormatting>
  <conditionalFormatting sqref="G479">
    <cfRule type="expression" dxfId="1504" priority="1551">
      <formula>G479 ="Loja"</formula>
    </cfRule>
    <cfRule type="expression" dxfId="1503" priority="1552">
      <formula>G479 ="Entregar"</formula>
    </cfRule>
    <cfRule type="expression" dxfId="1502" priority="1553">
      <formula>G479 = "Tem que compra"</formula>
    </cfRule>
    <cfRule type="expression" dxfId="1501" priority="1554">
      <formula>G479 = "Atacado"</formula>
    </cfRule>
    <cfRule type="expression" dxfId="1500" priority="1555">
      <formula>G479 = "Pedidos"</formula>
    </cfRule>
    <cfRule type="expression" dxfId="1499" priority="1556">
      <formula>G479 = "Estoque"</formula>
    </cfRule>
    <cfRule type="expression" dxfId="1498" priority="1557">
      <formula>G479 = "Pendente"</formula>
    </cfRule>
    <cfRule type="expression" dxfId="1497" priority="1558">
      <formula>G479 = "Vendido"</formula>
    </cfRule>
  </conditionalFormatting>
  <conditionalFormatting sqref="G483">
    <cfRule type="expression" dxfId="1496" priority="1537">
      <formula>G483 ="Loja"</formula>
    </cfRule>
    <cfRule type="expression" dxfId="1495" priority="1538">
      <formula>G483 ="Entregar"</formula>
    </cfRule>
    <cfRule type="expression" dxfId="1494" priority="1539">
      <formula>G483 = "Tem que compra"</formula>
    </cfRule>
    <cfRule type="expression" dxfId="1493" priority="1540">
      <formula>G483 = "Atacado"</formula>
    </cfRule>
    <cfRule type="expression" dxfId="1492" priority="1541">
      <formula>G483 = "Pedidos"</formula>
    </cfRule>
    <cfRule type="expression" dxfId="1491" priority="1542">
      <formula>G483 = "Estoque"</formula>
    </cfRule>
    <cfRule type="expression" dxfId="1490" priority="1543">
      <formula>G483 = "Pendente"</formula>
    </cfRule>
    <cfRule type="expression" dxfId="1489" priority="1544">
      <formula>G483 = "Vendido"</formula>
    </cfRule>
  </conditionalFormatting>
  <conditionalFormatting sqref="G484">
    <cfRule type="expression" dxfId="1488" priority="1523">
      <formula>G484 ="Loja"</formula>
    </cfRule>
    <cfRule type="expression" dxfId="1487" priority="1524">
      <formula>G484 ="Entregar"</formula>
    </cfRule>
    <cfRule type="expression" dxfId="1486" priority="1525">
      <formula>G484 = "Tem que compra"</formula>
    </cfRule>
    <cfRule type="expression" dxfId="1485" priority="1526">
      <formula>G484 = "Atacado"</formula>
    </cfRule>
    <cfRule type="expression" dxfId="1484" priority="1527">
      <formula>G484 = "Pedidos"</formula>
    </cfRule>
    <cfRule type="expression" dxfId="1483" priority="1528">
      <formula>G484 = "Estoque"</formula>
    </cfRule>
    <cfRule type="expression" dxfId="1482" priority="1529">
      <formula>G484 = "Pendente"</formula>
    </cfRule>
    <cfRule type="expression" dxfId="1481" priority="1530">
      <formula>G484 = "Vendido"</formula>
    </cfRule>
  </conditionalFormatting>
  <conditionalFormatting sqref="G485">
    <cfRule type="expression" dxfId="1480" priority="1509">
      <formula>G485 ="Loja"</formula>
    </cfRule>
    <cfRule type="expression" dxfId="1479" priority="1510">
      <formula>G485 ="Entregar"</formula>
    </cfRule>
    <cfRule type="expression" dxfId="1478" priority="1511">
      <formula>G485 = "Tem que compra"</formula>
    </cfRule>
    <cfRule type="expression" dxfId="1477" priority="1512">
      <formula>G485 = "Atacado"</formula>
    </cfRule>
    <cfRule type="expression" dxfId="1476" priority="1513">
      <formula>G485 = "Pedidos"</formula>
    </cfRule>
    <cfRule type="expression" dxfId="1475" priority="1514">
      <formula>G485 = "Estoque"</formula>
    </cfRule>
    <cfRule type="expression" dxfId="1474" priority="1515">
      <formula>G485 = "Pendente"</formula>
    </cfRule>
    <cfRule type="expression" dxfId="1473" priority="1516">
      <formula>G485 = "Vendido"</formula>
    </cfRule>
  </conditionalFormatting>
  <conditionalFormatting sqref="G502">
    <cfRule type="expression" dxfId="1472" priority="1483">
      <formula>G502 ="Loja"</formula>
    </cfRule>
    <cfRule type="expression" dxfId="1471" priority="1484">
      <formula>G502 ="Entregar"</formula>
    </cfRule>
    <cfRule type="expression" dxfId="1470" priority="1485">
      <formula>G502 = "Tem que compra"</formula>
    </cfRule>
    <cfRule type="expression" dxfId="1469" priority="1486">
      <formula>G502 = "Atacado"</formula>
    </cfRule>
    <cfRule type="expression" dxfId="1468" priority="1487">
      <formula>G502 = "Pedidos"</formula>
    </cfRule>
    <cfRule type="expression" dxfId="1467" priority="1488">
      <formula>G502 = "Estoque"</formula>
    </cfRule>
    <cfRule type="expression" dxfId="1466" priority="1489">
      <formula>G502 = "Pendente"</formula>
    </cfRule>
    <cfRule type="expression" dxfId="1465" priority="1490">
      <formula>G502 = "Vendido"</formula>
    </cfRule>
  </conditionalFormatting>
  <conditionalFormatting sqref="G503:G506">
    <cfRule type="expression" dxfId="1464" priority="1469">
      <formula>G503 ="Loja"</formula>
    </cfRule>
    <cfRule type="expression" dxfId="1463" priority="1470">
      <formula>G503 ="Entregar"</formula>
    </cfRule>
    <cfRule type="expression" dxfId="1462" priority="1471">
      <formula>G503 = "Tem que compra"</formula>
    </cfRule>
    <cfRule type="expression" dxfId="1461" priority="1472">
      <formula>G503 = "Atacado"</formula>
    </cfRule>
    <cfRule type="expression" dxfId="1460" priority="1473">
      <formula>G503 = "Pedidos"</formula>
    </cfRule>
    <cfRule type="expression" dxfId="1459" priority="1474">
      <formula>G503 = "Estoque"</formula>
    </cfRule>
    <cfRule type="expression" dxfId="1458" priority="1475">
      <formula>G503 = "Pendente"</formula>
    </cfRule>
    <cfRule type="expression" dxfId="1457" priority="1476">
      <formula>G503 = "Vendido"</formula>
    </cfRule>
  </conditionalFormatting>
  <conditionalFormatting sqref="G507">
    <cfRule type="expression" dxfId="1456" priority="1461">
      <formula>G507 ="Loja"</formula>
    </cfRule>
    <cfRule type="expression" dxfId="1455" priority="1462">
      <formula>G507 ="Entregar"</formula>
    </cfRule>
    <cfRule type="expression" dxfId="1454" priority="1463">
      <formula>G507 = "Tem que compra"</formula>
    </cfRule>
    <cfRule type="expression" dxfId="1453" priority="1464">
      <formula>G507 = "Atacado"</formula>
    </cfRule>
    <cfRule type="expression" dxfId="1452" priority="1465">
      <formula>G507 = "Pedidos"</formula>
    </cfRule>
    <cfRule type="expression" dxfId="1451" priority="1466">
      <formula>G507 = "Estoque"</formula>
    </cfRule>
    <cfRule type="expression" dxfId="1450" priority="1467">
      <formula>G507 = "Pendente"</formula>
    </cfRule>
    <cfRule type="expression" dxfId="1449" priority="1468">
      <formula>G507 = "Vendido"</formula>
    </cfRule>
  </conditionalFormatting>
  <conditionalFormatting sqref="G507">
    <cfRule type="expression" dxfId="1448" priority="1453">
      <formula>G507 ="Loja"</formula>
    </cfRule>
    <cfRule type="expression" dxfId="1447" priority="1454">
      <formula>G507 ="Entregar"</formula>
    </cfRule>
    <cfRule type="expression" dxfId="1446" priority="1455">
      <formula>G507 = "Tem que compra"</formula>
    </cfRule>
    <cfRule type="expression" dxfId="1445" priority="1456">
      <formula>G507 = "Atacado"</formula>
    </cfRule>
    <cfRule type="expression" dxfId="1444" priority="1457">
      <formula>G507 = "Pedidos"</formula>
    </cfRule>
    <cfRule type="expression" dxfId="1443" priority="1458">
      <formula>G507 = "Estoque"</formula>
    </cfRule>
    <cfRule type="expression" dxfId="1442" priority="1459">
      <formula>G507 = "Pendente"</formula>
    </cfRule>
    <cfRule type="expression" dxfId="1441" priority="1460">
      <formula>G507 = "Vendido"</formula>
    </cfRule>
  </conditionalFormatting>
  <conditionalFormatting sqref="G508">
    <cfRule type="expression" dxfId="1440" priority="1439">
      <formula>G508 ="Loja"</formula>
    </cfRule>
    <cfRule type="expression" dxfId="1439" priority="1440">
      <formula>G508 ="Entregar"</formula>
    </cfRule>
    <cfRule type="expression" dxfId="1438" priority="1441">
      <formula>G508 = "Tem que compra"</formula>
    </cfRule>
    <cfRule type="expression" dxfId="1437" priority="1442">
      <formula>G508 = "Atacado"</formula>
    </cfRule>
    <cfRule type="expression" dxfId="1436" priority="1443">
      <formula>G508 = "Pedidos"</formula>
    </cfRule>
    <cfRule type="expression" dxfId="1435" priority="1444">
      <formula>G508 = "Estoque"</formula>
    </cfRule>
    <cfRule type="expression" dxfId="1434" priority="1445">
      <formula>G508 = "Pendente"</formula>
    </cfRule>
    <cfRule type="expression" dxfId="1433" priority="1446">
      <formula>G508 = "Vendido"</formula>
    </cfRule>
  </conditionalFormatting>
  <conditionalFormatting sqref="G508">
    <cfRule type="expression" dxfId="1432" priority="1431">
      <formula>G508 ="Loja"</formula>
    </cfRule>
    <cfRule type="expression" dxfId="1431" priority="1432">
      <formula>G508 ="Entregar"</formula>
    </cfRule>
    <cfRule type="expression" dxfId="1430" priority="1433">
      <formula>G508 = "Tem que compra"</formula>
    </cfRule>
    <cfRule type="expression" dxfId="1429" priority="1434">
      <formula>G508 = "Atacado"</formula>
    </cfRule>
    <cfRule type="expression" dxfId="1428" priority="1435">
      <formula>G508 = "Pedidos"</formula>
    </cfRule>
    <cfRule type="expression" dxfId="1427" priority="1436">
      <formula>G508 = "Estoque"</formula>
    </cfRule>
    <cfRule type="expression" dxfId="1426" priority="1437">
      <formula>G508 = "Pendente"</formula>
    </cfRule>
    <cfRule type="expression" dxfId="1425" priority="1438">
      <formula>G508 = "Vendido"</formula>
    </cfRule>
  </conditionalFormatting>
  <conditionalFormatting sqref="G516:G559 G564:G565 G568:G573 G575:G577 G582:G584 G586 G589:G594 G599:G600 G652 G654:G657">
    <cfRule type="expression" dxfId="1424" priority="1417">
      <formula>G516 ="Loja"</formula>
    </cfRule>
    <cfRule type="expression" dxfId="1423" priority="1418">
      <formula>G516 ="Entregar"</formula>
    </cfRule>
    <cfRule type="expression" dxfId="1422" priority="1419">
      <formula>G516 = "Tem que compra"</formula>
    </cfRule>
    <cfRule type="expression" dxfId="1421" priority="1420">
      <formula>G516 = "Atacado"</formula>
    </cfRule>
    <cfRule type="expression" dxfId="1420" priority="1421">
      <formula>G516 = "Pedidos"</formula>
    </cfRule>
    <cfRule type="expression" dxfId="1419" priority="1422">
      <formula>G516 = "Estoque"</formula>
    </cfRule>
    <cfRule type="expression" dxfId="1418" priority="1423">
      <formula>G516 = "Pendente"</formula>
    </cfRule>
    <cfRule type="expression" dxfId="1417" priority="1424">
      <formula>G516 = "Vendido"</formula>
    </cfRule>
  </conditionalFormatting>
  <conditionalFormatting sqref="G560">
    <cfRule type="expression" dxfId="1416" priority="1402">
      <formula>G560 ="Loja"</formula>
    </cfRule>
    <cfRule type="expression" dxfId="1415" priority="1403">
      <formula>G560 ="Entregar"</formula>
    </cfRule>
    <cfRule type="expression" dxfId="1414" priority="1404">
      <formula>G560 = "Tem que compra"</formula>
    </cfRule>
    <cfRule type="expression" dxfId="1413" priority="1405">
      <formula>G560 = "Atacado"</formula>
    </cfRule>
    <cfRule type="expression" dxfId="1412" priority="1406">
      <formula>G560 = "Pedidos"</formula>
    </cfRule>
    <cfRule type="expression" dxfId="1411" priority="1407">
      <formula>G560 = "Estoque"</formula>
    </cfRule>
    <cfRule type="expression" dxfId="1410" priority="1408">
      <formula>G560 = "Pendente"</formula>
    </cfRule>
    <cfRule type="expression" dxfId="1409" priority="1409">
      <formula>G560 = "Vendido"</formula>
    </cfRule>
  </conditionalFormatting>
  <conditionalFormatting sqref="A560">
    <cfRule type="expression" dxfId="1408" priority="1388">
      <formula>#REF! = "Entregar"</formula>
    </cfRule>
    <cfRule type="expression" dxfId="1407" priority="1389">
      <formula>#REF! = "Vendido"</formula>
    </cfRule>
    <cfRule type="expression" dxfId="1406" priority="1390">
      <formula>#REF! = "Estoque"</formula>
    </cfRule>
    <cfRule type="expression" dxfId="1405" priority="1391">
      <formula>#REF! = "Pendente"</formula>
    </cfRule>
    <cfRule type="expression" dxfId="1404" priority="1392">
      <formula>#REF! = "Tem que compra"</formula>
    </cfRule>
    <cfRule type="expression" dxfId="1403" priority="1393">
      <formula>#REF! = "Atacado"</formula>
    </cfRule>
  </conditionalFormatting>
  <conditionalFormatting sqref="G560">
    <cfRule type="expression" dxfId="1402" priority="1394">
      <formula>G560 ="Loja"</formula>
    </cfRule>
    <cfRule type="expression" dxfId="1401" priority="1395">
      <formula>G560 ="Entregar"</formula>
    </cfRule>
    <cfRule type="expression" dxfId="1400" priority="1396">
      <formula>G560 = "Tem que compra"</formula>
    </cfRule>
    <cfRule type="expression" dxfId="1399" priority="1397">
      <formula>G560 = "Atacado"</formula>
    </cfRule>
    <cfRule type="expression" dxfId="1398" priority="1398">
      <formula>G560 = "Pedidos"</formula>
    </cfRule>
    <cfRule type="expression" dxfId="1397" priority="1399">
      <formula>G560 = "Estoque"</formula>
    </cfRule>
    <cfRule type="expression" dxfId="1396" priority="1400">
      <formula>G560 = "Pendente"</formula>
    </cfRule>
    <cfRule type="expression" dxfId="1395" priority="1401">
      <formula>G560 = "Vendido"</formula>
    </cfRule>
  </conditionalFormatting>
  <conditionalFormatting sqref="G566">
    <cfRule type="expression" dxfId="1394" priority="1137">
      <formula>G566 ="Loja"</formula>
    </cfRule>
    <cfRule type="expression" dxfId="1393" priority="1138">
      <formula>G566 ="Entregar"</formula>
    </cfRule>
    <cfRule type="expression" dxfId="1392" priority="1139">
      <formula>G566 = "Tem que compra"</formula>
    </cfRule>
    <cfRule type="expression" dxfId="1391" priority="1140">
      <formula>G566 = "Atacado"</formula>
    </cfRule>
    <cfRule type="expression" dxfId="1390" priority="1141">
      <formula>G566 = "Pedidos"</formula>
    </cfRule>
    <cfRule type="expression" dxfId="1389" priority="1142">
      <formula>G566 = "Estoque"</formula>
    </cfRule>
    <cfRule type="expression" dxfId="1388" priority="1143">
      <formula>G566 = "Pendente"</formula>
    </cfRule>
    <cfRule type="expression" dxfId="1387" priority="1144">
      <formula>G566 = "Vendido"</formula>
    </cfRule>
  </conditionalFormatting>
  <conditionalFormatting sqref="G567">
    <cfRule type="expression" dxfId="1386" priority="1123">
      <formula>G567 ="Loja"</formula>
    </cfRule>
    <cfRule type="expression" dxfId="1385" priority="1124">
      <formula>G567 ="Entregar"</formula>
    </cfRule>
    <cfRule type="expression" dxfId="1384" priority="1125">
      <formula>G567 = "Tem que compra"</formula>
    </cfRule>
    <cfRule type="expression" dxfId="1383" priority="1126">
      <formula>G567 = "Atacado"</formula>
    </cfRule>
    <cfRule type="expression" dxfId="1382" priority="1127">
      <formula>G567 = "Pedidos"</formula>
    </cfRule>
    <cfRule type="expression" dxfId="1381" priority="1128">
      <formula>G567 = "Estoque"</formula>
    </cfRule>
    <cfRule type="expression" dxfId="1380" priority="1129">
      <formula>G567 = "Pendente"</formula>
    </cfRule>
    <cfRule type="expression" dxfId="1379" priority="1130">
      <formula>G567 = "Vendido"</formula>
    </cfRule>
  </conditionalFormatting>
  <conditionalFormatting sqref="G574">
    <cfRule type="expression" dxfId="1378" priority="1109">
      <formula>G574 ="Loja"</formula>
    </cfRule>
    <cfRule type="expression" dxfId="1377" priority="1110">
      <formula>G574 ="Entregar"</formula>
    </cfRule>
    <cfRule type="expression" dxfId="1376" priority="1111">
      <formula>G574 = "Tem que compra"</formula>
    </cfRule>
    <cfRule type="expression" dxfId="1375" priority="1112">
      <formula>G574 = "Atacado"</formula>
    </cfRule>
    <cfRule type="expression" dxfId="1374" priority="1113">
      <formula>G574 = "Pedidos"</formula>
    </cfRule>
    <cfRule type="expression" dxfId="1373" priority="1114">
      <formula>G574 = "Estoque"</formula>
    </cfRule>
    <cfRule type="expression" dxfId="1372" priority="1115">
      <formula>G574 = "Pendente"</formula>
    </cfRule>
    <cfRule type="expression" dxfId="1371" priority="1116">
      <formula>G574 = "Vendido"</formula>
    </cfRule>
  </conditionalFormatting>
  <conditionalFormatting sqref="G578">
    <cfRule type="expression" dxfId="1370" priority="1101">
      <formula>G578 ="Loja"</formula>
    </cfRule>
    <cfRule type="expression" dxfId="1369" priority="1102">
      <formula>G578 ="Entregar"</formula>
    </cfRule>
    <cfRule type="expression" dxfId="1368" priority="1103">
      <formula>G578 = "Tem que compra"</formula>
    </cfRule>
    <cfRule type="expression" dxfId="1367" priority="1104">
      <formula>G578 = "Atacado"</formula>
    </cfRule>
    <cfRule type="expression" dxfId="1366" priority="1105">
      <formula>G578 = "Pedidos"</formula>
    </cfRule>
    <cfRule type="expression" dxfId="1365" priority="1106">
      <formula>G578 = "Estoque"</formula>
    </cfRule>
    <cfRule type="expression" dxfId="1364" priority="1107">
      <formula>G578 = "Pendente"</formula>
    </cfRule>
    <cfRule type="expression" dxfId="1363" priority="1108">
      <formula>G578 = "Vendido"</formula>
    </cfRule>
  </conditionalFormatting>
  <conditionalFormatting sqref="G579">
    <cfRule type="expression" dxfId="1362" priority="1093">
      <formula>G579 ="Loja"</formula>
    </cfRule>
    <cfRule type="expression" dxfId="1361" priority="1094">
      <formula>G579 ="Entregar"</formula>
    </cfRule>
    <cfRule type="expression" dxfId="1360" priority="1095">
      <formula>G579 = "Tem que compra"</formula>
    </cfRule>
    <cfRule type="expression" dxfId="1359" priority="1096">
      <formula>G579 = "Atacado"</formula>
    </cfRule>
    <cfRule type="expression" dxfId="1358" priority="1097">
      <formula>G579 = "Pedidos"</formula>
    </cfRule>
    <cfRule type="expression" dxfId="1357" priority="1098">
      <formula>G579 = "Estoque"</formula>
    </cfRule>
    <cfRule type="expression" dxfId="1356" priority="1099">
      <formula>G579 = "Pendente"</formula>
    </cfRule>
    <cfRule type="expression" dxfId="1355" priority="1100">
      <formula>G579 = "Vendido"</formula>
    </cfRule>
  </conditionalFormatting>
  <conditionalFormatting sqref="G580">
    <cfRule type="expression" dxfId="1354" priority="1085">
      <formula>G580 ="Loja"</formula>
    </cfRule>
    <cfRule type="expression" dxfId="1353" priority="1086">
      <formula>G580 ="Entregar"</formula>
    </cfRule>
    <cfRule type="expression" dxfId="1352" priority="1087">
      <formula>G580 = "Tem que compra"</formula>
    </cfRule>
    <cfRule type="expression" dxfId="1351" priority="1088">
      <formula>G580 = "Atacado"</formula>
    </cfRule>
    <cfRule type="expression" dxfId="1350" priority="1089">
      <formula>G580 = "Pedidos"</formula>
    </cfRule>
    <cfRule type="expression" dxfId="1349" priority="1090">
      <formula>G580 = "Estoque"</formula>
    </cfRule>
    <cfRule type="expression" dxfId="1348" priority="1091">
      <formula>G580 = "Pendente"</formula>
    </cfRule>
    <cfRule type="expression" dxfId="1347" priority="1092">
      <formula>G580 = "Vendido"</formula>
    </cfRule>
  </conditionalFormatting>
  <conditionalFormatting sqref="G581">
    <cfRule type="expression" dxfId="1346" priority="1071">
      <formula>G581 ="Loja"</formula>
    </cfRule>
    <cfRule type="expression" dxfId="1345" priority="1072">
      <formula>G581 ="Entregar"</formula>
    </cfRule>
    <cfRule type="expression" dxfId="1344" priority="1073">
      <formula>G581 = "Tem que compra"</formula>
    </cfRule>
    <cfRule type="expression" dxfId="1343" priority="1074">
      <formula>G581 = "Atacado"</formula>
    </cfRule>
    <cfRule type="expression" dxfId="1342" priority="1075">
      <formula>G581 = "Pedidos"</formula>
    </cfRule>
    <cfRule type="expression" dxfId="1341" priority="1076">
      <formula>G581 = "Estoque"</formula>
    </cfRule>
    <cfRule type="expression" dxfId="1340" priority="1077">
      <formula>G581 = "Pendente"</formula>
    </cfRule>
    <cfRule type="expression" dxfId="1339" priority="1078">
      <formula>G581 = "Vendido"</formula>
    </cfRule>
  </conditionalFormatting>
  <conditionalFormatting sqref="G585">
    <cfRule type="expression" dxfId="1338" priority="1057">
      <formula>G585 ="Loja"</formula>
    </cfRule>
    <cfRule type="expression" dxfId="1337" priority="1058">
      <formula>G585 ="Entregar"</formula>
    </cfRule>
    <cfRule type="expression" dxfId="1336" priority="1059">
      <formula>G585 = "Tem que compra"</formula>
    </cfRule>
    <cfRule type="expression" dxfId="1335" priority="1060">
      <formula>G585 = "Atacado"</formula>
    </cfRule>
    <cfRule type="expression" dxfId="1334" priority="1061">
      <formula>G585 = "Pedidos"</formula>
    </cfRule>
    <cfRule type="expression" dxfId="1333" priority="1062">
      <formula>G585 = "Estoque"</formula>
    </cfRule>
    <cfRule type="expression" dxfId="1332" priority="1063">
      <formula>G585 = "Pendente"</formula>
    </cfRule>
    <cfRule type="expression" dxfId="1331" priority="1064">
      <formula>G585 = "Vendido"</formula>
    </cfRule>
  </conditionalFormatting>
  <conditionalFormatting sqref="G587">
    <cfRule type="expression" dxfId="1330" priority="1049">
      <formula>G587 ="Loja"</formula>
    </cfRule>
    <cfRule type="expression" dxfId="1329" priority="1050">
      <formula>G587 ="Entregar"</formula>
    </cfRule>
    <cfRule type="expression" dxfId="1328" priority="1051">
      <formula>G587 = "Tem que compra"</formula>
    </cfRule>
    <cfRule type="expression" dxfId="1327" priority="1052">
      <formula>G587 = "Atacado"</formula>
    </cfRule>
    <cfRule type="expression" dxfId="1326" priority="1053">
      <formula>G587 = "Pedidos"</formula>
    </cfRule>
    <cfRule type="expression" dxfId="1325" priority="1054">
      <formula>G587 = "Estoque"</formula>
    </cfRule>
    <cfRule type="expression" dxfId="1324" priority="1055">
      <formula>G587 = "Pendente"</formula>
    </cfRule>
    <cfRule type="expression" dxfId="1323" priority="1056">
      <formula>G587 = "Vendido"</formula>
    </cfRule>
  </conditionalFormatting>
  <conditionalFormatting sqref="G588">
    <cfRule type="expression" dxfId="1322" priority="1035">
      <formula>G588 ="Loja"</formula>
    </cfRule>
    <cfRule type="expression" dxfId="1321" priority="1036">
      <formula>G588 ="Entregar"</formula>
    </cfRule>
    <cfRule type="expression" dxfId="1320" priority="1037">
      <formula>G588 = "Tem que compra"</formula>
    </cfRule>
    <cfRule type="expression" dxfId="1319" priority="1038">
      <formula>G588 = "Atacado"</formula>
    </cfRule>
    <cfRule type="expression" dxfId="1318" priority="1039">
      <formula>G588 = "Pedidos"</formula>
    </cfRule>
    <cfRule type="expression" dxfId="1317" priority="1040">
      <formula>G588 = "Estoque"</formula>
    </cfRule>
    <cfRule type="expression" dxfId="1316" priority="1041">
      <formula>G588 = "Pendente"</formula>
    </cfRule>
    <cfRule type="expression" dxfId="1315" priority="1042">
      <formula>G588 = "Vendido"</formula>
    </cfRule>
  </conditionalFormatting>
  <conditionalFormatting sqref="G595">
    <cfRule type="expression" dxfId="1314" priority="1027">
      <formula>G595 ="Loja"</formula>
    </cfRule>
    <cfRule type="expression" dxfId="1313" priority="1028">
      <formula>G595 ="Entregar"</formula>
    </cfRule>
    <cfRule type="expression" dxfId="1312" priority="1029">
      <formula>G595 = "Tem que compra"</formula>
    </cfRule>
    <cfRule type="expression" dxfId="1311" priority="1030">
      <formula>G595 = "Atacado"</formula>
    </cfRule>
    <cfRule type="expression" dxfId="1310" priority="1031">
      <formula>G595 = "Pedidos"</formula>
    </cfRule>
    <cfRule type="expression" dxfId="1309" priority="1032">
      <formula>G595 = "Estoque"</formula>
    </cfRule>
    <cfRule type="expression" dxfId="1308" priority="1033">
      <formula>G595 = "Pendente"</formula>
    </cfRule>
    <cfRule type="expression" dxfId="1307" priority="1034">
      <formula>G595 = "Vendido"</formula>
    </cfRule>
  </conditionalFormatting>
  <conditionalFormatting sqref="G596">
    <cfRule type="expression" dxfId="1306" priority="1013">
      <formula>G596 ="Loja"</formula>
    </cfRule>
    <cfRule type="expression" dxfId="1305" priority="1014">
      <formula>G596 ="Entregar"</formula>
    </cfRule>
    <cfRule type="expression" dxfId="1304" priority="1015">
      <formula>G596 = "Tem que compra"</formula>
    </cfRule>
    <cfRule type="expression" dxfId="1303" priority="1016">
      <formula>G596 = "Atacado"</formula>
    </cfRule>
    <cfRule type="expression" dxfId="1302" priority="1017">
      <formula>G596 = "Pedidos"</formula>
    </cfRule>
    <cfRule type="expression" dxfId="1301" priority="1018">
      <formula>G596 = "Estoque"</formula>
    </cfRule>
    <cfRule type="expression" dxfId="1300" priority="1019">
      <formula>G596 = "Pendente"</formula>
    </cfRule>
    <cfRule type="expression" dxfId="1299" priority="1020">
      <formula>G596 = "Vendido"</formula>
    </cfRule>
  </conditionalFormatting>
  <conditionalFormatting sqref="G597">
    <cfRule type="expression" dxfId="1298" priority="999">
      <formula>G597 ="Loja"</formula>
    </cfRule>
    <cfRule type="expression" dxfId="1297" priority="1000">
      <formula>G597 ="Entregar"</formula>
    </cfRule>
    <cfRule type="expression" dxfId="1296" priority="1001">
      <formula>G597 = "Tem que compra"</formula>
    </cfRule>
    <cfRule type="expression" dxfId="1295" priority="1002">
      <formula>G597 = "Atacado"</formula>
    </cfRule>
    <cfRule type="expression" dxfId="1294" priority="1003">
      <formula>G597 = "Pedidos"</formula>
    </cfRule>
    <cfRule type="expression" dxfId="1293" priority="1004">
      <formula>G597 = "Estoque"</formula>
    </cfRule>
    <cfRule type="expression" dxfId="1292" priority="1005">
      <formula>G597 = "Pendente"</formula>
    </cfRule>
    <cfRule type="expression" dxfId="1291" priority="1006">
      <formula>G597 = "Vendido"</formula>
    </cfRule>
  </conditionalFormatting>
  <conditionalFormatting sqref="G598">
    <cfRule type="expression" dxfId="1290" priority="985">
      <formula>G598 ="Loja"</formula>
    </cfRule>
    <cfRule type="expression" dxfId="1289" priority="986">
      <formula>G598 ="Entregar"</formula>
    </cfRule>
    <cfRule type="expression" dxfId="1288" priority="987">
      <formula>G598 = "Tem que compra"</formula>
    </cfRule>
    <cfRule type="expression" dxfId="1287" priority="988">
      <formula>G598 = "Atacado"</formula>
    </cfRule>
    <cfRule type="expression" dxfId="1286" priority="989">
      <formula>G598 = "Pedidos"</formula>
    </cfRule>
    <cfRule type="expression" dxfId="1285" priority="990">
      <formula>G598 = "Estoque"</formula>
    </cfRule>
    <cfRule type="expression" dxfId="1284" priority="991">
      <formula>G598 = "Pendente"</formula>
    </cfRule>
    <cfRule type="expression" dxfId="1283" priority="992">
      <formula>G598 = "Vendido"</formula>
    </cfRule>
  </conditionalFormatting>
  <conditionalFormatting sqref="G601">
    <cfRule type="expression" dxfId="1282" priority="977">
      <formula>G601 ="Loja"</formula>
    </cfRule>
    <cfRule type="expression" dxfId="1281" priority="978">
      <formula>G601 ="Entregar"</formula>
    </cfRule>
    <cfRule type="expression" dxfId="1280" priority="979">
      <formula>G601 = "Tem que compra"</formula>
    </cfRule>
    <cfRule type="expression" dxfId="1279" priority="980">
      <formula>G601 = "Atacado"</formula>
    </cfRule>
    <cfRule type="expression" dxfId="1278" priority="981">
      <formula>G601 = "Pedidos"</formula>
    </cfRule>
    <cfRule type="expression" dxfId="1277" priority="982">
      <formula>G601 = "Estoque"</formula>
    </cfRule>
    <cfRule type="expression" dxfId="1276" priority="983">
      <formula>G601 = "Pendente"</formula>
    </cfRule>
    <cfRule type="expression" dxfId="1275" priority="984">
      <formula>G601 = "Vendido"</formula>
    </cfRule>
  </conditionalFormatting>
  <conditionalFormatting sqref="G602">
    <cfRule type="expression" dxfId="1274" priority="969">
      <formula>G602 ="Loja"</formula>
    </cfRule>
    <cfRule type="expression" dxfId="1273" priority="970">
      <formula>G602 ="Entregar"</formula>
    </cfRule>
    <cfRule type="expression" dxfId="1272" priority="971">
      <formula>G602 = "Tem que compra"</formula>
    </cfRule>
    <cfRule type="expression" dxfId="1271" priority="972">
      <formula>G602 = "Atacado"</formula>
    </cfRule>
    <cfRule type="expression" dxfId="1270" priority="973">
      <formula>G602 = "Pedidos"</formula>
    </cfRule>
    <cfRule type="expression" dxfId="1269" priority="974">
      <formula>G602 = "Estoque"</formula>
    </cfRule>
    <cfRule type="expression" dxfId="1268" priority="975">
      <formula>G602 = "Pendente"</formula>
    </cfRule>
    <cfRule type="expression" dxfId="1267" priority="976">
      <formula>G602 = "Vendido"</formula>
    </cfRule>
  </conditionalFormatting>
  <conditionalFormatting sqref="G612:G649">
    <cfRule type="expression" dxfId="1266" priority="955">
      <formula>G612 ="Loja"</formula>
    </cfRule>
    <cfRule type="expression" dxfId="1265" priority="956">
      <formula>G612 ="Entregar"</formula>
    </cfRule>
    <cfRule type="expression" dxfId="1264" priority="957">
      <formula>G612 = "Tem que compra"</formula>
    </cfRule>
    <cfRule type="expression" dxfId="1263" priority="958">
      <formula>G612 = "Atacado"</formula>
    </cfRule>
    <cfRule type="expression" dxfId="1262" priority="959">
      <formula>G612 = "Pedidos"</formula>
    </cfRule>
    <cfRule type="expression" dxfId="1261" priority="960">
      <formula>G612 = "Estoque"</formula>
    </cfRule>
    <cfRule type="expression" dxfId="1260" priority="961">
      <formula>G612 = "Pendente"</formula>
    </cfRule>
    <cfRule type="expression" dxfId="1259" priority="962">
      <formula>G612 = "Vendido"</formula>
    </cfRule>
  </conditionalFormatting>
  <conditionalFormatting sqref="G653">
    <cfRule type="expression" dxfId="1258" priority="945">
      <formula>G653 ="Loja"</formula>
    </cfRule>
    <cfRule type="expression" dxfId="1257" priority="946">
      <formula>G653 ="Entregar"</formula>
    </cfRule>
    <cfRule type="expression" dxfId="1256" priority="947">
      <formula>G653 = "Tem que compra"</formula>
    </cfRule>
    <cfRule type="expression" dxfId="1255" priority="948">
      <formula>G653 = "Atacado"</formula>
    </cfRule>
    <cfRule type="expression" dxfId="1254" priority="949">
      <formula>G653 = "Pedidos"</formula>
    </cfRule>
    <cfRule type="expression" dxfId="1253" priority="950">
      <formula>G653 = "Estoque"</formula>
    </cfRule>
    <cfRule type="expression" dxfId="1252" priority="951">
      <formula>G653 = "Pendente"</formula>
    </cfRule>
    <cfRule type="expression" dxfId="1251" priority="952">
      <formula>G653 = "Vendido"</formula>
    </cfRule>
  </conditionalFormatting>
  <conditionalFormatting sqref="G653">
    <cfRule type="expression" dxfId="1250" priority="937">
      <formula>G653 ="Loja"</formula>
    </cfRule>
    <cfRule type="expression" dxfId="1249" priority="938">
      <formula>G653 ="Entregar"</formula>
    </cfRule>
    <cfRule type="expression" dxfId="1248" priority="939">
      <formula>G653 = "Tem que compra"</formula>
    </cfRule>
    <cfRule type="expression" dxfId="1247" priority="940">
      <formula>G653 = "Atacado"</formula>
    </cfRule>
    <cfRule type="expression" dxfId="1246" priority="941">
      <formula>G653 = "Pedidos"</formula>
    </cfRule>
    <cfRule type="expression" dxfId="1245" priority="942">
      <formula>G653 = "Estoque"</formula>
    </cfRule>
    <cfRule type="expression" dxfId="1244" priority="943">
      <formula>G653 = "Pendente"</formula>
    </cfRule>
    <cfRule type="expression" dxfId="1243" priority="944">
      <formula>G653 = "Vendido"</formula>
    </cfRule>
  </conditionalFormatting>
  <conditionalFormatting sqref="G563">
    <cfRule type="expression" dxfId="1242" priority="915">
      <formula>G563 ="Loja"</formula>
    </cfRule>
    <cfRule type="expression" dxfId="1241" priority="916">
      <formula>G563 ="Entregar"</formula>
    </cfRule>
    <cfRule type="expression" dxfId="1240" priority="917">
      <formula>G563 = "Tem que compra"</formula>
    </cfRule>
    <cfRule type="expression" dxfId="1239" priority="918">
      <formula>G563 = "Atacado"</formula>
    </cfRule>
    <cfRule type="expression" dxfId="1238" priority="919">
      <formula>G563 = "Pedidos"</formula>
    </cfRule>
    <cfRule type="expression" dxfId="1237" priority="920">
      <formula>G563 = "Estoque"</formula>
    </cfRule>
    <cfRule type="expression" dxfId="1236" priority="921">
      <formula>G563 = "Pendente"</formula>
    </cfRule>
    <cfRule type="expression" dxfId="1235" priority="922">
      <formula>G563 = "Vendido"</formula>
    </cfRule>
  </conditionalFormatting>
  <conditionalFormatting sqref="G562">
    <cfRule type="expression" dxfId="1234" priority="907">
      <formula>G562 ="Loja"</formula>
    </cfRule>
    <cfRule type="expression" dxfId="1233" priority="908">
      <formula>G562 ="Entregar"</formula>
    </cfRule>
    <cfRule type="expression" dxfId="1232" priority="909">
      <formula>G562 = "Tem que compra"</formula>
    </cfRule>
    <cfRule type="expression" dxfId="1231" priority="910">
      <formula>G562 = "Atacado"</formula>
    </cfRule>
    <cfRule type="expression" dxfId="1230" priority="911">
      <formula>G562 = "Pedidos"</formula>
    </cfRule>
    <cfRule type="expression" dxfId="1229" priority="912">
      <formula>G562 = "Estoque"</formula>
    </cfRule>
    <cfRule type="expression" dxfId="1228" priority="913">
      <formula>G562 = "Pendente"</formula>
    </cfRule>
    <cfRule type="expression" dxfId="1227" priority="914">
      <formula>G562 = "Vendido"</formula>
    </cfRule>
  </conditionalFormatting>
  <conditionalFormatting sqref="G561">
    <cfRule type="expression" dxfId="1226" priority="899">
      <formula>G561 ="Loja"</formula>
    </cfRule>
    <cfRule type="expression" dxfId="1225" priority="900">
      <formula>G561 ="Entregar"</formula>
    </cfRule>
    <cfRule type="expression" dxfId="1224" priority="901">
      <formula>G561 = "Tem que compra"</formula>
    </cfRule>
    <cfRule type="expression" dxfId="1223" priority="902">
      <formula>G561 = "Atacado"</formula>
    </cfRule>
    <cfRule type="expression" dxfId="1222" priority="903">
      <formula>G561 = "Pedidos"</formula>
    </cfRule>
    <cfRule type="expression" dxfId="1221" priority="904">
      <formula>G561 = "Estoque"</formula>
    </cfRule>
    <cfRule type="expression" dxfId="1220" priority="905">
      <formula>G561 = "Pendente"</formula>
    </cfRule>
    <cfRule type="expression" dxfId="1219" priority="906">
      <formula>G561 = "Vendido"</formula>
    </cfRule>
  </conditionalFormatting>
  <conditionalFormatting sqref="G650">
    <cfRule type="expression" dxfId="1218" priority="891">
      <formula>G650 ="Loja"</formula>
    </cfRule>
    <cfRule type="expression" dxfId="1217" priority="892">
      <formula>G650 ="Entregar"</formula>
    </cfRule>
    <cfRule type="expression" dxfId="1216" priority="893">
      <formula>G650 = "Tem que compra"</formula>
    </cfRule>
    <cfRule type="expression" dxfId="1215" priority="894">
      <formula>G650 = "Atacado"</formula>
    </cfRule>
    <cfRule type="expression" dxfId="1214" priority="895">
      <formula>G650 = "Pedidos"</formula>
    </cfRule>
    <cfRule type="expression" dxfId="1213" priority="896">
      <formula>G650 = "Estoque"</formula>
    </cfRule>
    <cfRule type="expression" dxfId="1212" priority="897">
      <formula>G650 = "Pendente"</formula>
    </cfRule>
    <cfRule type="expression" dxfId="1211" priority="898">
      <formula>G650 = "Vendido"</formula>
    </cfRule>
  </conditionalFormatting>
  <conditionalFormatting sqref="G651">
    <cfRule type="expression" dxfId="1210" priority="883">
      <formula>G651 ="Loja"</formula>
    </cfRule>
    <cfRule type="expression" dxfId="1209" priority="884">
      <formula>G651 ="Entregar"</formula>
    </cfRule>
    <cfRule type="expression" dxfId="1208" priority="885">
      <formula>G651 = "Tem que compra"</formula>
    </cfRule>
    <cfRule type="expression" dxfId="1207" priority="886">
      <formula>G651 = "Atacado"</formula>
    </cfRule>
    <cfRule type="expression" dxfId="1206" priority="887">
      <formula>G651 = "Pedidos"</formula>
    </cfRule>
    <cfRule type="expression" dxfId="1205" priority="888">
      <formula>G651 = "Estoque"</formula>
    </cfRule>
    <cfRule type="expression" dxfId="1204" priority="889">
      <formula>G651 = "Pendente"</formula>
    </cfRule>
    <cfRule type="expression" dxfId="1203" priority="890">
      <formula>G651 = "Vendido"</formula>
    </cfRule>
  </conditionalFormatting>
  <conditionalFormatting sqref="G727">
    <cfRule type="expression" dxfId="1202" priority="797">
      <formula>G727 ="Loja"</formula>
    </cfRule>
    <cfRule type="expression" dxfId="1201" priority="798">
      <formula>G727 ="Entregar"</formula>
    </cfRule>
    <cfRule type="expression" dxfId="1200" priority="799">
      <formula>G727 = "Tem que compra"</formula>
    </cfRule>
    <cfRule type="expression" dxfId="1199" priority="800">
      <formula>G727 = "Atacado"</formula>
    </cfRule>
    <cfRule type="expression" dxfId="1198" priority="801">
      <formula>G727 = "Pedidos"</formula>
    </cfRule>
    <cfRule type="expression" dxfId="1197" priority="802">
      <formula>G727 = "Estoque"</formula>
    </cfRule>
    <cfRule type="expression" dxfId="1196" priority="803">
      <formula>G727 = "Pendente"</formula>
    </cfRule>
    <cfRule type="expression" dxfId="1195" priority="804">
      <formula>G727 = "Vendido"</formula>
    </cfRule>
  </conditionalFormatting>
  <conditionalFormatting sqref="G659">
    <cfRule type="expression" dxfId="1194" priority="783">
      <formula>G659 ="Loja"</formula>
    </cfRule>
    <cfRule type="expression" dxfId="1193" priority="784">
      <formula>G659 ="Entregar"</formula>
    </cfRule>
    <cfRule type="expression" dxfId="1192" priority="785">
      <formula>G659 = "Tem que compra"</formula>
    </cfRule>
    <cfRule type="expression" dxfId="1191" priority="786">
      <formula>G659 = "Atacado"</formula>
    </cfRule>
    <cfRule type="expression" dxfId="1190" priority="787">
      <formula>G659 = "Pedidos"</formula>
    </cfRule>
    <cfRule type="expression" dxfId="1189" priority="788">
      <formula>G659 = "Estoque"</formula>
    </cfRule>
    <cfRule type="expression" dxfId="1188" priority="789">
      <formula>G659 = "Pendente"</formula>
    </cfRule>
    <cfRule type="expression" dxfId="1187" priority="790">
      <formula>G659 = "Vendido"</formula>
    </cfRule>
  </conditionalFormatting>
  <conditionalFormatting sqref="G660">
    <cfRule type="expression" dxfId="1186" priority="769">
      <formula>G660 ="Loja"</formula>
    </cfRule>
    <cfRule type="expression" dxfId="1185" priority="770">
      <formula>G660 ="Entregar"</formula>
    </cfRule>
    <cfRule type="expression" dxfId="1184" priority="771">
      <formula>G660 = "Tem que compra"</formula>
    </cfRule>
    <cfRule type="expression" dxfId="1183" priority="772">
      <formula>G660 = "Atacado"</formula>
    </cfRule>
    <cfRule type="expression" dxfId="1182" priority="773">
      <formula>G660 = "Pedidos"</formula>
    </cfRule>
    <cfRule type="expression" dxfId="1181" priority="774">
      <formula>G660 = "Estoque"</formula>
    </cfRule>
    <cfRule type="expression" dxfId="1180" priority="775">
      <formula>G660 = "Pendente"</formula>
    </cfRule>
    <cfRule type="expression" dxfId="1179" priority="776">
      <formula>G660 = "Vendido"</formula>
    </cfRule>
  </conditionalFormatting>
  <conditionalFormatting sqref="G661">
    <cfRule type="expression" dxfId="1178" priority="755">
      <formula>G661 ="Loja"</formula>
    </cfRule>
    <cfRule type="expression" dxfId="1177" priority="756">
      <formula>G661 ="Entregar"</formula>
    </cfRule>
    <cfRule type="expression" dxfId="1176" priority="757">
      <formula>G661 = "Tem que compra"</formula>
    </cfRule>
    <cfRule type="expression" dxfId="1175" priority="758">
      <formula>G661 = "Atacado"</formula>
    </cfRule>
    <cfRule type="expression" dxfId="1174" priority="759">
      <formula>G661 = "Pedidos"</formula>
    </cfRule>
    <cfRule type="expression" dxfId="1173" priority="760">
      <formula>G661 = "Estoque"</formula>
    </cfRule>
    <cfRule type="expression" dxfId="1172" priority="761">
      <formula>G661 = "Pendente"</formula>
    </cfRule>
    <cfRule type="expression" dxfId="1171" priority="762">
      <formula>G661 = "Vendido"</formula>
    </cfRule>
  </conditionalFormatting>
  <conditionalFormatting sqref="G663">
    <cfRule type="expression" dxfId="1170" priority="741">
      <formula>G663 ="Loja"</formula>
    </cfRule>
    <cfRule type="expression" dxfId="1169" priority="742">
      <formula>G663 ="Entregar"</formula>
    </cfRule>
    <cfRule type="expression" dxfId="1168" priority="743">
      <formula>G663 = "Tem que compra"</formula>
    </cfRule>
    <cfRule type="expression" dxfId="1167" priority="744">
      <formula>G663 = "Atacado"</formula>
    </cfRule>
    <cfRule type="expression" dxfId="1166" priority="745">
      <formula>G663 = "Pedidos"</formula>
    </cfRule>
    <cfRule type="expression" dxfId="1165" priority="746">
      <formula>G663 = "Estoque"</formula>
    </cfRule>
    <cfRule type="expression" dxfId="1164" priority="747">
      <formula>G663 = "Pendente"</formula>
    </cfRule>
    <cfRule type="expression" dxfId="1163" priority="748">
      <formula>G663 = "Vendido"</formula>
    </cfRule>
  </conditionalFormatting>
  <conditionalFormatting sqref="G665">
    <cfRule type="expression" dxfId="1162" priority="727">
      <formula>G665 ="Loja"</formula>
    </cfRule>
    <cfRule type="expression" dxfId="1161" priority="728">
      <formula>G665 ="Entregar"</formula>
    </cfRule>
    <cfRule type="expression" dxfId="1160" priority="729">
      <formula>G665 = "Tem que compra"</formula>
    </cfRule>
    <cfRule type="expression" dxfId="1159" priority="730">
      <formula>G665 = "Atacado"</formula>
    </cfRule>
    <cfRule type="expression" dxfId="1158" priority="731">
      <formula>G665 = "Pedidos"</formula>
    </cfRule>
    <cfRule type="expression" dxfId="1157" priority="732">
      <formula>G665 = "Estoque"</formula>
    </cfRule>
    <cfRule type="expression" dxfId="1156" priority="733">
      <formula>G665 = "Pendente"</formula>
    </cfRule>
    <cfRule type="expression" dxfId="1155" priority="734">
      <formula>G665 = "Vendido"</formula>
    </cfRule>
  </conditionalFormatting>
  <conditionalFormatting sqref="G666">
    <cfRule type="expression" dxfId="1154" priority="719">
      <formula>G666 ="Loja"</formula>
    </cfRule>
    <cfRule type="expression" dxfId="1153" priority="720">
      <formula>G666 ="Entregar"</formula>
    </cfRule>
    <cfRule type="expression" dxfId="1152" priority="721">
      <formula>G666 = "Tem que compra"</formula>
    </cfRule>
    <cfRule type="expression" dxfId="1151" priority="722">
      <formula>G666 = "Atacado"</formula>
    </cfRule>
    <cfRule type="expression" dxfId="1150" priority="723">
      <formula>G666 = "Pedidos"</formula>
    </cfRule>
    <cfRule type="expression" dxfId="1149" priority="724">
      <formula>G666 = "Estoque"</formula>
    </cfRule>
    <cfRule type="expression" dxfId="1148" priority="725">
      <formula>G666 = "Pendente"</formula>
    </cfRule>
    <cfRule type="expression" dxfId="1147" priority="726">
      <formula>G666 = "Vendido"</formula>
    </cfRule>
  </conditionalFormatting>
  <conditionalFormatting sqref="G667">
    <cfRule type="expression" dxfId="1146" priority="711">
      <formula>G667 ="Loja"</formula>
    </cfRule>
    <cfRule type="expression" dxfId="1145" priority="712">
      <formula>G667 ="Entregar"</formula>
    </cfRule>
    <cfRule type="expression" dxfId="1144" priority="713">
      <formula>G667 = "Tem que compra"</formula>
    </cfRule>
    <cfRule type="expression" dxfId="1143" priority="714">
      <formula>G667 = "Atacado"</formula>
    </cfRule>
    <cfRule type="expression" dxfId="1142" priority="715">
      <formula>G667 = "Pedidos"</formula>
    </cfRule>
    <cfRule type="expression" dxfId="1141" priority="716">
      <formula>G667 = "Estoque"</formula>
    </cfRule>
    <cfRule type="expression" dxfId="1140" priority="717">
      <formula>G667 = "Pendente"</formula>
    </cfRule>
    <cfRule type="expression" dxfId="1139" priority="718">
      <formula>G667 = "Vendido"</formula>
    </cfRule>
  </conditionalFormatting>
  <conditionalFormatting sqref="G669">
    <cfRule type="expression" dxfId="1138" priority="697">
      <formula>G669 ="Loja"</formula>
    </cfRule>
    <cfRule type="expression" dxfId="1137" priority="698">
      <formula>G669 ="Entregar"</formula>
    </cfRule>
    <cfRule type="expression" dxfId="1136" priority="699">
      <formula>G669 = "Tem que compra"</formula>
    </cfRule>
    <cfRule type="expression" dxfId="1135" priority="700">
      <formula>G669 = "Atacado"</formula>
    </cfRule>
    <cfRule type="expression" dxfId="1134" priority="701">
      <formula>G669 = "Pedidos"</formula>
    </cfRule>
    <cfRule type="expression" dxfId="1133" priority="702">
      <formula>G669 = "Estoque"</formula>
    </cfRule>
    <cfRule type="expression" dxfId="1132" priority="703">
      <formula>G669 = "Pendente"</formula>
    </cfRule>
    <cfRule type="expression" dxfId="1131" priority="704">
      <formula>G669 = "Vendido"</formula>
    </cfRule>
  </conditionalFormatting>
  <conditionalFormatting sqref="G670">
    <cfRule type="expression" dxfId="1130" priority="683">
      <formula>G670 ="Loja"</formula>
    </cfRule>
    <cfRule type="expression" dxfId="1129" priority="684">
      <formula>G670 ="Entregar"</formula>
    </cfRule>
    <cfRule type="expression" dxfId="1128" priority="685">
      <formula>G670 = "Tem que compra"</formula>
    </cfRule>
    <cfRule type="expression" dxfId="1127" priority="686">
      <formula>G670 = "Atacado"</formula>
    </cfRule>
    <cfRule type="expression" dxfId="1126" priority="687">
      <formula>G670 = "Pedidos"</formula>
    </cfRule>
    <cfRule type="expression" dxfId="1125" priority="688">
      <formula>G670 = "Estoque"</formula>
    </cfRule>
    <cfRule type="expression" dxfId="1124" priority="689">
      <formula>G670 = "Pendente"</formula>
    </cfRule>
    <cfRule type="expression" dxfId="1123" priority="690">
      <formula>G670 = "Vendido"</formula>
    </cfRule>
  </conditionalFormatting>
  <conditionalFormatting sqref="G676">
    <cfRule type="expression" dxfId="1122" priority="669">
      <formula>G676 ="Loja"</formula>
    </cfRule>
    <cfRule type="expression" dxfId="1121" priority="670">
      <formula>G676 ="Entregar"</formula>
    </cfRule>
    <cfRule type="expression" dxfId="1120" priority="671">
      <formula>G676 = "Tem que compra"</formula>
    </cfRule>
    <cfRule type="expression" dxfId="1119" priority="672">
      <formula>G676 = "Atacado"</formula>
    </cfRule>
    <cfRule type="expression" dxfId="1118" priority="673">
      <formula>G676 = "Pedidos"</formula>
    </cfRule>
    <cfRule type="expression" dxfId="1117" priority="674">
      <formula>G676 = "Estoque"</formula>
    </cfRule>
    <cfRule type="expression" dxfId="1116" priority="675">
      <formula>G676 = "Pendente"</formula>
    </cfRule>
    <cfRule type="expression" dxfId="1115" priority="676">
      <formula>G676 = "Vendido"</formula>
    </cfRule>
  </conditionalFormatting>
  <conditionalFormatting sqref="G677">
    <cfRule type="expression" dxfId="1114" priority="655">
      <formula>G677 ="Loja"</formula>
    </cfRule>
    <cfRule type="expression" dxfId="1113" priority="656">
      <formula>G677 ="Entregar"</formula>
    </cfRule>
    <cfRule type="expression" dxfId="1112" priority="657">
      <formula>G677 = "Tem que compra"</formula>
    </cfRule>
    <cfRule type="expression" dxfId="1111" priority="658">
      <formula>G677 = "Atacado"</formula>
    </cfRule>
    <cfRule type="expression" dxfId="1110" priority="659">
      <formula>G677 = "Pedidos"</formula>
    </cfRule>
    <cfRule type="expression" dxfId="1109" priority="660">
      <formula>G677 = "Estoque"</formula>
    </cfRule>
    <cfRule type="expression" dxfId="1108" priority="661">
      <formula>G677 = "Pendente"</formula>
    </cfRule>
    <cfRule type="expression" dxfId="1107" priority="662">
      <formula>G677 = "Vendido"</formula>
    </cfRule>
  </conditionalFormatting>
  <conditionalFormatting sqref="G678">
    <cfRule type="expression" dxfId="1106" priority="647">
      <formula>G678 ="Loja"</formula>
    </cfRule>
    <cfRule type="expression" dxfId="1105" priority="648">
      <formula>G678 ="Entregar"</formula>
    </cfRule>
    <cfRule type="expression" dxfId="1104" priority="649">
      <formula>G678 = "Tem que compra"</formula>
    </cfRule>
    <cfRule type="expression" dxfId="1103" priority="650">
      <formula>G678 = "Atacado"</formula>
    </cfRule>
    <cfRule type="expression" dxfId="1102" priority="651">
      <formula>G678 = "Pedidos"</formula>
    </cfRule>
    <cfRule type="expression" dxfId="1101" priority="652">
      <formula>G678 = "Estoque"</formula>
    </cfRule>
    <cfRule type="expression" dxfId="1100" priority="653">
      <formula>G678 = "Pendente"</formula>
    </cfRule>
    <cfRule type="expression" dxfId="1099" priority="654">
      <formula>G678 = "Vendido"</formula>
    </cfRule>
  </conditionalFormatting>
  <conditionalFormatting sqref="G679">
    <cfRule type="expression" dxfId="1098" priority="633">
      <formula>G679 ="Loja"</formula>
    </cfRule>
    <cfRule type="expression" dxfId="1097" priority="634">
      <formula>G679 ="Entregar"</formula>
    </cfRule>
    <cfRule type="expression" dxfId="1096" priority="635">
      <formula>G679 = "Tem que compra"</formula>
    </cfRule>
    <cfRule type="expression" dxfId="1095" priority="636">
      <formula>G679 = "Atacado"</formula>
    </cfRule>
    <cfRule type="expression" dxfId="1094" priority="637">
      <formula>G679 = "Pedidos"</formula>
    </cfRule>
    <cfRule type="expression" dxfId="1093" priority="638">
      <formula>G679 = "Estoque"</formula>
    </cfRule>
    <cfRule type="expression" dxfId="1092" priority="639">
      <formula>G679 = "Pendente"</formula>
    </cfRule>
    <cfRule type="expression" dxfId="1091" priority="640">
      <formula>G679 = "Vendido"</formula>
    </cfRule>
  </conditionalFormatting>
  <conditionalFormatting sqref="G680">
    <cfRule type="expression" dxfId="1090" priority="625">
      <formula>G680 ="Loja"</formula>
    </cfRule>
    <cfRule type="expression" dxfId="1089" priority="626">
      <formula>G680 ="Entregar"</formula>
    </cfRule>
    <cfRule type="expression" dxfId="1088" priority="627">
      <formula>G680 = "Tem que compra"</formula>
    </cfRule>
    <cfRule type="expression" dxfId="1087" priority="628">
      <formula>G680 = "Atacado"</formula>
    </cfRule>
    <cfRule type="expression" dxfId="1086" priority="629">
      <formula>G680 = "Pedidos"</formula>
    </cfRule>
    <cfRule type="expression" dxfId="1085" priority="630">
      <formula>G680 = "Estoque"</formula>
    </cfRule>
    <cfRule type="expression" dxfId="1084" priority="631">
      <formula>G680 = "Pendente"</formula>
    </cfRule>
    <cfRule type="expression" dxfId="1083" priority="632">
      <formula>G680 = "Vendido"</formula>
    </cfRule>
  </conditionalFormatting>
  <conditionalFormatting sqref="G683">
    <cfRule type="expression" dxfId="1082" priority="617">
      <formula>G683 ="Loja"</formula>
    </cfRule>
    <cfRule type="expression" dxfId="1081" priority="618">
      <formula>G683 ="Entregar"</formula>
    </cfRule>
    <cfRule type="expression" dxfId="1080" priority="619">
      <formula>G683 = "Tem que compra"</formula>
    </cfRule>
    <cfRule type="expression" dxfId="1079" priority="620">
      <formula>G683 = "Atacado"</formula>
    </cfRule>
    <cfRule type="expression" dxfId="1078" priority="621">
      <formula>G683 = "Pedidos"</formula>
    </cfRule>
    <cfRule type="expression" dxfId="1077" priority="622">
      <formula>G683 = "Estoque"</formula>
    </cfRule>
    <cfRule type="expression" dxfId="1076" priority="623">
      <formula>G683 = "Pendente"</formula>
    </cfRule>
    <cfRule type="expression" dxfId="1075" priority="624">
      <formula>G683 = "Vendido"</formula>
    </cfRule>
  </conditionalFormatting>
  <conditionalFormatting sqref="G684">
    <cfRule type="expression" dxfId="1074" priority="567">
      <formula>G684 ="Loja"</formula>
    </cfRule>
    <cfRule type="expression" dxfId="1073" priority="568">
      <formula>G684 ="Entregar"</formula>
    </cfRule>
    <cfRule type="expression" dxfId="1072" priority="569">
      <formula>G684 = "Tem que compra"</formula>
    </cfRule>
    <cfRule type="expression" dxfId="1071" priority="570">
      <formula>G684 = "Atacado"</formula>
    </cfRule>
    <cfRule type="expression" dxfId="1070" priority="571">
      <formula>G684 = "Pedidos"</formula>
    </cfRule>
    <cfRule type="expression" dxfId="1069" priority="572">
      <formula>G684 = "Estoque"</formula>
    </cfRule>
    <cfRule type="expression" dxfId="1068" priority="573">
      <formula>G684 = "Pendente"</formula>
    </cfRule>
    <cfRule type="expression" dxfId="1067" priority="574">
      <formula>G684 = "Vendido"</formula>
    </cfRule>
  </conditionalFormatting>
  <conditionalFormatting sqref="G685">
    <cfRule type="expression" dxfId="1066" priority="559">
      <formula>G685 ="Loja"</formula>
    </cfRule>
    <cfRule type="expression" dxfId="1065" priority="560">
      <formula>G685 ="Entregar"</formula>
    </cfRule>
    <cfRule type="expression" dxfId="1064" priority="561">
      <formula>G685 = "Tem que compra"</formula>
    </cfRule>
    <cfRule type="expression" dxfId="1063" priority="562">
      <formula>G685 = "Atacado"</formula>
    </cfRule>
    <cfRule type="expression" dxfId="1062" priority="563">
      <formula>G685 = "Pedidos"</formula>
    </cfRule>
    <cfRule type="expression" dxfId="1061" priority="564">
      <formula>G685 = "Estoque"</formula>
    </cfRule>
    <cfRule type="expression" dxfId="1060" priority="565">
      <formula>G685 = "Pendente"</formula>
    </cfRule>
    <cfRule type="expression" dxfId="1059" priority="566">
      <formula>G685 = "Vendido"</formula>
    </cfRule>
  </conditionalFormatting>
  <conditionalFormatting sqref="A726">
    <cfRule type="expression" dxfId="1058" priority="541">
      <formula>G726 = "Vendido"</formula>
    </cfRule>
    <cfRule type="expression" dxfId="1057" priority="542">
      <formula>G726 = "Estoque"</formula>
    </cfRule>
    <cfRule type="expression" dxfId="1056" priority="543">
      <formula>G726 = "Pendente"</formula>
    </cfRule>
    <cfRule type="expression" dxfId="1055" priority="544">
      <formula>G726 = "Tem que compra"</formula>
    </cfRule>
    <cfRule type="expression" dxfId="1054" priority="545">
      <formula>G726 = "Atacado"</formula>
    </cfRule>
    <cfRule type="expression" dxfId="1053" priority="546">
      <formula>G726 = "Loja"</formula>
    </cfRule>
  </conditionalFormatting>
  <conditionalFormatting sqref="G726">
    <cfRule type="expression" dxfId="1052" priority="527">
      <formula>G726 ="Loja"</formula>
    </cfRule>
    <cfRule type="expression" dxfId="1051" priority="528">
      <formula>G726 ="Entregar"</formula>
    </cfRule>
    <cfRule type="expression" dxfId="1050" priority="529">
      <formula>G726 = "Tem que compra"</formula>
    </cfRule>
    <cfRule type="expression" dxfId="1049" priority="530">
      <formula>G726 = "Atacado"</formula>
    </cfRule>
    <cfRule type="expression" dxfId="1048" priority="531">
      <formula>G726 = "Pedidos"</formula>
    </cfRule>
    <cfRule type="expression" dxfId="1047" priority="532">
      <formula>G726 = "Estoque"</formula>
    </cfRule>
    <cfRule type="expression" dxfId="1046" priority="533">
      <formula>G726 = "Pendente"</formula>
    </cfRule>
    <cfRule type="expression" dxfId="1045" priority="534">
      <formula>G726 = "Vendido"</formula>
    </cfRule>
  </conditionalFormatting>
  <conditionalFormatting sqref="G726">
    <cfRule type="expression" dxfId="1044" priority="519">
      <formula>G726 ="Loja"</formula>
    </cfRule>
    <cfRule type="expression" dxfId="1043" priority="520">
      <formula>G726 ="Entregar"</formula>
    </cfRule>
    <cfRule type="expression" dxfId="1042" priority="521">
      <formula>G726 = "Tem que compra"</formula>
    </cfRule>
    <cfRule type="expression" dxfId="1041" priority="522">
      <formula>G726 = "Atacado"</formula>
    </cfRule>
    <cfRule type="expression" dxfId="1040" priority="523">
      <formula>G726 = "Pedidos"</formula>
    </cfRule>
    <cfRule type="expression" dxfId="1039" priority="524">
      <formula>G726 = "Estoque"</formula>
    </cfRule>
    <cfRule type="expression" dxfId="1038" priority="525">
      <formula>G726 = "Pendente"</formula>
    </cfRule>
    <cfRule type="expression" dxfId="1037" priority="526">
      <formula>G726 = "Vendido"</formula>
    </cfRule>
  </conditionalFormatting>
  <conditionalFormatting sqref="G728 G732 G734:G737 G740:G751">
    <cfRule type="expression" dxfId="1036" priority="505">
      <formula>G728 ="Loja"</formula>
    </cfRule>
    <cfRule type="expression" dxfId="1035" priority="506">
      <formula>G728 ="Entregar"</formula>
    </cfRule>
    <cfRule type="expression" dxfId="1034" priority="507">
      <formula>G728 = "Tem que compra"</formula>
    </cfRule>
    <cfRule type="expression" dxfId="1033" priority="508">
      <formula>G728 = "Atacado"</formula>
    </cfRule>
    <cfRule type="expression" dxfId="1032" priority="509">
      <formula>G728 = "Pedidos"</formula>
    </cfRule>
    <cfRule type="expression" dxfId="1031" priority="510">
      <formula>G728 = "Estoque"</formula>
    </cfRule>
    <cfRule type="expression" dxfId="1030" priority="511">
      <formula>G728 = "Pendente"</formula>
    </cfRule>
    <cfRule type="expression" dxfId="1029" priority="512">
      <formula>G728 = "Vendido"</formula>
    </cfRule>
  </conditionalFormatting>
  <conditionalFormatting sqref="G729">
    <cfRule type="expression" dxfId="1028" priority="497">
      <formula>G729 ="Loja"</formula>
    </cfRule>
    <cfRule type="expression" dxfId="1027" priority="498">
      <formula>G729 ="Entregar"</formula>
    </cfRule>
    <cfRule type="expression" dxfId="1026" priority="499">
      <formula>G729 = "Tem que compra"</formula>
    </cfRule>
    <cfRule type="expression" dxfId="1025" priority="500">
      <formula>G729 = "Atacado"</formula>
    </cfRule>
    <cfRule type="expression" dxfId="1024" priority="501">
      <formula>G729 = "Pedidos"</formula>
    </cfRule>
    <cfRule type="expression" dxfId="1023" priority="502">
      <formula>G729 = "Estoque"</formula>
    </cfRule>
    <cfRule type="expression" dxfId="1022" priority="503">
      <formula>G729 = "Pendente"</formula>
    </cfRule>
    <cfRule type="expression" dxfId="1021" priority="504">
      <formula>G729 = "Vendido"</formula>
    </cfRule>
  </conditionalFormatting>
  <conditionalFormatting sqref="G729">
    <cfRule type="expression" dxfId="1020" priority="489">
      <formula>G729 ="Loja"</formula>
    </cfRule>
    <cfRule type="expression" dxfId="1019" priority="490">
      <formula>G729 ="Entregar"</formula>
    </cfRule>
    <cfRule type="expression" dxfId="1018" priority="491">
      <formula>G729 = "Tem que compra"</formula>
    </cfRule>
    <cfRule type="expression" dxfId="1017" priority="492">
      <formula>G729 = "Atacado"</formula>
    </cfRule>
    <cfRule type="expression" dxfId="1016" priority="493">
      <formula>G729 = "Pedidos"</formula>
    </cfRule>
    <cfRule type="expression" dxfId="1015" priority="494">
      <formula>G729 = "Estoque"</formula>
    </cfRule>
    <cfRule type="expression" dxfId="1014" priority="495">
      <formula>G729 = "Pendente"</formula>
    </cfRule>
    <cfRule type="expression" dxfId="1013" priority="496">
      <formula>G729 = "Vendido"</formula>
    </cfRule>
  </conditionalFormatting>
  <conditionalFormatting sqref="G730">
    <cfRule type="expression" dxfId="1012" priority="481">
      <formula>G730 ="Loja"</formula>
    </cfRule>
    <cfRule type="expression" dxfId="1011" priority="482">
      <formula>G730 ="Entregar"</formula>
    </cfRule>
    <cfRule type="expression" dxfId="1010" priority="483">
      <formula>G730 = "Tem que compra"</formula>
    </cfRule>
    <cfRule type="expression" dxfId="1009" priority="484">
      <formula>G730 = "Atacado"</formula>
    </cfRule>
    <cfRule type="expression" dxfId="1008" priority="485">
      <formula>G730 = "Pedidos"</formula>
    </cfRule>
    <cfRule type="expression" dxfId="1007" priority="486">
      <formula>G730 = "Estoque"</formula>
    </cfRule>
    <cfRule type="expression" dxfId="1006" priority="487">
      <formula>G730 = "Pendente"</formula>
    </cfRule>
    <cfRule type="expression" dxfId="1005" priority="488">
      <formula>G730 = "Vendido"</formula>
    </cfRule>
  </conditionalFormatting>
  <conditionalFormatting sqref="G730">
    <cfRule type="expression" dxfId="1004" priority="473">
      <formula>G730 ="Loja"</formula>
    </cfRule>
    <cfRule type="expression" dxfId="1003" priority="474">
      <formula>G730 ="Entregar"</formula>
    </cfRule>
    <cfRule type="expression" dxfId="1002" priority="475">
      <formula>G730 = "Tem que compra"</formula>
    </cfRule>
    <cfRule type="expression" dxfId="1001" priority="476">
      <formula>G730 = "Atacado"</formula>
    </cfRule>
    <cfRule type="expression" dxfId="1000" priority="477">
      <formula>G730 = "Pedidos"</formula>
    </cfRule>
    <cfRule type="expression" dxfId="999" priority="478">
      <formula>G730 = "Estoque"</formula>
    </cfRule>
    <cfRule type="expression" dxfId="998" priority="479">
      <formula>G730 = "Pendente"</formula>
    </cfRule>
    <cfRule type="expression" dxfId="997" priority="480">
      <formula>G730 = "Vendido"</formula>
    </cfRule>
  </conditionalFormatting>
  <conditionalFormatting sqref="G731">
    <cfRule type="expression" dxfId="996" priority="465">
      <formula>G731 ="Loja"</formula>
    </cfRule>
    <cfRule type="expression" dxfId="995" priority="466">
      <formula>G731 ="Entregar"</formula>
    </cfRule>
    <cfRule type="expression" dxfId="994" priority="467">
      <formula>G731 = "Tem que compra"</formula>
    </cfRule>
    <cfRule type="expression" dxfId="993" priority="468">
      <formula>G731 = "Atacado"</formula>
    </cfRule>
    <cfRule type="expression" dxfId="992" priority="469">
      <formula>G731 = "Pedidos"</formula>
    </cfRule>
    <cfRule type="expression" dxfId="991" priority="470">
      <formula>G731 = "Estoque"</formula>
    </cfRule>
    <cfRule type="expression" dxfId="990" priority="471">
      <formula>G731 = "Pendente"</formula>
    </cfRule>
    <cfRule type="expression" dxfId="989" priority="472">
      <formula>G731 = "Vendido"</formula>
    </cfRule>
  </conditionalFormatting>
  <conditionalFormatting sqref="G731">
    <cfRule type="expression" dxfId="988" priority="457">
      <formula>G731 ="Loja"</formula>
    </cfRule>
    <cfRule type="expression" dxfId="987" priority="458">
      <formula>G731 ="Entregar"</formula>
    </cfRule>
    <cfRule type="expression" dxfId="986" priority="459">
      <formula>G731 = "Tem que compra"</formula>
    </cfRule>
    <cfRule type="expression" dxfId="985" priority="460">
      <formula>G731 = "Atacado"</formula>
    </cfRule>
    <cfRule type="expression" dxfId="984" priority="461">
      <formula>G731 = "Pedidos"</formula>
    </cfRule>
    <cfRule type="expression" dxfId="983" priority="462">
      <formula>G731 = "Estoque"</formula>
    </cfRule>
    <cfRule type="expression" dxfId="982" priority="463">
      <formula>G731 = "Pendente"</formula>
    </cfRule>
    <cfRule type="expression" dxfId="981" priority="464">
      <formula>G731 = "Vendido"</formula>
    </cfRule>
  </conditionalFormatting>
  <conditionalFormatting sqref="G733">
    <cfRule type="expression" dxfId="980" priority="443">
      <formula>G733 ="Loja"</formula>
    </cfRule>
    <cfRule type="expression" dxfId="979" priority="444">
      <formula>G733 ="Entregar"</formula>
    </cfRule>
    <cfRule type="expression" dxfId="978" priority="445">
      <formula>G733 = "Tem que compra"</formula>
    </cfRule>
    <cfRule type="expression" dxfId="977" priority="446">
      <formula>G733 = "Atacado"</formula>
    </cfRule>
    <cfRule type="expression" dxfId="976" priority="447">
      <formula>G733 = "Pedidos"</formula>
    </cfRule>
    <cfRule type="expression" dxfId="975" priority="448">
      <formula>G733 = "Estoque"</formula>
    </cfRule>
    <cfRule type="expression" dxfId="974" priority="449">
      <formula>G733 = "Pendente"</formula>
    </cfRule>
    <cfRule type="expression" dxfId="973" priority="450">
      <formula>G733 = "Vendido"</formula>
    </cfRule>
  </conditionalFormatting>
  <conditionalFormatting sqref="G733">
    <cfRule type="expression" dxfId="972" priority="435">
      <formula>G733 ="Loja"</formula>
    </cfRule>
    <cfRule type="expression" dxfId="971" priority="436">
      <formula>G733 ="Entregar"</formula>
    </cfRule>
    <cfRule type="expression" dxfId="970" priority="437">
      <formula>G733 = "Tem que compra"</formula>
    </cfRule>
    <cfRule type="expression" dxfId="969" priority="438">
      <formula>G733 = "Atacado"</formula>
    </cfRule>
    <cfRule type="expression" dxfId="968" priority="439">
      <formula>G733 = "Pedidos"</formula>
    </cfRule>
    <cfRule type="expression" dxfId="967" priority="440">
      <formula>G733 = "Estoque"</formula>
    </cfRule>
    <cfRule type="expression" dxfId="966" priority="441">
      <formula>G733 = "Pendente"</formula>
    </cfRule>
    <cfRule type="expression" dxfId="965" priority="442">
      <formula>G733 = "Vendido"</formula>
    </cfRule>
  </conditionalFormatting>
  <conditionalFormatting sqref="G738">
    <cfRule type="expression" dxfId="964" priority="421">
      <formula>G738 ="Loja"</formula>
    </cfRule>
    <cfRule type="expression" dxfId="963" priority="422">
      <formula>G738 ="Entregar"</formula>
    </cfRule>
    <cfRule type="expression" dxfId="962" priority="423">
      <formula>G738 = "Tem que compra"</formula>
    </cfRule>
    <cfRule type="expression" dxfId="961" priority="424">
      <formula>G738 = "Atacado"</formula>
    </cfRule>
    <cfRule type="expression" dxfId="960" priority="425">
      <formula>G738 = "Pedidos"</formula>
    </cfRule>
    <cfRule type="expression" dxfId="959" priority="426">
      <formula>G738 = "Estoque"</formula>
    </cfRule>
    <cfRule type="expression" dxfId="958" priority="427">
      <formula>G738 = "Pendente"</formula>
    </cfRule>
    <cfRule type="expression" dxfId="957" priority="428">
      <formula>G738 = "Vendido"</formula>
    </cfRule>
  </conditionalFormatting>
  <conditionalFormatting sqref="G739">
    <cfRule type="expression" dxfId="956" priority="413">
      <formula>G739 ="Loja"</formula>
    </cfRule>
    <cfRule type="expression" dxfId="955" priority="414">
      <formula>G739 ="Entregar"</formula>
    </cfRule>
    <cfRule type="expression" dxfId="954" priority="415">
      <formula>G739 = "Tem que compra"</formula>
    </cfRule>
    <cfRule type="expression" dxfId="953" priority="416">
      <formula>G739 = "Atacado"</formula>
    </cfRule>
    <cfRule type="expression" dxfId="952" priority="417">
      <formula>G739 = "Pedidos"</formula>
    </cfRule>
    <cfRule type="expression" dxfId="951" priority="418">
      <formula>G739 = "Estoque"</formula>
    </cfRule>
    <cfRule type="expression" dxfId="950" priority="419">
      <formula>G739 = "Pendente"</formula>
    </cfRule>
    <cfRule type="expression" dxfId="949" priority="420">
      <formula>G739 = "Vendido"</formula>
    </cfRule>
  </conditionalFormatting>
  <conditionalFormatting sqref="G752:G796">
    <cfRule type="expression" dxfId="948" priority="385">
      <formula>G752 ="Loja"</formula>
    </cfRule>
    <cfRule type="expression" dxfId="947" priority="386">
      <formula>G752 ="Entregar"</formula>
    </cfRule>
    <cfRule type="expression" dxfId="946" priority="387">
      <formula>G752 = "Tem que compra"</formula>
    </cfRule>
    <cfRule type="expression" dxfId="945" priority="388">
      <formula>G752 = "Atacado"</formula>
    </cfRule>
    <cfRule type="expression" dxfId="944" priority="389">
      <formula>G752 = "Pedidos"</formula>
    </cfRule>
    <cfRule type="expression" dxfId="943" priority="390">
      <formula>G752 = "Estoque"</formula>
    </cfRule>
    <cfRule type="expression" dxfId="942" priority="391">
      <formula>G752 = "Pendente"</formula>
    </cfRule>
    <cfRule type="expression" dxfId="941" priority="392">
      <formula>G752 = "Vendido"</formula>
    </cfRule>
  </conditionalFormatting>
  <conditionalFormatting sqref="G797">
    <cfRule type="expression" dxfId="940" priority="365">
      <formula>G797 ="Loja"</formula>
    </cfRule>
    <cfRule type="expression" dxfId="939" priority="366">
      <formula>G797 ="Entregar"</formula>
    </cfRule>
    <cfRule type="expression" dxfId="938" priority="367">
      <formula>G797 = "Tem que compra"</formula>
    </cfRule>
    <cfRule type="expression" dxfId="937" priority="368">
      <formula>G797 = "Atacado"</formula>
    </cfRule>
    <cfRule type="expression" dxfId="936" priority="369">
      <formula>G797 = "Pedidos"</formula>
    </cfRule>
    <cfRule type="expression" dxfId="935" priority="370">
      <formula>G797 = "Estoque"</formula>
    </cfRule>
    <cfRule type="expression" dxfId="934" priority="371">
      <formula>G797 = "Pendente"</formula>
    </cfRule>
    <cfRule type="expression" dxfId="933" priority="372">
      <formula>G797 = "Vendido"</formula>
    </cfRule>
  </conditionalFormatting>
  <conditionalFormatting sqref="G797">
    <cfRule type="expression" dxfId="932" priority="357">
      <formula>G797 ="Loja"</formula>
    </cfRule>
    <cfRule type="expression" dxfId="931" priority="358">
      <formula>G797 ="Entregar"</formula>
    </cfRule>
    <cfRule type="expression" dxfId="930" priority="359">
      <formula>G797 = "Tem que compra"</formula>
    </cfRule>
    <cfRule type="expression" dxfId="929" priority="360">
      <formula>G797 = "Atacado"</formula>
    </cfRule>
    <cfRule type="expression" dxfId="928" priority="361">
      <formula>G797 = "Pedidos"</formula>
    </cfRule>
    <cfRule type="expression" dxfId="927" priority="362">
      <formula>G797 = "Estoque"</formula>
    </cfRule>
    <cfRule type="expression" dxfId="926" priority="363">
      <formula>G797 = "Pendente"</formula>
    </cfRule>
    <cfRule type="expression" dxfId="925" priority="364">
      <formula>G797 = "Vendido"</formula>
    </cfRule>
  </conditionalFormatting>
  <conditionalFormatting sqref="A797">
    <cfRule type="expression" dxfId="924" priority="351">
      <formula>H797 = "Vendido"</formula>
    </cfRule>
    <cfRule type="expression" dxfId="923" priority="352">
      <formula>H797 = "Estoque"</formula>
    </cfRule>
    <cfRule type="expression" dxfId="922" priority="353">
      <formula>H797 = "Pendente"</formula>
    </cfRule>
    <cfRule type="expression" dxfId="921" priority="354">
      <formula>H797 = "Tem que compra"</formula>
    </cfRule>
    <cfRule type="expression" dxfId="920" priority="355">
      <formula>H797 = "Atacado"</formula>
    </cfRule>
    <cfRule type="expression" dxfId="919" priority="356">
      <formula>H797 = "Loja"</formula>
    </cfRule>
  </conditionalFormatting>
  <conditionalFormatting sqref="D814:D818 D820:D822 G814:G821 D824:D827">
    <cfRule type="expression" dxfId="918" priority="337">
      <formula>D814 ="Loja"</formula>
    </cfRule>
    <cfRule type="expression" dxfId="917" priority="338">
      <formula>D814 ="Entregar"</formula>
    </cfRule>
    <cfRule type="expression" dxfId="916" priority="339">
      <formula>D814 = "Tem que compra"</formula>
    </cfRule>
    <cfRule type="expression" dxfId="915" priority="340">
      <formula>D814 = "Atacado"</formula>
    </cfRule>
    <cfRule type="expression" dxfId="914" priority="341">
      <formula>D814 = "Pedidos"</formula>
    </cfRule>
    <cfRule type="expression" dxfId="913" priority="342">
      <formula>D814 = "Estoque"</formula>
    </cfRule>
    <cfRule type="expression" dxfId="912" priority="343">
      <formula>D814 = "Pendente"</formula>
    </cfRule>
    <cfRule type="expression" dxfId="911" priority="344">
      <formula>D814 = "Vendido"</formula>
    </cfRule>
  </conditionalFormatting>
  <conditionalFormatting sqref="G824 G827">
    <cfRule type="expression" dxfId="910" priority="329">
      <formula>G824 ="Loja"</formula>
    </cfRule>
    <cfRule type="expression" dxfId="909" priority="330">
      <formula>G824 ="Entregar"</formula>
    </cfRule>
    <cfRule type="expression" dxfId="908" priority="331">
      <formula>G824 = "Tem que compra"</formula>
    </cfRule>
    <cfRule type="expression" dxfId="907" priority="332">
      <formula>G824 = "Atacado"</formula>
    </cfRule>
    <cfRule type="expression" dxfId="906" priority="333">
      <formula>G824 = "Pedidos"</formula>
    </cfRule>
    <cfRule type="expression" dxfId="905" priority="334">
      <formula>G824 = "Estoque"</formula>
    </cfRule>
    <cfRule type="expression" dxfId="904" priority="335">
      <formula>G824 = "Pendente"</formula>
    </cfRule>
    <cfRule type="expression" dxfId="903" priority="336">
      <formula>G824 = "Vendido"</formula>
    </cfRule>
  </conditionalFormatting>
  <conditionalFormatting sqref="G822">
    <cfRule type="expression" dxfId="902" priority="305">
      <formula>G822 ="Loja"</formula>
    </cfRule>
    <cfRule type="expression" dxfId="901" priority="306">
      <formula>G822 ="Entregar"</formula>
    </cfRule>
    <cfRule type="expression" dxfId="900" priority="307">
      <formula>G822 = "Tem que compra"</formula>
    </cfRule>
    <cfRule type="expression" dxfId="899" priority="308">
      <formula>G822 = "Atacado"</formula>
    </cfRule>
    <cfRule type="expression" dxfId="898" priority="309">
      <formula>G822 = "Pedidos"</formula>
    </cfRule>
    <cfRule type="expression" dxfId="897" priority="310">
      <formula>G822 = "Estoque"</formula>
    </cfRule>
    <cfRule type="expression" dxfId="896" priority="311">
      <formula>G822 = "Pendente"</formula>
    </cfRule>
    <cfRule type="expression" dxfId="895" priority="312">
      <formula>G822 = "Vendido"</formula>
    </cfRule>
  </conditionalFormatting>
  <conditionalFormatting sqref="G875:G1048576 G1:G827">
    <cfRule type="expression" dxfId="894" priority="6420">
      <formula>G1 = "Tem que compra"</formula>
    </cfRule>
    <cfRule type="expression" dxfId="893" priority="6422">
      <formula>G1 = "Pedidos"</formula>
    </cfRule>
    <cfRule type="expression" dxfId="892" priority="6423">
      <formula>G1 = "Estoque"</formula>
    </cfRule>
    <cfRule type="expression" dxfId="891" priority="6424">
      <formula>G1 = "Pendente"</formula>
    </cfRule>
    <cfRule type="expression" dxfId="890" priority="6425">
      <formula>G1 = "Vendido"</formula>
    </cfRule>
  </conditionalFormatting>
  <conditionalFormatting sqref="D828">
    <cfRule type="expression" dxfId="889" priority="11">
      <formula>D828 ="Loja"</formula>
    </cfRule>
    <cfRule type="expression" dxfId="888" priority="12">
      <formula>D828 ="Entregar"</formula>
    </cfRule>
    <cfRule type="expression" dxfId="887" priority="13">
      <formula>D828 = "Tem que compra"</formula>
    </cfRule>
    <cfRule type="expression" dxfId="886" priority="14">
      <formula>D828 = "Atacado"</formula>
    </cfRule>
    <cfRule type="expression" dxfId="885" priority="15">
      <formula>D828 = "Pedidos"</formula>
    </cfRule>
    <cfRule type="expression" dxfId="884" priority="16">
      <formula>D828 = "Estoque"</formula>
    </cfRule>
    <cfRule type="expression" dxfId="883" priority="17">
      <formula>D828 = "Pendente"</formula>
    </cfRule>
    <cfRule type="expression" dxfId="882" priority="18">
      <formula>D828 = "Vendido"</formula>
    </cfRule>
  </conditionalFormatting>
  <conditionalFormatting sqref="G828:G874">
    <cfRule type="expression" dxfId="881" priority="26">
      <formula>G828 = "Pedidos"</formula>
    </cfRule>
    <cfRule type="expression" dxfId="880" priority="27">
      <formula>G828 = "Estoque"</formula>
    </cfRule>
    <cfRule type="expression" dxfId="879" priority="28">
      <formula>G828 = "Pendente"</formula>
    </cfRule>
    <cfRule type="expression" dxfId="878" priority="29">
      <formula>G828 = "Vendido"</formula>
    </cfRule>
  </conditionalFormatting>
  <conditionalFormatting sqref="B1:B1048576">
    <cfRule type="expression" dxfId="877" priority="6426">
      <formula>G1 = "Vendido"</formula>
    </cfRule>
    <cfRule type="expression" dxfId="876" priority="6427">
      <formula>G1 = "Estoque"</formula>
    </cfRule>
    <cfRule type="expression" dxfId="875" priority="6428">
      <formula>G1 = "Pendente"</formula>
    </cfRule>
    <cfRule type="expression" dxfId="874" priority="6429">
      <formula>G1 = "Tem que compra"</formula>
    </cfRule>
    <cfRule type="expression" dxfId="873" priority="6430">
      <formula>G1 = "Atacado"</formula>
    </cfRule>
    <cfRule type="expression" dxfId="872" priority="6431">
      <formula>G1 = "Loja"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5F8A-409D-403E-8B60-967D4F41D948}">
  <dimension ref="A3:F1011"/>
  <sheetViews>
    <sheetView topLeftCell="A61" workbookViewId="0">
      <selection activeCell="D16" sqref="D16"/>
    </sheetView>
  </sheetViews>
  <sheetFormatPr defaultRowHeight="15" x14ac:dyDescent="0.25"/>
  <cols>
    <col min="1" max="1" width="47.5703125" customWidth="1"/>
    <col min="2" max="2" width="18.85546875" style="66" bestFit="1" customWidth="1"/>
    <col min="3" max="3" width="18.42578125" style="114" bestFit="1" customWidth="1"/>
    <col min="4" max="4" width="20.28515625" style="114" bestFit="1" customWidth="1"/>
    <col min="5" max="5" width="20.7109375" style="114" bestFit="1" customWidth="1"/>
    <col min="6" max="6" width="25.7109375" bestFit="1" customWidth="1"/>
  </cols>
  <sheetData>
    <row r="3" spans="1:6" x14ac:dyDescent="0.25">
      <c r="A3" s="174" t="s">
        <v>503</v>
      </c>
      <c r="B3" s="50" t="s">
        <v>506</v>
      </c>
      <c r="C3" s="37" t="s">
        <v>511</v>
      </c>
      <c r="D3" s="37" t="s">
        <v>512</v>
      </c>
      <c r="E3" s="37" t="s">
        <v>513</v>
      </c>
      <c r="F3" s="50" t="s">
        <v>514</v>
      </c>
    </row>
    <row r="4" spans="1:6" x14ac:dyDescent="0.25">
      <c r="A4" s="175" t="s">
        <v>91</v>
      </c>
      <c r="B4" s="176"/>
      <c r="C4" s="37">
        <v>2.5</v>
      </c>
      <c r="D4" s="37">
        <v>13.32</v>
      </c>
      <c r="E4" s="37">
        <v>10.82</v>
      </c>
      <c r="F4" s="176">
        <v>1</v>
      </c>
    </row>
    <row r="5" spans="1:6" x14ac:dyDescent="0.25">
      <c r="A5" s="175" t="s">
        <v>132</v>
      </c>
      <c r="B5" s="176">
        <v>31</v>
      </c>
      <c r="C5" s="37">
        <v>176</v>
      </c>
      <c r="D5" s="37">
        <v>361.72219999999999</v>
      </c>
      <c r="E5" s="37">
        <v>191.06220000000002</v>
      </c>
      <c r="F5" s="176">
        <v>6</v>
      </c>
    </row>
    <row r="6" spans="1:6" x14ac:dyDescent="0.25">
      <c r="A6" s="175" t="s">
        <v>366</v>
      </c>
      <c r="B6" s="176">
        <v>2</v>
      </c>
      <c r="C6" s="37">
        <v>6</v>
      </c>
      <c r="D6" s="37">
        <v>40.26</v>
      </c>
      <c r="E6" s="37">
        <v>28.259999999999998</v>
      </c>
      <c r="F6" s="176">
        <v>1</v>
      </c>
    </row>
    <row r="7" spans="1:6" x14ac:dyDescent="0.25">
      <c r="A7" s="175" t="s">
        <v>244</v>
      </c>
      <c r="B7" s="176"/>
      <c r="C7" s="37">
        <v>14</v>
      </c>
      <c r="D7" s="37">
        <v>20</v>
      </c>
      <c r="E7" s="37">
        <v>6</v>
      </c>
      <c r="F7" s="176">
        <v>1</v>
      </c>
    </row>
    <row r="8" spans="1:6" x14ac:dyDescent="0.25">
      <c r="A8" s="175" t="s">
        <v>360</v>
      </c>
      <c r="B8" s="176">
        <v>1</v>
      </c>
      <c r="C8" s="37">
        <v>2.5</v>
      </c>
      <c r="D8" s="37">
        <v>8.32</v>
      </c>
      <c r="E8" s="37">
        <v>5.82</v>
      </c>
      <c r="F8" s="176">
        <v>1</v>
      </c>
    </row>
    <row r="9" spans="1:6" x14ac:dyDescent="0.25">
      <c r="A9" s="175" t="s">
        <v>214</v>
      </c>
      <c r="B9" s="176">
        <v>1</v>
      </c>
      <c r="C9" s="37">
        <v>13</v>
      </c>
      <c r="D9" s="37">
        <v>34.56</v>
      </c>
      <c r="E9" s="37">
        <v>21.56</v>
      </c>
      <c r="F9" s="176">
        <v>3</v>
      </c>
    </row>
    <row r="10" spans="1:6" x14ac:dyDescent="0.25">
      <c r="A10" s="175" t="s">
        <v>92</v>
      </c>
      <c r="B10" s="176">
        <v>1</v>
      </c>
      <c r="C10" s="37">
        <v>22</v>
      </c>
      <c r="D10" s="37">
        <v>45.5</v>
      </c>
      <c r="E10" s="37">
        <v>23.5</v>
      </c>
      <c r="F10" s="176">
        <v>2</v>
      </c>
    </row>
    <row r="11" spans="1:6" x14ac:dyDescent="0.25">
      <c r="A11" s="175" t="s">
        <v>192</v>
      </c>
      <c r="B11" s="176"/>
      <c r="C11" s="37">
        <v>82</v>
      </c>
      <c r="D11" s="37">
        <v>160</v>
      </c>
      <c r="E11" s="37">
        <v>78</v>
      </c>
      <c r="F11" s="176">
        <v>5</v>
      </c>
    </row>
    <row r="12" spans="1:6" x14ac:dyDescent="0.25">
      <c r="A12" s="175" t="s">
        <v>395</v>
      </c>
      <c r="B12" s="176">
        <v>13</v>
      </c>
      <c r="C12" s="37">
        <v>28.5</v>
      </c>
      <c r="D12" s="37">
        <v>81.931600000000003</v>
      </c>
      <c r="E12" s="37">
        <v>53.431600000000003</v>
      </c>
      <c r="F12" s="176">
        <v>2</v>
      </c>
    </row>
    <row r="13" spans="1:6" x14ac:dyDescent="0.25">
      <c r="A13" s="175" t="s">
        <v>296</v>
      </c>
      <c r="B13" s="176"/>
      <c r="C13" s="37">
        <v>2</v>
      </c>
      <c r="D13" s="37">
        <v>20</v>
      </c>
      <c r="E13" s="37">
        <v>18</v>
      </c>
      <c r="F13" s="176">
        <v>1</v>
      </c>
    </row>
    <row r="14" spans="1:6" x14ac:dyDescent="0.25">
      <c r="A14" s="175" t="s">
        <v>338</v>
      </c>
      <c r="B14" s="176"/>
      <c r="C14" s="37">
        <v>10</v>
      </c>
      <c r="D14" s="37">
        <v>35</v>
      </c>
      <c r="E14" s="37">
        <v>25</v>
      </c>
      <c r="F14" s="176">
        <v>2</v>
      </c>
    </row>
    <row r="15" spans="1:6" x14ac:dyDescent="0.25">
      <c r="A15" s="175" t="s">
        <v>209</v>
      </c>
      <c r="B15" s="176"/>
      <c r="C15" s="37">
        <v>16</v>
      </c>
      <c r="D15" s="37">
        <v>30</v>
      </c>
      <c r="E15" s="37">
        <v>14</v>
      </c>
      <c r="F15" s="176">
        <v>1</v>
      </c>
    </row>
    <row r="16" spans="1:6" x14ac:dyDescent="0.25">
      <c r="A16" s="175" t="s">
        <v>359</v>
      </c>
      <c r="B16" s="176">
        <v>3</v>
      </c>
      <c r="C16" s="37">
        <v>16</v>
      </c>
      <c r="D16" s="37">
        <v>28.030799999999999</v>
      </c>
      <c r="E16" s="37">
        <v>12.030799999999999</v>
      </c>
      <c r="F16" s="176">
        <v>3</v>
      </c>
    </row>
    <row r="17" spans="1:6" x14ac:dyDescent="0.25">
      <c r="A17" s="175" t="s">
        <v>130</v>
      </c>
      <c r="B17" s="176">
        <v>3</v>
      </c>
      <c r="C17" s="37">
        <v>41</v>
      </c>
      <c r="D17" s="37">
        <v>84.87</v>
      </c>
      <c r="E17" s="37">
        <v>43.870000000000005</v>
      </c>
      <c r="F17" s="176">
        <v>2</v>
      </c>
    </row>
    <row r="18" spans="1:6" x14ac:dyDescent="0.25">
      <c r="A18" s="175" t="s">
        <v>314</v>
      </c>
      <c r="B18" s="176"/>
      <c r="C18" s="37">
        <v>0</v>
      </c>
      <c r="D18" s="37">
        <v>19.989999999999998</v>
      </c>
      <c r="E18" s="37">
        <v>19.989999999999998</v>
      </c>
      <c r="F18" s="176">
        <v>1</v>
      </c>
    </row>
    <row r="19" spans="1:6" x14ac:dyDescent="0.25">
      <c r="A19" s="175" t="s">
        <v>245</v>
      </c>
      <c r="B19" s="176"/>
      <c r="C19" s="37">
        <v>54</v>
      </c>
      <c r="D19" s="37">
        <v>120.01</v>
      </c>
      <c r="E19" s="37">
        <v>66.010000000000005</v>
      </c>
      <c r="F19" s="176">
        <v>1</v>
      </c>
    </row>
    <row r="20" spans="1:6" x14ac:dyDescent="0.25">
      <c r="A20" s="175" t="s">
        <v>87</v>
      </c>
      <c r="B20" s="176">
        <v>4</v>
      </c>
      <c r="C20" s="37">
        <v>106</v>
      </c>
      <c r="D20" s="37">
        <v>220.87</v>
      </c>
      <c r="E20" s="37">
        <v>114.87</v>
      </c>
      <c r="F20" s="176">
        <v>3</v>
      </c>
    </row>
    <row r="21" spans="1:6" x14ac:dyDescent="0.25">
      <c r="A21" s="175" t="s">
        <v>239</v>
      </c>
      <c r="B21" s="176"/>
      <c r="C21" s="37">
        <v>18</v>
      </c>
      <c r="D21" s="37">
        <v>40</v>
      </c>
      <c r="E21" s="37">
        <v>22</v>
      </c>
      <c r="F21" s="176">
        <v>1</v>
      </c>
    </row>
    <row r="22" spans="1:6" x14ac:dyDescent="0.25">
      <c r="A22" s="175" t="s">
        <v>149</v>
      </c>
      <c r="B22" s="176"/>
      <c r="C22" s="37">
        <v>9</v>
      </c>
      <c r="D22" s="37">
        <v>30</v>
      </c>
      <c r="E22" s="37">
        <v>21</v>
      </c>
      <c r="F22" s="176">
        <v>1</v>
      </c>
    </row>
    <row r="23" spans="1:6" x14ac:dyDescent="0.25">
      <c r="A23" s="175" t="s">
        <v>93</v>
      </c>
      <c r="B23" s="176">
        <v>2</v>
      </c>
      <c r="C23" s="37">
        <v>17.5</v>
      </c>
      <c r="D23" s="37">
        <v>48.75</v>
      </c>
      <c r="E23" s="37">
        <v>31.25</v>
      </c>
      <c r="F23" s="176">
        <v>4</v>
      </c>
    </row>
    <row r="24" spans="1:6" x14ac:dyDescent="0.25">
      <c r="A24" s="175" t="s">
        <v>186</v>
      </c>
      <c r="B24" s="176"/>
      <c r="C24" s="37">
        <v>18</v>
      </c>
      <c r="D24" s="37">
        <v>40</v>
      </c>
      <c r="E24" s="37">
        <v>22</v>
      </c>
      <c r="F24" s="176">
        <v>2</v>
      </c>
    </row>
    <row r="25" spans="1:6" x14ac:dyDescent="0.25">
      <c r="A25" s="175" t="s">
        <v>215</v>
      </c>
      <c r="B25" s="176">
        <v>1</v>
      </c>
      <c r="C25" s="37">
        <v>55</v>
      </c>
      <c r="D25" s="37">
        <v>75.692800000000005</v>
      </c>
      <c r="E25" s="37">
        <v>20.692799999999998</v>
      </c>
      <c r="F25" s="176">
        <v>3</v>
      </c>
    </row>
    <row r="26" spans="1:6" x14ac:dyDescent="0.25">
      <c r="A26" s="175" t="s">
        <v>330</v>
      </c>
      <c r="B26" s="176"/>
      <c r="C26" s="37">
        <v>20</v>
      </c>
      <c r="D26" s="37">
        <v>40</v>
      </c>
      <c r="E26" s="37">
        <v>20</v>
      </c>
      <c r="F26" s="176">
        <v>1</v>
      </c>
    </row>
    <row r="27" spans="1:6" x14ac:dyDescent="0.25">
      <c r="A27" s="175" t="s">
        <v>216</v>
      </c>
      <c r="B27" s="176">
        <v>17</v>
      </c>
      <c r="C27" s="37">
        <v>554</v>
      </c>
      <c r="D27" s="37">
        <v>1398.07</v>
      </c>
      <c r="E27" s="37">
        <v>564.07000000000005</v>
      </c>
      <c r="F27" s="176">
        <v>8</v>
      </c>
    </row>
    <row r="28" spans="1:6" x14ac:dyDescent="0.25">
      <c r="A28" s="175" t="s">
        <v>300</v>
      </c>
      <c r="B28" s="176"/>
      <c r="C28" s="37">
        <v>16</v>
      </c>
      <c r="D28" s="37">
        <v>50</v>
      </c>
      <c r="E28" s="37">
        <v>34</v>
      </c>
      <c r="F28" s="176">
        <v>1</v>
      </c>
    </row>
    <row r="29" spans="1:6" x14ac:dyDescent="0.25">
      <c r="A29" s="175" t="s">
        <v>412</v>
      </c>
      <c r="B29" s="176"/>
      <c r="C29" s="37">
        <v>35</v>
      </c>
      <c r="D29" s="37">
        <v>40</v>
      </c>
      <c r="E29" s="37">
        <v>5</v>
      </c>
      <c r="F29" s="176">
        <v>1</v>
      </c>
    </row>
    <row r="30" spans="1:6" x14ac:dyDescent="0.25">
      <c r="A30" s="175" t="s">
        <v>8</v>
      </c>
      <c r="B30" s="176"/>
      <c r="C30" s="37">
        <v>30</v>
      </c>
      <c r="D30" s="37">
        <v>40</v>
      </c>
      <c r="E30" s="37">
        <v>10</v>
      </c>
      <c r="F30" s="176">
        <v>1</v>
      </c>
    </row>
    <row r="31" spans="1:6" x14ac:dyDescent="0.25">
      <c r="A31" s="175" t="s">
        <v>238</v>
      </c>
      <c r="B31" s="176"/>
      <c r="C31" s="37">
        <v>30</v>
      </c>
      <c r="D31" s="37">
        <v>50</v>
      </c>
      <c r="E31" s="37">
        <v>20</v>
      </c>
      <c r="F31" s="176">
        <v>1</v>
      </c>
    </row>
    <row r="32" spans="1:6" x14ac:dyDescent="0.25">
      <c r="A32" s="175" t="s">
        <v>396</v>
      </c>
      <c r="B32" s="176">
        <v>2</v>
      </c>
      <c r="C32" s="37">
        <v>18</v>
      </c>
      <c r="D32" s="37">
        <v>37.51</v>
      </c>
      <c r="E32" s="37">
        <v>19.509999999999998</v>
      </c>
      <c r="F32" s="176">
        <v>1</v>
      </c>
    </row>
    <row r="33" spans="1:6" x14ac:dyDescent="0.25">
      <c r="A33" s="175" t="s">
        <v>16</v>
      </c>
      <c r="B33" s="176"/>
      <c r="C33" s="37">
        <v>9</v>
      </c>
      <c r="D33" s="37">
        <v>15</v>
      </c>
      <c r="E33" s="37">
        <v>6</v>
      </c>
      <c r="F33" s="176">
        <v>1</v>
      </c>
    </row>
    <row r="34" spans="1:6" x14ac:dyDescent="0.25">
      <c r="A34" s="175" t="s">
        <v>17</v>
      </c>
      <c r="B34" s="176"/>
      <c r="C34" s="37">
        <v>25</v>
      </c>
      <c r="D34" s="37">
        <v>50</v>
      </c>
      <c r="E34" s="37">
        <v>25</v>
      </c>
      <c r="F34" s="176">
        <v>1</v>
      </c>
    </row>
    <row r="35" spans="1:6" x14ac:dyDescent="0.25">
      <c r="A35" s="175" t="s">
        <v>194</v>
      </c>
      <c r="B35" s="176">
        <v>26</v>
      </c>
      <c r="C35" s="37">
        <v>31.2</v>
      </c>
      <c r="D35" s="37">
        <v>74.260000000000005</v>
      </c>
      <c r="E35" s="37">
        <v>43.06</v>
      </c>
      <c r="F35" s="176">
        <v>1</v>
      </c>
    </row>
    <row r="36" spans="1:6" x14ac:dyDescent="0.25">
      <c r="A36" s="175" t="s">
        <v>195</v>
      </c>
      <c r="B36" s="176">
        <v>1</v>
      </c>
      <c r="C36" s="37">
        <v>2.5</v>
      </c>
      <c r="D36" s="37">
        <v>3.81</v>
      </c>
      <c r="E36" s="37">
        <v>1.31</v>
      </c>
      <c r="F36" s="176">
        <v>1</v>
      </c>
    </row>
    <row r="37" spans="1:6" x14ac:dyDescent="0.25">
      <c r="A37" s="175" t="s">
        <v>246</v>
      </c>
      <c r="B37" s="176">
        <v>2</v>
      </c>
      <c r="C37" s="37">
        <v>15</v>
      </c>
      <c r="D37" s="37">
        <v>19.133600000000001</v>
      </c>
      <c r="E37" s="37">
        <v>4.1335999999999995</v>
      </c>
      <c r="F37" s="176">
        <v>2</v>
      </c>
    </row>
    <row r="38" spans="1:6" x14ac:dyDescent="0.25">
      <c r="A38" s="175" t="s">
        <v>217</v>
      </c>
      <c r="B38" s="176">
        <v>44</v>
      </c>
      <c r="C38" s="37">
        <v>230.89999999999998</v>
      </c>
      <c r="D38" s="37">
        <v>635.34180000000003</v>
      </c>
      <c r="E38" s="37">
        <v>379.24180000000001</v>
      </c>
      <c r="F38" s="176">
        <v>7</v>
      </c>
    </row>
    <row r="39" spans="1:6" x14ac:dyDescent="0.25">
      <c r="A39" s="175" t="s">
        <v>181</v>
      </c>
      <c r="B39" s="176">
        <v>99</v>
      </c>
      <c r="C39" s="37">
        <v>68.033333333333346</v>
      </c>
      <c r="D39" s="37">
        <v>309.18380000000008</v>
      </c>
      <c r="E39" s="37">
        <v>243.85380000000004</v>
      </c>
      <c r="F39" s="176">
        <v>9</v>
      </c>
    </row>
    <row r="40" spans="1:6" x14ac:dyDescent="0.25">
      <c r="A40" s="175" t="s">
        <v>73</v>
      </c>
      <c r="B40" s="176">
        <v>447</v>
      </c>
      <c r="C40" s="37">
        <v>289.10000000000002</v>
      </c>
      <c r="D40" s="37">
        <v>1235.9995999999996</v>
      </c>
      <c r="E40" s="37">
        <v>770.81959999999981</v>
      </c>
      <c r="F40" s="176">
        <v>11</v>
      </c>
    </row>
    <row r="41" spans="1:6" x14ac:dyDescent="0.25">
      <c r="A41" s="175" t="s">
        <v>397</v>
      </c>
      <c r="B41" s="176">
        <v>1</v>
      </c>
      <c r="C41" s="37">
        <v>15</v>
      </c>
      <c r="D41" s="37">
        <v>33.6</v>
      </c>
      <c r="E41" s="37">
        <v>18.600000000000001</v>
      </c>
      <c r="F41" s="176">
        <v>1</v>
      </c>
    </row>
    <row r="42" spans="1:6" x14ac:dyDescent="0.25">
      <c r="A42" s="175" t="s">
        <v>470</v>
      </c>
      <c r="B42" s="176">
        <v>2</v>
      </c>
      <c r="C42" s="37">
        <v>24</v>
      </c>
      <c r="D42" s="37">
        <v>40.147199999999998</v>
      </c>
      <c r="E42" s="37">
        <v>16.147199999999998</v>
      </c>
      <c r="F42" s="176">
        <v>1</v>
      </c>
    </row>
    <row r="43" spans="1:6" x14ac:dyDescent="0.25">
      <c r="A43" s="175" t="s">
        <v>247</v>
      </c>
      <c r="B43" s="176"/>
      <c r="C43" s="37">
        <v>40</v>
      </c>
      <c r="D43" s="37">
        <v>80</v>
      </c>
      <c r="E43" s="37">
        <v>40</v>
      </c>
      <c r="F43" s="176">
        <v>1</v>
      </c>
    </row>
    <row r="44" spans="1:6" x14ac:dyDescent="0.25">
      <c r="A44" s="175" t="s">
        <v>18</v>
      </c>
      <c r="B44" s="176"/>
      <c r="C44" s="37">
        <v>12</v>
      </c>
      <c r="D44" s="37">
        <v>20</v>
      </c>
      <c r="E44" s="37">
        <v>8</v>
      </c>
      <c r="F44" s="176">
        <v>1</v>
      </c>
    </row>
    <row r="45" spans="1:6" x14ac:dyDescent="0.25">
      <c r="A45" s="175" t="s">
        <v>471</v>
      </c>
      <c r="B45" s="176">
        <v>1</v>
      </c>
      <c r="C45" s="37">
        <v>6</v>
      </c>
      <c r="D45" s="37">
        <v>20.860800000000001</v>
      </c>
      <c r="E45" s="37">
        <v>14.860800000000001</v>
      </c>
      <c r="F45" s="176">
        <v>1</v>
      </c>
    </row>
    <row r="46" spans="1:6" x14ac:dyDescent="0.25">
      <c r="A46" s="175" t="s">
        <v>356</v>
      </c>
      <c r="B46" s="176"/>
      <c r="C46" s="37">
        <v>17</v>
      </c>
      <c r="D46" s="37">
        <v>30</v>
      </c>
      <c r="E46" s="37">
        <v>13</v>
      </c>
      <c r="F46" s="176">
        <v>1</v>
      </c>
    </row>
    <row r="47" spans="1:6" x14ac:dyDescent="0.25">
      <c r="A47" s="175" t="s">
        <v>196</v>
      </c>
      <c r="B47" s="176">
        <v>1</v>
      </c>
      <c r="C47" s="37">
        <v>25</v>
      </c>
      <c r="D47" s="37">
        <v>50</v>
      </c>
      <c r="E47" s="37">
        <v>25</v>
      </c>
      <c r="F47" s="176">
        <v>1</v>
      </c>
    </row>
    <row r="48" spans="1:6" x14ac:dyDescent="0.25">
      <c r="A48" s="175" t="s">
        <v>123</v>
      </c>
      <c r="B48" s="176"/>
      <c r="C48" s="37">
        <v>28</v>
      </c>
      <c r="D48" s="37">
        <v>55</v>
      </c>
      <c r="E48" s="37">
        <v>27</v>
      </c>
      <c r="F48" s="176">
        <v>1</v>
      </c>
    </row>
    <row r="49" spans="1:6" x14ac:dyDescent="0.25">
      <c r="A49" s="175" t="s">
        <v>329</v>
      </c>
      <c r="B49" s="176"/>
      <c r="C49" s="37">
        <v>18</v>
      </c>
      <c r="D49" s="37">
        <v>35</v>
      </c>
      <c r="E49" s="37">
        <v>17</v>
      </c>
      <c r="F49" s="176">
        <v>1</v>
      </c>
    </row>
    <row r="50" spans="1:6" x14ac:dyDescent="0.25">
      <c r="A50" s="175" t="s">
        <v>19</v>
      </c>
      <c r="B50" s="176"/>
      <c r="C50" s="37">
        <v>20</v>
      </c>
      <c r="D50" s="37">
        <v>65</v>
      </c>
      <c r="E50" s="37">
        <v>45</v>
      </c>
      <c r="F50" s="176">
        <v>2</v>
      </c>
    </row>
    <row r="51" spans="1:6" x14ac:dyDescent="0.25">
      <c r="A51" s="175" t="s">
        <v>20</v>
      </c>
      <c r="B51" s="176"/>
      <c r="C51" s="37">
        <v>22</v>
      </c>
      <c r="D51" s="37">
        <v>45</v>
      </c>
      <c r="E51" s="37">
        <v>23</v>
      </c>
      <c r="F51" s="176">
        <v>1</v>
      </c>
    </row>
    <row r="52" spans="1:6" x14ac:dyDescent="0.25">
      <c r="A52" s="175" t="s">
        <v>184</v>
      </c>
      <c r="B52" s="176"/>
      <c r="C52" s="37">
        <v>20</v>
      </c>
      <c r="D52" s="37">
        <v>50</v>
      </c>
      <c r="E52" s="37">
        <v>30</v>
      </c>
      <c r="F52" s="176">
        <v>2</v>
      </c>
    </row>
    <row r="53" spans="1:6" x14ac:dyDescent="0.25">
      <c r="A53" s="175" t="s">
        <v>155</v>
      </c>
      <c r="B53" s="176"/>
      <c r="C53" s="37">
        <v>10</v>
      </c>
      <c r="D53" s="37">
        <v>25</v>
      </c>
      <c r="E53" s="37">
        <v>15</v>
      </c>
      <c r="F53" s="176">
        <v>1</v>
      </c>
    </row>
    <row r="54" spans="1:6" x14ac:dyDescent="0.25">
      <c r="A54" s="175" t="s">
        <v>94</v>
      </c>
      <c r="B54" s="176"/>
      <c r="C54" s="37">
        <v>10</v>
      </c>
      <c r="D54" s="37">
        <v>20</v>
      </c>
      <c r="E54" s="37">
        <v>10</v>
      </c>
      <c r="F54" s="176">
        <v>1</v>
      </c>
    </row>
    <row r="55" spans="1:6" x14ac:dyDescent="0.25">
      <c r="A55" s="175" t="s">
        <v>398</v>
      </c>
      <c r="B55" s="176">
        <v>1</v>
      </c>
      <c r="C55" s="37">
        <v>10</v>
      </c>
      <c r="D55" s="37">
        <v>18.57</v>
      </c>
      <c r="E55" s="37">
        <v>8.57</v>
      </c>
      <c r="F55" s="176">
        <v>1</v>
      </c>
    </row>
    <row r="56" spans="1:6" x14ac:dyDescent="0.25">
      <c r="A56" s="175" t="s">
        <v>21</v>
      </c>
      <c r="B56" s="176"/>
      <c r="C56" s="37">
        <v>7</v>
      </c>
      <c r="D56" s="37">
        <v>15</v>
      </c>
      <c r="E56" s="37">
        <v>8</v>
      </c>
      <c r="F56" s="176">
        <v>1</v>
      </c>
    </row>
    <row r="57" spans="1:6" x14ac:dyDescent="0.25">
      <c r="A57" s="175" t="s">
        <v>345</v>
      </c>
      <c r="B57" s="176"/>
      <c r="C57" s="37">
        <v>3</v>
      </c>
      <c r="D57" s="37">
        <v>10</v>
      </c>
      <c r="E57" s="37">
        <v>7</v>
      </c>
      <c r="F57" s="176">
        <v>1</v>
      </c>
    </row>
    <row r="58" spans="1:6" x14ac:dyDescent="0.25">
      <c r="A58" s="175" t="s">
        <v>265</v>
      </c>
      <c r="B58" s="176"/>
      <c r="C58" s="37">
        <v>6.5</v>
      </c>
      <c r="D58" s="37">
        <v>10</v>
      </c>
      <c r="E58" s="37">
        <v>3.5</v>
      </c>
      <c r="F58" s="176">
        <v>1</v>
      </c>
    </row>
    <row r="59" spans="1:6" x14ac:dyDescent="0.25">
      <c r="A59" s="175" t="s">
        <v>180</v>
      </c>
      <c r="B59" s="176">
        <v>4</v>
      </c>
      <c r="C59" s="37">
        <v>8</v>
      </c>
      <c r="D59" s="37">
        <v>38.03</v>
      </c>
      <c r="E59" s="37">
        <v>37.43</v>
      </c>
      <c r="F59" s="176">
        <v>2</v>
      </c>
    </row>
    <row r="60" spans="1:6" x14ac:dyDescent="0.25">
      <c r="A60" s="175" t="s">
        <v>279</v>
      </c>
      <c r="B60" s="176">
        <v>3</v>
      </c>
      <c r="C60" s="37">
        <v>23</v>
      </c>
      <c r="D60" s="37">
        <v>33.153799999999997</v>
      </c>
      <c r="E60" s="37">
        <v>10.153799999999999</v>
      </c>
      <c r="F60" s="176">
        <v>2</v>
      </c>
    </row>
    <row r="61" spans="1:6" x14ac:dyDescent="0.25">
      <c r="A61" s="175" t="s">
        <v>197</v>
      </c>
      <c r="B61" s="176">
        <v>1</v>
      </c>
      <c r="C61" s="37">
        <v>8</v>
      </c>
      <c r="D61" s="37">
        <v>18.75</v>
      </c>
      <c r="E61" s="37">
        <v>10.75</v>
      </c>
      <c r="F61" s="176">
        <v>1</v>
      </c>
    </row>
    <row r="62" spans="1:6" x14ac:dyDescent="0.25">
      <c r="A62" s="175" t="s">
        <v>315</v>
      </c>
      <c r="B62" s="176"/>
      <c r="C62" s="37">
        <v>13</v>
      </c>
      <c r="D62" s="37">
        <v>23.43</v>
      </c>
      <c r="E62" s="37">
        <v>10.43</v>
      </c>
      <c r="F62" s="176">
        <v>1</v>
      </c>
    </row>
    <row r="63" spans="1:6" x14ac:dyDescent="0.25">
      <c r="A63" s="175" t="s">
        <v>22</v>
      </c>
      <c r="B63" s="176"/>
      <c r="C63" s="37">
        <v>35</v>
      </c>
      <c r="D63" s="37">
        <v>60</v>
      </c>
      <c r="E63" s="37">
        <v>25</v>
      </c>
      <c r="F63" s="176">
        <v>1</v>
      </c>
    </row>
    <row r="64" spans="1:6" x14ac:dyDescent="0.25">
      <c r="A64" s="175" t="s">
        <v>121</v>
      </c>
      <c r="B64" s="176"/>
      <c r="C64" s="37">
        <v>9</v>
      </c>
      <c r="D64" s="37">
        <v>20</v>
      </c>
      <c r="E64" s="37">
        <v>11</v>
      </c>
      <c r="F64" s="176">
        <v>1</v>
      </c>
    </row>
    <row r="65" spans="1:6" x14ac:dyDescent="0.25">
      <c r="A65" s="175" t="s">
        <v>23</v>
      </c>
      <c r="B65" s="176"/>
      <c r="C65" s="37">
        <v>8</v>
      </c>
      <c r="D65" s="37">
        <v>20</v>
      </c>
      <c r="E65" s="37">
        <v>12</v>
      </c>
      <c r="F65" s="176">
        <v>1</v>
      </c>
    </row>
    <row r="66" spans="1:6" x14ac:dyDescent="0.25">
      <c r="A66" s="175" t="s">
        <v>383</v>
      </c>
      <c r="B66" s="176"/>
      <c r="C66" s="37">
        <v>2</v>
      </c>
      <c r="D66" s="37">
        <v>15</v>
      </c>
      <c r="E66" s="37">
        <v>13</v>
      </c>
      <c r="F66" s="176">
        <v>1</v>
      </c>
    </row>
    <row r="67" spans="1:6" x14ac:dyDescent="0.25">
      <c r="A67" s="175" t="s">
        <v>336</v>
      </c>
      <c r="B67" s="176"/>
      <c r="C67" s="37">
        <v>17</v>
      </c>
      <c r="D67" s="37">
        <v>40</v>
      </c>
      <c r="E67" s="37">
        <v>23</v>
      </c>
      <c r="F67" s="176">
        <v>1</v>
      </c>
    </row>
    <row r="68" spans="1:6" x14ac:dyDescent="0.25">
      <c r="A68" s="175" t="s">
        <v>198</v>
      </c>
      <c r="B68" s="176">
        <v>16</v>
      </c>
      <c r="C68" s="37">
        <v>165.3</v>
      </c>
      <c r="D68" s="37">
        <v>301.54000000000002</v>
      </c>
      <c r="E68" s="37">
        <v>125.04</v>
      </c>
      <c r="F68" s="176">
        <v>6</v>
      </c>
    </row>
    <row r="69" spans="1:6" x14ac:dyDescent="0.25">
      <c r="A69" s="175" t="s">
        <v>472</v>
      </c>
      <c r="B69" s="176">
        <v>1</v>
      </c>
      <c r="C69" s="37">
        <v>7</v>
      </c>
      <c r="D69" s="37">
        <v>12.3</v>
      </c>
      <c r="E69" s="37">
        <v>5.3000000000000007</v>
      </c>
      <c r="F69" s="176">
        <v>1</v>
      </c>
    </row>
    <row r="70" spans="1:6" x14ac:dyDescent="0.25">
      <c r="A70" s="175" t="s">
        <v>136</v>
      </c>
      <c r="B70" s="176">
        <v>5</v>
      </c>
      <c r="C70" s="37">
        <v>10</v>
      </c>
      <c r="D70" s="37">
        <v>26.04</v>
      </c>
      <c r="E70" s="37">
        <v>16.04</v>
      </c>
      <c r="F70" s="176">
        <v>1</v>
      </c>
    </row>
    <row r="71" spans="1:6" x14ac:dyDescent="0.25">
      <c r="A71" s="175" t="s">
        <v>312</v>
      </c>
      <c r="B71" s="176"/>
      <c r="C71" s="37">
        <v>6</v>
      </c>
      <c r="D71" s="37">
        <v>12</v>
      </c>
      <c r="E71" s="37">
        <v>6</v>
      </c>
      <c r="F71" s="176">
        <v>1</v>
      </c>
    </row>
    <row r="72" spans="1:6" x14ac:dyDescent="0.25">
      <c r="A72" s="175" t="s">
        <v>295</v>
      </c>
      <c r="B72" s="176"/>
      <c r="C72" s="37">
        <v>12</v>
      </c>
      <c r="D72" s="37">
        <v>20</v>
      </c>
      <c r="E72" s="37">
        <v>8</v>
      </c>
      <c r="F72" s="176">
        <v>1</v>
      </c>
    </row>
    <row r="73" spans="1:6" x14ac:dyDescent="0.25">
      <c r="A73" s="175" t="s">
        <v>218</v>
      </c>
      <c r="B73" s="176"/>
      <c r="C73" s="37">
        <v>7</v>
      </c>
      <c r="D73" s="37">
        <v>15</v>
      </c>
      <c r="E73" s="37">
        <v>8</v>
      </c>
      <c r="F73" s="176">
        <v>1</v>
      </c>
    </row>
    <row r="74" spans="1:6" x14ac:dyDescent="0.25">
      <c r="A74" s="175" t="s">
        <v>139</v>
      </c>
      <c r="B74" s="176">
        <v>11</v>
      </c>
      <c r="C74" s="37">
        <v>79</v>
      </c>
      <c r="D74" s="37">
        <v>207.04</v>
      </c>
      <c r="E74" s="37">
        <v>103.98999999999998</v>
      </c>
      <c r="F74" s="176">
        <v>5</v>
      </c>
    </row>
    <row r="75" spans="1:6" x14ac:dyDescent="0.25">
      <c r="A75" s="175" t="s">
        <v>162</v>
      </c>
      <c r="B75" s="176"/>
      <c r="C75" s="37">
        <v>0</v>
      </c>
      <c r="D75" s="37">
        <v>100</v>
      </c>
      <c r="E75" s="37">
        <v>100</v>
      </c>
      <c r="F75" s="176">
        <v>1</v>
      </c>
    </row>
    <row r="76" spans="1:6" x14ac:dyDescent="0.25">
      <c r="A76" s="175" t="s">
        <v>463</v>
      </c>
      <c r="B76" s="176"/>
      <c r="C76" s="37">
        <v>0</v>
      </c>
      <c r="D76" s="37">
        <v>40</v>
      </c>
      <c r="E76" s="37">
        <v>40</v>
      </c>
      <c r="F76" s="176">
        <v>1</v>
      </c>
    </row>
    <row r="77" spans="1:6" x14ac:dyDescent="0.25">
      <c r="A77" s="175" t="s">
        <v>464</v>
      </c>
      <c r="B77" s="176"/>
      <c r="C77" s="37">
        <v>40</v>
      </c>
      <c r="D77" s="37">
        <v>80</v>
      </c>
      <c r="E77" s="37">
        <v>40</v>
      </c>
      <c r="F77" s="176">
        <v>1</v>
      </c>
    </row>
    <row r="78" spans="1:6" x14ac:dyDescent="0.25">
      <c r="A78" s="175" t="s">
        <v>303</v>
      </c>
      <c r="B78" s="176"/>
      <c r="C78" s="37">
        <v>100</v>
      </c>
      <c r="D78" s="37">
        <v>110</v>
      </c>
      <c r="E78" s="37">
        <v>10</v>
      </c>
      <c r="F78" s="176">
        <v>1</v>
      </c>
    </row>
    <row r="79" spans="1:6" x14ac:dyDescent="0.25">
      <c r="A79" s="175" t="s">
        <v>126</v>
      </c>
      <c r="B79" s="176">
        <v>14</v>
      </c>
      <c r="C79" s="37">
        <v>135.99</v>
      </c>
      <c r="D79" s="37">
        <v>386.69</v>
      </c>
      <c r="E79" s="37">
        <v>250.7</v>
      </c>
      <c r="F79" s="176">
        <v>4</v>
      </c>
    </row>
    <row r="80" spans="1:6" x14ac:dyDescent="0.25">
      <c r="A80" s="175" t="s">
        <v>248</v>
      </c>
      <c r="B80" s="176"/>
      <c r="C80" s="37">
        <v>10</v>
      </c>
      <c r="D80" s="37">
        <v>59.41</v>
      </c>
      <c r="E80" s="37">
        <v>49.41</v>
      </c>
      <c r="F80" s="176">
        <v>1</v>
      </c>
    </row>
    <row r="81" spans="1:6" x14ac:dyDescent="0.25">
      <c r="A81" s="175" t="s">
        <v>316</v>
      </c>
      <c r="B81" s="176">
        <v>2</v>
      </c>
      <c r="C81" s="37">
        <v>15</v>
      </c>
      <c r="D81" s="37">
        <v>60.81</v>
      </c>
      <c r="E81" s="37">
        <v>38.81</v>
      </c>
      <c r="F81" s="176">
        <v>2</v>
      </c>
    </row>
    <row r="82" spans="1:6" x14ac:dyDescent="0.25">
      <c r="A82" s="175" t="s">
        <v>150</v>
      </c>
      <c r="B82" s="176"/>
      <c r="C82" s="37">
        <v>13</v>
      </c>
      <c r="D82" s="37">
        <v>30</v>
      </c>
      <c r="E82" s="37">
        <v>17</v>
      </c>
      <c r="F82" s="176">
        <v>1</v>
      </c>
    </row>
    <row r="83" spans="1:6" x14ac:dyDescent="0.25">
      <c r="A83" s="175" t="s">
        <v>317</v>
      </c>
      <c r="B83" s="176"/>
      <c r="C83" s="37">
        <v>4</v>
      </c>
      <c r="D83" s="37">
        <v>12.96</v>
      </c>
      <c r="E83" s="37">
        <v>8.9600000000000009</v>
      </c>
      <c r="F83" s="176">
        <v>1</v>
      </c>
    </row>
    <row r="84" spans="1:6" x14ac:dyDescent="0.25">
      <c r="A84" s="175" t="s">
        <v>249</v>
      </c>
      <c r="B84" s="176"/>
      <c r="C84" s="37">
        <v>70</v>
      </c>
      <c r="D84" s="37">
        <v>179.75</v>
      </c>
      <c r="E84" s="37">
        <v>109.75</v>
      </c>
      <c r="F84" s="176">
        <v>1</v>
      </c>
    </row>
    <row r="85" spans="1:6" x14ac:dyDescent="0.25">
      <c r="A85" s="175" t="s">
        <v>212</v>
      </c>
      <c r="B85" s="176"/>
      <c r="C85" s="37">
        <v>3</v>
      </c>
      <c r="D85" s="37">
        <v>10</v>
      </c>
      <c r="E85" s="37">
        <v>7</v>
      </c>
      <c r="F85" s="176">
        <v>1</v>
      </c>
    </row>
    <row r="86" spans="1:6" x14ac:dyDescent="0.25">
      <c r="A86" s="175" t="s">
        <v>308</v>
      </c>
      <c r="B86" s="176"/>
      <c r="C86" s="37">
        <v>7.5</v>
      </c>
      <c r="D86" s="37">
        <v>15</v>
      </c>
      <c r="E86" s="37">
        <v>7.5</v>
      </c>
      <c r="F86" s="176">
        <v>1</v>
      </c>
    </row>
    <row r="87" spans="1:6" x14ac:dyDescent="0.25">
      <c r="A87" s="175" t="s">
        <v>390</v>
      </c>
      <c r="B87" s="176"/>
      <c r="C87" s="37">
        <v>15</v>
      </c>
      <c r="D87" s="37">
        <v>30</v>
      </c>
      <c r="E87" s="37">
        <v>15</v>
      </c>
      <c r="F87" s="176">
        <v>2</v>
      </c>
    </row>
    <row r="88" spans="1:6" x14ac:dyDescent="0.25">
      <c r="A88" s="175" t="s">
        <v>120</v>
      </c>
      <c r="B88" s="176"/>
      <c r="C88" s="37">
        <v>22.8</v>
      </c>
      <c r="D88" s="37">
        <v>50</v>
      </c>
      <c r="E88" s="37">
        <v>27.2</v>
      </c>
      <c r="F88" s="176">
        <v>3</v>
      </c>
    </row>
    <row r="89" spans="1:6" x14ac:dyDescent="0.25">
      <c r="A89" s="175" t="s">
        <v>425</v>
      </c>
      <c r="B89" s="176"/>
      <c r="C89" s="37">
        <v>19</v>
      </c>
      <c r="D89" s="37">
        <v>50</v>
      </c>
      <c r="E89" s="37">
        <v>31</v>
      </c>
      <c r="F89" s="176">
        <v>1</v>
      </c>
    </row>
    <row r="90" spans="1:6" x14ac:dyDescent="0.25">
      <c r="A90" s="175" t="s">
        <v>429</v>
      </c>
      <c r="B90" s="176">
        <v>1</v>
      </c>
      <c r="C90" s="37">
        <v>30</v>
      </c>
      <c r="D90" s="37">
        <v>51.68</v>
      </c>
      <c r="E90" s="37">
        <v>21.68</v>
      </c>
      <c r="F90" s="176">
        <v>1</v>
      </c>
    </row>
    <row r="91" spans="1:6" x14ac:dyDescent="0.25">
      <c r="A91" s="175" t="s">
        <v>399</v>
      </c>
      <c r="B91" s="176">
        <v>2</v>
      </c>
      <c r="C91" s="37">
        <v>76</v>
      </c>
      <c r="D91" s="37">
        <v>97.94</v>
      </c>
      <c r="E91" s="37">
        <v>21.939999999999998</v>
      </c>
      <c r="F91" s="176">
        <v>1</v>
      </c>
    </row>
    <row r="92" spans="1:6" x14ac:dyDescent="0.25">
      <c r="A92" s="175" t="s">
        <v>193</v>
      </c>
      <c r="B92" s="176"/>
      <c r="C92" s="37">
        <v>7</v>
      </c>
      <c r="D92" s="37">
        <v>25</v>
      </c>
      <c r="E92" s="37">
        <v>18</v>
      </c>
      <c r="F92" s="176">
        <v>1</v>
      </c>
    </row>
    <row r="93" spans="1:6" x14ac:dyDescent="0.25">
      <c r="A93" s="175" t="s">
        <v>386</v>
      </c>
      <c r="B93" s="176"/>
      <c r="C93" s="37">
        <v>54</v>
      </c>
      <c r="D93" s="37">
        <v>105</v>
      </c>
      <c r="E93" s="37">
        <v>51</v>
      </c>
      <c r="F93" s="176">
        <v>3</v>
      </c>
    </row>
    <row r="94" spans="1:6" x14ac:dyDescent="0.25">
      <c r="A94" s="175" t="s">
        <v>272</v>
      </c>
      <c r="B94" s="176"/>
      <c r="C94" s="37">
        <v>15</v>
      </c>
      <c r="D94" s="37">
        <v>40</v>
      </c>
      <c r="E94" s="37">
        <v>25</v>
      </c>
      <c r="F94" s="176">
        <v>3</v>
      </c>
    </row>
    <row r="95" spans="1:6" x14ac:dyDescent="0.25">
      <c r="A95" s="175" t="s">
        <v>332</v>
      </c>
      <c r="B95" s="176"/>
      <c r="C95" s="37">
        <v>25</v>
      </c>
      <c r="D95" s="37">
        <v>45</v>
      </c>
      <c r="E95" s="37">
        <v>20</v>
      </c>
      <c r="F95" s="176">
        <v>2</v>
      </c>
    </row>
    <row r="96" spans="1:6" x14ac:dyDescent="0.25">
      <c r="A96" s="175" t="s">
        <v>112</v>
      </c>
      <c r="B96" s="176"/>
      <c r="C96" s="37">
        <v>0</v>
      </c>
      <c r="D96" s="37">
        <v>200</v>
      </c>
      <c r="E96" s="37">
        <v>200</v>
      </c>
      <c r="F96" s="176">
        <v>1</v>
      </c>
    </row>
    <row r="97" spans="1:6" x14ac:dyDescent="0.25">
      <c r="A97" s="175" t="s">
        <v>420</v>
      </c>
      <c r="B97" s="176"/>
      <c r="C97" s="37">
        <v>20</v>
      </c>
      <c r="D97" s="37">
        <v>50</v>
      </c>
      <c r="E97" s="37">
        <v>30</v>
      </c>
      <c r="F97" s="176">
        <v>1</v>
      </c>
    </row>
    <row r="98" spans="1:6" x14ac:dyDescent="0.25">
      <c r="A98" s="175" t="s">
        <v>24</v>
      </c>
      <c r="B98" s="176"/>
      <c r="C98" s="37">
        <v>30</v>
      </c>
      <c r="D98" s="37">
        <v>50</v>
      </c>
      <c r="E98" s="37">
        <v>20</v>
      </c>
      <c r="F98" s="176">
        <v>1</v>
      </c>
    </row>
    <row r="99" spans="1:6" x14ac:dyDescent="0.25">
      <c r="A99" s="175" t="s">
        <v>469</v>
      </c>
      <c r="B99" s="176"/>
      <c r="C99" s="37">
        <v>0</v>
      </c>
      <c r="D99" s="37">
        <v>322</v>
      </c>
      <c r="E99" s="37">
        <v>322</v>
      </c>
      <c r="F99" s="176">
        <v>1</v>
      </c>
    </row>
    <row r="100" spans="1:6" x14ac:dyDescent="0.25">
      <c r="A100" s="175" t="s">
        <v>111</v>
      </c>
      <c r="B100" s="176"/>
      <c r="C100" s="37">
        <v>0</v>
      </c>
      <c r="D100" s="37">
        <v>405</v>
      </c>
      <c r="E100" s="37">
        <v>405</v>
      </c>
      <c r="F100" s="176">
        <v>1</v>
      </c>
    </row>
    <row r="101" spans="1:6" x14ac:dyDescent="0.25">
      <c r="A101" s="175" t="s">
        <v>250</v>
      </c>
      <c r="B101" s="176">
        <v>1</v>
      </c>
      <c r="C101" s="37">
        <v>16</v>
      </c>
      <c r="D101" s="37">
        <v>30.71</v>
      </c>
      <c r="E101" s="37">
        <v>14.709999999999999</v>
      </c>
      <c r="F101" s="176">
        <v>2</v>
      </c>
    </row>
    <row r="102" spans="1:6" x14ac:dyDescent="0.25">
      <c r="A102" s="175" t="s">
        <v>294</v>
      </c>
      <c r="B102" s="176"/>
      <c r="C102" s="37">
        <v>19</v>
      </c>
      <c r="D102" s="37">
        <v>30</v>
      </c>
      <c r="E102" s="37">
        <v>11</v>
      </c>
      <c r="F102" s="176">
        <v>1</v>
      </c>
    </row>
    <row r="103" spans="1:6" x14ac:dyDescent="0.25">
      <c r="A103" s="175" t="s">
        <v>318</v>
      </c>
      <c r="B103" s="176">
        <v>2</v>
      </c>
      <c r="C103" s="37">
        <v>75</v>
      </c>
      <c r="D103" s="37">
        <v>180.51</v>
      </c>
      <c r="E103" s="37">
        <v>105.51</v>
      </c>
      <c r="F103" s="176">
        <v>3</v>
      </c>
    </row>
    <row r="104" spans="1:6" x14ac:dyDescent="0.25">
      <c r="A104" s="175" t="s">
        <v>430</v>
      </c>
      <c r="B104" s="176">
        <v>7</v>
      </c>
      <c r="C104" s="37">
        <v>21</v>
      </c>
      <c r="D104" s="37">
        <v>42.823399999999999</v>
      </c>
      <c r="E104" s="37">
        <v>21.823399999999999</v>
      </c>
      <c r="F104" s="176">
        <v>2</v>
      </c>
    </row>
    <row r="105" spans="1:6" x14ac:dyDescent="0.25">
      <c r="A105" s="175" t="s">
        <v>9</v>
      </c>
      <c r="B105" s="176"/>
      <c r="C105" s="37">
        <v>13.5</v>
      </c>
      <c r="D105" s="37">
        <v>20</v>
      </c>
      <c r="E105" s="37">
        <v>6.5</v>
      </c>
      <c r="F105" s="176">
        <v>1</v>
      </c>
    </row>
    <row r="106" spans="1:6" x14ac:dyDescent="0.25">
      <c r="A106" s="175" t="s">
        <v>25</v>
      </c>
      <c r="B106" s="176"/>
      <c r="C106" s="37">
        <v>48</v>
      </c>
      <c r="D106" s="37">
        <v>100</v>
      </c>
      <c r="E106" s="37">
        <v>52</v>
      </c>
      <c r="F106" s="176">
        <v>2</v>
      </c>
    </row>
    <row r="107" spans="1:6" x14ac:dyDescent="0.25">
      <c r="A107" s="175" t="s">
        <v>275</v>
      </c>
      <c r="B107" s="176"/>
      <c r="C107" s="37">
        <v>20</v>
      </c>
      <c r="D107" s="37">
        <v>40</v>
      </c>
      <c r="E107" s="37">
        <v>20</v>
      </c>
      <c r="F107" s="176">
        <v>1</v>
      </c>
    </row>
    <row r="108" spans="1:6" x14ac:dyDescent="0.25">
      <c r="A108" s="175" t="s">
        <v>334</v>
      </c>
      <c r="B108" s="176"/>
      <c r="C108" s="37">
        <v>483</v>
      </c>
      <c r="D108" s="37">
        <v>1030</v>
      </c>
      <c r="E108" s="37">
        <v>547</v>
      </c>
      <c r="F108" s="176">
        <v>8</v>
      </c>
    </row>
    <row r="109" spans="1:6" x14ac:dyDescent="0.25">
      <c r="A109" s="175" t="s">
        <v>95</v>
      </c>
      <c r="B109" s="176">
        <v>1</v>
      </c>
      <c r="C109" s="37">
        <v>12</v>
      </c>
      <c r="D109" s="37">
        <v>24.51</v>
      </c>
      <c r="E109" s="37">
        <v>12.510000000000002</v>
      </c>
      <c r="F109" s="176">
        <v>3</v>
      </c>
    </row>
    <row r="110" spans="1:6" x14ac:dyDescent="0.25">
      <c r="A110" s="175" t="s">
        <v>179</v>
      </c>
      <c r="B110" s="176">
        <v>7</v>
      </c>
      <c r="C110" s="37">
        <v>16</v>
      </c>
      <c r="D110" s="37">
        <v>70.31</v>
      </c>
      <c r="E110" s="37">
        <v>76.31</v>
      </c>
      <c r="F110" s="176">
        <v>4</v>
      </c>
    </row>
    <row r="111" spans="1:6" x14ac:dyDescent="0.25">
      <c r="A111" s="175" t="s">
        <v>473</v>
      </c>
      <c r="B111" s="176">
        <v>1</v>
      </c>
      <c r="C111" s="37">
        <v>15</v>
      </c>
      <c r="D111" s="37">
        <v>37.269000000000005</v>
      </c>
      <c r="E111" s="37">
        <v>22.269000000000005</v>
      </c>
      <c r="F111" s="176">
        <v>1</v>
      </c>
    </row>
    <row r="112" spans="1:6" x14ac:dyDescent="0.25">
      <c r="A112" s="175" t="s">
        <v>199</v>
      </c>
      <c r="B112" s="176">
        <v>4</v>
      </c>
      <c r="C112" s="37">
        <v>66</v>
      </c>
      <c r="D112" s="37">
        <v>146.68</v>
      </c>
      <c r="E112" s="37">
        <v>80.679999999999993</v>
      </c>
      <c r="F112" s="176">
        <v>3</v>
      </c>
    </row>
    <row r="113" spans="1:6" x14ac:dyDescent="0.25">
      <c r="A113" s="175" t="s">
        <v>178</v>
      </c>
      <c r="B113" s="176">
        <v>40</v>
      </c>
      <c r="C113" s="37">
        <v>6</v>
      </c>
      <c r="D113" s="37">
        <v>240</v>
      </c>
      <c r="E113" s="37">
        <v>154.57</v>
      </c>
      <c r="F113" s="176">
        <v>1</v>
      </c>
    </row>
    <row r="114" spans="1:6" x14ac:dyDescent="0.25">
      <c r="A114" s="175" t="s">
        <v>413</v>
      </c>
      <c r="B114" s="176"/>
      <c r="C114" s="37">
        <v>20</v>
      </c>
      <c r="D114" s="37">
        <v>40</v>
      </c>
      <c r="E114" s="37">
        <v>20</v>
      </c>
      <c r="F114" s="176">
        <v>2</v>
      </c>
    </row>
    <row r="115" spans="1:6" x14ac:dyDescent="0.25">
      <c r="A115" s="175" t="s">
        <v>474</v>
      </c>
      <c r="B115" s="176">
        <v>1</v>
      </c>
      <c r="C115" s="37">
        <v>90</v>
      </c>
      <c r="D115" s="37">
        <v>123</v>
      </c>
      <c r="E115" s="37">
        <v>33</v>
      </c>
      <c r="F115" s="176">
        <v>1</v>
      </c>
    </row>
    <row r="116" spans="1:6" x14ac:dyDescent="0.25">
      <c r="A116" s="175" t="s">
        <v>83</v>
      </c>
      <c r="B116" s="176"/>
      <c r="C116" s="37">
        <v>190</v>
      </c>
      <c r="D116" s="37">
        <v>310.58</v>
      </c>
      <c r="E116" s="37">
        <v>120.58000000000001</v>
      </c>
      <c r="F116" s="176">
        <v>3</v>
      </c>
    </row>
    <row r="117" spans="1:6" x14ac:dyDescent="0.25">
      <c r="A117" s="175" t="s">
        <v>467</v>
      </c>
      <c r="B117" s="176"/>
      <c r="C117" s="37">
        <v>220</v>
      </c>
      <c r="D117" s="37">
        <v>300</v>
      </c>
      <c r="E117" s="37">
        <v>80</v>
      </c>
      <c r="F117" s="176">
        <v>2</v>
      </c>
    </row>
    <row r="118" spans="1:6" x14ac:dyDescent="0.25">
      <c r="A118" s="175" t="s">
        <v>213</v>
      </c>
      <c r="B118" s="176"/>
      <c r="C118" s="37">
        <v>30</v>
      </c>
      <c r="D118" s="37">
        <v>50</v>
      </c>
      <c r="E118" s="37">
        <v>20</v>
      </c>
      <c r="F118" s="176">
        <v>1</v>
      </c>
    </row>
    <row r="119" spans="1:6" x14ac:dyDescent="0.25">
      <c r="A119" s="175" t="s">
        <v>191</v>
      </c>
      <c r="B119" s="176"/>
      <c r="C119" s="37">
        <v>150</v>
      </c>
      <c r="D119" s="37">
        <v>300</v>
      </c>
      <c r="E119" s="37">
        <v>150</v>
      </c>
      <c r="F119" s="176">
        <v>5</v>
      </c>
    </row>
    <row r="120" spans="1:6" x14ac:dyDescent="0.25">
      <c r="A120" s="175" t="s">
        <v>148</v>
      </c>
      <c r="B120" s="176"/>
      <c r="C120" s="37">
        <v>55</v>
      </c>
      <c r="D120" s="37">
        <v>100</v>
      </c>
      <c r="E120" s="37">
        <v>45</v>
      </c>
      <c r="F120" s="176">
        <v>2</v>
      </c>
    </row>
    <row r="121" spans="1:6" x14ac:dyDescent="0.25">
      <c r="A121" s="175" t="s">
        <v>287</v>
      </c>
      <c r="B121" s="176"/>
      <c r="C121" s="37">
        <v>10</v>
      </c>
      <c r="D121" s="37">
        <v>20</v>
      </c>
      <c r="E121" s="37">
        <v>10</v>
      </c>
      <c r="F121" s="176">
        <v>1</v>
      </c>
    </row>
    <row r="122" spans="1:6" x14ac:dyDescent="0.25">
      <c r="A122" s="175" t="s">
        <v>151</v>
      </c>
      <c r="B122" s="176"/>
      <c r="C122" s="37">
        <v>12</v>
      </c>
      <c r="D122" s="37">
        <v>50</v>
      </c>
      <c r="E122" s="37">
        <v>38</v>
      </c>
      <c r="F122" s="176">
        <v>1</v>
      </c>
    </row>
    <row r="123" spans="1:6" x14ac:dyDescent="0.25">
      <c r="A123" s="175" t="s">
        <v>96</v>
      </c>
      <c r="B123" s="176">
        <v>1</v>
      </c>
      <c r="C123" s="37">
        <v>53</v>
      </c>
      <c r="D123" s="37">
        <v>90.61</v>
      </c>
      <c r="E123" s="37">
        <v>37.61</v>
      </c>
      <c r="F123" s="176">
        <v>2</v>
      </c>
    </row>
    <row r="124" spans="1:6" x14ac:dyDescent="0.25">
      <c r="A124" s="175" t="s">
        <v>368</v>
      </c>
      <c r="B124" s="176">
        <v>1</v>
      </c>
      <c r="C124" s="37">
        <v>260</v>
      </c>
      <c r="D124" s="37">
        <v>480.17</v>
      </c>
      <c r="E124" s="37">
        <v>220.17000000000002</v>
      </c>
      <c r="F124" s="176">
        <v>1</v>
      </c>
    </row>
    <row r="125" spans="1:6" x14ac:dyDescent="0.25">
      <c r="A125" s="175" t="s">
        <v>200</v>
      </c>
      <c r="B125" s="176">
        <v>16</v>
      </c>
      <c r="C125" s="37">
        <v>60</v>
      </c>
      <c r="D125" s="37">
        <v>550.9</v>
      </c>
      <c r="E125" s="37">
        <v>490.9</v>
      </c>
      <c r="F125" s="176">
        <v>2</v>
      </c>
    </row>
    <row r="126" spans="1:6" x14ac:dyDescent="0.25">
      <c r="A126" s="175" t="s">
        <v>127</v>
      </c>
      <c r="B126" s="176">
        <v>100</v>
      </c>
      <c r="C126" s="37">
        <v>124</v>
      </c>
      <c r="D126" s="37">
        <v>765.89</v>
      </c>
      <c r="E126" s="37">
        <v>936.04000000000008</v>
      </c>
      <c r="F126" s="176">
        <v>4</v>
      </c>
    </row>
    <row r="127" spans="1:6" x14ac:dyDescent="0.25">
      <c r="A127" s="175" t="s">
        <v>475</v>
      </c>
      <c r="B127" s="176">
        <v>1</v>
      </c>
      <c r="C127" s="37">
        <v>1</v>
      </c>
      <c r="D127" s="37">
        <v>5.1331999999999995</v>
      </c>
      <c r="E127" s="37">
        <v>4.1331999999999995</v>
      </c>
      <c r="F127" s="176">
        <v>1</v>
      </c>
    </row>
    <row r="128" spans="1:6" x14ac:dyDescent="0.25">
      <c r="A128" s="175" t="s">
        <v>457</v>
      </c>
      <c r="B128" s="176"/>
      <c r="C128" s="37">
        <v>9</v>
      </c>
      <c r="D128" s="37">
        <v>30</v>
      </c>
      <c r="E128" s="37">
        <v>21</v>
      </c>
      <c r="F128" s="176">
        <v>1</v>
      </c>
    </row>
    <row r="129" spans="1:6" x14ac:dyDescent="0.25">
      <c r="A129" s="175" t="s">
        <v>26</v>
      </c>
      <c r="B129" s="176"/>
      <c r="C129" s="37">
        <v>14.9</v>
      </c>
      <c r="D129" s="37">
        <v>30</v>
      </c>
      <c r="E129" s="37">
        <v>15.1</v>
      </c>
      <c r="F129" s="176">
        <v>1</v>
      </c>
    </row>
    <row r="130" spans="1:6" x14ac:dyDescent="0.25">
      <c r="A130" s="175" t="s">
        <v>424</v>
      </c>
      <c r="B130" s="176"/>
      <c r="C130" s="37">
        <v>3</v>
      </c>
      <c r="D130" s="37">
        <v>10</v>
      </c>
      <c r="E130" s="37">
        <v>7</v>
      </c>
      <c r="F130" s="176">
        <v>1</v>
      </c>
    </row>
    <row r="131" spans="1:6" x14ac:dyDescent="0.25">
      <c r="A131" s="175" t="s">
        <v>219</v>
      </c>
      <c r="B131" s="176">
        <v>1</v>
      </c>
      <c r="C131" s="37">
        <v>12</v>
      </c>
      <c r="D131" s="37">
        <v>56.32</v>
      </c>
      <c r="E131" s="37">
        <v>44.32</v>
      </c>
      <c r="F131" s="176">
        <v>2</v>
      </c>
    </row>
    <row r="132" spans="1:6" x14ac:dyDescent="0.25">
      <c r="A132" s="175" t="s">
        <v>97</v>
      </c>
      <c r="B132" s="176">
        <v>1</v>
      </c>
      <c r="C132" s="37">
        <v>11</v>
      </c>
      <c r="D132" s="37">
        <v>29.5</v>
      </c>
      <c r="E132" s="37">
        <v>25.22</v>
      </c>
      <c r="F132" s="176">
        <v>3</v>
      </c>
    </row>
    <row r="133" spans="1:6" x14ac:dyDescent="0.25">
      <c r="A133" s="175" t="s">
        <v>177</v>
      </c>
      <c r="B133" s="176">
        <v>1</v>
      </c>
      <c r="C133" s="37">
        <v>85</v>
      </c>
      <c r="D133" s="37">
        <v>114.99</v>
      </c>
      <c r="E133" s="37">
        <v>74.64</v>
      </c>
      <c r="F133" s="176">
        <v>2</v>
      </c>
    </row>
    <row r="134" spans="1:6" x14ac:dyDescent="0.25">
      <c r="A134" s="175" t="s">
        <v>274</v>
      </c>
      <c r="B134" s="176"/>
      <c r="C134" s="37">
        <v>242</v>
      </c>
      <c r="D134" s="37">
        <v>470</v>
      </c>
      <c r="E134" s="37">
        <v>228</v>
      </c>
      <c r="F134" s="176">
        <v>8</v>
      </c>
    </row>
    <row r="135" spans="1:6" x14ac:dyDescent="0.25">
      <c r="A135" s="175" t="s">
        <v>189</v>
      </c>
      <c r="B135" s="176"/>
      <c r="C135" s="37">
        <v>30</v>
      </c>
      <c r="D135" s="37">
        <v>60</v>
      </c>
      <c r="E135" s="37">
        <v>30</v>
      </c>
      <c r="F135" s="176">
        <v>1</v>
      </c>
    </row>
    <row r="136" spans="1:6" x14ac:dyDescent="0.25">
      <c r="A136" s="175" t="s">
        <v>122</v>
      </c>
      <c r="B136" s="176"/>
      <c r="C136" s="37">
        <v>26</v>
      </c>
      <c r="D136" s="37">
        <v>50</v>
      </c>
      <c r="E136" s="37">
        <v>24</v>
      </c>
      <c r="F136" s="176">
        <v>1</v>
      </c>
    </row>
    <row r="137" spans="1:6" x14ac:dyDescent="0.25">
      <c r="A137" s="175" t="s">
        <v>145</v>
      </c>
      <c r="B137" s="176">
        <v>3</v>
      </c>
      <c r="C137" s="37">
        <v>20</v>
      </c>
      <c r="D137" s="37">
        <v>35.519999999999996</v>
      </c>
      <c r="E137" s="37">
        <v>15.52</v>
      </c>
      <c r="F137" s="176">
        <v>3</v>
      </c>
    </row>
    <row r="138" spans="1:6" x14ac:dyDescent="0.25">
      <c r="A138" s="175" t="s">
        <v>176</v>
      </c>
      <c r="B138" s="176">
        <v>1</v>
      </c>
      <c r="C138" s="37">
        <v>6</v>
      </c>
      <c r="D138" s="37">
        <v>6</v>
      </c>
      <c r="E138" s="37">
        <v>2</v>
      </c>
      <c r="F138" s="176">
        <v>1</v>
      </c>
    </row>
    <row r="139" spans="1:6" x14ac:dyDescent="0.25">
      <c r="A139" s="175" t="s">
        <v>82</v>
      </c>
      <c r="B139" s="176"/>
      <c r="C139" s="37">
        <v>42</v>
      </c>
      <c r="D139" s="37">
        <v>62.8</v>
      </c>
      <c r="E139" s="37">
        <v>20.799999999999997</v>
      </c>
      <c r="F139" s="176">
        <v>1</v>
      </c>
    </row>
    <row r="140" spans="1:6" x14ac:dyDescent="0.25">
      <c r="A140" s="175" t="s">
        <v>431</v>
      </c>
      <c r="B140" s="176">
        <v>2</v>
      </c>
      <c r="C140" s="37">
        <v>12</v>
      </c>
      <c r="D140" s="37">
        <v>46.18</v>
      </c>
      <c r="E140" s="37">
        <v>34.18</v>
      </c>
      <c r="F140" s="176">
        <v>1</v>
      </c>
    </row>
    <row r="141" spans="1:6" x14ac:dyDescent="0.25">
      <c r="A141" s="175" t="s">
        <v>400</v>
      </c>
      <c r="B141" s="176">
        <v>1</v>
      </c>
      <c r="C141" s="37">
        <v>6</v>
      </c>
      <c r="D141" s="37">
        <v>8.5500000000000007</v>
      </c>
      <c r="E141" s="37">
        <v>2.5500000000000007</v>
      </c>
      <c r="F141" s="176">
        <v>1</v>
      </c>
    </row>
    <row r="142" spans="1:6" x14ac:dyDescent="0.25">
      <c r="A142" s="175" t="s">
        <v>432</v>
      </c>
      <c r="B142" s="176">
        <v>8</v>
      </c>
      <c r="C142" s="37">
        <v>48</v>
      </c>
      <c r="D142" s="37">
        <v>80.22</v>
      </c>
      <c r="E142" s="37">
        <v>32.22</v>
      </c>
      <c r="F142" s="176">
        <v>1</v>
      </c>
    </row>
    <row r="143" spans="1:6" x14ac:dyDescent="0.25">
      <c r="A143" s="175" t="s">
        <v>201</v>
      </c>
      <c r="B143" s="176">
        <v>3</v>
      </c>
      <c r="C143" s="37">
        <v>17</v>
      </c>
      <c r="D143" s="37">
        <v>42.989999999999995</v>
      </c>
      <c r="E143" s="37">
        <v>25.99</v>
      </c>
      <c r="F143" s="176">
        <v>3</v>
      </c>
    </row>
    <row r="144" spans="1:6" x14ac:dyDescent="0.25">
      <c r="A144" s="175" t="s">
        <v>251</v>
      </c>
      <c r="B144" s="176"/>
      <c r="C144" s="37">
        <v>15</v>
      </c>
      <c r="D144" s="37">
        <v>28.56</v>
      </c>
      <c r="E144" s="37">
        <v>13.559999999999999</v>
      </c>
      <c r="F144" s="176">
        <v>1</v>
      </c>
    </row>
    <row r="145" spans="1:6" x14ac:dyDescent="0.25">
      <c r="A145" s="175" t="s">
        <v>364</v>
      </c>
      <c r="B145" s="176">
        <v>4</v>
      </c>
      <c r="C145" s="37">
        <v>7</v>
      </c>
      <c r="D145" s="37">
        <v>50.15</v>
      </c>
      <c r="E145" s="37">
        <v>22.15</v>
      </c>
      <c r="F145" s="176">
        <v>1</v>
      </c>
    </row>
    <row r="146" spans="1:6" x14ac:dyDescent="0.25">
      <c r="A146" s="175" t="s">
        <v>346</v>
      </c>
      <c r="B146" s="176"/>
      <c r="C146" s="37">
        <v>9</v>
      </c>
      <c r="D146" s="37">
        <v>18</v>
      </c>
      <c r="E146" s="37">
        <v>9</v>
      </c>
      <c r="F146" s="176">
        <v>3</v>
      </c>
    </row>
    <row r="147" spans="1:6" x14ac:dyDescent="0.25">
      <c r="A147" s="175" t="s">
        <v>252</v>
      </c>
      <c r="B147" s="176">
        <v>1</v>
      </c>
      <c r="C147" s="37">
        <v>1.9</v>
      </c>
      <c r="D147" s="37">
        <v>4.07</v>
      </c>
      <c r="E147" s="37">
        <v>2.17</v>
      </c>
      <c r="F147" s="176">
        <v>2</v>
      </c>
    </row>
    <row r="148" spans="1:6" x14ac:dyDescent="0.25">
      <c r="A148" s="175" t="s">
        <v>98</v>
      </c>
      <c r="B148" s="176">
        <v>36</v>
      </c>
      <c r="C148" s="37">
        <v>34.399999999999991</v>
      </c>
      <c r="D148" s="37">
        <v>79.710000000000008</v>
      </c>
      <c r="E148" s="37">
        <v>44.410000000000011</v>
      </c>
      <c r="F148" s="176">
        <v>8</v>
      </c>
    </row>
    <row r="149" spans="1:6" x14ac:dyDescent="0.25">
      <c r="A149" s="175" t="s">
        <v>433</v>
      </c>
      <c r="B149" s="176">
        <v>1</v>
      </c>
      <c r="C149" s="37">
        <v>4</v>
      </c>
      <c r="D149" s="37">
        <v>14.53</v>
      </c>
      <c r="E149" s="37">
        <v>10.53</v>
      </c>
      <c r="F149" s="176">
        <v>1</v>
      </c>
    </row>
    <row r="150" spans="1:6" x14ac:dyDescent="0.25">
      <c r="A150" s="175" t="s">
        <v>408</v>
      </c>
      <c r="B150" s="176"/>
      <c r="C150" s="37">
        <v>5</v>
      </c>
      <c r="D150" s="37">
        <v>10</v>
      </c>
      <c r="E150" s="37">
        <v>5</v>
      </c>
      <c r="F150" s="176">
        <v>1</v>
      </c>
    </row>
    <row r="151" spans="1:6" x14ac:dyDescent="0.25">
      <c r="A151" s="175" t="s">
        <v>373</v>
      </c>
      <c r="B151" s="176"/>
      <c r="C151" s="37">
        <v>15</v>
      </c>
      <c r="D151" s="37">
        <v>50</v>
      </c>
      <c r="E151" s="37">
        <v>35</v>
      </c>
      <c r="F151" s="176">
        <v>1</v>
      </c>
    </row>
    <row r="152" spans="1:6" x14ac:dyDescent="0.25">
      <c r="A152" s="175" t="s">
        <v>423</v>
      </c>
      <c r="B152" s="176"/>
      <c r="C152" s="37">
        <v>15</v>
      </c>
      <c r="D152" s="37">
        <v>30</v>
      </c>
      <c r="E152" s="37">
        <v>15</v>
      </c>
      <c r="F152" s="176">
        <v>1</v>
      </c>
    </row>
    <row r="153" spans="1:6" x14ac:dyDescent="0.25">
      <c r="A153" s="175" t="s">
        <v>160</v>
      </c>
      <c r="B153" s="176"/>
      <c r="C153" s="37">
        <v>33</v>
      </c>
      <c r="D153" s="37">
        <v>80</v>
      </c>
      <c r="E153" s="37">
        <v>47</v>
      </c>
      <c r="F153" s="176">
        <v>1</v>
      </c>
    </row>
    <row r="154" spans="1:6" x14ac:dyDescent="0.25">
      <c r="A154" s="175" t="s">
        <v>426</v>
      </c>
      <c r="B154" s="176"/>
      <c r="C154" s="37">
        <v>30</v>
      </c>
      <c r="D154" s="37">
        <v>60</v>
      </c>
      <c r="E154" s="37">
        <v>30</v>
      </c>
      <c r="F154" s="176">
        <v>1</v>
      </c>
    </row>
    <row r="155" spans="1:6" x14ac:dyDescent="0.25">
      <c r="A155" s="175" t="s">
        <v>311</v>
      </c>
      <c r="B155" s="176"/>
      <c r="C155" s="37">
        <v>13</v>
      </c>
      <c r="D155" s="37">
        <v>30</v>
      </c>
      <c r="E155" s="37">
        <v>17</v>
      </c>
      <c r="F155" s="176">
        <v>1</v>
      </c>
    </row>
    <row r="156" spans="1:6" x14ac:dyDescent="0.25">
      <c r="A156" s="175" t="s">
        <v>363</v>
      </c>
      <c r="B156" s="176">
        <v>1</v>
      </c>
      <c r="C156" s="37">
        <v>30</v>
      </c>
      <c r="D156" s="37">
        <v>50.15</v>
      </c>
      <c r="E156" s="37">
        <v>20.149999999999999</v>
      </c>
      <c r="F156" s="176">
        <v>1</v>
      </c>
    </row>
    <row r="157" spans="1:6" x14ac:dyDescent="0.25">
      <c r="A157" s="175" t="s">
        <v>476</v>
      </c>
      <c r="B157" s="176">
        <v>1</v>
      </c>
      <c r="C157" s="37">
        <v>9</v>
      </c>
      <c r="D157" s="37">
        <v>11.5456</v>
      </c>
      <c r="E157" s="37">
        <v>2.5456000000000003</v>
      </c>
      <c r="F157" s="176">
        <v>1</v>
      </c>
    </row>
    <row r="158" spans="1:6" x14ac:dyDescent="0.25">
      <c r="A158" s="175" t="s">
        <v>81</v>
      </c>
      <c r="B158" s="176">
        <v>33</v>
      </c>
      <c r="C158" s="37">
        <v>118.5</v>
      </c>
      <c r="D158" s="37">
        <v>341.36000000000007</v>
      </c>
      <c r="E158" s="37">
        <v>226.82999999999998</v>
      </c>
      <c r="F158" s="176">
        <v>7</v>
      </c>
    </row>
    <row r="159" spans="1:6" x14ac:dyDescent="0.25">
      <c r="A159" s="175" t="s">
        <v>210</v>
      </c>
      <c r="B159" s="176"/>
      <c r="C159" s="37">
        <v>2</v>
      </c>
      <c r="D159" s="37">
        <v>30</v>
      </c>
      <c r="E159" s="37">
        <v>28</v>
      </c>
      <c r="F159" s="176">
        <v>1</v>
      </c>
    </row>
    <row r="160" spans="1:6" x14ac:dyDescent="0.25">
      <c r="A160" s="175" t="s">
        <v>166</v>
      </c>
      <c r="B160" s="176"/>
      <c r="C160" s="37">
        <v>80</v>
      </c>
      <c r="D160" s="37">
        <v>150</v>
      </c>
      <c r="E160" s="37">
        <v>70</v>
      </c>
      <c r="F160" s="176">
        <v>1</v>
      </c>
    </row>
    <row r="161" spans="1:6" x14ac:dyDescent="0.25">
      <c r="A161" s="175" t="s">
        <v>465</v>
      </c>
      <c r="B161" s="176"/>
      <c r="C161" s="37">
        <v>65</v>
      </c>
      <c r="D161" s="37">
        <v>135</v>
      </c>
      <c r="E161" s="37">
        <v>70</v>
      </c>
      <c r="F161" s="176">
        <v>2</v>
      </c>
    </row>
    <row r="162" spans="1:6" x14ac:dyDescent="0.25">
      <c r="A162" s="175" t="s">
        <v>146</v>
      </c>
      <c r="B162" s="176"/>
      <c r="C162" s="37">
        <v>65</v>
      </c>
      <c r="D162" s="37">
        <v>120</v>
      </c>
      <c r="E162" s="37">
        <v>55</v>
      </c>
      <c r="F162" s="176">
        <v>1</v>
      </c>
    </row>
    <row r="163" spans="1:6" x14ac:dyDescent="0.25">
      <c r="A163" s="175" t="s">
        <v>147</v>
      </c>
      <c r="B163" s="176"/>
      <c r="C163" s="37">
        <v>9</v>
      </c>
      <c r="D163" s="37">
        <v>25</v>
      </c>
      <c r="E163" s="37">
        <v>16</v>
      </c>
      <c r="F163" s="176">
        <v>1</v>
      </c>
    </row>
    <row r="164" spans="1:6" x14ac:dyDescent="0.25">
      <c r="A164" s="175" t="s">
        <v>27</v>
      </c>
      <c r="B164" s="176"/>
      <c r="C164" s="37">
        <v>8</v>
      </c>
      <c r="D164" s="37">
        <v>30</v>
      </c>
      <c r="E164" s="37">
        <v>22</v>
      </c>
      <c r="F164" s="176">
        <v>2</v>
      </c>
    </row>
    <row r="165" spans="1:6" x14ac:dyDescent="0.25">
      <c r="A165" s="175" t="s">
        <v>182</v>
      </c>
      <c r="B165" s="176"/>
      <c r="C165" s="37">
        <v>10</v>
      </c>
      <c r="D165" s="37">
        <v>40</v>
      </c>
      <c r="E165" s="37">
        <v>30</v>
      </c>
      <c r="F165" s="176">
        <v>4</v>
      </c>
    </row>
    <row r="166" spans="1:6" x14ac:dyDescent="0.25">
      <c r="A166" s="175" t="s">
        <v>388</v>
      </c>
      <c r="B166" s="176"/>
      <c r="C166" s="37">
        <v>10</v>
      </c>
      <c r="D166" s="37">
        <v>20</v>
      </c>
      <c r="E166" s="37">
        <v>10</v>
      </c>
      <c r="F166" s="176">
        <v>2</v>
      </c>
    </row>
    <row r="167" spans="1:6" x14ac:dyDescent="0.25">
      <c r="A167" s="175" t="s">
        <v>10</v>
      </c>
      <c r="B167" s="176"/>
      <c r="C167" s="37">
        <v>60</v>
      </c>
      <c r="D167" s="37">
        <v>100</v>
      </c>
      <c r="E167" s="37">
        <v>40</v>
      </c>
      <c r="F167" s="176">
        <v>1</v>
      </c>
    </row>
    <row r="168" spans="1:6" x14ac:dyDescent="0.25">
      <c r="A168" s="175" t="s">
        <v>156</v>
      </c>
      <c r="B168" s="176"/>
      <c r="C168" s="37">
        <v>160</v>
      </c>
      <c r="D168" s="37">
        <v>250</v>
      </c>
      <c r="E168" s="37">
        <v>90</v>
      </c>
      <c r="F168" s="176">
        <v>1</v>
      </c>
    </row>
    <row r="169" spans="1:6" x14ac:dyDescent="0.25">
      <c r="A169" s="175" t="s">
        <v>164</v>
      </c>
      <c r="B169" s="176"/>
      <c r="C169" s="37">
        <v>50</v>
      </c>
      <c r="D169" s="37">
        <v>195</v>
      </c>
      <c r="E169" s="37">
        <v>145</v>
      </c>
      <c r="F169" s="176">
        <v>2</v>
      </c>
    </row>
    <row r="170" spans="1:6" x14ac:dyDescent="0.25">
      <c r="A170" s="175" t="s">
        <v>352</v>
      </c>
      <c r="B170" s="176"/>
      <c r="C170" s="37">
        <v>23</v>
      </c>
      <c r="D170" s="37">
        <v>50</v>
      </c>
      <c r="E170" s="37">
        <v>27</v>
      </c>
      <c r="F170" s="176">
        <v>1</v>
      </c>
    </row>
    <row r="171" spans="1:6" x14ac:dyDescent="0.25">
      <c r="A171" s="175" t="s">
        <v>301</v>
      </c>
      <c r="B171" s="176"/>
      <c r="C171" s="37">
        <v>33.72</v>
      </c>
      <c r="D171" s="37">
        <v>170</v>
      </c>
      <c r="E171" s="37">
        <v>136.28</v>
      </c>
      <c r="F171" s="176">
        <v>3</v>
      </c>
    </row>
    <row r="172" spans="1:6" x14ac:dyDescent="0.25">
      <c r="A172" s="175" t="s">
        <v>299</v>
      </c>
      <c r="B172" s="176"/>
      <c r="C172" s="37">
        <v>10</v>
      </c>
      <c r="D172" s="37">
        <v>15</v>
      </c>
      <c r="E172" s="37">
        <v>5</v>
      </c>
      <c r="F172" s="176">
        <v>1</v>
      </c>
    </row>
    <row r="173" spans="1:6" x14ac:dyDescent="0.25">
      <c r="A173" s="175" t="s">
        <v>69</v>
      </c>
      <c r="B173" s="176"/>
      <c r="C173" s="37">
        <v>0</v>
      </c>
      <c r="D173" s="37">
        <v>120</v>
      </c>
      <c r="E173" s="37">
        <v>120</v>
      </c>
      <c r="F173" s="176">
        <v>2</v>
      </c>
    </row>
    <row r="174" spans="1:6" x14ac:dyDescent="0.25">
      <c r="A174" s="175" t="s">
        <v>328</v>
      </c>
      <c r="B174" s="176"/>
      <c r="C174" s="37">
        <v>0</v>
      </c>
      <c r="D174" s="37">
        <v>100</v>
      </c>
      <c r="E174" s="37">
        <v>100</v>
      </c>
      <c r="F174" s="176">
        <v>2</v>
      </c>
    </row>
    <row r="175" spans="1:6" x14ac:dyDescent="0.25">
      <c r="A175" s="175" t="s">
        <v>477</v>
      </c>
      <c r="B175" s="176">
        <v>1</v>
      </c>
      <c r="C175" s="37">
        <v>58</v>
      </c>
      <c r="D175" s="37">
        <v>131.8888</v>
      </c>
      <c r="E175" s="37">
        <v>73.888800000000003</v>
      </c>
      <c r="F175" s="176">
        <v>1</v>
      </c>
    </row>
    <row r="176" spans="1:6" x14ac:dyDescent="0.25">
      <c r="A176" s="175" t="s">
        <v>134</v>
      </c>
      <c r="B176" s="176">
        <v>2</v>
      </c>
      <c r="C176" s="37">
        <v>12</v>
      </c>
      <c r="D176" s="37">
        <v>31.42</v>
      </c>
      <c r="E176" s="37">
        <v>19.420000000000002</v>
      </c>
      <c r="F176" s="176">
        <v>1</v>
      </c>
    </row>
    <row r="177" spans="1:6" x14ac:dyDescent="0.25">
      <c r="A177" s="175" t="s">
        <v>175</v>
      </c>
      <c r="B177" s="176">
        <v>11</v>
      </c>
      <c r="C177" s="37">
        <v>55</v>
      </c>
      <c r="D177" s="37">
        <v>139.71</v>
      </c>
      <c r="E177" s="37">
        <v>93.35</v>
      </c>
      <c r="F177" s="176">
        <v>5</v>
      </c>
    </row>
    <row r="178" spans="1:6" x14ac:dyDescent="0.25">
      <c r="A178" s="175" t="s">
        <v>319</v>
      </c>
      <c r="B178" s="176"/>
      <c r="C178" s="37">
        <v>12</v>
      </c>
      <c r="D178" s="37">
        <v>40.870000000000005</v>
      </c>
      <c r="E178" s="37">
        <v>28.870000000000005</v>
      </c>
      <c r="F178" s="176">
        <v>1</v>
      </c>
    </row>
    <row r="179" spans="1:6" x14ac:dyDescent="0.25">
      <c r="A179" s="175" t="s">
        <v>333</v>
      </c>
      <c r="B179" s="176"/>
      <c r="C179" s="37">
        <v>13.8</v>
      </c>
      <c r="D179" s="37">
        <v>30</v>
      </c>
      <c r="E179" s="37">
        <v>16.2</v>
      </c>
      <c r="F179" s="176">
        <v>2</v>
      </c>
    </row>
    <row r="180" spans="1:6" x14ac:dyDescent="0.25">
      <c r="A180" s="175" t="s">
        <v>320</v>
      </c>
      <c r="B180" s="176"/>
      <c r="C180" s="37">
        <v>11</v>
      </c>
      <c r="D180" s="37">
        <v>15.53</v>
      </c>
      <c r="E180" s="37">
        <v>4.5299999999999994</v>
      </c>
      <c r="F180" s="176">
        <v>1</v>
      </c>
    </row>
    <row r="181" spans="1:6" x14ac:dyDescent="0.25">
      <c r="A181" s="175" t="s">
        <v>478</v>
      </c>
      <c r="B181" s="176">
        <v>2</v>
      </c>
      <c r="C181" s="37">
        <v>3.6</v>
      </c>
      <c r="D181" s="37">
        <v>10.914200000000001</v>
      </c>
      <c r="E181" s="37">
        <v>7.3142000000000014</v>
      </c>
      <c r="F181" s="176">
        <v>1</v>
      </c>
    </row>
    <row r="182" spans="1:6" x14ac:dyDescent="0.25">
      <c r="A182" s="175" t="s">
        <v>253</v>
      </c>
      <c r="B182" s="176"/>
      <c r="C182" s="37">
        <v>12</v>
      </c>
      <c r="D182" s="37">
        <v>21.63</v>
      </c>
      <c r="E182" s="37">
        <v>9.629999999999999</v>
      </c>
      <c r="F182" s="176">
        <v>1</v>
      </c>
    </row>
    <row r="183" spans="1:6" x14ac:dyDescent="0.25">
      <c r="A183" s="175" t="s">
        <v>278</v>
      </c>
      <c r="B183" s="176">
        <v>1</v>
      </c>
      <c r="C183" s="37">
        <v>15</v>
      </c>
      <c r="D183" s="37">
        <v>35</v>
      </c>
      <c r="E183" s="37">
        <v>20</v>
      </c>
      <c r="F183" s="176">
        <v>1</v>
      </c>
    </row>
    <row r="184" spans="1:6" x14ac:dyDescent="0.25">
      <c r="A184" s="175" t="s">
        <v>335</v>
      </c>
      <c r="B184" s="176"/>
      <c r="C184" s="37">
        <v>4</v>
      </c>
      <c r="D184" s="37">
        <v>25</v>
      </c>
      <c r="E184" s="37">
        <v>21</v>
      </c>
      <c r="F184" s="176">
        <v>1</v>
      </c>
    </row>
    <row r="185" spans="1:6" x14ac:dyDescent="0.25">
      <c r="A185" s="175" t="s">
        <v>71</v>
      </c>
      <c r="B185" s="176"/>
      <c r="C185" s="37">
        <v>22</v>
      </c>
      <c r="D185" s="37">
        <v>40</v>
      </c>
      <c r="E185" s="37">
        <v>18</v>
      </c>
      <c r="F185" s="176">
        <v>1</v>
      </c>
    </row>
    <row r="186" spans="1:6" x14ac:dyDescent="0.25">
      <c r="A186" s="175" t="s">
        <v>28</v>
      </c>
      <c r="B186" s="176"/>
      <c r="C186" s="37">
        <v>12</v>
      </c>
      <c r="D186" s="37">
        <v>50</v>
      </c>
      <c r="E186" s="37">
        <v>38</v>
      </c>
      <c r="F186" s="176">
        <v>3</v>
      </c>
    </row>
    <row r="187" spans="1:6" x14ac:dyDescent="0.25">
      <c r="A187" s="175" t="s">
        <v>70</v>
      </c>
      <c r="B187" s="176"/>
      <c r="C187" s="37">
        <v>12</v>
      </c>
      <c r="D187" s="37">
        <v>65</v>
      </c>
      <c r="E187" s="37">
        <v>53</v>
      </c>
      <c r="F187" s="176">
        <v>5</v>
      </c>
    </row>
    <row r="188" spans="1:6" x14ac:dyDescent="0.25">
      <c r="A188" s="175" t="s">
        <v>135</v>
      </c>
      <c r="B188" s="176">
        <v>13</v>
      </c>
      <c r="C188" s="37">
        <v>41</v>
      </c>
      <c r="D188" s="37">
        <v>134.32</v>
      </c>
      <c r="E188" s="37">
        <v>115.26999999999998</v>
      </c>
      <c r="F188" s="176">
        <v>8</v>
      </c>
    </row>
    <row r="189" spans="1:6" x14ac:dyDescent="0.25">
      <c r="A189" s="175" t="s">
        <v>289</v>
      </c>
      <c r="B189" s="176"/>
      <c r="C189" s="37">
        <v>4</v>
      </c>
      <c r="D189" s="37">
        <v>20</v>
      </c>
      <c r="E189" s="37">
        <v>16</v>
      </c>
      <c r="F189" s="176">
        <v>2</v>
      </c>
    </row>
    <row r="190" spans="1:6" x14ac:dyDescent="0.25">
      <c r="A190" s="175" t="s">
        <v>392</v>
      </c>
      <c r="B190" s="176"/>
      <c r="C190" s="37">
        <v>27</v>
      </c>
      <c r="D190" s="37">
        <v>38.799999999999997</v>
      </c>
      <c r="E190" s="37">
        <v>11.799999999999997</v>
      </c>
      <c r="F190" s="176">
        <v>2</v>
      </c>
    </row>
    <row r="191" spans="1:6" x14ac:dyDescent="0.25">
      <c r="A191" s="175" t="s">
        <v>370</v>
      </c>
      <c r="B191" s="176"/>
      <c r="C191" s="37">
        <v>194</v>
      </c>
      <c r="D191" s="37">
        <v>396</v>
      </c>
      <c r="E191" s="37">
        <v>202</v>
      </c>
      <c r="F191" s="176">
        <v>5</v>
      </c>
    </row>
    <row r="192" spans="1:6" x14ac:dyDescent="0.25">
      <c r="A192" s="175" t="s">
        <v>77</v>
      </c>
      <c r="B192" s="176">
        <v>64</v>
      </c>
      <c r="C192" s="37">
        <v>4980</v>
      </c>
      <c r="D192" s="37">
        <v>9413.5103999999992</v>
      </c>
      <c r="E192" s="37">
        <v>4433.5103999999992</v>
      </c>
      <c r="F192" s="176">
        <v>8</v>
      </c>
    </row>
    <row r="193" spans="1:6" x14ac:dyDescent="0.25">
      <c r="A193" s="175" t="s">
        <v>220</v>
      </c>
      <c r="B193" s="176">
        <v>142</v>
      </c>
      <c r="C193" s="37">
        <v>5815</v>
      </c>
      <c r="D193" s="37">
        <v>14959.220000000001</v>
      </c>
      <c r="E193" s="37">
        <v>7464.2199999999993</v>
      </c>
      <c r="F193" s="176">
        <v>6</v>
      </c>
    </row>
    <row r="194" spans="1:6" x14ac:dyDescent="0.25">
      <c r="A194" s="175" t="s">
        <v>124</v>
      </c>
      <c r="B194" s="176">
        <v>69</v>
      </c>
      <c r="C194" s="37">
        <v>1330</v>
      </c>
      <c r="D194" s="37">
        <v>3439.84</v>
      </c>
      <c r="E194" s="37">
        <v>2219.6800000000003</v>
      </c>
      <c r="F194" s="176">
        <v>2</v>
      </c>
    </row>
    <row r="195" spans="1:6" x14ac:dyDescent="0.25">
      <c r="A195" s="175" t="s">
        <v>29</v>
      </c>
      <c r="B195" s="176"/>
      <c r="C195" s="37">
        <v>180</v>
      </c>
      <c r="D195" s="37">
        <v>330</v>
      </c>
      <c r="E195" s="37">
        <v>150</v>
      </c>
      <c r="F195" s="176">
        <v>3</v>
      </c>
    </row>
    <row r="196" spans="1:6" x14ac:dyDescent="0.25">
      <c r="A196" s="175" t="s">
        <v>30</v>
      </c>
      <c r="B196" s="176"/>
      <c r="C196" s="37">
        <v>216</v>
      </c>
      <c r="D196" s="37">
        <v>430</v>
      </c>
      <c r="E196" s="37">
        <v>214</v>
      </c>
      <c r="F196" s="176">
        <v>6</v>
      </c>
    </row>
    <row r="197" spans="1:6" x14ac:dyDescent="0.25">
      <c r="A197" s="175" t="s">
        <v>355</v>
      </c>
      <c r="B197" s="176"/>
      <c r="C197" s="37">
        <v>48</v>
      </c>
      <c r="D197" s="37">
        <v>80</v>
      </c>
      <c r="E197" s="37">
        <v>32</v>
      </c>
      <c r="F197" s="176">
        <v>1</v>
      </c>
    </row>
    <row r="198" spans="1:6" x14ac:dyDescent="0.25">
      <c r="A198" s="175" t="s">
        <v>434</v>
      </c>
      <c r="B198" s="176">
        <v>1</v>
      </c>
      <c r="C198" s="37">
        <v>75</v>
      </c>
      <c r="D198" s="37">
        <v>112.5</v>
      </c>
      <c r="E198" s="37">
        <v>37.5</v>
      </c>
      <c r="F198" s="176">
        <v>1</v>
      </c>
    </row>
    <row r="199" spans="1:6" x14ac:dyDescent="0.25">
      <c r="A199" s="175" t="s">
        <v>401</v>
      </c>
      <c r="B199" s="176">
        <v>1</v>
      </c>
      <c r="C199" s="37">
        <v>8</v>
      </c>
      <c r="D199" s="37">
        <v>20.77</v>
      </c>
      <c r="E199" s="37">
        <v>12.77</v>
      </c>
      <c r="F199" s="176">
        <v>1</v>
      </c>
    </row>
    <row r="200" spans="1:6" x14ac:dyDescent="0.25">
      <c r="A200" s="175" t="s">
        <v>453</v>
      </c>
      <c r="B200" s="176"/>
      <c r="C200" s="37">
        <v>33.76</v>
      </c>
      <c r="D200" s="37">
        <v>70</v>
      </c>
      <c r="E200" s="37">
        <v>36.24</v>
      </c>
      <c r="F200" s="176">
        <v>1</v>
      </c>
    </row>
    <row r="201" spans="1:6" x14ac:dyDescent="0.25">
      <c r="A201" s="175" t="s">
        <v>185</v>
      </c>
      <c r="B201" s="176"/>
      <c r="C201" s="37">
        <v>30</v>
      </c>
      <c r="D201" s="37">
        <v>80</v>
      </c>
      <c r="E201" s="37">
        <v>50</v>
      </c>
      <c r="F201" s="176">
        <v>1</v>
      </c>
    </row>
    <row r="202" spans="1:6" x14ac:dyDescent="0.25">
      <c r="A202" s="175" t="s">
        <v>402</v>
      </c>
      <c r="B202" s="176">
        <v>2</v>
      </c>
      <c r="C202" s="37">
        <v>14</v>
      </c>
      <c r="D202" s="37">
        <v>31.43</v>
      </c>
      <c r="E202" s="37">
        <v>17.43</v>
      </c>
      <c r="F202" s="176">
        <v>2</v>
      </c>
    </row>
    <row r="203" spans="1:6" x14ac:dyDescent="0.25">
      <c r="A203" s="175" t="s">
        <v>174</v>
      </c>
      <c r="B203" s="176">
        <v>3</v>
      </c>
      <c r="C203" s="37">
        <v>40</v>
      </c>
      <c r="D203" s="37">
        <v>74.819999999999993</v>
      </c>
      <c r="E203" s="37">
        <v>40.78</v>
      </c>
      <c r="F203" s="176">
        <v>3</v>
      </c>
    </row>
    <row r="204" spans="1:6" x14ac:dyDescent="0.25">
      <c r="A204" s="175" t="s">
        <v>99</v>
      </c>
      <c r="B204" s="176">
        <v>2</v>
      </c>
      <c r="C204" s="37">
        <v>48</v>
      </c>
      <c r="D204" s="37">
        <v>71.84</v>
      </c>
      <c r="E204" s="37">
        <v>46.010000000000005</v>
      </c>
      <c r="F204" s="176">
        <v>3</v>
      </c>
    </row>
    <row r="205" spans="1:6" x14ac:dyDescent="0.25">
      <c r="A205" s="175" t="s">
        <v>100</v>
      </c>
      <c r="B205" s="176">
        <v>34</v>
      </c>
      <c r="C205" s="37">
        <v>45</v>
      </c>
      <c r="D205" s="37">
        <v>224.21999999999997</v>
      </c>
      <c r="E205" s="37">
        <v>118.63999999999999</v>
      </c>
      <c r="F205" s="176">
        <v>6</v>
      </c>
    </row>
    <row r="206" spans="1:6" x14ac:dyDescent="0.25">
      <c r="A206" s="175" t="s">
        <v>84</v>
      </c>
      <c r="B206" s="176">
        <v>3</v>
      </c>
      <c r="C206" s="37">
        <v>18</v>
      </c>
      <c r="D206" s="37">
        <v>43.36</v>
      </c>
      <c r="E206" s="37">
        <v>25.360000000000003</v>
      </c>
      <c r="F206" s="176">
        <v>2</v>
      </c>
    </row>
    <row r="207" spans="1:6" x14ac:dyDescent="0.25">
      <c r="A207" s="175" t="s">
        <v>221</v>
      </c>
      <c r="B207" s="176"/>
      <c r="C207" s="37">
        <v>14.5</v>
      </c>
      <c r="D207" s="37">
        <v>48.980000000000004</v>
      </c>
      <c r="E207" s="37">
        <v>34.480000000000004</v>
      </c>
      <c r="F207" s="176">
        <v>2</v>
      </c>
    </row>
    <row r="208" spans="1:6" x14ac:dyDescent="0.25">
      <c r="A208" s="175" t="s">
        <v>403</v>
      </c>
      <c r="B208" s="176">
        <v>1</v>
      </c>
      <c r="C208" s="37">
        <v>12</v>
      </c>
      <c r="D208" s="37">
        <v>37.15</v>
      </c>
      <c r="E208" s="37">
        <v>25.15</v>
      </c>
      <c r="F208" s="176">
        <v>1</v>
      </c>
    </row>
    <row r="209" spans="1:6" x14ac:dyDescent="0.25">
      <c r="A209" s="175" t="s">
        <v>85</v>
      </c>
      <c r="B209" s="176">
        <v>56</v>
      </c>
      <c r="C209" s="37">
        <v>1988</v>
      </c>
      <c r="D209" s="37">
        <v>4207.6099999999997</v>
      </c>
      <c r="E209" s="37">
        <v>2042.2800000000002</v>
      </c>
      <c r="F209" s="176">
        <v>5</v>
      </c>
    </row>
    <row r="210" spans="1:6" x14ac:dyDescent="0.25">
      <c r="A210" s="175" t="s">
        <v>435</v>
      </c>
      <c r="B210" s="176">
        <v>1</v>
      </c>
      <c r="C210" s="37">
        <v>1</v>
      </c>
      <c r="D210" s="37">
        <v>2.06</v>
      </c>
      <c r="E210" s="37">
        <v>1.06</v>
      </c>
      <c r="F210" s="176">
        <v>1</v>
      </c>
    </row>
    <row r="211" spans="1:6" x14ac:dyDescent="0.25">
      <c r="A211" s="175" t="s">
        <v>280</v>
      </c>
      <c r="B211" s="176">
        <v>1</v>
      </c>
      <c r="C211" s="37">
        <v>1</v>
      </c>
      <c r="D211" s="37">
        <v>7.3</v>
      </c>
      <c r="E211" s="37">
        <v>6.3</v>
      </c>
      <c r="F211" s="176">
        <v>1</v>
      </c>
    </row>
    <row r="212" spans="1:6" x14ac:dyDescent="0.25">
      <c r="A212" s="175" t="s">
        <v>321</v>
      </c>
      <c r="B212" s="176">
        <v>3</v>
      </c>
      <c r="C212" s="37">
        <v>2</v>
      </c>
      <c r="D212" s="37">
        <v>7.09</v>
      </c>
      <c r="E212" s="37">
        <v>3.09</v>
      </c>
      <c r="F212" s="176">
        <v>2</v>
      </c>
    </row>
    <row r="213" spans="1:6" x14ac:dyDescent="0.25">
      <c r="A213" s="175" t="s">
        <v>173</v>
      </c>
      <c r="B213" s="176">
        <v>1</v>
      </c>
      <c r="C213" s="37">
        <v>16</v>
      </c>
      <c r="D213" s="37">
        <v>16</v>
      </c>
      <c r="E213" s="37">
        <v>23.560000000000002</v>
      </c>
      <c r="F213" s="176">
        <v>1</v>
      </c>
    </row>
    <row r="214" spans="1:6" x14ac:dyDescent="0.25">
      <c r="A214" s="175" t="s">
        <v>436</v>
      </c>
      <c r="B214" s="176">
        <v>1</v>
      </c>
      <c r="C214" s="37">
        <v>12</v>
      </c>
      <c r="D214" s="37">
        <v>36.770000000000003</v>
      </c>
      <c r="E214" s="37">
        <v>24.770000000000003</v>
      </c>
      <c r="F214" s="176">
        <v>1</v>
      </c>
    </row>
    <row r="215" spans="1:6" x14ac:dyDescent="0.25">
      <c r="A215" s="175" t="s">
        <v>140</v>
      </c>
      <c r="B215" s="176">
        <v>2</v>
      </c>
      <c r="C215" s="37">
        <v>9</v>
      </c>
      <c r="D215" s="37">
        <v>30.7</v>
      </c>
      <c r="E215" s="37">
        <v>21.700000000000003</v>
      </c>
      <c r="F215" s="176">
        <v>3</v>
      </c>
    </row>
    <row r="216" spans="1:6" x14ac:dyDescent="0.25">
      <c r="A216" s="175" t="s">
        <v>78</v>
      </c>
      <c r="B216" s="176">
        <v>29</v>
      </c>
      <c r="C216" s="37">
        <v>93.5</v>
      </c>
      <c r="D216" s="37">
        <v>274.75</v>
      </c>
      <c r="E216" s="37">
        <v>233.59000000000003</v>
      </c>
      <c r="F216" s="176">
        <v>4</v>
      </c>
    </row>
    <row r="217" spans="1:6" x14ac:dyDescent="0.25">
      <c r="A217" s="175" t="s">
        <v>222</v>
      </c>
      <c r="B217" s="176"/>
      <c r="C217" s="37">
        <v>15</v>
      </c>
      <c r="D217" s="37">
        <v>48.800000000000004</v>
      </c>
      <c r="E217" s="37">
        <v>33.800000000000004</v>
      </c>
      <c r="F217" s="176">
        <v>1</v>
      </c>
    </row>
    <row r="218" spans="1:6" x14ac:dyDescent="0.25">
      <c r="A218" s="175" t="s">
        <v>138</v>
      </c>
      <c r="B218" s="176">
        <v>3</v>
      </c>
      <c r="C218" s="37">
        <v>12</v>
      </c>
      <c r="D218" s="37">
        <v>36.94</v>
      </c>
      <c r="E218" s="37">
        <v>24.94</v>
      </c>
      <c r="F218" s="176">
        <v>3</v>
      </c>
    </row>
    <row r="219" spans="1:6" x14ac:dyDescent="0.25">
      <c r="A219" s="175" t="s">
        <v>101</v>
      </c>
      <c r="B219" s="176"/>
      <c r="C219" s="37">
        <v>0</v>
      </c>
      <c r="D219" s="37">
        <v>11.09</v>
      </c>
      <c r="E219" s="37">
        <v>11.09</v>
      </c>
      <c r="F219" s="176">
        <v>1</v>
      </c>
    </row>
    <row r="220" spans="1:6" x14ac:dyDescent="0.25">
      <c r="A220" s="175" t="s">
        <v>254</v>
      </c>
      <c r="B220" s="176">
        <v>1</v>
      </c>
      <c r="C220" s="37">
        <v>6</v>
      </c>
      <c r="D220" s="37">
        <v>15.21</v>
      </c>
      <c r="E220" s="37">
        <v>9.2100000000000009</v>
      </c>
      <c r="F220" s="176">
        <v>2</v>
      </c>
    </row>
    <row r="221" spans="1:6" x14ac:dyDescent="0.25">
      <c r="A221" s="175" t="s">
        <v>172</v>
      </c>
      <c r="B221" s="176">
        <v>4</v>
      </c>
      <c r="C221" s="37">
        <v>99</v>
      </c>
      <c r="D221" s="37">
        <v>111.8282</v>
      </c>
      <c r="E221" s="37">
        <v>32.008200000000002</v>
      </c>
      <c r="F221" s="176">
        <v>3</v>
      </c>
    </row>
    <row r="222" spans="1:6" x14ac:dyDescent="0.25">
      <c r="A222" s="175" t="s">
        <v>255</v>
      </c>
      <c r="B222" s="176"/>
      <c r="C222" s="37">
        <v>10</v>
      </c>
      <c r="D222" s="37">
        <v>19.989999999999998</v>
      </c>
      <c r="E222" s="37">
        <v>9.9899999999999984</v>
      </c>
      <c r="F222" s="176">
        <v>1</v>
      </c>
    </row>
    <row r="223" spans="1:6" x14ac:dyDescent="0.25">
      <c r="A223" s="175" t="s">
        <v>102</v>
      </c>
      <c r="B223" s="176"/>
      <c r="C223" s="37">
        <v>14</v>
      </c>
      <c r="D223" s="37">
        <v>24.4</v>
      </c>
      <c r="E223" s="37">
        <v>10.399999999999999</v>
      </c>
      <c r="F223" s="176">
        <v>1</v>
      </c>
    </row>
    <row r="224" spans="1:6" x14ac:dyDescent="0.25">
      <c r="A224" s="175" t="s">
        <v>404</v>
      </c>
      <c r="B224" s="176">
        <v>1</v>
      </c>
      <c r="C224" s="37">
        <v>3</v>
      </c>
      <c r="D224" s="37">
        <v>14.25</v>
      </c>
      <c r="E224" s="37">
        <v>11.25</v>
      </c>
      <c r="F224" s="176">
        <v>1</v>
      </c>
    </row>
    <row r="225" spans="1:6" x14ac:dyDescent="0.25">
      <c r="A225" s="175" t="s">
        <v>31</v>
      </c>
      <c r="B225" s="176"/>
      <c r="C225" s="37">
        <v>457</v>
      </c>
      <c r="D225" s="37">
        <v>855</v>
      </c>
      <c r="E225" s="37">
        <v>398</v>
      </c>
      <c r="F225" s="176">
        <v>15</v>
      </c>
    </row>
    <row r="226" spans="1:6" x14ac:dyDescent="0.25">
      <c r="A226" s="175" t="s">
        <v>32</v>
      </c>
      <c r="B226" s="176"/>
      <c r="C226" s="37">
        <v>10</v>
      </c>
      <c r="D226" s="37">
        <v>20</v>
      </c>
      <c r="E226" s="37">
        <v>10</v>
      </c>
      <c r="F226" s="176">
        <v>1</v>
      </c>
    </row>
    <row r="227" spans="1:6" x14ac:dyDescent="0.25">
      <c r="A227" s="175" t="s">
        <v>33</v>
      </c>
      <c r="B227" s="176"/>
      <c r="C227" s="37">
        <v>15</v>
      </c>
      <c r="D227" s="37">
        <v>30</v>
      </c>
      <c r="E227" s="37">
        <v>15</v>
      </c>
      <c r="F227" s="176">
        <v>1</v>
      </c>
    </row>
    <row r="228" spans="1:6" x14ac:dyDescent="0.25">
      <c r="A228" s="175" t="s">
        <v>171</v>
      </c>
      <c r="B228" s="176">
        <v>7</v>
      </c>
      <c r="C228" s="37">
        <v>19</v>
      </c>
      <c r="D228" s="37">
        <v>61.27</v>
      </c>
      <c r="E228" s="37">
        <v>47.77</v>
      </c>
      <c r="F228" s="176">
        <v>3</v>
      </c>
    </row>
    <row r="229" spans="1:6" x14ac:dyDescent="0.25">
      <c r="A229" s="175" t="s">
        <v>405</v>
      </c>
      <c r="B229" s="176">
        <v>1</v>
      </c>
      <c r="C229" s="37">
        <v>3</v>
      </c>
      <c r="D229" s="37">
        <v>8.14</v>
      </c>
      <c r="E229" s="37">
        <v>5.1400000000000006</v>
      </c>
      <c r="F229" s="176">
        <v>1</v>
      </c>
    </row>
    <row r="230" spans="1:6" x14ac:dyDescent="0.25">
      <c r="A230" s="175" t="s">
        <v>208</v>
      </c>
      <c r="B230" s="176"/>
      <c r="C230" s="37">
        <v>44</v>
      </c>
      <c r="D230" s="37">
        <v>110</v>
      </c>
      <c r="E230" s="37">
        <v>66</v>
      </c>
      <c r="F230" s="176">
        <v>2</v>
      </c>
    </row>
    <row r="231" spans="1:6" x14ac:dyDescent="0.25">
      <c r="A231" s="175" t="s">
        <v>34</v>
      </c>
      <c r="B231" s="176"/>
      <c r="C231" s="37">
        <v>46.5</v>
      </c>
      <c r="D231" s="37">
        <v>85</v>
      </c>
      <c r="E231" s="37">
        <v>38.5</v>
      </c>
      <c r="F231" s="176">
        <v>3</v>
      </c>
    </row>
    <row r="232" spans="1:6" x14ac:dyDescent="0.25">
      <c r="A232" s="175" t="s">
        <v>133</v>
      </c>
      <c r="B232" s="176">
        <v>4</v>
      </c>
      <c r="C232" s="37">
        <v>30</v>
      </c>
      <c r="D232" s="37">
        <v>58.519999999999996</v>
      </c>
      <c r="E232" s="37">
        <v>28.52</v>
      </c>
      <c r="F232" s="176">
        <v>2</v>
      </c>
    </row>
    <row r="233" spans="1:6" x14ac:dyDescent="0.25">
      <c r="A233" s="175" t="s">
        <v>88</v>
      </c>
      <c r="B233" s="176"/>
      <c r="C233" s="37">
        <v>5</v>
      </c>
      <c r="D233" s="37">
        <v>12.07</v>
      </c>
      <c r="E233" s="37">
        <v>7.07</v>
      </c>
      <c r="F233" s="176">
        <v>1</v>
      </c>
    </row>
    <row r="234" spans="1:6" x14ac:dyDescent="0.25">
      <c r="A234" s="175" t="s">
        <v>75</v>
      </c>
      <c r="B234" s="176"/>
      <c r="C234" s="37">
        <v>115</v>
      </c>
      <c r="D234" s="37">
        <v>229.1</v>
      </c>
      <c r="E234" s="37">
        <v>114.1</v>
      </c>
      <c r="F234" s="176">
        <v>2</v>
      </c>
    </row>
    <row r="235" spans="1:6" x14ac:dyDescent="0.25">
      <c r="A235" s="175" t="s">
        <v>125</v>
      </c>
      <c r="B235" s="176">
        <v>187</v>
      </c>
      <c r="C235" s="37">
        <v>861</v>
      </c>
      <c r="D235" s="37">
        <v>2081.5911999999998</v>
      </c>
      <c r="E235" s="37">
        <v>1252.3211999999999</v>
      </c>
      <c r="F235" s="176">
        <v>5</v>
      </c>
    </row>
    <row r="236" spans="1:6" x14ac:dyDescent="0.25">
      <c r="A236" s="175" t="s">
        <v>152</v>
      </c>
      <c r="B236" s="176"/>
      <c r="C236" s="37">
        <v>132</v>
      </c>
      <c r="D236" s="37">
        <v>255</v>
      </c>
      <c r="E236" s="37">
        <v>123</v>
      </c>
      <c r="F236" s="176">
        <v>6</v>
      </c>
    </row>
    <row r="237" spans="1:6" x14ac:dyDescent="0.25">
      <c r="A237" s="175" t="s">
        <v>223</v>
      </c>
      <c r="B237" s="176">
        <v>15</v>
      </c>
      <c r="C237" s="37">
        <v>323</v>
      </c>
      <c r="D237" s="37">
        <v>797.8</v>
      </c>
      <c r="E237" s="37">
        <v>442.3</v>
      </c>
      <c r="F237" s="176">
        <v>8</v>
      </c>
    </row>
    <row r="238" spans="1:6" x14ac:dyDescent="0.25">
      <c r="A238" s="175" t="s">
        <v>347</v>
      </c>
      <c r="B238" s="176"/>
      <c r="C238" s="37">
        <v>165</v>
      </c>
      <c r="D238" s="37">
        <v>260</v>
      </c>
      <c r="E238" s="37">
        <v>95</v>
      </c>
      <c r="F238" s="176">
        <v>1</v>
      </c>
    </row>
    <row r="239" spans="1:6" x14ac:dyDescent="0.25">
      <c r="A239" s="175" t="s">
        <v>154</v>
      </c>
      <c r="B239" s="176"/>
      <c r="C239" s="37">
        <v>60</v>
      </c>
      <c r="D239" s="37">
        <v>130</v>
      </c>
      <c r="E239" s="37">
        <v>70</v>
      </c>
      <c r="F239" s="176">
        <v>2</v>
      </c>
    </row>
    <row r="240" spans="1:6" x14ac:dyDescent="0.25">
      <c r="A240" s="175" t="s">
        <v>348</v>
      </c>
      <c r="B240" s="176"/>
      <c r="C240" s="37">
        <v>29</v>
      </c>
      <c r="D240" s="37">
        <v>50</v>
      </c>
      <c r="E240" s="37">
        <v>21</v>
      </c>
      <c r="F240" s="176">
        <v>1</v>
      </c>
    </row>
    <row r="241" spans="1:6" x14ac:dyDescent="0.25">
      <c r="A241" s="175" t="s">
        <v>461</v>
      </c>
      <c r="B241" s="176"/>
      <c r="C241" s="37">
        <v>40</v>
      </c>
      <c r="D241" s="37">
        <v>80</v>
      </c>
      <c r="E241" s="37">
        <v>40</v>
      </c>
      <c r="F241" s="176">
        <v>1</v>
      </c>
    </row>
    <row r="242" spans="1:6" x14ac:dyDescent="0.25">
      <c r="A242" s="175" t="s">
        <v>302</v>
      </c>
      <c r="B242" s="176"/>
      <c r="C242" s="37">
        <v>23.3</v>
      </c>
      <c r="D242" s="37">
        <v>70</v>
      </c>
      <c r="E242" s="37">
        <v>46.7</v>
      </c>
      <c r="F242" s="176">
        <v>1</v>
      </c>
    </row>
    <row r="243" spans="1:6" x14ac:dyDescent="0.25">
      <c r="A243" s="175" t="s">
        <v>462</v>
      </c>
      <c r="B243" s="176"/>
      <c r="C243" s="37">
        <v>40</v>
      </c>
      <c r="D243" s="37">
        <v>80</v>
      </c>
      <c r="E243" s="37">
        <v>40</v>
      </c>
      <c r="F243" s="176">
        <v>1</v>
      </c>
    </row>
    <row r="244" spans="1:6" x14ac:dyDescent="0.25">
      <c r="A244" s="175" t="s">
        <v>224</v>
      </c>
      <c r="B244" s="176">
        <v>1</v>
      </c>
      <c r="C244" s="37">
        <v>63</v>
      </c>
      <c r="D244" s="37">
        <v>135.55000000000001</v>
      </c>
      <c r="E244" s="37">
        <v>72.55</v>
      </c>
      <c r="F244" s="176">
        <v>2</v>
      </c>
    </row>
    <row r="245" spans="1:6" x14ac:dyDescent="0.25">
      <c r="A245" s="175" t="s">
        <v>304</v>
      </c>
      <c r="B245" s="176"/>
      <c r="C245" s="37">
        <v>10</v>
      </c>
      <c r="D245" s="37">
        <v>25</v>
      </c>
      <c r="E245" s="37">
        <v>15</v>
      </c>
      <c r="F245" s="176">
        <v>1</v>
      </c>
    </row>
    <row r="246" spans="1:6" x14ac:dyDescent="0.25">
      <c r="A246" s="175" t="s">
        <v>109</v>
      </c>
      <c r="B246" s="176"/>
      <c r="C246" s="37">
        <v>17</v>
      </c>
      <c r="D246" s="37">
        <v>30</v>
      </c>
      <c r="E246" s="37">
        <v>13</v>
      </c>
      <c r="F246" s="176">
        <v>1</v>
      </c>
    </row>
    <row r="247" spans="1:6" x14ac:dyDescent="0.25">
      <c r="A247" s="175" t="s">
        <v>267</v>
      </c>
      <c r="B247" s="176"/>
      <c r="C247" s="37">
        <v>19</v>
      </c>
      <c r="D247" s="37">
        <v>35</v>
      </c>
      <c r="E247" s="37">
        <v>16</v>
      </c>
      <c r="F247" s="176">
        <v>1</v>
      </c>
    </row>
    <row r="248" spans="1:6" x14ac:dyDescent="0.25">
      <c r="A248" s="175" t="s">
        <v>382</v>
      </c>
      <c r="B248" s="176"/>
      <c r="C248" s="37">
        <v>42</v>
      </c>
      <c r="D248" s="37">
        <v>100</v>
      </c>
      <c r="E248" s="37">
        <v>58</v>
      </c>
      <c r="F248" s="176">
        <v>2</v>
      </c>
    </row>
    <row r="249" spans="1:6" x14ac:dyDescent="0.25">
      <c r="A249" s="175" t="s">
        <v>322</v>
      </c>
      <c r="B249" s="176"/>
      <c r="C249" s="37">
        <v>10</v>
      </c>
      <c r="D249" s="37">
        <v>21.21</v>
      </c>
      <c r="E249" s="37">
        <v>11.21</v>
      </c>
      <c r="F249" s="176">
        <v>1</v>
      </c>
    </row>
    <row r="250" spans="1:6" x14ac:dyDescent="0.25">
      <c r="A250" s="175" t="s">
        <v>225</v>
      </c>
      <c r="B250" s="176"/>
      <c r="C250" s="37">
        <v>70</v>
      </c>
      <c r="D250" s="37">
        <v>157.25</v>
      </c>
      <c r="E250" s="37">
        <v>87.25</v>
      </c>
      <c r="F250" s="176">
        <v>2</v>
      </c>
    </row>
    <row r="251" spans="1:6" x14ac:dyDescent="0.25">
      <c r="A251" s="175" t="s">
        <v>377</v>
      </c>
      <c r="B251" s="176"/>
      <c r="C251" s="37">
        <v>40</v>
      </c>
      <c r="D251" s="37">
        <v>80</v>
      </c>
      <c r="E251" s="37">
        <v>40</v>
      </c>
      <c r="F251" s="176">
        <v>1</v>
      </c>
    </row>
    <row r="252" spans="1:6" x14ac:dyDescent="0.25">
      <c r="A252" s="175" t="s">
        <v>76</v>
      </c>
      <c r="B252" s="176">
        <v>69</v>
      </c>
      <c r="C252" s="37">
        <v>1392</v>
      </c>
      <c r="D252" s="37">
        <v>2519.9100000000003</v>
      </c>
      <c r="E252" s="37">
        <v>987.45999999999992</v>
      </c>
      <c r="F252" s="176">
        <v>10</v>
      </c>
    </row>
    <row r="253" spans="1:6" x14ac:dyDescent="0.25">
      <c r="A253" s="175" t="s">
        <v>226</v>
      </c>
      <c r="B253" s="176">
        <v>2</v>
      </c>
      <c r="C253" s="37">
        <v>84</v>
      </c>
      <c r="D253" s="37">
        <v>208.66</v>
      </c>
      <c r="E253" s="37">
        <v>124.66</v>
      </c>
      <c r="F253" s="176">
        <v>3</v>
      </c>
    </row>
    <row r="254" spans="1:6" x14ac:dyDescent="0.25">
      <c r="A254" s="175" t="s">
        <v>137</v>
      </c>
      <c r="B254" s="176">
        <v>6</v>
      </c>
      <c r="C254" s="37">
        <v>65</v>
      </c>
      <c r="D254" s="37">
        <v>108.44799999999999</v>
      </c>
      <c r="E254" s="37">
        <v>54.897999999999996</v>
      </c>
      <c r="F254" s="176">
        <v>4</v>
      </c>
    </row>
    <row r="255" spans="1:6" x14ac:dyDescent="0.25">
      <c r="A255" s="175" t="s">
        <v>342</v>
      </c>
      <c r="B255" s="176"/>
      <c r="C255" s="37">
        <v>20</v>
      </c>
      <c r="D255" s="37">
        <v>50</v>
      </c>
      <c r="E255" s="37">
        <v>30</v>
      </c>
      <c r="F255" s="176">
        <v>1</v>
      </c>
    </row>
    <row r="256" spans="1:6" x14ac:dyDescent="0.25">
      <c r="A256" s="175" t="s">
        <v>187</v>
      </c>
      <c r="B256" s="176"/>
      <c r="C256" s="37">
        <v>20</v>
      </c>
      <c r="D256" s="37">
        <v>40</v>
      </c>
      <c r="E256" s="37">
        <v>20</v>
      </c>
      <c r="F256" s="176">
        <v>1</v>
      </c>
    </row>
    <row r="257" spans="1:6" x14ac:dyDescent="0.25">
      <c r="A257" s="175" t="s">
        <v>365</v>
      </c>
      <c r="B257" s="176">
        <v>1</v>
      </c>
      <c r="C257" s="37">
        <v>2</v>
      </c>
      <c r="D257" s="37">
        <v>23.4</v>
      </c>
      <c r="E257" s="37">
        <v>21.4</v>
      </c>
      <c r="F257" s="176">
        <v>1</v>
      </c>
    </row>
    <row r="258" spans="1:6" x14ac:dyDescent="0.25">
      <c r="A258" s="175" t="s">
        <v>384</v>
      </c>
      <c r="B258" s="176"/>
      <c r="C258" s="37">
        <v>40</v>
      </c>
      <c r="D258" s="37">
        <v>80</v>
      </c>
      <c r="E258" s="37">
        <v>40</v>
      </c>
      <c r="F258" s="176">
        <v>1</v>
      </c>
    </row>
    <row r="259" spans="1:6" x14ac:dyDescent="0.25">
      <c r="A259" s="175" t="s">
        <v>227</v>
      </c>
      <c r="B259" s="176"/>
      <c r="C259" s="37">
        <v>40</v>
      </c>
      <c r="D259" s="37">
        <v>80</v>
      </c>
      <c r="E259" s="37">
        <v>40</v>
      </c>
      <c r="F259" s="176">
        <v>1</v>
      </c>
    </row>
    <row r="260" spans="1:6" x14ac:dyDescent="0.25">
      <c r="A260" s="175" t="s">
        <v>411</v>
      </c>
      <c r="B260" s="176"/>
      <c r="C260" s="37">
        <v>11</v>
      </c>
      <c r="D260" s="37">
        <v>25</v>
      </c>
      <c r="E260" s="37">
        <v>14</v>
      </c>
      <c r="F260" s="176">
        <v>2</v>
      </c>
    </row>
    <row r="261" spans="1:6" x14ac:dyDescent="0.25">
      <c r="A261" s="175" t="s">
        <v>161</v>
      </c>
      <c r="B261" s="176"/>
      <c r="C261" s="37">
        <v>20</v>
      </c>
      <c r="D261" s="37">
        <v>40</v>
      </c>
      <c r="E261" s="37">
        <v>20</v>
      </c>
      <c r="F261" s="176">
        <v>2</v>
      </c>
    </row>
    <row r="262" spans="1:6" x14ac:dyDescent="0.25">
      <c r="A262" s="175" t="s">
        <v>374</v>
      </c>
      <c r="B262" s="176"/>
      <c r="C262" s="37">
        <v>7</v>
      </c>
      <c r="D262" s="37">
        <v>20</v>
      </c>
      <c r="E262" s="37">
        <v>13</v>
      </c>
      <c r="F262" s="176">
        <v>1</v>
      </c>
    </row>
    <row r="263" spans="1:6" x14ac:dyDescent="0.25">
      <c r="A263" s="175" t="s">
        <v>188</v>
      </c>
      <c r="B263" s="176"/>
      <c r="C263" s="37">
        <v>9</v>
      </c>
      <c r="D263" s="37">
        <v>20</v>
      </c>
      <c r="E263" s="37">
        <v>11</v>
      </c>
      <c r="F263" s="176">
        <v>1</v>
      </c>
    </row>
    <row r="264" spans="1:6" x14ac:dyDescent="0.25">
      <c r="A264" s="175" t="s">
        <v>407</v>
      </c>
      <c r="B264" s="176"/>
      <c r="C264" s="37">
        <v>10</v>
      </c>
      <c r="D264" s="37">
        <v>30</v>
      </c>
      <c r="E264" s="37">
        <v>20</v>
      </c>
      <c r="F264" s="176">
        <v>2</v>
      </c>
    </row>
    <row r="265" spans="1:6" x14ac:dyDescent="0.25">
      <c r="A265" s="175" t="s">
        <v>449</v>
      </c>
      <c r="B265" s="176"/>
      <c r="C265" s="37">
        <v>2</v>
      </c>
      <c r="D265" s="37">
        <v>10</v>
      </c>
      <c r="E265" s="37">
        <v>8</v>
      </c>
      <c r="F265" s="176">
        <v>1</v>
      </c>
    </row>
    <row r="266" spans="1:6" x14ac:dyDescent="0.25">
      <c r="A266" s="175" t="s">
        <v>354</v>
      </c>
      <c r="B266" s="176"/>
      <c r="C266" s="37">
        <v>2</v>
      </c>
      <c r="D266" s="37">
        <v>15</v>
      </c>
      <c r="E266" s="37">
        <v>13</v>
      </c>
      <c r="F266" s="176">
        <v>1</v>
      </c>
    </row>
    <row r="267" spans="1:6" x14ac:dyDescent="0.25">
      <c r="A267" s="175" t="s">
        <v>40</v>
      </c>
      <c r="B267" s="176"/>
      <c r="C267" s="37">
        <v>20</v>
      </c>
      <c r="D267" s="37">
        <v>50</v>
      </c>
      <c r="E267" s="37">
        <v>30</v>
      </c>
      <c r="F267" s="176">
        <v>1</v>
      </c>
    </row>
    <row r="268" spans="1:6" x14ac:dyDescent="0.25">
      <c r="A268" s="175" t="s">
        <v>437</v>
      </c>
      <c r="B268" s="176">
        <v>1</v>
      </c>
      <c r="C268" s="37">
        <v>12</v>
      </c>
      <c r="D268" s="37">
        <v>18.170000000000002</v>
      </c>
      <c r="E268" s="37">
        <v>6.1700000000000017</v>
      </c>
      <c r="F268" s="176">
        <v>1</v>
      </c>
    </row>
    <row r="269" spans="1:6" x14ac:dyDescent="0.25">
      <c r="A269" s="175" t="s">
        <v>361</v>
      </c>
      <c r="B269" s="176">
        <v>8</v>
      </c>
      <c r="C269" s="37">
        <v>26</v>
      </c>
      <c r="D269" s="37">
        <v>57.497200000000007</v>
      </c>
      <c r="E269" s="37">
        <v>31.497199999999999</v>
      </c>
      <c r="F269" s="176">
        <v>3</v>
      </c>
    </row>
    <row r="270" spans="1:6" x14ac:dyDescent="0.25">
      <c r="A270" s="175" t="s">
        <v>207</v>
      </c>
      <c r="B270" s="176"/>
      <c r="C270" s="37">
        <v>50</v>
      </c>
      <c r="D270" s="37">
        <v>70</v>
      </c>
      <c r="E270" s="37">
        <v>20</v>
      </c>
      <c r="F270" s="176">
        <v>1</v>
      </c>
    </row>
    <row r="271" spans="1:6" x14ac:dyDescent="0.25">
      <c r="A271" s="175" t="s">
        <v>144</v>
      </c>
      <c r="B271" s="176">
        <v>1</v>
      </c>
      <c r="C271" s="37">
        <v>25</v>
      </c>
      <c r="D271" s="37">
        <v>30</v>
      </c>
      <c r="E271" s="37">
        <v>5</v>
      </c>
      <c r="F271" s="176">
        <v>1</v>
      </c>
    </row>
    <row r="272" spans="1:6" x14ac:dyDescent="0.25">
      <c r="A272" s="175" t="s">
        <v>256</v>
      </c>
      <c r="B272" s="176">
        <v>2</v>
      </c>
      <c r="C272" s="37">
        <v>88</v>
      </c>
      <c r="D272" s="37">
        <v>190.024</v>
      </c>
      <c r="E272" s="37">
        <v>102.024</v>
      </c>
      <c r="F272" s="176">
        <v>4</v>
      </c>
    </row>
    <row r="273" spans="1:6" x14ac:dyDescent="0.25">
      <c r="A273" s="175" t="s">
        <v>313</v>
      </c>
      <c r="B273" s="176"/>
      <c r="C273" s="37">
        <v>56</v>
      </c>
      <c r="D273" s="37">
        <v>115</v>
      </c>
      <c r="E273" s="37">
        <v>59</v>
      </c>
      <c r="F273" s="176">
        <v>2</v>
      </c>
    </row>
    <row r="274" spans="1:6" x14ac:dyDescent="0.25">
      <c r="A274" s="175" t="s">
        <v>170</v>
      </c>
      <c r="B274" s="176">
        <v>6</v>
      </c>
      <c r="C274" s="37">
        <v>124.5</v>
      </c>
      <c r="D274" s="37">
        <v>225.61</v>
      </c>
      <c r="E274" s="37">
        <v>112.33</v>
      </c>
      <c r="F274" s="176">
        <v>4</v>
      </c>
    </row>
    <row r="275" spans="1:6" x14ac:dyDescent="0.25">
      <c r="A275" s="175" t="s">
        <v>103</v>
      </c>
      <c r="B275" s="176">
        <v>1</v>
      </c>
      <c r="C275" s="37">
        <v>32</v>
      </c>
      <c r="D275" s="37">
        <v>57</v>
      </c>
      <c r="E275" s="37">
        <v>25</v>
      </c>
      <c r="F275" s="176">
        <v>2</v>
      </c>
    </row>
    <row r="276" spans="1:6" x14ac:dyDescent="0.25">
      <c r="A276" s="175" t="s">
        <v>169</v>
      </c>
      <c r="B276" s="176">
        <v>6</v>
      </c>
      <c r="C276" s="37">
        <v>72</v>
      </c>
      <c r="D276" s="37">
        <v>175.02</v>
      </c>
      <c r="E276" s="37">
        <v>111.29000000000002</v>
      </c>
      <c r="F276" s="176">
        <v>4</v>
      </c>
    </row>
    <row r="277" spans="1:6" x14ac:dyDescent="0.25">
      <c r="A277" s="175" t="s">
        <v>35</v>
      </c>
      <c r="B277" s="176"/>
      <c r="C277" s="37">
        <v>18</v>
      </c>
      <c r="D277" s="37">
        <v>40</v>
      </c>
      <c r="E277" s="37">
        <v>22</v>
      </c>
      <c r="F277" s="176">
        <v>1</v>
      </c>
    </row>
    <row r="278" spans="1:6" x14ac:dyDescent="0.25">
      <c r="A278" s="175" t="s">
        <v>118</v>
      </c>
      <c r="B278" s="176"/>
      <c r="C278" s="37">
        <v>18</v>
      </c>
      <c r="D278" s="37">
        <v>40</v>
      </c>
      <c r="E278" s="37">
        <v>22</v>
      </c>
      <c r="F278" s="176">
        <v>1</v>
      </c>
    </row>
    <row r="279" spans="1:6" x14ac:dyDescent="0.25">
      <c r="A279" s="175" t="s">
        <v>372</v>
      </c>
      <c r="B279" s="176"/>
      <c r="C279" s="37">
        <v>22</v>
      </c>
      <c r="D279" s="37">
        <v>50</v>
      </c>
      <c r="E279" s="37">
        <v>28</v>
      </c>
      <c r="F279" s="176">
        <v>1</v>
      </c>
    </row>
    <row r="280" spans="1:6" x14ac:dyDescent="0.25">
      <c r="A280" s="175" t="s">
        <v>290</v>
      </c>
      <c r="B280" s="176"/>
      <c r="C280" s="37">
        <v>25</v>
      </c>
      <c r="D280" s="37">
        <v>80</v>
      </c>
      <c r="E280" s="37">
        <v>55</v>
      </c>
      <c r="F280" s="176">
        <v>1</v>
      </c>
    </row>
    <row r="281" spans="1:6" x14ac:dyDescent="0.25">
      <c r="A281" s="175" t="s">
        <v>163</v>
      </c>
      <c r="B281" s="176"/>
      <c r="C281" s="37">
        <v>98</v>
      </c>
      <c r="D281" s="37">
        <v>325</v>
      </c>
      <c r="E281" s="37">
        <v>227</v>
      </c>
      <c r="F281" s="176">
        <v>14</v>
      </c>
    </row>
    <row r="282" spans="1:6" x14ac:dyDescent="0.25">
      <c r="A282" s="175" t="s">
        <v>11</v>
      </c>
      <c r="B282" s="176"/>
      <c r="C282" s="37">
        <v>24</v>
      </c>
      <c r="D282" s="37">
        <v>72</v>
      </c>
      <c r="E282" s="37">
        <v>48</v>
      </c>
      <c r="F282" s="176">
        <v>4</v>
      </c>
    </row>
    <row r="283" spans="1:6" x14ac:dyDescent="0.25">
      <c r="A283" s="175" t="s">
        <v>80</v>
      </c>
      <c r="B283" s="176">
        <v>6</v>
      </c>
      <c r="C283" s="37">
        <v>156</v>
      </c>
      <c r="D283" s="37">
        <v>310.88</v>
      </c>
      <c r="E283" s="37">
        <v>145.88</v>
      </c>
      <c r="F283" s="176">
        <v>6</v>
      </c>
    </row>
    <row r="284" spans="1:6" x14ac:dyDescent="0.25">
      <c r="A284" s="175" t="s">
        <v>459</v>
      </c>
      <c r="B284" s="176"/>
      <c r="C284" s="37">
        <v>13</v>
      </c>
      <c r="D284" s="37">
        <v>30</v>
      </c>
      <c r="E284" s="37">
        <v>17</v>
      </c>
      <c r="F284" s="176">
        <v>1</v>
      </c>
    </row>
    <row r="285" spans="1:6" x14ac:dyDescent="0.25">
      <c r="A285" s="175" t="s">
        <v>460</v>
      </c>
      <c r="B285" s="176"/>
      <c r="C285" s="37">
        <v>13</v>
      </c>
      <c r="D285" s="37">
        <v>20</v>
      </c>
      <c r="E285" s="37">
        <v>7</v>
      </c>
      <c r="F285" s="176">
        <v>1</v>
      </c>
    </row>
    <row r="286" spans="1:6" x14ac:dyDescent="0.25">
      <c r="A286" s="175" t="s">
        <v>257</v>
      </c>
      <c r="B286" s="176"/>
      <c r="C286" s="37">
        <v>10</v>
      </c>
      <c r="D286" s="37">
        <v>26.62</v>
      </c>
      <c r="E286" s="37">
        <v>16.62</v>
      </c>
      <c r="F286" s="176">
        <v>1</v>
      </c>
    </row>
    <row r="287" spans="1:6" x14ac:dyDescent="0.25">
      <c r="A287" s="175" t="s">
        <v>466</v>
      </c>
      <c r="B287" s="176"/>
      <c r="C287" s="37">
        <v>130</v>
      </c>
      <c r="D287" s="37">
        <v>230</v>
      </c>
      <c r="E287" s="37">
        <v>100</v>
      </c>
      <c r="F287" s="176">
        <v>1</v>
      </c>
    </row>
    <row r="288" spans="1:6" x14ac:dyDescent="0.25">
      <c r="A288" s="175" t="s">
        <v>362</v>
      </c>
      <c r="B288" s="176">
        <v>1</v>
      </c>
      <c r="C288" s="37">
        <v>18</v>
      </c>
      <c r="D288" s="37">
        <v>33.75</v>
      </c>
      <c r="E288" s="37">
        <v>15.75</v>
      </c>
      <c r="F288" s="176">
        <v>1</v>
      </c>
    </row>
    <row r="289" spans="1:6" x14ac:dyDescent="0.25">
      <c r="A289" s="175" t="s">
        <v>12</v>
      </c>
      <c r="B289" s="176"/>
      <c r="C289" s="37">
        <v>16</v>
      </c>
      <c r="D289" s="37">
        <v>50</v>
      </c>
      <c r="E289" s="37">
        <v>34</v>
      </c>
      <c r="F289" s="176">
        <v>1</v>
      </c>
    </row>
    <row r="290" spans="1:6" x14ac:dyDescent="0.25">
      <c r="A290" s="175" t="s">
        <v>104</v>
      </c>
      <c r="B290" s="176"/>
      <c r="C290" s="37">
        <v>16</v>
      </c>
      <c r="D290" s="37">
        <v>26.71</v>
      </c>
      <c r="E290" s="37">
        <v>10.71</v>
      </c>
      <c r="F290" s="176">
        <v>1</v>
      </c>
    </row>
    <row r="291" spans="1:6" x14ac:dyDescent="0.25">
      <c r="A291" s="175" t="s">
        <v>129</v>
      </c>
      <c r="B291" s="176">
        <v>4</v>
      </c>
      <c r="C291" s="37">
        <v>76</v>
      </c>
      <c r="D291" s="37">
        <v>155.05000000000001</v>
      </c>
      <c r="E291" s="37">
        <v>79.050000000000011</v>
      </c>
      <c r="F291" s="176">
        <v>2</v>
      </c>
    </row>
    <row r="292" spans="1:6" x14ac:dyDescent="0.25">
      <c r="A292" s="175" t="s">
        <v>281</v>
      </c>
      <c r="B292" s="176">
        <v>1</v>
      </c>
      <c r="C292" s="37">
        <v>2</v>
      </c>
      <c r="D292" s="37">
        <v>20</v>
      </c>
      <c r="E292" s="37">
        <v>18</v>
      </c>
      <c r="F292" s="176">
        <v>1</v>
      </c>
    </row>
    <row r="293" spans="1:6" x14ac:dyDescent="0.25">
      <c r="A293" s="175" t="s">
        <v>258</v>
      </c>
      <c r="B293" s="176"/>
      <c r="C293" s="37">
        <v>2</v>
      </c>
      <c r="D293" s="37">
        <v>11</v>
      </c>
      <c r="E293" s="37">
        <v>9</v>
      </c>
      <c r="F293" s="176">
        <v>1</v>
      </c>
    </row>
    <row r="294" spans="1:6" x14ac:dyDescent="0.25">
      <c r="A294" s="175" t="s">
        <v>286</v>
      </c>
      <c r="B294" s="176"/>
      <c r="C294" s="37">
        <v>11</v>
      </c>
      <c r="D294" s="37">
        <v>20</v>
      </c>
      <c r="E294" s="37">
        <v>9</v>
      </c>
      <c r="F294" s="176">
        <v>1</v>
      </c>
    </row>
    <row r="295" spans="1:6" x14ac:dyDescent="0.25">
      <c r="A295" s="175" t="s">
        <v>259</v>
      </c>
      <c r="B295" s="176"/>
      <c r="C295" s="37">
        <v>14</v>
      </c>
      <c r="D295" s="37">
        <v>19.850000000000001</v>
      </c>
      <c r="E295" s="37">
        <v>5.8500000000000014</v>
      </c>
      <c r="F295" s="176">
        <v>1</v>
      </c>
    </row>
    <row r="296" spans="1:6" x14ac:dyDescent="0.25">
      <c r="A296" s="175" t="s">
        <v>375</v>
      </c>
      <c r="B296" s="176"/>
      <c r="C296" s="37">
        <v>60</v>
      </c>
      <c r="D296" s="37">
        <v>140</v>
      </c>
      <c r="E296" s="37">
        <v>80</v>
      </c>
      <c r="F296" s="176">
        <v>1</v>
      </c>
    </row>
    <row r="297" spans="1:6" x14ac:dyDescent="0.25">
      <c r="A297" s="175" t="s">
        <v>36</v>
      </c>
      <c r="B297" s="176"/>
      <c r="C297" s="37">
        <v>26</v>
      </c>
      <c r="D297" s="37">
        <v>50</v>
      </c>
      <c r="E297" s="37">
        <v>24</v>
      </c>
      <c r="F297" s="176">
        <v>2</v>
      </c>
    </row>
    <row r="298" spans="1:6" x14ac:dyDescent="0.25">
      <c r="A298" s="175" t="s">
        <v>310</v>
      </c>
      <c r="B298" s="176"/>
      <c r="C298" s="37">
        <v>88</v>
      </c>
      <c r="D298" s="37">
        <v>230</v>
      </c>
      <c r="E298" s="37">
        <v>142</v>
      </c>
      <c r="F298" s="176">
        <v>3</v>
      </c>
    </row>
    <row r="299" spans="1:6" x14ac:dyDescent="0.25">
      <c r="A299" s="175" t="s">
        <v>228</v>
      </c>
      <c r="B299" s="176"/>
      <c r="C299" s="37">
        <v>80</v>
      </c>
      <c r="D299" s="37">
        <v>182.49</v>
      </c>
      <c r="E299" s="37">
        <v>102.49000000000001</v>
      </c>
      <c r="F299" s="176">
        <v>1</v>
      </c>
    </row>
    <row r="300" spans="1:6" x14ac:dyDescent="0.25">
      <c r="A300" s="175" t="s">
        <v>72</v>
      </c>
      <c r="B300" s="176">
        <v>365</v>
      </c>
      <c r="C300" s="37">
        <v>2163</v>
      </c>
      <c r="D300" s="37">
        <v>6259.2048000000004</v>
      </c>
      <c r="E300" s="37">
        <v>3915.0248000000001</v>
      </c>
      <c r="F300" s="176">
        <v>12</v>
      </c>
    </row>
    <row r="301" spans="1:6" x14ac:dyDescent="0.25">
      <c r="A301" s="175" t="s">
        <v>385</v>
      </c>
      <c r="B301" s="176"/>
      <c r="C301" s="37">
        <v>13</v>
      </c>
      <c r="D301" s="37">
        <v>25</v>
      </c>
      <c r="E301" s="37">
        <v>12</v>
      </c>
      <c r="F301" s="176">
        <v>1</v>
      </c>
    </row>
    <row r="302" spans="1:6" x14ac:dyDescent="0.25">
      <c r="A302" s="175" t="s">
        <v>266</v>
      </c>
      <c r="B302" s="176"/>
      <c r="C302" s="37">
        <v>14</v>
      </c>
      <c r="D302" s="37">
        <v>25</v>
      </c>
      <c r="E302" s="37">
        <v>11</v>
      </c>
      <c r="F302" s="176">
        <v>1</v>
      </c>
    </row>
    <row r="303" spans="1:6" x14ac:dyDescent="0.25">
      <c r="A303" s="175" t="s">
        <v>131</v>
      </c>
      <c r="B303" s="176">
        <v>7</v>
      </c>
      <c r="C303" s="37">
        <v>108</v>
      </c>
      <c r="D303" s="37">
        <v>187.39000000000001</v>
      </c>
      <c r="E303" s="37">
        <v>91.390000000000015</v>
      </c>
      <c r="F303" s="176">
        <v>5</v>
      </c>
    </row>
    <row r="304" spans="1:6" x14ac:dyDescent="0.25">
      <c r="A304" s="175" t="s">
        <v>479</v>
      </c>
      <c r="B304" s="176">
        <v>1</v>
      </c>
      <c r="C304" s="37">
        <v>0.6</v>
      </c>
      <c r="D304" s="37">
        <v>1.4923999999999999</v>
      </c>
      <c r="E304" s="37">
        <v>0.89239999999999997</v>
      </c>
      <c r="F304" s="176">
        <v>1</v>
      </c>
    </row>
    <row r="305" spans="1:6" x14ac:dyDescent="0.25">
      <c r="A305" s="175" t="s">
        <v>343</v>
      </c>
      <c r="B305" s="176"/>
      <c r="C305" s="37">
        <v>6</v>
      </c>
      <c r="D305" s="37">
        <v>20</v>
      </c>
      <c r="E305" s="37">
        <v>14</v>
      </c>
      <c r="F305" s="176">
        <v>1</v>
      </c>
    </row>
    <row r="306" spans="1:6" x14ac:dyDescent="0.25">
      <c r="A306" s="175" t="s">
        <v>110</v>
      </c>
      <c r="B306" s="176"/>
      <c r="C306" s="37">
        <v>25</v>
      </c>
      <c r="D306" s="37">
        <v>40</v>
      </c>
      <c r="E306" s="37">
        <v>15</v>
      </c>
      <c r="F306" s="176">
        <v>1</v>
      </c>
    </row>
    <row r="307" spans="1:6" x14ac:dyDescent="0.25">
      <c r="A307" s="175" t="s">
        <v>229</v>
      </c>
      <c r="B307" s="176"/>
      <c r="C307" s="37">
        <v>34</v>
      </c>
      <c r="D307" s="37">
        <v>61.18</v>
      </c>
      <c r="E307" s="37">
        <v>27.18</v>
      </c>
      <c r="F307" s="176">
        <v>2</v>
      </c>
    </row>
    <row r="308" spans="1:6" x14ac:dyDescent="0.25">
      <c r="A308" s="175" t="s">
        <v>260</v>
      </c>
      <c r="B308" s="176"/>
      <c r="C308" s="37">
        <v>114</v>
      </c>
      <c r="D308" s="37">
        <v>224.32999999999998</v>
      </c>
      <c r="E308" s="37">
        <v>110.32999999999998</v>
      </c>
      <c r="F308" s="176">
        <v>1</v>
      </c>
    </row>
    <row r="309" spans="1:6" x14ac:dyDescent="0.25">
      <c r="A309" s="175" t="s">
        <v>230</v>
      </c>
      <c r="B309" s="176">
        <v>2</v>
      </c>
      <c r="C309" s="37">
        <v>16</v>
      </c>
      <c r="D309" s="37">
        <v>56.66</v>
      </c>
      <c r="E309" s="37">
        <v>40.659999999999997</v>
      </c>
      <c r="F309" s="176">
        <v>4</v>
      </c>
    </row>
    <row r="310" spans="1:6" x14ac:dyDescent="0.25">
      <c r="A310" s="175" t="s">
        <v>351</v>
      </c>
      <c r="B310" s="176"/>
      <c r="C310" s="37">
        <v>9.69</v>
      </c>
      <c r="D310" s="37">
        <v>30</v>
      </c>
      <c r="E310" s="37">
        <v>20.310000000000002</v>
      </c>
      <c r="F310" s="176">
        <v>1</v>
      </c>
    </row>
    <row r="311" spans="1:6" x14ac:dyDescent="0.25">
      <c r="A311" s="175" t="s">
        <v>340</v>
      </c>
      <c r="B311" s="176"/>
      <c r="C311" s="37">
        <v>28</v>
      </c>
      <c r="D311" s="37">
        <v>50</v>
      </c>
      <c r="E311" s="37">
        <v>22</v>
      </c>
      <c r="F311" s="176">
        <v>2</v>
      </c>
    </row>
    <row r="312" spans="1:6" x14ac:dyDescent="0.25">
      <c r="A312" s="175" t="s">
        <v>142</v>
      </c>
      <c r="B312" s="176">
        <v>2</v>
      </c>
      <c r="C312" s="37">
        <v>4</v>
      </c>
      <c r="D312" s="37">
        <v>9.6</v>
      </c>
      <c r="E312" s="37">
        <v>5.6</v>
      </c>
      <c r="F312" s="176">
        <v>1</v>
      </c>
    </row>
    <row r="313" spans="1:6" x14ac:dyDescent="0.25">
      <c r="A313" s="175" t="s">
        <v>269</v>
      </c>
      <c r="B313" s="176"/>
      <c r="C313" s="37">
        <v>90</v>
      </c>
      <c r="D313" s="37">
        <v>150</v>
      </c>
      <c r="E313" s="37">
        <v>60</v>
      </c>
      <c r="F313" s="176">
        <v>1</v>
      </c>
    </row>
    <row r="314" spans="1:6" x14ac:dyDescent="0.25">
      <c r="A314" s="175" t="s">
        <v>157</v>
      </c>
      <c r="B314" s="176"/>
      <c r="C314" s="37">
        <v>160</v>
      </c>
      <c r="D314" s="37">
        <v>310</v>
      </c>
      <c r="E314" s="37">
        <v>150</v>
      </c>
      <c r="F314" s="176">
        <v>2</v>
      </c>
    </row>
    <row r="315" spans="1:6" x14ac:dyDescent="0.25">
      <c r="A315" s="175" t="s">
        <v>13</v>
      </c>
      <c r="B315" s="176"/>
      <c r="C315" s="37">
        <v>15</v>
      </c>
      <c r="D315" s="37">
        <v>35</v>
      </c>
      <c r="E315" s="37">
        <v>20</v>
      </c>
      <c r="F315" s="176">
        <v>1</v>
      </c>
    </row>
    <row r="316" spans="1:6" x14ac:dyDescent="0.25">
      <c r="A316" s="175" t="s">
        <v>231</v>
      </c>
      <c r="B316" s="176"/>
      <c r="C316" s="37">
        <v>15</v>
      </c>
      <c r="D316" s="37">
        <v>20</v>
      </c>
      <c r="E316" s="37">
        <v>5</v>
      </c>
      <c r="F316" s="176">
        <v>1</v>
      </c>
    </row>
    <row r="317" spans="1:6" x14ac:dyDescent="0.25">
      <c r="A317" s="175" t="s">
        <v>419</v>
      </c>
      <c r="B317" s="176"/>
      <c r="C317" s="37">
        <v>8</v>
      </c>
      <c r="D317" s="37">
        <v>20</v>
      </c>
      <c r="E317" s="37">
        <v>12</v>
      </c>
      <c r="F317" s="176">
        <v>1</v>
      </c>
    </row>
    <row r="318" spans="1:6" x14ac:dyDescent="0.25">
      <c r="A318" s="175" t="s">
        <v>168</v>
      </c>
      <c r="B318" s="176">
        <v>2</v>
      </c>
      <c r="C318" s="37">
        <v>19</v>
      </c>
      <c r="D318" s="37">
        <v>28.11</v>
      </c>
      <c r="E318" s="37">
        <v>19.11</v>
      </c>
      <c r="F318" s="176">
        <v>2</v>
      </c>
    </row>
    <row r="319" spans="1:6" x14ac:dyDescent="0.25">
      <c r="A319" s="175" t="s">
        <v>357</v>
      </c>
      <c r="B319" s="176">
        <v>1</v>
      </c>
      <c r="C319" s="37">
        <v>30</v>
      </c>
      <c r="D319" s="37">
        <v>31.59</v>
      </c>
      <c r="E319" s="37">
        <v>1.5899999999999999</v>
      </c>
      <c r="F319" s="176">
        <v>1</v>
      </c>
    </row>
    <row r="320" spans="1:6" x14ac:dyDescent="0.25">
      <c r="A320" s="175" t="s">
        <v>438</v>
      </c>
      <c r="B320" s="176">
        <v>1</v>
      </c>
      <c r="C320" s="37">
        <v>30</v>
      </c>
      <c r="D320" s="37">
        <v>49.48</v>
      </c>
      <c r="E320" s="37">
        <v>19.479999999999997</v>
      </c>
      <c r="F320" s="176">
        <v>1</v>
      </c>
    </row>
    <row r="321" spans="1:6" x14ac:dyDescent="0.25">
      <c r="A321" s="175" t="s">
        <v>480</v>
      </c>
      <c r="B321" s="176">
        <v>1</v>
      </c>
      <c r="C321" s="37">
        <v>25</v>
      </c>
      <c r="D321" s="37">
        <v>26.215399999999999</v>
      </c>
      <c r="E321" s="37">
        <v>1.2153999999999989</v>
      </c>
      <c r="F321" s="176">
        <v>1</v>
      </c>
    </row>
    <row r="322" spans="1:6" x14ac:dyDescent="0.25">
      <c r="A322" s="175" t="s">
        <v>337</v>
      </c>
      <c r="B322" s="176"/>
      <c r="C322" s="37">
        <v>5.5</v>
      </c>
      <c r="D322" s="37">
        <v>10</v>
      </c>
      <c r="E322" s="37">
        <v>4.5</v>
      </c>
      <c r="F322" s="176">
        <v>1</v>
      </c>
    </row>
    <row r="323" spans="1:6" x14ac:dyDescent="0.25">
      <c r="A323" s="175" t="s">
        <v>236</v>
      </c>
      <c r="B323" s="176"/>
      <c r="C323" s="37">
        <v>5.5</v>
      </c>
      <c r="D323" s="37">
        <v>15</v>
      </c>
      <c r="E323" s="37">
        <v>9.5</v>
      </c>
      <c r="F323" s="176">
        <v>1</v>
      </c>
    </row>
    <row r="324" spans="1:6" x14ac:dyDescent="0.25">
      <c r="A324" s="175" t="s">
        <v>105</v>
      </c>
      <c r="B324" s="176">
        <v>2</v>
      </c>
      <c r="C324" s="37">
        <v>75</v>
      </c>
      <c r="D324" s="37">
        <v>201.76</v>
      </c>
      <c r="E324" s="37">
        <v>126.75999999999999</v>
      </c>
      <c r="F324" s="176">
        <v>2</v>
      </c>
    </row>
    <row r="325" spans="1:6" x14ac:dyDescent="0.25">
      <c r="A325" s="175" t="s">
        <v>439</v>
      </c>
      <c r="B325" s="176">
        <v>95</v>
      </c>
      <c r="C325" s="37">
        <v>522.5</v>
      </c>
      <c r="D325" s="37">
        <v>1303.9886000000001</v>
      </c>
      <c r="E325" s="37">
        <v>781.48860000000002</v>
      </c>
      <c r="F325" s="176">
        <v>2</v>
      </c>
    </row>
    <row r="326" spans="1:6" x14ac:dyDescent="0.25">
      <c r="A326" s="175" t="s">
        <v>261</v>
      </c>
      <c r="B326" s="176">
        <v>25</v>
      </c>
      <c r="C326" s="37">
        <v>115</v>
      </c>
      <c r="D326" s="37">
        <v>349.96</v>
      </c>
      <c r="E326" s="37">
        <v>196.45999999999998</v>
      </c>
      <c r="F326" s="176">
        <v>5</v>
      </c>
    </row>
    <row r="327" spans="1:6" x14ac:dyDescent="0.25">
      <c r="A327" s="175" t="s">
        <v>323</v>
      </c>
      <c r="B327" s="176">
        <v>2</v>
      </c>
      <c r="C327" s="37">
        <v>24</v>
      </c>
      <c r="D327" s="37">
        <v>60.31</v>
      </c>
      <c r="E327" s="37">
        <v>36.31</v>
      </c>
      <c r="F327" s="176">
        <v>3</v>
      </c>
    </row>
    <row r="328" spans="1:6" x14ac:dyDescent="0.25">
      <c r="A328" s="175" t="s">
        <v>393</v>
      </c>
      <c r="B328" s="176"/>
      <c r="C328" s="37">
        <v>38.5</v>
      </c>
      <c r="D328" s="37">
        <v>65</v>
      </c>
      <c r="E328" s="37">
        <v>26.5</v>
      </c>
      <c r="F328" s="176">
        <v>3</v>
      </c>
    </row>
    <row r="329" spans="1:6" x14ac:dyDescent="0.25">
      <c r="A329" s="175" t="s">
        <v>468</v>
      </c>
      <c r="B329" s="176"/>
      <c r="C329" s="37">
        <v>7.5</v>
      </c>
      <c r="D329" s="37">
        <v>15</v>
      </c>
      <c r="E329" s="37">
        <v>7.5</v>
      </c>
      <c r="F329" s="176">
        <v>1</v>
      </c>
    </row>
    <row r="330" spans="1:6" x14ac:dyDescent="0.25">
      <c r="A330" s="175" t="s">
        <v>202</v>
      </c>
      <c r="B330" s="176">
        <v>1</v>
      </c>
      <c r="C330" s="37">
        <v>8</v>
      </c>
      <c r="D330" s="37">
        <v>15.52</v>
      </c>
      <c r="E330" s="37">
        <v>7.52</v>
      </c>
      <c r="F330" s="176">
        <v>1</v>
      </c>
    </row>
    <row r="331" spans="1:6" x14ac:dyDescent="0.25">
      <c r="A331" s="175" t="s">
        <v>117</v>
      </c>
      <c r="B331" s="176"/>
      <c r="C331" s="37">
        <v>300</v>
      </c>
      <c r="D331" s="37">
        <v>500</v>
      </c>
      <c r="E331" s="37">
        <v>200</v>
      </c>
      <c r="F331" s="176">
        <v>1</v>
      </c>
    </row>
    <row r="332" spans="1:6" x14ac:dyDescent="0.25">
      <c r="A332" s="175" t="s">
        <v>349</v>
      </c>
      <c r="B332" s="176"/>
      <c r="C332" s="37">
        <v>0</v>
      </c>
      <c r="D332" s="37">
        <v>50</v>
      </c>
      <c r="E332" s="37">
        <v>50</v>
      </c>
      <c r="F332" s="176">
        <v>1</v>
      </c>
    </row>
    <row r="333" spans="1:6" x14ac:dyDescent="0.25">
      <c r="A333" s="175" t="s">
        <v>211</v>
      </c>
      <c r="B333" s="176"/>
      <c r="C333" s="37">
        <v>3</v>
      </c>
      <c r="D333" s="37">
        <v>12</v>
      </c>
      <c r="E333" s="37">
        <v>9</v>
      </c>
      <c r="F333" s="176">
        <v>1</v>
      </c>
    </row>
    <row r="334" spans="1:6" x14ac:dyDescent="0.25">
      <c r="A334" s="175" t="s">
        <v>389</v>
      </c>
      <c r="B334" s="176"/>
      <c r="C334" s="37">
        <v>3</v>
      </c>
      <c r="D334" s="37">
        <v>10</v>
      </c>
      <c r="E334" s="37">
        <v>7</v>
      </c>
      <c r="F334" s="176">
        <v>1</v>
      </c>
    </row>
    <row r="335" spans="1:6" x14ac:dyDescent="0.25">
      <c r="A335" s="175" t="s">
        <v>119</v>
      </c>
      <c r="B335" s="176"/>
      <c r="C335" s="37">
        <v>3</v>
      </c>
      <c r="D335" s="37">
        <v>16</v>
      </c>
      <c r="E335" s="37">
        <v>13</v>
      </c>
      <c r="F335" s="176">
        <v>2</v>
      </c>
    </row>
    <row r="336" spans="1:6" x14ac:dyDescent="0.25">
      <c r="A336" s="175" t="s">
        <v>309</v>
      </c>
      <c r="B336" s="176"/>
      <c r="C336" s="37">
        <v>3</v>
      </c>
      <c r="D336" s="37">
        <v>10</v>
      </c>
      <c r="E336" s="37">
        <v>7</v>
      </c>
      <c r="F336" s="176">
        <v>2</v>
      </c>
    </row>
    <row r="337" spans="1:6" x14ac:dyDescent="0.25">
      <c r="A337" s="175" t="s">
        <v>79</v>
      </c>
      <c r="B337" s="176">
        <v>35</v>
      </c>
      <c r="C337" s="37">
        <v>66.900000000000006</v>
      </c>
      <c r="D337" s="37">
        <v>189.9</v>
      </c>
      <c r="E337" s="37">
        <v>123</v>
      </c>
      <c r="F337" s="176">
        <v>3</v>
      </c>
    </row>
    <row r="338" spans="1:6" x14ac:dyDescent="0.25">
      <c r="A338" s="175" t="s">
        <v>291</v>
      </c>
      <c r="B338" s="176"/>
      <c r="C338" s="37">
        <v>12</v>
      </c>
      <c r="D338" s="37">
        <v>20</v>
      </c>
      <c r="E338" s="37">
        <v>8</v>
      </c>
      <c r="F338" s="176">
        <v>1</v>
      </c>
    </row>
    <row r="339" spans="1:6" x14ac:dyDescent="0.25">
      <c r="A339" s="175" t="s">
        <v>391</v>
      </c>
      <c r="B339" s="176"/>
      <c r="C339" s="37">
        <v>214.5</v>
      </c>
      <c r="D339" s="37">
        <v>366.4</v>
      </c>
      <c r="E339" s="37">
        <v>151.9</v>
      </c>
      <c r="F339" s="176">
        <v>3</v>
      </c>
    </row>
    <row r="340" spans="1:6" x14ac:dyDescent="0.25">
      <c r="A340" s="175" t="s">
        <v>232</v>
      </c>
      <c r="B340" s="176"/>
      <c r="C340" s="37">
        <v>7</v>
      </c>
      <c r="D340" s="37">
        <v>21.21</v>
      </c>
      <c r="E340" s="37">
        <v>14.21</v>
      </c>
      <c r="F340" s="176">
        <v>1</v>
      </c>
    </row>
    <row r="341" spans="1:6" x14ac:dyDescent="0.25">
      <c r="A341" s="175" t="s">
        <v>455</v>
      </c>
      <c r="B341" s="176"/>
      <c r="C341" s="37">
        <v>15</v>
      </c>
      <c r="D341" s="37">
        <v>30</v>
      </c>
      <c r="E341" s="37">
        <v>15</v>
      </c>
      <c r="F341" s="176">
        <v>1</v>
      </c>
    </row>
    <row r="342" spans="1:6" x14ac:dyDescent="0.25">
      <c r="A342" s="175" t="s">
        <v>37</v>
      </c>
      <c r="B342" s="176"/>
      <c r="C342" s="37">
        <v>45</v>
      </c>
      <c r="D342" s="37">
        <v>90</v>
      </c>
      <c r="E342" s="37">
        <v>45</v>
      </c>
      <c r="F342" s="176">
        <v>3</v>
      </c>
    </row>
    <row r="343" spans="1:6" x14ac:dyDescent="0.25">
      <c r="A343" s="175" t="s">
        <v>450</v>
      </c>
      <c r="B343" s="176"/>
      <c r="C343" s="37">
        <v>0</v>
      </c>
      <c r="D343" s="37">
        <v>50</v>
      </c>
      <c r="E343" s="37">
        <v>50</v>
      </c>
      <c r="F343" s="176">
        <v>1</v>
      </c>
    </row>
    <row r="344" spans="1:6" x14ac:dyDescent="0.25">
      <c r="A344" s="175" t="s">
        <v>341</v>
      </c>
      <c r="B344" s="176"/>
      <c r="C344" s="37">
        <v>50</v>
      </c>
      <c r="D344" s="37">
        <v>90</v>
      </c>
      <c r="E344" s="37">
        <v>40</v>
      </c>
      <c r="F344" s="176">
        <v>2</v>
      </c>
    </row>
    <row r="345" spans="1:6" x14ac:dyDescent="0.25">
      <c r="A345" s="175" t="s">
        <v>481</v>
      </c>
      <c r="B345" s="176">
        <v>2</v>
      </c>
      <c r="C345" s="37">
        <v>40</v>
      </c>
      <c r="D345" s="37">
        <v>46.74</v>
      </c>
      <c r="E345" s="37">
        <v>6.740000000000002</v>
      </c>
      <c r="F345" s="176">
        <v>1</v>
      </c>
    </row>
    <row r="346" spans="1:6" x14ac:dyDescent="0.25">
      <c r="A346" s="175" t="s">
        <v>262</v>
      </c>
      <c r="B346" s="176"/>
      <c r="C346" s="37">
        <v>15</v>
      </c>
      <c r="D346" s="37">
        <v>20</v>
      </c>
      <c r="E346" s="37">
        <v>5</v>
      </c>
      <c r="F346" s="176">
        <v>1</v>
      </c>
    </row>
    <row r="347" spans="1:6" x14ac:dyDescent="0.25">
      <c r="A347" s="175" t="s">
        <v>203</v>
      </c>
      <c r="B347" s="176">
        <v>2</v>
      </c>
      <c r="C347" s="37">
        <v>8</v>
      </c>
      <c r="D347" s="37">
        <v>27.54</v>
      </c>
      <c r="E347" s="37">
        <v>19.54</v>
      </c>
      <c r="F347" s="176">
        <v>1</v>
      </c>
    </row>
    <row r="348" spans="1:6" x14ac:dyDescent="0.25">
      <c r="A348" s="175" t="s">
        <v>141</v>
      </c>
      <c r="B348" s="176">
        <v>1</v>
      </c>
      <c r="C348" s="37">
        <v>2.5</v>
      </c>
      <c r="D348" s="37">
        <v>9</v>
      </c>
      <c r="E348" s="37">
        <v>6.5</v>
      </c>
      <c r="F348" s="176">
        <v>1</v>
      </c>
    </row>
    <row r="349" spans="1:6" x14ac:dyDescent="0.25">
      <c r="A349" s="175" t="s">
        <v>292</v>
      </c>
      <c r="B349" s="176"/>
      <c r="C349" s="37">
        <v>25</v>
      </c>
      <c r="D349" s="37">
        <v>50</v>
      </c>
      <c r="E349" s="37">
        <v>25</v>
      </c>
      <c r="F349" s="176">
        <v>1</v>
      </c>
    </row>
    <row r="350" spans="1:6" x14ac:dyDescent="0.25">
      <c r="A350" s="175" t="s">
        <v>440</v>
      </c>
      <c r="B350" s="176">
        <v>5</v>
      </c>
      <c r="C350" s="37">
        <v>50</v>
      </c>
      <c r="D350" s="37">
        <v>125.8968</v>
      </c>
      <c r="E350" s="37">
        <v>75.896799999999999</v>
      </c>
      <c r="F350" s="176">
        <v>2</v>
      </c>
    </row>
    <row r="351" spans="1:6" x14ac:dyDescent="0.25">
      <c r="A351" s="175" t="s">
        <v>406</v>
      </c>
      <c r="B351" s="176">
        <v>1</v>
      </c>
      <c r="C351" s="37">
        <v>12</v>
      </c>
      <c r="D351" s="37">
        <v>36.630000000000003</v>
      </c>
      <c r="E351" s="37">
        <v>24.630000000000003</v>
      </c>
      <c r="F351" s="176">
        <v>1</v>
      </c>
    </row>
    <row r="352" spans="1:6" x14ac:dyDescent="0.25">
      <c r="A352" s="175" t="s">
        <v>271</v>
      </c>
      <c r="B352" s="176"/>
      <c r="C352" s="37">
        <v>5</v>
      </c>
      <c r="D352" s="37">
        <v>20</v>
      </c>
      <c r="E352" s="37">
        <v>15</v>
      </c>
      <c r="F352" s="176">
        <v>1</v>
      </c>
    </row>
    <row r="353" spans="1:6" x14ac:dyDescent="0.25">
      <c r="A353" s="175" t="s">
        <v>324</v>
      </c>
      <c r="B353" s="176"/>
      <c r="C353" s="37">
        <v>8</v>
      </c>
      <c r="D353" s="37">
        <v>10</v>
      </c>
      <c r="E353" s="37">
        <v>2</v>
      </c>
      <c r="F353" s="176">
        <v>1</v>
      </c>
    </row>
    <row r="354" spans="1:6" x14ac:dyDescent="0.25">
      <c r="A354" s="175" t="s">
        <v>454</v>
      </c>
      <c r="B354" s="176"/>
      <c r="C354" s="37">
        <v>54.59</v>
      </c>
      <c r="D354" s="37">
        <v>100</v>
      </c>
      <c r="E354" s="37">
        <v>45.41</v>
      </c>
      <c r="F354" s="176">
        <v>1</v>
      </c>
    </row>
    <row r="355" spans="1:6" x14ac:dyDescent="0.25">
      <c r="A355" s="175" t="s">
        <v>263</v>
      </c>
      <c r="B355" s="176">
        <v>2</v>
      </c>
      <c r="C355" s="37">
        <v>22</v>
      </c>
      <c r="D355" s="37">
        <v>68.61</v>
      </c>
      <c r="E355" s="37">
        <v>34.61</v>
      </c>
      <c r="F355" s="176">
        <v>2</v>
      </c>
    </row>
    <row r="356" spans="1:6" x14ac:dyDescent="0.25">
      <c r="A356" s="175" t="s">
        <v>441</v>
      </c>
      <c r="B356" s="176">
        <v>1</v>
      </c>
      <c r="C356" s="37">
        <v>10</v>
      </c>
      <c r="D356" s="37">
        <v>20</v>
      </c>
      <c r="E356" s="37">
        <v>10</v>
      </c>
      <c r="F356" s="176">
        <v>1</v>
      </c>
    </row>
    <row r="357" spans="1:6" x14ac:dyDescent="0.25">
      <c r="A357" s="175" t="s">
        <v>264</v>
      </c>
      <c r="B357" s="176">
        <v>2</v>
      </c>
      <c r="C357" s="37">
        <v>16</v>
      </c>
      <c r="D357" s="37">
        <v>32.290000000000006</v>
      </c>
      <c r="E357" s="37">
        <v>16.29</v>
      </c>
      <c r="F357" s="176">
        <v>3</v>
      </c>
    </row>
    <row r="358" spans="1:6" x14ac:dyDescent="0.25">
      <c r="A358" s="175" t="s">
        <v>128</v>
      </c>
      <c r="B358" s="176">
        <v>1</v>
      </c>
      <c r="C358" s="37">
        <v>50</v>
      </c>
      <c r="D358" s="37">
        <v>202.21</v>
      </c>
      <c r="E358" s="37">
        <v>152.21</v>
      </c>
      <c r="F358" s="176">
        <v>2</v>
      </c>
    </row>
    <row r="359" spans="1:6" x14ac:dyDescent="0.25">
      <c r="A359" s="175" t="s">
        <v>410</v>
      </c>
      <c r="B359" s="176"/>
      <c r="C359" s="37">
        <v>9</v>
      </c>
      <c r="D359" s="37">
        <v>20</v>
      </c>
      <c r="E359" s="37">
        <v>11</v>
      </c>
      <c r="F359" s="176">
        <v>1</v>
      </c>
    </row>
    <row r="360" spans="1:6" x14ac:dyDescent="0.25">
      <c r="A360" s="175" t="s">
        <v>89</v>
      </c>
      <c r="B360" s="176">
        <v>9</v>
      </c>
      <c r="C360" s="37">
        <v>75</v>
      </c>
      <c r="D360" s="37">
        <v>146.2062</v>
      </c>
      <c r="E360" s="37">
        <v>80.926199999999994</v>
      </c>
      <c r="F360" s="176">
        <v>9</v>
      </c>
    </row>
    <row r="361" spans="1:6" x14ac:dyDescent="0.25">
      <c r="A361" s="175" t="s">
        <v>409</v>
      </c>
      <c r="B361" s="176"/>
      <c r="C361" s="37">
        <v>27.45</v>
      </c>
      <c r="D361" s="37">
        <v>30</v>
      </c>
      <c r="E361" s="37">
        <v>2.5500000000000007</v>
      </c>
      <c r="F361" s="176">
        <v>1</v>
      </c>
    </row>
    <row r="362" spans="1:6" x14ac:dyDescent="0.25">
      <c r="A362" s="175" t="s">
        <v>367</v>
      </c>
      <c r="B362" s="176">
        <v>1</v>
      </c>
      <c r="C362" s="37">
        <v>30</v>
      </c>
      <c r="D362" s="37">
        <v>65</v>
      </c>
      <c r="E362" s="37">
        <v>35</v>
      </c>
      <c r="F362" s="176">
        <v>1</v>
      </c>
    </row>
    <row r="363" spans="1:6" x14ac:dyDescent="0.25">
      <c r="A363" s="175" t="s">
        <v>442</v>
      </c>
      <c r="B363" s="176">
        <v>1</v>
      </c>
      <c r="C363" s="37">
        <v>16</v>
      </c>
      <c r="D363" s="37">
        <v>50</v>
      </c>
      <c r="E363" s="37">
        <v>34</v>
      </c>
      <c r="F363" s="176">
        <v>1</v>
      </c>
    </row>
    <row r="364" spans="1:6" x14ac:dyDescent="0.25">
      <c r="A364" s="175" t="s">
        <v>325</v>
      </c>
      <c r="B364" s="176">
        <v>15</v>
      </c>
      <c r="C364" s="37">
        <v>89</v>
      </c>
      <c r="D364" s="37">
        <v>329.35</v>
      </c>
      <c r="E364" s="37">
        <v>177.35000000000002</v>
      </c>
      <c r="F364" s="176">
        <v>4</v>
      </c>
    </row>
    <row r="365" spans="1:6" x14ac:dyDescent="0.25">
      <c r="A365" s="175" t="s">
        <v>482</v>
      </c>
      <c r="B365" s="176">
        <v>1</v>
      </c>
      <c r="C365" s="37">
        <v>180</v>
      </c>
      <c r="D365" s="37">
        <v>241.9</v>
      </c>
      <c r="E365" s="37">
        <v>61.900000000000006</v>
      </c>
      <c r="F365" s="176">
        <v>1</v>
      </c>
    </row>
    <row r="366" spans="1:6" x14ac:dyDescent="0.25">
      <c r="A366" s="175" t="s">
        <v>14</v>
      </c>
      <c r="B366" s="176"/>
      <c r="C366" s="37">
        <v>208</v>
      </c>
      <c r="D366" s="37">
        <v>670</v>
      </c>
      <c r="E366" s="37">
        <v>462</v>
      </c>
      <c r="F366" s="176">
        <v>8</v>
      </c>
    </row>
    <row r="367" spans="1:6" x14ac:dyDescent="0.25">
      <c r="A367" s="175" t="s">
        <v>452</v>
      </c>
      <c r="B367" s="176"/>
      <c r="C367" s="37">
        <v>260</v>
      </c>
      <c r="D367" s="37">
        <v>440</v>
      </c>
      <c r="E367" s="37">
        <v>180</v>
      </c>
      <c r="F367" s="176">
        <v>2</v>
      </c>
    </row>
    <row r="368" spans="1:6" x14ac:dyDescent="0.25">
      <c r="A368" s="175" t="s">
        <v>353</v>
      </c>
      <c r="B368" s="176"/>
      <c r="C368" s="37">
        <v>90</v>
      </c>
      <c r="D368" s="37">
        <v>160</v>
      </c>
      <c r="E368" s="37">
        <v>70</v>
      </c>
      <c r="F368" s="176">
        <v>1</v>
      </c>
    </row>
    <row r="369" spans="1:6" x14ac:dyDescent="0.25">
      <c r="A369" s="175" t="s">
        <v>204</v>
      </c>
      <c r="B369" s="176">
        <v>1</v>
      </c>
      <c r="C369" s="37">
        <v>24</v>
      </c>
      <c r="D369" s="37">
        <v>50</v>
      </c>
      <c r="E369" s="37">
        <v>26</v>
      </c>
      <c r="F369" s="176">
        <v>1</v>
      </c>
    </row>
    <row r="370" spans="1:6" x14ac:dyDescent="0.25">
      <c r="A370" s="175" t="s">
        <v>38</v>
      </c>
      <c r="B370" s="176"/>
      <c r="C370" s="37">
        <v>320</v>
      </c>
      <c r="D370" s="37">
        <v>450</v>
      </c>
      <c r="E370" s="37">
        <v>130</v>
      </c>
      <c r="F370" s="176">
        <v>2</v>
      </c>
    </row>
    <row r="371" spans="1:6" x14ac:dyDescent="0.25">
      <c r="A371" s="175" t="s">
        <v>159</v>
      </c>
      <c r="B371" s="176"/>
      <c r="C371" s="37">
        <v>10</v>
      </c>
      <c r="D371" s="37">
        <v>50</v>
      </c>
      <c r="E371" s="37">
        <v>40</v>
      </c>
      <c r="F371" s="176">
        <v>1</v>
      </c>
    </row>
    <row r="372" spans="1:6" x14ac:dyDescent="0.25">
      <c r="A372" s="175" t="s">
        <v>86</v>
      </c>
      <c r="B372" s="176">
        <v>26</v>
      </c>
      <c r="C372" s="37">
        <v>177</v>
      </c>
      <c r="D372" s="37">
        <v>183.61120000000003</v>
      </c>
      <c r="E372" s="37">
        <v>6.6112000000000073</v>
      </c>
      <c r="F372" s="176">
        <v>5</v>
      </c>
    </row>
    <row r="373" spans="1:6" x14ac:dyDescent="0.25">
      <c r="A373" s="175" t="s">
        <v>443</v>
      </c>
      <c r="B373" s="176">
        <v>2</v>
      </c>
      <c r="C373" s="37">
        <v>30</v>
      </c>
      <c r="D373" s="37">
        <v>37.979999999999997</v>
      </c>
      <c r="E373" s="37">
        <v>7.9799999999999969</v>
      </c>
      <c r="F373" s="176">
        <v>1</v>
      </c>
    </row>
    <row r="374" spans="1:6" x14ac:dyDescent="0.25">
      <c r="A374" s="175" t="s">
        <v>106</v>
      </c>
      <c r="B374" s="176">
        <v>1</v>
      </c>
      <c r="C374" s="37">
        <v>0.91666666666666674</v>
      </c>
      <c r="D374" s="37">
        <v>5.2889999999999997</v>
      </c>
      <c r="E374" s="37">
        <v>4.3723333333333336</v>
      </c>
      <c r="F374" s="176">
        <v>2</v>
      </c>
    </row>
    <row r="375" spans="1:6" x14ac:dyDescent="0.25">
      <c r="A375" s="175" t="s">
        <v>233</v>
      </c>
      <c r="B375" s="176"/>
      <c r="C375" s="37">
        <v>17.083333333333336</v>
      </c>
      <c r="D375" s="37">
        <v>112.32000000000001</v>
      </c>
      <c r="E375" s="37">
        <v>95.236666666666665</v>
      </c>
      <c r="F375" s="176">
        <v>2</v>
      </c>
    </row>
    <row r="376" spans="1:6" x14ac:dyDescent="0.25">
      <c r="A376" s="175" t="s">
        <v>74</v>
      </c>
      <c r="B376" s="176">
        <v>53</v>
      </c>
      <c r="C376" s="37">
        <v>54.5</v>
      </c>
      <c r="D376" s="37">
        <v>152.70999999999998</v>
      </c>
      <c r="E376" s="37">
        <v>114.59666666666668</v>
      </c>
      <c r="F376" s="176">
        <v>6</v>
      </c>
    </row>
    <row r="377" spans="1:6" x14ac:dyDescent="0.25">
      <c r="A377" s="175" t="s">
        <v>90</v>
      </c>
      <c r="B377" s="176">
        <v>268</v>
      </c>
      <c r="C377" s="37">
        <v>4190</v>
      </c>
      <c r="D377" s="37">
        <v>10769.46</v>
      </c>
      <c r="E377" s="37">
        <v>6944.88</v>
      </c>
      <c r="F377" s="176">
        <v>4</v>
      </c>
    </row>
    <row r="378" spans="1:6" x14ac:dyDescent="0.25">
      <c r="A378" s="175" t="s">
        <v>444</v>
      </c>
      <c r="B378" s="176">
        <v>3</v>
      </c>
      <c r="C378" s="37">
        <v>9</v>
      </c>
      <c r="D378" s="37">
        <v>15.4964</v>
      </c>
      <c r="E378" s="37">
        <v>6.4963999999999995</v>
      </c>
      <c r="F378" s="176">
        <v>2</v>
      </c>
    </row>
    <row r="379" spans="1:6" x14ac:dyDescent="0.25">
      <c r="A379" s="175" t="s">
        <v>445</v>
      </c>
      <c r="B379" s="176">
        <v>7</v>
      </c>
      <c r="C379" s="37">
        <v>70</v>
      </c>
      <c r="D379" s="37">
        <v>139.13999999999999</v>
      </c>
      <c r="E379" s="37">
        <v>69.139999999999986</v>
      </c>
      <c r="F379" s="176">
        <v>1</v>
      </c>
    </row>
    <row r="380" spans="1:6" x14ac:dyDescent="0.25">
      <c r="A380" s="175" t="s">
        <v>446</v>
      </c>
      <c r="B380" s="176">
        <v>81</v>
      </c>
      <c r="C380" s="37">
        <v>81</v>
      </c>
      <c r="D380" s="37">
        <v>260.09000000000003</v>
      </c>
      <c r="E380" s="37">
        <v>179.09000000000003</v>
      </c>
      <c r="F380" s="176">
        <v>1</v>
      </c>
    </row>
    <row r="381" spans="1:6" x14ac:dyDescent="0.25">
      <c r="A381" s="175" t="s">
        <v>344</v>
      </c>
      <c r="B381" s="176"/>
      <c r="C381" s="37">
        <v>14</v>
      </c>
      <c r="D381" s="37">
        <v>30</v>
      </c>
      <c r="E381" s="37">
        <v>16</v>
      </c>
      <c r="F381" s="176">
        <v>1</v>
      </c>
    </row>
    <row r="382" spans="1:6" x14ac:dyDescent="0.25">
      <c r="A382" s="175" t="s">
        <v>484</v>
      </c>
      <c r="B382" s="176">
        <v>1</v>
      </c>
      <c r="C382" s="37">
        <v>2</v>
      </c>
      <c r="D382" s="37">
        <v>6.15</v>
      </c>
      <c r="E382" s="37">
        <v>4.1500000000000004</v>
      </c>
      <c r="F382" s="176">
        <v>1</v>
      </c>
    </row>
    <row r="383" spans="1:6" x14ac:dyDescent="0.25">
      <c r="A383" s="175" t="s">
        <v>331</v>
      </c>
      <c r="B383" s="176"/>
      <c r="C383" s="37">
        <v>20</v>
      </c>
      <c r="D383" s="37">
        <v>35</v>
      </c>
      <c r="E383" s="37">
        <v>15</v>
      </c>
      <c r="F383" s="176">
        <v>2</v>
      </c>
    </row>
    <row r="384" spans="1:6" x14ac:dyDescent="0.25">
      <c r="A384" s="175" t="s">
        <v>243</v>
      </c>
      <c r="B384" s="176"/>
      <c r="C384" s="37">
        <v>10</v>
      </c>
      <c r="D384" s="37">
        <v>35</v>
      </c>
      <c r="E384" s="37">
        <v>25</v>
      </c>
      <c r="F384" s="176">
        <v>1</v>
      </c>
    </row>
    <row r="385" spans="1:6" x14ac:dyDescent="0.25">
      <c r="A385" s="175" t="s">
        <v>428</v>
      </c>
      <c r="B385" s="176"/>
      <c r="C385" s="37">
        <v>48</v>
      </c>
      <c r="D385" s="37">
        <v>85</v>
      </c>
      <c r="E385" s="37">
        <v>37</v>
      </c>
      <c r="F385" s="176">
        <v>1</v>
      </c>
    </row>
    <row r="386" spans="1:6" x14ac:dyDescent="0.25">
      <c r="A386" s="175" t="s">
        <v>158</v>
      </c>
      <c r="B386" s="176"/>
      <c r="C386" s="37">
        <v>30</v>
      </c>
      <c r="D386" s="37">
        <v>60</v>
      </c>
      <c r="E386" s="37">
        <v>30</v>
      </c>
      <c r="F386" s="176">
        <v>1</v>
      </c>
    </row>
    <row r="387" spans="1:6" x14ac:dyDescent="0.25">
      <c r="A387" s="175" t="s">
        <v>339</v>
      </c>
      <c r="B387" s="176"/>
      <c r="C387" s="37">
        <v>58</v>
      </c>
      <c r="D387" s="37">
        <v>100</v>
      </c>
      <c r="E387" s="37">
        <v>42</v>
      </c>
      <c r="F387" s="176">
        <v>1</v>
      </c>
    </row>
    <row r="388" spans="1:6" x14ac:dyDescent="0.25">
      <c r="A388" s="175" t="s">
        <v>234</v>
      </c>
      <c r="B388" s="176"/>
      <c r="C388" s="37">
        <v>3</v>
      </c>
      <c r="D388" s="37">
        <v>8.65</v>
      </c>
      <c r="E388" s="37">
        <v>5.65</v>
      </c>
      <c r="F388" s="176">
        <v>1</v>
      </c>
    </row>
    <row r="389" spans="1:6" x14ac:dyDescent="0.25">
      <c r="A389" s="175" t="s">
        <v>394</v>
      </c>
      <c r="B389" s="176"/>
      <c r="C389" s="37">
        <v>30</v>
      </c>
      <c r="D389" s="37">
        <v>70</v>
      </c>
      <c r="E389" s="37">
        <v>40</v>
      </c>
      <c r="F389" s="176">
        <v>1</v>
      </c>
    </row>
    <row r="390" spans="1:6" x14ac:dyDescent="0.25">
      <c r="A390" s="175" t="s">
        <v>326</v>
      </c>
      <c r="B390" s="176">
        <v>71</v>
      </c>
      <c r="C390" s="37">
        <v>49</v>
      </c>
      <c r="D390" s="37">
        <v>334.53999999999996</v>
      </c>
      <c r="E390" s="37">
        <v>249.54</v>
      </c>
      <c r="F390" s="176">
        <v>3</v>
      </c>
    </row>
    <row r="391" spans="1:6" x14ac:dyDescent="0.25">
      <c r="A391" s="175" t="s">
        <v>483</v>
      </c>
      <c r="B391" s="176">
        <v>215</v>
      </c>
      <c r="C391" s="37">
        <v>212.85</v>
      </c>
      <c r="D391" s="37">
        <v>614.59820000000002</v>
      </c>
      <c r="E391" s="37">
        <v>401.7482</v>
      </c>
      <c r="F391" s="176">
        <v>1</v>
      </c>
    </row>
    <row r="392" spans="1:6" x14ac:dyDescent="0.25">
      <c r="A392" s="175" t="s">
        <v>485</v>
      </c>
      <c r="B392" s="176">
        <v>1</v>
      </c>
      <c r="C392" s="37">
        <v>100</v>
      </c>
      <c r="D392" s="37">
        <v>164</v>
      </c>
      <c r="E392" s="37">
        <v>64</v>
      </c>
      <c r="F392" s="176">
        <v>1</v>
      </c>
    </row>
    <row r="393" spans="1:6" x14ac:dyDescent="0.25">
      <c r="A393" s="175" t="s">
        <v>418</v>
      </c>
      <c r="B393" s="176"/>
      <c r="C393" s="37">
        <v>30</v>
      </c>
      <c r="D393" s="37">
        <v>60</v>
      </c>
      <c r="E393" s="37">
        <v>30</v>
      </c>
      <c r="F393" s="176">
        <v>2</v>
      </c>
    </row>
    <row r="394" spans="1:6" x14ac:dyDescent="0.25">
      <c r="A394" s="175" t="s">
        <v>283</v>
      </c>
      <c r="B394" s="176">
        <v>3</v>
      </c>
      <c r="C394" s="37">
        <v>6</v>
      </c>
      <c r="D394" s="37">
        <v>14.97</v>
      </c>
      <c r="E394" s="37">
        <v>8.9700000000000006</v>
      </c>
      <c r="F394" s="176">
        <v>1</v>
      </c>
    </row>
    <row r="395" spans="1:6" x14ac:dyDescent="0.25">
      <c r="A395" s="175" t="s">
        <v>358</v>
      </c>
      <c r="B395" s="176">
        <v>4</v>
      </c>
      <c r="C395" s="37">
        <v>36</v>
      </c>
      <c r="D395" s="37">
        <v>52.230000000000004</v>
      </c>
      <c r="E395" s="37">
        <v>16.230000000000004</v>
      </c>
      <c r="F395" s="176">
        <v>2</v>
      </c>
    </row>
    <row r="396" spans="1:6" x14ac:dyDescent="0.25">
      <c r="A396" s="175" t="s">
        <v>305</v>
      </c>
      <c r="B396" s="176">
        <v>1</v>
      </c>
      <c r="C396" s="37">
        <v>28</v>
      </c>
      <c r="D396" s="37">
        <v>45</v>
      </c>
      <c r="E396" s="37">
        <v>17</v>
      </c>
      <c r="F396" s="176">
        <v>1</v>
      </c>
    </row>
    <row r="397" spans="1:6" x14ac:dyDescent="0.25">
      <c r="A397" s="175" t="s">
        <v>167</v>
      </c>
      <c r="B397" s="176">
        <v>8</v>
      </c>
      <c r="C397" s="37">
        <v>195</v>
      </c>
      <c r="D397" s="37">
        <v>643.89</v>
      </c>
      <c r="E397" s="37">
        <v>535.78</v>
      </c>
      <c r="F397" s="176">
        <v>2</v>
      </c>
    </row>
    <row r="398" spans="1:6" x14ac:dyDescent="0.25">
      <c r="A398" s="175" t="s">
        <v>116</v>
      </c>
      <c r="B398" s="176"/>
      <c r="C398" s="37">
        <v>28</v>
      </c>
      <c r="D398" s="37">
        <v>60</v>
      </c>
      <c r="E398" s="37">
        <v>32</v>
      </c>
      <c r="F398" s="176">
        <v>1</v>
      </c>
    </row>
    <row r="399" spans="1:6" x14ac:dyDescent="0.25">
      <c r="A399" s="175" t="s">
        <v>277</v>
      </c>
      <c r="B399" s="176"/>
      <c r="C399" s="37">
        <v>70</v>
      </c>
      <c r="D399" s="37">
        <v>120</v>
      </c>
      <c r="E399" s="37">
        <v>50</v>
      </c>
      <c r="F399" s="176">
        <v>1</v>
      </c>
    </row>
    <row r="400" spans="1:6" x14ac:dyDescent="0.25">
      <c r="A400" s="175" t="s">
        <v>237</v>
      </c>
      <c r="B400" s="176"/>
      <c r="C400" s="37">
        <v>140</v>
      </c>
      <c r="D400" s="37">
        <v>220</v>
      </c>
      <c r="E400" s="37">
        <v>80</v>
      </c>
      <c r="F400" s="176">
        <v>2</v>
      </c>
    </row>
    <row r="401" spans="1:6" x14ac:dyDescent="0.25">
      <c r="A401" s="175" t="s">
        <v>447</v>
      </c>
      <c r="B401" s="176">
        <v>1</v>
      </c>
      <c r="C401" s="37">
        <v>9</v>
      </c>
      <c r="D401" s="37">
        <v>22.87</v>
      </c>
      <c r="E401" s="37">
        <v>13.870000000000001</v>
      </c>
      <c r="F401" s="176">
        <v>1</v>
      </c>
    </row>
    <row r="402" spans="1:6" x14ac:dyDescent="0.25">
      <c r="A402" s="175" t="s">
        <v>205</v>
      </c>
      <c r="B402" s="176">
        <v>2</v>
      </c>
      <c r="C402" s="37">
        <v>40</v>
      </c>
      <c r="D402" s="37">
        <v>78.674999999999997</v>
      </c>
      <c r="E402" s="37">
        <v>38.674999999999997</v>
      </c>
      <c r="F402" s="176">
        <v>2</v>
      </c>
    </row>
    <row r="403" spans="1:6" x14ac:dyDescent="0.25">
      <c r="A403" s="175" t="s">
        <v>107</v>
      </c>
      <c r="B403" s="176"/>
      <c r="C403" s="37">
        <v>22</v>
      </c>
      <c r="D403" s="37">
        <v>40</v>
      </c>
      <c r="E403" s="37">
        <v>18</v>
      </c>
      <c r="F403" s="176">
        <v>1</v>
      </c>
    </row>
    <row r="404" spans="1:6" x14ac:dyDescent="0.25">
      <c r="A404" s="175" t="s">
        <v>39</v>
      </c>
      <c r="B404" s="176"/>
      <c r="C404" s="37">
        <v>23</v>
      </c>
      <c r="D404" s="37">
        <v>50</v>
      </c>
      <c r="E404" s="37">
        <v>27</v>
      </c>
      <c r="F404" s="176">
        <v>1</v>
      </c>
    </row>
    <row r="405" spans="1:6" x14ac:dyDescent="0.25">
      <c r="A405" s="175" t="s">
        <v>282</v>
      </c>
      <c r="B405" s="176">
        <v>14</v>
      </c>
      <c r="C405" s="37">
        <v>165</v>
      </c>
      <c r="D405" s="37">
        <v>428.24520000000001</v>
      </c>
      <c r="E405" s="37">
        <v>218.24519999999998</v>
      </c>
      <c r="F405" s="176">
        <v>5</v>
      </c>
    </row>
    <row r="406" spans="1:6" x14ac:dyDescent="0.25">
      <c r="A406" s="175" t="s">
        <v>143</v>
      </c>
      <c r="B406" s="176">
        <v>2</v>
      </c>
      <c r="C406" s="37">
        <v>26</v>
      </c>
      <c r="D406" s="37">
        <v>31.48</v>
      </c>
      <c r="E406" s="37">
        <v>5.48</v>
      </c>
      <c r="F406" s="176">
        <v>1</v>
      </c>
    </row>
    <row r="407" spans="1:6" x14ac:dyDescent="0.25">
      <c r="A407" s="175" t="s">
        <v>285</v>
      </c>
      <c r="B407" s="176"/>
      <c r="C407" s="37">
        <v>14</v>
      </c>
      <c r="D407" s="37">
        <v>25</v>
      </c>
      <c r="E407" s="37">
        <v>11</v>
      </c>
      <c r="F407" s="176">
        <v>1</v>
      </c>
    </row>
    <row r="408" spans="1:6" x14ac:dyDescent="0.25">
      <c r="A408" s="175" t="s">
        <v>284</v>
      </c>
      <c r="B408" s="176"/>
      <c r="C408" s="37">
        <v>14</v>
      </c>
      <c r="D408" s="37">
        <v>30</v>
      </c>
      <c r="E408" s="37">
        <v>16</v>
      </c>
      <c r="F408" s="176">
        <v>1</v>
      </c>
    </row>
    <row r="409" spans="1:6" x14ac:dyDescent="0.25">
      <c r="A409" s="175" t="s">
        <v>190</v>
      </c>
      <c r="B409" s="176"/>
      <c r="C409" s="37">
        <v>15</v>
      </c>
      <c r="D409" s="37">
        <v>40</v>
      </c>
      <c r="E409" s="37">
        <v>25</v>
      </c>
      <c r="F409" s="176">
        <v>1</v>
      </c>
    </row>
    <row r="410" spans="1:6" x14ac:dyDescent="0.25">
      <c r="A410" s="175" t="s">
        <v>369</v>
      </c>
      <c r="B410" s="176"/>
      <c r="C410" s="37">
        <v>22</v>
      </c>
      <c r="D410" s="37">
        <v>40</v>
      </c>
      <c r="E410" s="37">
        <v>18</v>
      </c>
      <c r="F410" s="176">
        <v>1</v>
      </c>
    </row>
    <row r="411" spans="1:6" x14ac:dyDescent="0.25">
      <c r="A411" s="175" t="s">
        <v>298</v>
      </c>
      <c r="B411" s="176"/>
      <c r="C411" s="37">
        <v>425</v>
      </c>
      <c r="D411" s="37">
        <v>730</v>
      </c>
      <c r="E411" s="37">
        <v>305</v>
      </c>
      <c r="F411" s="176">
        <v>3</v>
      </c>
    </row>
    <row r="412" spans="1:6" x14ac:dyDescent="0.25">
      <c r="A412" s="175" t="s">
        <v>350</v>
      </c>
      <c r="B412" s="176"/>
      <c r="C412" s="37">
        <v>136</v>
      </c>
      <c r="D412" s="37">
        <v>200</v>
      </c>
      <c r="E412" s="37">
        <v>64</v>
      </c>
      <c r="F412" s="176">
        <v>2</v>
      </c>
    </row>
    <row r="413" spans="1:6" x14ac:dyDescent="0.25">
      <c r="A413" s="175" t="s">
        <v>235</v>
      </c>
      <c r="B413" s="176"/>
      <c r="C413" s="37">
        <v>1</v>
      </c>
      <c r="D413" s="37">
        <v>2.1800000000000002</v>
      </c>
      <c r="E413" s="37">
        <v>1.1800000000000002</v>
      </c>
      <c r="F413" s="176">
        <v>1</v>
      </c>
    </row>
    <row r="414" spans="1:6" x14ac:dyDescent="0.25">
      <c r="A414" s="175" t="s">
        <v>206</v>
      </c>
      <c r="B414" s="176">
        <v>9</v>
      </c>
      <c r="C414" s="37">
        <v>7.5</v>
      </c>
      <c r="D414" s="37">
        <v>14.11</v>
      </c>
      <c r="E414" s="37">
        <v>6.6099999999999994</v>
      </c>
      <c r="F414" s="176">
        <v>1</v>
      </c>
    </row>
    <row r="415" spans="1:6" x14ac:dyDescent="0.25">
      <c r="A415" s="175" t="s">
        <v>108</v>
      </c>
      <c r="B415" s="176">
        <v>7</v>
      </c>
      <c r="C415" s="37">
        <v>1.7916666666666665</v>
      </c>
      <c r="D415" s="37">
        <v>17.131666666666668</v>
      </c>
      <c r="E415" s="37">
        <v>11.868333333333334</v>
      </c>
      <c r="F415" s="176">
        <v>2</v>
      </c>
    </row>
    <row r="416" spans="1:6" x14ac:dyDescent="0.25">
      <c r="A416" s="175" t="s">
        <v>327</v>
      </c>
      <c r="B416" s="176">
        <v>1</v>
      </c>
      <c r="C416" s="37">
        <v>6</v>
      </c>
      <c r="D416" s="37">
        <v>49.11</v>
      </c>
      <c r="E416" s="37">
        <v>43.11</v>
      </c>
      <c r="F416" s="176">
        <v>2</v>
      </c>
    </row>
    <row r="417" spans="1:6" x14ac:dyDescent="0.25">
      <c r="A417" s="175" t="s">
        <v>448</v>
      </c>
      <c r="B417" s="176">
        <v>4</v>
      </c>
      <c r="C417" s="37">
        <v>52</v>
      </c>
      <c r="D417" s="37">
        <v>78.45</v>
      </c>
      <c r="E417" s="37">
        <v>26.450000000000003</v>
      </c>
      <c r="F417" s="176">
        <v>1</v>
      </c>
    </row>
    <row r="418" spans="1:6" x14ac:dyDescent="0.25">
      <c r="A418" s="175" t="s">
        <v>504</v>
      </c>
      <c r="B418" s="176"/>
      <c r="C418" s="37"/>
      <c r="D418" s="37"/>
      <c r="E418" s="37"/>
      <c r="F418" s="176"/>
    </row>
    <row r="419" spans="1:6" x14ac:dyDescent="0.25">
      <c r="A419" s="175" t="s">
        <v>505</v>
      </c>
      <c r="B419" s="176">
        <v>3204</v>
      </c>
      <c r="C419" s="37">
        <v>41470.574999999975</v>
      </c>
      <c r="D419" s="37">
        <v>97143.232066666707</v>
      </c>
      <c r="E419" s="37">
        <v>53781.945399999968</v>
      </c>
      <c r="F419" s="176">
        <v>836</v>
      </c>
    </row>
    <row r="420" spans="1:6" x14ac:dyDescent="0.25">
      <c r="B420"/>
    </row>
    <row r="421" spans="1:6" x14ac:dyDescent="0.25">
      <c r="B421"/>
    </row>
    <row r="422" spans="1:6" x14ac:dyDescent="0.25">
      <c r="B422"/>
    </row>
    <row r="423" spans="1:6" x14ac:dyDescent="0.25">
      <c r="B423"/>
    </row>
    <row r="424" spans="1:6" x14ac:dyDescent="0.25">
      <c r="B424"/>
    </row>
    <row r="425" spans="1:6" x14ac:dyDescent="0.25">
      <c r="B425"/>
    </row>
    <row r="426" spans="1:6" x14ac:dyDescent="0.25">
      <c r="B426"/>
    </row>
    <row r="427" spans="1:6" x14ac:dyDescent="0.25">
      <c r="B427"/>
    </row>
    <row r="428" spans="1:6" x14ac:dyDescent="0.25">
      <c r="B428"/>
    </row>
    <row r="429" spans="1:6" x14ac:dyDescent="0.25">
      <c r="B429"/>
    </row>
    <row r="430" spans="1:6" x14ac:dyDescent="0.25">
      <c r="B430"/>
    </row>
    <row r="431" spans="1:6" x14ac:dyDescent="0.25">
      <c r="B431"/>
    </row>
    <row r="432" spans="1:6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 s="114"/>
    </row>
    <row r="836" spans="2:2" x14ac:dyDescent="0.25">
      <c r="B836" s="114"/>
    </row>
    <row r="837" spans="2:2" x14ac:dyDescent="0.25">
      <c r="B837" s="114"/>
    </row>
    <row r="838" spans="2:2" x14ac:dyDescent="0.25">
      <c r="B838" s="114"/>
    </row>
    <row r="839" spans="2:2" x14ac:dyDescent="0.25">
      <c r="B839" s="114"/>
    </row>
    <row r="840" spans="2:2" x14ac:dyDescent="0.25">
      <c r="B840" s="114"/>
    </row>
    <row r="841" spans="2:2" x14ac:dyDescent="0.25">
      <c r="B841" s="114"/>
    </row>
    <row r="842" spans="2:2" x14ac:dyDescent="0.25">
      <c r="B842" s="114"/>
    </row>
    <row r="843" spans="2:2" x14ac:dyDescent="0.25">
      <c r="B843" s="114"/>
    </row>
    <row r="844" spans="2:2" x14ac:dyDescent="0.25">
      <c r="B844" s="114"/>
    </row>
    <row r="845" spans="2:2" x14ac:dyDescent="0.25">
      <c r="B845" s="114"/>
    </row>
    <row r="846" spans="2:2" x14ac:dyDescent="0.25">
      <c r="B846" s="114"/>
    </row>
    <row r="847" spans="2:2" x14ac:dyDescent="0.25">
      <c r="B847" s="114"/>
    </row>
    <row r="848" spans="2:2" x14ac:dyDescent="0.25">
      <c r="B848" s="114"/>
    </row>
    <row r="849" spans="2:2" x14ac:dyDescent="0.25">
      <c r="B849" s="114"/>
    </row>
    <row r="850" spans="2:2" x14ac:dyDescent="0.25">
      <c r="B850" s="114"/>
    </row>
    <row r="851" spans="2:2" x14ac:dyDescent="0.25">
      <c r="B851" s="114"/>
    </row>
    <row r="852" spans="2:2" x14ac:dyDescent="0.25">
      <c r="B852" s="114"/>
    </row>
    <row r="853" spans="2:2" x14ac:dyDescent="0.25">
      <c r="B853" s="114"/>
    </row>
    <row r="854" spans="2:2" x14ac:dyDescent="0.25">
      <c r="B854" s="114"/>
    </row>
    <row r="855" spans="2:2" x14ac:dyDescent="0.25">
      <c r="B855" s="114"/>
    </row>
    <row r="856" spans="2:2" x14ac:dyDescent="0.25">
      <c r="B856" s="114"/>
    </row>
    <row r="857" spans="2:2" x14ac:dyDescent="0.25">
      <c r="B857" s="114"/>
    </row>
    <row r="858" spans="2:2" x14ac:dyDescent="0.25">
      <c r="B858" s="114"/>
    </row>
    <row r="859" spans="2:2" x14ac:dyDescent="0.25">
      <c r="B859" s="114"/>
    </row>
    <row r="860" spans="2:2" x14ac:dyDescent="0.25">
      <c r="B860" s="114"/>
    </row>
    <row r="861" spans="2:2" x14ac:dyDescent="0.25">
      <c r="B861" s="114"/>
    </row>
    <row r="862" spans="2:2" x14ac:dyDescent="0.25">
      <c r="B862" s="114"/>
    </row>
    <row r="863" spans="2:2" x14ac:dyDescent="0.25">
      <c r="B863" s="114"/>
    </row>
    <row r="864" spans="2:2" x14ac:dyDescent="0.25">
      <c r="B864" s="114"/>
    </row>
    <row r="865" spans="2:2" x14ac:dyDescent="0.25">
      <c r="B865" s="114"/>
    </row>
    <row r="866" spans="2:2" x14ac:dyDescent="0.25">
      <c r="B866" s="114"/>
    </row>
    <row r="867" spans="2:2" x14ac:dyDescent="0.25">
      <c r="B867" s="114"/>
    </row>
    <row r="868" spans="2:2" x14ac:dyDescent="0.25">
      <c r="B868" s="114"/>
    </row>
    <row r="869" spans="2:2" x14ac:dyDescent="0.25">
      <c r="B869" s="114"/>
    </row>
    <row r="870" spans="2:2" x14ac:dyDescent="0.25">
      <c r="B870" s="114"/>
    </row>
    <row r="871" spans="2:2" x14ac:dyDescent="0.25">
      <c r="B871" s="114"/>
    </row>
    <row r="872" spans="2:2" x14ac:dyDescent="0.25">
      <c r="B872" s="114"/>
    </row>
    <row r="873" spans="2:2" x14ac:dyDescent="0.25">
      <c r="B873" s="114"/>
    </row>
    <row r="874" spans="2:2" x14ac:dyDescent="0.25">
      <c r="B874" s="114"/>
    </row>
    <row r="875" spans="2:2" x14ac:dyDescent="0.25">
      <c r="B875" s="114"/>
    </row>
    <row r="876" spans="2:2" x14ac:dyDescent="0.25">
      <c r="B876" s="114"/>
    </row>
    <row r="877" spans="2:2" x14ac:dyDescent="0.25">
      <c r="B877" s="114"/>
    </row>
    <row r="878" spans="2:2" x14ac:dyDescent="0.25">
      <c r="B878" s="114"/>
    </row>
    <row r="879" spans="2:2" x14ac:dyDescent="0.25">
      <c r="B879" s="114"/>
    </row>
    <row r="880" spans="2:2" x14ac:dyDescent="0.25">
      <c r="B880" s="114"/>
    </row>
    <row r="881" spans="2:2" x14ac:dyDescent="0.25">
      <c r="B881" s="114"/>
    </row>
    <row r="882" spans="2:2" x14ac:dyDescent="0.25">
      <c r="B882" s="114"/>
    </row>
    <row r="883" spans="2:2" x14ac:dyDescent="0.25">
      <c r="B883" s="114"/>
    </row>
    <row r="884" spans="2:2" x14ac:dyDescent="0.25">
      <c r="B884" s="114"/>
    </row>
    <row r="885" spans="2:2" x14ac:dyDescent="0.25">
      <c r="B885" s="114"/>
    </row>
    <row r="886" spans="2:2" x14ac:dyDescent="0.25">
      <c r="B886" s="114"/>
    </row>
    <row r="887" spans="2:2" x14ac:dyDescent="0.25">
      <c r="B887" s="114"/>
    </row>
    <row r="888" spans="2:2" x14ac:dyDescent="0.25">
      <c r="B888" s="114"/>
    </row>
    <row r="889" spans="2:2" x14ac:dyDescent="0.25">
      <c r="B889" s="114"/>
    </row>
    <row r="890" spans="2:2" x14ac:dyDescent="0.25">
      <c r="B890" s="114"/>
    </row>
    <row r="891" spans="2:2" x14ac:dyDescent="0.25">
      <c r="B891" s="114"/>
    </row>
    <row r="892" spans="2:2" x14ac:dyDescent="0.25">
      <c r="B892" s="114"/>
    </row>
    <row r="893" spans="2:2" x14ac:dyDescent="0.25">
      <c r="B893" s="114"/>
    </row>
    <row r="894" spans="2:2" x14ac:dyDescent="0.25">
      <c r="B894" s="114"/>
    </row>
    <row r="895" spans="2:2" x14ac:dyDescent="0.25">
      <c r="B895" s="114"/>
    </row>
    <row r="896" spans="2:2" x14ac:dyDescent="0.25">
      <c r="B896" s="114"/>
    </row>
    <row r="897" spans="2:2" x14ac:dyDescent="0.25">
      <c r="B897" s="114"/>
    </row>
    <row r="898" spans="2:2" x14ac:dyDescent="0.25">
      <c r="B898" s="114"/>
    </row>
    <row r="899" spans="2:2" x14ac:dyDescent="0.25">
      <c r="B899" s="114"/>
    </row>
    <row r="900" spans="2:2" x14ac:dyDescent="0.25">
      <c r="B900" s="114"/>
    </row>
    <row r="901" spans="2:2" x14ac:dyDescent="0.25">
      <c r="B901" s="114"/>
    </row>
    <row r="902" spans="2:2" x14ac:dyDescent="0.25">
      <c r="B902" s="114"/>
    </row>
    <row r="903" spans="2:2" x14ac:dyDescent="0.25">
      <c r="B903" s="114"/>
    </row>
    <row r="904" spans="2:2" x14ac:dyDescent="0.25">
      <c r="B904" s="114"/>
    </row>
    <row r="905" spans="2:2" x14ac:dyDescent="0.25">
      <c r="B905" s="114"/>
    </row>
    <row r="906" spans="2:2" x14ac:dyDescent="0.25">
      <c r="B906" s="114"/>
    </row>
    <row r="907" spans="2:2" x14ac:dyDescent="0.25">
      <c r="B907" s="114"/>
    </row>
    <row r="908" spans="2:2" x14ac:dyDescent="0.25">
      <c r="B908" s="114"/>
    </row>
    <row r="909" spans="2:2" x14ac:dyDescent="0.25">
      <c r="B909" s="114"/>
    </row>
    <row r="910" spans="2:2" x14ac:dyDescent="0.25">
      <c r="B910" s="114"/>
    </row>
    <row r="911" spans="2:2" x14ac:dyDescent="0.25">
      <c r="B911" s="114"/>
    </row>
    <row r="912" spans="2:2" x14ac:dyDescent="0.25">
      <c r="B912" s="114"/>
    </row>
    <row r="913" spans="2:2" x14ac:dyDescent="0.25">
      <c r="B913" s="114"/>
    </row>
    <row r="914" spans="2:2" x14ac:dyDescent="0.25">
      <c r="B914" s="114"/>
    </row>
    <row r="915" spans="2:2" x14ac:dyDescent="0.25">
      <c r="B915" s="114"/>
    </row>
    <row r="916" spans="2:2" x14ac:dyDescent="0.25">
      <c r="B916" s="114"/>
    </row>
    <row r="917" spans="2:2" x14ac:dyDescent="0.25">
      <c r="B917" s="114"/>
    </row>
    <row r="918" spans="2:2" x14ac:dyDescent="0.25">
      <c r="B918" s="114"/>
    </row>
    <row r="919" spans="2:2" x14ac:dyDescent="0.25">
      <c r="B919" s="114"/>
    </row>
    <row r="920" spans="2:2" x14ac:dyDescent="0.25">
      <c r="B920" s="114"/>
    </row>
    <row r="921" spans="2:2" x14ac:dyDescent="0.25">
      <c r="B921" s="114"/>
    </row>
    <row r="922" spans="2:2" x14ac:dyDescent="0.25">
      <c r="B922" s="114"/>
    </row>
    <row r="923" spans="2:2" x14ac:dyDescent="0.25">
      <c r="B923" s="114"/>
    </row>
    <row r="924" spans="2:2" x14ac:dyDescent="0.25">
      <c r="B924" s="114"/>
    </row>
    <row r="925" spans="2:2" x14ac:dyDescent="0.25">
      <c r="B925" s="114"/>
    </row>
    <row r="926" spans="2:2" x14ac:dyDescent="0.25">
      <c r="B926" s="114"/>
    </row>
    <row r="927" spans="2:2" x14ac:dyDescent="0.25">
      <c r="B927" s="114"/>
    </row>
    <row r="928" spans="2:2" x14ac:dyDescent="0.25">
      <c r="B928" s="114"/>
    </row>
    <row r="929" spans="2:2" x14ac:dyDescent="0.25">
      <c r="B929" s="114"/>
    </row>
    <row r="930" spans="2:2" x14ac:dyDescent="0.25">
      <c r="B930" s="114"/>
    </row>
    <row r="931" spans="2:2" x14ac:dyDescent="0.25">
      <c r="B931" s="114"/>
    </row>
    <row r="932" spans="2:2" x14ac:dyDescent="0.25">
      <c r="B932" s="114"/>
    </row>
    <row r="933" spans="2:2" x14ac:dyDescent="0.25">
      <c r="B933" s="114"/>
    </row>
    <row r="934" spans="2:2" x14ac:dyDescent="0.25">
      <c r="B934" s="114"/>
    </row>
    <row r="935" spans="2:2" x14ac:dyDescent="0.25">
      <c r="B935" s="114"/>
    </row>
    <row r="936" spans="2:2" x14ac:dyDescent="0.25">
      <c r="B936" s="114"/>
    </row>
    <row r="937" spans="2:2" x14ac:dyDescent="0.25">
      <c r="B937" s="114"/>
    </row>
    <row r="938" spans="2:2" x14ac:dyDescent="0.25">
      <c r="B938" s="114"/>
    </row>
    <row r="939" spans="2:2" x14ac:dyDescent="0.25">
      <c r="B939" s="114"/>
    </row>
    <row r="940" spans="2:2" x14ac:dyDescent="0.25">
      <c r="B940" s="114"/>
    </row>
    <row r="941" spans="2:2" x14ac:dyDescent="0.25">
      <c r="B941" s="114"/>
    </row>
    <row r="942" spans="2:2" x14ac:dyDescent="0.25">
      <c r="B942" s="114"/>
    </row>
    <row r="943" spans="2:2" x14ac:dyDescent="0.25">
      <c r="B943" s="114"/>
    </row>
    <row r="944" spans="2:2" x14ac:dyDescent="0.25">
      <c r="B944" s="114"/>
    </row>
    <row r="945" spans="2:2" x14ac:dyDescent="0.25">
      <c r="B945" s="114"/>
    </row>
    <row r="946" spans="2:2" x14ac:dyDescent="0.25">
      <c r="B946" s="114"/>
    </row>
    <row r="947" spans="2:2" x14ac:dyDescent="0.25">
      <c r="B947" s="114"/>
    </row>
    <row r="948" spans="2:2" x14ac:dyDescent="0.25">
      <c r="B948" s="114"/>
    </row>
    <row r="949" spans="2:2" x14ac:dyDescent="0.25">
      <c r="B949" s="114"/>
    </row>
    <row r="950" spans="2:2" x14ac:dyDescent="0.25">
      <c r="B950" s="114"/>
    </row>
    <row r="951" spans="2:2" x14ac:dyDescent="0.25">
      <c r="B951" s="114"/>
    </row>
    <row r="952" spans="2:2" x14ac:dyDescent="0.25">
      <c r="B952" s="114"/>
    </row>
    <row r="953" spans="2:2" x14ac:dyDescent="0.25">
      <c r="B953" s="114"/>
    </row>
    <row r="954" spans="2:2" x14ac:dyDescent="0.25">
      <c r="B954" s="114"/>
    </row>
    <row r="955" spans="2:2" x14ac:dyDescent="0.25">
      <c r="B955" s="114"/>
    </row>
    <row r="956" spans="2:2" x14ac:dyDescent="0.25">
      <c r="B956" s="114"/>
    </row>
    <row r="957" spans="2:2" x14ac:dyDescent="0.25">
      <c r="B957" s="114"/>
    </row>
    <row r="958" spans="2:2" x14ac:dyDescent="0.25">
      <c r="B958" s="114"/>
    </row>
    <row r="959" spans="2:2" x14ac:dyDescent="0.25">
      <c r="B959" s="114"/>
    </row>
    <row r="960" spans="2:2" x14ac:dyDescent="0.25">
      <c r="B960" s="114"/>
    </row>
    <row r="961" spans="2:2" x14ac:dyDescent="0.25">
      <c r="B961" s="114"/>
    </row>
    <row r="962" spans="2:2" x14ac:dyDescent="0.25">
      <c r="B962" s="114"/>
    </row>
    <row r="963" spans="2:2" x14ac:dyDescent="0.25">
      <c r="B963" s="114"/>
    </row>
    <row r="964" spans="2:2" x14ac:dyDescent="0.25">
      <c r="B964" s="114"/>
    </row>
    <row r="965" spans="2:2" x14ac:dyDescent="0.25">
      <c r="B965" s="114"/>
    </row>
    <row r="966" spans="2:2" x14ac:dyDescent="0.25">
      <c r="B966" s="114"/>
    </row>
    <row r="967" spans="2:2" x14ac:dyDescent="0.25">
      <c r="B967" s="114"/>
    </row>
    <row r="968" spans="2:2" x14ac:dyDescent="0.25">
      <c r="B968" s="114"/>
    </row>
    <row r="969" spans="2:2" x14ac:dyDescent="0.25">
      <c r="B969" s="114"/>
    </row>
    <row r="970" spans="2:2" x14ac:dyDescent="0.25">
      <c r="B970" s="114"/>
    </row>
    <row r="971" spans="2:2" x14ac:dyDescent="0.25">
      <c r="B971" s="114"/>
    </row>
    <row r="972" spans="2:2" x14ac:dyDescent="0.25">
      <c r="B972" s="114"/>
    </row>
    <row r="973" spans="2:2" x14ac:dyDescent="0.25">
      <c r="B973" s="114"/>
    </row>
    <row r="974" spans="2:2" x14ac:dyDescent="0.25">
      <c r="B974" s="114"/>
    </row>
    <row r="975" spans="2:2" x14ac:dyDescent="0.25">
      <c r="B975" s="114"/>
    </row>
    <row r="976" spans="2:2" x14ac:dyDescent="0.25">
      <c r="B976" s="114"/>
    </row>
    <row r="977" spans="2:2" x14ac:dyDescent="0.25">
      <c r="B977" s="114"/>
    </row>
    <row r="978" spans="2:2" x14ac:dyDescent="0.25">
      <c r="B978" s="114"/>
    </row>
    <row r="979" spans="2:2" x14ac:dyDescent="0.25">
      <c r="B979" s="114"/>
    </row>
    <row r="980" spans="2:2" x14ac:dyDescent="0.25">
      <c r="B980" s="114"/>
    </row>
    <row r="981" spans="2:2" x14ac:dyDescent="0.25">
      <c r="B981" s="114"/>
    </row>
    <row r="982" spans="2:2" x14ac:dyDescent="0.25">
      <c r="B982" s="114"/>
    </row>
    <row r="983" spans="2:2" x14ac:dyDescent="0.25">
      <c r="B983" s="114"/>
    </row>
    <row r="984" spans="2:2" x14ac:dyDescent="0.25">
      <c r="B984" s="114"/>
    </row>
    <row r="985" spans="2:2" x14ac:dyDescent="0.25">
      <c r="B985" s="114"/>
    </row>
    <row r="986" spans="2:2" x14ac:dyDescent="0.25">
      <c r="B986" s="114"/>
    </row>
    <row r="987" spans="2:2" x14ac:dyDescent="0.25">
      <c r="B987" s="114"/>
    </row>
    <row r="988" spans="2:2" x14ac:dyDescent="0.25">
      <c r="B988" s="114"/>
    </row>
    <row r="989" spans="2:2" x14ac:dyDescent="0.25">
      <c r="B989" s="114"/>
    </row>
    <row r="990" spans="2:2" x14ac:dyDescent="0.25">
      <c r="B990" s="114"/>
    </row>
    <row r="991" spans="2:2" x14ac:dyDescent="0.25">
      <c r="B991" s="114"/>
    </row>
    <row r="992" spans="2:2" x14ac:dyDescent="0.25">
      <c r="B992" s="114"/>
    </row>
    <row r="993" spans="2:2" x14ac:dyDescent="0.25">
      <c r="B993" s="114"/>
    </row>
    <row r="994" spans="2:2" x14ac:dyDescent="0.25">
      <c r="B994" s="114"/>
    </row>
    <row r="995" spans="2:2" x14ac:dyDescent="0.25">
      <c r="B995" s="114"/>
    </row>
    <row r="996" spans="2:2" x14ac:dyDescent="0.25">
      <c r="B996" s="114"/>
    </row>
    <row r="997" spans="2:2" x14ac:dyDescent="0.25">
      <c r="B997" s="114"/>
    </row>
    <row r="998" spans="2:2" x14ac:dyDescent="0.25">
      <c r="B998" s="114"/>
    </row>
    <row r="999" spans="2:2" x14ac:dyDescent="0.25">
      <c r="B999" s="114"/>
    </row>
    <row r="1000" spans="2:2" x14ac:dyDescent="0.25">
      <c r="B1000" s="114"/>
    </row>
    <row r="1001" spans="2:2" x14ac:dyDescent="0.25">
      <c r="B1001" s="114"/>
    </row>
    <row r="1002" spans="2:2" x14ac:dyDescent="0.25">
      <c r="B1002" s="114"/>
    </row>
    <row r="1003" spans="2:2" x14ac:dyDescent="0.25">
      <c r="B1003" s="114"/>
    </row>
    <row r="1004" spans="2:2" x14ac:dyDescent="0.25">
      <c r="B1004" s="114"/>
    </row>
    <row r="1005" spans="2:2" x14ac:dyDescent="0.25">
      <c r="B1005" s="114"/>
    </row>
    <row r="1006" spans="2:2" x14ac:dyDescent="0.25">
      <c r="B1006" s="114"/>
    </row>
    <row r="1007" spans="2:2" x14ac:dyDescent="0.25">
      <c r="B1007" s="114"/>
    </row>
    <row r="1008" spans="2:2" x14ac:dyDescent="0.25">
      <c r="B1008" s="114"/>
    </row>
    <row r="1009" spans="2:2" x14ac:dyDescent="0.25">
      <c r="B1009" s="114"/>
    </row>
    <row r="1010" spans="2:2" x14ac:dyDescent="0.25">
      <c r="B1010" s="114"/>
    </row>
    <row r="1011" spans="2:2" x14ac:dyDescent="0.25">
      <c r="B1011" s="1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0573-4417-48A4-985F-F80A7C1A9DB6}">
  <dimension ref="A1:U832"/>
  <sheetViews>
    <sheetView topLeftCell="I115" workbookViewId="0">
      <selection activeCell="I142" sqref="I142"/>
    </sheetView>
  </sheetViews>
  <sheetFormatPr defaultRowHeight="15" x14ac:dyDescent="0.25"/>
  <cols>
    <col min="1" max="1" width="11.42578125" customWidth="1"/>
    <col min="2" max="2" width="76" customWidth="1"/>
    <col min="3" max="3" width="10.5703125" customWidth="1"/>
    <col min="4" max="4" width="18.7109375" bestFit="1" customWidth="1"/>
    <col min="5" max="6" width="19.28515625" bestFit="1" customWidth="1"/>
    <col min="7" max="7" width="9.85546875" bestFit="1" customWidth="1"/>
    <col min="8" max="8" width="13.140625" bestFit="1" customWidth="1"/>
    <col min="9" max="9" width="8.7109375" bestFit="1" customWidth="1"/>
    <col min="11" max="11" width="137.42578125" bestFit="1" customWidth="1"/>
    <col min="12" max="12" width="5.7109375" bestFit="1" customWidth="1"/>
    <col min="13" max="13" width="12.85546875" style="114" bestFit="1" customWidth="1"/>
    <col min="14" max="14" width="15.5703125" style="114" bestFit="1" customWidth="1"/>
    <col min="15" max="15" width="12.42578125" style="114" bestFit="1" customWidth="1"/>
    <col min="17" max="17" width="53.28515625" customWidth="1"/>
    <col min="18" max="18" width="5.7109375" bestFit="1" customWidth="1"/>
    <col min="19" max="19" width="12.85546875" bestFit="1" customWidth="1"/>
    <col min="20" max="20" width="15.5703125" bestFit="1" customWidth="1"/>
    <col min="21" max="21" width="11.42578125" bestFit="1" customWidth="1"/>
  </cols>
  <sheetData>
    <row r="1" spans="1:21" ht="36.75" customHeight="1" x14ac:dyDescent="0.25">
      <c r="A1" s="162" t="s">
        <v>501</v>
      </c>
      <c r="B1" s="162" t="s">
        <v>486</v>
      </c>
      <c r="C1" s="163" t="s">
        <v>502</v>
      </c>
      <c r="D1" s="164" t="s">
        <v>489</v>
      </c>
      <c r="E1" s="164" t="s">
        <v>507</v>
      </c>
      <c r="F1" s="164" t="s">
        <v>508</v>
      </c>
      <c r="G1" s="165" t="s">
        <v>509</v>
      </c>
      <c r="H1" s="166" t="s">
        <v>500</v>
      </c>
      <c r="I1" s="166" t="s">
        <v>510</v>
      </c>
      <c r="K1" s="4" t="s">
        <v>493</v>
      </c>
      <c r="L1" s="1" t="s">
        <v>492</v>
      </c>
      <c r="M1" s="4" t="s">
        <v>489</v>
      </c>
      <c r="N1" s="4" t="s">
        <v>490</v>
      </c>
      <c r="O1" s="4" t="s">
        <v>491</v>
      </c>
      <c r="Q1" s="4"/>
      <c r="R1" s="1"/>
      <c r="S1" s="4"/>
      <c r="T1" s="4"/>
      <c r="U1" s="4"/>
    </row>
    <row r="2" spans="1:21" ht="15.75" x14ac:dyDescent="0.25">
      <c r="A2" s="158">
        <v>58</v>
      </c>
      <c r="B2" s="45" t="s">
        <v>91</v>
      </c>
      <c r="C2" s="14">
        <v>1</v>
      </c>
      <c r="D2" s="61">
        <f>E2-F2</f>
        <v>2.5</v>
      </c>
      <c r="E2" s="58">
        <v>13.32</v>
      </c>
      <c r="F2" s="61">
        <v>10.82</v>
      </c>
      <c r="G2" s="8" t="s">
        <v>15</v>
      </c>
      <c r="H2" s="57" t="s">
        <v>6</v>
      </c>
      <c r="I2" s="159"/>
      <c r="K2" s="45" t="str" cm="1">
        <f t="array" ref="K2:K326">_xlfn.UNIQUE(Tabela1[Produtos])</f>
        <v>1PCS Glossy Multicolored Business ID Credit Card Cash Pocket Holder Wallet Aluminium Alloy Outer Plastic Inner Waterproof Case</v>
      </c>
      <c r="L2" s="49">
        <f>SUMIF(Tabela1[Produtos],K2,Tabela1[Quantidade])</f>
        <v>1</v>
      </c>
      <c r="M2" s="37">
        <f>SUMIF(Tabela1[Produtos],K2,Tabela1[Valor gasto])</f>
        <v>2.5</v>
      </c>
      <c r="N2" s="37">
        <f>SUMIF(Tabela1[Produtos],K2,Tabela1[Valor venddo])</f>
        <v>13.32</v>
      </c>
      <c r="O2" s="37">
        <f>SUMIF(Tabela1[Produtos],K2,Tabela1[Valor do lucro])</f>
        <v>10.82</v>
      </c>
      <c r="Q2" s="50"/>
      <c r="R2" s="49"/>
      <c r="S2" s="37"/>
      <c r="T2" s="37"/>
      <c r="U2" s="37"/>
    </row>
    <row r="3" spans="1:21" ht="15.75" x14ac:dyDescent="0.25">
      <c r="A3" s="158">
        <v>538</v>
      </c>
      <c r="B3" s="45" t="s">
        <v>132</v>
      </c>
      <c r="C3" s="129">
        <v>8</v>
      </c>
      <c r="D3" s="61">
        <v>56</v>
      </c>
      <c r="E3" s="127">
        <v>120.69</v>
      </c>
      <c r="F3" s="61">
        <f>SUM(E3-D3)</f>
        <v>64.69</v>
      </c>
      <c r="G3" s="8" t="s">
        <v>15</v>
      </c>
      <c r="H3" s="8" t="s">
        <v>114</v>
      </c>
      <c r="I3" s="160"/>
      <c r="K3" s="45" t="str">
        <v>A 70 Spray Líquido 200 ml - Nutriex</v>
      </c>
      <c r="L3" s="49">
        <f>SUMIF(Tabela1[Produtos],K3,Tabela1[Quantidade])</f>
        <v>32</v>
      </c>
      <c r="M3" s="37">
        <f>SUMIF(Tabela1[Produtos],K3,Tabela1[Valor gasto])</f>
        <v>176</v>
      </c>
      <c r="N3" s="37">
        <f>SUMIF(Tabela1[Produtos],K3,Tabela1[Valor venddo])</f>
        <v>361.72219999999999</v>
      </c>
      <c r="O3" s="37">
        <f>SUMIF(Tabela1[Produtos],K3,Tabela1[Valor do lucro])</f>
        <v>191.06220000000002</v>
      </c>
      <c r="Q3" s="50"/>
      <c r="R3" s="49"/>
      <c r="S3" s="37"/>
      <c r="T3" s="37"/>
      <c r="U3" s="37"/>
    </row>
    <row r="4" spans="1:21" ht="15.75" x14ac:dyDescent="0.25">
      <c r="A4" s="158">
        <v>898</v>
      </c>
      <c r="B4" s="45" t="s">
        <v>132</v>
      </c>
      <c r="C4" s="134">
        <v>8</v>
      </c>
      <c r="D4" s="127">
        <v>48</v>
      </c>
      <c r="E4" s="135">
        <v>100.62219999999999</v>
      </c>
      <c r="F4" s="61">
        <f>E4-D4</f>
        <v>52.622199999999992</v>
      </c>
      <c r="G4" s="8" t="s">
        <v>15</v>
      </c>
      <c r="H4" s="8" t="s">
        <v>114</v>
      </c>
      <c r="I4" s="161"/>
      <c r="K4" s="45" t="str">
        <v>ACENDEDOR DE FOGÃO</v>
      </c>
      <c r="L4" s="49">
        <f>SUMIF(Tabela1[Produtos],K4,Tabela1[Quantidade])</f>
        <v>2</v>
      </c>
      <c r="M4" s="37">
        <f>SUMIF(Tabela1[Produtos],K4,Tabela1[Valor gasto])</f>
        <v>6</v>
      </c>
      <c r="N4" s="37">
        <f>SUMIF(Tabela1[Produtos],K4,Tabela1[Valor venddo])</f>
        <v>40.26</v>
      </c>
      <c r="O4" s="37">
        <f>SUMIF(Tabela1[Produtos],K4,Tabela1[Valor do lucro])</f>
        <v>28.259999999999998</v>
      </c>
      <c r="Q4" s="50"/>
      <c r="R4" s="49"/>
      <c r="S4" s="37"/>
      <c r="T4" s="37"/>
      <c r="U4" s="37"/>
    </row>
    <row r="5" spans="1:21" ht="15.75" x14ac:dyDescent="0.25">
      <c r="A5" s="158">
        <v>124</v>
      </c>
      <c r="B5" s="45" t="s">
        <v>132</v>
      </c>
      <c r="C5" s="17">
        <v>7</v>
      </c>
      <c r="D5" s="58">
        <v>24.5</v>
      </c>
      <c r="E5" s="58">
        <v>49.46</v>
      </c>
      <c r="F5" s="58">
        <v>24.96</v>
      </c>
      <c r="G5" s="8" t="s">
        <v>15</v>
      </c>
      <c r="H5" s="57" t="s">
        <v>6</v>
      </c>
      <c r="I5" s="159"/>
      <c r="K5" s="45" t="str">
        <v>Adaptador Fonte carregador para PSP 2000 3000 game portátil</v>
      </c>
      <c r="L5" s="49">
        <f>SUMIF(Tabela1[Produtos],K5,Tabela1[Quantidade])</f>
        <v>1</v>
      </c>
      <c r="M5" s="37">
        <f>SUMIF(Tabela1[Produtos],K5,Tabela1[Valor gasto])</f>
        <v>14</v>
      </c>
      <c r="N5" s="37">
        <f>SUMIF(Tabela1[Produtos],K5,Tabela1[Valor venddo])</f>
        <v>20</v>
      </c>
      <c r="O5" s="37">
        <f>SUMIF(Tabela1[Produtos],K5,Tabela1[Valor do lucro])</f>
        <v>6</v>
      </c>
      <c r="Q5" s="50"/>
      <c r="R5" s="49"/>
      <c r="S5" s="37"/>
      <c r="T5" s="37"/>
      <c r="U5" s="37"/>
    </row>
    <row r="6" spans="1:21" ht="15.75" x14ac:dyDescent="0.25">
      <c r="A6" s="158">
        <v>266</v>
      </c>
      <c r="B6" s="45" t="s">
        <v>132</v>
      </c>
      <c r="C6" s="17">
        <v>4</v>
      </c>
      <c r="D6" s="58">
        <v>3.5</v>
      </c>
      <c r="E6" s="58">
        <v>14</v>
      </c>
      <c r="F6" s="58">
        <v>15.84</v>
      </c>
      <c r="G6" s="8" t="s">
        <v>15</v>
      </c>
      <c r="H6" s="57" t="s">
        <v>114</v>
      </c>
      <c r="I6" s="161"/>
      <c r="K6" t="str">
        <v>Adaptador OTG USB V8</v>
      </c>
      <c r="L6" s="49">
        <f>SUMIF(Tabela1[Produtos],K7,Tabela1[Quantidade])</f>
        <v>3</v>
      </c>
      <c r="M6" s="37">
        <f>SUMIF(Tabela1[Produtos],K7,Tabela1[Valor gasto])</f>
        <v>13</v>
      </c>
      <c r="N6" s="37">
        <f>SUMIF(Tabela1[Produtos],K7,Tabela1[Valor venddo])</f>
        <v>34.56</v>
      </c>
      <c r="O6" s="37">
        <f>SUMIF(Tabela1[Produtos],K7,Tabela1[Valor do lucro])</f>
        <v>21.56</v>
      </c>
      <c r="Q6" s="50"/>
      <c r="R6" s="49"/>
      <c r="S6" s="37"/>
      <c r="T6" s="37"/>
      <c r="U6" s="37"/>
    </row>
    <row r="7" spans="1:21" ht="15.75" x14ac:dyDescent="0.25">
      <c r="A7" s="158">
        <v>755</v>
      </c>
      <c r="B7" s="45" t="s">
        <v>132</v>
      </c>
      <c r="C7" s="126">
        <v>4</v>
      </c>
      <c r="D7" s="127">
        <v>16</v>
      </c>
      <c r="E7" s="127">
        <v>38.49</v>
      </c>
      <c r="F7" s="127">
        <v>22.490000000000002</v>
      </c>
      <c r="G7" s="8" t="s">
        <v>15</v>
      </c>
      <c r="H7" s="8" t="s">
        <v>114</v>
      </c>
      <c r="I7" s="161"/>
      <c r="K7" s="45" t="str">
        <v>Adaptador Para Fone Headset Microfone Lapela P2 X P3 Áudio</v>
      </c>
      <c r="L7" s="49">
        <f>SUMIF(Tabela1[Produtos],#REF!,Tabela1[Quantidade])</f>
        <v>0</v>
      </c>
      <c r="M7" s="37">
        <f>SUMIF(Tabela1[Produtos],#REF!,Tabela1[Valor gasto])</f>
        <v>0</v>
      </c>
      <c r="N7" s="37">
        <f>SUMIF(Tabela1[Produtos],#REF!,Tabela1[Valor venddo])</f>
        <v>0</v>
      </c>
      <c r="O7" s="37">
        <f>SUMIF(Tabela1[Produtos],#REF!,Tabela1[Valor do lucro])</f>
        <v>0</v>
      </c>
      <c r="Q7" s="50"/>
      <c r="R7" s="49"/>
      <c r="S7" s="37"/>
      <c r="T7" s="37"/>
      <c r="U7" s="37"/>
    </row>
    <row r="8" spans="1:21" ht="15.75" x14ac:dyDescent="0.25">
      <c r="A8" s="158">
        <v>586</v>
      </c>
      <c r="B8" s="45" t="s">
        <v>132</v>
      </c>
      <c r="C8" s="14">
        <v>1</v>
      </c>
      <c r="D8" s="127">
        <v>28</v>
      </c>
      <c r="E8" s="127">
        <v>38.46</v>
      </c>
      <c r="F8" s="61">
        <f>E8-D8</f>
        <v>10.46</v>
      </c>
      <c r="G8" s="8" t="s">
        <v>15</v>
      </c>
      <c r="H8" s="8" t="s">
        <v>113</v>
      </c>
      <c r="I8" s="161"/>
      <c r="K8" s="45" t="str">
        <v>Adaptador Usb 2.0 Ethernet Rj45 Fácil Instalação</v>
      </c>
      <c r="L8" s="49">
        <f>SUMIF(Tabela1[Produtos],K8,Tabela1[Quantidade])</f>
        <v>2</v>
      </c>
      <c r="M8" s="37">
        <f>SUMIF(Tabela1[Produtos],K8,Tabela1[Valor gasto])</f>
        <v>22</v>
      </c>
      <c r="N8" s="37">
        <f>SUMIF(Tabela1[Produtos],K8,Tabela1[Valor venddo])</f>
        <v>45.5</v>
      </c>
      <c r="O8" s="37">
        <f>SUMIF(Tabela1[Produtos],K8,Tabela1[Valor do lucro])</f>
        <v>23.5</v>
      </c>
      <c r="Q8" s="50"/>
      <c r="R8" s="49"/>
      <c r="S8" s="37"/>
      <c r="T8" s="37"/>
      <c r="U8" s="37"/>
    </row>
    <row r="9" spans="1:21" ht="15.75" x14ac:dyDescent="0.25">
      <c r="A9" s="158">
        <v>706</v>
      </c>
      <c r="B9" s="45" t="s">
        <v>366</v>
      </c>
      <c r="C9" s="17">
        <v>2</v>
      </c>
      <c r="D9" s="132">
        <v>6</v>
      </c>
      <c r="E9" s="61">
        <v>40.26</v>
      </c>
      <c r="F9" s="61">
        <v>28.259999999999998</v>
      </c>
      <c r="G9" s="8" t="s">
        <v>15</v>
      </c>
      <c r="H9" s="8" t="s">
        <v>114</v>
      </c>
      <c r="I9" s="161"/>
      <c r="K9" s="45" t="str">
        <v>Adaptador Wifi</v>
      </c>
      <c r="L9" s="49">
        <f>SUMIF(Tabela1[Produtos],K9,Tabela1[Quantidade])</f>
        <v>5</v>
      </c>
      <c r="M9" s="37">
        <f>SUMIF(Tabela1[Produtos],K9,Tabela1[Valor gasto])</f>
        <v>82</v>
      </c>
      <c r="N9" s="37">
        <f>SUMIF(Tabela1[Produtos],K9,Tabela1[Valor venddo])</f>
        <v>160</v>
      </c>
      <c r="O9" s="37">
        <f>SUMIF(Tabela1[Produtos],K9,Tabela1[Valor do lucro])</f>
        <v>78</v>
      </c>
      <c r="Q9" s="45"/>
      <c r="R9" s="49"/>
      <c r="S9" s="37"/>
      <c r="T9" s="37"/>
      <c r="U9" s="37"/>
    </row>
    <row r="10" spans="1:21" ht="15.75" x14ac:dyDescent="0.25">
      <c r="A10" s="158">
        <v>433</v>
      </c>
      <c r="B10" s="45" t="s">
        <v>244</v>
      </c>
      <c r="C10" s="14">
        <v>1</v>
      </c>
      <c r="D10" s="128">
        <v>14</v>
      </c>
      <c r="E10" s="61">
        <v>20</v>
      </c>
      <c r="F10" s="61">
        <f>E10-D10</f>
        <v>6</v>
      </c>
      <c r="G10" s="8" t="s">
        <v>15</v>
      </c>
      <c r="H10" s="8" t="s">
        <v>113</v>
      </c>
      <c r="I10" s="160"/>
      <c r="K10" s="45" t="str">
        <v>ADESIVO COLA RATO - RATOEIRA ADESIVA HM</v>
      </c>
      <c r="L10" s="49">
        <f>SUMIF(Tabela1[Produtos],K10,Tabela1[Quantidade])</f>
        <v>13</v>
      </c>
      <c r="M10" s="37">
        <f>SUMIF(Tabela1[Produtos],K10,Tabela1[Valor gasto])</f>
        <v>28.5</v>
      </c>
      <c r="N10" s="37">
        <f>SUMIF(Tabela1[Produtos],K10,Tabela1[Valor venddo])</f>
        <v>81.931600000000003</v>
      </c>
      <c r="O10" s="37">
        <f>SUMIF(Tabela1[Produtos],K10,Tabela1[Valor do lucro])</f>
        <v>53.431600000000003</v>
      </c>
      <c r="Q10" s="50"/>
      <c r="R10" s="49"/>
      <c r="S10" s="37"/>
      <c r="T10" s="37"/>
      <c r="U10" s="37"/>
    </row>
    <row r="11" spans="1:21" ht="15.75" x14ac:dyDescent="0.25">
      <c r="A11" s="158">
        <v>690</v>
      </c>
      <c r="B11" s="45" t="s">
        <v>360</v>
      </c>
      <c r="C11" s="17">
        <v>1</v>
      </c>
      <c r="D11" s="132">
        <v>2.5</v>
      </c>
      <c r="E11" s="61">
        <v>8.32</v>
      </c>
      <c r="F11" s="61">
        <v>5.82</v>
      </c>
      <c r="G11" s="8" t="s">
        <v>15</v>
      </c>
      <c r="H11" s="8" t="s">
        <v>114</v>
      </c>
      <c r="I11" s="161"/>
      <c r="K11" s="45" t="str">
        <v>adptador carro</v>
      </c>
      <c r="L11" s="49">
        <f>SUMIF(Tabela1[Produtos],K11,Tabela1[Quantidade])</f>
        <v>3</v>
      </c>
      <c r="M11" s="37">
        <f>SUMIF(Tabela1[Produtos],K11,Tabela1[Valor gasto])</f>
        <v>12</v>
      </c>
      <c r="N11" s="37">
        <f>SUMIF(Tabela1[Produtos],K11,Tabela1[Valor venddo])</f>
        <v>55</v>
      </c>
      <c r="O11" s="37">
        <f>SUMIF(Tabela1[Produtos],K11,Tabela1[Valor do lucro])</f>
        <v>43</v>
      </c>
      <c r="Q11" s="50"/>
      <c r="R11" s="49"/>
      <c r="S11" s="37"/>
      <c r="T11" s="37"/>
      <c r="U11" s="37"/>
    </row>
    <row r="12" spans="1:21" ht="15.75" x14ac:dyDescent="0.25">
      <c r="A12" s="158">
        <v>508</v>
      </c>
      <c r="B12" s="45" t="s">
        <v>214</v>
      </c>
      <c r="C12" s="129">
        <v>1</v>
      </c>
      <c r="D12" s="61">
        <v>2</v>
      </c>
      <c r="E12" s="127">
        <v>8</v>
      </c>
      <c r="F12" s="61">
        <f>SUM(E12-D12)</f>
        <v>6</v>
      </c>
      <c r="G12" s="8" t="s">
        <v>15</v>
      </c>
      <c r="H12" s="8" t="s">
        <v>114</v>
      </c>
      <c r="I12" s="160"/>
      <c r="K12" s="45" t="str">
        <v>adptador wifi</v>
      </c>
      <c r="L12" s="49">
        <f>SUMIF(Tabela1[Produtos],K12,Tabela1[Quantidade])</f>
        <v>1</v>
      </c>
      <c r="M12" s="37">
        <f>SUMIF(Tabela1[Produtos],K12,Tabela1[Valor gasto])</f>
        <v>16</v>
      </c>
      <c r="N12" s="37">
        <f>SUMIF(Tabela1[Produtos],K12,Tabela1[Valor venddo])</f>
        <v>30</v>
      </c>
      <c r="O12" s="37">
        <f>SUMIF(Tabela1[Produtos],K12,Tabela1[Valor do lucro])</f>
        <v>14</v>
      </c>
      <c r="Q12" s="50"/>
      <c r="R12" s="49"/>
      <c r="S12" s="37"/>
      <c r="T12" s="37"/>
      <c r="U12" s="37"/>
    </row>
    <row r="13" spans="1:21" ht="15.75" x14ac:dyDescent="0.25">
      <c r="A13" s="158">
        <v>341</v>
      </c>
      <c r="B13" s="45" t="s">
        <v>214</v>
      </c>
      <c r="C13" s="14">
        <v>1</v>
      </c>
      <c r="D13" s="61">
        <v>2</v>
      </c>
      <c r="E13" s="61">
        <v>15.01</v>
      </c>
      <c r="F13" s="61">
        <f>E13-D13</f>
        <v>13.01</v>
      </c>
      <c r="G13" s="8" t="s">
        <v>15</v>
      </c>
      <c r="H13" s="8" t="s">
        <v>113</v>
      </c>
      <c r="I13" s="160"/>
      <c r="K13" s="45" t="str">
        <v>Afiador Amolador De Facas Tesoura Canivete Facão C/ Ventosa</v>
      </c>
      <c r="L13" s="49">
        <f>SUMIF(Tabela1[Produtos],K13,Tabela1[Quantidade])</f>
        <v>3</v>
      </c>
      <c r="M13" s="37">
        <f>SUMIF(Tabela1[Produtos],K13,Tabela1[Valor gasto])</f>
        <v>16</v>
      </c>
      <c r="N13" s="37">
        <f>SUMIF(Tabela1[Produtos],K13,Tabela1[Valor venddo])</f>
        <v>28.030799999999999</v>
      </c>
      <c r="O13" s="37">
        <f>SUMIF(Tabela1[Produtos],K13,Tabela1[Valor do lucro])</f>
        <v>12.030799999999999</v>
      </c>
      <c r="Q13" s="50"/>
      <c r="R13" s="49"/>
      <c r="S13" s="37"/>
      <c r="T13" s="37"/>
      <c r="U13" s="37"/>
    </row>
    <row r="14" spans="1:21" ht="15.75" x14ac:dyDescent="0.25">
      <c r="A14" s="158">
        <v>587</v>
      </c>
      <c r="B14" s="45" t="s">
        <v>214</v>
      </c>
      <c r="C14" s="14">
        <v>1</v>
      </c>
      <c r="D14" s="127">
        <v>9</v>
      </c>
      <c r="E14" s="127">
        <v>11.55</v>
      </c>
      <c r="F14" s="61">
        <f>E14-D14</f>
        <v>2.5500000000000007</v>
      </c>
      <c r="G14" s="8" t="s">
        <v>15</v>
      </c>
      <c r="H14" s="8" t="s">
        <v>113</v>
      </c>
      <c r="I14" s="161"/>
      <c r="K14" s="50" t="str">
        <v>Afiador de facas de cozinha Restauração de ferramentas de afiação de facas de 3 estágios e lâminas polonesas</v>
      </c>
      <c r="L14" s="49">
        <f>SUMIF(Tabela1[Produtos],K14,Tabela1[Quantidade])</f>
        <v>3</v>
      </c>
      <c r="M14" s="37">
        <f>SUMIF(Tabela1[Produtos],K14,Tabela1[Valor gasto])</f>
        <v>41</v>
      </c>
      <c r="N14" s="37">
        <f>SUMIF(Tabela1[Produtos],K14,Tabela1[Valor venddo])</f>
        <v>84.87</v>
      </c>
      <c r="O14" s="37">
        <f>SUMIF(Tabela1[Produtos],K14,Tabela1[Valor do lucro])</f>
        <v>43.870000000000005</v>
      </c>
      <c r="Q14" s="50"/>
      <c r="R14" s="49"/>
      <c r="S14" s="37"/>
      <c r="T14" s="37"/>
      <c r="U14" s="37"/>
    </row>
    <row r="15" spans="1:21" ht="15.75" x14ac:dyDescent="0.25">
      <c r="A15" s="158">
        <v>143</v>
      </c>
      <c r="B15" s="45" t="s">
        <v>92</v>
      </c>
      <c r="C15" s="17">
        <v>1</v>
      </c>
      <c r="D15" s="58">
        <v>17</v>
      </c>
      <c r="E15" s="58">
        <v>17.5</v>
      </c>
      <c r="F15" s="58">
        <v>0.5</v>
      </c>
      <c r="G15" s="8" t="s">
        <v>15</v>
      </c>
      <c r="H15" s="57" t="s">
        <v>6</v>
      </c>
      <c r="I15" s="159"/>
      <c r="K15" s="50" t="str">
        <v>Alicate de remoção de cabo coaxial / alicate rotativo / cortador de cabo coaxial Monster</v>
      </c>
      <c r="L15" s="49">
        <f>SUMIF(Tabela1[Produtos],K15,Tabela1[Quantidade])</f>
        <v>1</v>
      </c>
      <c r="M15" s="37">
        <f>SUMIF(Tabela1[Produtos],K15,Tabela1[Valor gasto])</f>
        <v>0</v>
      </c>
      <c r="N15" s="37">
        <f>SUMIF(Tabela1[Produtos],K15,Tabela1[Valor venddo])</f>
        <v>19.989999999999998</v>
      </c>
      <c r="O15" s="37">
        <f>SUMIF(Tabela1[Produtos],K15,Tabela1[Valor do lucro])</f>
        <v>19.989999999999998</v>
      </c>
      <c r="Q15" s="50"/>
      <c r="R15" s="49"/>
      <c r="S15" s="37"/>
      <c r="T15" s="37"/>
      <c r="U15" s="37"/>
    </row>
    <row r="16" spans="1:21" ht="15.75" x14ac:dyDescent="0.25">
      <c r="A16" s="158">
        <v>59</v>
      </c>
      <c r="B16" s="45" t="s">
        <v>92</v>
      </c>
      <c r="C16" s="14">
        <v>1</v>
      </c>
      <c r="D16" s="61">
        <f>E16-F16</f>
        <v>5</v>
      </c>
      <c r="E16" s="58">
        <v>28</v>
      </c>
      <c r="F16" s="61">
        <v>23</v>
      </c>
      <c r="G16" s="8" t="s">
        <v>15</v>
      </c>
      <c r="H16" s="57" t="s">
        <v>6</v>
      </c>
      <c r="I16" s="159"/>
      <c r="K16" s="50" t="str">
        <v xml:space="preserve">Almofada de Isolamento Térmico Magnético Estação de Solda </v>
      </c>
      <c r="L16" s="49">
        <f>SUMIF(Tabela1[Produtos],K16,Tabela1[Quantidade])</f>
        <v>1</v>
      </c>
      <c r="M16" s="37">
        <f>SUMIF(Tabela1[Produtos],K16,Tabela1[Valor gasto])</f>
        <v>54</v>
      </c>
      <c r="N16" s="37">
        <f>SUMIF(Tabela1[Produtos],K16,Tabela1[Valor venddo])</f>
        <v>120.01</v>
      </c>
      <c r="O16" s="37">
        <f>SUMIF(Tabela1[Produtos],K16,Tabela1[Valor do lucro])</f>
        <v>66.010000000000005</v>
      </c>
      <c r="Q16" s="50"/>
      <c r="R16" s="49"/>
      <c r="S16" s="37"/>
      <c r="T16" s="37"/>
      <c r="U16" s="37"/>
    </row>
    <row r="17" spans="1:21" ht="15.75" x14ac:dyDescent="0.25">
      <c r="A17" s="158">
        <v>286</v>
      </c>
      <c r="B17" s="7" t="s">
        <v>288</v>
      </c>
      <c r="C17" s="14">
        <v>1</v>
      </c>
      <c r="D17" s="61">
        <v>16</v>
      </c>
      <c r="E17" s="61">
        <v>30</v>
      </c>
      <c r="F17" s="61">
        <f>E17-D17</f>
        <v>14</v>
      </c>
      <c r="G17" s="8" t="s">
        <v>3</v>
      </c>
      <c r="H17" s="8" t="s">
        <v>113</v>
      </c>
      <c r="I17" s="161"/>
      <c r="K17" s="50" t="str">
        <v>Almofada de Isolamento Térmico Magnético Estação de Solda Plataforma de Manutenção resistente ao Calor Reparação Isolamento Tapete de Trabalho</v>
      </c>
      <c r="L17" s="49">
        <f>SUMIF(Tabela1[Produtos],K17,Tabela1[Quantidade])</f>
        <v>16</v>
      </c>
      <c r="M17" s="37">
        <f>SUMIF(Tabela1[Produtos],K17,Tabela1[Valor gasto])</f>
        <v>232</v>
      </c>
      <c r="N17" s="37">
        <f>SUMIF(Tabela1[Produtos],K17,Tabela1[Valor venddo])</f>
        <v>515.89</v>
      </c>
      <c r="O17" s="37">
        <f>SUMIF(Tabela1[Produtos],K17,Tabela1[Valor do lucro])</f>
        <v>292.16000000000003</v>
      </c>
      <c r="Q17" s="50"/>
      <c r="R17" s="49"/>
      <c r="S17" s="37"/>
      <c r="T17" s="37"/>
      <c r="U17" s="37"/>
    </row>
    <row r="18" spans="1:21" ht="15.75" x14ac:dyDescent="0.25">
      <c r="A18" s="158">
        <v>288</v>
      </c>
      <c r="B18" s="7" t="s">
        <v>288</v>
      </c>
      <c r="C18" s="14">
        <v>1</v>
      </c>
      <c r="D18" s="61">
        <v>16</v>
      </c>
      <c r="E18" s="61">
        <v>35</v>
      </c>
      <c r="F18" s="61">
        <f>E18-D18</f>
        <v>19</v>
      </c>
      <c r="G18" s="8" t="s">
        <v>3</v>
      </c>
      <c r="H18" s="8" t="s">
        <v>113</v>
      </c>
      <c r="I18" s="161"/>
      <c r="K18" s="50" t="str">
        <v>aparador de pelo nariz</v>
      </c>
      <c r="L18" s="49">
        <f>SUMIF(Tabela1[Produtos],K18,Tabela1[Quantidade])</f>
        <v>4</v>
      </c>
      <c r="M18" s="37">
        <f>SUMIF(Tabela1[Produtos],K18,Tabela1[Valor gasto])</f>
        <v>36</v>
      </c>
      <c r="N18" s="37">
        <f>SUMIF(Tabela1[Produtos],K18,Tabela1[Valor venddo])</f>
        <v>85</v>
      </c>
      <c r="O18" s="37">
        <f>SUMIF(Tabela1[Produtos],K18,Tabela1[Valor do lucro])</f>
        <v>49</v>
      </c>
      <c r="Q18" s="50"/>
      <c r="R18" s="49"/>
      <c r="S18" s="37"/>
      <c r="T18" s="37"/>
      <c r="U18" s="37"/>
    </row>
    <row r="19" spans="1:21" ht="15.75" x14ac:dyDescent="0.25">
      <c r="A19" s="158">
        <v>554</v>
      </c>
      <c r="B19" s="7" t="s">
        <v>288</v>
      </c>
      <c r="C19" s="14">
        <v>1</v>
      </c>
      <c r="D19" s="61">
        <v>18</v>
      </c>
      <c r="E19" s="61">
        <v>35</v>
      </c>
      <c r="F19" s="61">
        <f>E19-D19</f>
        <v>17</v>
      </c>
      <c r="G19" s="8" t="s">
        <v>15</v>
      </c>
      <c r="H19" s="8" t="s">
        <v>113</v>
      </c>
      <c r="I19" s="161"/>
      <c r="K19" s="50" t="str">
        <v>APARELHO DE BARBEAR METAL HM-10 HOME&amp;HOME</v>
      </c>
      <c r="L19" s="49">
        <f>SUMIF(Tabela1[Produtos],K19,Tabela1[Quantidade])</f>
        <v>4</v>
      </c>
      <c r="M19" s="37">
        <f>SUMIF(Tabela1[Produtos],K19,Tabela1[Valor gasto])</f>
        <v>17.5</v>
      </c>
      <c r="N19" s="37">
        <f>SUMIF(Tabela1[Produtos],K19,Tabela1[Valor venddo])</f>
        <v>48.75</v>
      </c>
      <c r="O19" s="37">
        <f>SUMIF(Tabela1[Produtos],K19,Tabela1[Valor do lucro])</f>
        <v>31.25</v>
      </c>
      <c r="Q19" s="50"/>
      <c r="R19" s="49"/>
      <c r="S19" s="37"/>
      <c r="T19" s="37"/>
      <c r="U19" s="37"/>
    </row>
    <row r="20" spans="1:21" ht="15.75" x14ac:dyDescent="0.25">
      <c r="A20" s="158">
        <v>573</v>
      </c>
      <c r="B20" s="7" t="s">
        <v>288</v>
      </c>
      <c r="C20" s="14">
        <v>1</v>
      </c>
      <c r="D20" s="61">
        <v>16</v>
      </c>
      <c r="E20" s="61">
        <v>30</v>
      </c>
      <c r="F20" s="61">
        <f>E20-D20</f>
        <v>14</v>
      </c>
      <c r="G20" s="8" t="s">
        <v>15</v>
      </c>
      <c r="H20" s="8" t="s">
        <v>113</v>
      </c>
      <c r="I20" s="161"/>
      <c r="K20" s="50" t="str">
        <v>Aparelho Removedor Cravos Sucção Vácuo Extrator Espinha 4em1</v>
      </c>
      <c r="L20" s="49">
        <f>SUMIF(Tabela1[Produtos],K20,Tabela1[Quantidade])</f>
        <v>3</v>
      </c>
      <c r="M20" s="37">
        <f>SUMIF(Tabela1[Produtos],K20,Tabela1[Valor gasto])</f>
        <v>55</v>
      </c>
      <c r="N20" s="37">
        <f>SUMIF(Tabela1[Produtos],K20,Tabela1[Valor venddo])</f>
        <v>75.692800000000005</v>
      </c>
      <c r="O20" s="37">
        <f>SUMIF(Tabela1[Produtos],K20,Tabela1[Valor do lucro])</f>
        <v>20.692799999999998</v>
      </c>
      <c r="Q20" s="50"/>
      <c r="R20" s="49"/>
      <c r="S20" s="37"/>
      <c r="T20" s="37"/>
      <c r="U20" s="37"/>
    </row>
    <row r="21" spans="1:21" ht="15.75" x14ac:dyDescent="0.25">
      <c r="A21" s="158">
        <v>574</v>
      </c>
      <c r="B21" s="7" t="s">
        <v>288</v>
      </c>
      <c r="C21" s="14">
        <v>1</v>
      </c>
      <c r="D21" s="61">
        <v>16</v>
      </c>
      <c r="E21" s="61">
        <v>30</v>
      </c>
      <c r="F21" s="61">
        <f>E21-D21</f>
        <v>14</v>
      </c>
      <c r="G21" s="8" t="s">
        <v>15</v>
      </c>
      <c r="H21" s="8" t="s">
        <v>113</v>
      </c>
      <c r="I21" s="161"/>
      <c r="K21" s="50" t="str">
        <v>apliador de tela celular</v>
      </c>
      <c r="L21" s="49">
        <f>SUMIF(Tabela1[Produtos],K21,Tabela1[Quantidade])</f>
        <v>1</v>
      </c>
      <c r="M21" s="37">
        <f>SUMIF(Tabela1[Produtos],K21,Tabela1[Valor gasto])</f>
        <v>20</v>
      </c>
      <c r="N21" s="37">
        <f>SUMIF(Tabela1[Produtos],K21,Tabela1[Valor venddo])</f>
        <v>40</v>
      </c>
      <c r="O21" s="37">
        <f>SUMIF(Tabela1[Produtos],K21,Tabela1[Valor do lucro])</f>
        <v>20</v>
      </c>
      <c r="Q21" s="50"/>
      <c r="R21" s="49"/>
      <c r="S21" s="37"/>
      <c r="T21" s="37"/>
      <c r="U21" s="37"/>
    </row>
    <row r="22" spans="1:21" ht="15.75" x14ac:dyDescent="0.25">
      <c r="A22" s="158">
        <v>756</v>
      </c>
      <c r="B22" s="45" t="s">
        <v>395</v>
      </c>
      <c r="C22" s="126">
        <v>8</v>
      </c>
      <c r="D22" s="127">
        <v>16</v>
      </c>
      <c r="E22" s="127">
        <v>54.15</v>
      </c>
      <c r="F22" s="127">
        <v>38.15</v>
      </c>
      <c r="G22" s="8" t="s">
        <v>15</v>
      </c>
      <c r="H22" s="8" t="s">
        <v>114</v>
      </c>
      <c r="I22" s="161"/>
      <c r="K22" s="50" t="str">
        <v>Aspirador de Pó e Líquido Automotivo Portátil 12V 60W com Luz de LED Preto e Vermelho</v>
      </c>
      <c r="L22" s="49">
        <f>SUMIF(Tabela1[Produtos],K22,Tabela1[Quantidade])</f>
        <v>20</v>
      </c>
      <c r="M22" s="37">
        <f>SUMIF(Tabela1[Produtos],K22,Tabela1[Valor gasto])</f>
        <v>554</v>
      </c>
      <c r="N22" s="37">
        <f>SUMIF(Tabela1[Produtos],K22,Tabela1[Valor venddo])</f>
        <v>1398.07</v>
      </c>
      <c r="O22" s="37">
        <f>SUMIF(Tabela1[Produtos],K22,Tabela1[Valor do lucro])</f>
        <v>564.07000000000005</v>
      </c>
      <c r="Q22" s="50"/>
      <c r="R22" s="49"/>
      <c r="S22" s="37"/>
      <c r="T22" s="37"/>
      <c r="U22" s="37"/>
    </row>
    <row r="23" spans="1:21" ht="15.75" x14ac:dyDescent="0.25">
      <c r="A23" s="158">
        <v>899</v>
      </c>
      <c r="B23" s="45" t="s">
        <v>395</v>
      </c>
      <c r="C23" s="134">
        <v>5</v>
      </c>
      <c r="D23" s="127">
        <v>12.5</v>
      </c>
      <c r="E23" s="135">
        <v>27.781600000000005</v>
      </c>
      <c r="F23" s="61">
        <f>E23-D23</f>
        <v>15.281600000000005</v>
      </c>
      <c r="G23" s="8" t="s">
        <v>15</v>
      </c>
      <c r="H23" s="8" t="s">
        <v>114</v>
      </c>
      <c r="I23" s="161"/>
      <c r="K23" s="50" t="str">
        <v>Avatto tuya wifi sensor de porta</v>
      </c>
      <c r="L23" s="49">
        <f>SUMIF(Tabela1[Produtos],K23,Tabela1[Quantidade])</f>
        <v>1</v>
      </c>
      <c r="M23" s="37">
        <f>SUMIF(Tabela1[Produtos],K23,Tabela1[Valor gasto])</f>
        <v>16</v>
      </c>
      <c r="N23" s="37">
        <f>SUMIF(Tabela1[Produtos],K23,Tabela1[Valor venddo])</f>
        <v>50</v>
      </c>
      <c r="O23" s="37">
        <f>SUMIF(Tabela1[Produtos],K23,Tabela1[Valor do lucro])</f>
        <v>34</v>
      </c>
      <c r="Q23" s="50"/>
      <c r="R23" s="49"/>
      <c r="S23" s="37"/>
      <c r="T23" s="37"/>
      <c r="U23" s="37"/>
    </row>
    <row r="24" spans="1:21" ht="15.75" x14ac:dyDescent="0.25">
      <c r="A24" s="158">
        <v>565</v>
      </c>
      <c r="B24" s="7" t="s">
        <v>338</v>
      </c>
      <c r="C24" s="14">
        <v>1</v>
      </c>
      <c r="D24" s="61">
        <v>2</v>
      </c>
      <c r="E24" s="61">
        <v>20</v>
      </c>
      <c r="F24" s="61">
        <f>E24-D24</f>
        <v>18</v>
      </c>
      <c r="G24" s="8" t="s">
        <v>15</v>
      </c>
      <c r="H24" s="8" t="s">
        <v>113</v>
      </c>
      <c r="I24" s="161"/>
      <c r="K24" s="50" t="str">
        <v>aviao controle</v>
      </c>
      <c r="L24" s="49">
        <f>SUMIF(Tabela1[Produtos],K24,Tabela1[Quantidade])</f>
        <v>1</v>
      </c>
      <c r="M24" s="37">
        <f>SUMIF(Tabela1[Produtos],K24,Tabela1[Valor gasto])</f>
        <v>35</v>
      </c>
      <c r="N24" s="37">
        <f>SUMIF(Tabela1[Produtos],K24,Tabela1[Valor venddo])</f>
        <v>40</v>
      </c>
      <c r="O24" s="37">
        <f>SUMIF(Tabela1[Produtos],K24,Tabela1[Valor do lucro])</f>
        <v>5</v>
      </c>
      <c r="Q24" s="50"/>
      <c r="R24" s="49"/>
      <c r="S24" s="37"/>
      <c r="T24" s="37"/>
      <c r="U24" s="37"/>
    </row>
    <row r="25" spans="1:21" ht="15.75" x14ac:dyDescent="0.25">
      <c r="A25" s="158">
        <v>651</v>
      </c>
      <c r="B25" s="7" t="s">
        <v>338</v>
      </c>
      <c r="C25" s="14">
        <v>1</v>
      </c>
      <c r="D25" s="61">
        <v>2</v>
      </c>
      <c r="E25" s="61">
        <v>20</v>
      </c>
      <c r="F25" s="61">
        <f>E25-D25</f>
        <v>18</v>
      </c>
      <c r="G25" s="8" t="s">
        <v>15</v>
      </c>
      <c r="H25" s="8" t="s">
        <v>113</v>
      </c>
      <c r="I25" s="161"/>
      <c r="K25" s="50" t="str">
        <v>balança 10kg</v>
      </c>
      <c r="L25" s="49">
        <f>SUMIF(Tabela1[Produtos],K25,Tabela1[Quantidade])</f>
        <v>2</v>
      </c>
      <c r="M25" s="37">
        <f>SUMIF(Tabela1[Produtos],K25,Tabela1[Valor gasto])</f>
        <v>60</v>
      </c>
      <c r="N25" s="37">
        <f>SUMIF(Tabela1[Produtos],K25,Tabela1[Valor venddo])</f>
        <v>90</v>
      </c>
      <c r="O25" s="37">
        <f>SUMIF(Tabela1[Produtos],K25,Tabela1[Valor do lucro])</f>
        <v>30</v>
      </c>
      <c r="Q25" s="50"/>
      <c r="R25" s="49"/>
      <c r="S25" s="37"/>
      <c r="T25" s="37"/>
      <c r="U25" s="37"/>
    </row>
    <row r="26" spans="1:21" ht="15.75" x14ac:dyDescent="0.25">
      <c r="A26" s="158">
        <v>638</v>
      </c>
      <c r="B26" s="7" t="s">
        <v>338</v>
      </c>
      <c r="C26" s="14">
        <v>1</v>
      </c>
      <c r="D26" s="61">
        <v>8</v>
      </c>
      <c r="E26" s="61">
        <v>15</v>
      </c>
      <c r="F26" s="61">
        <f>E26-D26</f>
        <v>7</v>
      </c>
      <c r="G26" s="8" t="s">
        <v>15</v>
      </c>
      <c r="H26" s="8" t="s">
        <v>113</v>
      </c>
      <c r="I26" s="161"/>
      <c r="K26" s="50" t="str">
        <v>Balões Transparente COMPLETO DE BASTÃO Com Led Colorido + Vareta</v>
      </c>
      <c r="L26" s="49">
        <f>SUMIF(Tabela1[Produtos],K26,Tabela1[Quantidade])</f>
        <v>2</v>
      </c>
      <c r="M26" s="37">
        <f>SUMIF(Tabela1[Produtos],K26,Tabela1[Valor gasto])</f>
        <v>18</v>
      </c>
      <c r="N26" s="37">
        <f>SUMIF(Tabela1[Produtos],K26,Tabela1[Valor venddo])</f>
        <v>37.51</v>
      </c>
      <c r="O26" s="37">
        <f>SUMIF(Tabela1[Produtos],K26,Tabela1[Valor do lucro])</f>
        <v>19.509999999999998</v>
      </c>
      <c r="Q26" s="50"/>
      <c r="R26" s="49"/>
      <c r="S26" s="37"/>
      <c r="T26" s="37"/>
      <c r="U26" s="37"/>
    </row>
    <row r="27" spans="1:21" ht="15.75" x14ac:dyDescent="0.25">
      <c r="A27" s="158">
        <v>334</v>
      </c>
      <c r="B27" s="10" t="s">
        <v>209</v>
      </c>
      <c r="C27" s="14">
        <v>1</v>
      </c>
      <c r="D27" s="61">
        <v>16</v>
      </c>
      <c r="E27" s="61">
        <v>30</v>
      </c>
      <c r="F27" s="61">
        <f>E27-D27</f>
        <v>14</v>
      </c>
      <c r="G27" s="8" t="s">
        <v>15</v>
      </c>
      <c r="H27" s="8" t="s">
        <v>113</v>
      </c>
      <c r="I27" s="160"/>
      <c r="K27" s="50" t="str">
        <v>Barbeador inova 3780</v>
      </c>
      <c r="L27" s="49">
        <f>SUMIF(Tabela1[Produtos],K27,Tabela1[Quantidade])</f>
        <v>1</v>
      </c>
      <c r="M27" s="37">
        <f>SUMIF(Tabela1[Produtos],K27,Tabela1[Valor gasto])</f>
        <v>25</v>
      </c>
      <c r="N27" s="37">
        <f>SUMIF(Tabela1[Produtos],K27,Tabela1[Valor venddo])</f>
        <v>50</v>
      </c>
      <c r="O27" s="37">
        <f>SUMIF(Tabela1[Produtos],K27,Tabela1[Valor do lucro])</f>
        <v>25</v>
      </c>
      <c r="Q27" s="50"/>
      <c r="R27" s="49"/>
      <c r="S27" s="37"/>
      <c r="T27" s="37"/>
      <c r="U27" s="37"/>
    </row>
    <row r="28" spans="1:21" ht="15.75" x14ac:dyDescent="0.25">
      <c r="A28" s="158">
        <v>687</v>
      </c>
      <c r="B28" s="45" t="s">
        <v>359</v>
      </c>
      <c r="C28" s="17">
        <v>1</v>
      </c>
      <c r="D28" s="132">
        <v>5</v>
      </c>
      <c r="E28" s="61">
        <v>10</v>
      </c>
      <c r="F28" s="61">
        <v>5</v>
      </c>
      <c r="G28" s="8" t="s">
        <v>15</v>
      </c>
      <c r="H28" s="8" t="s">
        <v>114</v>
      </c>
      <c r="I28" s="161"/>
      <c r="K28" s="50" t="str">
        <v>Bateria 9v Hw Original Comum Não Recarregável</v>
      </c>
      <c r="L28" s="49">
        <f>SUMIF(Tabela1[Produtos],K28,Tabela1[Quantidade])</f>
        <v>4</v>
      </c>
      <c r="M28" s="37">
        <f>SUMIF(Tabela1[Produtos],K28,Tabela1[Valor gasto])</f>
        <v>17.5</v>
      </c>
      <c r="N28" s="37">
        <f>SUMIF(Tabela1[Produtos],K28,Tabela1[Valor venddo])</f>
        <v>22.9436</v>
      </c>
      <c r="O28" s="37">
        <f>SUMIF(Tabela1[Produtos],K28,Tabela1[Valor do lucro])</f>
        <v>5.4436</v>
      </c>
      <c r="Q28" s="50"/>
      <c r="R28" s="49"/>
      <c r="S28" s="37"/>
      <c r="T28" s="37"/>
      <c r="U28" s="37"/>
    </row>
    <row r="29" spans="1:21" ht="15.75" x14ac:dyDescent="0.25">
      <c r="A29" s="158">
        <v>822</v>
      </c>
      <c r="B29" s="45" t="s">
        <v>359</v>
      </c>
      <c r="C29" s="126">
        <v>1</v>
      </c>
      <c r="D29" s="127">
        <v>5</v>
      </c>
      <c r="E29" s="133">
        <v>10.29</v>
      </c>
      <c r="F29" s="127">
        <v>5.2899999999999991</v>
      </c>
      <c r="G29" s="8" t="s">
        <v>15</v>
      </c>
      <c r="H29" s="8" t="s">
        <v>114</v>
      </c>
      <c r="I29" s="161"/>
      <c r="K29" s="50" t="str">
        <v>Bateria A23 12v 1unidade Ótima Qualidade</v>
      </c>
      <c r="L29" s="49">
        <f>SUMIF(Tabela1[Produtos],K29,Tabela1[Quantidade])</f>
        <v>73</v>
      </c>
      <c r="M29" s="37">
        <f>SUMIF(Tabela1[Produtos],K29,Tabela1[Valor gasto])</f>
        <v>262.10000000000002</v>
      </c>
      <c r="N29" s="37">
        <f>SUMIF(Tabela1[Produtos],K29,Tabela1[Valor venddo])</f>
        <v>709.60180000000003</v>
      </c>
      <c r="O29" s="37">
        <f>SUMIF(Tabela1[Produtos],K29,Tabela1[Valor do lucro])</f>
        <v>422.30180000000001</v>
      </c>
      <c r="Q29" s="50"/>
      <c r="R29" s="49"/>
      <c r="S29" s="37"/>
      <c r="T29" s="37"/>
      <c r="U29" s="37"/>
    </row>
    <row r="30" spans="1:21" ht="15.75" x14ac:dyDescent="0.25">
      <c r="A30" s="158">
        <v>900</v>
      </c>
      <c r="B30" s="45" t="s">
        <v>359</v>
      </c>
      <c r="C30" s="134">
        <v>1</v>
      </c>
      <c r="D30" s="127">
        <v>6</v>
      </c>
      <c r="E30" s="135">
        <v>7.7408000000000001</v>
      </c>
      <c r="F30" s="61">
        <f>E30-D30</f>
        <v>1.7408000000000001</v>
      </c>
      <c r="G30" s="8" t="s">
        <v>15</v>
      </c>
      <c r="H30" s="8" t="s">
        <v>114</v>
      </c>
      <c r="I30" s="161"/>
      <c r="K30" s="50" t="str">
        <v>Bateria De Litio 3v Tipo Botão CR2025 Knup Kp-bt2025</v>
      </c>
      <c r="L30" s="49">
        <f>SUMIF(Tabela1[Produtos],K30,Tabela1[Quantidade])</f>
        <v>102</v>
      </c>
      <c r="M30" s="37">
        <f>SUMIF(Tabela1[Produtos],K30,Tabela1[Valor gasto])</f>
        <v>68.033333333333346</v>
      </c>
      <c r="N30" s="37">
        <f>SUMIF(Tabela1[Produtos],K30,Tabela1[Valor venddo])</f>
        <v>309.18380000000008</v>
      </c>
      <c r="O30" s="37">
        <f>SUMIF(Tabela1[Produtos],K30,Tabela1[Valor do lucro])</f>
        <v>243.85380000000004</v>
      </c>
      <c r="Q30" s="50"/>
      <c r="R30" s="49"/>
      <c r="S30" s="37"/>
      <c r="T30" s="37"/>
      <c r="U30" s="37"/>
    </row>
    <row r="31" spans="1:21" ht="15.75" x14ac:dyDescent="0.25">
      <c r="A31" s="158">
        <v>118</v>
      </c>
      <c r="B31" s="45" t="s">
        <v>130</v>
      </c>
      <c r="C31" s="17">
        <v>2</v>
      </c>
      <c r="D31" s="58">
        <v>26</v>
      </c>
      <c r="E31" s="58">
        <v>64.87</v>
      </c>
      <c r="F31" s="58">
        <v>38.870000000000005</v>
      </c>
      <c r="G31" s="8" t="s">
        <v>15</v>
      </c>
      <c r="H31" s="57" t="s">
        <v>6</v>
      </c>
      <c r="I31" s="159"/>
      <c r="K31" s="50" t="str">
        <v>Bateria Litio 2032 Unitário Cr2032 1 unidades</v>
      </c>
      <c r="L31" s="49">
        <f>SUMIF(Tabela1[Produtos],K31,Tabela1[Quantidade])</f>
        <v>451</v>
      </c>
      <c r="M31" s="37">
        <f>SUMIF(Tabela1[Produtos],K31,Tabela1[Valor gasto])</f>
        <v>289.10000000000002</v>
      </c>
      <c r="N31" s="37">
        <f>SUMIF(Tabela1[Produtos],K31,Tabela1[Valor venddo])</f>
        <v>1235.9995999999996</v>
      </c>
      <c r="O31" s="37">
        <f>SUMIF(Tabela1[Produtos],K31,Tabela1[Valor do lucro])</f>
        <v>770.81959999999981</v>
      </c>
      <c r="Q31" s="50"/>
      <c r="R31" s="49"/>
      <c r="S31" s="37"/>
      <c r="T31" s="37"/>
      <c r="U31" s="37"/>
    </row>
    <row r="32" spans="1:21" ht="15.75" x14ac:dyDescent="0.25">
      <c r="A32" s="158">
        <v>823</v>
      </c>
      <c r="B32" s="45" t="s">
        <v>130</v>
      </c>
      <c r="C32" s="126">
        <v>1</v>
      </c>
      <c r="D32" s="127">
        <v>15</v>
      </c>
      <c r="E32" s="127">
        <v>20</v>
      </c>
      <c r="F32" s="127">
        <v>5</v>
      </c>
      <c r="G32" s="8" t="s">
        <v>15</v>
      </c>
      <c r="H32" s="8" t="s">
        <v>114</v>
      </c>
      <c r="I32" s="161"/>
      <c r="K32" s="50" t="str">
        <v>Bateria Recarregável 6800 V 3.7 mAh 26650 Protegido Li-ion Battery para Lanterna Farol Levou Acessório</v>
      </c>
      <c r="L32" s="49">
        <f>SUMIF(Tabela1[Produtos],K32,Tabela1[Quantidade])</f>
        <v>3</v>
      </c>
      <c r="M32" s="37">
        <f>SUMIF(Tabela1[Produtos],K32,Tabela1[Valor gasto])</f>
        <v>39</v>
      </c>
      <c r="N32" s="37">
        <f>SUMIF(Tabela1[Produtos],K32,Tabela1[Valor venddo])</f>
        <v>73.747199999999992</v>
      </c>
      <c r="O32" s="37">
        <f>SUMIF(Tabela1[Produtos],K32,Tabela1[Valor do lucro])</f>
        <v>34.747199999999999</v>
      </c>
      <c r="Q32" s="50"/>
      <c r="R32" s="49"/>
      <c r="S32" s="37"/>
      <c r="T32" s="37"/>
      <c r="U32" s="37"/>
    </row>
    <row r="33" spans="1:21" ht="15.75" x14ac:dyDescent="0.25">
      <c r="A33" s="158">
        <v>588</v>
      </c>
      <c r="B33" s="45" t="s">
        <v>314</v>
      </c>
      <c r="C33" s="14">
        <v>1</v>
      </c>
      <c r="D33" s="127">
        <v>0</v>
      </c>
      <c r="E33" s="127">
        <v>19.989999999999998</v>
      </c>
      <c r="F33" s="61">
        <f>E33-D33</f>
        <v>19.989999999999998</v>
      </c>
      <c r="G33" s="8" t="s">
        <v>15</v>
      </c>
      <c r="H33" s="8" t="s">
        <v>113</v>
      </c>
      <c r="I33" s="161"/>
      <c r="K33" s="50" t="str">
        <v>Binóculos Vyper999 Pro 😱😱🔥</v>
      </c>
      <c r="L33" s="49">
        <f>SUMIF(Tabela1[Produtos],K33,Tabela1[Quantidade])</f>
        <v>1</v>
      </c>
      <c r="M33" s="37">
        <f>SUMIF(Tabela1[Produtos],K33,Tabela1[Valor gasto])</f>
        <v>40</v>
      </c>
      <c r="N33" s="37">
        <f>SUMIF(Tabela1[Produtos],K33,Tabela1[Valor venddo])</f>
        <v>80</v>
      </c>
      <c r="O33" s="37">
        <f>SUMIF(Tabela1[Produtos],K33,Tabela1[Valor do lucro])</f>
        <v>40</v>
      </c>
      <c r="Q33" s="50"/>
      <c r="R33" s="49"/>
      <c r="S33" s="37"/>
      <c r="T33" s="37"/>
      <c r="U33" s="37"/>
    </row>
    <row r="34" spans="1:21" ht="15.75" x14ac:dyDescent="0.25">
      <c r="A34" s="158">
        <v>434</v>
      </c>
      <c r="B34" s="45" t="s">
        <v>245</v>
      </c>
      <c r="C34" s="14">
        <v>1</v>
      </c>
      <c r="D34" s="128">
        <v>54</v>
      </c>
      <c r="E34" s="61">
        <v>120.01</v>
      </c>
      <c r="F34" s="61">
        <f>E34-D34</f>
        <v>66.010000000000005</v>
      </c>
      <c r="G34" s="8" t="s">
        <v>15</v>
      </c>
      <c r="H34" s="8" t="s">
        <v>113</v>
      </c>
      <c r="I34" s="160"/>
      <c r="K34" s="50" t="str">
        <v>Bluetooth car</v>
      </c>
      <c r="L34" s="49">
        <f>SUMIF(Tabela1[Produtos],K34,Tabela1[Quantidade])</f>
        <v>1</v>
      </c>
      <c r="M34" s="37">
        <f>SUMIF(Tabela1[Produtos],K34,Tabela1[Valor gasto])</f>
        <v>12</v>
      </c>
      <c r="N34" s="37">
        <f>SUMIF(Tabela1[Produtos],K34,Tabela1[Valor venddo])</f>
        <v>20</v>
      </c>
      <c r="O34" s="37">
        <f>SUMIF(Tabela1[Produtos],K34,Tabela1[Valor do lucro])</f>
        <v>8</v>
      </c>
      <c r="Q34" s="50"/>
      <c r="R34" s="49"/>
      <c r="S34" s="37"/>
      <c r="T34" s="37"/>
      <c r="U34" s="37"/>
    </row>
    <row r="35" spans="1:21" ht="15.75" x14ac:dyDescent="0.25">
      <c r="A35" s="158">
        <v>115</v>
      </c>
      <c r="B35" s="45" t="s">
        <v>87</v>
      </c>
      <c r="C35" s="17">
        <v>4</v>
      </c>
      <c r="D35" s="58">
        <v>52</v>
      </c>
      <c r="E35" s="58">
        <v>131.30000000000001</v>
      </c>
      <c r="F35" s="58">
        <v>79.300000000000011</v>
      </c>
      <c r="G35" s="8" t="s">
        <v>15</v>
      </c>
      <c r="H35" s="57" t="s">
        <v>6</v>
      </c>
      <c r="I35" s="159"/>
      <c r="K35" s="50" t="str">
        <v>Bolas LOL Surprise + 1 Boneca + 4 Cards Para Meninas</v>
      </c>
      <c r="L35" s="49">
        <f>SUMIF(Tabela1[Produtos],K35,Tabela1[Quantidade])</f>
        <v>1</v>
      </c>
      <c r="M35" s="37">
        <f>SUMIF(Tabela1[Produtos],K35,Tabela1[Valor gasto])</f>
        <v>6</v>
      </c>
      <c r="N35" s="37">
        <f>SUMIF(Tabela1[Produtos],K35,Tabela1[Valor venddo])</f>
        <v>20.860800000000001</v>
      </c>
      <c r="O35" s="37">
        <f>SUMIF(Tabela1[Produtos],K35,Tabela1[Valor do lucro])</f>
        <v>14.860800000000001</v>
      </c>
      <c r="Q35" s="50"/>
      <c r="R35" s="49"/>
      <c r="S35" s="37"/>
      <c r="T35" s="37"/>
      <c r="U35" s="37"/>
    </row>
    <row r="36" spans="1:21" ht="15.75" x14ac:dyDescent="0.25">
      <c r="A36" s="158">
        <v>54</v>
      </c>
      <c r="B36" s="45" t="s">
        <v>87</v>
      </c>
      <c r="C36" s="14">
        <v>1</v>
      </c>
      <c r="D36" s="61">
        <f>E36-F36</f>
        <v>36</v>
      </c>
      <c r="E36" s="58">
        <v>58.98</v>
      </c>
      <c r="F36" s="61">
        <v>22.979999999999997</v>
      </c>
      <c r="G36" s="8" t="s">
        <v>15</v>
      </c>
      <c r="H36" s="57" t="s">
        <v>6</v>
      </c>
      <c r="I36" s="159"/>
      <c r="K36" s="50" t="str">
        <v>bolhas moda</v>
      </c>
      <c r="L36" s="49">
        <f>SUMIF(Tabela1[Produtos],K36,Tabela1[Quantidade])</f>
        <v>1</v>
      </c>
      <c r="M36" s="37">
        <f>SUMIF(Tabela1[Produtos],K36,Tabela1[Valor gasto])</f>
        <v>17</v>
      </c>
      <c r="N36" s="37">
        <f>SUMIF(Tabela1[Produtos],K36,Tabela1[Valor venddo])</f>
        <v>30</v>
      </c>
      <c r="O36" s="37">
        <f>SUMIF(Tabela1[Produtos],K36,Tabela1[Valor do lucro])</f>
        <v>13</v>
      </c>
      <c r="Q36" s="50"/>
      <c r="R36" s="49"/>
      <c r="S36" s="37"/>
      <c r="T36" s="37"/>
      <c r="U36" s="37"/>
    </row>
    <row r="37" spans="1:21" ht="15.75" x14ac:dyDescent="0.25">
      <c r="A37" s="158">
        <v>342</v>
      </c>
      <c r="B37" s="45" t="s">
        <v>87</v>
      </c>
      <c r="C37" s="14">
        <v>1</v>
      </c>
      <c r="D37" s="61">
        <v>18</v>
      </c>
      <c r="E37" s="61">
        <v>30.59</v>
      </c>
      <c r="F37" s="61">
        <f>E37-D37</f>
        <v>12.59</v>
      </c>
      <c r="G37" s="8" t="s">
        <v>15</v>
      </c>
      <c r="H37" s="8" t="s">
        <v>113</v>
      </c>
      <c r="I37" s="160"/>
      <c r="K37" s="50" t="str">
        <v>Bolsa Case Suporte Quadro Porta Celular Bike Bicicleta Fone</v>
      </c>
      <c r="L37" s="49">
        <f>SUMIF(Tabela1[Produtos],K37,Tabela1[Quantidade])</f>
        <v>1</v>
      </c>
      <c r="M37" s="37">
        <f>SUMIF(Tabela1[Produtos],K37,Tabela1[Valor gasto])</f>
        <v>25</v>
      </c>
      <c r="N37" s="37">
        <f>SUMIF(Tabela1[Produtos],K37,Tabela1[Valor venddo])</f>
        <v>50</v>
      </c>
      <c r="O37" s="37">
        <f>SUMIF(Tabela1[Produtos],K37,Tabela1[Valor do lucro])</f>
        <v>25</v>
      </c>
      <c r="Q37" s="50"/>
      <c r="R37" s="49"/>
      <c r="S37" s="37"/>
      <c r="T37" s="37"/>
      <c r="U37" s="37"/>
    </row>
    <row r="38" spans="1:21" ht="15.75" x14ac:dyDescent="0.25">
      <c r="A38" s="158">
        <v>423</v>
      </c>
      <c r="B38" s="45" t="s">
        <v>87</v>
      </c>
      <c r="C38" s="14">
        <v>1</v>
      </c>
      <c r="D38" s="61">
        <v>18</v>
      </c>
      <c r="E38" s="61">
        <v>40</v>
      </c>
      <c r="F38" s="61">
        <f>E38-D38</f>
        <v>22</v>
      </c>
      <c r="G38" s="8" t="s">
        <v>15</v>
      </c>
      <c r="H38" s="8" t="s">
        <v>113</v>
      </c>
      <c r="I38" s="160"/>
      <c r="K38" s="50" t="str">
        <v>Bomba filtro galao</v>
      </c>
      <c r="L38" s="49">
        <f>SUMIF(Tabela1[Produtos],K38,Tabela1[Quantidade])</f>
        <v>6</v>
      </c>
      <c r="M38" s="37">
        <f>SUMIF(Tabela1[Produtos],K38,Tabela1[Valor gasto])</f>
        <v>60</v>
      </c>
      <c r="N38" s="37">
        <f>SUMIF(Tabela1[Produtos],K38,Tabela1[Valor venddo])</f>
        <v>160</v>
      </c>
      <c r="O38" s="37">
        <f>SUMIF(Tabela1[Produtos],K38,Tabela1[Valor do lucro])</f>
        <v>100</v>
      </c>
      <c r="Q38" s="50"/>
      <c r="R38" s="49"/>
      <c r="S38" s="37"/>
      <c r="T38" s="37"/>
      <c r="U38" s="37"/>
    </row>
    <row r="39" spans="1:21" ht="15.75" x14ac:dyDescent="0.25">
      <c r="A39" s="158">
        <v>614</v>
      </c>
      <c r="B39" s="45" t="s">
        <v>87</v>
      </c>
      <c r="C39" s="14">
        <v>1</v>
      </c>
      <c r="D39" s="127">
        <v>18</v>
      </c>
      <c r="E39" s="127">
        <v>31.31</v>
      </c>
      <c r="F39" s="61">
        <f>E39-D39</f>
        <v>13.309999999999999</v>
      </c>
      <c r="G39" s="8" t="s">
        <v>15</v>
      </c>
      <c r="H39" s="8" t="s">
        <v>113</v>
      </c>
      <c r="I39" s="161"/>
      <c r="K39" s="50" t="str">
        <v>Bomba filtro galao eletrico</v>
      </c>
      <c r="L39" s="49">
        <f>SUMIF(Tabela1[Produtos],K39,Tabela1[Quantidade])</f>
        <v>3</v>
      </c>
      <c r="M39" s="37">
        <f>SUMIF(Tabela1[Produtos],K39,Tabela1[Valor gasto])</f>
        <v>68</v>
      </c>
      <c r="N39" s="37">
        <f>SUMIF(Tabela1[Produtos],K39,Tabela1[Valor venddo])</f>
        <v>135</v>
      </c>
      <c r="O39" s="37">
        <f>SUMIF(Tabela1[Produtos],K39,Tabela1[Valor do lucro])</f>
        <v>67</v>
      </c>
      <c r="Q39" s="50"/>
      <c r="R39" s="49"/>
      <c r="S39" s="37"/>
      <c r="T39" s="37"/>
      <c r="U39" s="37"/>
    </row>
    <row r="40" spans="1:21" ht="15.75" x14ac:dyDescent="0.25">
      <c r="A40" s="158">
        <v>239</v>
      </c>
      <c r="B40" s="45" t="s">
        <v>87</v>
      </c>
      <c r="C40" s="17">
        <v>4</v>
      </c>
      <c r="D40" s="58">
        <v>18</v>
      </c>
      <c r="E40" s="58">
        <v>72</v>
      </c>
      <c r="F40" s="58">
        <v>62.27000000000001</v>
      </c>
      <c r="G40" s="8" t="s">
        <v>15</v>
      </c>
      <c r="H40" s="57" t="s">
        <v>114</v>
      </c>
      <c r="I40" s="159"/>
      <c r="K40" s="50" t="str">
        <v>Brinquedo Beyblade Tornado Extreme Top Sytem YTL 0193 Yaha</v>
      </c>
      <c r="L40" s="49">
        <f>SUMIF(Tabela1[Produtos],K40,Tabela1[Quantidade])</f>
        <v>1</v>
      </c>
      <c r="M40" s="37">
        <f>SUMIF(Tabela1[Produtos],K40,Tabela1[Valor gasto])</f>
        <v>10</v>
      </c>
      <c r="N40" s="37">
        <f>SUMIF(Tabela1[Produtos],K40,Tabela1[Valor venddo])</f>
        <v>18.57</v>
      </c>
      <c r="O40" s="37">
        <f>SUMIF(Tabela1[Produtos],K40,Tabela1[Valor do lucro])</f>
        <v>8.57</v>
      </c>
      <c r="Q40" s="50"/>
      <c r="R40" s="49"/>
      <c r="S40" s="37"/>
      <c r="T40" s="37"/>
      <c r="U40" s="37"/>
    </row>
    <row r="41" spans="1:21" ht="15.75" x14ac:dyDescent="0.25">
      <c r="A41" s="158">
        <v>316</v>
      </c>
      <c r="B41" s="45" t="s">
        <v>87</v>
      </c>
      <c r="C41" s="126">
        <v>1</v>
      </c>
      <c r="D41" s="127">
        <v>18</v>
      </c>
      <c r="E41" s="127">
        <v>31.12</v>
      </c>
      <c r="F41" s="127">
        <v>13.120000000000001</v>
      </c>
      <c r="G41" s="8" t="s">
        <v>3</v>
      </c>
      <c r="H41" s="8" t="s">
        <v>114</v>
      </c>
      <c r="I41" s="161"/>
      <c r="K41" s="50" t="str">
        <v>Cabo 2m iphone</v>
      </c>
      <c r="L41" s="49">
        <f>SUMIF(Tabela1[Produtos],K41,Tabela1[Quantidade])</f>
        <v>1</v>
      </c>
      <c r="M41" s="37">
        <f>SUMIF(Tabela1[Produtos],K41,Tabela1[Valor gasto])</f>
        <v>7</v>
      </c>
      <c r="N41" s="37">
        <f>SUMIF(Tabela1[Produtos],K41,Tabela1[Valor venddo])</f>
        <v>15</v>
      </c>
      <c r="O41" s="37">
        <f>SUMIF(Tabela1[Produtos],K41,Tabela1[Valor do lucro])</f>
        <v>8</v>
      </c>
      <c r="Q41" s="50"/>
      <c r="R41" s="49"/>
      <c r="S41" s="37"/>
      <c r="T41" s="37"/>
      <c r="U41" s="37"/>
    </row>
    <row r="42" spans="1:21" ht="15.75" x14ac:dyDescent="0.25">
      <c r="A42" s="158">
        <v>523</v>
      </c>
      <c r="B42" s="45" t="s">
        <v>87</v>
      </c>
      <c r="C42" s="129">
        <v>1</v>
      </c>
      <c r="D42" s="61">
        <v>18</v>
      </c>
      <c r="E42" s="127">
        <v>40.590000000000003</v>
      </c>
      <c r="F42" s="61">
        <f>SUM(E42-D42)</f>
        <v>22.590000000000003</v>
      </c>
      <c r="G42" s="8" t="s">
        <v>15</v>
      </c>
      <c r="H42" s="8" t="s">
        <v>114</v>
      </c>
      <c r="I42" s="160"/>
      <c r="K42" s="50" t="str">
        <v>Cabo auxiliar</v>
      </c>
      <c r="L42" s="49">
        <f>SUMIF(Tabela1[Produtos],K42,Tabela1[Quantidade])</f>
        <v>2</v>
      </c>
      <c r="M42" s="37">
        <f>SUMIF(Tabela1[Produtos],K42,Tabela1[Valor gasto])</f>
        <v>9.5</v>
      </c>
      <c r="N42" s="37">
        <f>SUMIF(Tabela1[Produtos],K42,Tabela1[Valor venddo])</f>
        <v>20</v>
      </c>
      <c r="O42" s="37">
        <f>SUMIF(Tabela1[Produtos],K42,Tabela1[Valor do lucro])</f>
        <v>10.5</v>
      </c>
      <c r="Q42" s="50"/>
      <c r="R42" s="49"/>
      <c r="S42" s="37"/>
      <c r="T42" s="37"/>
      <c r="U42" s="37"/>
    </row>
    <row r="43" spans="1:21" ht="15.75" x14ac:dyDescent="0.25">
      <c r="A43" s="158">
        <v>29</v>
      </c>
      <c r="B43" s="45" t="s">
        <v>87</v>
      </c>
      <c r="C43" s="14">
        <v>1</v>
      </c>
      <c r="D43" s="61">
        <v>18</v>
      </c>
      <c r="E43" s="61">
        <v>40</v>
      </c>
      <c r="F43" s="61">
        <f t="shared" ref="F43:F48" si="0">E43-D43</f>
        <v>22</v>
      </c>
      <c r="G43" s="8" t="s">
        <v>15</v>
      </c>
      <c r="H43" s="8" t="s">
        <v>113</v>
      </c>
      <c r="I43" s="160"/>
      <c r="K43" s="50" t="str">
        <v>Cabo Dados Carregador USB 30 Pinos Para iPhone 4 iPad iPod</v>
      </c>
      <c r="L43" s="49">
        <f>SUMIF(Tabela1[Produtos],K43,Tabela1[Quantidade])</f>
        <v>4</v>
      </c>
      <c r="M43" s="37">
        <f>SUMIF(Tabela1[Produtos],K43,Tabela1[Valor gasto])</f>
        <v>8</v>
      </c>
      <c r="N43" s="37">
        <f>SUMIF(Tabela1[Produtos],K43,Tabela1[Valor venddo])</f>
        <v>38.03</v>
      </c>
      <c r="O43" s="37">
        <f>SUMIF(Tabela1[Produtos],K43,Tabela1[Valor do lucro])</f>
        <v>37.43</v>
      </c>
      <c r="Q43" s="50"/>
      <c r="R43" s="49"/>
      <c r="S43" s="37"/>
      <c r="T43" s="37"/>
      <c r="U43" s="37"/>
    </row>
    <row r="44" spans="1:21" ht="15.75" x14ac:dyDescent="0.25">
      <c r="A44" s="158">
        <v>97</v>
      </c>
      <c r="B44" s="45" t="s">
        <v>87</v>
      </c>
      <c r="C44" s="14">
        <v>1</v>
      </c>
      <c r="D44" s="61">
        <v>18</v>
      </c>
      <c r="E44" s="61">
        <v>40</v>
      </c>
      <c r="F44" s="61">
        <f t="shared" si="0"/>
        <v>22</v>
      </c>
      <c r="G44" s="8" t="s">
        <v>15</v>
      </c>
      <c r="H44" s="8" t="s">
        <v>113</v>
      </c>
      <c r="I44" s="159"/>
      <c r="K44" s="50" t="str">
        <v>Cabo de Dados KinGo para Iphone</v>
      </c>
      <c r="L44" s="49">
        <f>SUMIF(Tabela1[Produtos],K44,Tabela1[Quantidade])</f>
        <v>3</v>
      </c>
      <c r="M44" s="37">
        <f>SUMIF(Tabela1[Produtos],K44,Tabela1[Valor gasto])</f>
        <v>23</v>
      </c>
      <c r="N44" s="37">
        <f>SUMIF(Tabela1[Produtos],K44,Tabela1[Valor venddo])</f>
        <v>33.153799999999997</v>
      </c>
      <c r="O44" s="37">
        <f>SUMIF(Tabela1[Produtos],K44,Tabela1[Valor do lucro])</f>
        <v>10.153799999999999</v>
      </c>
      <c r="Q44" s="50"/>
      <c r="R44" s="49"/>
      <c r="S44" s="37"/>
      <c r="T44" s="37"/>
      <c r="U44" s="37"/>
    </row>
    <row r="45" spans="1:21" ht="15.75" x14ac:dyDescent="0.25">
      <c r="A45" s="158">
        <v>194</v>
      </c>
      <c r="B45" s="12" t="s">
        <v>149</v>
      </c>
      <c r="C45" s="14">
        <v>1</v>
      </c>
      <c r="D45" s="61">
        <v>9</v>
      </c>
      <c r="E45" s="61">
        <v>30</v>
      </c>
      <c r="F45" s="61">
        <f t="shared" si="0"/>
        <v>21</v>
      </c>
      <c r="G45" s="8" t="s">
        <v>15</v>
      </c>
      <c r="H45" s="8" t="s">
        <v>113</v>
      </c>
      <c r="I45" s="159"/>
      <c r="K45" s="50" t="str">
        <v>Cabo de Dados KinGo para Iphone - 1m</v>
      </c>
      <c r="L45" s="49">
        <f>SUMIF(Tabela1[Produtos],K45,Tabela1[Quantidade])</f>
        <v>1</v>
      </c>
      <c r="M45" s="37">
        <f>SUMIF(Tabela1[Produtos],K45,Tabela1[Valor gasto])</f>
        <v>8</v>
      </c>
      <c r="N45" s="37">
        <f>SUMIF(Tabela1[Produtos],K45,Tabela1[Valor venddo])</f>
        <v>18.75</v>
      </c>
      <c r="O45" s="37">
        <f>SUMIF(Tabela1[Produtos],K45,Tabela1[Valor do lucro])</f>
        <v>10.75</v>
      </c>
      <c r="Q45" s="50"/>
      <c r="R45" s="49"/>
      <c r="S45" s="37"/>
      <c r="T45" s="37"/>
      <c r="U45" s="37"/>
    </row>
    <row r="46" spans="1:21" ht="15.75" x14ac:dyDescent="0.25">
      <c r="A46" s="158">
        <v>275</v>
      </c>
      <c r="B46" s="12" t="s">
        <v>149</v>
      </c>
      <c r="C46" s="14">
        <v>1</v>
      </c>
      <c r="D46" s="61">
        <v>9</v>
      </c>
      <c r="E46" s="61">
        <v>20</v>
      </c>
      <c r="F46" s="61">
        <f t="shared" si="0"/>
        <v>11</v>
      </c>
      <c r="G46" s="8" t="s">
        <v>3</v>
      </c>
      <c r="H46" s="8" t="s">
        <v>113</v>
      </c>
      <c r="I46" s="161"/>
      <c r="K46" s="50" t="str">
        <v>Cabo Hardline VGA 3M HLVGA 3.0</v>
      </c>
      <c r="L46" s="49">
        <f>SUMIF(Tabela1[Produtos],K46,Tabela1[Quantidade])</f>
        <v>1</v>
      </c>
      <c r="M46" s="37">
        <f>SUMIF(Tabela1[Produtos],K46,Tabela1[Valor gasto])</f>
        <v>13</v>
      </c>
      <c r="N46" s="37">
        <f>SUMIF(Tabela1[Produtos],K46,Tabela1[Valor venddo])</f>
        <v>23.43</v>
      </c>
      <c r="O46" s="37">
        <f>SUMIF(Tabela1[Produtos],K46,Tabela1[Valor do lucro])</f>
        <v>10.43</v>
      </c>
      <c r="Q46" s="50"/>
      <c r="R46" s="49"/>
      <c r="S46" s="37"/>
      <c r="T46" s="37"/>
      <c r="U46" s="37"/>
    </row>
    <row r="47" spans="1:21" ht="15.75" x14ac:dyDescent="0.25">
      <c r="A47" s="158">
        <v>287</v>
      </c>
      <c r="B47" s="12" t="s">
        <v>149</v>
      </c>
      <c r="C47" s="14">
        <v>1</v>
      </c>
      <c r="D47" s="61">
        <v>9</v>
      </c>
      <c r="E47" s="61">
        <v>20</v>
      </c>
      <c r="F47" s="61">
        <f t="shared" si="0"/>
        <v>11</v>
      </c>
      <c r="G47" s="8" t="s">
        <v>3</v>
      </c>
      <c r="H47" s="8" t="s">
        <v>113</v>
      </c>
      <c r="I47" s="161"/>
      <c r="K47" s="50" t="str">
        <v>Cabo hdmi 4k 10m</v>
      </c>
      <c r="L47" s="49">
        <f>SUMIF(Tabela1[Produtos],K47,Tabela1[Quantidade])</f>
        <v>1</v>
      </c>
      <c r="M47" s="37">
        <f>SUMIF(Tabela1[Produtos],K47,Tabela1[Valor gasto])</f>
        <v>35</v>
      </c>
      <c r="N47" s="37">
        <f>SUMIF(Tabela1[Produtos],K47,Tabela1[Valor venddo])</f>
        <v>60</v>
      </c>
      <c r="O47" s="37">
        <f>SUMIF(Tabela1[Produtos],K47,Tabela1[Valor do lucro])</f>
        <v>25</v>
      </c>
      <c r="Q47" s="50"/>
      <c r="R47" s="49"/>
      <c r="S47" s="37"/>
      <c r="T47" s="37"/>
      <c r="U47" s="37"/>
    </row>
    <row r="48" spans="1:21" ht="15.75" x14ac:dyDescent="0.25">
      <c r="A48" s="158">
        <v>2</v>
      </c>
      <c r="B48" s="12" t="s">
        <v>149</v>
      </c>
      <c r="C48" s="14">
        <v>1</v>
      </c>
      <c r="D48" s="61">
        <v>9</v>
      </c>
      <c r="E48" s="61">
        <v>15</v>
      </c>
      <c r="F48" s="61">
        <f t="shared" si="0"/>
        <v>6</v>
      </c>
      <c r="G48" s="8" t="s">
        <v>15</v>
      </c>
      <c r="H48" s="8" t="s">
        <v>113</v>
      </c>
      <c r="I48" s="160"/>
      <c r="K48" s="50" t="str">
        <v>cabo ipad</v>
      </c>
      <c r="L48" s="49">
        <f>SUMIF(Tabela1[Produtos],K48,Tabela1[Quantidade])</f>
        <v>1</v>
      </c>
      <c r="M48" s="37">
        <f>SUMIF(Tabela1[Produtos],K48,Tabela1[Valor gasto])</f>
        <v>9</v>
      </c>
      <c r="N48" s="37">
        <f>SUMIF(Tabela1[Produtos],K48,Tabela1[Valor venddo])</f>
        <v>20</v>
      </c>
      <c r="O48" s="37">
        <f>SUMIF(Tabela1[Produtos],K48,Tabela1[Valor do lucro])</f>
        <v>11</v>
      </c>
      <c r="Q48" s="50"/>
      <c r="R48" s="49"/>
      <c r="S48" s="37"/>
      <c r="T48" s="37"/>
      <c r="U48" s="37"/>
    </row>
    <row r="49" spans="1:21" ht="15.75" x14ac:dyDescent="0.25">
      <c r="A49" s="158">
        <v>290</v>
      </c>
      <c r="B49" s="45" t="s">
        <v>93</v>
      </c>
      <c r="C49" s="126">
        <v>1</v>
      </c>
      <c r="D49" s="127">
        <v>2.5</v>
      </c>
      <c r="E49" s="127">
        <v>7.5</v>
      </c>
      <c r="F49" s="127">
        <v>5</v>
      </c>
      <c r="G49" s="8" t="s">
        <v>3</v>
      </c>
      <c r="H49" s="8" t="s">
        <v>114</v>
      </c>
      <c r="I49" s="161"/>
      <c r="K49" s="50" t="str">
        <v xml:space="preserve">Cabo ipega tipo c </v>
      </c>
      <c r="L49" s="49">
        <f>SUMIF(Tabela1[Produtos],K49,Tabela1[Quantidade])</f>
        <v>1</v>
      </c>
      <c r="M49" s="37">
        <f>SUMIF(Tabela1[Produtos],K49,Tabela1[Valor gasto])</f>
        <v>8</v>
      </c>
      <c r="N49" s="37">
        <f>SUMIF(Tabela1[Produtos],K49,Tabela1[Valor venddo])</f>
        <v>20</v>
      </c>
      <c r="O49" s="37">
        <f>SUMIF(Tabela1[Produtos],K49,Tabela1[Valor do lucro])</f>
        <v>12</v>
      </c>
      <c r="Q49" s="45"/>
      <c r="R49" s="49"/>
      <c r="S49" s="37"/>
      <c r="T49" s="37"/>
      <c r="U49" s="37"/>
    </row>
    <row r="50" spans="1:21" ht="15.75" x14ac:dyDescent="0.25">
      <c r="A50" s="158">
        <v>509</v>
      </c>
      <c r="B50" s="45" t="s">
        <v>93</v>
      </c>
      <c r="C50" s="129">
        <v>1</v>
      </c>
      <c r="D50" s="61">
        <v>2.5</v>
      </c>
      <c r="E50" s="127">
        <v>10</v>
      </c>
      <c r="F50" s="61">
        <f>SUM(E50-D50)</f>
        <v>7.5</v>
      </c>
      <c r="G50" s="8" t="s">
        <v>15</v>
      </c>
      <c r="H50" s="8" t="s">
        <v>114</v>
      </c>
      <c r="I50" s="160"/>
      <c r="K50" s="50" t="str">
        <v xml:space="preserve">cabo iphone </v>
      </c>
      <c r="L50" s="49">
        <f>SUMIF(Tabela1[Produtos],K50,Tabela1[Quantidade])</f>
        <v>1</v>
      </c>
      <c r="M50" s="37">
        <f>SUMIF(Tabela1[Produtos],K50,Tabela1[Valor gasto])</f>
        <v>2</v>
      </c>
      <c r="N50" s="37">
        <f>SUMIF(Tabela1[Produtos],K50,Tabela1[Valor venddo])</f>
        <v>15</v>
      </c>
      <c r="O50" s="37">
        <f>SUMIF(Tabela1[Produtos],K50,Tabela1[Valor do lucro])</f>
        <v>13</v>
      </c>
      <c r="Q50" s="50"/>
      <c r="R50" s="49"/>
      <c r="S50" s="37"/>
      <c r="T50" s="37"/>
      <c r="U50" s="37"/>
    </row>
    <row r="51" spans="1:21" ht="15.75" x14ac:dyDescent="0.25">
      <c r="A51" s="158">
        <v>60</v>
      </c>
      <c r="B51" s="45" t="s">
        <v>93</v>
      </c>
      <c r="C51" s="14">
        <v>1</v>
      </c>
      <c r="D51" s="61">
        <f>E51-F51</f>
        <v>2.5</v>
      </c>
      <c r="E51" s="58">
        <v>5</v>
      </c>
      <c r="F51" s="61">
        <v>2.5</v>
      </c>
      <c r="G51" s="8" t="s">
        <v>15</v>
      </c>
      <c r="H51" s="57" t="s">
        <v>6</v>
      </c>
      <c r="I51" s="159"/>
      <c r="K51" s="50" t="str">
        <v>cabo magnetico</v>
      </c>
      <c r="L51" s="49">
        <f>SUMIF(Tabela1[Produtos],K51,Tabela1[Quantidade])</f>
        <v>1</v>
      </c>
      <c r="M51" s="37">
        <f>SUMIF(Tabela1[Produtos],K51,Tabela1[Valor gasto])</f>
        <v>17</v>
      </c>
      <c r="N51" s="37">
        <f>SUMIF(Tabela1[Produtos],K51,Tabela1[Valor venddo])</f>
        <v>40</v>
      </c>
      <c r="O51" s="37">
        <f>SUMIF(Tabela1[Produtos],K51,Tabela1[Valor do lucro])</f>
        <v>23</v>
      </c>
      <c r="Q51" s="50"/>
      <c r="R51" s="49"/>
      <c r="S51" s="37"/>
      <c r="T51" s="37"/>
      <c r="U51" s="37"/>
    </row>
    <row r="52" spans="1:21" ht="15.75" x14ac:dyDescent="0.25">
      <c r="A52" s="158">
        <v>435</v>
      </c>
      <c r="B52" s="45" t="s">
        <v>93</v>
      </c>
      <c r="C52" s="14">
        <v>1</v>
      </c>
      <c r="D52" s="128">
        <v>10</v>
      </c>
      <c r="E52" s="61">
        <v>26.25</v>
      </c>
      <c r="F52" s="61">
        <f>E52-D52</f>
        <v>16.25</v>
      </c>
      <c r="G52" s="8" t="s">
        <v>15</v>
      </c>
      <c r="H52" s="8" t="s">
        <v>113</v>
      </c>
      <c r="I52" s="160"/>
      <c r="K52" s="50" t="str">
        <v>Cabo Micro Usb v8 , serve em vários aparelhos eletrônicos celulares</v>
      </c>
      <c r="L52" s="49">
        <f>SUMIF(Tabela1[Produtos],K52,Tabela1[Quantidade])</f>
        <v>19</v>
      </c>
      <c r="M52" s="37">
        <f>SUMIF(Tabela1[Produtos],K52,Tabela1[Valor gasto])</f>
        <v>165.3</v>
      </c>
      <c r="N52" s="37">
        <f>SUMIF(Tabela1[Produtos],K52,Tabela1[Valor venddo])</f>
        <v>301.54000000000002</v>
      </c>
      <c r="O52" s="37">
        <f>SUMIF(Tabela1[Produtos],K52,Tabela1[Valor do lucro])</f>
        <v>125.04</v>
      </c>
      <c r="Q52" s="45"/>
      <c r="R52" s="49"/>
      <c r="S52" s="37"/>
      <c r="T52" s="37"/>
      <c r="U52" s="37"/>
    </row>
    <row r="53" spans="1:21" ht="15.75" x14ac:dyDescent="0.25">
      <c r="A53" s="158">
        <v>901</v>
      </c>
      <c r="B53" s="45" t="s">
        <v>215</v>
      </c>
      <c r="C53" s="134">
        <v>1</v>
      </c>
      <c r="D53" s="127">
        <v>25</v>
      </c>
      <c r="E53" s="135">
        <v>20.532799999999998</v>
      </c>
      <c r="F53" s="61">
        <f>E53-D53</f>
        <v>-4.4672000000000018</v>
      </c>
      <c r="G53" s="8" t="s">
        <v>15</v>
      </c>
      <c r="H53" s="8" t="s">
        <v>114</v>
      </c>
      <c r="I53" s="161"/>
      <c r="K53" s="50" t="str">
        <v>Cabo RCA Cristal Injetado de 1 Metros</v>
      </c>
      <c r="L53" s="49">
        <f>SUMIF(Tabela1[Produtos],K53,Tabela1[Quantidade])</f>
        <v>1</v>
      </c>
      <c r="M53" s="37">
        <f>SUMIF(Tabela1[Produtos],K53,Tabela1[Valor gasto])</f>
        <v>7</v>
      </c>
      <c r="N53" s="37">
        <f>SUMIF(Tabela1[Produtos],K53,Tabela1[Valor venddo])</f>
        <v>12.3</v>
      </c>
      <c r="O53" s="37">
        <f>SUMIF(Tabela1[Produtos],K53,Tabela1[Valor do lucro])</f>
        <v>5.3000000000000007</v>
      </c>
      <c r="Q53" s="50"/>
      <c r="R53" s="49"/>
      <c r="S53" s="37"/>
      <c r="T53" s="37"/>
      <c r="U53" s="37"/>
    </row>
    <row r="54" spans="1:21" ht="15.75" x14ac:dyDescent="0.25">
      <c r="A54" s="158">
        <v>343</v>
      </c>
      <c r="B54" s="45" t="s">
        <v>215</v>
      </c>
      <c r="C54" s="14">
        <v>1</v>
      </c>
      <c r="D54" s="61">
        <v>10</v>
      </c>
      <c r="E54" s="61">
        <v>28.41</v>
      </c>
      <c r="F54" s="61">
        <f>E54-D54</f>
        <v>18.41</v>
      </c>
      <c r="G54" s="8" t="s">
        <v>15</v>
      </c>
      <c r="H54" s="8" t="s">
        <v>113</v>
      </c>
      <c r="I54" s="160"/>
      <c r="K54" s="50" t="str">
        <v>Cabo USB iphone 4/4s</v>
      </c>
      <c r="L54" s="49">
        <f>SUMIF(Tabela1[Produtos],K54,Tabela1[Quantidade])</f>
        <v>5</v>
      </c>
      <c r="M54" s="37">
        <f>SUMIF(Tabela1[Produtos],K54,Tabela1[Valor gasto])</f>
        <v>10</v>
      </c>
      <c r="N54" s="37">
        <f>SUMIF(Tabela1[Produtos],K54,Tabela1[Valor venddo])</f>
        <v>26.04</v>
      </c>
      <c r="O54" s="37">
        <f>SUMIF(Tabela1[Produtos],K54,Tabela1[Valor do lucro])</f>
        <v>16.04</v>
      </c>
      <c r="Q54" s="50"/>
      <c r="R54" s="49"/>
      <c r="S54" s="37"/>
      <c r="T54" s="37"/>
      <c r="U54" s="37"/>
    </row>
    <row r="55" spans="1:21" ht="15.75" x14ac:dyDescent="0.25">
      <c r="A55" s="158">
        <v>589</v>
      </c>
      <c r="B55" s="45" t="s">
        <v>215</v>
      </c>
      <c r="C55" s="14">
        <v>1</v>
      </c>
      <c r="D55" s="127">
        <v>20</v>
      </c>
      <c r="E55" s="127">
        <v>26.75</v>
      </c>
      <c r="F55" s="61">
        <f>E55-D55</f>
        <v>6.75</v>
      </c>
      <c r="G55" s="8" t="s">
        <v>15</v>
      </c>
      <c r="H55" s="8" t="s">
        <v>113</v>
      </c>
      <c r="I55" s="161"/>
      <c r="K55" s="50" t="str">
        <v>cabo v8 kingo</v>
      </c>
      <c r="L55" s="49">
        <f>SUMIF(Tabela1[Produtos],K55,Tabela1[Quantidade])</f>
        <v>1</v>
      </c>
      <c r="M55" s="37">
        <f>SUMIF(Tabela1[Produtos],K55,Tabela1[Valor gasto])</f>
        <v>6</v>
      </c>
      <c r="N55" s="37">
        <f>SUMIF(Tabela1[Produtos],K55,Tabela1[Valor venddo])</f>
        <v>12</v>
      </c>
      <c r="O55" s="37">
        <f>SUMIF(Tabela1[Produtos],K55,Tabela1[Valor do lucro])</f>
        <v>6</v>
      </c>
      <c r="Q55" s="50"/>
      <c r="R55" s="49"/>
      <c r="S55" s="37"/>
      <c r="T55" s="37"/>
      <c r="U55" s="37"/>
    </row>
    <row r="56" spans="1:21" ht="15.75" x14ac:dyDescent="0.25">
      <c r="A56" s="158">
        <v>652</v>
      </c>
      <c r="B56" s="7" t="s">
        <v>330</v>
      </c>
      <c r="C56" s="14">
        <v>1</v>
      </c>
      <c r="D56" s="61">
        <v>20</v>
      </c>
      <c r="E56" s="61">
        <v>40</v>
      </c>
      <c r="F56" s="61">
        <f>E56-D56</f>
        <v>20</v>
      </c>
      <c r="G56" s="8" t="s">
        <v>15</v>
      </c>
      <c r="H56" s="8" t="s">
        <v>113</v>
      </c>
      <c r="I56" s="161"/>
      <c r="K56" s="50" t="str">
        <v>cabo vga</v>
      </c>
      <c r="L56" s="49">
        <f>SUMIF(Tabela1[Produtos],K56,Tabela1[Quantidade])</f>
        <v>1</v>
      </c>
      <c r="M56" s="37">
        <f>SUMIF(Tabela1[Produtos],K56,Tabela1[Valor gasto])</f>
        <v>12</v>
      </c>
      <c r="N56" s="37">
        <f>SUMIF(Tabela1[Produtos],K56,Tabela1[Valor venddo])</f>
        <v>20</v>
      </c>
      <c r="O56" s="37">
        <f>SUMIF(Tabela1[Produtos],K56,Tabela1[Valor do lucro])</f>
        <v>8</v>
      </c>
      <c r="Q56" s="50"/>
      <c r="R56" s="49"/>
      <c r="S56" s="37"/>
      <c r="T56" s="37"/>
      <c r="U56" s="37"/>
    </row>
    <row r="57" spans="1:21" ht="15.75" x14ac:dyDescent="0.25">
      <c r="A57" s="158">
        <v>713</v>
      </c>
      <c r="B57" s="45" t="s">
        <v>216</v>
      </c>
      <c r="C57" s="17">
        <v>9</v>
      </c>
      <c r="D57" s="132">
        <v>35</v>
      </c>
      <c r="E57" s="61">
        <v>505.89</v>
      </c>
      <c r="F57" s="61">
        <v>190.89</v>
      </c>
      <c r="G57" s="8" t="s">
        <v>15</v>
      </c>
      <c r="H57" s="8" t="s">
        <v>114</v>
      </c>
      <c r="I57" s="161"/>
      <c r="K57" s="50" t="str">
        <v>Cabo Vga Hd15 - M/M O.D  3.0</v>
      </c>
      <c r="L57" s="49">
        <f>SUMIF(Tabela1[Produtos],K57,Tabela1[Quantidade])</f>
        <v>1</v>
      </c>
      <c r="M57" s="37">
        <f>SUMIF(Tabela1[Produtos],K57,Tabela1[Valor gasto])</f>
        <v>7</v>
      </c>
      <c r="N57" s="37">
        <f>SUMIF(Tabela1[Produtos],K57,Tabela1[Valor venddo])</f>
        <v>15</v>
      </c>
      <c r="O57" s="37">
        <f>SUMIF(Tabela1[Produtos],K57,Tabela1[Valor do lucro])</f>
        <v>8</v>
      </c>
      <c r="Q57" s="50"/>
      <c r="R57" s="49"/>
      <c r="S57" s="37"/>
      <c r="T57" s="37"/>
      <c r="U57" s="37"/>
    </row>
    <row r="58" spans="1:21" ht="15.75" x14ac:dyDescent="0.25">
      <c r="A58" s="158">
        <v>824</v>
      </c>
      <c r="B58" s="45" t="s">
        <v>216</v>
      </c>
      <c r="C58" s="126">
        <v>3</v>
      </c>
      <c r="D58" s="127">
        <v>114</v>
      </c>
      <c r="E58" s="133">
        <v>206.32</v>
      </c>
      <c r="F58" s="127">
        <v>92.32</v>
      </c>
      <c r="G58" s="8" t="s">
        <v>15</v>
      </c>
      <c r="H58" s="8" t="s">
        <v>114</v>
      </c>
      <c r="I58" s="161"/>
      <c r="K58" s="50" t="str">
        <v>Cadeado Profissional Com 3 Chaves Codificadas 40mm</v>
      </c>
      <c r="L58" s="49">
        <f>SUMIF(Tabela1[Produtos],K58,Tabela1[Quantidade])</f>
        <v>13</v>
      </c>
      <c r="M58" s="37">
        <f>SUMIF(Tabela1[Produtos],K58,Tabela1[Valor gasto])</f>
        <v>79</v>
      </c>
      <c r="N58" s="37">
        <f>SUMIF(Tabela1[Produtos],K58,Tabela1[Valor venddo])</f>
        <v>207.04</v>
      </c>
      <c r="O58" s="37">
        <f>SUMIF(Tabela1[Produtos],K58,Tabela1[Valor do lucro])</f>
        <v>103.98999999999998</v>
      </c>
      <c r="Q58" s="50"/>
      <c r="R58" s="49"/>
      <c r="S58" s="37"/>
      <c r="T58" s="37"/>
      <c r="U58" s="37"/>
    </row>
    <row r="59" spans="1:21" ht="15.75" x14ac:dyDescent="0.25">
      <c r="A59" s="158">
        <v>529</v>
      </c>
      <c r="B59" s="45" t="s">
        <v>216</v>
      </c>
      <c r="C59" s="129">
        <v>2</v>
      </c>
      <c r="D59" s="61">
        <v>60</v>
      </c>
      <c r="E59" s="127">
        <v>109.98</v>
      </c>
      <c r="F59" s="61">
        <f>SUM(E59-D59)</f>
        <v>49.980000000000004</v>
      </c>
      <c r="G59" s="8" t="s">
        <v>15</v>
      </c>
      <c r="H59" s="8" t="s">
        <v>114</v>
      </c>
      <c r="I59" s="160"/>
      <c r="K59" s="50" t="str">
        <v>Caixa jbl boombox mini</v>
      </c>
      <c r="L59" s="49">
        <f>SUMIF(Tabela1[Produtos],K59,Tabela1[Quantidade])</f>
        <v>1</v>
      </c>
      <c r="M59" s="37">
        <f>SUMIF(Tabela1[Produtos],K59,Tabela1[Valor gasto])</f>
        <v>100</v>
      </c>
      <c r="N59" s="37">
        <f>SUMIF(Tabela1[Produtos],K59,Tabela1[Valor venddo])</f>
        <v>110</v>
      </c>
      <c r="O59" s="37">
        <f>SUMIF(Tabela1[Produtos],K59,Tabela1[Valor do lucro])</f>
        <v>10</v>
      </c>
      <c r="Q59" s="50"/>
      <c r="R59" s="49"/>
      <c r="S59" s="37"/>
      <c r="T59" s="37"/>
      <c r="U59" s="37"/>
    </row>
    <row r="60" spans="1:21" ht="15.75" x14ac:dyDescent="0.25">
      <c r="A60" s="158">
        <v>757</v>
      </c>
      <c r="B60" s="45" t="s">
        <v>216</v>
      </c>
      <c r="C60" s="126">
        <v>2</v>
      </c>
      <c r="D60" s="127">
        <v>70</v>
      </c>
      <c r="E60" s="127">
        <v>98.65</v>
      </c>
      <c r="F60" s="127">
        <v>28.650000000000006</v>
      </c>
      <c r="G60" s="8" t="s">
        <v>15</v>
      </c>
      <c r="H60" s="8" t="s">
        <v>114</v>
      </c>
      <c r="I60" s="161"/>
      <c r="K60" s="50" t="str">
        <v>Calculadora Cientifica Profissional Modelo Id-8267c</v>
      </c>
      <c r="L60" s="49">
        <f>SUMIF(Tabela1[Produtos],K60,Tabela1[Quantidade])</f>
        <v>15</v>
      </c>
      <c r="M60" s="37">
        <f>SUMIF(Tabela1[Produtos],K60,Tabela1[Valor gasto])</f>
        <v>135.99</v>
      </c>
      <c r="N60" s="37">
        <f>SUMIF(Tabela1[Produtos],K60,Tabela1[Valor venddo])</f>
        <v>386.69</v>
      </c>
      <c r="O60" s="37">
        <f>SUMIF(Tabela1[Produtos],K60,Tabela1[Valor do lucro])</f>
        <v>250.7</v>
      </c>
      <c r="Q60" s="50"/>
      <c r="R60" s="49"/>
      <c r="S60" s="37"/>
      <c r="T60" s="37"/>
      <c r="U60" s="37"/>
    </row>
    <row r="61" spans="1:21" ht="15.75" x14ac:dyDescent="0.25">
      <c r="A61" s="158">
        <v>902</v>
      </c>
      <c r="B61" s="45" t="s">
        <v>216</v>
      </c>
      <c r="C61" s="134">
        <v>1</v>
      </c>
      <c r="D61" s="127">
        <v>35</v>
      </c>
      <c r="E61" s="135">
        <v>45.92</v>
      </c>
      <c r="F61" s="61">
        <f t="shared" ref="F61:F68" si="1">E61-D61</f>
        <v>10.920000000000002</v>
      </c>
      <c r="G61" s="8" t="s">
        <v>15</v>
      </c>
      <c r="H61" s="8" t="s">
        <v>114</v>
      </c>
      <c r="I61" s="161"/>
      <c r="K61" s="50" t="str">
        <v>Caneta Testador De Dinheiro Nota Falsa Money Teste Detector</v>
      </c>
      <c r="L61" s="49">
        <f>SUMIF(Tabela1[Produtos],K61,Tabela1[Quantidade])</f>
        <v>1</v>
      </c>
      <c r="M61" s="37">
        <f>SUMIF(Tabela1[Produtos],K61,Tabela1[Valor gasto])</f>
        <v>10</v>
      </c>
      <c r="N61" s="37">
        <f>SUMIF(Tabela1[Produtos],K61,Tabela1[Valor venddo])</f>
        <v>59.41</v>
      </c>
      <c r="O61" s="37">
        <f>SUMIF(Tabela1[Produtos],K61,Tabela1[Valor do lucro])</f>
        <v>49.41</v>
      </c>
      <c r="Q61" s="50"/>
      <c r="R61" s="49"/>
      <c r="S61" s="37"/>
      <c r="T61" s="37"/>
      <c r="U61" s="37"/>
    </row>
    <row r="62" spans="1:21" ht="15.75" x14ac:dyDescent="0.25">
      <c r="A62" s="158">
        <v>344</v>
      </c>
      <c r="B62" s="45" t="s">
        <v>216</v>
      </c>
      <c r="C62" s="14">
        <v>1</v>
      </c>
      <c r="D62" s="61">
        <v>30</v>
      </c>
      <c r="E62" s="61">
        <v>59.99</v>
      </c>
      <c r="F62" s="61">
        <f t="shared" si="1"/>
        <v>29.990000000000002</v>
      </c>
      <c r="G62" s="8" t="s">
        <v>15</v>
      </c>
      <c r="H62" s="8" t="s">
        <v>113</v>
      </c>
      <c r="I62" s="160"/>
      <c r="K62" s="50" t="str">
        <v>Capa De Braço Suporte Braçadeira De Celular Corrida Academia</v>
      </c>
      <c r="L62" s="49">
        <f>SUMIF(Tabela1[Produtos],K62,Tabela1[Quantidade])</f>
        <v>3</v>
      </c>
      <c r="M62" s="37">
        <f>SUMIF(Tabela1[Produtos],K62,Tabela1[Valor gasto])</f>
        <v>15</v>
      </c>
      <c r="N62" s="37">
        <f>SUMIF(Tabela1[Produtos],K62,Tabela1[Valor venddo])</f>
        <v>60.81</v>
      </c>
      <c r="O62" s="37">
        <f>SUMIF(Tabela1[Produtos],K62,Tabela1[Valor do lucro])</f>
        <v>38.81</v>
      </c>
      <c r="Q62" s="50"/>
      <c r="R62" s="49"/>
      <c r="S62" s="37"/>
      <c r="T62" s="37"/>
      <c r="U62" s="37"/>
    </row>
    <row r="63" spans="1:21" ht="15.75" x14ac:dyDescent="0.25">
      <c r="A63" s="158">
        <v>436</v>
      </c>
      <c r="B63" s="45" t="s">
        <v>216</v>
      </c>
      <c r="C63" s="14">
        <v>1</v>
      </c>
      <c r="D63" s="128">
        <v>30</v>
      </c>
      <c r="E63" s="61">
        <v>66.069999999999993</v>
      </c>
      <c r="F63" s="61">
        <f t="shared" si="1"/>
        <v>36.069999999999993</v>
      </c>
      <c r="G63" s="8" t="s">
        <v>15</v>
      </c>
      <c r="H63" s="8" t="s">
        <v>113</v>
      </c>
      <c r="I63" s="160"/>
      <c r="K63" s="50" t="str">
        <v>capa iphone</v>
      </c>
      <c r="L63" s="49">
        <f>SUMIF(Tabela1[Produtos],K63,Tabela1[Quantidade])</f>
        <v>1</v>
      </c>
      <c r="M63" s="37">
        <f>SUMIF(Tabela1[Produtos],K63,Tabela1[Valor gasto])</f>
        <v>13</v>
      </c>
      <c r="N63" s="37">
        <f>SUMIF(Tabela1[Produtos],K63,Tabela1[Valor venddo])</f>
        <v>30</v>
      </c>
      <c r="O63" s="37">
        <f>SUMIF(Tabela1[Produtos],K63,Tabela1[Valor do lucro])</f>
        <v>17</v>
      </c>
      <c r="Q63" s="50"/>
      <c r="R63" s="49"/>
      <c r="S63" s="37"/>
      <c r="T63" s="37"/>
      <c r="U63" s="37"/>
    </row>
    <row r="64" spans="1:21" ht="15.75" x14ac:dyDescent="0.25">
      <c r="A64" s="158">
        <v>590</v>
      </c>
      <c r="B64" s="45" t="s">
        <v>216</v>
      </c>
      <c r="C64" s="14">
        <v>1</v>
      </c>
      <c r="D64" s="127">
        <v>180</v>
      </c>
      <c r="E64" s="127">
        <v>305.25</v>
      </c>
      <c r="F64" s="61">
        <f t="shared" si="1"/>
        <v>125.25</v>
      </c>
      <c r="G64" s="8" t="s">
        <v>15</v>
      </c>
      <c r="H64" s="8" t="s">
        <v>113</v>
      </c>
      <c r="I64" s="161"/>
      <c r="K64" s="50" t="str">
        <v>Capa Para Celular Impermeável - Aquática - Cores Sortidas</v>
      </c>
      <c r="L64" s="49">
        <f>SUMIF(Tabela1[Produtos],K64,Tabela1[Quantidade])</f>
        <v>1</v>
      </c>
      <c r="M64" s="37">
        <f>SUMIF(Tabela1[Produtos],K64,Tabela1[Valor gasto])</f>
        <v>4</v>
      </c>
      <c r="N64" s="37">
        <f>SUMIF(Tabela1[Produtos],K64,Tabela1[Valor venddo])</f>
        <v>12.96</v>
      </c>
      <c r="O64" s="37">
        <f>SUMIF(Tabela1[Produtos],K64,Tabela1[Valor do lucro])</f>
        <v>8.9600000000000009</v>
      </c>
      <c r="Q64" s="50"/>
      <c r="R64" s="49"/>
      <c r="S64" s="37"/>
      <c r="T64" s="37"/>
      <c r="U64" s="37"/>
    </row>
    <row r="65" spans="1:21" ht="15.75" x14ac:dyDescent="0.25">
      <c r="A65" s="158">
        <v>662</v>
      </c>
      <c r="B65" s="131" t="s">
        <v>300</v>
      </c>
      <c r="C65" s="14">
        <v>1</v>
      </c>
      <c r="D65" s="61">
        <v>16</v>
      </c>
      <c r="E65" s="61">
        <v>50</v>
      </c>
      <c r="F65" s="61">
        <f t="shared" si="1"/>
        <v>34</v>
      </c>
      <c r="G65" s="8" t="s">
        <v>15</v>
      </c>
      <c r="H65" s="8" t="s">
        <v>113</v>
      </c>
      <c r="I65" s="161"/>
      <c r="K65" s="50" t="str">
        <v>Capacete Ciclista Adulto Regulagem Bike Ciclismo - Promoção</v>
      </c>
      <c r="L65" s="49">
        <f>SUMIF(Tabela1[Produtos],K65,Tabela1[Quantidade])</f>
        <v>1</v>
      </c>
      <c r="M65" s="37">
        <f>SUMIF(Tabela1[Produtos],K65,Tabela1[Valor gasto])</f>
        <v>70</v>
      </c>
      <c r="N65" s="37">
        <f>SUMIF(Tabela1[Produtos],K65,Tabela1[Valor venddo])</f>
        <v>179.75</v>
      </c>
      <c r="O65" s="37">
        <f>SUMIF(Tabela1[Produtos],K65,Tabela1[Valor do lucro])</f>
        <v>109.75</v>
      </c>
      <c r="Q65" s="50"/>
      <c r="R65" s="49"/>
      <c r="S65" s="37"/>
      <c r="T65" s="37"/>
      <c r="U65" s="37"/>
    </row>
    <row r="66" spans="1:21" ht="15.75" x14ac:dyDescent="0.25">
      <c r="A66" s="158">
        <v>796</v>
      </c>
      <c r="B66" s="7" t="s">
        <v>412</v>
      </c>
      <c r="C66" s="14">
        <v>1</v>
      </c>
      <c r="D66" s="61">
        <v>35</v>
      </c>
      <c r="E66" s="61">
        <v>40</v>
      </c>
      <c r="F66" s="61">
        <f t="shared" si="1"/>
        <v>5</v>
      </c>
      <c r="G66" s="8" t="s">
        <v>15</v>
      </c>
      <c r="H66" s="8" t="s">
        <v>113</v>
      </c>
      <c r="I66" s="161"/>
      <c r="K66" s="50" t="str">
        <v>capinha</v>
      </c>
      <c r="L66" s="49">
        <f>SUMIF(Tabela1[Produtos],K66,Tabela1[Quantidade])</f>
        <v>1</v>
      </c>
      <c r="M66" s="37">
        <f>SUMIF(Tabela1[Produtos],K66,Tabela1[Valor gasto])</f>
        <v>3</v>
      </c>
      <c r="N66" s="37">
        <f>SUMIF(Tabela1[Produtos],K66,Tabela1[Valor venddo])</f>
        <v>10</v>
      </c>
      <c r="O66" s="37">
        <f>SUMIF(Tabela1[Produtos],K66,Tabela1[Valor do lucro])</f>
        <v>7</v>
      </c>
      <c r="Q66" s="50"/>
      <c r="R66" s="49"/>
      <c r="S66" s="37"/>
      <c r="T66" s="37"/>
      <c r="U66" s="37"/>
    </row>
    <row r="67" spans="1:21" ht="15.75" x14ac:dyDescent="0.25">
      <c r="A67" s="158">
        <v>1</v>
      </c>
      <c r="B67" s="10" t="s">
        <v>8</v>
      </c>
      <c r="C67" s="14">
        <v>1</v>
      </c>
      <c r="D67" s="61">
        <v>30</v>
      </c>
      <c r="E67" s="61">
        <v>40</v>
      </c>
      <c r="F67" s="61">
        <f t="shared" si="1"/>
        <v>10</v>
      </c>
      <c r="G67" s="8" t="s">
        <v>15</v>
      </c>
      <c r="H67" s="8" t="s">
        <v>113</v>
      </c>
      <c r="I67" s="160"/>
      <c r="K67" s="50" t="str">
        <v>Capinha celular</v>
      </c>
      <c r="L67" s="49">
        <f>SUMIF(Tabela1[Produtos],K67,Tabela1[Quantidade])</f>
        <v>4</v>
      </c>
      <c r="M67" s="37">
        <f>SUMIF(Tabela1[Produtos],K67,Tabela1[Valor gasto])</f>
        <v>25.3</v>
      </c>
      <c r="N67" s="37">
        <f>SUMIF(Tabela1[Produtos],K67,Tabela1[Valor venddo])</f>
        <v>55</v>
      </c>
      <c r="O67" s="37">
        <f>SUMIF(Tabela1[Produtos],K67,Tabela1[Valor do lucro])</f>
        <v>29.7</v>
      </c>
      <c r="Q67" s="50"/>
      <c r="R67" s="49"/>
      <c r="S67" s="37"/>
      <c r="T67" s="37"/>
      <c r="U67" s="37"/>
    </row>
    <row r="68" spans="1:21" ht="15.75" x14ac:dyDescent="0.25">
      <c r="A68" s="158">
        <v>422</v>
      </c>
      <c r="B68" s="10" t="s">
        <v>8</v>
      </c>
      <c r="C68" s="14">
        <v>1</v>
      </c>
      <c r="D68" s="61">
        <v>30</v>
      </c>
      <c r="E68" s="61">
        <v>50</v>
      </c>
      <c r="F68" s="61">
        <f t="shared" si="1"/>
        <v>20</v>
      </c>
      <c r="G68" s="8" t="s">
        <v>15</v>
      </c>
      <c r="H68" s="8" t="s">
        <v>113</v>
      </c>
      <c r="I68" s="160"/>
      <c r="K68" s="50" t="str">
        <v>Capinha iphone</v>
      </c>
      <c r="L68" s="49">
        <f>SUMIF(Tabela1[Produtos],K68,Tabela1[Quantidade])</f>
        <v>2</v>
      </c>
      <c r="M68" s="37">
        <f>SUMIF(Tabela1[Produtos],K68,Tabela1[Valor gasto])</f>
        <v>20</v>
      </c>
      <c r="N68" s="37">
        <f>SUMIF(Tabela1[Produtos],K68,Tabela1[Valor venddo])</f>
        <v>40</v>
      </c>
      <c r="O68" s="37">
        <f>SUMIF(Tabela1[Produtos],K68,Tabela1[Valor do lucro])</f>
        <v>20</v>
      </c>
      <c r="Q68" s="50"/>
      <c r="R68" s="49"/>
      <c r="S68" s="37"/>
      <c r="T68" s="37"/>
      <c r="U68" s="37"/>
    </row>
    <row r="69" spans="1:21" ht="15.75" x14ac:dyDescent="0.25">
      <c r="A69" s="158">
        <v>758</v>
      </c>
      <c r="B69" s="45" t="s">
        <v>396</v>
      </c>
      <c r="C69" s="126">
        <v>2</v>
      </c>
      <c r="D69" s="127">
        <v>18</v>
      </c>
      <c r="E69" s="127">
        <v>37.51</v>
      </c>
      <c r="F69" s="127">
        <v>19.509999999999998</v>
      </c>
      <c r="G69" s="8" t="s">
        <v>15</v>
      </c>
      <c r="H69" s="8" t="s">
        <v>114</v>
      </c>
      <c r="I69" s="161"/>
      <c r="K69" s="50" t="str">
        <v>carregador iphone</v>
      </c>
      <c r="L69" s="49">
        <f>SUMIF(Tabela1[Produtos],K69,Tabela1[Quantidade])</f>
        <v>1</v>
      </c>
      <c r="M69" s="37">
        <f>SUMIF(Tabela1[Produtos],K69,Tabela1[Valor gasto])</f>
        <v>19</v>
      </c>
      <c r="N69" s="37">
        <f>SUMIF(Tabela1[Produtos],K69,Tabela1[Valor venddo])</f>
        <v>50</v>
      </c>
      <c r="O69" s="37">
        <f>SUMIF(Tabela1[Produtos],K69,Tabela1[Valor do lucro])</f>
        <v>31</v>
      </c>
      <c r="Q69" s="50"/>
      <c r="R69" s="49"/>
      <c r="S69" s="37"/>
      <c r="T69" s="37"/>
      <c r="U69" s="37"/>
    </row>
    <row r="70" spans="1:21" ht="15.75" x14ac:dyDescent="0.25">
      <c r="A70" s="158">
        <v>3</v>
      </c>
      <c r="B70" s="10" t="s">
        <v>17</v>
      </c>
      <c r="C70" s="14">
        <v>1</v>
      </c>
      <c r="D70" s="61">
        <v>25</v>
      </c>
      <c r="E70" s="61">
        <v>50</v>
      </c>
      <c r="F70" s="61">
        <f>E70-D70</f>
        <v>25</v>
      </c>
      <c r="G70" s="8" t="s">
        <v>15</v>
      </c>
      <c r="H70" s="8" t="s">
        <v>113</v>
      </c>
      <c r="I70" s="160"/>
      <c r="K70" s="50" t="str">
        <v>Carregador Portatil Powerbank 5.000mah Inova Com Anatel</v>
      </c>
      <c r="L70" s="49">
        <f>SUMIF(Tabela1[Produtos],K70,Tabela1[Quantidade])</f>
        <v>1</v>
      </c>
      <c r="M70" s="37">
        <f>SUMIF(Tabela1[Produtos],K70,Tabela1[Valor gasto])</f>
        <v>30</v>
      </c>
      <c r="N70" s="37">
        <f>SUMIF(Tabela1[Produtos],K70,Tabela1[Valor venddo])</f>
        <v>51.68</v>
      </c>
      <c r="O70" s="37">
        <f>SUMIF(Tabela1[Produtos],K70,Tabela1[Valor do lucro])</f>
        <v>21.68</v>
      </c>
      <c r="Q70" s="50"/>
      <c r="R70" s="49"/>
      <c r="S70" s="37"/>
      <c r="T70" s="37"/>
      <c r="U70" s="37"/>
    </row>
    <row r="71" spans="1:21" ht="15.75" x14ac:dyDescent="0.25">
      <c r="A71" s="158">
        <v>292</v>
      </c>
      <c r="B71" s="45" t="s">
        <v>246</v>
      </c>
      <c r="C71" s="126">
        <v>1</v>
      </c>
      <c r="D71" s="127">
        <v>2.5</v>
      </c>
      <c r="E71" s="127">
        <v>3.81</v>
      </c>
      <c r="F71" s="127">
        <v>1.31</v>
      </c>
      <c r="G71" s="8" t="s">
        <v>3</v>
      </c>
      <c r="H71" s="8" t="s">
        <v>114</v>
      </c>
      <c r="I71" s="161"/>
      <c r="K71" s="50" t="str">
        <v>CARREGADOR PORTÁTIL ULTRAFINO - POWER BANK 10000mah PINENG UNIVERSAL  LINHA</v>
      </c>
      <c r="L71" s="49">
        <f>SUMIF(Tabela1[Produtos],K71,Tabela1[Quantidade])</f>
        <v>2</v>
      </c>
      <c r="M71" s="37">
        <f>SUMIF(Tabela1[Produtos],K71,Tabela1[Valor gasto])</f>
        <v>76</v>
      </c>
      <c r="N71" s="37">
        <f>SUMIF(Tabela1[Produtos],K71,Tabela1[Valor venddo])</f>
        <v>97.94</v>
      </c>
      <c r="O71" s="37">
        <f>SUMIF(Tabela1[Produtos],K71,Tabela1[Valor do lucro])</f>
        <v>21.939999999999998</v>
      </c>
      <c r="Q71" s="50"/>
      <c r="R71" s="49"/>
      <c r="S71" s="37"/>
      <c r="T71" s="37"/>
      <c r="U71" s="37"/>
    </row>
    <row r="72" spans="1:21" ht="15.75" x14ac:dyDescent="0.25">
      <c r="A72" s="158">
        <v>903</v>
      </c>
      <c r="B72" s="45" t="s">
        <v>246</v>
      </c>
      <c r="C72" s="134">
        <v>2</v>
      </c>
      <c r="D72" s="127">
        <v>10</v>
      </c>
      <c r="E72" s="135">
        <v>8.1836000000000002</v>
      </c>
      <c r="F72" s="61">
        <f>E72-D72</f>
        <v>-1.8163999999999998</v>
      </c>
      <c r="G72" s="8" t="s">
        <v>15</v>
      </c>
      <c r="H72" s="8" t="s">
        <v>114</v>
      </c>
      <c r="I72" s="161"/>
      <c r="K72" s="50" t="str">
        <v>carregador v8</v>
      </c>
      <c r="L72" s="49">
        <f>SUMIF(Tabela1[Produtos],K72,Tabela1[Quantidade])</f>
        <v>1</v>
      </c>
      <c r="M72" s="37">
        <f>SUMIF(Tabela1[Produtos],K72,Tabela1[Valor gasto])</f>
        <v>7</v>
      </c>
      <c r="N72" s="37">
        <f>SUMIF(Tabela1[Produtos],K72,Tabela1[Valor venddo])</f>
        <v>25</v>
      </c>
      <c r="O72" s="37">
        <f>SUMIF(Tabela1[Produtos],K72,Tabela1[Valor do lucro])</f>
        <v>18</v>
      </c>
      <c r="Q72" s="50"/>
      <c r="R72" s="49"/>
      <c r="S72" s="37"/>
      <c r="T72" s="37"/>
      <c r="U72" s="37"/>
    </row>
    <row r="73" spans="1:21" ht="15.75" x14ac:dyDescent="0.25">
      <c r="A73" s="158">
        <v>437</v>
      </c>
      <c r="B73" s="45" t="s">
        <v>246</v>
      </c>
      <c r="C73" s="14">
        <v>1</v>
      </c>
      <c r="D73" s="128">
        <v>5</v>
      </c>
      <c r="E73" s="61">
        <v>10.95</v>
      </c>
      <c r="F73" s="61">
        <f>E73-D73</f>
        <v>5.9499999999999993</v>
      </c>
      <c r="G73" s="8" t="s">
        <v>15</v>
      </c>
      <c r="H73" s="8" t="s">
        <v>113</v>
      </c>
      <c r="I73" s="160"/>
      <c r="K73" s="50" t="str">
        <v>Carregador v8 hms</v>
      </c>
      <c r="L73" s="49">
        <f>SUMIF(Tabela1[Produtos],K73,Tabela1[Quantidade])</f>
        <v>3</v>
      </c>
      <c r="M73" s="37">
        <f>SUMIF(Tabela1[Produtos],K73,Tabela1[Valor gasto])</f>
        <v>54</v>
      </c>
      <c r="N73" s="37">
        <f>SUMIF(Tabela1[Produtos],K73,Tabela1[Valor venddo])</f>
        <v>105</v>
      </c>
      <c r="O73" s="37">
        <f>SUMIF(Tabela1[Produtos],K73,Tabela1[Valor do lucro])</f>
        <v>51</v>
      </c>
      <c r="Q73" s="50"/>
      <c r="R73" s="49"/>
      <c r="S73" s="37"/>
      <c r="T73" s="37"/>
      <c r="U73" s="37"/>
    </row>
    <row r="74" spans="1:21" ht="15.75" x14ac:dyDescent="0.25">
      <c r="A74" s="158">
        <v>291</v>
      </c>
      <c r="B74" s="45" t="s">
        <v>217</v>
      </c>
      <c r="C74" s="126">
        <v>26</v>
      </c>
      <c r="D74" s="127">
        <v>31.2</v>
      </c>
      <c r="E74" s="127">
        <v>74.260000000000005</v>
      </c>
      <c r="F74" s="127">
        <v>43.06</v>
      </c>
      <c r="G74" s="8" t="s">
        <v>3</v>
      </c>
      <c r="H74" s="8" t="s">
        <v>114</v>
      </c>
      <c r="I74" s="161"/>
      <c r="K74" s="50" t="str">
        <v>carregador v8 simples</v>
      </c>
      <c r="L74" s="49">
        <f>SUMIF(Tabela1[Produtos],K74,Tabela1[Quantidade])</f>
        <v>3</v>
      </c>
      <c r="M74" s="37">
        <f>SUMIF(Tabela1[Produtos],K74,Tabela1[Valor gasto])</f>
        <v>15</v>
      </c>
      <c r="N74" s="37">
        <f>SUMIF(Tabela1[Produtos],K74,Tabela1[Valor venddo])</f>
        <v>40</v>
      </c>
      <c r="O74" s="37">
        <f>SUMIF(Tabela1[Produtos],K74,Tabela1[Valor do lucro])</f>
        <v>25</v>
      </c>
      <c r="Q74" s="50"/>
      <c r="R74" s="49"/>
      <c r="S74" s="37"/>
      <c r="T74" s="37"/>
      <c r="U74" s="37"/>
    </row>
    <row r="75" spans="1:21" ht="15.75" x14ac:dyDescent="0.25">
      <c r="A75" s="158">
        <v>542</v>
      </c>
      <c r="B75" s="45" t="s">
        <v>217</v>
      </c>
      <c r="C75" s="129">
        <v>22</v>
      </c>
      <c r="D75" s="61">
        <v>22</v>
      </c>
      <c r="E75" s="127">
        <v>60.71</v>
      </c>
      <c r="F75" s="61">
        <f>SUM(E75-D75)</f>
        <v>38.71</v>
      </c>
      <c r="G75" s="8" t="s">
        <v>15</v>
      </c>
      <c r="H75" s="8" t="s">
        <v>114</v>
      </c>
      <c r="I75" s="160"/>
      <c r="K75" s="50" t="str">
        <v>carregador veicular</v>
      </c>
      <c r="L75" s="49">
        <f>SUMIF(Tabela1[Produtos],K75,Tabela1[Quantidade])</f>
        <v>2</v>
      </c>
      <c r="M75" s="37">
        <f>SUMIF(Tabela1[Produtos],K75,Tabela1[Valor gasto])</f>
        <v>25</v>
      </c>
      <c r="N75" s="37">
        <f>SUMIF(Tabela1[Produtos],K75,Tabela1[Valor venddo])</f>
        <v>45</v>
      </c>
      <c r="O75" s="37">
        <f>SUMIF(Tabela1[Produtos],K75,Tabela1[Valor do lucro])</f>
        <v>20</v>
      </c>
      <c r="Q75" s="50"/>
      <c r="R75" s="49"/>
      <c r="S75" s="37"/>
      <c r="T75" s="37"/>
      <c r="U75" s="37"/>
    </row>
    <row r="76" spans="1:21" ht="15.75" x14ac:dyDescent="0.25">
      <c r="A76" s="158">
        <v>708</v>
      </c>
      <c r="B76" s="45" t="s">
        <v>217</v>
      </c>
      <c r="C76" s="17">
        <v>19</v>
      </c>
      <c r="D76" s="132">
        <f>7/5</f>
        <v>1.4</v>
      </c>
      <c r="E76" s="61">
        <v>71.37</v>
      </c>
      <c r="F76" s="61">
        <v>44.77000000000001</v>
      </c>
      <c r="G76" s="8" t="s">
        <v>15</v>
      </c>
      <c r="H76" s="8" t="s">
        <v>114</v>
      </c>
      <c r="I76" s="161"/>
      <c r="K76" s="50" t="str">
        <v xml:space="preserve">case </v>
      </c>
      <c r="L76" s="49">
        <f>SUMIF(Tabela1[Produtos],K76,Tabela1[Quantidade])</f>
        <v>1</v>
      </c>
      <c r="M76" s="37">
        <f>SUMIF(Tabela1[Produtos],K76,Tabela1[Valor gasto])</f>
        <v>20</v>
      </c>
      <c r="N76" s="37">
        <f>SUMIF(Tabela1[Produtos],K76,Tabela1[Valor venddo])</f>
        <v>50</v>
      </c>
      <c r="O76" s="37">
        <f>SUMIF(Tabela1[Produtos],K76,Tabela1[Valor do lucro])</f>
        <v>30</v>
      </c>
      <c r="Q76" s="50"/>
      <c r="R76" s="49"/>
      <c r="S76" s="37"/>
      <c r="T76" s="37"/>
      <c r="U76" s="37"/>
    </row>
    <row r="77" spans="1:21" ht="15.75" x14ac:dyDescent="0.25">
      <c r="A77" s="158">
        <v>825</v>
      </c>
      <c r="B77" s="45" t="s">
        <v>217</v>
      </c>
      <c r="C77" s="126">
        <v>2</v>
      </c>
      <c r="D77" s="127">
        <v>2.8</v>
      </c>
      <c r="E77" s="133">
        <v>29.57</v>
      </c>
      <c r="F77" s="127">
        <v>26.77</v>
      </c>
      <c r="G77" s="8" t="s">
        <v>15</v>
      </c>
      <c r="H77" s="8" t="s">
        <v>114</v>
      </c>
      <c r="I77" s="161"/>
      <c r="K77" s="50" t="str">
        <v xml:space="preserve">case HD </v>
      </c>
      <c r="L77" s="49">
        <f>SUMIF(Tabela1[Produtos],K77,Tabela1[Quantidade])</f>
        <v>1</v>
      </c>
      <c r="M77" s="37">
        <f>SUMIF(Tabela1[Produtos],K77,Tabela1[Valor gasto])</f>
        <v>30</v>
      </c>
      <c r="N77" s="37">
        <f>SUMIF(Tabela1[Produtos],K77,Tabela1[Valor venddo])</f>
        <v>50</v>
      </c>
      <c r="O77" s="37">
        <f>SUMIF(Tabela1[Produtos],K77,Tabela1[Valor do lucro])</f>
        <v>20</v>
      </c>
      <c r="Q77" s="50"/>
      <c r="R77" s="49"/>
      <c r="S77" s="37"/>
      <c r="T77" s="37"/>
      <c r="U77" s="37"/>
    </row>
    <row r="78" spans="1:21" ht="15.75" x14ac:dyDescent="0.25">
      <c r="A78" s="158">
        <v>904</v>
      </c>
      <c r="B78" s="45" t="s">
        <v>217</v>
      </c>
      <c r="C78" s="134">
        <v>1</v>
      </c>
      <c r="D78" s="127">
        <v>1.4</v>
      </c>
      <c r="E78" s="135">
        <v>4.9118000000000004</v>
      </c>
      <c r="F78" s="61">
        <f>E78-D78</f>
        <v>3.5118000000000005</v>
      </c>
      <c r="G78" s="8" t="s">
        <v>15</v>
      </c>
      <c r="H78" s="8" t="s">
        <v>114</v>
      </c>
      <c r="I78" s="161"/>
      <c r="K78" s="50" t="str">
        <v>Chapéu Australiano Pesca Caminhada Camping Proteção Nuca Sol</v>
      </c>
      <c r="L78" s="49">
        <f>SUMIF(Tabela1[Produtos],K78,Tabela1[Quantidade])</f>
        <v>2</v>
      </c>
      <c r="M78" s="37">
        <f>SUMIF(Tabela1[Produtos],K78,Tabela1[Valor gasto])</f>
        <v>16</v>
      </c>
      <c r="N78" s="37">
        <f>SUMIF(Tabela1[Produtos],K78,Tabela1[Valor venddo])</f>
        <v>30.71</v>
      </c>
      <c r="O78" s="37">
        <f>SUMIF(Tabela1[Produtos],K78,Tabela1[Valor do lucro])</f>
        <v>14.709999999999999</v>
      </c>
      <c r="Q78" s="50"/>
      <c r="R78" s="49"/>
      <c r="S78" s="37"/>
      <c r="T78" s="37"/>
      <c r="U78" s="37"/>
    </row>
    <row r="79" spans="1:21" ht="15.75" x14ac:dyDescent="0.25">
      <c r="A79" s="158">
        <v>345</v>
      </c>
      <c r="B79" s="45" t="s">
        <v>217</v>
      </c>
      <c r="C79" s="14">
        <v>1</v>
      </c>
      <c r="D79" s="61">
        <v>84</v>
      </c>
      <c r="E79" s="61">
        <v>226.54</v>
      </c>
      <c r="F79" s="61">
        <f>E79-D79</f>
        <v>142.54</v>
      </c>
      <c r="G79" s="8" t="s">
        <v>15</v>
      </c>
      <c r="H79" s="8" t="s">
        <v>113</v>
      </c>
      <c r="I79" s="160"/>
      <c r="K79" s="50" t="str">
        <v>Chapéu Palha Cerveja - Time - Pierside</v>
      </c>
      <c r="L79" s="49">
        <f>SUMIF(Tabela1[Produtos],K79,Tabela1[Quantidade])</f>
        <v>4</v>
      </c>
      <c r="M79" s="37">
        <f>SUMIF(Tabela1[Produtos],K79,Tabela1[Valor gasto])</f>
        <v>94</v>
      </c>
      <c r="N79" s="37">
        <f>SUMIF(Tabela1[Produtos],K79,Tabela1[Valor venddo])</f>
        <v>210.51</v>
      </c>
      <c r="O79" s="37">
        <f>SUMIF(Tabela1[Produtos],K79,Tabela1[Valor do lucro])</f>
        <v>116.51</v>
      </c>
      <c r="Q79" s="50"/>
      <c r="R79" s="49"/>
      <c r="S79" s="37"/>
      <c r="T79" s="37"/>
      <c r="U79" s="37"/>
    </row>
    <row r="80" spans="1:21" ht="15.75" x14ac:dyDescent="0.25">
      <c r="A80" s="158">
        <v>438</v>
      </c>
      <c r="B80" s="45" t="s">
        <v>217</v>
      </c>
      <c r="C80" s="14">
        <v>1</v>
      </c>
      <c r="D80" s="128">
        <v>100.10000000000001</v>
      </c>
      <c r="E80" s="61">
        <v>201.82</v>
      </c>
      <c r="F80" s="61">
        <f>E80-D80</f>
        <v>101.71999999999998</v>
      </c>
      <c r="G80" s="8" t="s">
        <v>15</v>
      </c>
      <c r="H80" s="8" t="s">
        <v>113</v>
      </c>
      <c r="I80" s="160"/>
      <c r="K80" s="50" t="str">
        <v>Chave para Mandril HT S02 - 13 MM P/MANDRIL 10 MM - 3/8</v>
      </c>
      <c r="L80" s="49">
        <f>SUMIF(Tabela1[Produtos],K80,Tabela1[Quantidade])</f>
        <v>7</v>
      </c>
      <c r="M80" s="37">
        <f>SUMIF(Tabela1[Produtos],K80,Tabela1[Valor gasto])</f>
        <v>21</v>
      </c>
      <c r="N80" s="37">
        <f>SUMIF(Tabela1[Produtos],K80,Tabela1[Valor venddo])</f>
        <v>42.823399999999999</v>
      </c>
      <c r="O80" s="37">
        <f>SUMIF(Tabela1[Produtos],K80,Tabela1[Valor do lucro])</f>
        <v>21.823399999999999</v>
      </c>
      <c r="Q80" s="50"/>
      <c r="R80" s="49"/>
      <c r="S80" s="37"/>
      <c r="T80" s="37"/>
      <c r="U80" s="37"/>
    </row>
    <row r="81" spans="1:21" ht="15.75" x14ac:dyDescent="0.25">
      <c r="A81" s="158">
        <v>591</v>
      </c>
      <c r="B81" s="45" t="s">
        <v>217</v>
      </c>
      <c r="C81" s="14">
        <v>1</v>
      </c>
      <c r="D81" s="127">
        <v>19.2</v>
      </c>
      <c r="E81" s="127">
        <v>40.42</v>
      </c>
      <c r="F81" s="61">
        <f>E81-D81</f>
        <v>21.220000000000002</v>
      </c>
      <c r="G81" s="8" t="s">
        <v>15</v>
      </c>
      <c r="H81" s="8" t="s">
        <v>113</v>
      </c>
      <c r="I81" s="161"/>
      <c r="K81" s="50" t="str">
        <v>Chave tok/alen</v>
      </c>
      <c r="L81" s="49">
        <f>SUMIF(Tabela1[Produtos],K81,Tabela1[Quantidade])</f>
        <v>1</v>
      </c>
      <c r="M81" s="37">
        <f>SUMIF(Tabela1[Produtos],K81,Tabela1[Valor gasto])</f>
        <v>13.5</v>
      </c>
      <c r="N81" s="37">
        <f>SUMIF(Tabela1[Produtos],K81,Tabela1[Valor venddo])</f>
        <v>20</v>
      </c>
      <c r="O81" s="37">
        <f>SUMIF(Tabela1[Produtos],K81,Tabela1[Valor do lucro])</f>
        <v>6.5</v>
      </c>
      <c r="Q81" s="50"/>
      <c r="R81" s="49"/>
      <c r="S81" s="37"/>
      <c r="T81" s="37"/>
      <c r="U81" s="37"/>
    </row>
    <row r="82" spans="1:21" ht="15.75" x14ac:dyDescent="0.25">
      <c r="A82" s="158">
        <v>543</v>
      </c>
      <c r="B82" s="45" t="s">
        <v>181</v>
      </c>
      <c r="C82" s="129">
        <v>73</v>
      </c>
      <c r="D82" s="61">
        <v>43.8</v>
      </c>
      <c r="E82" s="127">
        <v>233.24</v>
      </c>
      <c r="F82" s="61">
        <f>SUM(E82-D82)</f>
        <v>189.44</v>
      </c>
      <c r="G82" s="8" t="s">
        <v>15</v>
      </c>
      <c r="H82" s="8" t="s">
        <v>114</v>
      </c>
      <c r="I82" s="160"/>
      <c r="K82" s="50" t="str">
        <v>chave universal</v>
      </c>
      <c r="L82" s="49">
        <f>SUMIF(Tabela1[Produtos],K82,Tabela1[Quantidade])</f>
        <v>2</v>
      </c>
      <c r="M82" s="37">
        <f>SUMIF(Tabela1[Produtos],K82,Tabela1[Valor gasto])</f>
        <v>48</v>
      </c>
      <c r="N82" s="37">
        <f>SUMIF(Tabela1[Produtos],K82,Tabela1[Valor venddo])</f>
        <v>100</v>
      </c>
      <c r="O82" s="37">
        <f>SUMIF(Tabela1[Produtos],K82,Tabela1[Valor do lucro])</f>
        <v>52</v>
      </c>
      <c r="Q82" s="50"/>
      <c r="R82" s="49"/>
      <c r="S82" s="37"/>
      <c r="T82" s="37"/>
      <c r="U82" s="37"/>
    </row>
    <row r="83" spans="1:21" ht="15.75" x14ac:dyDescent="0.25">
      <c r="A83" s="158">
        <v>293</v>
      </c>
      <c r="B83" s="45" t="s">
        <v>181</v>
      </c>
      <c r="C83" s="126">
        <v>10</v>
      </c>
      <c r="D83" s="127">
        <v>6</v>
      </c>
      <c r="E83" s="127">
        <v>28.3</v>
      </c>
      <c r="F83" s="127">
        <v>22.3</v>
      </c>
      <c r="G83" s="8" t="s">
        <v>3</v>
      </c>
      <c r="H83" s="8" t="s">
        <v>114</v>
      </c>
      <c r="I83" s="161"/>
      <c r="K83" s="50" t="str">
        <v>chinela</v>
      </c>
      <c r="L83" s="49">
        <f>SUMIF(Tabela1[Produtos],K83,Tabela1[Quantidade])</f>
        <v>1</v>
      </c>
      <c r="M83" s="37">
        <f>SUMIF(Tabela1[Produtos],K83,Tabela1[Valor gasto])</f>
        <v>20</v>
      </c>
      <c r="N83" s="37">
        <f>SUMIF(Tabela1[Produtos],K83,Tabela1[Valor venddo])</f>
        <v>40</v>
      </c>
      <c r="O83" s="37">
        <f>SUMIF(Tabela1[Produtos],K83,Tabela1[Valor do lucro])</f>
        <v>20</v>
      </c>
      <c r="Q83" s="50"/>
      <c r="R83" s="49"/>
      <c r="S83" s="37"/>
      <c r="T83" s="37"/>
      <c r="U83" s="37"/>
    </row>
    <row r="84" spans="1:21" ht="15.75" x14ac:dyDescent="0.25">
      <c r="A84" s="158">
        <v>759</v>
      </c>
      <c r="B84" s="45" t="s">
        <v>181</v>
      </c>
      <c r="C84" s="126">
        <v>6</v>
      </c>
      <c r="D84" s="127">
        <v>4.1999999999999993</v>
      </c>
      <c r="E84" s="127">
        <v>6.56</v>
      </c>
      <c r="F84" s="127">
        <v>2.3600000000000003</v>
      </c>
      <c r="G84" s="8" t="s">
        <v>15</v>
      </c>
      <c r="H84" s="8" t="s">
        <v>114</v>
      </c>
      <c r="I84" s="161"/>
      <c r="K84" s="50" t="str">
        <v>Climatizador</v>
      </c>
      <c r="L84" s="49">
        <f>SUMIF(Tabela1[Produtos],K84,Tabela1[Quantidade])</f>
        <v>9</v>
      </c>
      <c r="M84" s="37">
        <f>SUMIF(Tabela1[Produtos],K84,Tabela1[Valor gasto])</f>
        <v>543</v>
      </c>
      <c r="N84" s="37">
        <f>SUMIF(Tabela1[Produtos],K84,Tabela1[Valor venddo])</f>
        <v>1170</v>
      </c>
      <c r="O84" s="37">
        <f>SUMIF(Tabela1[Produtos],K84,Tabela1[Valor do lucro])</f>
        <v>627</v>
      </c>
      <c r="Q84" s="50"/>
      <c r="R84" s="49"/>
      <c r="S84" s="37"/>
      <c r="T84" s="37"/>
      <c r="U84" s="37"/>
    </row>
    <row r="85" spans="1:21" ht="15.75" x14ac:dyDescent="0.25">
      <c r="A85" s="158">
        <v>692</v>
      </c>
      <c r="B85" s="45" t="s">
        <v>181</v>
      </c>
      <c r="C85" s="17">
        <v>4</v>
      </c>
      <c r="D85" s="132">
        <f>3.5/5</f>
        <v>0.7</v>
      </c>
      <c r="E85" s="61">
        <v>9.2200000000000006</v>
      </c>
      <c r="F85" s="61">
        <v>6.4200000000000008</v>
      </c>
      <c r="G85" s="8" t="s">
        <v>15</v>
      </c>
      <c r="H85" s="8" t="s">
        <v>114</v>
      </c>
      <c r="I85" s="161"/>
      <c r="K85" s="50" t="str">
        <v>Conjunto de chave de fenda de precisão de 6 peça</v>
      </c>
      <c r="L85" s="49">
        <f>SUMIF(Tabela1[Produtos],K85,Tabela1[Quantidade])</f>
        <v>3</v>
      </c>
      <c r="M85" s="37">
        <f>SUMIF(Tabela1[Produtos],K85,Tabela1[Valor gasto])</f>
        <v>12</v>
      </c>
      <c r="N85" s="37">
        <f>SUMIF(Tabela1[Produtos],K85,Tabela1[Valor venddo])</f>
        <v>24.51</v>
      </c>
      <c r="O85" s="37">
        <f>SUMIF(Tabela1[Produtos],K85,Tabela1[Valor do lucro])</f>
        <v>12.510000000000002</v>
      </c>
      <c r="Q85" s="45"/>
      <c r="R85" s="49"/>
      <c r="S85" s="37"/>
      <c r="T85" s="37"/>
      <c r="U85" s="37"/>
    </row>
    <row r="86" spans="1:21" ht="15.75" x14ac:dyDescent="0.25">
      <c r="A86" s="158">
        <v>265</v>
      </c>
      <c r="B86" s="45" t="s">
        <v>181</v>
      </c>
      <c r="C86" s="17">
        <v>3</v>
      </c>
      <c r="D86" s="58">
        <v>0.83333333333333337</v>
      </c>
      <c r="E86" s="58">
        <v>2.5</v>
      </c>
      <c r="F86" s="58">
        <v>6.4700000000000006</v>
      </c>
      <c r="G86" s="8" t="s">
        <v>15</v>
      </c>
      <c r="H86" s="57" t="s">
        <v>114</v>
      </c>
      <c r="I86" s="161"/>
      <c r="K86" s="50" t="str">
        <v>Controlador de dedo de jogo de telefone móvel antiderrapante respirável</v>
      </c>
      <c r="L86" s="49">
        <f>SUMIF(Tabela1[Produtos],K86,Tabela1[Quantidade])</f>
        <v>9</v>
      </c>
      <c r="M86" s="37">
        <f>SUMIF(Tabela1[Produtos],K86,Tabela1[Valor gasto])</f>
        <v>16</v>
      </c>
      <c r="N86" s="37">
        <f>SUMIF(Tabela1[Produtos],K86,Tabela1[Valor venddo])</f>
        <v>70.31</v>
      </c>
      <c r="O86" s="37">
        <f>SUMIF(Tabela1[Produtos],K86,Tabela1[Valor do lucro])</f>
        <v>76.31</v>
      </c>
      <c r="Q86" s="50"/>
      <c r="R86" s="49"/>
      <c r="S86" s="37"/>
      <c r="T86" s="37"/>
      <c r="U86" s="37"/>
    </row>
    <row r="87" spans="1:21" ht="15.75" x14ac:dyDescent="0.25">
      <c r="A87" s="158">
        <v>905</v>
      </c>
      <c r="B87" s="45" t="s">
        <v>181</v>
      </c>
      <c r="C87" s="134">
        <v>3</v>
      </c>
      <c r="D87" s="127">
        <v>2.0999999999999996</v>
      </c>
      <c r="E87" s="135">
        <v>2.1238000000000001</v>
      </c>
      <c r="F87" s="61">
        <f>E87-D87</f>
        <v>2.3800000000000487E-2</v>
      </c>
      <c r="G87" s="8" t="s">
        <v>15</v>
      </c>
      <c r="H87" s="8" t="s">
        <v>114</v>
      </c>
      <c r="I87" s="161"/>
      <c r="K87" s="50" t="str">
        <v>Controle Para Celular Pubg Free Fire + Manete Gamepad</v>
      </c>
      <c r="L87" s="49">
        <f>SUMIF(Tabela1[Produtos],K87,Tabela1[Quantidade])</f>
        <v>1</v>
      </c>
      <c r="M87" s="37">
        <f>SUMIF(Tabela1[Produtos],K87,Tabela1[Valor gasto])</f>
        <v>15</v>
      </c>
      <c r="N87" s="37">
        <f>SUMIF(Tabela1[Produtos],K87,Tabela1[Valor venddo])</f>
        <v>37.269000000000005</v>
      </c>
      <c r="O87" s="37">
        <f>SUMIF(Tabela1[Produtos],K87,Tabela1[Valor do lucro])</f>
        <v>22.269000000000005</v>
      </c>
      <c r="Q87" s="50"/>
      <c r="R87" s="49"/>
      <c r="S87" s="37"/>
      <c r="T87" s="37"/>
      <c r="U87" s="37"/>
    </row>
    <row r="88" spans="1:21" ht="15.75" x14ac:dyDescent="0.25">
      <c r="A88" s="158">
        <v>346</v>
      </c>
      <c r="B88" s="45" t="s">
        <v>181</v>
      </c>
      <c r="C88" s="14">
        <v>1</v>
      </c>
      <c r="D88" s="61">
        <v>2</v>
      </c>
      <c r="E88" s="61">
        <v>7.8</v>
      </c>
      <c r="F88" s="61">
        <f>E88-D88</f>
        <v>5.8</v>
      </c>
      <c r="G88" s="8" t="s">
        <v>15</v>
      </c>
      <c r="H88" s="8" t="s">
        <v>113</v>
      </c>
      <c r="I88" s="160"/>
      <c r="K88" s="50" t="str">
        <v>Controle Remoto Celular Android E iPhone Bluetooth Shutter</v>
      </c>
      <c r="L88" s="49">
        <f>SUMIF(Tabela1[Produtos],K88,Tabela1[Quantidade])</f>
        <v>6</v>
      </c>
      <c r="M88" s="37">
        <f>SUMIF(Tabela1[Produtos],K88,Tabela1[Valor gasto])</f>
        <v>66</v>
      </c>
      <c r="N88" s="37">
        <f>SUMIF(Tabela1[Produtos],K88,Tabela1[Valor venddo])</f>
        <v>146.68</v>
      </c>
      <c r="O88" s="37">
        <f>SUMIF(Tabela1[Produtos],K88,Tabela1[Valor do lucro])</f>
        <v>80.679999999999993</v>
      </c>
      <c r="Q88" s="50"/>
      <c r="R88" s="49"/>
      <c r="S88" s="37"/>
      <c r="T88" s="37"/>
      <c r="U88" s="37"/>
    </row>
    <row r="89" spans="1:21" ht="15.75" x14ac:dyDescent="0.25">
      <c r="A89" s="158">
        <v>439</v>
      </c>
      <c r="B89" s="45" t="s">
        <v>181</v>
      </c>
      <c r="C89" s="14">
        <v>1</v>
      </c>
      <c r="D89" s="128">
        <v>7</v>
      </c>
      <c r="E89" s="61">
        <v>14.96</v>
      </c>
      <c r="F89" s="61">
        <f>E89-D89</f>
        <v>7.9600000000000009</v>
      </c>
      <c r="G89" s="8" t="s">
        <v>15</v>
      </c>
      <c r="H89" s="8" t="s">
        <v>113</v>
      </c>
      <c r="I89" s="160"/>
      <c r="K89" s="50" t="str">
        <v>Controle Remoto Celular Android E iPhone Bluetooth Shutter --- 20 und</v>
      </c>
      <c r="L89" s="49">
        <f>SUMIF(Tabela1[Produtos],K89,Tabela1[Quantidade])</f>
        <v>40</v>
      </c>
      <c r="M89" s="37">
        <f>SUMIF(Tabela1[Produtos],K89,Tabela1[Valor gasto])</f>
        <v>6</v>
      </c>
      <c r="N89" s="37">
        <f>SUMIF(Tabela1[Produtos],K89,Tabela1[Valor venddo])</f>
        <v>240</v>
      </c>
      <c r="O89" s="37">
        <f>SUMIF(Tabela1[Produtos],K89,Tabela1[Valor do lucro])</f>
        <v>154.57</v>
      </c>
      <c r="Q89" s="50"/>
      <c r="R89" s="49"/>
      <c r="S89" s="37"/>
      <c r="T89" s="37"/>
      <c r="U89" s="37"/>
    </row>
    <row r="90" spans="1:21" ht="15.75" x14ac:dyDescent="0.25">
      <c r="A90" s="158">
        <v>592</v>
      </c>
      <c r="B90" s="45" t="s">
        <v>181</v>
      </c>
      <c r="C90" s="14">
        <v>1</v>
      </c>
      <c r="D90" s="127">
        <v>1.4</v>
      </c>
      <c r="E90" s="127">
        <v>4.4800000000000004</v>
      </c>
      <c r="F90" s="61">
        <f>E90-D90</f>
        <v>3.0800000000000005</v>
      </c>
      <c r="G90" s="8" t="s">
        <v>15</v>
      </c>
      <c r="H90" s="8" t="s">
        <v>113</v>
      </c>
      <c r="I90" s="161"/>
      <c r="K90" s="50" t="str">
        <v>controle tv box</v>
      </c>
      <c r="L90" s="49">
        <f>SUMIF(Tabela1[Produtos],K90,Tabela1[Quantidade])</f>
        <v>2</v>
      </c>
      <c r="M90" s="37">
        <f>SUMIF(Tabela1[Produtos],K90,Tabela1[Valor gasto])</f>
        <v>20</v>
      </c>
      <c r="N90" s="37">
        <f>SUMIF(Tabela1[Produtos],K90,Tabela1[Valor venddo])</f>
        <v>40</v>
      </c>
      <c r="O90" s="37">
        <f>SUMIF(Tabela1[Produtos],K90,Tabela1[Valor do lucro])</f>
        <v>20</v>
      </c>
      <c r="Q90" s="50"/>
      <c r="R90" s="49"/>
      <c r="S90" s="37"/>
      <c r="T90" s="37"/>
      <c r="U90" s="37"/>
    </row>
    <row r="91" spans="1:21" ht="15.75" x14ac:dyDescent="0.25">
      <c r="A91" s="158">
        <v>717</v>
      </c>
      <c r="B91" s="45" t="s">
        <v>73</v>
      </c>
      <c r="C91" s="17">
        <v>221</v>
      </c>
      <c r="D91" s="132">
        <f>4.5/5</f>
        <v>0.9</v>
      </c>
      <c r="E91" s="61">
        <v>533.65</v>
      </c>
      <c r="F91" s="61">
        <v>334.75</v>
      </c>
      <c r="G91" s="8" t="s">
        <v>15</v>
      </c>
      <c r="H91" s="8" t="s">
        <v>114</v>
      </c>
      <c r="I91" s="161"/>
      <c r="K91" s="50" t="str">
        <v>Conversor Digital Terrestre DIG-7020</v>
      </c>
      <c r="L91" s="49">
        <f>SUMIF(Tabela1[Produtos],K91,Tabela1[Quantidade])</f>
        <v>1</v>
      </c>
      <c r="M91" s="37">
        <f>SUMIF(Tabela1[Produtos],K91,Tabela1[Valor gasto])</f>
        <v>90</v>
      </c>
      <c r="N91" s="37">
        <f>SUMIF(Tabela1[Produtos],K91,Tabela1[Valor venddo])</f>
        <v>123</v>
      </c>
      <c r="O91" s="37">
        <f>SUMIF(Tabela1[Produtos],K91,Tabela1[Valor do lucro])</f>
        <v>33</v>
      </c>
      <c r="Q91" s="50"/>
      <c r="R91" s="49"/>
      <c r="S91" s="37"/>
      <c r="T91" s="37"/>
      <c r="U91" s="37"/>
    </row>
    <row r="92" spans="1:21" ht="15.75" x14ac:dyDescent="0.25">
      <c r="A92" s="158">
        <v>111</v>
      </c>
      <c r="B92" s="45" t="s">
        <v>73</v>
      </c>
      <c r="C92" s="17">
        <v>113</v>
      </c>
      <c r="D92" s="58">
        <v>113</v>
      </c>
      <c r="E92" s="58">
        <v>269.88</v>
      </c>
      <c r="F92" s="58">
        <v>156.88</v>
      </c>
      <c r="G92" s="8" t="s">
        <v>15</v>
      </c>
      <c r="H92" s="57" t="s">
        <v>6</v>
      </c>
      <c r="I92" s="159"/>
      <c r="K92" s="50" t="str">
        <v>Cooler Fan Rgb Master Led Fc1302 120x120mm</v>
      </c>
      <c r="L92" s="49">
        <f>SUMIF(Tabela1[Produtos],K92,Tabela1[Quantidade])</f>
        <v>3</v>
      </c>
      <c r="M92" s="37">
        <f>SUMIF(Tabela1[Produtos],K92,Tabela1[Valor gasto])</f>
        <v>190</v>
      </c>
      <c r="N92" s="37">
        <f>SUMIF(Tabela1[Produtos],K92,Tabela1[Valor venddo])</f>
        <v>310.58</v>
      </c>
      <c r="O92" s="37">
        <f>SUMIF(Tabela1[Produtos],K92,Tabela1[Valor do lucro])</f>
        <v>120.58000000000001</v>
      </c>
      <c r="Q92" s="45"/>
      <c r="R92" s="49"/>
      <c r="S92" s="37"/>
      <c r="T92" s="37"/>
      <c r="U92" s="37"/>
    </row>
    <row r="93" spans="1:21" ht="15.75" x14ac:dyDescent="0.25">
      <c r="A93" s="158">
        <v>826</v>
      </c>
      <c r="B93" s="45" t="s">
        <v>73</v>
      </c>
      <c r="C93" s="126">
        <v>71</v>
      </c>
      <c r="D93" s="127">
        <v>71</v>
      </c>
      <c r="E93" s="133">
        <v>186.92</v>
      </c>
      <c r="F93" s="127">
        <v>115.91999999999999</v>
      </c>
      <c r="G93" s="8" t="s">
        <v>15</v>
      </c>
      <c r="H93" s="8" t="s">
        <v>114</v>
      </c>
      <c r="I93" s="161"/>
      <c r="K93" s="50" t="str">
        <v>copo rico</v>
      </c>
      <c r="L93" s="49">
        <f>SUMIF(Tabela1[Produtos],K93,Tabela1[Quantidade])</f>
        <v>2</v>
      </c>
      <c r="M93" s="37">
        <f>SUMIF(Tabela1[Produtos],K93,Tabela1[Valor gasto])</f>
        <v>220</v>
      </c>
      <c r="N93" s="37">
        <f>SUMIF(Tabela1[Produtos],K93,Tabela1[Valor venddo])</f>
        <v>300</v>
      </c>
      <c r="O93" s="37">
        <f>SUMIF(Tabela1[Produtos],K93,Tabela1[Valor do lucro])</f>
        <v>80</v>
      </c>
      <c r="Q93" s="50"/>
      <c r="R93" s="49"/>
      <c r="S93" s="37"/>
      <c r="T93" s="37"/>
      <c r="U93" s="37"/>
    </row>
    <row r="94" spans="1:21" ht="15.75" x14ac:dyDescent="0.25">
      <c r="A94" s="158">
        <v>264</v>
      </c>
      <c r="B94" s="45" t="s">
        <v>73</v>
      </c>
      <c r="C94" s="17">
        <v>21</v>
      </c>
      <c r="D94" s="58">
        <v>1</v>
      </c>
      <c r="E94" s="58">
        <v>21</v>
      </c>
      <c r="F94" s="58">
        <v>41.92</v>
      </c>
      <c r="G94" s="8" t="s">
        <v>15</v>
      </c>
      <c r="H94" s="57" t="s">
        <v>114</v>
      </c>
      <c r="I94" s="161"/>
      <c r="K94" s="50" t="str">
        <v>Corrente bike</v>
      </c>
      <c r="L94" s="49">
        <f>SUMIF(Tabela1[Produtos],K94,Tabela1[Quantidade])</f>
        <v>8</v>
      </c>
      <c r="M94" s="37">
        <f>SUMIF(Tabela1[Produtos],K94,Tabela1[Valor gasto])</f>
        <v>235</v>
      </c>
      <c r="N94" s="37">
        <f>SUMIF(Tabela1[Produtos],K94,Tabela1[Valor venddo])</f>
        <v>450</v>
      </c>
      <c r="O94" s="37">
        <f>SUMIF(Tabela1[Produtos],K94,Tabela1[Valor do lucro])</f>
        <v>215</v>
      </c>
      <c r="Q94" s="45"/>
      <c r="R94" s="49"/>
      <c r="S94" s="37"/>
      <c r="T94" s="37"/>
      <c r="U94" s="37"/>
    </row>
    <row r="95" spans="1:21" ht="15.75" x14ac:dyDescent="0.25">
      <c r="A95" s="158">
        <v>906</v>
      </c>
      <c r="B95" s="45" t="s">
        <v>73</v>
      </c>
      <c r="C95" s="134">
        <v>11</v>
      </c>
      <c r="D95" s="127">
        <v>11</v>
      </c>
      <c r="E95" s="135">
        <v>19.089600000000001</v>
      </c>
      <c r="F95" s="61">
        <f>E95-D95</f>
        <v>8.0896000000000008</v>
      </c>
      <c r="G95" s="8" t="s">
        <v>15</v>
      </c>
      <c r="H95" s="8" t="s">
        <v>114</v>
      </c>
      <c r="I95" s="161"/>
      <c r="K95" s="50" t="str">
        <v>cortador de vidro</v>
      </c>
      <c r="L95" s="49">
        <f>SUMIF(Tabela1[Produtos],K95,Tabela1[Quantidade])</f>
        <v>1</v>
      </c>
      <c r="M95" s="37">
        <f>SUMIF(Tabela1[Produtos],K95,Tabela1[Valor gasto])</f>
        <v>10</v>
      </c>
      <c r="N95" s="37">
        <f>SUMIF(Tabela1[Produtos],K95,Tabela1[Valor venddo])</f>
        <v>20</v>
      </c>
      <c r="O95" s="37">
        <f>SUMIF(Tabela1[Produtos],K95,Tabela1[Valor do lucro])</f>
        <v>10</v>
      </c>
      <c r="Q95" s="50"/>
      <c r="R95" s="49"/>
      <c r="S95" s="37"/>
      <c r="T95" s="37"/>
      <c r="U95" s="37"/>
    </row>
    <row r="96" spans="1:21" ht="15.75" x14ac:dyDescent="0.25">
      <c r="A96" s="158">
        <v>760</v>
      </c>
      <c r="B96" s="45" t="s">
        <v>73</v>
      </c>
      <c r="C96" s="126">
        <v>6</v>
      </c>
      <c r="D96" s="127">
        <v>4.1999999999999993</v>
      </c>
      <c r="E96" s="127">
        <v>13.63</v>
      </c>
      <c r="F96" s="127">
        <v>9.4300000000000015</v>
      </c>
      <c r="G96" s="8" t="s">
        <v>15</v>
      </c>
      <c r="H96" s="8" t="s">
        <v>114</v>
      </c>
      <c r="I96" s="161"/>
      <c r="K96" s="50" t="str">
        <v xml:space="preserve">despertador </v>
      </c>
      <c r="L96" s="49">
        <f>SUMIF(Tabela1[Produtos],K96,Tabela1[Quantidade])</f>
        <v>1</v>
      </c>
      <c r="M96" s="37">
        <f>SUMIF(Tabela1[Produtos],K96,Tabela1[Valor gasto])</f>
        <v>12</v>
      </c>
      <c r="N96" s="37">
        <f>SUMIF(Tabela1[Produtos],K96,Tabela1[Valor venddo])</f>
        <v>50</v>
      </c>
      <c r="O96" s="37">
        <f>SUMIF(Tabela1[Produtos],K96,Tabela1[Valor do lucro])</f>
        <v>38</v>
      </c>
      <c r="Q96" s="50"/>
      <c r="R96" s="49"/>
      <c r="S96" s="37"/>
      <c r="T96" s="37"/>
      <c r="U96" s="37"/>
    </row>
    <row r="97" spans="1:21" ht="15.75" x14ac:dyDescent="0.25">
      <c r="A97" s="158">
        <v>294</v>
      </c>
      <c r="B97" s="45" t="s">
        <v>73</v>
      </c>
      <c r="C97" s="126">
        <v>4</v>
      </c>
      <c r="D97" s="127">
        <v>4</v>
      </c>
      <c r="E97" s="127">
        <v>10.8</v>
      </c>
      <c r="F97" s="127">
        <v>6.8000000000000007</v>
      </c>
      <c r="G97" s="8" t="s">
        <v>3</v>
      </c>
      <c r="H97" s="8" t="s">
        <v>114</v>
      </c>
      <c r="I97" s="161"/>
      <c r="K97" s="50" t="str">
        <v>Digital plataforma de pesagem balança eletrônica Digital jóias escalas</v>
      </c>
      <c r="L97" s="49">
        <f>SUMIF(Tabela1[Produtos],K97,Tabela1[Quantidade])</f>
        <v>2</v>
      </c>
      <c r="M97" s="37">
        <f>SUMIF(Tabela1[Produtos],K97,Tabela1[Valor gasto])</f>
        <v>53</v>
      </c>
      <c r="N97" s="37">
        <f>SUMIF(Tabela1[Produtos],K97,Tabela1[Valor venddo])</f>
        <v>90.61</v>
      </c>
      <c r="O97" s="37">
        <f>SUMIF(Tabela1[Produtos],K97,Tabela1[Valor do lucro])</f>
        <v>37.61</v>
      </c>
      <c r="Q97" s="50"/>
      <c r="R97" s="49"/>
      <c r="S97" s="37"/>
      <c r="T97" s="37"/>
      <c r="U97" s="37"/>
    </row>
    <row r="98" spans="1:21" ht="15.75" x14ac:dyDescent="0.25">
      <c r="A98" s="158">
        <v>40</v>
      </c>
      <c r="B98" s="45" t="s">
        <v>73</v>
      </c>
      <c r="C98" s="14">
        <v>1</v>
      </c>
      <c r="D98" s="61">
        <f>E98-F98</f>
        <v>37</v>
      </c>
      <c r="E98" s="58">
        <v>79.569999999999993</v>
      </c>
      <c r="F98" s="61">
        <v>42.569999999999993</v>
      </c>
      <c r="G98" s="8" t="s">
        <v>15</v>
      </c>
      <c r="H98" s="57" t="s">
        <v>6</v>
      </c>
      <c r="I98" s="159"/>
      <c r="K98" s="50" t="str">
        <v>Eken-câmera de ação original h9/h9r remota + SD 128gb - PRETO</v>
      </c>
      <c r="L98" s="49">
        <f>SUMIF(Tabela1[Produtos],K98,Tabela1[Quantidade])</f>
        <v>1</v>
      </c>
      <c r="M98" s="37">
        <f>SUMIF(Tabela1[Produtos],K98,Tabela1[Valor gasto])</f>
        <v>260</v>
      </c>
      <c r="N98" s="37">
        <f>SUMIF(Tabela1[Produtos],K98,Tabela1[Valor venddo])</f>
        <v>480.17</v>
      </c>
      <c r="O98" s="37">
        <f>SUMIF(Tabela1[Produtos],K98,Tabela1[Valor do lucro])</f>
        <v>220.17000000000002</v>
      </c>
      <c r="Q98" s="50"/>
      <c r="R98" s="49"/>
      <c r="S98" s="37"/>
      <c r="T98" s="37"/>
      <c r="U98" s="37"/>
    </row>
    <row r="99" spans="1:21" ht="15.75" x14ac:dyDescent="0.25">
      <c r="A99" s="158">
        <v>347</v>
      </c>
      <c r="B99" s="45" t="s">
        <v>73</v>
      </c>
      <c r="C99" s="14">
        <v>1</v>
      </c>
      <c r="D99" s="61">
        <v>25</v>
      </c>
      <c r="E99" s="61">
        <v>58.27</v>
      </c>
      <c r="F99" s="61">
        <f>E99-D99</f>
        <v>33.270000000000003</v>
      </c>
      <c r="G99" s="8" t="s">
        <v>15</v>
      </c>
      <c r="H99" s="8" t="s">
        <v>113</v>
      </c>
      <c r="I99" s="160"/>
      <c r="K99" s="50" t="str">
        <v>ESPELHO RETROVISOR PARA BIKE</v>
      </c>
      <c r="L99" s="49">
        <f>SUMIF(Tabela1[Produtos],K99,Tabela1[Quantidade])</f>
        <v>118</v>
      </c>
      <c r="M99" s="37">
        <f>SUMIF(Tabela1[Produtos],K99,Tabela1[Valor gasto])</f>
        <v>184</v>
      </c>
      <c r="N99" s="37">
        <f>SUMIF(Tabela1[Produtos],K99,Tabela1[Valor venddo])</f>
        <v>1316.79</v>
      </c>
      <c r="O99" s="37">
        <f>SUMIF(Tabela1[Produtos],K99,Tabela1[Valor do lucro])</f>
        <v>1426.9399999999998</v>
      </c>
      <c r="Q99" s="50"/>
      <c r="R99" s="49"/>
      <c r="S99" s="37"/>
      <c r="T99" s="37"/>
      <c r="U99" s="37"/>
    </row>
    <row r="100" spans="1:21" ht="15.75" x14ac:dyDescent="0.25">
      <c r="A100" s="158">
        <v>440</v>
      </c>
      <c r="B100" s="45" t="s">
        <v>73</v>
      </c>
      <c r="C100" s="14">
        <v>1</v>
      </c>
      <c r="D100" s="128">
        <v>7</v>
      </c>
      <c r="E100" s="61">
        <v>20.350000000000001</v>
      </c>
      <c r="F100" s="61">
        <f>E100-D100</f>
        <v>13.350000000000001</v>
      </c>
      <c r="G100" s="8" t="s">
        <v>15</v>
      </c>
      <c r="H100" s="8" t="s">
        <v>113</v>
      </c>
      <c r="I100" s="160"/>
      <c r="K100" s="50" t="str">
        <v>Esponja Limpeza Facial Esfoliante Formato Polvo De Silicone</v>
      </c>
      <c r="L100" s="49">
        <f>SUMIF(Tabela1[Produtos],K100,Tabela1[Quantidade])</f>
        <v>1</v>
      </c>
      <c r="M100" s="37">
        <f>SUMIF(Tabela1[Produtos],K100,Tabela1[Valor gasto])</f>
        <v>1</v>
      </c>
      <c r="N100" s="37">
        <f>SUMIF(Tabela1[Produtos],K100,Tabela1[Valor venddo])</f>
        <v>5.1331999999999995</v>
      </c>
      <c r="O100" s="37">
        <f>SUMIF(Tabela1[Produtos],K100,Tabela1[Valor do lucro])</f>
        <v>4.1331999999999995</v>
      </c>
      <c r="Q100" s="50"/>
      <c r="R100" s="49"/>
      <c r="S100" s="37"/>
      <c r="T100" s="37"/>
      <c r="U100" s="37"/>
    </row>
    <row r="101" spans="1:21" ht="15.75" x14ac:dyDescent="0.25">
      <c r="A101" s="158">
        <v>593</v>
      </c>
      <c r="B101" s="45" t="s">
        <v>73</v>
      </c>
      <c r="C101" s="14">
        <v>1</v>
      </c>
      <c r="D101" s="127">
        <v>15</v>
      </c>
      <c r="E101" s="127">
        <v>22.84</v>
      </c>
      <c r="F101" s="61">
        <f>E101-D101</f>
        <v>7.84</v>
      </c>
      <c r="G101" s="8" t="s">
        <v>15</v>
      </c>
      <c r="H101" s="8" t="s">
        <v>113</v>
      </c>
      <c r="I101" s="161"/>
      <c r="K101" s="50" t="str">
        <v>espremedor de pasta</v>
      </c>
      <c r="L101" s="49">
        <f>SUMIF(Tabela1[Produtos],K101,Tabela1[Quantidade])</f>
        <v>2</v>
      </c>
      <c r="M101" s="37">
        <f>SUMIF(Tabela1[Produtos],K101,Tabela1[Valor gasto])</f>
        <v>23.9</v>
      </c>
      <c r="N101" s="37">
        <f>SUMIF(Tabela1[Produtos],K101,Tabela1[Valor venddo])</f>
        <v>60</v>
      </c>
      <c r="O101" s="37">
        <f>SUMIF(Tabela1[Produtos],K101,Tabela1[Valor do lucro])</f>
        <v>36.1</v>
      </c>
      <c r="Q101" s="50"/>
      <c r="R101" s="49"/>
      <c r="S101" s="37"/>
      <c r="T101" s="37"/>
      <c r="U101" s="37"/>
    </row>
    <row r="102" spans="1:21" ht="15.75" x14ac:dyDescent="0.25">
      <c r="A102" s="158">
        <v>761</v>
      </c>
      <c r="B102" s="45" t="s">
        <v>397</v>
      </c>
      <c r="C102" s="126">
        <v>1</v>
      </c>
      <c r="D102" s="127">
        <v>15</v>
      </c>
      <c r="E102" s="127">
        <v>33.6</v>
      </c>
      <c r="F102" s="127">
        <v>18.600000000000001</v>
      </c>
      <c r="G102" s="8" t="s">
        <v>15</v>
      </c>
      <c r="H102" s="8" t="s">
        <v>114</v>
      </c>
      <c r="I102" s="161"/>
      <c r="K102" s="50" t="str">
        <v>estileite</v>
      </c>
      <c r="L102" s="49">
        <f>SUMIF(Tabela1[Produtos],K102,Tabela1[Quantidade])</f>
        <v>1</v>
      </c>
      <c r="M102" s="37">
        <f>SUMIF(Tabela1[Produtos],K102,Tabela1[Valor gasto])</f>
        <v>3</v>
      </c>
      <c r="N102" s="37">
        <f>SUMIF(Tabela1[Produtos],K102,Tabela1[Valor venddo])</f>
        <v>10</v>
      </c>
      <c r="O102" s="37">
        <f>SUMIF(Tabela1[Produtos],K102,Tabela1[Valor do lucro])</f>
        <v>7</v>
      </c>
      <c r="Q102" s="50"/>
      <c r="R102" s="49"/>
      <c r="S102" s="37"/>
      <c r="T102" s="37"/>
      <c r="U102" s="37"/>
    </row>
    <row r="103" spans="1:21" ht="15.75" x14ac:dyDescent="0.25">
      <c r="A103" s="158">
        <v>907</v>
      </c>
      <c r="B103" s="45" t="s">
        <v>397</v>
      </c>
      <c r="C103" s="136">
        <v>2</v>
      </c>
      <c r="D103" s="127">
        <v>24</v>
      </c>
      <c r="E103" s="135">
        <v>40.147199999999998</v>
      </c>
      <c r="F103" s="61">
        <f>E103-D103</f>
        <v>16.147199999999998</v>
      </c>
      <c r="G103" s="8" t="s">
        <v>15</v>
      </c>
      <c r="H103" s="8" t="s">
        <v>114</v>
      </c>
      <c r="I103" s="161"/>
      <c r="K103" s="50" t="str">
        <v>Estilete lapis carpinteiro marceneiro</v>
      </c>
      <c r="L103" s="49">
        <f>SUMIF(Tabela1[Produtos],K103,Tabela1[Quantidade])</f>
        <v>2</v>
      </c>
      <c r="M103" s="37">
        <f>SUMIF(Tabela1[Produtos],K103,Tabela1[Valor gasto])</f>
        <v>12</v>
      </c>
      <c r="N103" s="37">
        <f>SUMIF(Tabela1[Produtos],K103,Tabela1[Valor venddo])</f>
        <v>56.32</v>
      </c>
      <c r="O103" s="37">
        <f>SUMIF(Tabela1[Produtos],K103,Tabela1[Valor do lucro])</f>
        <v>44.32</v>
      </c>
      <c r="Q103" s="50"/>
      <c r="R103" s="49"/>
      <c r="S103" s="37"/>
      <c r="T103" s="37"/>
      <c r="U103" s="37"/>
    </row>
    <row r="104" spans="1:21" ht="15.75" x14ac:dyDescent="0.25">
      <c r="A104" s="158">
        <v>441</v>
      </c>
      <c r="B104" s="45" t="s">
        <v>247</v>
      </c>
      <c r="C104" s="14">
        <v>1</v>
      </c>
      <c r="D104" s="128">
        <v>40</v>
      </c>
      <c r="E104" s="61">
        <v>80</v>
      </c>
      <c r="F104" s="61">
        <f>E104-D104</f>
        <v>40</v>
      </c>
      <c r="G104" s="8" t="s">
        <v>15</v>
      </c>
      <c r="H104" s="8" t="s">
        <v>113</v>
      </c>
      <c r="I104" s="160"/>
      <c r="K104" s="50" t="str">
        <v>Estilete Profissional Multiuso + 3 Laminas de Refil</v>
      </c>
      <c r="L104" s="49">
        <f>SUMIF(Tabela1[Produtos],K104,Tabela1[Quantidade])</f>
        <v>3</v>
      </c>
      <c r="M104" s="37">
        <f>SUMIF(Tabela1[Produtos],K104,Tabela1[Valor gasto])</f>
        <v>11</v>
      </c>
      <c r="N104" s="37">
        <f>SUMIF(Tabela1[Produtos],K104,Tabela1[Valor venddo])</f>
        <v>29.5</v>
      </c>
      <c r="O104" s="37">
        <f>SUMIF(Tabela1[Produtos],K104,Tabela1[Valor do lucro])</f>
        <v>25.22</v>
      </c>
      <c r="Q104" s="50"/>
      <c r="R104" s="49"/>
      <c r="S104" s="37"/>
      <c r="T104" s="37"/>
      <c r="U104" s="37"/>
    </row>
    <row r="105" spans="1:21" ht="15.75" x14ac:dyDescent="0.25">
      <c r="A105" s="158">
        <v>4</v>
      </c>
      <c r="B105" s="7" t="s">
        <v>18</v>
      </c>
      <c r="C105" s="14">
        <v>1</v>
      </c>
      <c r="D105" s="61">
        <v>12</v>
      </c>
      <c r="E105" s="61">
        <v>20</v>
      </c>
      <c r="F105" s="61">
        <f>E105-D105</f>
        <v>8</v>
      </c>
      <c r="G105" s="8" t="s">
        <v>15</v>
      </c>
      <c r="H105" s="8" t="s">
        <v>113</v>
      </c>
      <c r="I105" s="160"/>
      <c r="K105" s="50" t="str">
        <v>Farol Bike Led Bicicleta Dianteira + Traseira - Bem Forte</v>
      </c>
      <c r="L105" s="49">
        <f>SUMIF(Tabela1[Produtos],K105,Tabela1[Quantidade])</f>
        <v>2</v>
      </c>
      <c r="M105" s="37">
        <f>SUMIF(Tabela1[Produtos],K105,Tabela1[Valor gasto])</f>
        <v>85</v>
      </c>
      <c r="N105" s="37">
        <f>SUMIF(Tabela1[Produtos],K105,Tabela1[Valor venddo])</f>
        <v>114.99</v>
      </c>
      <c r="O105" s="37">
        <f>SUMIF(Tabela1[Produtos],K105,Tabela1[Valor do lucro])</f>
        <v>74.64</v>
      </c>
      <c r="Q105" s="50"/>
      <c r="R105" s="49"/>
      <c r="S105" s="37"/>
      <c r="T105" s="37"/>
      <c r="U105" s="37"/>
    </row>
    <row r="106" spans="1:21" ht="15.75" x14ac:dyDescent="0.25">
      <c r="A106" s="158">
        <v>908</v>
      </c>
      <c r="B106" s="45" t="s">
        <v>471</v>
      </c>
      <c r="C106" s="134">
        <v>1</v>
      </c>
      <c r="D106" s="127">
        <v>6</v>
      </c>
      <c r="E106" s="135">
        <v>20.860800000000001</v>
      </c>
      <c r="F106" s="61">
        <f>E106-D106</f>
        <v>14.860800000000001</v>
      </c>
      <c r="G106" s="8" t="s">
        <v>15</v>
      </c>
      <c r="H106" s="8" t="s">
        <v>114</v>
      </c>
      <c r="I106" s="161"/>
      <c r="K106" s="50" t="str">
        <v>Ferramenta</v>
      </c>
      <c r="L106" s="49">
        <f>SUMIF(Tabela1[Produtos],K106,Tabela1[Quantidade])</f>
        <v>27</v>
      </c>
      <c r="M106" s="37">
        <f>SUMIF(Tabela1[Produtos],K106,Tabela1[Valor gasto])</f>
        <v>811</v>
      </c>
      <c r="N106" s="37">
        <f>SUMIF(Tabela1[Produtos],K106,Tabela1[Valor venddo])</f>
        <v>1550</v>
      </c>
      <c r="O106" s="37">
        <f>SUMIF(Tabela1[Produtos],K106,Tabela1[Valor do lucro])</f>
        <v>739</v>
      </c>
      <c r="Q106" s="50"/>
      <c r="R106" s="49"/>
      <c r="S106" s="37"/>
      <c r="T106" s="37"/>
      <c r="U106" s="37"/>
    </row>
    <row r="107" spans="1:21" ht="15.75" x14ac:dyDescent="0.25">
      <c r="A107" s="158">
        <v>680</v>
      </c>
      <c r="B107" s="7" t="s">
        <v>356</v>
      </c>
      <c r="C107" s="14">
        <v>1</v>
      </c>
      <c r="D107" s="61">
        <v>17</v>
      </c>
      <c r="E107" s="61">
        <v>30</v>
      </c>
      <c r="F107" s="61">
        <f>E107-D107</f>
        <v>13</v>
      </c>
      <c r="G107" s="8" t="s">
        <v>15</v>
      </c>
      <c r="H107" s="8" t="s">
        <v>113</v>
      </c>
      <c r="I107" s="161"/>
      <c r="K107" s="50" t="str">
        <v>Fio de Solda Estanho arame de solda 1mm15g 1 Unidade Cobix</v>
      </c>
      <c r="L107" s="49">
        <f>SUMIF(Tabela1[Produtos],K107,Tabela1[Quantidade])</f>
        <v>4</v>
      </c>
      <c r="M107" s="37">
        <f>SUMIF(Tabela1[Produtos],K107,Tabela1[Valor gasto])</f>
        <v>26</v>
      </c>
      <c r="N107" s="37">
        <f>SUMIF(Tabela1[Produtos],K107,Tabela1[Valor venddo])</f>
        <v>41.519999999999996</v>
      </c>
      <c r="O107" s="37">
        <f>SUMIF(Tabela1[Produtos],K107,Tabela1[Valor do lucro])</f>
        <v>17.52</v>
      </c>
      <c r="Q107" s="50"/>
      <c r="R107" s="49"/>
      <c r="S107" s="37"/>
      <c r="T107" s="37"/>
      <c r="U107" s="37"/>
    </row>
    <row r="108" spans="1:21" ht="15.75" x14ac:dyDescent="0.25">
      <c r="A108" s="158">
        <v>295</v>
      </c>
      <c r="B108" s="45" t="s">
        <v>196</v>
      </c>
      <c r="C108" s="126">
        <v>1</v>
      </c>
      <c r="D108" s="127">
        <v>25</v>
      </c>
      <c r="E108" s="127">
        <v>50</v>
      </c>
      <c r="F108" s="127">
        <v>25</v>
      </c>
      <c r="G108" s="8" t="s">
        <v>3</v>
      </c>
      <c r="H108" s="8" t="s">
        <v>114</v>
      </c>
      <c r="I108" s="161"/>
      <c r="K108" s="50" t="str">
        <v>Fio de Solda Estanho Cobix Tubinho 1mm 22 Gramas 1 Unidade</v>
      </c>
      <c r="L108" s="49">
        <f>SUMIF(Tabela1[Produtos],K108,Tabela1[Quantidade])</f>
        <v>1</v>
      </c>
      <c r="M108" s="37">
        <f>SUMIF(Tabela1[Produtos],K108,Tabela1[Valor gasto])</f>
        <v>42</v>
      </c>
      <c r="N108" s="37">
        <f>SUMIF(Tabela1[Produtos],K108,Tabela1[Valor venddo])</f>
        <v>62.8</v>
      </c>
      <c r="O108" s="37">
        <f>SUMIF(Tabela1[Produtos],K108,Tabela1[Valor do lucro])</f>
        <v>20.799999999999997</v>
      </c>
      <c r="Q108" s="50"/>
      <c r="R108" s="49"/>
      <c r="S108" s="37"/>
      <c r="T108" s="37"/>
      <c r="U108" s="37"/>
    </row>
    <row r="109" spans="1:21" ht="15.75" x14ac:dyDescent="0.25">
      <c r="A109" s="158">
        <v>5</v>
      </c>
      <c r="B109" s="12" t="s">
        <v>19</v>
      </c>
      <c r="C109" s="14">
        <v>1</v>
      </c>
      <c r="D109" s="61">
        <v>10</v>
      </c>
      <c r="E109" s="61">
        <v>40</v>
      </c>
      <c r="F109" s="61">
        <f>E109-D109</f>
        <v>30</v>
      </c>
      <c r="G109" s="8" t="s">
        <v>15</v>
      </c>
      <c r="H109" s="8" t="s">
        <v>113</v>
      </c>
      <c r="I109" s="160"/>
      <c r="K109" s="50" t="str">
        <v>Fio Fada Prata Cordão Luz Cores Natal 2m 20 Leds Pilh</v>
      </c>
      <c r="L109" s="49">
        <f>SUMIF(Tabela1[Produtos],K109,Tabela1[Quantidade])</f>
        <v>3</v>
      </c>
      <c r="M109" s="37">
        <f>SUMIF(Tabela1[Produtos],K109,Tabela1[Valor gasto])</f>
        <v>18</v>
      </c>
      <c r="N109" s="37">
        <f>SUMIF(Tabela1[Produtos],K109,Tabela1[Valor venddo])</f>
        <v>54.730000000000004</v>
      </c>
      <c r="O109" s="37">
        <f>SUMIF(Tabela1[Produtos],K109,Tabela1[Valor do lucro])</f>
        <v>36.730000000000004</v>
      </c>
      <c r="Q109" s="50"/>
      <c r="R109" s="49"/>
      <c r="S109" s="37"/>
      <c r="T109" s="37"/>
      <c r="U109" s="37"/>
    </row>
    <row r="110" spans="1:21" ht="15.75" x14ac:dyDescent="0.25">
      <c r="A110" s="158">
        <v>6</v>
      </c>
      <c r="B110" s="12" t="s">
        <v>19</v>
      </c>
      <c r="C110" s="14">
        <v>1</v>
      </c>
      <c r="D110" s="61">
        <v>10</v>
      </c>
      <c r="E110" s="61">
        <v>25</v>
      </c>
      <c r="F110" s="61">
        <f>E110-D110</f>
        <v>15</v>
      </c>
      <c r="G110" s="8" t="s">
        <v>15</v>
      </c>
      <c r="H110" s="8" t="s">
        <v>113</v>
      </c>
      <c r="I110" s="159"/>
      <c r="K110" s="50" t="str">
        <v>Fios Luz De Fada String Light 2m 20 Leds Rolha Decor</v>
      </c>
      <c r="L110" s="49">
        <f>SUMIF(Tabela1[Produtos],K110,Tabela1[Quantidade])</f>
        <v>11</v>
      </c>
      <c r="M110" s="37">
        <f>SUMIF(Tabela1[Produtos],K110,Tabela1[Valor gasto])</f>
        <v>65</v>
      </c>
      <c r="N110" s="37">
        <f>SUMIF(Tabela1[Produtos],K110,Tabela1[Valor venddo])</f>
        <v>123.21000000000001</v>
      </c>
      <c r="O110" s="37">
        <f>SUMIF(Tabela1[Produtos],K110,Tabela1[Valor do lucro])</f>
        <v>58.209999999999994</v>
      </c>
      <c r="Q110" s="50"/>
      <c r="R110" s="49"/>
      <c r="S110" s="37"/>
      <c r="T110" s="37"/>
      <c r="U110" s="37"/>
    </row>
    <row r="111" spans="1:21" ht="15.75" x14ac:dyDescent="0.25">
      <c r="A111" s="158">
        <v>273</v>
      </c>
      <c r="B111" s="12" t="s">
        <v>19</v>
      </c>
      <c r="C111" s="14">
        <v>1</v>
      </c>
      <c r="D111" s="61">
        <v>10</v>
      </c>
      <c r="E111" s="61">
        <v>20</v>
      </c>
      <c r="F111" s="61">
        <f>E111-D111</f>
        <v>10</v>
      </c>
      <c r="G111" s="8" t="s">
        <v>3</v>
      </c>
      <c r="H111" s="8" t="s">
        <v>113</v>
      </c>
      <c r="I111" s="161"/>
      <c r="K111" s="50" t="str">
        <v>Fita Dupla Face Ambiente Interno Externo Adelbras</v>
      </c>
      <c r="L111" s="49">
        <f>SUMIF(Tabela1[Produtos],K111,Tabela1[Quantidade])</f>
        <v>5</v>
      </c>
      <c r="M111" s="37">
        <f>SUMIF(Tabela1[Produtos],K111,Tabela1[Valor gasto])</f>
        <v>22</v>
      </c>
      <c r="N111" s="37">
        <f>SUMIF(Tabela1[Produtos],K111,Tabela1[Valor venddo])</f>
        <v>78.709999999999994</v>
      </c>
      <c r="O111" s="37">
        <f>SUMIF(Tabela1[Produtos],K111,Tabela1[Valor do lucro])</f>
        <v>35.709999999999994</v>
      </c>
      <c r="Q111" s="50"/>
      <c r="R111" s="49"/>
      <c r="S111" s="37"/>
      <c r="T111" s="37"/>
      <c r="U111" s="37"/>
    </row>
    <row r="112" spans="1:21" ht="15.75" x14ac:dyDescent="0.25">
      <c r="A112" s="158">
        <v>283</v>
      </c>
      <c r="B112" s="12" t="s">
        <v>19</v>
      </c>
      <c r="C112" s="14">
        <v>1</v>
      </c>
      <c r="D112" s="61">
        <v>10</v>
      </c>
      <c r="E112" s="61">
        <v>30</v>
      </c>
      <c r="F112" s="61">
        <f>E112-D112</f>
        <v>20</v>
      </c>
      <c r="G112" s="8" t="s">
        <v>3</v>
      </c>
      <c r="H112" s="8" t="s">
        <v>113</v>
      </c>
      <c r="I112" s="161"/>
      <c r="K112" s="50" t="str">
        <v>fita dupla facil</v>
      </c>
      <c r="L112" s="49">
        <f>SUMIF(Tabela1[Produtos],K112,Tabela1[Quantidade])</f>
        <v>3</v>
      </c>
      <c r="M112" s="37">
        <f>SUMIF(Tabela1[Produtos],K112,Tabela1[Valor gasto])</f>
        <v>9</v>
      </c>
      <c r="N112" s="37">
        <f>SUMIF(Tabela1[Produtos],K112,Tabela1[Valor venddo])</f>
        <v>18</v>
      </c>
      <c r="O112" s="37">
        <f>SUMIF(Tabela1[Produtos],K112,Tabela1[Valor do lucro])</f>
        <v>9</v>
      </c>
      <c r="Q112" s="50"/>
      <c r="R112" s="49"/>
      <c r="S112" s="37"/>
      <c r="T112" s="37"/>
      <c r="U112" s="37"/>
    </row>
    <row r="113" spans="1:21" ht="15.75" x14ac:dyDescent="0.25">
      <c r="A113" s="158">
        <v>207</v>
      </c>
      <c r="B113" s="12" t="s">
        <v>19</v>
      </c>
      <c r="C113" s="14">
        <v>1</v>
      </c>
      <c r="D113" s="61">
        <v>10</v>
      </c>
      <c r="E113" s="61">
        <v>25</v>
      </c>
      <c r="F113" s="61">
        <f>E113-D113</f>
        <v>15</v>
      </c>
      <c r="G113" s="8" t="s">
        <v>15</v>
      </c>
      <c r="H113" s="8" t="s">
        <v>113</v>
      </c>
      <c r="I113" s="159"/>
      <c r="K113" s="50" t="str">
        <v>Fita Durex Rolinho 35 M - 1un</v>
      </c>
      <c r="L113" s="49">
        <f>SUMIF(Tabela1[Produtos],K113,Tabela1[Quantidade])</f>
        <v>2</v>
      </c>
      <c r="M113" s="37">
        <f>SUMIF(Tabela1[Produtos],K113,Tabela1[Valor gasto])</f>
        <v>1.9</v>
      </c>
      <c r="N113" s="37">
        <f>SUMIF(Tabela1[Produtos],K113,Tabela1[Valor venddo])</f>
        <v>4.07</v>
      </c>
      <c r="O113" s="37">
        <f>SUMIF(Tabela1[Produtos],K113,Tabela1[Valor do lucro])</f>
        <v>2.17</v>
      </c>
      <c r="Q113" s="50"/>
      <c r="R113" s="49"/>
      <c r="S113" s="37"/>
      <c r="T113" s="37"/>
      <c r="U113" s="37"/>
    </row>
    <row r="114" spans="1:21" ht="15.75" x14ac:dyDescent="0.25">
      <c r="A114" s="158">
        <v>61</v>
      </c>
      <c r="B114" s="12" t="s">
        <v>19</v>
      </c>
      <c r="C114" s="14">
        <v>1</v>
      </c>
      <c r="D114" s="61">
        <f>E114-F114</f>
        <v>10</v>
      </c>
      <c r="E114" s="58">
        <v>20</v>
      </c>
      <c r="F114" s="61">
        <v>10</v>
      </c>
      <c r="G114" s="8" t="s">
        <v>15</v>
      </c>
      <c r="H114" s="57" t="s">
        <v>6</v>
      </c>
      <c r="I114" s="159"/>
      <c r="K114" s="50" t="str">
        <v>Fita Isolante Idea 0.18mm X 18mm X 5m - 1 Unidades</v>
      </c>
      <c r="L114" s="49">
        <f>SUMIF(Tabela1[Produtos],K114,Tabela1[Quantidade])</f>
        <v>38</v>
      </c>
      <c r="M114" s="37">
        <f>SUMIF(Tabela1[Produtos],K114,Tabela1[Valor gasto])</f>
        <v>34.399999999999991</v>
      </c>
      <c r="N114" s="37">
        <f>SUMIF(Tabela1[Produtos],K114,Tabela1[Valor venddo])</f>
        <v>79.710000000000008</v>
      </c>
      <c r="O114" s="37">
        <f>SUMIF(Tabela1[Produtos],K114,Tabela1[Valor do lucro])</f>
        <v>44.410000000000011</v>
      </c>
      <c r="Q114" s="50"/>
      <c r="R114" s="49"/>
      <c r="S114" s="37"/>
      <c r="T114" s="37"/>
      <c r="U114" s="37"/>
    </row>
    <row r="115" spans="1:21" ht="15.75" x14ac:dyDescent="0.25">
      <c r="A115" s="158">
        <v>103</v>
      </c>
      <c r="B115" s="10" t="s">
        <v>20</v>
      </c>
      <c r="C115" s="14">
        <v>1</v>
      </c>
      <c r="D115" s="61">
        <v>28</v>
      </c>
      <c r="E115" s="61">
        <v>55</v>
      </c>
      <c r="F115" s="61">
        <f>E115-D115</f>
        <v>27</v>
      </c>
      <c r="G115" s="8" t="s">
        <v>15</v>
      </c>
      <c r="H115" s="8" t="s">
        <v>113</v>
      </c>
      <c r="I115" s="159"/>
      <c r="K115" s="50" t="str">
        <v>Fitas Banana Dupla Face Espuma Adelbras 12mm X 2m</v>
      </c>
      <c r="L115" s="49">
        <f>SUMIF(Tabela1[Produtos],K115,Tabela1[Quantidade])</f>
        <v>1</v>
      </c>
      <c r="M115" s="37">
        <f>SUMIF(Tabela1[Produtos],K115,Tabela1[Valor gasto])</f>
        <v>4</v>
      </c>
      <c r="N115" s="37">
        <f>SUMIF(Tabela1[Produtos],K115,Tabela1[Valor venddo])</f>
        <v>14.53</v>
      </c>
      <c r="O115" s="37">
        <f>SUMIF(Tabela1[Produtos],K115,Tabela1[Valor do lucro])</f>
        <v>10.53</v>
      </c>
      <c r="Q115" s="50"/>
      <c r="R115" s="49"/>
      <c r="S115" s="37"/>
      <c r="T115" s="37"/>
      <c r="U115" s="37"/>
    </row>
    <row r="116" spans="1:21" ht="15.75" x14ac:dyDescent="0.25">
      <c r="A116" s="158">
        <v>648</v>
      </c>
      <c r="B116" s="10" t="s">
        <v>20</v>
      </c>
      <c r="C116" s="14">
        <v>1</v>
      </c>
      <c r="D116" s="61">
        <v>18</v>
      </c>
      <c r="E116" s="61">
        <v>35</v>
      </c>
      <c r="F116" s="61">
        <f>E116-D116</f>
        <v>17</v>
      </c>
      <c r="G116" s="8" t="s">
        <v>15</v>
      </c>
      <c r="H116" s="8" t="s">
        <v>113</v>
      </c>
      <c r="I116" s="161"/>
      <c r="K116" s="50" t="str">
        <v>FONE antigo</v>
      </c>
      <c r="L116" s="49">
        <f>SUMIF(Tabela1[Produtos],K116,Tabela1[Quantidade])</f>
        <v>1</v>
      </c>
      <c r="M116" s="37">
        <f>SUMIF(Tabela1[Produtos],K116,Tabela1[Valor gasto])</f>
        <v>15</v>
      </c>
      <c r="N116" s="37">
        <f>SUMIF(Tabela1[Produtos],K116,Tabela1[Valor venddo])</f>
        <v>30</v>
      </c>
      <c r="O116" s="37">
        <f>SUMIF(Tabela1[Produtos],K116,Tabela1[Valor do lucro])</f>
        <v>15</v>
      </c>
      <c r="Q116" s="50"/>
      <c r="R116" s="49"/>
      <c r="S116" s="37"/>
      <c r="T116" s="37"/>
      <c r="U116" s="37"/>
    </row>
    <row r="117" spans="1:21" ht="15.75" x14ac:dyDescent="0.25">
      <c r="A117" s="158">
        <v>7</v>
      </c>
      <c r="B117" s="10" t="s">
        <v>20</v>
      </c>
      <c r="C117" s="14">
        <v>1</v>
      </c>
      <c r="D117" s="61">
        <v>22</v>
      </c>
      <c r="E117" s="61">
        <v>45</v>
      </c>
      <c r="F117" s="61">
        <f>E117-D117</f>
        <v>23</v>
      </c>
      <c r="G117" s="8" t="s">
        <v>15</v>
      </c>
      <c r="H117" s="8" t="s">
        <v>113</v>
      </c>
      <c r="I117" s="160"/>
      <c r="K117" s="50" t="str">
        <v>fone b05</v>
      </c>
      <c r="L117" s="49">
        <f>SUMIF(Tabela1[Produtos],K117,Tabela1[Quantidade])</f>
        <v>2</v>
      </c>
      <c r="M117" s="37">
        <f>SUMIF(Tabela1[Produtos],K117,Tabela1[Valor gasto])</f>
        <v>63</v>
      </c>
      <c r="N117" s="37">
        <f>SUMIF(Tabela1[Produtos],K117,Tabela1[Valor venddo])</f>
        <v>140</v>
      </c>
      <c r="O117" s="37">
        <f>SUMIF(Tabela1[Produtos],K117,Tabela1[Valor do lucro])</f>
        <v>77</v>
      </c>
      <c r="Q117" s="45"/>
      <c r="R117" s="49"/>
      <c r="S117" s="37"/>
      <c r="T117" s="37"/>
      <c r="U117" s="37"/>
    </row>
    <row r="118" spans="1:21" ht="15.75" x14ac:dyDescent="0.25">
      <c r="A118" s="158">
        <v>762</v>
      </c>
      <c r="B118" s="45" t="s">
        <v>398</v>
      </c>
      <c r="C118" s="126">
        <v>1</v>
      </c>
      <c r="D118" s="127">
        <v>10</v>
      </c>
      <c r="E118" s="127">
        <v>18.57</v>
      </c>
      <c r="F118" s="127">
        <v>8.57</v>
      </c>
      <c r="G118" s="8" t="s">
        <v>15</v>
      </c>
      <c r="H118" s="8" t="s">
        <v>114</v>
      </c>
      <c r="I118" s="161"/>
      <c r="K118" s="50" t="str">
        <v xml:space="preserve">fone de ouvido </v>
      </c>
      <c r="L118" s="49">
        <f>SUMIF(Tabela1[Produtos],K118,Tabela1[Quantidade])</f>
        <v>1</v>
      </c>
      <c r="M118" s="37">
        <f>SUMIF(Tabela1[Produtos],K118,Tabela1[Valor gasto])</f>
        <v>13</v>
      </c>
      <c r="N118" s="37">
        <f>SUMIF(Tabela1[Produtos],K118,Tabela1[Valor venddo])</f>
        <v>30</v>
      </c>
      <c r="O118" s="37">
        <f>SUMIF(Tabela1[Produtos],K118,Tabela1[Valor do lucro])</f>
        <v>17</v>
      </c>
      <c r="Q118" s="50"/>
      <c r="R118" s="49"/>
      <c r="S118" s="37"/>
      <c r="T118" s="37"/>
      <c r="U118" s="37"/>
    </row>
    <row r="119" spans="1:21" ht="15.75" x14ac:dyDescent="0.25">
      <c r="A119" s="158">
        <v>8</v>
      </c>
      <c r="B119" s="10" t="s">
        <v>21</v>
      </c>
      <c r="C119" s="14">
        <v>1</v>
      </c>
      <c r="D119" s="61">
        <v>7</v>
      </c>
      <c r="E119" s="61">
        <v>15</v>
      </c>
      <c r="F119" s="61">
        <f>E119-D119</f>
        <v>8</v>
      </c>
      <c r="G119" s="8" t="s">
        <v>15</v>
      </c>
      <c r="H119" s="8" t="s">
        <v>113</v>
      </c>
      <c r="I119" s="160"/>
      <c r="K119" s="50" t="str">
        <v>Fone De Ouvido Bluetooth Fon-2312 - INOVA</v>
      </c>
      <c r="L119" s="49">
        <f>SUMIF(Tabela1[Produtos],K119,Tabela1[Quantidade])</f>
        <v>1</v>
      </c>
      <c r="M119" s="37">
        <f>SUMIF(Tabela1[Produtos],K119,Tabela1[Valor gasto])</f>
        <v>30</v>
      </c>
      <c r="N119" s="37">
        <f>SUMIF(Tabela1[Produtos],K119,Tabela1[Valor venddo])</f>
        <v>50.15</v>
      </c>
      <c r="O119" s="37">
        <f>SUMIF(Tabela1[Produtos],K119,Tabela1[Valor do lucro])</f>
        <v>20.149999999999999</v>
      </c>
      <c r="Q119" s="50"/>
      <c r="R119" s="49"/>
      <c r="S119" s="37"/>
      <c r="T119" s="37"/>
      <c r="U119" s="37"/>
    </row>
    <row r="120" spans="1:21" ht="15.75" x14ac:dyDescent="0.25">
      <c r="A120" s="158">
        <v>639</v>
      </c>
      <c r="B120" s="10" t="s">
        <v>265</v>
      </c>
      <c r="C120" s="14">
        <v>1</v>
      </c>
      <c r="D120" s="61">
        <v>3</v>
      </c>
      <c r="E120" s="61">
        <v>10</v>
      </c>
      <c r="F120" s="61">
        <f>E120-D120</f>
        <v>7</v>
      </c>
      <c r="G120" s="8" t="s">
        <v>15</v>
      </c>
      <c r="H120" s="8" t="s">
        <v>113</v>
      </c>
      <c r="I120" s="161"/>
      <c r="K120" s="50" t="str">
        <v>Fone de Ouvido Pmcell Fo -11 Original C/ Microfone</v>
      </c>
      <c r="L120" s="49">
        <f>SUMIF(Tabela1[Produtos],K120,Tabela1[Quantidade])</f>
        <v>45</v>
      </c>
      <c r="M120" s="37">
        <f>SUMIF(Tabela1[Produtos],K120,Tabela1[Valor gasto])</f>
        <v>160.5</v>
      </c>
      <c r="N120" s="37">
        <f>SUMIF(Tabela1[Produtos],K120,Tabela1[Valor venddo])</f>
        <v>452.90560000000005</v>
      </c>
      <c r="O120" s="37">
        <f>SUMIF(Tabela1[Produtos],K120,Tabela1[Valor do lucro])</f>
        <v>296.37559999999996</v>
      </c>
      <c r="Q120" s="50"/>
      <c r="R120" s="49"/>
      <c r="S120" s="37"/>
      <c r="T120" s="37"/>
      <c r="U120" s="37"/>
    </row>
    <row r="121" spans="1:21" ht="15.75" x14ac:dyDescent="0.25">
      <c r="A121" s="158">
        <v>483</v>
      </c>
      <c r="B121" s="10" t="s">
        <v>265</v>
      </c>
      <c r="C121" s="14">
        <v>1</v>
      </c>
      <c r="D121" s="61">
        <v>6.5</v>
      </c>
      <c r="E121" s="61">
        <v>10</v>
      </c>
      <c r="F121" s="61">
        <f>E121-D121</f>
        <v>3.5</v>
      </c>
      <c r="G121" s="8" t="s">
        <v>15</v>
      </c>
      <c r="H121" s="8" t="s">
        <v>113</v>
      </c>
      <c r="I121" s="160"/>
      <c r="K121" s="50" t="str">
        <v>fone delapela</v>
      </c>
      <c r="L121" s="49">
        <f>SUMIF(Tabela1[Produtos],K121,Tabela1[Quantidade])</f>
        <v>1</v>
      </c>
      <c r="M121" s="37">
        <f>SUMIF(Tabela1[Produtos],K121,Tabela1[Valor gasto])</f>
        <v>2</v>
      </c>
      <c r="N121" s="37">
        <f>SUMIF(Tabela1[Produtos],K121,Tabela1[Valor venddo])</f>
        <v>30</v>
      </c>
      <c r="O121" s="37">
        <f>SUMIF(Tabela1[Produtos],K121,Tabela1[Valor do lucro])</f>
        <v>28</v>
      </c>
      <c r="Q121" s="50"/>
      <c r="R121" s="49"/>
      <c r="S121" s="37"/>
      <c r="T121" s="37"/>
      <c r="U121" s="37"/>
    </row>
    <row r="122" spans="1:21" ht="15.75" x14ac:dyDescent="0.25">
      <c r="A122" s="158">
        <v>296</v>
      </c>
      <c r="B122" s="45" t="s">
        <v>180</v>
      </c>
      <c r="C122" s="126">
        <v>3</v>
      </c>
      <c r="D122" s="127">
        <v>6</v>
      </c>
      <c r="E122" s="127">
        <v>36.03</v>
      </c>
      <c r="F122" s="127">
        <v>30.03</v>
      </c>
      <c r="G122" s="8" t="s">
        <v>3</v>
      </c>
      <c r="H122" s="8" t="s">
        <v>114</v>
      </c>
      <c r="I122" s="161"/>
      <c r="K122" s="50" t="str">
        <v>Fone gatinho</v>
      </c>
      <c r="L122" s="49">
        <f>SUMIF(Tabela1[Produtos],K122,Tabela1[Quantidade])</f>
        <v>1</v>
      </c>
      <c r="M122" s="37">
        <f>SUMIF(Tabela1[Produtos],K122,Tabela1[Valor gasto])</f>
        <v>80</v>
      </c>
      <c r="N122" s="37">
        <f>SUMIF(Tabela1[Produtos],K122,Tabela1[Valor venddo])</f>
        <v>150</v>
      </c>
      <c r="O122" s="37">
        <f>SUMIF(Tabela1[Produtos],K122,Tabela1[Valor do lucro])</f>
        <v>70</v>
      </c>
      <c r="Q122" s="50"/>
      <c r="R122" s="49"/>
      <c r="S122" s="37"/>
      <c r="T122" s="37"/>
      <c r="U122" s="37"/>
    </row>
    <row r="123" spans="1:21" ht="15.75" x14ac:dyDescent="0.25">
      <c r="A123" s="158">
        <v>263</v>
      </c>
      <c r="B123" s="45" t="s">
        <v>180</v>
      </c>
      <c r="C123" s="17">
        <v>1</v>
      </c>
      <c r="D123" s="58">
        <v>2</v>
      </c>
      <c r="E123" s="58">
        <v>2</v>
      </c>
      <c r="F123" s="58">
        <v>7.4</v>
      </c>
      <c r="G123" s="8" t="s">
        <v>15</v>
      </c>
      <c r="H123" s="57" t="s">
        <v>114</v>
      </c>
      <c r="I123" s="159"/>
      <c r="K123" s="50" t="str">
        <v>fone i12</v>
      </c>
      <c r="L123" s="49">
        <f>SUMIF(Tabela1[Produtos],K123,Tabela1[Quantidade])</f>
        <v>2</v>
      </c>
      <c r="M123" s="37">
        <f>SUMIF(Tabela1[Produtos],K123,Tabela1[Valor gasto])</f>
        <v>65</v>
      </c>
      <c r="N123" s="37">
        <f>SUMIF(Tabela1[Produtos],K123,Tabela1[Valor venddo])</f>
        <v>135</v>
      </c>
      <c r="O123" s="37">
        <f>SUMIF(Tabela1[Produtos],K123,Tabela1[Valor do lucro])</f>
        <v>70</v>
      </c>
      <c r="Q123" s="50"/>
      <c r="R123" s="49"/>
      <c r="S123" s="37"/>
      <c r="T123" s="37"/>
      <c r="U123" s="37"/>
    </row>
    <row r="124" spans="1:21" ht="15.75" x14ac:dyDescent="0.25">
      <c r="A124" s="158">
        <v>909</v>
      </c>
      <c r="B124" s="45" t="s">
        <v>279</v>
      </c>
      <c r="C124" s="134">
        <v>2</v>
      </c>
      <c r="D124" s="127">
        <v>16</v>
      </c>
      <c r="E124" s="135">
        <v>23.033799999999999</v>
      </c>
      <c r="F124" s="61">
        <f>E124-D124</f>
        <v>7.0337999999999994</v>
      </c>
      <c r="G124" s="8" t="s">
        <v>15</v>
      </c>
      <c r="H124" s="8" t="s">
        <v>114</v>
      </c>
      <c r="I124" s="161"/>
      <c r="K124" s="50" t="str">
        <v>fone inova sem fio</v>
      </c>
      <c r="L124" s="49">
        <f>SUMIF(Tabela1[Produtos],K124,Tabela1[Quantidade])</f>
        <v>1</v>
      </c>
      <c r="M124" s="37">
        <f>SUMIF(Tabela1[Produtos],K124,Tabela1[Valor gasto])</f>
        <v>65</v>
      </c>
      <c r="N124" s="37">
        <f>SUMIF(Tabela1[Produtos],K124,Tabela1[Valor venddo])</f>
        <v>120</v>
      </c>
      <c r="O124" s="37">
        <f>SUMIF(Tabela1[Produtos],K124,Tabela1[Valor do lucro])</f>
        <v>55</v>
      </c>
      <c r="Q124" s="50"/>
      <c r="R124" s="49"/>
      <c r="S124" s="37"/>
      <c r="T124" s="37"/>
      <c r="U124" s="37"/>
    </row>
    <row r="125" spans="1:21" ht="15.75" x14ac:dyDescent="0.25">
      <c r="A125" s="158">
        <v>510</v>
      </c>
      <c r="B125" s="45" t="s">
        <v>279</v>
      </c>
      <c r="C125" s="129">
        <v>1</v>
      </c>
      <c r="D125" s="61">
        <v>7</v>
      </c>
      <c r="E125" s="127">
        <v>10.119999999999999</v>
      </c>
      <c r="F125" s="61">
        <f>SUM(E125-D125)</f>
        <v>3.1199999999999992</v>
      </c>
      <c r="G125" s="8" t="s">
        <v>15</v>
      </c>
      <c r="H125" s="8" t="s">
        <v>114</v>
      </c>
      <c r="I125" s="160"/>
      <c r="K125" s="50" t="str">
        <v>fone oriignal</v>
      </c>
      <c r="L125" s="49">
        <f>SUMIF(Tabela1[Produtos],K125,Tabela1[Quantidade])</f>
        <v>1</v>
      </c>
      <c r="M125" s="37">
        <f>SUMIF(Tabela1[Produtos],K125,Tabela1[Valor gasto])</f>
        <v>9</v>
      </c>
      <c r="N125" s="37">
        <f>SUMIF(Tabela1[Produtos],K125,Tabela1[Valor venddo])</f>
        <v>25</v>
      </c>
      <c r="O125" s="37">
        <f>SUMIF(Tabela1[Produtos],K125,Tabela1[Valor do lucro])</f>
        <v>16</v>
      </c>
      <c r="Q125" s="50"/>
      <c r="R125" s="49"/>
      <c r="S125" s="37"/>
      <c r="T125" s="37"/>
      <c r="U125" s="37"/>
    </row>
    <row r="126" spans="1:21" ht="15.75" x14ac:dyDescent="0.25">
      <c r="A126" s="158">
        <v>297</v>
      </c>
      <c r="B126" s="45" t="s">
        <v>197</v>
      </c>
      <c r="C126" s="126">
        <v>1</v>
      </c>
      <c r="D126" s="127">
        <v>8</v>
      </c>
      <c r="E126" s="127">
        <v>18.75</v>
      </c>
      <c r="F126" s="127">
        <v>10.75</v>
      </c>
      <c r="G126" s="8" t="s">
        <v>3</v>
      </c>
      <c r="H126" s="8" t="s">
        <v>114</v>
      </c>
      <c r="I126" s="161"/>
      <c r="K126" s="50" t="str">
        <v>fone stereo earphone</v>
      </c>
      <c r="L126" s="49">
        <f>SUMIF(Tabela1[Produtos],K126,Tabela1[Quantidade])</f>
        <v>1</v>
      </c>
      <c r="M126" s="37">
        <f>SUMIF(Tabela1[Produtos],K126,Tabela1[Valor gasto])</f>
        <v>60</v>
      </c>
      <c r="N126" s="37">
        <f>SUMIF(Tabela1[Produtos],K126,Tabela1[Valor venddo])</f>
        <v>100</v>
      </c>
      <c r="O126" s="37">
        <f>SUMIF(Tabela1[Produtos],K126,Tabela1[Valor do lucro])</f>
        <v>40</v>
      </c>
      <c r="Q126" s="50"/>
      <c r="R126" s="49"/>
      <c r="S126" s="37"/>
      <c r="T126" s="37"/>
      <c r="U126" s="37"/>
    </row>
    <row r="127" spans="1:21" ht="15.75" x14ac:dyDescent="0.25">
      <c r="A127" s="158">
        <v>594</v>
      </c>
      <c r="B127" s="45" t="s">
        <v>315</v>
      </c>
      <c r="C127" s="14">
        <v>1</v>
      </c>
      <c r="D127" s="127">
        <v>13</v>
      </c>
      <c r="E127" s="127">
        <v>23.43</v>
      </c>
      <c r="F127" s="61">
        <f t="shared" ref="F127:F132" si="2">E127-D127</f>
        <v>10.43</v>
      </c>
      <c r="G127" s="8" t="s">
        <v>15</v>
      </c>
      <c r="H127" s="8" t="s">
        <v>113</v>
      </c>
      <c r="I127" s="161"/>
      <c r="K127" s="50" t="str">
        <v>Fone xiaome</v>
      </c>
      <c r="L127" s="49">
        <f>SUMIF(Tabela1[Produtos],K127,Tabela1[Quantidade])</f>
        <v>1</v>
      </c>
      <c r="M127" s="37">
        <f>SUMIF(Tabela1[Produtos],K127,Tabela1[Valor gasto])</f>
        <v>160</v>
      </c>
      <c r="N127" s="37">
        <f>SUMIF(Tabela1[Produtos],K127,Tabela1[Valor venddo])</f>
        <v>250</v>
      </c>
      <c r="O127" s="37">
        <f>SUMIF(Tabela1[Produtos],K127,Tabela1[Valor do lucro])</f>
        <v>90</v>
      </c>
      <c r="Q127" s="50"/>
      <c r="R127" s="49"/>
      <c r="S127" s="37"/>
      <c r="T127" s="37"/>
      <c r="U127" s="37"/>
    </row>
    <row r="128" spans="1:21" ht="15.75" x14ac:dyDescent="0.25">
      <c r="A128" s="158">
        <v>9</v>
      </c>
      <c r="B128" s="12" t="s">
        <v>22</v>
      </c>
      <c r="C128" s="14">
        <v>1</v>
      </c>
      <c r="D128" s="61">
        <v>35</v>
      </c>
      <c r="E128" s="61">
        <v>60</v>
      </c>
      <c r="F128" s="61">
        <f t="shared" si="2"/>
        <v>25</v>
      </c>
      <c r="G128" s="8" t="s">
        <v>15</v>
      </c>
      <c r="H128" s="8" t="s">
        <v>113</v>
      </c>
      <c r="I128" s="159"/>
      <c r="K128" s="50" t="str">
        <v>Fone y30 ali</v>
      </c>
      <c r="L128" s="49">
        <f>SUMIF(Tabela1[Produtos],K128,Tabela1[Quantidade])</f>
        <v>7</v>
      </c>
      <c r="M128" s="37">
        <f>SUMIF(Tabela1[Produtos],K128,Tabela1[Valor gasto])</f>
        <v>121.72</v>
      </c>
      <c r="N128" s="37">
        <f>SUMIF(Tabela1[Produtos],K128,Tabela1[Valor venddo])</f>
        <v>465</v>
      </c>
      <c r="O128" s="37">
        <f>SUMIF(Tabela1[Produtos],K128,Tabela1[Valor do lucro])</f>
        <v>343.28</v>
      </c>
      <c r="Q128" s="50"/>
      <c r="R128" s="49"/>
      <c r="S128" s="37"/>
      <c r="T128" s="37"/>
      <c r="U128" s="37"/>
    </row>
    <row r="129" spans="1:21" ht="15.75" x14ac:dyDescent="0.25">
      <c r="A129" s="158">
        <v>101</v>
      </c>
      <c r="B129" s="12" t="s">
        <v>121</v>
      </c>
      <c r="C129" s="14">
        <v>1</v>
      </c>
      <c r="D129" s="61">
        <v>9</v>
      </c>
      <c r="E129" s="61">
        <v>20</v>
      </c>
      <c r="F129" s="61">
        <f t="shared" si="2"/>
        <v>11</v>
      </c>
      <c r="G129" s="8" t="s">
        <v>15</v>
      </c>
      <c r="H129" s="8" t="s">
        <v>113</v>
      </c>
      <c r="I129" s="159"/>
      <c r="K129" s="50" t="str">
        <v>fonte tv box</v>
      </c>
      <c r="L129" s="49">
        <f>SUMIF(Tabela1[Produtos],K129,Tabela1[Quantidade])</f>
        <v>1</v>
      </c>
      <c r="M129" s="37">
        <f>SUMIF(Tabela1[Produtos],K129,Tabela1[Valor gasto])</f>
        <v>10</v>
      </c>
      <c r="N129" s="37">
        <f>SUMIF(Tabela1[Produtos],K129,Tabela1[Valor venddo])</f>
        <v>15</v>
      </c>
      <c r="O129" s="37">
        <f>SUMIF(Tabela1[Produtos],K129,Tabela1[Valor do lucro])</f>
        <v>5</v>
      </c>
      <c r="Q129" s="50"/>
      <c r="R129" s="49"/>
      <c r="S129" s="37"/>
      <c r="T129" s="37"/>
      <c r="U129" s="37"/>
    </row>
    <row r="130" spans="1:21" ht="15.75" x14ac:dyDescent="0.25">
      <c r="A130" s="158">
        <v>10</v>
      </c>
      <c r="B130" s="12" t="s">
        <v>23</v>
      </c>
      <c r="C130" s="14">
        <v>1</v>
      </c>
      <c r="D130" s="61">
        <v>8</v>
      </c>
      <c r="E130" s="61">
        <v>20</v>
      </c>
      <c r="F130" s="61">
        <f t="shared" si="2"/>
        <v>12</v>
      </c>
      <c r="G130" s="8" t="s">
        <v>15</v>
      </c>
      <c r="H130" s="8" t="s">
        <v>113</v>
      </c>
      <c r="I130" s="159"/>
      <c r="K130" s="50" t="str">
        <v>Formatação</v>
      </c>
      <c r="L130" s="49">
        <f>SUMIF(Tabela1[Produtos],K130,Tabela1[Quantidade])</f>
        <v>5</v>
      </c>
      <c r="M130" s="37">
        <f>SUMIF(Tabela1[Produtos],K130,Tabela1[Valor gasto])</f>
        <v>0</v>
      </c>
      <c r="N130" s="37">
        <f>SUMIF(Tabela1[Produtos],K130,Tabela1[Valor venddo])</f>
        <v>270</v>
      </c>
      <c r="O130" s="37">
        <f>SUMIF(Tabela1[Produtos],K130,Tabela1[Valor do lucro])</f>
        <v>270</v>
      </c>
      <c r="Q130" s="50"/>
      <c r="R130" s="49"/>
      <c r="S130" s="37"/>
      <c r="T130" s="37"/>
      <c r="U130" s="37"/>
    </row>
    <row r="131" spans="1:21" ht="15.75" x14ac:dyDescent="0.25">
      <c r="A131" s="158">
        <v>740</v>
      </c>
      <c r="B131" s="7" t="s">
        <v>383</v>
      </c>
      <c r="C131" s="14">
        <v>1</v>
      </c>
      <c r="D131" s="61">
        <v>2</v>
      </c>
      <c r="E131" s="61">
        <v>15</v>
      </c>
      <c r="F131" s="61">
        <f t="shared" si="2"/>
        <v>13</v>
      </c>
      <c r="G131" s="8" t="s">
        <v>15</v>
      </c>
      <c r="H131" s="8" t="s">
        <v>113</v>
      </c>
      <c r="I131" s="161"/>
      <c r="K131" s="50" t="str">
        <v>Funko Pop Naruto Hokage #724 Pop Boruto Aaa Anime Exclusive</v>
      </c>
      <c r="L131" s="49">
        <f>SUMIF(Tabela1[Produtos],K131,Tabela1[Quantidade])</f>
        <v>1</v>
      </c>
      <c r="M131" s="37">
        <f>SUMIF(Tabela1[Produtos],K131,Tabela1[Valor gasto])</f>
        <v>58</v>
      </c>
      <c r="N131" s="37">
        <f>SUMIF(Tabela1[Produtos],K131,Tabela1[Valor venddo])</f>
        <v>131.8888</v>
      </c>
      <c r="O131" s="37">
        <f>SUMIF(Tabela1[Produtos],K131,Tabela1[Valor do lucro])</f>
        <v>73.888800000000003</v>
      </c>
      <c r="Q131" s="50"/>
      <c r="R131" s="49"/>
      <c r="S131" s="37"/>
      <c r="T131" s="37"/>
      <c r="U131" s="37"/>
    </row>
    <row r="132" spans="1:21" ht="15.75" x14ac:dyDescent="0.25">
      <c r="A132" s="158">
        <v>658</v>
      </c>
      <c r="B132" s="7" t="s">
        <v>336</v>
      </c>
      <c r="C132" s="14">
        <v>1</v>
      </c>
      <c r="D132" s="61">
        <v>17</v>
      </c>
      <c r="E132" s="61">
        <v>40</v>
      </c>
      <c r="F132" s="61">
        <f t="shared" si="2"/>
        <v>23</v>
      </c>
      <c r="G132" s="8" t="s">
        <v>15</v>
      </c>
      <c r="H132" s="8" t="s">
        <v>113</v>
      </c>
      <c r="I132" s="161"/>
      <c r="K132" s="50" t="str">
        <v>FURADOR DE COURO 3mm,4mm,5mm – Kit Vazador</v>
      </c>
      <c r="L132" s="49">
        <f>SUMIF(Tabela1[Produtos],K132,Tabela1[Quantidade])</f>
        <v>14</v>
      </c>
      <c r="M132" s="37">
        <f>SUMIF(Tabela1[Produtos],K132,Tabela1[Valor gasto])</f>
        <v>79</v>
      </c>
      <c r="N132" s="37">
        <f>SUMIF(Tabela1[Produtos],K132,Tabela1[Valor venddo])</f>
        <v>212</v>
      </c>
      <c r="O132" s="37">
        <f>SUMIF(Tabela1[Produtos],K132,Tabela1[Valor do lucro])</f>
        <v>141.64000000000001</v>
      </c>
      <c r="Q132" s="50"/>
      <c r="R132" s="49"/>
      <c r="S132" s="37"/>
      <c r="T132" s="37"/>
      <c r="U132" s="37"/>
    </row>
    <row r="133" spans="1:21" ht="15.75" x14ac:dyDescent="0.25">
      <c r="A133" s="158">
        <v>686</v>
      </c>
      <c r="B133" s="45" t="s">
        <v>198</v>
      </c>
      <c r="C133" s="17">
        <v>8</v>
      </c>
      <c r="D133" s="132">
        <v>1.6</v>
      </c>
      <c r="E133" s="61">
        <v>19.03</v>
      </c>
      <c r="F133" s="61">
        <v>6.23</v>
      </c>
      <c r="G133" s="8" t="s">
        <v>15</v>
      </c>
      <c r="H133" s="8" t="s">
        <v>114</v>
      </c>
      <c r="I133" s="161"/>
      <c r="K133" s="50" t="str">
        <v>Garrafa de agua</v>
      </c>
      <c r="L133" s="49">
        <f>SUMIF(Tabela1[Produtos],K133,Tabela1[Quantidade])</f>
        <v>2</v>
      </c>
      <c r="M133" s="37">
        <f>SUMIF(Tabela1[Produtos],K133,Tabela1[Valor gasto])</f>
        <v>13.8</v>
      </c>
      <c r="N133" s="37">
        <f>SUMIF(Tabela1[Produtos],K133,Tabela1[Valor venddo])</f>
        <v>30</v>
      </c>
      <c r="O133" s="37">
        <f>SUMIF(Tabela1[Produtos],K133,Tabela1[Valor do lucro])</f>
        <v>16.2</v>
      </c>
      <c r="Q133" s="50"/>
      <c r="R133" s="49"/>
      <c r="S133" s="37"/>
      <c r="T133" s="37"/>
      <c r="U133" s="37"/>
    </row>
    <row r="134" spans="1:21" ht="15.75" x14ac:dyDescent="0.25">
      <c r="A134" s="158">
        <v>298</v>
      </c>
      <c r="B134" s="45" t="s">
        <v>198</v>
      </c>
      <c r="C134" s="126">
        <v>7</v>
      </c>
      <c r="D134" s="127">
        <v>7</v>
      </c>
      <c r="E134" s="127">
        <v>18.07</v>
      </c>
      <c r="F134" s="127">
        <v>11.07</v>
      </c>
      <c r="G134" s="8" t="s">
        <v>3</v>
      </c>
      <c r="H134" s="8" t="s">
        <v>114</v>
      </c>
      <c r="I134" s="161"/>
      <c r="K134" s="50" t="str">
        <v>Garrafa De Agua Academia 800 Ml  Livre De Bpa</v>
      </c>
      <c r="L134" s="49">
        <f>SUMIF(Tabela1[Produtos],K134,Tabela1[Quantidade])</f>
        <v>1</v>
      </c>
      <c r="M134" s="37">
        <f>SUMIF(Tabela1[Produtos],K134,Tabela1[Valor gasto])</f>
        <v>11</v>
      </c>
      <c r="N134" s="37">
        <f>SUMIF(Tabela1[Produtos],K134,Tabela1[Valor venddo])</f>
        <v>15.53</v>
      </c>
      <c r="O134" s="37">
        <f>SUMIF(Tabela1[Produtos],K134,Tabela1[Valor do lucro])</f>
        <v>4.5299999999999994</v>
      </c>
      <c r="Q134" s="50"/>
      <c r="R134" s="49"/>
      <c r="S134" s="37"/>
      <c r="T134" s="37"/>
      <c r="U134" s="37"/>
    </row>
    <row r="135" spans="1:21" ht="15.75" x14ac:dyDescent="0.25">
      <c r="A135" s="158">
        <v>763</v>
      </c>
      <c r="B135" s="45" t="s">
        <v>198</v>
      </c>
      <c r="C135" s="126">
        <v>1</v>
      </c>
      <c r="D135" s="127">
        <v>1.5</v>
      </c>
      <c r="E135" s="127">
        <v>11.91</v>
      </c>
      <c r="F135" s="127">
        <v>10.41</v>
      </c>
      <c r="G135" s="8" t="s">
        <v>15</v>
      </c>
      <c r="H135" s="8" t="s">
        <v>114</v>
      </c>
      <c r="I135" s="161"/>
      <c r="K135" s="50" t="str">
        <v>Garrafa de água dobrável Yellowstone 425ml com grampo Carabina</v>
      </c>
      <c r="L135" s="49">
        <f>SUMIF(Tabela1[Produtos],K135,Tabela1[Quantidade])</f>
        <v>2</v>
      </c>
      <c r="M135" s="37">
        <f>SUMIF(Tabela1[Produtos],K135,Tabela1[Valor gasto])</f>
        <v>3.6</v>
      </c>
      <c r="N135" s="37">
        <f>SUMIF(Tabela1[Produtos],K135,Tabela1[Valor venddo])</f>
        <v>10.914200000000001</v>
      </c>
      <c r="O135" s="37">
        <f>SUMIF(Tabela1[Produtos],K135,Tabela1[Valor do lucro])</f>
        <v>7.3142000000000014</v>
      </c>
      <c r="Q135" s="50"/>
      <c r="R135" s="49"/>
      <c r="S135" s="37"/>
      <c r="T135" s="37"/>
      <c r="U135" s="37"/>
    </row>
    <row r="136" spans="1:21" ht="15.75" x14ac:dyDescent="0.25">
      <c r="A136" s="158">
        <v>348</v>
      </c>
      <c r="B136" s="45" t="s">
        <v>198</v>
      </c>
      <c r="C136" s="14">
        <v>1</v>
      </c>
      <c r="D136" s="61">
        <v>78.400000000000006</v>
      </c>
      <c r="E136" s="61">
        <v>116.65</v>
      </c>
      <c r="F136" s="61">
        <f>E136-D136</f>
        <v>38.25</v>
      </c>
      <c r="G136" s="8" t="s">
        <v>15</v>
      </c>
      <c r="H136" s="8" t="s">
        <v>113</v>
      </c>
      <c r="I136" s="160"/>
      <c r="K136" s="50" t="str">
        <v>Garrafa Retrátil Dobrável 500ml C/mosquetão E Trava Na Tampa</v>
      </c>
      <c r="L136" s="49">
        <f>SUMIF(Tabela1[Produtos],K136,Tabela1[Quantidade])</f>
        <v>1</v>
      </c>
      <c r="M136" s="37">
        <f>SUMIF(Tabela1[Produtos],K136,Tabela1[Valor gasto])</f>
        <v>12</v>
      </c>
      <c r="N136" s="37">
        <f>SUMIF(Tabela1[Produtos],K136,Tabela1[Valor venddo])</f>
        <v>21.63</v>
      </c>
      <c r="O136" s="37">
        <f>SUMIF(Tabela1[Produtos],K136,Tabela1[Valor do lucro])</f>
        <v>9.629999999999999</v>
      </c>
      <c r="Q136" s="50"/>
      <c r="R136" s="49"/>
      <c r="S136" s="37"/>
      <c r="T136" s="37"/>
      <c r="U136" s="37"/>
    </row>
    <row r="137" spans="1:21" ht="15.75" x14ac:dyDescent="0.25">
      <c r="A137" s="158">
        <v>442</v>
      </c>
      <c r="B137" s="45" t="s">
        <v>198</v>
      </c>
      <c r="C137" s="14">
        <v>1</v>
      </c>
      <c r="D137" s="128">
        <v>72</v>
      </c>
      <c r="E137" s="61">
        <v>127.73</v>
      </c>
      <c r="F137" s="61">
        <f>E137-D137</f>
        <v>55.730000000000004</v>
      </c>
      <c r="G137" s="8" t="s">
        <v>15</v>
      </c>
      <c r="H137" s="8" t="s">
        <v>113</v>
      </c>
      <c r="I137" s="160"/>
      <c r="K137" s="50" t="str">
        <v>Gas de nalarico</v>
      </c>
      <c r="L137" s="49">
        <f>SUMIF(Tabela1[Produtos],K137,Tabela1[Quantidade])</f>
        <v>1</v>
      </c>
      <c r="M137" s="37">
        <f>SUMIF(Tabela1[Produtos],K137,Tabela1[Valor gasto])</f>
        <v>15</v>
      </c>
      <c r="N137" s="37">
        <f>SUMIF(Tabela1[Produtos],K137,Tabela1[Valor venddo])</f>
        <v>35</v>
      </c>
      <c r="O137" s="37">
        <f>SUMIF(Tabela1[Produtos],K137,Tabela1[Valor do lucro])</f>
        <v>20</v>
      </c>
      <c r="Q137" s="50"/>
      <c r="R137" s="49"/>
      <c r="S137" s="37"/>
      <c r="T137" s="37"/>
      <c r="U137" s="37"/>
    </row>
    <row r="138" spans="1:21" ht="15.75" x14ac:dyDescent="0.25">
      <c r="A138" s="158">
        <v>595</v>
      </c>
      <c r="B138" s="45" t="s">
        <v>198</v>
      </c>
      <c r="C138" s="14">
        <v>1</v>
      </c>
      <c r="D138" s="127">
        <v>4.8000000000000007</v>
      </c>
      <c r="E138" s="127">
        <v>8.15</v>
      </c>
      <c r="F138" s="61">
        <f>E138-D138</f>
        <v>3.3499999999999996</v>
      </c>
      <c r="G138" s="8" t="s">
        <v>15</v>
      </c>
      <c r="H138" s="8" t="s">
        <v>113</v>
      </c>
      <c r="I138" s="161"/>
      <c r="K138" s="50" t="str">
        <v>gatilho</v>
      </c>
      <c r="L138" s="49">
        <f>SUMIF(Tabela1[Produtos],K138,Tabela1[Quantidade])</f>
        <v>1</v>
      </c>
      <c r="M138" s="37">
        <f>SUMIF(Tabela1[Produtos],K138,Tabela1[Valor gasto])</f>
        <v>4</v>
      </c>
      <c r="N138" s="37">
        <f>SUMIF(Tabela1[Produtos],K138,Tabela1[Valor venddo])</f>
        <v>25</v>
      </c>
      <c r="O138" s="37">
        <f>SUMIF(Tabela1[Produtos],K138,Tabela1[Valor do lucro])</f>
        <v>21</v>
      </c>
      <c r="Q138" s="50"/>
      <c r="R138" s="49"/>
      <c r="S138" s="37"/>
      <c r="T138" s="37"/>
      <c r="U138" s="37"/>
    </row>
    <row r="139" spans="1:21" ht="15.75" x14ac:dyDescent="0.25">
      <c r="A139" s="158">
        <v>910</v>
      </c>
      <c r="B139" s="45" t="s">
        <v>472</v>
      </c>
      <c r="C139" s="134">
        <v>1</v>
      </c>
      <c r="D139" s="127">
        <v>7</v>
      </c>
      <c r="E139" s="135">
        <v>12.3</v>
      </c>
      <c r="F139" s="61">
        <f>E139-D139</f>
        <v>5.3000000000000007</v>
      </c>
      <c r="G139" s="8" t="s">
        <v>15</v>
      </c>
      <c r="H139" s="8" t="s">
        <v>114</v>
      </c>
      <c r="I139" s="161"/>
      <c r="K139" s="50" t="str">
        <v>Gatilho ak66</v>
      </c>
      <c r="L139" s="49">
        <f>SUMIF(Tabela1[Produtos],K139,Tabela1[Quantidade])</f>
        <v>1</v>
      </c>
      <c r="M139" s="37">
        <f>SUMIF(Tabela1[Produtos],K139,Tabela1[Valor gasto])</f>
        <v>22</v>
      </c>
      <c r="N139" s="37">
        <f>SUMIF(Tabela1[Produtos],K139,Tabela1[Valor venddo])</f>
        <v>40</v>
      </c>
      <c r="O139" s="37">
        <f>SUMIF(Tabela1[Produtos],K139,Tabela1[Valor do lucro])</f>
        <v>18</v>
      </c>
      <c r="Q139" s="50"/>
      <c r="R139" s="49"/>
      <c r="S139" s="37"/>
      <c r="T139" s="37"/>
      <c r="U139" s="37"/>
    </row>
    <row r="140" spans="1:21" ht="15.75" x14ac:dyDescent="0.25">
      <c r="A140" s="158">
        <v>129</v>
      </c>
      <c r="B140" s="45" t="s">
        <v>136</v>
      </c>
      <c r="C140" s="17">
        <v>5</v>
      </c>
      <c r="D140" s="58">
        <v>10</v>
      </c>
      <c r="E140" s="58">
        <v>26.04</v>
      </c>
      <c r="F140" s="58">
        <v>16.04</v>
      </c>
      <c r="G140" s="8" t="s">
        <v>15</v>
      </c>
      <c r="H140" s="57" t="s">
        <v>6</v>
      </c>
      <c r="I140" s="159"/>
      <c r="K140" s="50" t="str">
        <v>Gatilhos Botão Gamepad L1 - R1 Pubg Free Fire Resistente</v>
      </c>
      <c r="L140" s="49">
        <f>SUMIF(Tabela1[Produtos],K140,Tabela1[Quantidade])</f>
        <v>26</v>
      </c>
      <c r="M140" s="37">
        <f>SUMIF(Tabela1[Produtos],K140,Tabela1[Valor gasto])</f>
        <v>69</v>
      </c>
      <c r="N140" s="37">
        <f>SUMIF(Tabela1[Produtos],K140,Tabela1[Valor venddo])</f>
        <v>269.32</v>
      </c>
      <c r="O140" s="37">
        <f>SUMIF(Tabela1[Produtos],K140,Tabela1[Valor do lucro])</f>
        <v>222.26999999999998</v>
      </c>
      <c r="Q140" s="50"/>
      <c r="R140" s="49"/>
      <c r="S140" s="37"/>
      <c r="T140" s="37"/>
      <c r="U140" s="37"/>
    </row>
    <row r="141" spans="1:21" ht="15.75" x14ac:dyDescent="0.25">
      <c r="A141" s="158">
        <v>583</v>
      </c>
      <c r="B141" s="7" t="s">
        <v>312</v>
      </c>
      <c r="C141" s="14">
        <v>1</v>
      </c>
      <c r="D141" s="61">
        <v>6</v>
      </c>
      <c r="E141" s="61">
        <v>12</v>
      </c>
      <c r="F141" s="61">
        <f>E141-D141</f>
        <v>6</v>
      </c>
      <c r="G141" s="8" t="s">
        <v>15</v>
      </c>
      <c r="H141" s="8" t="s">
        <v>113</v>
      </c>
      <c r="I141" s="161"/>
      <c r="K141" s="50" t="str">
        <v>Gel massagem hinode</v>
      </c>
      <c r="L141" s="49">
        <f>SUMIF(Tabela1[Produtos],K141,Tabela1[Quantidade])</f>
        <v>2</v>
      </c>
      <c r="M141" s="37">
        <f>SUMIF(Tabela1[Produtos],K141,Tabela1[Valor gasto])</f>
        <v>27</v>
      </c>
      <c r="N141" s="37">
        <f>SUMIF(Tabela1[Produtos],K141,Tabela1[Valor venddo])</f>
        <v>38.799999999999997</v>
      </c>
      <c r="O141" s="37">
        <f>SUMIF(Tabela1[Produtos],K141,Tabela1[Valor do lucro])</f>
        <v>11.799999999999997</v>
      </c>
      <c r="Q141" s="50"/>
      <c r="R141" s="49"/>
      <c r="S141" s="37"/>
      <c r="T141" s="37"/>
      <c r="U141" s="37"/>
    </row>
    <row r="142" spans="1:21" ht="15.75" x14ac:dyDescent="0.25">
      <c r="A142" s="158">
        <v>564</v>
      </c>
      <c r="B142" s="7" t="s">
        <v>295</v>
      </c>
      <c r="C142" s="14">
        <v>1</v>
      </c>
      <c r="D142" s="61">
        <v>12</v>
      </c>
      <c r="E142" s="61">
        <v>20</v>
      </c>
      <c r="F142" s="61">
        <f>E142-D142</f>
        <v>8</v>
      </c>
      <c r="G142" s="8" t="s">
        <v>15</v>
      </c>
      <c r="H142" s="8" t="s">
        <v>113</v>
      </c>
      <c r="I142" s="161"/>
      <c r="K142" s="50" t="str">
        <v>Globo de luz de discoteca rotativo, para festas</v>
      </c>
      <c r="L142" s="49">
        <f>SUMIF(Tabela1[Produtos],K142,Tabela1[Quantidade])</f>
        <v>293</v>
      </c>
      <c r="M142" s="37">
        <f>SUMIF(Tabela1[Produtos],K142,Tabela1[Valor gasto])</f>
        <v>12535</v>
      </c>
      <c r="N142" s="37">
        <f>SUMIF(Tabela1[Produtos],K142,Tabela1[Valor venddo])</f>
        <v>28638.570400000001</v>
      </c>
      <c r="O142" s="37">
        <f>SUMIF(Tabela1[Produtos],K142,Tabela1[Valor do lucro])</f>
        <v>14533.410400000001</v>
      </c>
      <c r="Q142" s="50"/>
      <c r="R142" s="49"/>
      <c r="S142" s="37"/>
      <c r="T142" s="37"/>
      <c r="U142" s="37"/>
    </row>
    <row r="143" spans="1:21" ht="15.75" x14ac:dyDescent="0.25">
      <c r="A143" s="158">
        <v>349</v>
      </c>
      <c r="B143" s="45" t="s">
        <v>218</v>
      </c>
      <c r="C143" s="14">
        <v>1</v>
      </c>
      <c r="D143" s="61">
        <v>7</v>
      </c>
      <c r="E143" s="61">
        <v>15</v>
      </c>
      <c r="F143" s="61">
        <f>E143-D143</f>
        <v>8</v>
      </c>
      <c r="G143" s="8" t="s">
        <v>15</v>
      </c>
      <c r="H143" s="8" t="s">
        <v>113</v>
      </c>
      <c r="I143" s="160"/>
      <c r="K143" s="50" t="str">
        <v>Globo de luz grande</v>
      </c>
      <c r="L143" s="49">
        <f>SUMIF(Tabela1[Produtos],K143,Tabela1[Quantidade])</f>
        <v>3</v>
      </c>
      <c r="M143" s="37">
        <f>SUMIF(Tabela1[Produtos],K143,Tabela1[Valor gasto])</f>
        <v>180</v>
      </c>
      <c r="N143" s="37">
        <f>SUMIF(Tabela1[Produtos],K143,Tabela1[Valor venddo])</f>
        <v>330</v>
      </c>
      <c r="O143" s="37">
        <f>SUMIF(Tabela1[Produtos],K143,Tabela1[Valor do lucro])</f>
        <v>150</v>
      </c>
      <c r="Q143" s="50"/>
      <c r="R143" s="49"/>
      <c r="S143" s="37"/>
      <c r="T143" s="37"/>
      <c r="U143" s="37"/>
    </row>
    <row r="144" spans="1:21" ht="15.75" x14ac:dyDescent="0.25">
      <c r="A144" s="158">
        <v>262</v>
      </c>
      <c r="B144" s="45" t="s">
        <v>139</v>
      </c>
      <c r="C144" s="17">
        <v>9</v>
      </c>
      <c r="D144" s="58">
        <v>9</v>
      </c>
      <c r="E144" s="58">
        <v>81</v>
      </c>
      <c r="F144" s="58">
        <v>47.949999999999989</v>
      </c>
      <c r="G144" s="8" t="s">
        <v>15</v>
      </c>
      <c r="H144" s="57" t="s">
        <v>114</v>
      </c>
      <c r="I144" s="159"/>
      <c r="K144" s="50" t="str">
        <v>Globo estrelas</v>
      </c>
      <c r="L144" s="49">
        <f>SUMIF(Tabela1[Produtos],K144,Tabela1[Quantidade])</f>
        <v>1</v>
      </c>
      <c r="M144" s="37">
        <f>SUMIF(Tabela1[Produtos],K144,Tabela1[Valor gasto])</f>
        <v>48</v>
      </c>
      <c r="N144" s="37">
        <f>SUMIF(Tabela1[Produtos],K144,Tabela1[Valor venddo])</f>
        <v>80</v>
      </c>
      <c r="O144" s="37">
        <f>SUMIF(Tabela1[Produtos],K144,Tabela1[Valor do lucro])</f>
        <v>32</v>
      </c>
      <c r="Q144" s="50"/>
      <c r="R144" s="49"/>
      <c r="S144" s="37"/>
      <c r="T144" s="37"/>
      <c r="U144" s="37"/>
    </row>
    <row r="145" spans="1:21" ht="15.75" x14ac:dyDescent="0.25">
      <c r="A145" s="158">
        <v>135</v>
      </c>
      <c r="B145" s="45" t="s">
        <v>139</v>
      </c>
      <c r="C145" s="17">
        <v>1</v>
      </c>
      <c r="D145" s="58">
        <v>14</v>
      </c>
      <c r="E145" s="58">
        <v>24</v>
      </c>
      <c r="F145" s="58">
        <v>10</v>
      </c>
      <c r="G145" s="8" t="s">
        <v>15</v>
      </c>
      <c r="H145" s="57" t="s">
        <v>6</v>
      </c>
      <c r="I145" s="159"/>
      <c r="K145" s="50" t="str">
        <v>Grace La Rose Sublime Deo Colônia 100ml</v>
      </c>
      <c r="L145" s="49">
        <f>SUMIF(Tabela1[Produtos],K145,Tabela1[Quantidade])</f>
        <v>1</v>
      </c>
      <c r="M145" s="37">
        <f>SUMIF(Tabela1[Produtos],K145,Tabela1[Valor gasto])</f>
        <v>75</v>
      </c>
      <c r="N145" s="37">
        <f>SUMIF(Tabela1[Produtos],K145,Tabela1[Valor venddo])</f>
        <v>112.5</v>
      </c>
      <c r="O145" s="37">
        <f>SUMIF(Tabela1[Produtos],K145,Tabela1[Valor do lucro])</f>
        <v>37.5</v>
      </c>
      <c r="Q145" s="50"/>
      <c r="R145" s="49"/>
      <c r="S145" s="37"/>
      <c r="T145" s="37"/>
      <c r="U145" s="37"/>
    </row>
    <row r="146" spans="1:21" ht="15.75" x14ac:dyDescent="0.25">
      <c r="A146" s="158">
        <v>764</v>
      </c>
      <c r="B146" s="45" t="s">
        <v>139</v>
      </c>
      <c r="C146" s="126">
        <v>1</v>
      </c>
      <c r="D146" s="127">
        <v>14</v>
      </c>
      <c r="E146" s="127">
        <v>24.04</v>
      </c>
      <c r="F146" s="127">
        <v>10.039999999999999</v>
      </c>
      <c r="G146" s="8" t="s">
        <v>15</v>
      </c>
      <c r="H146" s="8" t="s">
        <v>114</v>
      </c>
      <c r="I146" s="161"/>
      <c r="K146" s="50" t="str">
        <v>Grafite Em Po 25g Emavi De Uso Geral P/ Caneletas Cadeados E Fechaduras</v>
      </c>
      <c r="L146" s="49">
        <f>SUMIF(Tabela1[Produtos],K146,Tabela1[Quantidade])</f>
        <v>1</v>
      </c>
      <c r="M146" s="37">
        <f>SUMIF(Tabela1[Produtos],K146,Tabela1[Valor gasto])</f>
        <v>8</v>
      </c>
      <c r="N146" s="37">
        <f>SUMIF(Tabela1[Produtos],K146,Tabela1[Valor venddo])</f>
        <v>20.77</v>
      </c>
      <c r="O146" s="37">
        <f>SUMIF(Tabela1[Produtos],K146,Tabela1[Valor do lucro])</f>
        <v>12.77</v>
      </c>
      <c r="Q146" s="50"/>
      <c r="R146" s="49"/>
      <c r="S146" s="37"/>
      <c r="T146" s="37"/>
      <c r="U146" s="37"/>
    </row>
    <row r="147" spans="1:21" ht="15.75" x14ac:dyDescent="0.25">
      <c r="A147" s="158">
        <v>350</v>
      </c>
      <c r="B147" s="45" t="s">
        <v>139</v>
      </c>
      <c r="C147" s="14">
        <v>1</v>
      </c>
      <c r="D147" s="61">
        <v>14</v>
      </c>
      <c r="E147" s="61">
        <v>24</v>
      </c>
      <c r="F147" s="61">
        <f>E147-D147</f>
        <v>10</v>
      </c>
      <c r="G147" s="8" t="s">
        <v>15</v>
      </c>
      <c r="H147" s="8" t="s">
        <v>113</v>
      </c>
      <c r="I147" s="160"/>
      <c r="K147" s="50" t="str">
        <v>H7 c6</v>
      </c>
      <c r="L147" s="49">
        <f>SUMIF(Tabela1[Produtos],K147,Tabela1[Quantidade])</f>
        <v>1</v>
      </c>
      <c r="M147" s="37">
        <f>SUMIF(Tabela1[Produtos],K147,Tabela1[Valor gasto])</f>
        <v>33.76</v>
      </c>
      <c r="N147" s="37">
        <f>SUMIF(Tabela1[Produtos],K147,Tabela1[Valor venddo])</f>
        <v>70</v>
      </c>
      <c r="O147" s="37">
        <f>SUMIF(Tabela1[Produtos],K147,Tabela1[Valor do lucro])</f>
        <v>36.24</v>
      </c>
      <c r="Q147" s="50"/>
      <c r="R147" s="49"/>
      <c r="S147" s="37"/>
      <c r="T147" s="37"/>
      <c r="U147" s="37"/>
    </row>
    <row r="148" spans="1:21" ht="15.75" x14ac:dyDescent="0.25">
      <c r="A148" s="158">
        <v>596</v>
      </c>
      <c r="B148" s="45" t="s">
        <v>139</v>
      </c>
      <c r="C148" s="14">
        <v>1</v>
      </c>
      <c r="D148" s="127">
        <v>28</v>
      </c>
      <c r="E148" s="127">
        <v>54</v>
      </c>
      <c r="F148" s="61">
        <f>E148-D148</f>
        <v>26</v>
      </c>
      <c r="G148" s="8" t="s">
        <v>15</v>
      </c>
      <c r="H148" s="8" t="s">
        <v>113</v>
      </c>
      <c r="I148" s="161"/>
      <c r="K148" s="50" t="str">
        <v>Headset simples</v>
      </c>
      <c r="L148" s="49">
        <f>SUMIF(Tabela1[Produtos],K148,Tabela1[Quantidade])</f>
        <v>1</v>
      </c>
      <c r="M148" s="37">
        <f>SUMIF(Tabela1[Produtos],K148,Tabela1[Valor gasto])</f>
        <v>30</v>
      </c>
      <c r="N148" s="37">
        <f>SUMIF(Tabela1[Produtos],K148,Tabela1[Valor venddo])</f>
        <v>80</v>
      </c>
      <c r="O148" s="37">
        <f>SUMIF(Tabela1[Produtos],K148,Tabela1[Valor do lucro])</f>
        <v>50</v>
      </c>
      <c r="Q148" s="50"/>
      <c r="R148" s="49"/>
      <c r="S148" s="37"/>
      <c r="T148" s="37"/>
      <c r="U148" s="37"/>
    </row>
    <row r="149" spans="1:21" ht="15.75" x14ac:dyDescent="0.25">
      <c r="A149" s="158">
        <v>548</v>
      </c>
      <c r="B149" s="7" t="s">
        <v>303</v>
      </c>
      <c r="C149" s="14">
        <v>1</v>
      </c>
      <c r="D149" s="61">
        <v>100</v>
      </c>
      <c r="E149" s="61">
        <v>110</v>
      </c>
      <c r="F149" s="61">
        <f>E149-D149</f>
        <v>10</v>
      </c>
      <c r="G149" s="8" t="s">
        <v>15</v>
      </c>
      <c r="H149" s="8" t="s">
        <v>113</v>
      </c>
      <c r="I149" s="161"/>
      <c r="K149" s="50" t="str">
        <v>Hub Usb 2.0 4 Portas - Extensor Hi-Speed 480mbps LEY-11 - Lehmox</v>
      </c>
      <c r="L149" s="49">
        <f>SUMIF(Tabela1[Produtos],K149,Tabela1[Quantidade])</f>
        <v>2</v>
      </c>
      <c r="M149" s="37">
        <f>SUMIF(Tabela1[Produtos],K149,Tabela1[Valor gasto])</f>
        <v>14</v>
      </c>
      <c r="N149" s="37">
        <f>SUMIF(Tabela1[Produtos],K149,Tabela1[Valor venddo])</f>
        <v>31.43</v>
      </c>
      <c r="O149" s="37">
        <f>SUMIF(Tabela1[Produtos],K149,Tabela1[Valor do lucro])</f>
        <v>17.43</v>
      </c>
      <c r="Q149" s="50"/>
      <c r="R149" s="49"/>
      <c r="S149" s="37"/>
      <c r="T149" s="37"/>
      <c r="U149" s="37"/>
    </row>
    <row r="150" spans="1:21" ht="15.75" x14ac:dyDescent="0.25">
      <c r="A150" s="158">
        <v>109</v>
      </c>
      <c r="B150" s="45" t="s">
        <v>126</v>
      </c>
      <c r="C150" s="17">
        <v>12</v>
      </c>
      <c r="D150" s="58">
        <v>108</v>
      </c>
      <c r="E150" s="58">
        <v>329.42</v>
      </c>
      <c r="F150" s="58">
        <v>221.42000000000002</v>
      </c>
      <c r="G150" s="8" t="s">
        <v>15</v>
      </c>
      <c r="H150" s="57" t="s">
        <v>6</v>
      </c>
      <c r="I150" s="159"/>
      <c r="K150" s="50" t="str">
        <v>Jogo Chaves Precisão 31 Peças Celular Notebooks Relojoeiro!</v>
      </c>
      <c r="L150" s="49">
        <f>SUMIF(Tabela1[Produtos],K150,Tabela1[Quantidade])</f>
        <v>4</v>
      </c>
      <c r="M150" s="37">
        <f>SUMIF(Tabela1[Produtos],K150,Tabela1[Valor gasto])</f>
        <v>40</v>
      </c>
      <c r="N150" s="37">
        <f>SUMIF(Tabela1[Produtos],K150,Tabela1[Valor venddo])</f>
        <v>74.819999999999993</v>
      </c>
      <c r="O150" s="37">
        <f>SUMIF(Tabela1[Produtos],K150,Tabela1[Valor do lucro])</f>
        <v>40.78</v>
      </c>
      <c r="Q150" s="50"/>
      <c r="R150" s="49"/>
      <c r="S150" s="37"/>
      <c r="T150" s="37"/>
      <c r="U150" s="37"/>
    </row>
    <row r="151" spans="1:21" ht="15.75" x14ac:dyDescent="0.25">
      <c r="A151" s="158">
        <v>299</v>
      </c>
      <c r="B151" s="45" t="s">
        <v>126</v>
      </c>
      <c r="C151" s="126">
        <v>1</v>
      </c>
      <c r="D151" s="127">
        <v>9</v>
      </c>
      <c r="E151" s="127">
        <v>17.760000000000002</v>
      </c>
      <c r="F151" s="127">
        <v>8.7600000000000016</v>
      </c>
      <c r="G151" s="8" t="s">
        <v>3</v>
      </c>
      <c r="H151" s="8" t="s">
        <v>114</v>
      </c>
      <c r="I151" s="161"/>
      <c r="K151" s="50" t="str">
        <v>Jogo De Chave De Vela 6 Peças Monalisa</v>
      </c>
      <c r="L151" s="49">
        <f>SUMIF(Tabela1[Produtos],K151,Tabela1[Quantidade])</f>
        <v>3</v>
      </c>
      <c r="M151" s="37">
        <f>SUMIF(Tabela1[Produtos],K151,Tabela1[Valor gasto])</f>
        <v>48</v>
      </c>
      <c r="N151" s="37">
        <f>SUMIF(Tabela1[Produtos],K151,Tabela1[Valor venddo])</f>
        <v>71.84</v>
      </c>
      <c r="O151" s="37">
        <f>SUMIF(Tabela1[Produtos],K151,Tabela1[Valor do lucro])</f>
        <v>46.010000000000005</v>
      </c>
      <c r="Q151" s="50"/>
      <c r="R151" s="49"/>
      <c r="S151" s="37"/>
      <c r="T151" s="37"/>
      <c r="U151" s="37"/>
    </row>
    <row r="152" spans="1:21" ht="15.75" x14ac:dyDescent="0.25">
      <c r="A152" s="158">
        <v>511</v>
      </c>
      <c r="B152" s="45" t="s">
        <v>126</v>
      </c>
      <c r="C152" s="129">
        <v>1</v>
      </c>
      <c r="D152" s="61">
        <v>9</v>
      </c>
      <c r="E152" s="127">
        <v>19.510000000000002</v>
      </c>
      <c r="F152" s="61">
        <f>SUM(E152-D152)</f>
        <v>10.510000000000002</v>
      </c>
      <c r="G152" s="8" t="s">
        <v>15</v>
      </c>
      <c r="H152" s="8" t="s">
        <v>114</v>
      </c>
      <c r="I152" s="160"/>
      <c r="K152" s="50" t="str">
        <v>Jogo De Chave Torx E Allen 8 Pecas - Nipo - Sq</v>
      </c>
      <c r="L152" s="49">
        <f>SUMIF(Tabela1[Produtos],K152,Tabela1[Quantidade])</f>
        <v>36</v>
      </c>
      <c r="M152" s="37">
        <f>SUMIF(Tabela1[Produtos],K152,Tabela1[Valor gasto])</f>
        <v>45</v>
      </c>
      <c r="N152" s="37">
        <f>SUMIF(Tabela1[Produtos],K152,Tabela1[Valor venddo])</f>
        <v>224.21999999999997</v>
      </c>
      <c r="O152" s="37">
        <f>SUMIF(Tabela1[Produtos],K152,Tabela1[Valor do lucro])</f>
        <v>118.63999999999999</v>
      </c>
      <c r="Q152" s="50"/>
      <c r="R152" s="49"/>
      <c r="S152" s="37"/>
      <c r="T152" s="37"/>
      <c r="U152" s="37"/>
    </row>
    <row r="153" spans="1:21" ht="15.75" x14ac:dyDescent="0.25">
      <c r="A153" s="158">
        <v>443</v>
      </c>
      <c r="B153" s="45" t="s">
        <v>126</v>
      </c>
      <c r="C153" s="14">
        <v>1</v>
      </c>
      <c r="D153" s="128">
        <v>9.99</v>
      </c>
      <c r="E153" s="61">
        <v>20</v>
      </c>
      <c r="F153" s="61">
        <f>E153-D153</f>
        <v>10.01</v>
      </c>
      <c r="G153" s="8" t="s">
        <v>15</v>
      </c>
      <c r="H153" s="8" t="s">
        <v>113</v>
      </c>
      <c r="I153" s="160"/>
      <c r="K153" s="50" t="str">
        <v>Jogo de linha para costura - 123 Útil</v>
      </c>
      <c r="L153" s="49">
        <f>SUMIF(Tabela1[Produtos],K153,Tabela1[Quantidade])</f>
        <v>4</v>
      </c>
      <c r="M153" s="37">
        <f>SUMIF(Tabela1[Produtos],K153,Tabela1[Valor gasto])</f>
        <v>18</v>
      </c>
      <c r="N153" s="37">
        <f>SUMIF(Tabela1[Produtos],K153,Tabela1[Valor venddo])</f>
        <v>43.36</v>
      </c>
      <c r="O153" s="37">
        <f>SUMIF(Tabela1[Produtos],K153,Tabela1[Valor do lucro])</f>
        <v>25.360000000000003</v>
      </c>
      <c r="Q153" s="45"/>
      <c r="R153" s="49"/>
      <c r="S153" s="37"/>
      <c r="T153" s="37"/>
      <c r="U153" s="37"/>
    </row>
    <row r="154" spans="1:21" ht="15.75" x14ac:dyDescent="0.25">
      <c r="A154" s="158">
        <v>444</v>
      </c>
      <c r="B154" s="45" t="s">
        <v>248</v>
      </c>
      <c r="C154" s="14">
        <v>1</v>
      </c>
      <c r="D154" s="128">
        <v>10</v>
      </c>
      <c r="E154" s="61">
        <v>59.41</v>
      </c>
      <c r="F154" s="61">
        <f>E154-D154</f>
        <v>49.41</v>
      </c>
      <c r="G154" s="8" t="s">
        <v>15</v>
      </c>
      <c r="H154" s="8" t="s">
        <v>113</v>
      </c>
      <c r="I154" s="160"/>
      <c r="K154" s="50" t="str">
        <v>Jogo Kit De Ponta Montada 5 Peças</v>
      </c>
      <c r="L154" s="49">
        <f>SUMIF(Tabela1[Produtos],K154,Tabela1[Quantidade])</f>
        <v>2</v>
      </c>
      <c r="M154" s="37">
        <f>SUMIF(Tabela1[Produtos],K154,Tabela1[Valor gasto])</f>
        <v>14.5</v>
      </c>
      <c r="N154" s="37">
        <f>SUMIF(Tabela1[Produtos],K154,Tabela1[Valor venddo])</f>
        <v>48.980000000000004</v>
      </c>
      <c r="O154" s="37">
        <f>SUMIF(Tabela1[Produtos],K154,Tabela1[Valor do lucro])</f>
        <v>34.480000000000004</v>
      </c>
      <c r="Q154" s="50"/>
      <c r="R154" s="49"/>
      <c r="S154" s="37"/>
      <c r="T154" s="37"/>
      <c r="U154" s="37"/>
    </row>
    <row r="155" spans="1:21" ht="15.75" x14ac:dyDescent="0.25">
      <c r="A155" s="158">
        <v>704</v>
      </c>
      <c r="B155" s="45" t="s">
        <v>316</v>
      </c>
      <c r="C155" s="17">
        <v>2</v>
      </c>
      <c r="D155" s="132">
        <v>7</v>
      </c>
      <c r="E155" s="61">
        <v>39.93</v>
      </c>
      <c r="F155" s="61">
        <v>25.93</v>
      </c>
      <c r="G155" s="8" t="s">
        <v>15</v>
      </c>
      <c r="H155" s="8" t="s">
        <v>114</v>
      </c>
      <c r="I155" s="161"/>
      <c r="K155" s="50" t="str">
        <v>Kit 01 Lol Bolsa + 01 Caneca + 01 Boneca Surpresa</v>
      </c>
      <c r="L155" s="49">
        <f>SUMIF(Tabela1[Produtos],K155,Tabela1[Quantidade])</f>
        <v>1</v>
      </c>
      <c r="M155" s="37">
        <f>SUMIF(Tabela1[Produtos],K155,Tabela1[Valor gasto])</f>
        <v>12</v>
      </c>
      <c r="N155" s="37">
        <f>SUMIF(Tabela1[Produtos],K155,Tabela1[Valor venddo])</f>
        <v>37.15</v>
      </c>
      <c r="O155" s="37">
        <f>SUMIF(Tabela1[Produtos],K155,Tabela1[Valor do lucro])</f>
        <v>25.15</v>
      </c>
      <c r="Q155" s="50"/>
      <c r="R155" s="49"/>
      <c r="S155" s="37"/>
      <c r="T155" s="37"/>
      <c r="U155" s="37"/>
    </row>
    <row r="156" spans="1:21" ht="15.75" x14ac:dyDescent="0.25">
      <c r="A156" s="158">
        <v>597</v>
      </c>
      <c r="B156" s="45" t="s">
        <v>316</v>
      </c>
      <c r="C156" s="14">
        <v>1</v>
      </c>
      <c r="D156" s="127">
        <v>8</v>
      </c>
      <c r="E156" s="127">
        <v>20.88</v>
      </c>
      <c r="F156" s="61">
        <f t="shared" ref="F156:F167" si="3">E156-D156</f>
        <v>12.879999999999999</v>
      </c>
      <c r="G156" s="8" t="s">
        <v>15</v>
      </c>
      <c r="H156" s="8" t="s">
        <v>113</v>
      </c>
      <c r="I156" s="161"/>
      <c r="K156" s="50" t="str">
        <v>Kit 30 Peças Reparo Bike Remendo Pneu Ferramentas Bicicleta</v>
      </c>
      <c r="L156" s="49">
        <f>SUMIF(Tabela1[Produtos],K156,Tabela1[Quantidade])</f>
        <v>59</v>
      </c>
      <c r="M156" s="37">
        <f>SUMIF(Tabela1[Produtos],K156,Tabela1[Valor gasto])</f>
        <v>1988</v>
      </c>
      <c r="N156" s="37">
        <f>SUMIF(Tabela1[Produtos],K156,Tabela1[Valor venddo])</f>
        <v>4207.6099999999997</v>
      </c>
      <c r="O156" s="37">
        <f>SUMIF(Tabela1[Produtos],K156,Tabela1[Valor do lucro])</f>
        <v>2042.2800000000002</v>
      </c>
      <c r="Q156" s="50"/>
      <c r="R156" s="49"/>
      <c r="S156" s="37"/>
      <c r="T156" s="37"/>
      <c r="U156" s="37"/>
    </row>
    <row r="157" spans="1:21" ht="15.75" x14ac:dyDescent="0.25">
      <c r="A157" s="158">
        <v>196</v>
      </c>
      <c r="B157" s="12" t="s">
        <v>150</v>
      </c>
      <c r="C157" s="14">
        <v>1</v>
      </c>
      <c r="D157" s="61">
        <v>13</v>
      </c>
      <c r="E157" s="61">
        <v>30</v>
      </c>
      <c r="F157" s="61">
        <f t="shared" si="3"/>
        <v>17</v>
      </c>
      <c r="G157" s="8" t="s">
        <v>15</v>
      </c>
      <c r="H157" s="8" t="s">
        <v>113</v>
      </c>
      <c r="I157" s="159"/>
      <c r="K157" s="50" t="str">
        <v>Kit Agulha Mão Agulheiro Costura Passador Linha</v>
      </c>
      <c r="L157" s="49">
        <f>SUMIF(Tabela1[Produtos],K157,Tabela1[Quantidade])</f>
        <v>1</v>
      </c>
      <c r="M157" s="37">
        <f>SUMIF(Tabela1[Produtos],K157,Tabela1[Valor gasto])</f>
        <v>1</v>
      </c>
      <c r="N157" s="37">
        <f>SUMIF(Tabela1[Produtos],K157,Tabela1[Valor venddo])</f>
        <v>2.06</v>
      </c>
      <c r="O157" s="37">
        <f>SUMIF(Tabela1[Produtos],K157,Tabela1[Valor do lucro])</f>
        <v>1.06</v>
      </c>
      <c r="Q157" s="50"/>
      <c r="R157" s="49"/>
      <c r="S157" s="37"/>
      <c r="T157" s="37"/>
      <c r="U157" s="37"/>
    </row>
    <row r="158" spans="1:21" ht="15.75" x14ac:dyDescent="0.25">
      <c r="A158" s="158">
        <v>598</v>
      </c>
      <c r="B158" s="45" t="s">
        <v>317</v>
      </c>
      <c r="C158" s="14">
        <v>1</v>
      </c>
      <c r="D158" s="127">
        <v>4</v>
      </c>
      <c r="E158" s="127">
        <v>12.96</v>
      </c>
      <c r="F158" s="61">
        <f t="shared" si="3"/>
        <v>8.9600000000000009</v>
      </c>
      <c r="G158" s="8" t="s">
        <v>15</v>
      </c>
      <c r="H158" s="8" t="s">
        <v>113</v>
      </c>
      <c r="I158" s="161"/>
      <c r="K158" s="50" t="str">
        <v>Kit Agulha Mão Agulheiro Costura Passador Linha 44 Peças.</v>
      </c>
      <c r="L158" s="49">
        <f>SUMIF(Tabela1[Produtos],K158,Tabela1[Quantidade])</f>
        <v>1</v>
      </c>
      <c r="M158" s="37">
        <f>SUMIF(Tabela1[Produtos],K158,Tabela1[Valor gasto])</f>
        <v>1</v>
      </c>
      <c r="N158" s="37">
        <f>SUMIF(Tabela1[Produtos],K158,Tabela1[Valor venddo])</f>
        <v>7.3</v>
      </c>
      <c r="O158" s="37">
        <f>SUMIF(Tabela1[Produtos],K158,Tabela1[Valor do lucro])</f>
        <v>6.3</v>
      </c>
      <c r="Q158" s="50"/>
      <c r="R158" s="49"/>
      <c r="S158" s="37"/>
      <c r="T158" s="37"/>
      <c r="U158" s="37"/>
    </row>
    <row r="159" spans="1:21" ht="15.75" x14ac:dyDescent="0.25">
      <c r="A159" s="158">
        <v>445</v>
      </c>
      <c r="B159" s="45" t="s">
        <v>249</v>
      </c>
      <c r="C159" s="14">
        <v>1</v>
      </c>
      <c r="D159" s="128">
        <v>70</v>
      </c>
      <c r="E159" s="61">
        <v>179.75</v>
      </c>
      <c r="F159" s="61">
        <f t="shared" si="3"/>
        <v>109.75</v>
      </c>
      <c r="G159" s="8" t="s">
        <v>15</v>
      </c>
      <c r="H159" s="8" t="s">
        <v>113</v>
      </c>
      <c r="I159" s="160"/>
      <c r="K159" s="50" t="str">
        <v>Kit Agulha Mão Agulheiro Costura Passador Linha Peças.</v>
      </c>
      <c r="L159" s="49">
        <f>SUMIF(Tabela1[Produtos],K159,Tabela1[Quantidade])</f>
        <v>4</v>
      </c>
      <c r="M159" s="37">
        <f>SUMIF(Tabela1[Produtos],K159,Tabela1[Valor gasto])</f>
        <v>2</v>
      </c>
      <c r="N159" s="37">
        <f>SUMIF(Tabela1[Produtos],K159,Tabela1[Valor venddo])</f>
        <v>7.09</v>
      </c>
      <c r="O159" s="37">
        <f>SUMIF(Tabela1[Produtos],K159,Tabela1[Valor do lucro])</f>
        <v>3.09</v>
      </c>
      <c r="Q159" s="50"/>
      <c r="R159" s="49"/>
      <c r="S159" s="37"/>
      <c r="T159" s="37"/>
      <c r="U159" s="37"/>
    </row>
    <row r="160" spans="1:21" ht="15.75" x14ac:dyDescent="0.25">
      <c r="A160" s="158">
        <v>337</v>
      </c>
      <c r="B160" s="10" t="s">
        <v>212</v>
      </c>
      <c r="C160" s="14">
        <v>1</v>
      </c>
      <c r="D160" s="61">
        <v>3</v>
      </c>
      <c r="E160" s="61">
        <v>10</v>
      </c>
      <c r="F160" s="61">
        <f t="shared" si="3"/>
        <v>7</v>
      </c>
      <c r="G160" s="8" t="s">
        <v>15</v>
      </c>
      <c r="H160" s="8" t="s">
        <v>113</v>
      </c>
      <c r="I160" s="160"/>
      <c r="K160" s="50" t="str">
        <v>Kit Broca De Aço Rápido P/metal 5,0mm Polida 10 Pçs 715509 Mtx</v>
      </c>
      <c r="L160" s="49">
        <f>SUMIF(Tabela1[Produtos],K160,Tabela1[Quantidade])</f>
        <v>1</v>
      </c>
      <c r="M160" s="37">
        <f>SUMIF(Tabela1[Produtos],K160,Tabela1[Valor gasto])</f>
        <v>16</v>
      </c>
      <c r="N160" s="37">
        <f>SUMIF(Tabela1[Produtos],K160,Tabela1[Valor venddo])</f>
        <v>16</v>
      </c>
      <c r="O160" s="37">
        <f>SUMIF(Tabela1[Produtos],K160,Tabela1[Valor do lucro])</f>
        <v>23.560000000000002</v>
      </c>
      <c r="Q160" s="50"/>
      <c r="R160" s="49"/>
      <c r="S160" s="37"/>
      <c r="T160" s="37"/>
      <c r="U160" s="37"/>
    </row>
    <row r="161" spans="1:21" ht="15.75" x14ac:dyDescent="0.25">
      <c r="A161" s="158">
        <v>577</v>
      </c>
      <c r="B161" s="7" t="s">
        <v>390</v>
      </c>
      <c r="C161" s="14">
        <v>1</v>
      </c>
      <c r="D161" s="61">
        <v>7.5</v>
      </c>
      <c r="E161" s="61">
        <v>15</v>
      </c>
      <c r="F161" s="61">
        <f t="shared" si="3"/>
        <v>7.5</v>
      </c>
      <c r="G161" s="8" t="s">
        <v>15</v>
      </c>
      <c r="H161" s="8" t="s">
        <v>113</v>
      </c>
      <c r="I161" s="161"/>
      <c r="K161" s="50" t="str">
        <v>KIT CHAVE CATRACA COM PONTAS E SOQUETES 17 PEÇAS 123ÚTIL</v>
      </c>
      <c r="L161" s="49">
        <f>SUMIF(Tabela1[Produtos],K161,Tabela1[Quantidade])</f>
        <v>1</v>
      </c>
      <c r="M161" s="37">
        <f>SUMIF(Tabela1[Produtos],K161,Tabela1[Valor gasto])</f>
        <v>12</v>
      </c>
      <c r="N161" s="37">
        <f>SUMIF(Tabela1[Produtos],K161,Tabela1[Valor venddo])</f>
        <v>36.770000000000003</v>
      </c>
      <c r="O161" s="37">
        <f>SUMIF(Tabela1[Produtos],K161,Tabela1[Valor do lucro])</f>
        <v>24.770000000000003</v>
      </c>
      <c r="Q161" s="50"/>
      <c r="R161" s="49"/>
      <c r="S161" s="37"/>
      <c r="T161" s="37"/>
      <c r="U161" s="37"/>
    </row>
    <row r="162" spans="1:21" ht="15.75" x14ac:dyDescent="0.25">
      <c r="A162" s="158">
        <v>750</v>
      </c>
      <c r="B162" s="7" t="s">
        <v>390</v>
      </c>
      <c r="C162" s="14">
        <v>1</v>
      </c>
      <c r="D162" s="61">
        <v>7.5</v>
      </c>
      <c r="E162" s="61">
        <v>15</v>
      </c>
      <c r="F162" s="61">
        <f t="shared" si="3"/>
        <v>7.5</v>
      </c>
      <c r="G162" s="8" t="s">
        <v>15</v>
      </c>
      <c r="H162" s="8" t="s">
        <v>113</v>
      </c>
      <c r="I162" s="161"/>
      <c r="K162" s="50" t="str">
        <v>Kit Com 10 Mini Fusível Para Automóvel Nacional E Importado</v>
      </c>
      <c r="L162" s="49">
        <f>SUMIF(Tabela1[Produtos],K162,Tabela1[Quantidade])</f>
        <v>4</v>
      </c>
      <c r="M162" s="37">
        <f>SUMIF(Tabela1[Produtos],K162,Tabela1[Valor gasto])</f>
        <v>9</v>
      </c>
      <c r="N162" s="37">
        <f>SUMIF(Tabela1[Produtos],K162,Tabela1[Valor venddo])</f>
        <v>30.7</v>
      </c>
      <c r="O162" s="37">
        <f>SUMIF(Tabela1[Produtos],K162,Tabela1[Valor do lucro])</f>
        <v>21.700000000000003</v>
      </c>
      <c r="Q162" s="50"/>
      <c r="R162" s="49"/>
      <c r="S162" s="37"/>
      <c r="T162" s="37"/>
      <c r="U162" s="37"/>
    </row>
    <row r="163" spans="1:21" ht="15.75" x14ac:dyDescent="0.25">
      <c r="A163" s="158">
        <v>797</v>
      </c>
      <c r="B163" s="7" t="s">
        <v>390</v>
      </c>
      <c r="C163" s="14">
        <v>1</v>
      </c>
      <c r="D163" s="61">
        <v>7.5</v>
      </c>
      <c r="E163" s="61">
        <v>15</v>
      </c>
      <c r="F163" s="61">
        <f t="shared" si="3"/>
        <v>7.5</v>
      </c>
      <c r="G163" s="8" t="s">
        <v>15</v>
      </c>
      <c r="H163" s="8" t="s">
        <v>113</v>
      </c>
      <c r="I163" s="161"/>
      <c r="K163" s="50" t="str">
        <v>Kit Com 15 Tipo De Botoes Diversos Costura</v>
      </c>
      <c r="L163" s="49">
        <f>SUMIF(Tabela1[Produtos],K163,Tabela1[Quantidade])</f>
        <v>30</v>
      </c>
      <c r="M163" s="37">
        <f>SUMIF(Tabela1[Produtos],K163,Tabela1[Valor gasto])</f>
        <v>93.5</v>
      </c>
      <c r="N163" s="37">
        <f>SUMIF(Tabela1[Produtos],K163,Tabela1[Valor venddo])</f>
        <v>274.75</v>
      </c>
      <c r="O163" s="37">
        <f>SUMIF(Tabela1[Produtos],K163,Tabela1[Valor do lucro])</f>
        <v>233.59000000000003</v>
      </c>
      <c r="Q163" s="50"/>
      <c r="R163" s="49"/>
      <c r="S163" s="37"/>
      <c r="T163" s="37"/>
      <c r="U163" s="37"/>
    </row>
    <row r="164" spans="1:21" ht="15.75" x14ac:dyDescent="0.25">
      <c r="A164" s="158">
        <v>100</v>
      </c>
      <c r="B164" s="7" t="s">
        <v>390</v>
      </c>
      <c r="C164" s="14">
        <v>1</v>
      </c>
      <c r="D164" s="61">
        <v>2.8</v>
      </c>
      <c r="E164" s="61">
        <v>10</v>
      </c>
      <c r="F164" s="61">
        <f t="shared" si="3"/>
        <v>7.2</v>
      </c>
      <c r="G164" s="8" t="s">
        <v>15</v>
      </c>
      <c r="H164" s="8" t="s">
        <v>113</v>
      </c>
      <c r="I164" s="159"/>
      <c r="K164" s="50" t="str">
        <v>Kit Com 15 Tipo De Botões Diversos Costura</v>
      </c>
      <c r="L164" s="49">
        <f>SUMIF(Tabela1[Produtos],K164,Tabela1[Quantidade])</f>
        <v>1</v>
      </c>
      <c r="M164" s="37">
        <f>SUMIF(Tabela1[Produtos],K164,Tabela1[Valor gasto])</f>
        <v>15</v>
      </c>
      <c r="N164" s="37">
        <f>SUMIF(Tabela1[Produtos],K164,Tabela1[Valor venddo])</f>
        <v>48.800000000000004</v>
      </c>
      <c r="O164" s="37">
        <f>SUMIF(Tabela1[Produtos],K164,Tabela1[Valor do lucro])</f>
        <v>33.800000000000004</v>
      </c>
      <c r="Q164" s="50"/>
      <c r="R164" s="49"/>
      <c r="S164" s="37"/>
      <c r="T164" s="37"/>
      <c r="U164" s="37"/>
    </row>
    <row r="165" spans="1:21" ht="15.75" x14ac:dyDescent="0.25">
      <c r="A165" s="158">
        <v>575</v>
      </c>
      <c r="B165" s="7" t="s">
        <v>307</v>
      </c>
      <c r="C165" s="14">
        <v>1</v>
      </c>
      <c r="D165" s="61">
        <v>10</v>
      </c>
      <c r="E165" s="61">
        <v>20</v>
      </c>
      <c r="F165" s="61">
        <f t="shared" si="3"/>
        <v>10</v>
      </c>
      <c r="G165" s="8" t="s">
        <v>15</v>
      </c>
      <c r="H165" s="8" t="s">
        <v>113</v>
      </c>
      <c r="I165" s="161"/>
      <c r="K165" s="50" t="str">
        <v>Kit Costura Agulha Dedal Linha</v>
      </c>
      <c r="L165" s="49">
        <f>SUMIF(Tabela1[Produtos],K165,Tabela1[Quantidade])</f>
        <v>4</v>
      </c>
      <c r="M165" s="37">
        <f>SUMIF(Tabela1[Produtos],K165,Tabela1[Valor gasto])</f>
        <v>12</v>
      </c>
      <c r="N165" s="37">
        <f>SUMIF(Tabela1[Produtos],K165,Tabela1[Valor venddo])</f>
        <v>36.94</v>
      </c>
      <c r="O165" s="37">
        <f>SUMIF(Tabela1[Produtos],K165,Tabela1[Valor do lucro])</f>
        <v>24.94</v>
      </c>
      <c r="Q165" s="50"/>
      <c r="R165" s="49"/>
      <c r="S165" s="37"/>
      <c r="T165" s="37"/>
      <c r="U165" s="37"/>
    </row>
    <row r="166" spans="1:21" ht="15.75" x14ac:dyDescent="0.25">
      <c r="A166" s="158">
        <v>576</v>
      </c>
      <c r="B166" s="7" t="s">
        <v>307</v>
      </c>
      <c r="C166" s="14">
        <v>1</v>
      </c>
      <c r="D166" s="61">
        <v>10</v>
      </c>
      <c r="E166" s="61">
        <v>20</v>
      </c>
      <c r="F166" s="61">
        <f t="shared" si="3"/>
        <v>10</v>
      </c>
      <c r="G166" s="8" t="s">
        <v>15</v>
      </c>
      <c r="H166" s="8" t="s">
        <v>113</v>
      </c>
      <c r="I166" s="161"/>
      <c r="K166" s="50" t="str">
        <v>kit costura de agulhas de conserto doméstico kit costura cerzir couro carpete roupas</v>
      </c>
      <c r="L166" s="49">
        <f>SUMIF(Tabela1[Produtos],K166,Tabela1[Quantidade])</f>
        <v>1</v>
      </c>
      <c r="M166" s="37">
        <f>SUMIF(Tabela1[Produtos],K166,Tabela1[Valor gasto])</f>
        <v>0</v>
      </c>
      <c r="N166" s="37">
        <f>SUMIF(Tabela1[Produtos],K166,Tabela1[Valor venddo])</f>
        <v>11.09</v>
      </c>
      <c r="O166" s="37">
        <f>SUMIF(Tabela1[Produtos],K166,Tabela1[Valor do lucro])</f>
        <v>11.09</v>
      </c>
      <c r="Q166" s="50"/>
      <c r="R166" s="49"/>
      <c r="S166" s="37"/>
      <c r="T166" s="37"/>
      <c r="U166" s="37"/>
    </row>
    <row r="167" spans="1:21" ht="15.75" x14ac:dyDescent="0.25">
      <c r="A167" s="158">
        <v>819</v>
      </c>
      <c r="B167" s="7" t="s">
        <v>425</v>
      </c>
      <c r="C167" s="14">
        <v>1</v>
      </c>
      <c r="D167" s="61">
        <v>19</v>
      </c>
      <c r="E167" s="61">
        <v>50</v>
      </c>
      <c r="F167" s="61">
        <f t="shared" si="3"/>
        <v>31</v>
      </c>
      <c r="G167" s="8" t="s">
        <v>15</v>
      </c>
      <c r="H167" s="8" t="s">
        <v>113</v>
      </c>
      <c r="I167" s="161"/>
      <c r="K167" s="50" t="str">
        <v>kit costura linhas</v>
      </c>
      <c r="L167" s="49">
        <f>SUMIF(Tabela1[Produtos],K167,Tabela1[Quantidade])</f>
        <v>2</v>
      </c>
      <c r="M167" s="37">
        <f>SUMIF(Tabela1[Produtos],K167,Tabela1[Valor gasto])</f>
        <v>6</v>
      </c>
      <c r="N167" s="37">
        <f>SUMIF(Tabela1[Produtos],K167,Tabela1[Valor venddo])</f>
        <v>15.21</v>
      </c>
      <c r="O167" s="37">
        <f>SUMIF(Tabela1[Produtos],K167,Tabela1[Valor do lucro])</f>
        <v>9.2100000000000009</v>
      </c>
      <c r="Q167" s="50"/>
      <c r="R167" s="49"/>
      <c r="S167" s="37"/>
      <c r="T167" s="37"/>
      <c r="U167" s="37"/>
    </row>
    <row r="168" spans="1:21" ht="15.75" x14ac:dyDescent="0.25">
      <c r="A168" s="158">
        <v>827</v>
      </c>
      <c r="B168" s="45" t="s">
        <v>429</v>
      </c>
      <c r="C168" s="126">
        <v>1</v>
      </c>
      <c r="D168" s="127">
        <v>30</v>
      </c>
      <c r="E168" s="133">
        <v>51.68</v>
      </c>
      <c r="F168" s="127">
        <v>21.68</v>
      </c>
      <c r="G168" s="8" t="s">
        <v>15</v>
      </c>
      <c r="H168" s="8" t="s">
        <v>114</v>
      </c>
      <c r="I168" s="161"/>
      <c r="K168" s="50" t="str">
        <v>Kit De Chaves 16 Em 1 Modelo 2811 Manutenção celular</v>
      </c>
      <c r="L168" s="49">
        <f>SUMIF(Tabela1[Produtos],K168,Tabela1[Quantidade])</f>
        <v>4</v>
      </c>
      <c r="M168" s="37">
        <f>SUMIF(Tabela1[Produtos],K168,Tabela1[Valor gasto])</f>
        <v>99</v>
      </c>
      <c r="N168" s="37">
        <f>SUMIF(Tabela1[Produtos],K168,Tabela1[Valor venddo])</f>
        <v>111.8282</v>
      </c>
      <c r="O168" s="37">
        <f>SUMIF(Tabela1[Produtos],K168,Tabela1[Valor do lucro])</f>
        <v>32.008200000000002</v>
      </c>
      <c r="Q168" s="50"/>
      <c r="R168" s="49"/>
      <c r="S168" s="37"/>
      <c r="T168" s="37"/>
      <c r="U168" s="37"/>
    </row>
    <row r="169" spans="1:21" ht="15.75" x14ac:dyDescent="0.25">
      <c r="A169" s="158">
        <v>765</v>
      </c>
      <c r="B169" s="45" t="s">
        <v>399</v>
      </c>
      <c r="C169" s="126">
        <v>2</v>
      </c>
      <c r="D169" s="127">
        <v>76</v>
      </c>
      <c r="E169" s="127">
        <v>97.94</v>
      </c>
      <c r="F169" s="127">
        <v>21.939999999999998</v>
      </c>
      <c r="G169" s="8" t="s">
        <v>15</v>
      </c>
      <c r="H169" s="8" t="s">
        <v>114</v>
      </c>
      <c r="I169" s="161"/>
      <c r="K169" s="50" t="str">
        <v>Kit De Chaves Precisão 31 Peças Torx Alen Philips Fenda</v>
      </c>
      <c r="L169" s="49">
        <f>SUMIF(Tabela1[Produtos],K169,Tabela1[Quantidade])</f>
        <v>1</v>
      </c>
      <c r="M169" s="37">
        <f>SUMIF(Tabela1[Produtos],K169,Tabela1[Valor gasto])</f>
        <v>10</v>
      </c>
      <c r="N169" s="37">
        <f>SUMIF(Tabela1[Produtos],K169,Tabela1[Valor venddo])</f>
        <v>19.989999999999998</v>
      </c>
      <c r="O169" s="37">
        <f>SUMIF(Tabela1[Produtos],K169,Tabela1[Valor do lucro])</f>
        <v>9.9899999999999984</v>
      </c>
      <c r="Q169" s="50"/>
      <c r="R169" s="49"/>
      <c r="S169" s="37"/>
      <c r="T169" s="37"/>
      <c r="U169" s="37"/>
    </row>
    <row r="170" spans="1:21" ht="15.75" x14ac:dyDescent="0.25">
      <c r="A170" s="158">
        <v>289</v>
      </c>
      <c r="B170" s="7" t="s">
        <v>193</v>
      </c>
      <c r="C170" s="14">
        <v>1</v>
      </c>
      <c r="D170" s="61">
        <v>7</v>
      </c>
      <c r="E170" s="61">
        <v>25</v>
      </c>
      <c r="F170" s="61">
        <f t="shared" ref="F170:F180" si="4">E170-D170</f>
        <v>18</v>
      </c>
      <c r="G170" s="8" t="s">
        <v>3</v>
      </c>
      <c r="H170" s="8" t="s">
        <v>113</v>
      </c>
      <c r="I170" s="161"/>
      <c r="K170" s="50" t="str">
        <v>Kit De Costura 36 Peças Idea</v>
      </c>
      <c r="L170" s="49">
        <f>SUMIF(Tabela1[Produtos],K170,Tabela1[Quantidade])</f>
        <v>1</v>
      </c>
      <c r="M170" s="37">
        <f>SUMIF(Tabela1[Produtos],K170,Tabela1[Valor gasto])</f>
        <v>14</v>
      </c>
      <c r="N170" s="37">
        <f>SUMIF(Tabela1[Produtos],K170,Tabela1[Valor venddo])</f>
        <v>24.4</v>
      </c>
      <c r="O170" s="37">
        <f>SUMIF(Tabela1[Produtos],K170,Tabela1[Valor do lucro])</f>
        <v>10.399999999999999</v>
      </c>
      <c r="Q170" s="50"/>
      <c r="R170" s="49"/>
      <c r="S170" s="37"/>
      <c r="T170" s="37"/>
      <c r="U170" s="37"/>
    </row>
    <row r="171" spans="1:21" ht="15.75" x14ac:dyDescent="0.25">
      <c r="A171" s="158">
        <v>743</v>
      </c>
      <c r="B171" s="7" t="s">
        <v>386</v>
      </c>
      <c r="C171" s="14">
        <v>1</v>
      </c>
      <c r="D171" s="61">
        <v>18</v>
      </c>
      <c r="E171" s="61">
        <v>35</v>
      </c>
      <c r="F171" s="61">
        <f t="shared" si="4"/>
        <v>17</v>
      </c>
      <c r="G171" s="8" t="s">
        <v>15</v>
      </c>
      <c r="H171" s="8" t="s">
        <v>113</v>
      </c>
      <c r="I171" s="161"/>
      <c r="K171" s="50" t="str">
        <v>Kit Estilete + 4 Lápis Carpinteiro/marceneiro</v>
      </c>
      <c r="L171" s="49">
        <f>SUMIF(Tabela1[Produtos],K171,Tabela1[Quantidade])</f>
        <v>1</v>
      </c>
      <c r="M171" s="37">
        <f>SUMIF(Tabela1[Produtos],K171,Tabela1[Valor gasto])</f>
        <v>3</v>
      </c>
      <c r="N171" s="37">
        <f>SUMIF(Tabela1[Produtos],K171,Tabela1[Valor venddo])</f>
        <v>14.25</v>
      </c>
      <c r="O171" s="37">
        <f>SUMIF(Tabela1[Produtos],K171,Tabela1[Valor do lucro])</f>
        <v>11.25</v>
      </c>
      <c r="Q171" s="50"/>
      <c r="R171" s="49"/>
      <c r="S171" s="37"/>
      <c r="T171" s="37"/>
      <c r="U171" s="37"/>
    </row>
    <row r="172" spans="1:21" ht="15.75" x14ac:dyDescent="0.25">
      <c r="A172" s="158">
        <v>745</v>
      </c>
      <c r="B172" s="7" t="s">
        <v>386</v>
      </c>
      <c r="C172" s="14">
        <v>1</v>
      </c>
      <c r="D172" s="61">
        <v>18</v>
      </c>
      <c r="E172" s="61">
        <v>35</v>
      </c>
      <c r="F172" s="61">
        <f t="shared" si="4"/>
        <v>17</v>
      </c>
      <c r="G172" s="8" t="s">
        <v>15</v>
      </c>
      <c r="H172" s="8" t="s">
        <v>113</v>
      </c>
      <c r="I172" s="161"/>
      <c r="K172" s="50" t="str">
        <v>kit manicure</v>
      </c>
      <c r="L172" s="49">
        <f>SUMIF(Tabela1[Produtos],K172,Tabela1[Quantidade])</f>
        <v>1</v>
      </c>
      <c r="M172" s="37">
        <f>SUMIF(Tabela1[Produtos],K172,Tabela1[Valor gasto])</f>
        <v>10</v>
      </c>
      <c r="N172" s="37">
        <f>SUMIF(Tabela1[Produtos],K172,Tabela1[Valor venddo])</f>
        <v>20</v>
      </c>
      <c r="O172" s="37">
        <f>SUMIF(Tabela1[Produtos],K172,Tabela1[Valor do lucro])</f>
        <v>10</v>
      </c>
      <c r="Q172" s="50"/>
      <c r="R172" s="49"/>
      <c r="S172" s="37"/>
      <c r="T172" s="37"/>
      <c r="U172" s="37"/>
    </row>
    <row r="173" spans="1:21" ht="15.75" x14ac:dyDescent="0.25">
      <c r="A173" s="158">
        <v>746</v>
      </c>
      <c r="B173" s="7" t="s">
        <v>386</v>
      </c>
      <c r="C173" s="14">
        <v>1</v>
      </c>
      <c r="D173" s="61">
        <v>18</v>
      </c>
      <c r="E173" s="61">
        <v>35</v>
      </c>
      <c r="F173" s="61">
        <f t="shared" si="4"/>
        <v>17</v>
      </c>
      <c r="G173" s="8" t="s">
        <v>15</v>
      </c>
      <c r="H173" s="8" t="s">
        <v>113</v>
      </c>
      <c r="I173" s="161"/>
      <c r="K173" s="50" t="str">
        <v>kit manicure eletrica</v>
      </c>
      <c r="L173" s="49">
        <f>SUMIF(Tabela1[Produtos],K173,Tabela1[Quantidade])</f>
        <v>1</v>
      </c>
      <c r="M173" s="37">
        <f>SUMIF(Tabela1[Produtos],K173,Tabela1[Valor gasto])</f>
        <v>15</v>
      </c>
      <c r="N173" s="37">
        <f>SUMIF(Tabela1[Produtos],K173,Tabela1[Valor venddo])</f>
        <v>30</v>
      </c>
      <c r="O173" s="37">
        <f>SUMIF(Tabela1[Produtos],K173,Tabela1[Valor do lucro])</f>
        <v>15</v>
      </c>
      <c r="Q173" s="50"/>
      <c r="R173" s="49"/>
      <c r="S173" s="37"/>
      <c r="T173" s="37"/>
      <c r="U173" s="37"/>
    </row>
    <row r="174" spans="1:21" ht="15.75" x14ac:dyDescent="0.25">
      <c r="A174" s="158">
        <v>497</v>
      </c>
      <c r="B174" s="10" t="s">
        <v>272</v>
      </c>
      <c r="C174" s="14">
        <v>1</v>
      </c>
      <c r="D174" s="61">
        <v>6.5</v>
      </c>
      <c r="E174" s="61">
        <v>15</v>
      </c>
      <c r="F174" s="61">
        <f t="shared" si="4"/>
        <v>8.5</v>
      </c>
      <c r="G174" s="8" t="s">
        <v>15</v>
      </c>
      <c r="H174" s="8" t="s">
        <v>113</v>
      </c>
      <c r="I174" s="160"/>
      <c r="K174" s="50" t="str">
        <v>Kit Mini Fusível Com 10 Peça Para Automóvel Nacional E Importado</v>
      </c>
      <c r="L174" s="49">
        <f>SUMIF(Tabela1[Produtos],K174,Tabela1[Quantidade])</f>
        <v>8</v>
      </c>
      <c r="M174" s="37">
        <f>SUMIF(Tabela1[Produtos],K174,Tabela1[Valor gasto])</f>
        <v>19</v>
      </c>
      <c r="N174" s="37">
        <f>SUMIF(Tabela1[Produtos],K174,Tabela1[Valor venddo])</f>
        <v>61.27</v>
      </c>
      <c r="O174" s="37">
        <f>SUMIF(Tabela1[Produtos],K174,Tabela1[Valor do lucro])</f>
        <v>47.77</v>
      </c>
      <c r="Q174" s="50"/>
      <c r="R174" s="49"/>
      <c r="S174" s="37"/>
      <c r="T174" s="37"/>
      <c r="U174" s="37"/>
    </row>
    <row r="175" spans="1:21" ht="15.75" x14ac:dyDescent="0.25">
      <c r="A175" s="158">
        <v>498</v>
      </c>
      <c r="B175" s="10" t="s">
        <v>272</v>
      </c>
      <c r="C175" s="14">
        <v>1</v>
      </c>
      <c r="D175" s="61">
        <v>6.5</v>
      </c>
      <c r="E175" s="61">
        <v>15</v>
      </c>
      <c r="F175" s="61">
        <f t="shared" si="4"/>
        <v>8.5</v>
      </c>
      <c r="G175" s="8" t="s">
        <v>15</v>
      </c>
      <c r="H175" s="8" t="s">
        <v>113</v>
      </c>
      <c r="I175" s="160"/>
      <c r="K175" s="50" t="str">
        <v>Kit para Costura com 20 Peças Portátil SK-18 Western</v>
      </c>
      <c r="L175" s="49">
        <f>SUMIF(Tabela1[Produtos],K175,Tabela1[Quantidade])</f>
        <v>1</v>
      </c>
      <c r="M175" s="37">
        <f>SUMIF(Tabela1[Produtos],K175,Tabela1[Valor gasto])</f>
        <v>3</v>
      </c>
      <c r="N175" s="37">
        <f>SUMIF(Tabela1[Produtos],K175,Tabela1[Valor venddo])</f>
        <v>8.14</v>
      </c>
      <c r="O175" s="37">
        <f>SUMIF(Tabela1[Produtos],K175,Tabela1[Valor do lucro])</f>
        <v>5.1400000000000006</v>
      </c>
      <c r="Q175" s="50"/>
      <c r="R175" s="49"/>
      <c r="S175" s="37"/>
      <c r="T175" s="37"/>
      <c r="U175" s="37"/>
    </row>
    <row r="176" spans="1:21" ht="15.75" x14ac:dyDescent="0.25">
      <c r="A176" s="158">
        <v>744</v>
      </c>
      <c r="B176" s="10" t="s">
        <v>272</v>
      </c>
      <c r="C176" s="14">
        <v>1</v>
      </c>
      <c r="D176" s="61">
        <v>2</v>
      </c>
      <c r="E176" s="61">
        <v>10</v>
      </c>
      <c r="F176" s="61">
        <f t="shared" si="4"/>
        <v>8</v>
      </c>
      <c r="G176" s="8" t="s">
        <v>15</v>
      </c>
      <c r="H176" s="8" t="s">
        <v>113</v>
      </c>
      <c r="I176" s="161"/>
      <c r="K176" s="50" t="str">
        <v>kit reparo bike</v>
      </c>
      <c r="L176" s="49">
        <f>SUMIF(Tabela1[Produtos],K176,Tabela1[Quantidade])</f>
        <v>1</v>
      </c>
      <c r="M176" s="37">
        <f>SUMIF(Tabela1[Produtos],K176,Tabela1[Valor gasto])</f>
        <v>2.5</v>
      </c>
      <c r="N176" s="37">
        <f>SUMIF(Tabela1[Produtos],K176,Tabela1[Valor venddo])</f>
        <v>5</v>
      </c>
      <c r="O176" s="37">
        <f>SUMIF(Tabela1[Produtos],K176,Tabela1[Valor do lucro])</f>
        <v>2.5</v>
      </c>
      <c r="Q176" s="50"/>
      <c r="R176" s="49"/>
      <c r="S176" s="37"/>
      <c r="T176" s="37"/>
      <c r="U176" s="37"/>
    </row>
    <row r="177" spans="1:21" ht="15.75" x14ac:dyDescent="0.25">
      <c r="A177" s="158">
        <v>645</v>
      </c>
      <c r="B177" s="7" t="s">
        <v>332</v>
      </c>
      <c r="C177" s="14">
        <v>1</v>
      </c>
      <c r="D177" s="61">
        <v>15</v>
      </c>
      <c r="E177" s="61">
        <v>30</v>
      </c>
      <c r="F177" s="61">
        <f t="shared" si="4"/>
        <v>15</v>
      </c>
      <c r="G177" s="8" t="s">
        <v>15</v>
      </c>
      <c r="H177" s="8" t="s">
        <v>113</v>
      </c>
      <c r="I177" s="161"/>
      <c r="K177" s="50" t="str">
        <v>KIT REPARO DE PNEU AUTOMOTIVO C/ 6 PCS SQ</v>
      </c>
      <c r="L177" s="49">
        <f>SUMIF(Tabela1[Produtos],K177,Tabela1[Quantidade])</f>
        <v>4</v>
      </c>
      <c r="M177" s="37">
        <f>SUMIF(Tabela1[Produtos],K177,Tabela1[Valor gasto])</f>
        <v>30</v>
      </c>
      <c r="N177" s="37">
        <f>SUMIF(Tabela1[Produtos],K177,Tabela1[Valor venddo])</f>
        <v>58.519999999999996</v>
      </c>
      <c r="O177" s="37">
        <f>SUMIF(Tabela1[Produtos],K177,Tabela1[Valor do lucro])</f>
        <v>28.52</v>
      </c>
      <c r="Q177" s="50"/>
      <c r="R177" s="49"/>
      <c r="S177" s="37"/>
      <c r="T177" s="37"/>
      <c r="U177" s="37"/>
    </row>
    <row r="178" spans="1:21" ht="15.75" x14ac:dyDescent="0.25">
      <c r="A178" s="158">
        <v>875</v>
      </c>
      <c r="B178" s="7" t="s">
        <v>456</v>
      </c>
      <c r="C178" s="14">
        <v>1</v>
      </c>
      <c r="D178" s="61">
        <v>10</v>
      </c>
      <c r="E178" s="61">
        <v>15</v>
      </c>
      <c r="F178" s="61">
        <f t="shared" si="4"/>
        <v>5</v>
      </c>
      <c r="G178" s="8" t="s">
        <v>15</v>
      </c>
      <c r="H178" s="8" t="s">
        <v>113</v>
      </c>
      <c r="I178" s="161"/>
      <c r="K178" s="50" t="str">
        <v>kit Reparo De Pneu Bicicleta</v>
      </c>
      <c r="L178" s="49">
        <f>SUMIF(Tabela1[Produtos],K178,Tabela1[Quantidade])</f>
        <v>1</v>
      </c>
      <c r="M178" s="37">
        <f>SUMIF(Tabela1[Produtos],K178,Tabela1[Valor gasto])</f>
        <v>5</v>
      </c>
      <c r="N178" s="37">
        <f>SUMIF(Tabela1[Produtos],K178,Tabela1[Valor venddo])</f>
        <v>12.07</v>
      </c>
      <c r="O178" s="37">
        <f>SUMIF(Tabela1[Produtos],K178,Tabela1[Valor do lucro])</f>
        <v>7.07</v>
      </c>
      <c r="Q178" s="50"/>
      <c r="R178" s="49"/>
      <c r="S178" s="37"/>
      <c r="T178" s="37"/>
      <c r="U178" s="37"/>
    </row>
    <row r="179" spans="1:21" ht="15.75" x14ac:dyDescent="0.25">
      <c r="A179" s="158">
        <v>798</v>
      </c>
      <c r="B179" s="7" t="s">
        <v>420</v>
      </c>
      <c r="C179" s="14">
        <v>1</v>
      </c>
      <c r="D179" s="61">
        <v>20</v>
      </c>
      <c r="E179" s="61">
        <v>50</v>
      </c>
      <c r="F179" s="61">
        <f t="shared" si="4"/>
        <v>30</v>
      </c>
      <c r="G179" s="8" t="s">
        <v>15</v>
      </c>
      <c r="H179" s="8" t="s">
        <v>113</v>
      </c>
      <c r="I179" s="161"/>
      <c r="K179" s="50" t="str">
        <v>Kit Reparo Para Pneu Sem Câmara</v>
      </c>
      <c r="L179" s="49">
        <f>SUMIF(Tabela1[Produtos],K179,Tabela1[Quantidade])</f>
        <v>2</v>
      </c>
      <c r="M179" s="37">
        <f>SUMIF(Tabela1[Produtos],K179,Tabela1[Valor gasto])</f>
        <v>115</v>
      </c>
      <c r="N179" s="37">
        <f>SUMIF(Tabela1[Produtos],K179,Tabela1[Valor venddo])</f>
        <v>229.1</v>
      </c>
      <c r="O179" s="37">
        <f>SUMIF(Tabela1[Produtos],K179,Tabela1[Valor do lucro])</f>
        <v>114.1</v>
      </c>
      <c r="Q179" s="50"/>
      <c r="R179" s="49"/>
      <c r="S179" s="37"/>
      <c r="T179" s="37"/>
      <c r="U179" s="37"/>
    </row>
    <row r="180" spans="1:21" ht="15.75" x14ac:dyDescent="0.25">
      <c r="A180" s="158">
        <v>11</v>
      </c>
      <c r="B180" s="12" t="s">
        <v>24</v>
      </c>
      <c r="C180" s="14">
        <v>1</v>
      </c>
      <c r="D180" s="61">
        <v>30</v>
      </c>
      <c r="E180" s="61">
        <v>50</v>
      </c>
      <c r="F180" s="61">
        <f t="shared" si="4"/>
        <v>20</v>
      </c>
      <c r="G180" s="8" t="s">
        <v>15</v>
      </c>
      <c r="H180" s="8" t="s">
        <v>113</v>
      </c>
      <c r="I180" s="159"/>
      <c r="K180" s="50" t="str">
        <v>Kit Reparo Pneu Abs Remendo Sem Camara Carros Motos</v>
      </c>
      <c r="L180" s="49">
        <f>SUMIF(Tabela1[Produtos],K180,Tabela1[Quantidade])</f>
        <v>188</v>
      </c>
      <c r="M180" s="37">
        <f>SUMIF(Tabela1[Produtos],K180,Tabela1[Valor gasto])</f>
        <v>861</v>
      </c>
      <c r="N180" s="37">
        <f>SUMIF(Tabela1[Produtos],K180,Tabela1[Valor venddo])</f>
        <v>2081.5911999999998</v>
      </c>
      <c r="O180" s="37">
        <f>SUMIF(Tabela1[Produtos],K180,Tabela1[Valor do lucro])</f>
        <v>1252.3211999999999</v>
      </c>
      <c r="Q180" s="50"/>
      <c r="R180" s="49"/>
      <c r="S180" s="37"/>
      <c r="T180" s="37"/>
      <c r="U180" s="37"/>
    </row>
    <row r="181" spans="1:21" ht="15.75" x14ac:dyDescent="0.25">
      <c r="A181" s="158">
        <v>512</v>
      </c>
      <c r="B181" s="45" t="s">
        <v>250</v>
      </c>
      <c r="C181" s="129">
        <v>1</v>
      </c>
      <c r="D181" s="61">
        <v>8</v>
      </c>
      <c r="E181" s="127">
        <v>13.99</v>
      </c>
      <c r="F181" s="61">
        <f>SUM(E181-D181)</f>
        <v>5.99</v>
      </c>
      <c r="G181" s="8" t="s">
        <v>15</v>
      </c>
      <c r="H181" s="8" t="s">
        <v>114</v>
      </c>
      <c r="I181" s="160"/>
      <c r="K181" s="50" t="str">
        <v>kit reparo pneu bike</v>
      </c>
      <c r="L181" s="49">
        <f>SUMIF(Tabela1[Produtos],K181,Tabela1[Quantidade])</f>
        <v>10</v>
      </c>
      <c r="M181" s="37">
        <f>SUMIF(Tabela1[Produtos],K181,Tabela1[Valor gasto])</f>
        <v>220</v>
      </c>
      <c r="N181" s="37">
        <f>SUMIF(Tabela1[Produtos],K181,Tabela1[Valor venddo])</f>
        <v>445</v>
      </c>
      <c r="O181" s="37">
        <f>SUMIF(Tabela1[Produtos],K181,Tabela1[Valor do lucro])</f>
        <v>225</v>
      </c>
      <c r="Q181" s="50"/>
      <c r="R181" s="49"/>
      <c r="S181" s="37"/>
      <c r="T181" s="37"/>
      <c r="U181" s="37"/>
    </row>
    <row r="182" spans="1:21" ht="15.75" x14ac:dyDescent="0.25">
      <c r="A182" s="158">
        <v>446</v>
      </c>
      <c r="B182" s="45" t="s">
        <v>250</v>
      </c>
      <c r="C182" s="14">
        <v>1</v>
      </c>
      <c r="D182" s="128">
        <v>8</v>
      </c>
      <c r="E182" s="61">
        <v>16.72</v>
      </c>
      <c r="F182" s="61">
        <f>E182-D182</f>
        <v>8.7199999999999989</v>
      </c>
      <c r="G182" s="8" t="s">
        <v>15</v>
      </c>
      <c r="H182" s="8" t="s">
        <v>113</v>
      </c>
      <c r="I182" s="160"/>
      <c r="K182" s="50" t="str">
        <v>Kit Reparo Remendo Borracheiro Pneu Sem Câmara Carro Moto</v>
      </c>
      <c r="L182" s="49">
        <f>SUMIF(Tabela1[Produtos],K182,Tabela1[Quantidade])</f>
        <v>18</v>
      </c>
      <c r="M182" s="37">
        <f>SUMIF(Tabela1[Produtos],K182,Tabela1[Valor gasto])</f>
        <v>323</v>
      </c>
      <c r="N182" s="37">
        <f>SUMIF(Tabela1[Produtos],K182,Tabela1[Valor venddo])</f>
        <v>797.8</v>
      </c>
      <c r="O182" s="37">
        <f>SUMIF(Tabela1[Produtos],K182,Tabela1[Valor do lucro])</f>
        <v>442.3</v>
      </c>
      <c r="Q182" s="50"/>
      <c r="R182" s="49"/>
      <c r="S182" s="37"/>
      <c r="T182" s="37"/>
      <c r="U182" s="37"/>
    </row>
    <row r="183" spans="1:21" ht="15.75" x14ac:dyDescent="0.25">
      <c r="A183" s="158">
        <v>563</v>
      </c>
      <c r="B183" s="45" t="s">
        <v>318</v>
      </c>
      <c r="C183" s="14">
        <v>1</v>
      </c>
      <c r="D183" s="61">
        <v>19</v>
      </c>
      <c r="E183" s="61">
        <v>30</v>
      </c>
      <c r="F183" s="61">
        <f>E183-D183</f>
        <v>11</v>
      </c>
      <c r="G183" s="8" t="s">
        <v>15</v>
      </c>
      <c r="H183" s="8" t="s">
        <v>113</v>
      </c>
      <c r="I183" s="161"/>
      <c r="K183" s="50" t="str">
        <v>Koko Prime 15w Pod System</v>
      </c>
      <c r="L183" s="49">
        <f>SUMIF(Tabela1[Produtos],K183,Tabela1[Quantidade])</f>
        <v>1</v>
      </c>
      <c r="M183" s="37">
        <f>SUMIF(Tabela1[Produtos],K183,Tabela1[Valor gasto])</f>
        <v>165</v>
      </c>
      <c r="N183" s="37">
        <f>SUMIF(Tabela1[Produtos],K183,Tabela1[Valor venddo])</f>
        <v>260</v>
      </c>
      <c r="O183" s="37">
        <f>SUMIF(Tabela1[Produtos],K183,Tabela1[Valor do lucro])</f>
        <v>95</v>
      </c>
      <c r="Q183" s="50"/>
      <c r="R183" s="49"/>
      <c r="S183" s="37"/>
      <c r="T183" s="37"/>
      <c r="U183" s="37"/>
    </row>
    <row r="184" spans="1:21" ht="15.75" x14ac:dyDescent="0.25">
      <c r="A184" s="158">
        <v>705</v>
      </c>
      <c r="B184" s="45" t="s">
        <v>318</v>
      </c>
      <c r="C184" s="17">
        <v>1</v>
      </c>
      <c r="D184" s="132">
        <v>18</v>
      </c>
      <c r="E184" s="61">
        <v>45.11</v>
      </c>
      <c r="F184" s="61">
        <v>27.11</v>
      </c>
      <c r="G184" s="8" t="s">
        <v>15</v>
      </c>
      <c r="H184" s="8" t="s">
        <v>114</v>
      </c>
      <c r="I184" s="161"/>
      <c r="K184" s="50" t="str">
        <v>Lampada blu</v>
      </c>
      <c r="L184" s="49">
        <f>SUMIF(Tabela1[Produtos],K184,Tabela1[Quantidade])</f>
        <v>3</v>
      </c>
      <c r="M184" s="37">
        <f>SUMIF(Tabela1[Produtos],K184,Tabela1[Valor gasto])</f>
        <v>89</v>
      </c>
      <c r="N184" s="37">
        <f>SUMIF(Tabela1[Produtos],K184,Tabela1[Valor venddo])</f>
        <v>180</v>
      </c>
      <c r="O184" s="37">
        <f>SUMIF(Tabela1[Produtos],K184,Tabela1[Valor do lucro])</f>
        <v>91</v>
      </c>
      <c r="Q184" s="50"/>
      <c r="R184" s="49"/>
      <c r="S184" s="37"/>
      <c r="T184" s="37"/>
      <c r="U184" s="37"/>
    </row>
    <row r="185" spans="1:21" ht="15.75" x14ac:dyDescent="0.25">
      <c r="A185" s="158">
        <v>766</v>
      </c>
      <c r="B185" s="45" t="s">
        <v>318</v>
      </c>
      <c r="C185" s="126">
        <v>1</v>
      </c>
      <c r="D185" s="127">
        <v>19</v>
      </c>
      <c r="E185" s="127">
        <v>51.5</v>
      </c>
      <c r="F185" s="127">
        <v>32.5</v>
      </c>
      <c r="G185" s="8" t="s">
        <v>15</v>
      </c>
      <c r="H185" s="8" t="s">
        <v>114</v>
      </c>
      <c r="I185" s="161"/>
      <c r="K185" s="50" t="str">
        <v>Lampada inteligente AVATTO</v>
      </c>
      <c r="L185" s="49">
        <f>SUMIF(Tabela1[Produtos],K185,Tabela1[Quantidade])</f>
        <v>1</v>
      </c>
      <c r="M185" s="37">
        <f>SUMIF(Tabela1[Produtos],K185,Tabela1[Valor gasto])</f>
        <v>23.3</v>
      </c>
      <c r="N185" s="37">
        <f>SUMIF(Tabela1[Produtos],K185,Tabela1[Valor venddo])</f>
        <v>70</v>
      </c>
      <c r="O185" s="37">
        <f>SUMIF(Tabela1[Produtos],K185,Tabela1[Valor do lucro])</f>
        <v>46.7</v>
      </c>
      <c r="Q185" s="50"/>
      <c r="R185" s="49"/>
      <c r="S185" s="37"/>
      <c r="T185" s="37"/>
      <c r="U185" s="37"/>
    </row>
    <row r="186" spans="1:21" ht="15.75" x14ac:dyDescent="0.25">
      <c r="A186" s="158">
        <v>599</v>
      </c>
      <c r="B186" s="45" t="s">
        <v>318</v>
      </c>
      <c r="C186" s="14">
        <v>1</v>
      </c>
      <c r="D186" s="127">
        <v>38</v>
      </c>
      <c r="E186" s="127">
        <v>83.9</v>
      </c>
      <c r="F186" s="61">
        <f>E186-D186</f>
        <v>45.900000000000006</v>
      </c>
      <c r="G186" s="8" t="s">
        <v>15</v>
      </c>
      <c r="H186" s="8" t="s">
        <v>113</v>
      </c>
      <c r="I186" s="161"/>
      <c r="K186" s="50" t="str">
        <v>lampada interligent</v>
      </c>
      <c r="L186" s="49">
        <f>SUMIF(Tabela1[Produtos],K186,Tabela1[Quantidade])</f>
        <v>1</v>
      </c>
      <c r="M186" s="37">
        <f>SUMIF(Tabela1[Produtos],K186,Tabela1[Valor gasto])</f>
        <v>40</v>
      </c>
      <c r="N186" s="37">
        <f>SUMIF(Tabela1[Produtos],K186,Tabela1[Valor venddo])</f>
        <v>80</v>
      </c>
      <c r="O186" s="37">
        <f>SUMIF(Tabela1[Produtos],K186,Tabela1[Valor do lucro])</f>
        <v>40</v>
      </c>
      <c r="Q186" s="50"/>
      <c r="R186" s="49"/>
      <c r="S186" s="37"/>
      <c r="T186" s="37"/>
      <c r="U186" s="37"/>
    </row>
    <row r="187" spans="1:21" ht="15.75" x14ac:dyDescent="0.25">
      <c r="A187" s="158">
        <v>828</v>
      </c>
      <c r="B187" s="45" t="s">
        <v>430</v>
      </c>
      <c r="C187" s="126">
        <v>6</v>
      </c>
      <c r="D187" s="127">
        <v>18</v>
      </c>
      <c r="E187" s="133">
        <v>38.01</v>
      </c>
      <c r="F187" s="127">
        <v>20.009999999999998</v>
      </c>
      <c r="G187" s="8" t="s">
        <v>15</v>
      </c>
      <c r="H187" s="8" t="s">
        <v>114</v>
      </c>
      <c r="I187" s="161"/>
      <c r="K187" s="50" t="str">
        <v>Lâmpada LED Giratória Rgb Rotativa Mini Bola Maluca Luz Festa - Import</v>
      </c>
      <c r="L187" s="49">
        <f>SUMIF(Tabela1[Produtos],K187,Tabela1[Quantidade])</f>
        <v>3</v>
      </c>
      <c r="M187" s="37">
        <f>SUMIF(Tabela1[Produtos],K187,Tabela1[Valor gasto])</f>
        <v>103</v>
      </c>
      <c r="N187" s="37">
        <f>SUMIF(Tabela1[Produtos],K187,Tabela1[Valor venddo])</f>
        <v>215.55</v>
      </c>
      <c r="O187" s="37">
        <f>SUMIF(Tabela1[Produtos],K187,Tabela1[Valor do lucro])</f>
        <v>112.55</v>
      </c>
      <c r="Q187" s="50"/>
      <c r="R187" s="49"/>
      <c r="S187" s="37"/>
      <c r="T187" s="37"/>
      <c r="U187" s="37"/>
    </row>
    <row r="188" spans="1:21" ht="15.75" x14ac:dyDescent="0.25">
      <c r="A188" s="158">
        <v>911</v>
      </c>
      <c r="B188" s="45" t="s">
        <v>430</v>
      </c>
      <c r="C188" s="134">
        <v>1</v>
      </c>
      <c r="D188" s="127">
        <v>3</v>
      </c>
      <c r="E188" s="135">
        <v>4.8133999999999997</v>
      </c>
      <c r="F188" s="61">
        <f t="shared" ref="F188:F201" si="5">E188-D188</f>
        <v>1.8133999999999997</v>
      </c>
      <c r="G188" s="8" t="s">
        <v>15</v>
      </c>
      <c r="H188" s="8" t="s">
        <v>114</v>
      </c>
      <c r="I188" s="161"/>
      <c r="K188" s="50" t="str">
        <v>lampada led pequena</v>
      </c>
      <c r="L188" s="49">
        <f>SUMIF(Tabela1[Produtos],K188,Tabela1[Quantidade])</f>
        <v>1</v>
      </c>
      <c r="M188" s="37">
        <f>SUMIF(Tabela1[Produtos],K188,Tabela1[Valor gasto])</f>
        <v>10</v>
      </c>
      <c r="N188" s="37">
        <f>SUMIF(Tabela1[Produtos],K188,Tabela1[Valor venddo])</f>
        <v>25</v>
      </c>
      <c r="O188" s="37">
        <f>SUMIF(Tabela1[Produtos],K188,Tabela1[Valor do lucro])</f>
        <v>15</v>
      </c>
      <c r="Q188" s="50"/>
      <c r="R188" s="49"/>
      <c r="S188" s="37"/>
      <c r="T188" s="37"/>
      <c r="U188" s="37"/>
    </row>
    <row r="189" spans="1:21" ht="15.75" x14ac:dyDescent="0.25">
      <c r="A189" s="158">
        <v>190</v>
      </c>
      <c r="B189" s="7" t="s">
        <v>9</v>
      </c>
      <c r="C189" s="14">
        <v>1</v>
      </c>
      <c r="D189" s="61">
        <v>13.5</v>
      </c>
      <c r="E189" s="61">
        <v>20</v>
      </c>
      <c r="F189" s="61">
        <f t="shared" si="5"/>
        <v>6.5</v>
      </c>
      <c r="G189" s="8" t="s">
        <v>15</v>
      </c>
      <c r="H189" s="8" t="s">
        <v>113</v>
      </c>
      <c r="I189" s="160"/>
      <c r="K189" s="50" t="str">
        <v>Lanterna Bike Farol Led Bike Sinalizador Recarregável - Par</v>
      </c>
      <c r="L189" s="49">
        <f>SUMIF(Tabela1[Produtos],K189,Tabela1[Quantidade])</f>
        <v>1</v>
      </c>
      <c r="M189" s="37">
        <f>SUMIF(Tabela1[Produtos],K189,Tabela1[Valor gasto])</f>
        <v>10</v>
      </c>
      <c r="N189" s="37">
        <f>SUMIF(Tabela1[Produtos],K189,Tabela1[Valor venddo])</f>
        <v>21.21</v>
      </c>
      <c r="O189" s="37">
        <f>SUMIF(Tabela1[Produtos],K189,Tabela1[Valor do lucro])</f>
        <v>11.21</v>
      </c>
      <c r="Q189" s="50"/>
      <c r="R189" s="49"/>
      <c r="S189" s="37"/>
      <c r="T189" s="37"/>
      <c r="U189" s="37"/>
    </row>
    <row r="190" spans="1:21" ht="15.75" x14ac:dyDescent="0.25">
      <c r="A190" s="158">
        <v>12</v>
      </c>
      <c r="B190" s="12" t="s">
        <v>25</v>
      </c>
      <c r="C190" s="14">
        <v>1</v>
      </c>
      <c r="D190" s="61">
        <v>26</v>
      </c>
      <c r="E190" s="61">
        <v>50</v>
      </c>
      <c r="F190" s="61">
        <f t="shared" si="5"/>
        <v>24</v>
      </c>
      <c r="G190" s="8" t="s">
        <v>15</v>
      </c>
      <c r="H190" s="8" t="s">
        <v>113</v>
      </c>
      <c r="I190" s="159"/>
      <c r="K190" s="50" t="str">
        <v>Lanterna C/ Choque Type 1101 Light Flashlight</v>
      </c>
      <c r="L190" s="49">
        <f>SUMIF(Tabela1[Produtos],K190,Tabela1[Quantidade])</f>
        <v>3</v>
      </c>
      <c r="M190" s="37">
        <f>SUMIF(Tabela1[Produtos],K190,Tabela1[Valor gasto])</f>
        <v>110</v>
      </c>
      <c r="N190" s="37">
        <f>SUMIF(Tabela1[Produtos],K190,Tabela1[Valor venddo])</f>
        <v>237.25</v>
      </c>
      <c r="O190" s="37">
        <f>SUMIF(Tabela1[Produtos],K190,Tabela1[Valor do lucro])</f>
        <v>127.25</v>
      </c>
      <c r="Q190" s="50"/>
      <c r="R190" s="49"/>
      <c r="S190" s="37"/>
      <c r="T190" s="37"/>
      <c r="U190" s="37"/>
    </row>
    <row r="191" spans="1:21" ht="15.75" x14ac:dyDescent="0.25">
      <c r="A191" s="158">
        <v>229</v>
      </c>
      <c r="B191" s="12" t="s">
        <v>25</v>
      </c>
      <c r="C191" s="14">
        <v>1</v>
      </c>
      <c r="D191" s="61">
        <v>22</v>
      </c>
      <c r="E191" s="61">
        <v>50</v>
      </c>
      <c r="F191" s="61">
        <f t="shared" si="5"/>
        <v>28</v>
      </c>
      <c r="G191" s="8" t="s">
        <v>15</v>
      </c>
      <c r="H191" s="8" t="s">
        <v>113</v>
      </c>
      <c r="I191" s="159"/>
      <c r="K191" s="50" t="str">
        <v>Lanterna Lampião 6+1 LED Recarregável Bivolt com USB - JH-5800T</v>
      </c>
      <c r="L191" s="49">
        <f>SUMIF(Tabela1[Produtos],K191,Tabela1[Quantidade])</f>
        <v>76</v>
      </c>
      <c r="M191" s="37">
        <f>SUMIF(Tabela1[Produtos],K191,Tabela1[Valor gasto])</f>
        <v>1470</v>
      </c>
      <c r="N191" s="37">
        <f>SUMIF(Tabela1[Produtos],K191,Tabela1[Valor venddo])</f>
        <v>2684.91</v>
      </c>
      <c r="O191" s="37">
        <f>SUMIF(Tabela1[Produtos],K191,Tabela1[Valor do lucro])</f>
        <v>1074.46</v>
      </c>
      <c r="Q191" s="50"/>
      <c r="R191" s="49"/>
      <c r="S191" s="37"/>
      <c r="T191" s="37"/>
      <c r="U191" s="37"/>
    </row>
    <row r="192" spans="1:21" ht="15.75" x14ac:dyDescent="0.25">
      <c r="A192" s="158">
        <v>503</v>
      </c>
      <c r="B192" s="10" t="s">
        <v>275</v>
      </c>
      <c r="C192" s="14">
        <v>1</v>
      </c>
      <c r="D192" s="61">
        <v>20</v>
      </c>
      <c r="E192" s="61">
        <v>40</v>
      </c>
      <c r="F192" s="61">
        <f t="shared" si="5"/>
        <v>20</v>
      </c>
      <c r="G192" s="8" t="s">
        <v>15</v>
      </c>
      <c r="H192" s="8" t="s">
        <v>113</v>
      </c>
      <c r="I192" s="160"/>
      <c r="K192" s="50" t="str">
        <v>Lanterna Multiuso 8 Em 1 Com Ferramentas Sd-890 Elétrica</v>
      </c>
      <c r="L192" s="49">
        <f>SUMIF(Tabela1[Produtos],K192,Tabela1[Quantidade])</f>
        <v>4</v>
      </c>
      <c r="M192" s="37">
        <f>SUMIF(Tabela1[Produtos],K192,Tabela1[Valor gasto])</f>
        <v>84</v>
      </c>
      <c r="N192" s="37">
        <f>SUMIF(Tabela1[Produtos],K192,Tabela1[Valor venddo])</f>
        <v>208.66</v>
      </c>
      <c r="O192" s="37">
        <f>SUMIF(Tabela1[Produtos],K192,Tabela1[Valor do lucro])</f>
        <v>124.66</v>
      </c>
      <c r="Q192" s="50"/>
      <c r="R192" s="49"/>
      <c r="S192" s="37"/>
      <c r="T192" s="37"/>
      <c r="U192" s="37"/>
    </row>
    <row r="193" spans="1:21" ht="15.75" x14ac:dyDescent="0.25">
      <c r="A193" s="158">
        <v>665</v>
      </c>
      <c r="B193" s="7" t="s">
        <v>376</v>
      </c>
      <c r="C193" s="14">
        <v>1</v>
      </c>
      <c r="D193" s="61">
        <v>60</v>
      </c>
      <c r="E193" s="61">
        <v>100</v>
      </c>
      <c r="F193" s="61">
        <f t="shared" si="5"/>
        <v>40</v>
      </c>
      <c r="G193" s="8" t="s">
        <v>15</v>
      </c>
      <c r="H193" s="8" t="s">
        <v>113</v>
      </c>
      <c r="I193" s="161"/>
      <c r="K193" s="50" t="str">
        <v>Lanterna Multiuso 8 Em 1 Com Ferramentas Sd-890 Elétrica Aaa</v>
      </c>
      <c r="L193" s="49">
        <f>SUMIF(Tabela1[Produtos],K193,Tabela1[Quantidade])</f>
        <v>6</v>
      </c>
      <c r="M193" s="37">
        <f>SUMIF(Tabela1[Produtos],K193,Tabela1[Valor gasto])</f>
        <v>65</v>
      </c>
      <c r="N193" s="37">
        <f>SUMIF(Tabela1[Produtos],K193,Tabela1[Valor venddo])</f>
        <v>108.44799999999999</v>
      </c>
      <c r="O193" s="37">
        <f>SUMIF(Tabela1[Produtos],K193,Tabela1[Valor do lucro])</f>
        <v>54.897999999999996</v>
      </c>
      <c r="Q193" s="50"/>
      <c r="R193" s="49"/>
      <c r="S193" s="37"/>
      <c r="T193" s="37"/>
      <c r="U193" s="37"/>
    </row>
    <row r="194" spans="1:21" ht="15.75" x14ac:dyDescent="0.25">
      <c r="A194" s="158">
        <v>672</v>
      </c>
      <c r="B194" s="7" t="s">
        <v>376</v>
      </c>
      <c r="C194" s="14">
        <v>1</v>
      </c>
      <c r="D194" s="61">
        <v>60</v>
      </c>
      <c r="E194" s="61">
        <v>130</v>
      </c>
      <c r="F194" s="61">
        <f t="shared" si="5"/>
        <v>70</v>
      </c>
      <c r="G194" s="8" t="s">
        <v>15</v>
      </c>
      <c r="H194" s="8" t="s">
        <v>113</v>
      </c>
      <c r="I194" s="161"/>
      <c r="K194" s="50" t="str">
        <v>lanterna prova d'agua</v>
      </c>
      <c r="L194" s="49">
        <f>SUMIF(Tabela1[Produtos],K194,Tabela1[Quantidade])</f>
        <v>1</v>
      </c>
      <c r="M194" s="37">
        <f>SUMIF(Tabela1[Produtos],K194,Tabela1[Valor gasto])</f>
        <v>20</v>
      </c>
      <c r="N194" s="37">
        <f>SUMIF(Tabela1[Produtos],K194,Tabela1[Valor venddo])</f>
        <v>50</v>
      </c>
      <c r="O194" s="37">
        <f>SUMIF(Tabela1[Produtos],K194,Tabela1[Valor do lucro])</f>
        <v>30</v>
      </c>
      <c r="Q194" s="50"/>
      <c r="R194" s="49"/>
      <c r="S194" s="37"/>
      <c r="T194" s="37"/>
      <c r="U194" s="37"/>
    </row>
    <row r="195" spans="1:21" ht="15.75" x14ac:dyDescent="0.25">
      <c r="A195" s="158">
        <v>673</v>
      </c>
      <c r="B195" s="7" t="s">
        <v>376</v>
      </c>
      <c r="C195" s="14">
        <v>1</v>
      </c>
      <c r="D195" s="61">
        <v>60</v>
      </c>
      <c r="E195" s="61">
        <v>140</v>
      </c>
      <c r="F195" s="61">
        <f t="shared" si="5"/>
        <v>80</v>
      </c>
      <c r="G195" s="8" t="s">
        <v>15</v>
      </c>
      <c r="H195" s="8" t="s">
        <v>113</v>
      </c>
      <c r="I195" s="161"/>
      <c r="K195" s="50" t="str">
        <v>Lanterna usb</v>
      </c>
      <c r="L195" s="49">
        <f>SUMIF(Tabela1[Produtos],K195,Tabela1[Quantidade])</f>
        <v>1</v>
      </c>
      <c r="M195" s="37">
        <f>SUMIF(Tabela1[Produtos],K195,Tabela1[Valor gasto])</f>
        <v>20</v>
      </c>
      <c r="N195" s="37">
        <f>SUMIF(Tabela1[Produtos],K195,Tabela1[Valor venddo])</f>
        <v>40</v>
      </c>
      <c r="O195" s="37">
        <f>SUMIF(Tabela1[Produtos],K195,Tabela1[Valor do lucro])</f>
        <v>20</v>
      </c>
      <c r="Q195" s="50"/>
      <c r="R195" s="49"/>
      <c r="S195" s="37"/>
      <c r="T195" s="37"/>
      <c r="U195" s="37"/>
    </row>
    <row r="196" spans="1:21" ht="15.75" x14ac:dyDescent="0.25">
      <c r="A196" s="158">
        <v>731</v>
      </c>
      <c r="B196" s="7" t="s">
        <v>376</v>
      </c>
      <c r="C196" s="14">
        <v>1</v>
      </c>
      <c r="D196" s="61">
        <v>60</v>
      </c>
      <c r="E196" s="61">
        <v>150</v>
      </c>
      <c r="F196" s="61">
        <f t="shared" si="5"/>
        <v>90</v>
      </c>
      <c r="G196" s="8" t="s">
        <v>15</v>
      </c>
      <c r="H196" s="8" t="s">
        <v>113</v>
      </c>
      <c r="I196" s="161"/>
      <c r="K196" s="50" t="str">
        <v>Lanterna Usb Avian ORIGINAL !!! USB 380000W DR-513</v>
      </c>
      <c r="L196" s="49">
        <f>SUMIF(Tabela1[Produtos],K196,Tabela1[Quantidade])</f>
        <v>1</v>
      </c>
      <c r="M196" s="37">
        <f>SUMIF(Tabela1[Produtos],K196,Tabela1[Valor gasto])</f>
        <v>2</v>
      </c>
      <c r="N196" s="37">
        <f>SUMIF(Tabela1[Produtos],K196,Tabela1[Valor venddo])</f>
        <v>23.4</v>
      </c>
      <c r="O196" s="37">
        <f>SUMIF(Tabela1[Produtos],K196,Tabela1[Valor do lucro])</f>
        <v>21.4</v>
      </c>
      <c r="Q196" s="45"/>
      <c r="R196" s="49"/>
      <c r="S196" s="37"/>
      <c r="T196" s="37"/>
      <c r="U196" s="37"/>
    </row>
    <row r="197" spans="1:21" ht="15.75" x14ac:dyDescent="0.25">
      <c r="A197" s="158">
        <v>732</v>
      </c>
      <c r="B197" s="7" t="s">
        <v>376</v>
      </c>
      <c r="C197" s="14">
        <v>1</v>
      </c>
      <c r="D197" s="61">
        <v>60</v>
      </c>
      <c r="E197" s="61">
        <v>150</v>
      </c>
      <c r="F197" s="61">
        <f t="shared" si="5"/>
        <v>90</v>
      </c>
      <c r="G197" s="8" t="s">
        <v>15</v>
      </c>
      <c r="H197" s="8" t="s">
        <v>113</v>
      </c>
      <c r="I197" s="161"/>
      <c r="K197" s="50" t="str">
        <v>Lanterna x-900 Led Super Potente Recarregável</v>
      </c>
      <c r="L197" s="49">
        <f>SUMIF(Tabela1[Produtos],K197,Tabela1[Quantidade])</f>
        <v>2</v>
      </c>
      <c r="M197" s="37">
        <f>SUMIF(Tabela1[Produtos],K197,Tabela1[Valor gasto])</f>
        <v>80</v>
      </c>
      <c r="N197" s="37">
        <f>SUMIF(Tabela1[Produtos],K197,Tabela1[Valor venddo])</f>
        <v>160</v>
      </c>
      <c r="O197" s="37">
        <f>SUMIF(Tabela1[Produtos],K197,Tabela1[Valor do lucro])</f>
        <v>80</v>
      </c>
      <c r="Q197" s="50"/>
      <c r="R197" s="49"/>
      <c r="S197" s="37"/>
      <c r="T197" s="37"/>
      <c r="U197" s="37"/>
    </row>
    <row r="198" spans="1:21" ht="15.75" x14ac:dyDescent="0.25">
      <c r="A198" s="158">
        <v>734</v>
      </c>
      <c r="B198" s="7" t="s">
        <v>376</v>
      </c>
      <c r="C198" s="14">
        <v>1</v>
      </c>
      <c r="D198" s="61">
        <v>60</v>
      </c>
      <c r="E198" s="61">
        <v>120</v>
      </c>
      <c r="F198" s="61">
        <f t="shared" si="5"/>
        <v>60</v>
      </c>
      <c r="G198" s="8" t="s">
        <v>15</v>
      </c>
      <c r="H198" s="8" t="s">
        <v>113</v>
      </c>
      <c r="I198" s="161"/>
      <c r="K198" s="50" t="str">
        <v xml:space="preserve">led bike </v>
      </c>
      <c r="L198" s="49">
        <f>SUMIF(Tabela1[Produtos],K198,Tabela1[Quantidade])</f>
        <v>2</v>
      </c>
      <c r="M198" s="37">
        <f>SUMIF(Tabela1[Produtos],K198,Tabela1[Valor gasto])</f>
        <v>11</v>
      </c>
      <c r="N198" s="37">
        <f>SUMIF(Tabela1[Produtos],K198,Tabela1[Valor venddo])</f>
        <v>25</v>
      </c>
      <c r="O198" s="37">
        <f>SUMIF(Tabela1[Produtos],K198,Tabela1[Valor do lucro])</f>
        <v>14</v>
      </c>
      <c r="Q198" s="50"/>
      <c r="R198" s="49"/>
      <c r="S198" s="37"/>
      <c r="T198" s="37"/>
      <c r="U198" s="37"/>
    </row>
    <row r="199" spans="1:21" ht="15.75" x14ac:dyDescent="0.25">
      <c r="A199" s="158">
        <v>736</v>
      </c>
      <c r="B199" s="7" t="s">
        <v>376</v>
      </c>
      <c r="C199" s="14">
        <v>1</v>
      </c>
      <c r="D199" s="61">
        <v>63</v>
      </c>
      <c r="E199" s="61">
        <v>120</v>
      </c>
      <c r="F199" s="61">
        <f t="shared" si="5"/>
        <v>57</v>
      </c>
      <c r="G199" s="8" t="s">
        <v>15</v>
      </c>
      <c r="H199" s="8" t="s">
        <v>113</v>
      </c>
      <c r="I199" s="161"/>
      <c r="K199" s="50" t="str">
        <v>led bike traseiro simples</v>
      </c>
      <c r="L199" s="49">
        <f>SUMIF(Tabela1[Produtos],K199,Tabela1[Quantidade])</f>
        <v>2</v>
      </c>
      <c r="M199" s="37">
        <f>SUMIF(Tabela1[Produtos],K199,Tabela1[Valor gasto])</f>
        <v>20</v>
      </c>
      <c r="N199" s="37">
        <f>SUMIF(Tabela1[Produtos],K199,Tabela1[Valor venddo])</f>
        <v>40</v>
      </c>
      <c r="O199" s="37">
        <f>SUMIF(Tabela1[Produtos],K199,Tabela1[Valor do lucro])</f>
        <v>20</v>
      </c>
      <c r="Q199" s="50"/>
      <c r="R199" s="49"/>
      <c r="S199" s="37"/>
      <c r="T199" s="37"/>
      <c r="U199" s="37"/>
    </row>
    <row r="200" spans="1:21" ht="15.75" x14ac:dyDescent="0.25">
      <c r="A200" s="158">
        <v>739</v>
      </c>
      <c r="B200" s="7" t="s">
        <v>376</v>
      </c>
      <c r="C200" s="14">
        <v>1</v>
      </c>
      <c r="D200" s="61">
        <v>60</v>
      </c>
      <c r="E200" s="61">
        <v>120</v>
      </c>
      <c r="F200" s="61">
        <f t="shared" si="5"/>
        <v>60</v>
      </c>
      <c r="G200" s="8" t="s">
        <v>15</v>
      </c>
      <c r="H200" s="8" t="s">
        <v>113</v>
      </c>
      <c r="I200" s="161"/>
      <c r="K200" s="50" t="str">
        <v>led car</v>
      </c>
      <c r="L200" s="49">
        <f>SUMIF(Tabela1[Produtos],K200,Tabela1[Quantidade])</f>
        <v>1</v>
      </c>
      <c r="M200" s="37">
        <f>SUMIF(Tabela1[Produtos],K200,Tabela1[Valor gasto])</f>
        <v>7</v>
      </c>
      <c r="N200" s="37">
        <f>SUMIF(Tabela1[Produtos],K200,Tabela1[Valor venddo])</f>
        <v>20</v>
      </c>
      <c r="O200" s="37">
        <f>SUMIF(Tabela1[Produtos],K200,Tabela1[Valor do lucro])</f>
        <v>13</v>
      </c>
      <c r="Q200" s="50"/>
      <c r="R200" s="49"/>
      <c r="S200" s="37"/>
      <c r="T200" s="37"/>
      <c r="U200" s="37"/>
    </row>
    <row r="201" spans="1:21" ht="15.75" x14ac:dyDescent="0.25">
      <c r="A201" s="158">
        <v>726</v>
      </c>
      <c r="B201" s="7" t="s">
        <v>376</v>
      </c>
      <c r="C201" s="14">
        <v>1</v>
      </c>
      <c r="D201" s="61">
        <v>60</v>
      </c>
      <c r="E201" s="61">
        <v>140</v>
      </c>
      <c r="F201" s="61">
        <f t="shared" si="5"/>
        <v>80</v>
      </c>
      <c r="G201" s="8" t="s">
        <v>15</v>
      </c>
      <c r="H201" s="8" t="s">
        <v>113</v>
      </c>
      <c r="I201" s="161"/>
      <c r="K201" s="50" t="str">
        <v>Led celular</v>
      </c>
      <c r="L201" s="49">
        <f>SUMIF(Tabela1[Produtos],K201,Tabela1[Quantidade])</f>
        <v>1</v>
      </c>
      <c r="M201" s="37">
        <f>SUMIF(Tabela1[Produtos],K201,Tabela1[Valor gasto])</f>
        <v>9</v>
      </c>
      <c r="N201" s="37">
        <f>SUMIF(Tabela1[Produtos],K201,Tabela1[Valor venddo])</f>
        <v>20</v>
      </c>
      <c r="O201" s="37">
        <f>SUMIF(Tabela1[Produtos],K201,Tabela1[Valor do lucro])</f>
        <v>11</v>
      </c>
      <c r="Q201" s="50"/>
      <c r="R201" s="49"/>
      <c r="S201" s="37"/>
      <c r="T201" s="37"/>
      <c r="U201" s="37"/>
    </row>
    <row r="202" spans="1:21" ht="15.75" x14ac:dyDescent="0.25">
      <c r="A202" s="158">
        <v>829</v>
      </c>
      <c r="B202" s="45" t="s">
        <v>95</v>
      </c>
      <c r="C202" s="126">
        <v>1</v>
      </c>
      <c r="D202" s="127">
        <v>3</v>
      </c>
      <c r="E202" s="133">
        <v>10.63</v>
      </c>
      <c r="F202" s="127">
        <v>7.6300000000000008</v>
      </c>
      <c r="G202" s="8" t="s">
        <v>15</v>
      </c>
      <c r="H202" s="8" t="s">
        <v>114</v>
      </c>
      <c r="I202" s="161"/>
      <c r="K202" s="50" t="str">
        <v>Led teto</v>
      </c>
      <c r="L202" s="49">
        <f>SUMIF(Tabela1[Produtos],K202,Tabela1[Quantidade])</f>
        <v>4</v>
      </c>
      <c r="M202" s="37">
        <f>SUMIF(Tabela1[Produtos],K202,Tabela1[Valor gasto])</f>
        <v>14</v>
      </c>
      <c r="N202" s="37">
        <f>SUMIF(Tabela1[Produtos],K202,Tabela1[Valor venddo])</f>
        <v>55</v>
      </c>
      <c r="O202" s="37">
        <f>SUMIF(Tabela1[Produtos],K202,Tabela1[Valor do lucro])</f>
        <v>41</v>
      </c>
      <c r="Q202" s="50"/>
      <c r="R202" s="49"/>
      <c r="S202" s="37"/>
      <c r="T202" s="37"/>
      <c r="U202" s="37"/>
    </row>
    <row r="203" spans="1:21" ht="15.75" x14ac:dyDescent="0.25">
      <c r="A203" s="158">
        <v>62</v>
      </c>
      <c r="B203" s="45" t="s">
        <v>95</v>
      </c>
      <c r="C203" s="14">
        <v>1</v>
      </c>
      <c r="D203" s="61">
        <f>E203-F203</f>
        <v>4</v>
      </c>
      <c r="E203" s="58">
        <v>6.4</v>
      </c>
      <c r="F203" s="61">
        <v>2.4000000000000004</v>
      </c>
      <c r="G203" s="8" t="s">
        <v>15</v>
      </c>
      <c r="H203" s="57" t="s">
        <v>6</v>
      </c>
      <c r="I203" s="159"/>
      <c r="K203" s="50" t="str">
        <v>led usb bike</v>
      </c>
      <c r="L203" s="49">
        <f>SUMIF(Tabela1[Produtos],K203,Tabela1[Quantidade])</f>
        <v>1</v>
      </c>
      <c r="M203" s="37">
        <f>SUMIF(Tabela1[Produtos],K203,Tabela1[Valor gasto])</f>
        <v>20</v>
      </c>
      <c r="N203" s="37">
        <f>SUMIF(Tabela1[Produtos],K203,Tabela1[Valor venddo])</f>
        <v>50</v>
      </c>
      <c r="O203" s="37">
        <f>SUMIF(Tabela1[Produtos],K203,Tabela1[Valor do lucro])</f>
        <v>30</v>
      </c>
      <c r="Q203" s="50"/>
      <c r="R203" s="49"/>
      <c r="S203" s="37"/>
      <c r="T203" s="37"/>
      <c r="U203" s="37"/>
    </row>
    <row r="204" spans="1:21" ht="15.75" x14ac:dyDescent="0.25">
      <c r="A204" s="158">
        <v>600</v>
      </c>
      <c r="B204" s="45" t="s">
        <v>95</v>
      </c>
      <c r="C204" s="14">
        <v>1</v>
      </c>
      <c r="D204" s="127">
        <v>5</v>
      </c>
      <c r="E204" s="127">
        <v>7.48</v>
      </c>
      <c r="F204" s="61">
        <f>E204-D204</f>
        <v>2.4800000000000004</v>
      </c>
      <c r="G204" s="8" t="s">
        <v>15</v>
      </c>
      <c r="H204" s="8" t="s">
        <v>113</v>
      </c>
      <c r="I204" s="161"/>
      <c r="K204" s="50" t="str">
        <v>Limpa Tela e Lentes 60ml + Flanela</v>
      </c>
      <c r="L204" s="49">
        <f>SUMIF(Tabela1[Produtos],K204,Tabela1[Quantidade])</f>
        <v>1</v>
      </c>
      <c r="M204" s="37">
        <f>SUMIF(Tabela1[Produtos],K204,Tabela1[Valor gasto])</f>
        <v>12</v>
      </c>
      <c r="N204" s="37">
        <f>SUMIF(Tabela1[Produtos],K204,Tabela1[Valor venddo])</f>
        <v>18.170000000000002</v>
      </c>
      <c r="O204" s="37">
        <f>SUMIF(Tabela1[Produtos],K204,Tabela1[Valor do lucro])</f>
        <v>6.1700000000000017</v>
      </c>
      <c r="Q204" s="50"/>
      <c r="R204" s="49"/>
      <c r="S204" s="37"/>
      <c r="T204" s="37"/>
      <c r="U204" s="37"/>
    </row>
    <row r="205" spans="1:21" ht="15.75" x14ac:dyDescent="0.25">
      <c r="A205" s="158">
        <v>261</v>
      </c>
      <c r="B205" s="45" t="s">
        <v>179</v>
      </c>
      <c r="C205" s="17">
        <v>5</v>
      </c>
      <c r="D205" s="58">
        <v>2</v>
      </c>
      <c r="E205" s="58">
        <v>10</v>
      </c>
      <c r="F205" s="58">
        <v>30</v>
      </c>
      <c r="G205" s="8" t="s">
        <v>15</v>
      </c>
      <c r="H205" s="57" t="s">
        <v>114</v>
      </c>
      <c r="I205" s="159"/>
      <c r="K205" s="50" t="str">
        <v>Linha Costura Coloridas Circulo Kit 10 Tubos Cores Sortidas</v>
      </c>
      <c r="L205" s="49">
        <f>SUMIF(Tabela1[Produtos],K205,Tabela1[Quantidade])</f>
        <v>8</v>
      </c>
      <c r="M205" s="37">
        <f>SUMIF(Tabela1[Produtos],K205,Tabela1[Valor gasto])</f>
        <v>26</v>
      </c>
      <c r="N205" s="37">
        <f>SUMIF(Tabela1[Produtos],K205,Tabela1[Valor venddo])</f>
        <v>57.497200000000007</v>
      </c>
      <c r="O205" s="37">
        <f>SUMIF(Tabela1[Produtos],K205,Tabela1[Valor do lucro])</f>
        <v>31.497199999999999</v>
      </c>
      <c r="Q205" s="50"/>
      <c r="R205" s="49"/>
      <c r="S205" s="37"/>
      <c r="T205" s="37"/>
      <c r="U205" s="37"/>
    </row>
    <row r="206" spans="1:21" ht="15.75" x14ac:dyDescent="0.25">
      <c r="A206" s="158">
        <v>300</v>
      </c>
      <c r="B206" s="45" t="s">
        <v>179</v>
      </c>
      <c r="C206" s="126">
        <v>2</v>
      </c>
      <c r="D206" s="127">
        <v>4</v>
      </c>
      <c r="E206" s="127">
        <v>17.899999999999999</v>
      </c>
      <c r="F206" s="127">
        <v>13.899999999999999</v>
      </c>
      <c r="G206" s="8" t="s">
        <v>3</v>
      </c>
      <c r="H206" s="8" t="s">
        <v>114</v>
      </c>
      <c r="I206" s="161"/>
      <c r="K206" s="50" t="str">
        <v>luminaria bike frente</v>
      </c>
      <c r="L206" s="49">
        <f>SUMIF(Tabela1[Produtos],K206,Tabela1[Quantidade])</f>
        <v>1</v>
      </c>
      <c r="M206" s="37">
        <f>SUMIF(Tabela1[Produtos],K206,Tabela1[Valor gasto])</f>
        <v>50</v>
      </c>
      <c r="N206" s="37">
        <f>SUMIF(Tabela1[Produtos],K206,Tabela1[Valor venddo])</f>
        <v>70</v>
      </c>
      <c r="O206" s="37">
        <f>SUMIF(Tabela1[Produtos],K206,Tabela1[Valor do lucro])</f>
        <v>20</v>
      </c>
      <c r="Q206" s="50"/>
      <c r="R206" s="49"/>
      <c r="S206" s="37"/>
      <c r="T206" s="37"/>
      <c r="U206" s="37"/>
    </row>
    <row r="207" spans="1:21" ht="15.75" x14ac:dyDescent="0.25">
      <c r="A207" s="158">
        <v>351</v>
      </c>
      <c r="B207" s="45" t="s">
        <v>179</v>
      </c>
      <c r="C207" s="14">
        <v>1</v>
      </c>
      <c r="D207" s="61">
        <v>8</v>
      </c>
      <c r="E207" s="61">
        <v>36.909999999999997</v>
      </c>
      <c r="F207" s="61">
        <f>E207-D207</f>
        <v>28.909999999999997</v>
      </c>
      <c r="G207" s="8" t="s">
        <v>15</v>
      </c>
      <c r="H207" s="8" t="s">
        <v>113</v>
      </c>
      <c r="I207" s="160"/>
      <c r="K207" s="50" t="str">
        <v>Maçarico Idea 1,300°c Ignição Automática, Soldas E Naguile</v>
      </c>
      <c r="L207" s="49">
        <f>SUMIF(Tabela1[Produtos],K207,Tabela1[Quantidade])</f>
        <v>1</v>
      </c>
      <c r="M207" s="37">
        <f>SUMIF(Tabela1[Produtos],K207,Tabela1[Valor gasto])</f>
        <v>25</v>
      </c>
      <c r="N207" s="37">
        <f>SUMIF(Tabela1[Produtos],K207,Tabela1[Valor venddo])</f>
        <v>30</v>
      </c>
      <c r="O207" s="37">
        <f>SUMIF(Tabela1[Produtos],K207,Tabela1[Valor do lucro])</f>
        <v>5</v>
      </c>
      <c r="Q207" s="50"/>
      <c r="R207" s="49"/>
      <c r="S207" s="37"/>
      <c r="T207" s="37"/>
      <c r="U207" s="37"/>
    </row>
    <row r="208" spans="1:21" ht="15.75" x14ac:dyDescent="0.25">
      <c r="A208" s="158">
        <v>447</v>
      </c>
      <c r="B208" s="45" t="s">
        <v>179</v>
      </c>
      <c r="C208" s="14">
        <v>1</v>
      </c>
      <c r="D208" s="128">
        <v>2</v>
      </c>
      <c r="E208" s="61">
        <v>5.5</v>
      </c>
      <c r="F208" s="61">
        <f>E208-D208</f>
        <v>3.5</v>
      </c>
      <c r="G208" s="8" t="s">
        <v>15</v>
      </c>
      <c r="H208" s="8" t="s">
        <v>113</v>
      </c>
      <c r="I208" s="160"/>
      <c r="K208" s="50" t="str">
        <v>Maçarico Portátil Profissional Encaixe 1,300°c Ignição Automática, Soldas E Narguilé</v>
      </c>
      <c r="L208" s="49">
        <f>SUMIF(Tabela1[Produtos],K208,Tabela1[Quantidade])</f>
        <v>4</v>
      </c>
      <c r="M208" s="37">
        <f>SUMIF(Tabela1[Produtos],K208,Tabela1[Valor gasto])</f>
        <v>88</v>
      </c>
      <c r="N208" s="37">
        <f>SUMIF(Tabela1[Produtos],K208,Tabela1[Valor venddo])</f>
        <v>190.024</v>
      </c>
      <c r="O208" s="37">
        <f>SUMIF(Tabela1[Produtos],K208,Tabela1[Valor do lucro])</f>
        <v>102.024</v>
      </c>
      <c r="Q208" s="50"/>
      <c r="R208" s="49"/>
      <c r="S208" s="37"/>
      <c r="T208" s="37"/>
      <c r="U208" s="37"/>
    </row>
    <row r="209" spans="1:21" ht="15.75" x14ac:dyDescent="0.25">
      <c r="A209" s="158">
        <v>912</v>
      </c>
      <c r="B209" s="45" t="s">
        <v>473</v>
      </c>
      <c r="C209" s="134">
        <v>1</v>
      </c>
      <c r="D209" s="127">
        <v>15</v>
      </c>
      <c r="E209" s="135">
        <v>37.269000000000005</v>
      </c>
      <c r="F209" s="61">
        <f>E209-D209</f>
        <v>22.269000000000005</v>
      </c>
      <c r="G209" s="8" t="s">
        <v>15</v>
      </c>
      <c r="H209" s="8" t="s">
        <v>114</v>
      </c>
      <c r="I209" s="161"/>
      <c r="K209" s="50" t="str">
        <v>Mandril 1/2 Com Chave - Super 1.5 a 13mm - Encaixe Rosca 1/2 X 20 UNF</v>
      </c>
      <c r="L209" s="49">
        <f>SUMIF(Tabela1[Produtos],K209,Tabela1[Quantidade])</f>
        <v>7</v>
      </c>
      <c r="M209" s="37">
        <f>SUMIF(Tabela1[Produtos],K209,Tabela1[Valor gasto])</f>
        <v>124.5</v>
      </c>
      <c r="N209" s="37">
        <f>SUMIF(Tabela1[Produtos],K209,Tabela1[Valor venddo])</f>
        <v>225.61</v>
      </c>
      <c r="O209" s="37">
        <f>SUMIF(Tabela1[Produtos],K209,Tabela1[Valor do lucro])</f>
        <v>112.33</v>
      </c>
      <c r="Q209" s="50"/>
      <c r="R209" s="49"/>
      <c r="S209" s="37"/>
      <c r="T209" s="37"/>
      <c r="U209" s="37"/>
    </row>
    <row r="210" spans="1:21" ht="15.75" x14ac:dyDescent="0.25">
      <c r="A210" s="158">
        <v>301</v>
      </c>
      <c r="B210" s="45" t="s">
        <v>199</v>
      </c>
      <c r="C210" s="126">
        <v>4</v>
      </c>
      <c r="D210" s="127">
        <v>24</v>
      </c>
      <c r="E210" s="127">
        <v>51.18</v>
      </c>
      <c r="F210" s="127">
        <v>27.18</v>
      </c>
      <c r="G210" s="8" t="s">
        <v>3</v>
      </c>
      <c r="H210" s="8" t="s">
        <v>114</v>
      </c>
      <c r="I210" s="161"/>
      <c r="K210" s="50" t="str">
        <v>Mandril 1/2 Com Chave - Super 1.5 a 13mm - Encaixe Rosca 1/2 X 20 UNF -</v>
      </c>
      <c r="L210" s="49">
        <f>SUMIF(Tabela1[Produtos],K210,Tabela1[Quantidade])</f>
        <v>2</v>
      </c>
      <c r="M210" s="37">
        <f>SUMIF(Tabela1[Produtos],K210,Tabela1[Valor gasto])</f>
        <v>32</v>
      </c>
      <c r="N210" s="37">
        <f>SUMIF(Tabela1[Produtos],K210,Tabela1[Valor venddo])</f>
        <v>57</v>
      </c>
      <c r="O210" s="37">
        <f>SUMIF(Tabela1[Produtos],K210,Tabela1[Valor do lucro])</f>
        <v>25</v>
      </c>
      <c r="Q210" s="50"/>
      <c r="R210" s="49"/>
      <c r="S210" s="37"/>
      <c r="T210" s="37"/>
      <c r="U210" s="37"/>
    </row>
    <row r="211" spans="1:21" ht="15.75" x14ac:dyDescent="0.25">
      <c r="A211" s="158">
        <v>352</v>
      </c>
      <c r="B211" s="45" t="s">
        <v>199</v>
      </c>
      <c r="C211" s="14">
        <v>1</v>
      </c>
      <c r="D211" s="61">
        <v>36</v>
      </c>
      <c r="E211" s="61">
        <v>81.86</v>
      </c>
      <c r="F211" s="61">
        <f>E211-D211</f>
        <v>45.86</v>
      </c>
      <c r="G211" s="8" t="s">
        <v>15</v>
      </c>
      <c r="H211" s="8" t="s">
        <v>113</v>
      </c>
      <c r="I211" s="160"/>
      <c r="K211" s="50" t="str">
        <v>maquina de cabelo</v>
      </c>
      <c r="L211" s="49">
        <f>SUMIF(Tabela1[Produtos],K211,Tabela1[Quantidade])</f>
        <v>1</v>
      </c>
      <c r="M211" s="37">
        <f>SUMIF(Tabela1[Produtos],K211,Tabela1[Valor gasto])</f>
        <v>22</v>
      </c>
      <c r="N211" s="37">
        <f>SUMIF(Tabela1[Produtos],K211,Tabela1[Valor venddo])</f>
        <v>50</v>
      </c>
      <c r="O211" s="37">
        <f>SUMIF(Tabela1[Produtos],K211,Tabela1[Valor do lucro])</f>
        <v>28</v>
      </c>
      <c r="Q211" s="50"/>
      <c r="R211" s="49"/>
      <c r="S211" s="37"/>
      <c r="T211" s="37"/>
      <c r="U211" s="37"/>
    </row>
    <row r="212" spans="1:21" ht="15.75" x14ac:dyDescent="0.25">
      <c r="A212" s="158">
        <v>448</v>
      </c>
      <c r="B212" s="45" t="s">
        <v>199</v>
      </c>
      <c r="C212" s="14">
        <v>1</v>
      </c>
      <c r="D212" s="128">
        <v>6</v>
      </c>
      <c r="E212" s="61">
        <v>13.64</v>
      </c>
      <c r="F212" s="61">
        <f>E212-D212</f>
        <v>7.6400000000000006</v>
      </c>
      <c r="G212" s="8" t="s">
        <v>15</v>
      </c>
      <c r="H212" s="8" t="s">
        <v>113</v>
      </c>
      <c r="I212" s="160"/>
      <c r="K212" s="50" t="str">
        <v>maquina de cabelo dragon</v>
      </c>
      <c r="L212" s="49">
        <f>SUMIF(Tabela1[Produtos],K212,Tabela1[Quantidade])</f>
        <v>1</v>
      </c>
      <c r="M212" s="37">
        <f>SUMIF(Tabela1[Produtos],K212,Tabela1[Valor gasto])</f>
        <v>25</v>
      </c>
      <c r="N212" s="37">
        <f>SUMIF(Tabela1[Produtos],K212,Tabela1[Valor venddo])</f>
        <v>80</v>
      </c>
      <c r="O212" s="37">
        <f>SUMIF(Tabela1[Produtos],K212,Tabela1[Valor do lucro])</f>
        <v>55</v>
      </c>
      <c r="Q212" s="50"/>
      <c r="R212" s="49"/>
      <c r="S212" s="37"/>
      <c r="T212" s="37"/>
      <c r="U212" s="37"/>
    </row>
    <row r="213" spans="1:21" ht="15.75" x14ac:dyDescent="0.25">
      <c r="A213" s="158">
        <v>260</v>
      </c>
      <c r="B213" s="45" t="s">
        <v>178</v>
      </c>
      <c r="C213" s="17">
        <v>40</v>
      </c>
      <c r="D213" s="58">
        <v>6</v>
      </c>
      <c r="E213" s="58">
        <v>240</v>
      </c>
      <c r="F213" s="58">
        <v>154.57</v>
      </c>
      <c r="G213" s="8" t="s">
        <v>15</v>
      </c>
      <c r="H213" s="57" t="s">
        <v>114</v>
      </c>
      <c r="I213" s="159"/>
      <c r="K213" s="50" t="str">
        <v>Maquina Higiênica Aparadora / Aparador Depilador De Pelos Nariz e Orelha</v>
      </c>
      <c r="L213" s="49">
        <f>SUMIF(Tabela1[Produtos],K213,Tabela1[Quantidade])</f>
        <v>10</v>
      </c>
      <c r="M213" s="37">
        <f>SUMIF(Tabela1[Produtos],K213,Tabela1[Valor gasto])</f>
        <v>169</v>
      </c>
      <c r="N213" s="37">
        <f>SUMIF(Tabela1[Produtos],K213,Tabela1[Valor venddo])</f>
        <v>340.88</v>
      </c>
      <c r="O213" s="37">
        <f>SUMIF(Tabela1[Produtos],K213,Tabela1[Valor do lucro])</f>
        <v>162.88</v>
      </c>
      <c r="Q213" s="50"/>
      <c r="R213" s="49"/>
      <c r="S213" s="37"/>
      <c r="T213" s="37"/>
      <c r="U213" s="37"/>
    </row>
    <row r="214" spans="1:21" ht="15.75" x14ac:dyDescent="0.25">
      <c r="A214" s="158">
        <v>799</v>
      </c>
      <c r="B214" s="7" t="s">
        <v>413</v>
      </c>
      <c r="C214" s="14">
        <v>1</v>
      </c>
      <c r="D214" s="61">
        <v>10</v>
      </c>
      <c r="E214" s="61">
        <v>20</v>
      </c>
      <c r="F214" s="61">
        <f>E214-D214</f>
        <v>10</v>
      </c>
      <c r="G214" s="8" t="s">
        <v>15</v>
      </c>
      <c r="H214" s="8" t="s">
        <v>113</v>
      </c>
      <c r="I214" s="161"/>
      <c r="K214" s="50" t="str">
        <v>MAQUINA PEQUENA</v>
      </c>
      <c r="L214" s="49">
        <f>SUMIF(Tabela1[Produtos],K214,Tabela1[Quantidade])</f>
        <v>1</v>
      </c>
      <c r="M214" s="37">
        <f>SUMIF(Tabela1[Produtos],K214,Tabela1[Valor gasto])</f>
        <v>13</v>
      </c>
      <c r="N214" s="37">
        <f>SUMIF(Tabela1[Produtos],K214,Tabela1[Valor venddo])</f>
        <v>20</v>
      </c>
      <c r="O214" s="37">
        <f>SUMIF(Tabela1[Produtos],K214,Tabela1[Valor do lucro])</f>
        <v>7</v>
      </c>
      <c r="Q214" s="50"/>
      <c r="R214" s="49"/>
      <c r="S214" s="37"/>
      <c r="T214" s="37"/>
      <c r="U214" s="37"/>
    </row>
    <row r="215" spans="1:21" ht="15.75" x14ac:dyDescent="0.25">
      <c r="A215" s="158">
        <v>817</v>
      </c>
      <c r="B215" s="7" t="s">
        <v>413</v>
      </c>
      <c r="C215" s="14">
        <v>1</v>
      </c>
      <c r="D215" s="61">
        <v>10</v>
      </c>
      <c r="E215" s="61">
        <v>20</v>
      </c>
      <c r="F215" s="61">
        <f>E215-D215</f>
        <v>10</v>
      </c>
      <c r="G215" s="8" t="s">
        <v>15</v>
      </c>
      <c r="H215" s="8" t="s">
        <v>113</v>
      </c>
      <c r="I215" s="161"/>
      <c r="K215" s="50" t="str">
        <v>Massageado Facial Corporal E Limpeza De Pele 5 Em 1</v>
      </c>
      <c r="L215" s="49">
        <f>SUMIF(Tabela1[Produtos],K215,Tabela1[Quantidade])</f>
        <v>1</v>
      </c>
      <c r="M215" s="37">
        <f>SUMIF(Tabela1[Produtos],K215,Tabela1[Valor gasto])</f>
        <v>10</v>
      </c>
      <c r="N215" s="37">
        <f>SUMIF(Tabela1[Produtos],K215,Tabela1[Valor venddo])</f>
        <v>26.62</v>
      </c>
      <c r="O215" s="37">
        <f>SUMIF(Tabela1[Produtos],K215,Tabela1[Valor do lucro])</f>
        <v>16.62</v>
      </c>
      <c r="Q215" s="50"/>
      <c r="R215" s="49"/>
      <c r="S215" s="37"/>
      <c r="T215" s="37"/>
      <c r="U215" s="37"/>
    </row>
    <row r="216" spans="1:21" ht="15.75" x14ac:dyDescent="0.25">
      <c r="A216" s="158">
        <v>913</v>
      </c>
      <c r="B216" s="45" t="s">
        <v>474</v>
      </c>
      <c r="C216" s="134">
        <v>1</v>
      </c>
      <c r="D216" s="127">
        <v>90</v>
      </c>
      <c r="E216" s="135">
        <v>123</v>
      </c>
      <c r="F216" s="61">
        <f>E216-D216</f>
        <v>33</v>
      </c>
      <c r="G216" s="8" t="s">
        <v>15</v>
      </c>
      <c r="H216" s="8" t="s">
        <v>114</v>
      </c>
      <c r="I216" s="161"/>
      <c r="K216" s="50" t="str">
        <v>massageador</v>
      </c>
      <c r="L216" s="49">
        <f>SUMIF(Tabela1[Produtos],K216,Tabela1[Quantidade])</f>
        <v>1</v>
      </c>
      <c r="M216" s="37">
        <f>SUMIF(Tabela1[Produtos],K216,Tabela1[Valor gasto])</f>
        <v>130</v>
      </c>
      <c r="N216" s="37">
        <f>SUMIF(Tabela1[Produtos],K216,Tabela1[Valor venddo])</f>
        <v>230</v>
      </c>
      <c r="O216" s="37">
        <f>SUMIF(Tabela1[Produtos],K216,Tabela1[Valor do lucro])</f>
        <v>100</v>
      </c>
      <c r="Q216" s="50"/>
      <c r="R216" s="49"/>
      <c r="S216" s="37"/>
      <c r="T216" s="37"/>
      <c r="U216" s="37"/>
    </row>
    <row r="217" spans="1:21" ht="15.75" x14ac:dyDescent="0.25">
      <c r="A217" s="158">
        <v>50</v>
      </c>
      <c r="B217" s="45" t="s">
        <v>83</v>
      </c>
      <c r="C217" s="14">
        <v>1</v>
      </c>
      <c r="D217" s="61">
        <f>E217-F217</f>
        <v>120</v>
      </c>
      <c r="E217" s="58">
        <v>168.9</v>
      </c>
      <c r="F217" s="61">
        <v>48.900000000000006</v>
      </c>
      <c r="G217" s="8" t="s">
        <v>15</v>
      </c>
      <c r="H217" s="57" t="s">
        <v>6</v>
      </c>
      <c r="I217" s="159"/>
      <c r="K217" s="50" t="str">
        <v>Medidor de Pressão de Pneus Manual Analógico 220 Libras</v>
      </c>
      <c r="L217" s="49">
        <f>SUMIF(Tabela1[Produtos],K217,Tabela1[Quantidade])</f>
        <v>1</v>
      </c>
      <c r="M217" s="37">
        <f>SUMIF(Tabela1[Produtos],K217,Tabela1[Valor gasto])</f>
        <v>18</v>
      </c>
      <c r="N217" s="37">
        <f>SUMIF(Tabela1[Produtos],K217,Tabela1[Valor venddo])</f>
        <v>33.75</v>
      </c>
      <c r="O217" s="37">
        <f>SUMIF(Tabela1[Produtos],K217,Tabela1[Valor do lucro])</f>
        <v>15.75</v>
      </c>
      <c r="Q217" s="50"/>
      <c r="R217" s="49"/>
      <c r="S217" s="37"/>
      <c r="T217" s="37"/>
      <c r="U217" s="37"/>
    </row>
    <row r="218" spans="1:21" ht="15.75" x14ac:dyDescent="0.25">
      <c r="A218" s="158">
        <v>449</v>
      </c>
      <c r="B218" s="45" t="s">
        <v>83</v>
      </c>
      <c r="C218" s="14">
        <v>1</v>
      </c>
      <c r="D218" s="128">
        <v>50</v>
      </c>
      <c r="E218" s="61">
        <v>90</v>
      </c>
      <c r="F218" s="61">
        <f t="shared" ref="F218:F231" si="6">E218-D218</f>
        <v>40</v>
      </c>
      <c r="G218" s="8" t="s">
        <v>15</v>
      </c>
      <c r="H218" s="8" t="s">
        <v>113</v>
      </c>
      <c r="I218" s="160"/>
      <c r="K218" s="50" t="str">
        <v>memory card 32mb</v>
      </c>
      <c r="L218" s="49">
        <f>SUMIF(Tabela1[Produtos],K218,Tabela1[Quantidade])</f>
        <v>1</v>
      </c>
      <c r="M218" s="37">
        <f>SUMIF(Tabela1[Produtos],K218,Tabela1[Valor gasto])</f>
        <v>16</v>
      </c>
      <c r="N218" s="37">
        <f>SUMIF(Tabela1[Produtos],K218,Tabela1[Valor venddo])</f>
        <v>50</v>
      </c>
      <c r="O218" s="37">
        <f>SUMIF(Tabela1[Produtos],K218,Tabela1[Valor do lucro])</f>
        <v>34</v>
      </c>
      <c r="Q218" s="50"/>
      <c r="R218" s="49"/>
      <c r="S218" s="37"/>
      <c r="T218" s="37"/>
      <c r="U218" s="37"/>
    </row>
    <row r="219" spans="1:21" ht="15.75" x14ac:dyDescent="0.25">
      <c r="A219" s="158">
        <v>601</v>
      </c>
      <c r="B219" s="45" t="s">
        <v>83</v>
      </c>
      <c r="C219" s="14">
        <v>1</v>
      </c>
      <c r="D219" s="127">
        <v>20</v>
      </c>
      <c r="E219" s="127">
        <v>51.68</v>
      </c>
      <c r="F219" s="61">
        <f t="shared" si="6"/>
        <v>31.68</v>
      </c>
      <c r="G219" s="8" t="s">
        <v>15</v>
      </c>
      <c r="H219" s="8" t="s">
        <v>113</v>
      </c>
      <c r="I219" s="161"/>
      <c r="K219" s="50" t="str">
        <v>Memory Card 32mb P/ Ps2 Kp-032 - Knup</v>
      </c>
      <c r="L219" s="49">
        <f>SUMIF(Tabela1[Produtos],K219,Tabela1[Quantidade])</f>
        <v>6</v>
      </c>
      <c r="M219" s="37">
        <f>SUMIF(Tabela1[Produtos],K219,Tabela1[Valor gasto])</f>
        <v>92</v>
      </c>
      <c r="N219" s="37">
        <f>SUMIF(Tabela1[Produtos],K219,Tabela1[Valor venddo])</f>
        <v>181.76000000000002</v>
      </c>
      <c r="O219" s="37">
        <f>SUMIF(Tabela1[Produtos],K219,Tabela1[Valor do lucro])</f>
        <v>89.760000000000019</v>
      </c>
      <c r="Q219" s="50"/>
      <c r="R219" s="49"/>
      <c r="S219" s="37"/>
      <c r="T219" s="37"/>
      <c r="U219" s="37"/>
    </row>
    <row r="220" spans="1:21" ht="15.75" x14ac:dyDescent="0.25">
      <c r="A220" s="158">
        <v>891</v>
      </c>
      <c r="B220" s="7" t="s">
        <v>467</v>
      </c>
      <c r="C220" s="14">
        <v>1</v>
      </c>
      <c r="D220" s="61">
        <v>110</v>
      </c>
      <c r="E220" s="61">
        <v>150</v>
      </c>
      <c r="F220" s="61">
        <f t="shared" si="6"/>
        <v>40</v>
      </c>
      <c r="G220" s="8" t="s">
        <v>15</v>
      </c>
      <c r="H220" s="8" t="s">
        <v>113</v>
      </c>
      <c r="I220" s="161"/>
      <c r="K220" s="50" t="str">
        <v>Microfone de Lapela 3,5mm Stéreo Profissional p3</v>
      </c>
      <c r="L220" s="49">
        <f>SUMIF(Tabela1[Produtos],K220,Tabela1[Quantidade])</f>
        <v>1</v>
      </c>
      <c r="M220" s="37">
        <f>SUMIF(Tabela1[Produtos],K220,Tabela1[Valor gasto])</f>
        <v>2</v>
      </c>
      <c r="N220" s="37">
        <f>SUMIF(Tabela1[Produtos],K220,Tabela1[Valor venddo])</f>
        <v>20</v>
      </c>
      <c r="O220" s="37">
        <f>SUMIF(Tabela1[Produtos],K220,Tabela1[Valor do lucro])</f>
        <v>18</v>
      </c>
      <c r="Q220" s="50"/>
      <c r="R220" s="49"/>
      <c r="S220" s="37"/>
      <c r="T220" s="37"/>
      <c r="U220" s="37"/>
    </row>
    <row r="221" spans="1:21" ht="15.75" x14ac:dyDescent="0.25">
      <c r="A221" s="158">
        <v>892</v>
      </c>
      <c r="B221" s="7" t="s">
        <v>467</v>
      </c>
      <c r="C221" s="14">
        <v>1</v>
      </c>
      <c r="D221" s="61">
        <v>110</v>
      </c>
      <c r="E221" s="61">
        <v>150</v>
      </c>
      <c r="F221" s="61">
        <f t="shared" si="6"/>
        <v>40</v>
      </c>
      <c r="G221" s="8" t="s">
        <v>15</v>
      </c>
      <c r="H221" s="8" t="s">
        <v>113</v>
      </c>
      <c r="I221" s="161"/>
      <c r="K221" s="50" t="str">
        <v>Microfone De Lapela Celular Smartphone Profissional Stereo</v>
      </c>
      <c r="L221" s="49">
        <f>SUMIF(Tabela1[Produtos],K221,Tabela1[Quantidade])</f>
        <v>2</v>
      </c>
      <c r="M221" s="37">
        <f>SUMIF(Tabela1[Produtos],K221,Tabela1[Valor gasto])</f>
        <v>13</v>
      </c>
      <c r="N221" s="37">
        <f>SUMIF(Tabela1[Produtos],K221,Tabela1[Valor venddo])</f>
        <v>31</v>
      </c>
      <c r="O221" s="37">
        <f>SUMIF(Tabela1[Produtos],K221,Tabela1[Valor do lucro])</f>
        <v>18</v>
      </c>
      <c r="Q221" s="50"/>
      <c r="R221" s="49"/>
      <c r="S221" s="37"/>
      <c r="T221" s="37"/>
      <c r="U221" s="37"/>
    </row>
    <row r="222" spans="1:21" ht="15.75" x14ac:dyDescent="0.25">
      <c r="A222" s="158">
        <v>338</v>
      </c>
      <c r="B222" s="10" t="s">
        <v>191</v>
      </c>
      <c r="C222" s="14">
        <v>1</v>
      </c>
      <c r="D222" s="61">
        <v>30</v>
      </c>
      <c r="E222" s="61">
        <v>50</v>
      </c>
      <c r="F222" s="61">
        <f t="shared" si="6"/>
        <v>20</v>
      </c>
      <c r="G222" s="8" t="s">
        <v>15</v>
      </c>
      <c r="H222" s="8" t="s">
        <v>113</v>
      </c>
      <c r="I222" s="160"/>
      <c r="K222" s="50" t="str">
        <v>Mini Aparador Elétrico Portátil Masculino e feminino Luatek</v>
      </c>
      <c r="L222" s="49">
        <f>SUMIF(Tabela1[Produtos],K222,Tabela1[Quantidade])</f>
        <v>1</v>
      </c>
      <c r="M222" s="37">
        <f>SUMIF(Tabela1[Produtos],K222,Tabela1[Valor gasto])</f>
        <v>14</v>
      </c>
      <c r="N222" s="37">
        <f>SUMIF(Tabela1[Produtos],K222,Tabela1[Valor venddo])</f>
        <v>19.850000000000001</v>
      </c>
      <c r="O222" s="37">
        <f>SUMIF(Tabela1[Produtos],K222,Tabela1[Valor do lucro])</f>
        <v>5.8500000000000014</v>
      </c>
      <c r="Q222" s="50"/>
      <c r="R222" s="49"/>
      <c r="S222" s="37"/>
      <c r="T222" s="37"/>
      <c r="U222" s="37"/>
    </row>
    <row r="223" spans="1:21" ht="15.75" x14ac:dyDescent="0.25">
      <c r="A223" s="158">
        <v>284</v>
      </c>
      <c r="B223" s="7" t="s">
        <v>191</v>
      </c>
      <c r="C223" s="14">
        <v>1</v>
      </c>
      <c r="D223" s="61">
        <v>30</v>
      </c>
      <c r="E223" s="61">
        <v>60</v>
      </c>
      <c r="F223" s="61">
        <f t="shared" si="6"/>
        <v>30</v>
      </c>
      <c r="G223" s="8" t="s">
        <v>3</v>
      </c>
      <c r="H223" s="8" t="s">
        <v>113</v>
      </c>
      <c r="I223" s="161"/>
      <c r="K223" s="50" t="str">
        <v>mini depilador</v>
      </c>
      <c r="L223" s="49">
        <f>SUMIF(Tabela1[Produtos],K223,Tabela1[Quantidade])</f>
        <v>3</v>
      </c>
      <c r="M223" s="37">
        <f>SUMIF(Tabela1[Produtos],K223,Tabela1[Valor gasto])</f>
        <v>40</v>
      </c>
      <c r="N223" s="37">
        <f>SUMIF(Tabela1[Produtos],K223,Tabela1[Valor venddo])</f>
        <v>75</v>
      </c>
      <c r="O223" s="37">
        <f>SUMIF(Tabela1[Produtos],K223,Tabela1[Valor do lucro])</f>
        <v>35</v>
      </c>
      <c r="Q223" s="50"/>
      <c r="R223" s="49"/>
      <c r="S223" s="37"/>
      <c r="T223" s="37"/>
      <c r="U223" s="37"/>
    </row>
    <row r="224" spans="1:21" ht="15.75" x14ac:dyDescent="0.25">
      <c r="A224" s="158">
        <v>424</v>
      </c>
      <c r="B224" s="7" t="s">
        <v>191</v>
      </c>
      <c r="C224" s="14">
        <v>1</v>
      </c>
      <c r="D224" s="61">
        <v>30</v>
      </c>
      <c r="E224" s="61">
        <v>60</v>
      </c>
      <c r="F224" s="61">
        <f t="shared" si="6"/>
        <v>30</v>
      </c>
      <c r="G224" s="8" t="s">
        <v>15</v>
      </c>
      <c r="H224" s="8" t="s">
        <v>113</v>
      </c>
      <c r="I224" s="160"/>
      <c r="K224" s="50" t="str">
        <v>Mini liquidificador</v>
      </c>
      <c r="L224" s="49">
        <f>SUMIF(Tabela1[Produtos],K224,Tabela1[Quantidade])</f>
        <v>3</v>
      </c>
      <c r="M224" s="37">
        <f>SUMIF(Tabela1[Produtos],K224,Tabela1[Valor gasto])</f>
        <v>88</v>
      </c>
      <c r="N224" s="37">
        <f>SUMIF(Tabela1[Produtos],K224,Tabela1[Valor venddo])</f>
        <v>230</v>
      </c>
      <c r="O224" s="37">
        <f>SUMIF(Tabela1[Produtos],K224,Tabela1[Valor do lucro])</f>
        <v>142</v>
      </c>
      <c r="Q224" s="50"/>
      <c r="R224" s="49"/>
      <c r="S224" s="37"/>
      <c r="T224" s="37"/>
      <c r="U224" s="37"/>
    </row>
    <row r="225" spans="1:21" ht="15.75" x14ac:dyDescent="0.25">
      <c r="A225" s="158">
        <v>425</v>
      </c>
      <c r="B225" s="7" t="s">
        <v>191</v>
      </c>
      <c r="C225" s="14">
        <v>1</v>
      </c>
      <c r="D225" s="61">
        <v>30</v>
      </c>
      <c r="E225" s="61">
        <v>60</v>
      </c>
      <c r="F225" s="61">
        <f t="shared" si="6"/>
        <v>30</v>
      </c>
      <c r="G225" s="8" t="s">
        <v>15</v>
      </c>
      <c r="H225" s="8" t="s">
        <v>113</v>
      </c>
      <c r="I225" s="160"/>
      <c r="K225" s="50" t="str">
        <v>mini luminária de LED com controle remoto 3 em 1</v>
      </c>
      <c r="L225" s="49">
        <f>SUMIF(Tabela1[Produtos],K225,Tabela1[Quantidade])</f>
        <v>1</v>
      </c>
      <c r="M225" s="37">
        <f>SUMIF(Tabela1[Produtos],K225,Tabela1[Valor gasto])</f>
        <v>80</v>
      </c>
      <c r="N225" s="37">
        <f>SUMIF(Tabela1[Produtos],K225,Tabela1[Valor venddo])</f>
        <v>182.49</v>
      </c>
      <c r="O225" s="37">
        <f>SUMIF(Tabela1[Produtos],K225,Tabela1[Valor do lucro])</f>
        <v>102.49000000000001</v>
      </c>
      <c r="Q225" s="50"/>
      <c r="R225" s="49"/>
      <c r="S225" s="37"/>
      <c r="T225" s="37"/>
      <c r="U225" s="37"/>
    </row>
    <row r="226" spans="1:21" ht="15.75" x14ac:dyDescent="0.25">
      <c r="A226" s="158">
        <v>426</v>
      </c>
      <c r="B226" s="7" t="s">
        <v>191</v>
      </c>
      <c r="C226" s="14">
        <v>1</v>
      </c>
      <c r="D226" s="61">
        <v>30</v>
      </c>
      <c r="E226" s="61">
        <v>60</v>
      </c>
      <c r="F226" s="61">
        <f t="shared" si="6"/>
        <v>30</v>
      </c>
      <c r="G226" s="8" t="s">
        <v>15</v>
      </c>
      <c r="H226" s="8" t="s">
        <v>113</v>
      </c>
      <c r="I226" s="160"/>
      <c r="K226" s="50" t="str">
        <v>Mini Máquina De Costura Manual Portátil De Mão Tecido</v>
      </c>
      <c r="L226" s="49">
        <f>SUMIF(Tabela1[Produtos],K226,Tabela1[Quantidade])</f>
        <v>387</v>
      </c>
      <c r="M226" s="37">
        <f>SUMIF(Tabela1[Produtos],K226,Tabela1[Valor gasto])</f>
        <v>2285</v>
      </c>
      <c r="N226" s="37">
        <f>SUMIF(Tabela1[Produtos],K226,Tabela1[Valor venddo])</f>
        <v>6656.2048000000004</v>
      </c>
      <c r="O226" s="37">
        <f>SUMIF(Tabela1[Produtos],K226,Tabela1[Valor do lucro])</f>
        <v>4190.0248000000001</v>
      </c>
      <c r="Q226" s="50"/>
      <c r="R226" s="49"/>
      <c r="S226" s="37"/>
      <c r="T226" s="37"/>
      <c r="U226" s="37"/>
    </row>
    <row r="227" spans="1:21" ht="15.75" x14ac:dyDescent="0.25">
      <c r="A227" s="158">
        <v>427</v>
      </c>
      <c r="B227" s="7" t="s">
        <v>191</v>
      </c>
      <c r="C227" s="14">
        <v>1</v>
      </c>
      <c r="D227" s="61">
        <v>30</v>
      </c>
      <c r="E227" s="61">
        <v>60</v>
      </c>
      <c r="F227" s="61">
        <f t="shared" si="6"/>
        <v>30</v>
      </c>
      <c r="G227" s="8" t="s">
        <v>15</v>
      </c>
      <c r="H227" s="8" t="s">
        <v>113</v>
      </c>
      <c r="I227" s="160"/>
      <c r="K227" s="50" t="str">
        <v>mini marsarico</v>
      </c>
      <c r="L227" s="49">
        <f>SUMIF(Tabela1[Produtos],K227,Tabela1[Quantidade])</f>
        <v>1</v>
      </c>
      <c r="M227" s="37">
        <f>SUMIF(Tabela1[Produtos],K227,Tabela1[Valor gasto])</f>
        <v>13</v>
      </c>
      <c r="N227" s="37">
        <f>SUMIF(Tabela1[Produtos],K227,Tabela1[Valor venddo])</f>
        <v>25</v>
      </c>
      <c r="O227" s="37">
        <f>SUMIF(Tabela1[Produtos],K227,Tabela1[Valor do lucro])</f>
        <v>12</v>
      </c>
      <c r="Q227" s="50"/>
      <c r="R227" s="49"/>
      <c r="S227" s="37"/>
      <c r="T227" s="37"/>
      <c r="U227" s="37"/>
    </row>
    <row r="228" spans="1:21" ht="15.75" x14ac:dyDescent="0.25">
      <c r="A228" s="158">
        <v>193</v>
      </c>
      <c r="B228" s="7" t="s">
        <v>191</v>
      </c>
      <c r="C228" s="14">
        <v>1</v>
      </c>
      <c r="D228" s="61">
        <v>25</v>
      </c>
      <c r="E228" s="61">
        <v>50</v>
      </c>
      <c r="F228" s="61">
        <f t="shared" si="6"/>
        <v>25</v>
      </c>
      <c r="G228" s="8" t="s">
        <v>15</v>
      </c>
      <c r="H228" s="8" t="s">
        <v>113</v>
      </c>
      <c r="I228" s="159"/>
      <c r="K228" s="50" t="str">
        <v>Mini Morsa Idea 6463M</v>
      </c>
      <c r="L228" s="49">
        <f>SUMIF(Tabela1[Produtos],K228,Tabela1[Quantidade])</f>
        <v>8</v>
      </c>
      <c r="M228" s="37">
        <f>SUMIF(Tabela1[Produtos],K228,Tabela1[Valor gasto])</f>
        <v>108</v>
      </c>
      <c r="N228" s="37">
        <f>SUMIF(Tabela1[Produtos],K228,Tabela1[Valor venddo])</f>
        <v>187.39000000000001</v>
      </c>
      <c r="O228" s="37">
        <f>SUMIF(Tabela1[Produtos],K228,Tabela1[Valor do lucro])</f>
        <v>91.390000000000015</v>
      </c>
      <c r="Q228" s="45"/>
      <c r="R228" s="49"/>
      <c r="S228" s="37"/>
      <c r="T228" s="37"/>
      <c r="U228" s="37"/>
    </row>
    <row r="229" spans="1:21" ht="15.75" x14ac:dyDescent="0.25">
      <c r="A229" s="158">
        <v>225</v>
      </c>
      <c r="B229" s="7" t="s">
        <v>191</v>
      </c>
      <c r="C229" s="14">
        <v>1</v>
      </c>
      <c r="D229" s="61">
        <v>30</v>
      </c>
      <c r="E229" s="61">
        <v>50</v>
      </c>
      <c r="F229" s="61">
        <f t="shared" si="6"/>
        <v>20</v>
      </c>
      <c r="G229" s="8" t="s">
        <v>15</v>
      </c>
      <c r="H229" s="8" t="s">
        <v>113</v>
      </c>
      <c r="I229" s="159"/>
      <c r="K229" s="50" t="str">
        <v>MINI PINÇAS PARA DEPILAÇÃO E SOBRANCELHAS</v>
      </c>
      <c r="L229" s="49">
        <f>SUMIF(Tabela1[Produtos],K229,Tabela1[Quantidade])</f>
        <v>1</v>
      </c>
      <c r="M229" s="37">
        <f>SUMIF(Tabela1[Produtos],K229,Tabela1[Valor gasto])</f>
        <v>0.6</v>
      </c>
      <c r="N229" s="37">
        <f>SUMIF(Tabela1[Produtos],K229,Tabela1[Valor venddo])</f>
        <v>1.4923999999999999</v>
      </c>
      <c r="O229" s="37">
        <f>SUMIF(Tabela1[Produtos],K229,Tabela1[Valor do lucro])</f>
        <v>0.89239999999999997</v>
      </c>
      <c r="Q229" s="50"/>
      <c r="R229" s="49"/>
      <c r="S229" s="37"/>
      <c r="T229" s="37"/>
      <c r="U229" s="37"/>
    </row>
    <row r="230" spans="1:21" ht="15.75" x14ac:dyDescent="0.25">
      <c r="A230" s="158">
        <v>553</v>
      </c>
      <c r="B230" s="7" t="s">
        <v>287</v>
      </c>
      <c r="C230" s="14">
        <v>1</v>
      </c>
      <c r="D230" s="61">
        <v>10</v>
      </c>
      <c r="E230" s="61">
        <v>20</v>
      </c>
      <c r="F230" s="61">
        <f t="shared" si="6"/>
        <v>10</v>
      </c>
      <c r="G230" s="8" t="s">
        <v>15</v>
      </c>
      <c r="H230" s="8" t="s">
        <v>113</v>
      </c>
      <c r="I230" s="161"/>
      <c r="K230" s="50" t="str">
        <v>mini relogio carro</v>
      </c>
      <c r="L230" s="49">
        <f>SUMIF(Tabela1[Produtos],K230,Tabela1[Quantidade])</f>
        <v>1</v>
      </c>
      <c r="M230" s="37">
        <f>SUMIF(Tabela1[Produtos],K230,Tabela1[Valor gasto])</f>
        <v>6</v>
      </c>
      <c r="N230" s="37">
        <f>SUMIF(Tabela1[Produtos],K230,Tabela1[Valor venddo])</f>
        <v>20</v>
      </c>
      <c r="O230" s="37">
        <f>SUMIF(Tabela1[Produtos],K230,Tabela1[Valor do lucro])</f>
        <v>14</v>
      </c>
      <c r="Q230" s="50"/>
      <c r="R230" s="49"/>
      <c r="S230" s="37"/>
      <c r="T230" s="37"/>
      <c r="U230" s="37"/>
    </row>
    <row r="231" spans="1:21" ht="15.75" x14ac:dyDescent="0.25">
      <c r="A231" s="158">
        <v>198</v>
      </c>
      <c r="B231" s="12" t="s">
        <v>151</v>
      </c>
      <c r="C231" s="14">
        <v>1</v>
      </c>
      <c r="D231" s="61">
        <v>12</v>
      </c>
      <c r="E231" s="61">
        <v>50</v>
      </c>
      <c r="F231" s="61">
        <f t="shared" si="6"/>
        <v>38</v>
      </c>
      <c r="G231" s="8" t="s">
        <v>15</v>
      </c>
      <c r="H231" s="8" t="s">
        <v>113</v>
      </c>
      <c r="I231" s="159"/>
      <c r="K231" s="50" t="str">
        <v>mini taiser</v>
      </c>
      <c r="L231" s="49">
        <f>SUMIF(Tabela1[Produtos],K231,Tabela1[Quantidade])</f>
        <v>1</v>
      </c>
      <c r="M231" s="37">
        <f>SUMIF(Tabela1[Produtos],K231,Tabela1[Valor gasto])</f>
        <v>25</v>
      </c>
      <c r="N231" s="37">
        <f>SUMIF(Tabela1[Produtos],K231,Tabela1[Valor venddo])</f>
        <v>40</v>
      </c>
      <c r="O231" s="37">
        <f>SUMIF(Tabela1[Produtos],K231,Tabela1[Valor do lucro])</f>
        <v>15</v>
      </c>
      <c r="Q231" s="50"/>
      <c r="R231" s="49"/>
      <c r="S231" s="37"/>
      <c r="T231" s="37"/>
      <c r="U231" s="37"/>
    </row>
    <row r="232" spans="1:21" ht="15.75" x14ac:dyDescent="0.25">
      <c r="A232" s="158">
        <v>123</v>
      </c>
      <c r="B232" s="45" t="s">
        <v>96</v>
      </c>
      <c r="C232" s="17">
        <v>1</v>
      </c>
      <c r="D232" s="58">
        <v>25</v>
      </c>
      <c r="E232" s="58">
        <v>50</v>
      </c>
      <c r="F232" s="58">
        <v>25</v>
      </c>
      <c r="G232" s="8" t="s">
        <v>15</v>
      </c>
      <c r="H232" s="57" t="s">
        <v>6</v>
      </c>
      <c r="I232" s="159"/>
      <c r="K232" s="50" t="str">
        <v>Mini Teclado Controle S/ Fio Touch Led Pc/note/gamer/tvsmart</v>
      </c>
      <c r="L232" s="49">
        <f>SUMIF(Tabela1[Produtos],K232,Tabela1[Quantidade])</f>
        <v>2</v>
      </c>
      <c r="M232" s="37">
        <f>SUMIF(Tabela1[Produtos],K232,Tabela1[Valor gasto])</f>
        <v>34</v>
      </c>
      <c r="N232" s="37">
        <f>SUMIF(Tabela1[Produtos],K232,Tabela1[Valor venddo])</f>
        <v>61.18</v>
      </c>
      <c r="O232" s="37">
        <f>SUMIF(Tabela1[Produtos],K232,Tabela1[Valor do lucro])</f>
        <v>27.18</v>
      </c>
      <c r="Q232" s="50"/>
      <c r="R232" s="49"/>
      <c r="S232" s="37"/>
      <c r="T232" s="37"/>
      <c r="U232" s="37"/>
    </row>
    <row r="233" spans="1:21" ht="15.75" x14ac:dyDescent="0.25">
      <c r="A233" s="158">
        <v>63</v>
      </c>
      <c r="B233" s="45" t="s">
        <v>96</v>
      </c>
      <c r="C233" s="14">
        <v>1</v>
      </c>
      <c r="D233" s="61">
        <f>E233-F233</f>
        <v>28</v>
      </c>
      <c r="E233" s="58">
        <v>40.61</v>
      </c>
      <c r="F233" s="61">
        <v>12.61</v>
      </c>
      <c r="G233" s="8" t="s">
        <v>15</v>
      </c>
      <c r="H233" s="57" t="s">
        <v>6</v>
      </c>
      <c r="I233" s="159"/>
      <c r="K233" s="50" t="str">
        <v>Mini Tripé Portátil Celular Suporte Flexível Tripé</v>
      </c>
      <c r="L233" s="49">
        <f>SUMIF(Tabela1[Produtos],K233,Tabela1[Quantidade])</f>
        <v>1</v>
      </c>
      <c r="M233" s="37">
        <f>SUMIF(Tabela1[Produtos],K233,Tabela1[Valor gasto])</f>
        <v>114</v>
      </c>
      <c r="N233" s="37">
        <f>SUMIF(Tabela1[Produtos],K233,Tabela1[Valor venddo])</f>
        <v>224.32999999999998</v>
      </c>
      <c r="O233" s="37">
        <f>SUMIF(Tabela1[Produtos],K233,Tabela1[Valor do lucro])</f>
        <v>110.32999999999998</v>
      </c>
      <c r="Q233" s="50"/>
      <c r="R233" s="49"/>
      <c r="S233" s="37"/>
      <c r="T233" s="37"/>
      <c r="U233" s="37"/>
    </row>
    <row r="234" spans="1:21" ht="15.75" x14ac:dyDescent="0.25">
      <c r="A234" s="158">
        <v>715</v>
      </c>
      <c r="B234" s="45" t="s">
        <v>368</v>
      </c>
      <c r="C234" s="17">
        <v>1</v>
      </c>
      <c r="D234" s="132">
        <v>260</v>
      </c>
      <c r="E234" s="61">
        <v>480.17</v>
      </c>
      <c r="F234" s="61">
        <v>220.17000000000002</v>
      </c>
      <c r="G234" s="8" t="s">
        <v>15</v>
      </c>
      <c r="H234" s="8" t="s">
        <v>114</v>
      </c>
      <c r="I234" s="161"/>
      <c r="K234" s="50" t="str">
        <v>Mini Tripé Portátil Celular Suporte Flexível Tripé Celular</v>
      </c>
      <c r="L234" s="49">
        <f>SUMIF(Tabela1[Produtos],K234,Tabela1[Quantidade])</f>
        <v>4</v>
      </c>
      <c r="M234" s="37">
        <f>SUMIF(Tabela1[Produtos],K234,Tabela1[Valor gasto])</f>
        <v>16</v>
      </c>
      <c r="N234" s="37">
        <f>SUMIF(Tabela1[Produtos],K234,Tabela1[Valor venddo])</f>
        <v>56.66</v>
      </c>
      <c r="O234" s="37">
        <f>SUMIF(Tabela1[Produtos],K234,Tabela1[Valor do lucro])</f>
        <v>40.659999999999997</v>
      </c>
      <c r="Q234" s="50"/>
      <c r="R234" s="49"/>
      <c r="S234" s="37"/>
      <c r="T234" s="37"/>
      <c r="U234" s="37"/>
    </row>
    <row r="235" spans="1:21" ht="15.75" x14ac:dyDescent="0.25">
      <c r="A235" s="158">
        <v>302</v>
      </c>
      <c r="B235" s="45" t="s">
        <v>200</v>
      </c>
      <c r="C235" s="126">
        <v>16</v>
      </c>
      <c r="D235" s="127">
        <v>32</v>
      </c>
      <c r="E235" s="127">
        <v>295.67</v>
      </c>
      <c r="F235" s="127">
        <v>263.67</v>
      </c>
      <c r="G235" s="8" t="s">
        <v>3</v>
      </c>
      <c r="H235" s="8" t="s">
        <v>114</v>
      </c>
      <c r="I235" s="161"/>
      <c r="K235" s="50" t="str">
        <v>Mini umidiifcador</v>
      </c>
      <c r="L235" s="49">
        <f>SUMIF(Tabela1[Produtos],K235,Tabela1[Quantidade])</f>
        <v>1</v>
      </c>
      <c r="M235" s="37">
        <f>SUMIF(Tabela1[Produtos],K235,Tabela1[Valor gasto])</f>
        <v>9.69</v>
      </c>
      <c r="N235" s="37">
        <f>SUMIF(Tabela1[Produtos],K235,Tabela1[Valor venddo])</f>
        <v>30</v>
      </c>
      <c r="O235" s="37">
        <f>SUMIF(Tabela1[Produtos],K235,Tabela1[Valor do lucro])</f>
        <v>20.310000000000002</v>
      </c>
      <c r="Q235" s="50"/>
      <c r="R235" s="49"/>
      <c r="S235" s="37"/>
      <c r="T235" s="37"/>
      <c r="U235" s="37"/>
    </row>
    <row r="236" spans="1:21" ht="15.75" x14ac:dyDescent="0.25">
      <c r="A236" s="158">
        <v>450</v>
      </c>
      <c r="B236" s="45" t="s">
        <v>200</v>
      </c>
      <c r="C236" s="14">
        <v>1</v>
      </c>
      <c r="D236" s="128">
        <v>28</v>
      </c>
      <c r="E236" s="61">
        <v>255.23</v>
      </c>
      <c r="F236" s="61">
        <f>E236-D236</f>
        <v>227.23</v>
      </c>
      <c r="G236" s="8" t="s">
        <v>15</v>
      </c>
      <c r="H236" s="8" t="s">
        <v>113</v>
      </c>
      <c r="I236" s="160"/>
      <c r="K236" s="50" t="str">
        <v>mini ventilador mao</v>
      </c>
      <c r="L236" s="49">
        <f>SUMIF(Tabela1[Produtos],K236,Tabela1[Quantidade])</f>
        <v>2</v>
      </c>
      <c r="M236" s="37">
        <f>SUMIF(Tabela1[Produtos],K236,Tabela1[Valor gasto])</f>
        <v>28</v>
      </c>
      <c r="N236" s="37">
        <f>SUMIF(Tabela1[Produtos],K236,Tabela1[Valor venddo])</f>
        <v>50</v>
      </c>
      <c r="O236" s="37">
        <f>SUMIF(Tabela1[Produtos],K236,Tabela1[Valor do lucro])</f>
        <v>22</v>
      </c>
      <c r="Q236" s="50"/>
      <c r="R236" s="49"/>
      <c r="S236" s="37"/>
      <c r="T236" s="37"/>
      <c r="U236" s="37"/>
    </row>
    <row r="237" spans="1:21" ht="15.75" x14ac:dyDescent="0.25">
      <c r="A237" s="158">
        <v>259</v>
      </c>
      <c r="B237" s="45" t="s">
        <v>200</v>
      </c>
      <c r="C237" s="17">
        <v>48</v>
      </c>
      <c r="D237" s="58">
        <v>2</v>
      </c>
      <c r="E237" s="58">
        <v>96</v>
      </c>
      <c r="F237" s="58">
        <v>388.15</v>
      </c>
      <c r="G237" s="8" t="s">
        <v>15</v>
      </c>
      <c r="H237" s="57" t="s">
        <v>114</v>
      </c>
      <c r="I237" s="159"/>
      <c r="K237" s="50" t="str">
        <v>Moedor e Triturador para alho e temperos manual</v>
      </c>
      <c r="L237" s="49">
        <f>SUMIF(Tabela1[Produtos],K237,Tabela1[Quantidade])</f>
        <v>2</v>
      </c>
      <c r="M237" s="37">
        <f>SUMIF(Tabela1[Produtos],K237,Tabela1[Valor gasto])</f>
        <v>4</v>
      </c>
      <c r="N237" s="37">
        <f>SUMIF(Tabela1[Produtos],K237,Tabela1[Valor venddo])</f>
        <v>9.6</v>
      </c>
      <c r="O237" s="37">
        <f>SUMIF(Tabela1[Produtos],K237,Tabela1[Valor do lucro])</f>
        <v>5.6</v>
      </c>
      <c r="Q237" s="50"/>
      <c r="R237" s="49"/>
      <c r="S237" s="37"/>
      <c r="T237" s="37"/>
      <c r="U237" s="37"/>
    </row>
    <row r="238" spans="1:21" ht="15.75" x14ac:dyDescent="0.25">
      <c r="A238" s="158">
        <v>110</v>
      </c>
      <c r="B238" s="45" t="s">
        <v>200</v>
      </c>
      <c r="C238" s="17">
        <v>32</v>
      </c>
      <c r="D238" s="58">
        <v>64</v>
      </c>
      <c r="E238" s="58">
        <v>246.99</v>
      </c>
      <c r="F238" s="58">
        <v>182.99</v>
      </c>
      <c r="G238" s="8" t="s">
        <v>15</v>
      </c>
      <c r="H238" s="57" t="s">
        <v>6</v>
      </c>
      <c r="I238" s="159"/>
      <c r="K238" s="50" t="str">
        <v xml:space="preserve">molden </v>
      </c>
      <c r="L238" s="49">
        <f>SUMIF(Tabela1[Produtos],K238,Tabela1[Quantidade])</f>
        <v>1</v>
      </c>
      <c r="M238" s="37">
        <f>SUMIF(Tabela1[Produtos],K238,Tabela1[Valor gasto])</f>
        <v>90</v>
      </c>
      <c r="N238" s="37">
        <f>SUMIF(Tabela1[Produtos],K238,Tabela1[Valor venddo])</f>
        <v>150</v>
      </c>
      <c r="O238" s="37">
        <f>SUMIF(Tabela1[Produtos],K238,Tabela1[Valor do lucro])</f>
        <v>60</v>
      </c>
      <c r="Q238" s="50"/>
      <c r="R238" s="49"/>
      <c r="S238" s="37"/>
      <c r="T238" s="37"/>
      <c r="U238" s="37"/>
    </row>
    <row r="239" spans="1:21" ht="15.75" x14ac:dyDescent="0.25">
      <c r="A239" s="158">
        <v>541</v>
      </c>
      <c r="B239" s="45" t="s">
        <v>200</v>
      </c>
      <c r="C239" s="129">
        <v>20</v>
      </c>
      <c r="D239" s="61">
        <v>40</v>
      </c>
      <c r="E239" s="127">
        <v>311.07</v>
      </c>
      <c r="F239" s="61">
        <f>SUM(E239-D239)</f>
        <v>271.07</v>
      </c>
      <c r="G239" s="8" t="s">
        <v>15</v>
      </c>
      <c r="H239" s="8" t="s">
        <v>114</v>
      </c>
      <c r="I239" s="160"/>
      <c r="K239" s="50" t="str">
        <v>Mouse e teclado sem fio</v>
      </c>
      <c r="L239" s="49">
        <f>SUMIF(Tabela1[Produtos],K239,Tabela1[Quantidade])</f>
        <v>2</v>
      </c>
      <c r="M239" s="37">
        <f>SUMIF(Tabela1[Produtos],K239,Tabela1[Valor gasto])</f>
        <v>160</v>
      </c>
      <c r="N239" s="37">
        <f>SUMIF(Tabela1[Produtos],K239,Tabela1[Valor venddo])</f>
        <v>310</v>
      </c>
      <c r="O239" s="37">
        <f>SUMIF(Tabela1[Produtos],K239,Tabela1[Valor do lucro])</f>
        <v>150</v>
      </c>
      <c r="Q239" s="50"/>
      <c r="R239" s="49"/>
      <c r="S239" s="37"/>
      <c r="T239" s="37"/>
      <c r="U239" s="37"/>
    </row>
    <row r="240" spans="1:21" ht="15.75" x14ac:dyDescent="0.25">
      <c r="A240" s="158">
        <v>353</v>
      </c>
      <c r="B240" s="45" t="s">
        <v>200</v>
      </c>
      <c r="C240" s="14">
        <v>1</v>
      </c>
      <c r="D240" s="61">
        <v>18</v>
      </c>
      <c r="E240" s="61">
        <v>111.83</v>
      </c>
      <c r="F240" s="61">
        <f>E240-D240</f>
        <v>93.83</v>
      </c>
      <c r="G240" s="8" t="s">
        <v>15</v>
      </c>
      <c r="H240" s="8" t="s">
        <v>113</v>
      </c>
      <c r="I240" s="160"/>
      <c r="K240" s="50" t="str">
        <v>Mouse gamer mu2908</v>
      </c>
      <c r="L240" s="49">
        <f>SUMIF(Tabela1[Produtos],K240,Tabela1[Quantidade])</f>
        <v>1</v>
      </c>
      <c r="M240" s="37">
        <f>SUMIF(Tabela1[Produtos],K240,Tabela1[Valor gasto])</f>
        <v>15</v>
      </c>
      <c r="N240" s="37">
        <f>SUMIF(Tabela1[Produtos],K240,Tabela1[Valor venddo])</f>
        <v>35</v>
      </c>
      <c r="O240" s="37">
        <f>SUMIF(Tabela1[Produtos],K240,Tabela1[Valor do lucro])</f>
        <v>20</v>
      </c>
      <c r="Q240" s="50"/>
      <c r="R240" s="49"/>
      <c r="S240" s="37"/>
      <c r="T240" s="37"/>
      <c r="U240" s="37"/>
    </row>
    <row r="241" spans="1:21" ht="15.75" x14ac:dyDescent="0.25">
      <c r="A241" s="158">
        <v>914</v>
      </c>
      <c r="B241" s="45" t="s">
        <v>475</v>
      </c>
      <c r="C241" s="134">
        <v>1</v>
      </c>
      <c r="D241" s="127">
        <v>1</v>
      </c>
      <c r="E241" s="135">
        <v>5.1331999999999995</v>
      </c>
      <c r="F241" s="61">
        <f>E241-D241</f>
        <v>4.1331999999999995</v>
      </c>
      <c r="G241" s="8" t="s">
        <v>15</v>
      </c>
      <c r="H241" s="8" t="s">
        <v>114</v>
      </c>
      <c r="I241" s="161"/>
      <c r="K241" s="50" t="str">
        <v>Mouse Gamer Rgb Hayom Mu-2908</v>
      </c>
      <c r="L241" s="49">
        <f>SUMIF(Tabela1[Produtos],K241,Tabela1[Quantidade])</f>
        <v>1</v>
      </c>
      <c r="M241" s="37">
        <f>SUMIF(Tabela1[Produtos],K241,Tabela1[Valor gasto])</f>
        <v>15</v>
      </c>
      <c r="N241" s="37">
        <f>SUMIF(Tabela1[Produtos],K241,Tabela1[Valor venddo])</f>
        <v>20</v>
      </c>
      <c r="O241" s="37">
        <f>SUMIF(Tabela1[Produtos],K241,Tabela1[Valor do lucro])</f>
        <v>5</v>
      </c>
      <c r="Q241" s="50"/>
      <c r="R241" s="49"/>
      <c r="S241" s="37"/>
      <c r="T241" s="37"/>
      <c r="U241" s="37"/>
    </row>
    <row r="242" spans="1:21" ht="15.75" x14ac:dyDescent="0.25">
      <c r="A242" s="158">
        <v>877</v>
      </c>
      <c r="B242" s="7" t="s">
        <v>457</v>
      </c>
      <c r="C242" s="14">
        <v>1</v>
      </c>
      <c r="D242" s="61">
        <v>9</v>
      </c>
      <c r="E242" s="61">
        <v>30</v>
      </c>
      <c r="F242" s="61">
        <f>E242-D242</f>
        <v>21</v>
      </c>
      <c r="G242" s="8" t="s">
        <v>15</v>
      </c>
      <c r="H242" s="8" t="s">
        <v>113</v>
      </c>
      <c r="I242" s="161"/>
      <c r="K242" s="50" t="str">
        <v>mouse pad</v>
      </c>
      <c r="L242" s="49">
        <f>SUMIF(Tabela1[Produtos],K242,Tabela1[Quantidade])</f>
        <v>1</v>
      </c>
      <c r="M242" s="37">
        <f>SUMIF(Tabela1[Produtos],K242,Tabela1[Valor gasto])</f>
        <v>8</v>
      </c>
      <c r="N242" s="37">
        <f>SUMIF(Tabela1[Produtos],K242,Tabela1[Valor venddo])</f>
        <v>20</v>
      </c>
      <c r="O242" s="37">
        <f>SUMIF(Tabela1[Produtos],K242,Tabela1[Valor do lucro])</f>
        <v>12</v>
      </c>
      <c r="Q242" s="50"/>
      <c r="R242" s="49"/>
      <c r="S242" s="37"/>
      <c r="T242" s="37"/>
      <c r="U242" s="37"/>
    </row>
    <row r="243" spans="1:21" ht="15.75" x14ac:dyDescent="0.25">
      <c r="A243" s="158">
        <v>13</v>
      </c>
      <c r="B243" s="7" t="s">
        <v>457</v>
      </c>
      <c r="C243" s="14">
        <v>1</v>
      </c>
      <c r="D243" s="61">
        <v>14.9</v>
      </c>
      <c r="E243" s="61">
        <v>30</v>
      </c>
      <c r="F243" s="61">
        <f>E243-D243</f>
        <v>15.1</v>
      </c>
      <c r="G243" s="8" t="s">
        <v>15</v>
      </c>
      <c r="H243" s="8" t="s">
        <v>113</v>
      </c>
      <c r="I243" s="160"/>
      <c r="K243" s="50" t="str">
        <v>Mouse Standard Preto USB</v>
      </c>
      <c r="L243" s="49">
        <f>SUMIF(Tabela1[Produtos],K243,Tabela1[Quantidade])</f>
        <v>2</v>
      </c>
      <c r="M243" s="37">
        <f>SUMIF(Tabela1[Produtos],K243,Tabela1[Valor gasto])</f>
        <v>19</v>
      </c>
      <c r="N243" s="37">
        <f>SUMIF(Tabela1[Produtos],K243,Tabela1[Valor venddo])</f>
        <v>28.11</v>
      </c>
      <c r="O243" s="37">
        <f>SUMIF(Tabela1[Produtos],K243,Tabela1[Valor do lucro])</f>
        <v>19.11</v>
      </c>
      <c r="Q243" s="50"/>
      <c r="R243" s="49"/>
      <c r="S243" s="37"/>
      <c r="T243" s="37"/>
      <c r="U243" s="37"/>
    </row>
    <row r="244" spans="1:21" ht="15.75" x14ac:dyDescent="0.25">
      <c r="A244" s="158">
        <v>800</v>
      </c>
      <c r="B244" s="7" t="s">
        <v>424</v>
      </c>
      <c r="C244" s="14">
        <v>1</v>
      </c>
      <c r="D244" s="61">
        <v>3</v>
      </c>
      <c r="E244" s="61">
        <v>10</v>
      </c>
      <c r="F244" s="61">
        <f>E244-D244</f>
        <v>7</v>
      </c>
      <c r="G244" s="8" t="s">
        <v>15</v>
      </c>
      <c r="H244" s="8" t="s">
        <v>113</v>
      </c>
      <c r="I244" s="161"/>
      <c r="K244" s="50" t="str">
        <v>Multímetro Digital Profissional Cabo Multi Teste Portátil</v>
      </c>
      <c r="L244" s="49">
        <f>SUMIF(Tabela1[Produtos],K244,Tabela1[Quantidade])</f>
        <v>1</v>
      </c>
      <c r="M244" s="37">
        <f>SUMIF(Tabela1[Produtos],K244,Tabela1[Valor gasto])</f>
        <v>30</v>
      </c>
      <c r="N244" s="37">
        <f>SUMIF(Tabela1[Produtos],K244,Tabela1[Valor venddo])</f>
        <v>31.59</v>
      </c>
      <c r="O244" s="37">
        <f>SUMIF(Tabela1[Produtos],K244,Tabela1[Valor do lucro])</f>
        <v>1.5899999999999999</v>
      </c>
      <c r="Q244" s="50"/>
      <c r="R244" s="49"/>
      <c r="S244" s="37"/>
      <c r="T244" s="37"/>
      <c r="U244" s="37"/>
    </row>
    <row r="245" spans="1:21" ht="15.75" x14ac:dyDescent="0.25">
      <c r="A245" s="158">
        <v>513</v>
      </c>
      <c r="B245" s="45" t="s">
        <v>219</v>
      </c>
      <c r="C245" s="130">
        <v>1</v>
      </c>
      <c r="D245" s="61">
        <v>5</v>
      </c>
      <c r="E245" s="58">
        <v>17.170000000000002</v>
      </c>
      <c r="F245" s="61">
        <f>SUM(E245-D245)</f>
        <v>12.170000000000002</v>
      </c>
      <c r="G245" s="8" t="s">
        <v>15</v>
      </c>
      <c r="H245" s="8" t="s">
        <v>114</v>
      </c>
      <c r="I245" s="160"/>
      <c r="K245" s="50" t="str">
        <v>Nível Laser Profissional Trena Level Pro3 Estágios Nivelador</v>
      </c>
      <c r="L245" s="49">
        <f>SUMIF(Tabela1[Produtos],K245,Tabela1[Quantidade])</f>
        <v>1</v>
      </c>
      <c r="M245" s="37">
        <f>SUMIF(Tabela1[Produtos],K245,Tabela1[Valor gasto])</f>
        <v>30</v>
      </c>
      <c r="N245" s="37">
        <f>SUMIF(Tabela1[Produtos],K245,Tabela1[Valor venddo])</f>
        <v>49.48</v>
      </c>
      <c r="O245" s="37">
        <f>SUMIF(Tabela1[Produtos],K245,Tabela1[Valor do lucro])</f>
        <v>19.479999999999997</v>
      </c>
      <c r="Q245" s="50"/>
      <c r="R245" s="49"/>
      <c r="S245" s="37"/>
      <c r="T245" s="37"/>
      <c r="U245" s="37"/>
    </row>
    <row r="246" spans="1:21" ht="15.75" x14ac:dyDescent="0.25">
      <c r="A246" s="158">
        <v>354</v>
      </c>
      <c r="B246" s="45" t="s">
        <v>219</v>
      </c>
      <c r="C246" s="14">
        <v>1</v>
      </c>
      <c r="D246" s="61">
        <v>7</v>
      </c>
      <c r="E246" s="61">
        <v>39.15</v>
      </c>
      <c r="F246" s="61">
        <f>E246-D246</f>
        <v>32.15</v>
      </c>
      <c r="G246" s="8" t="s">
        <v>15</v>
      </c>
      <c r="H246" s="8" t="s">
        <v>113</v>
      </c>
      <c r="I246" s="160"/>
      <c r="K246" s="50" t="str">
        <v>Óleo em Creme Desodorante Corporal Joli Cupuaçu 140g - Hinode</v>
      </c>
      <c r="L246" s="49">
        <f>SUMIF(Tabela1[Produtos],K246,Tabela1[Quantidade])</f>
        <v>1</v>
      </c>
      <c r="M246" s="37">
        <f>SUMIF(Tabela1[Produtos],K246,Tabela1[Valor gasto])</f>
        <v>25</v>
      </c>
      <c r="N246" s="37">
        <f>SUMIF(Tabela1[Produtos],K246,Tabela1[Valor venddo])</f>
        <v>26.215399999999999</v>
      </c>
      <c r="O246" s="37">
        <f>SUMIF(Tabela1[Produtos],K246,Tabela1[Valor do lucro])</f>
        <v>1.2153999999999989</v>
      </c>
      <c r="Q246" s="50"/>
      <c r="R246" s="49"/>
      <c r="S246" s="37"/>
      <c r="T246" s="37"/>
      <c r="U246" s="37"/>
    </row>
    <row r="247" spans="1:21" ht="15.75" x14ac:dyDescent="0.25">
      <c r="A247" s="158">
        <v>258</v>
      </c>
      <c r="B247" s="45" t="s">
        <v>97</v>
      </c>
      <c r="C247" s="17">
        <v>1</v>
      </c>
      <c r="D247" s="58">
        <v>4</v>
      </c>
      <c r="E247" s="58">
        <v>4</v>
      </c>
      <c r="F247" s="58">
        <v>6.7200000000000006</v>
      </c>
      <c r="G247" s="8" t="s">
        <v>15</v>
      </c>
      <c r="H247" s="57" t="s">
        <v>114</v>
      </c>
      <c r="I247" s="159"/>
      <c r="K247" s="50" t="str">
        <v>organizador banco</v>
      </c>
      <c r="L247" s="49">
        <f>SUMIF(Tabela1[Produtos],K247,Tabela1[Quantidade])</f>
        <v>1</v>
      </c>
      <c r="M247" s="37">
        <f>SUMIF(Tabela1[Produtos],K247,Tabela1[Valor gasto])</f>
        <v>5.5</v>
      </c>
      <c r="N247" s="37">
        <f>SUMIF(Tabela1[Produtos],K247,Tabela1[Valor venddo])</f>
        <v>10</v>
      </c>
      <c r="O247" s="37">
        <f>SUMIF(Tabela1[Produtos],K247,Tabela1[Valor do lucro])</f>
        <v>4.5</v>
      </c>
      <c r="Q247" s="50"/>
      <c r="R247" s="49"/>
      <c r="S247" s="37"/>
      <c r="T247" s="37"/>
      <c r="U247" s="37"/>
    </row>
    <row r="248" spans="1:21" ht="15.75" x14ac:dyDescent="0.25">
      <c r="A248" s="158">
        <v>64</v>
      </c>
      <c r="B248" s="45" t="s">
        <v>97</v>
      </c>
      <c r="C248" s="14">
        <v>1</v>
      </c>
      <c r="D248" s="61">
        <f>E248-F248</f>
        <v>3</v>
      </c>
      <c r="E248" s="58">
        <v>12</v>
      </c>
      <c r="F248" s="61">
        <v>9</v>
      </c>
      <c r="G248" s="8" t="s">
        <v>15</v>
      </c>
      <c r="H248" s="57" t="s">
        <v>6</v>
      </c>
      <c r="I248" s="159"/>
      <c r="K248" s="50" t="str">
        <v>Organizador banco de carro</v>
      </c>
      <c r="L248" s="49">
        <f>SUMIF(Tabela1[Produtos],K248,Tabela1[Quantidade])</f>
        <v>1</v>
      </c>
      <c r="M248" s="37">
        <f>SUMIF(Tabela1[Produtos],K248,Tabela1[Valor gasto])</f>
        <v>5.5</v>
      </c>
      <c r="N248" s="37">
        <f>SUMIF(Tabela1[Produtos],K248,Tabela1[Valor venddo])</f>
        <v>15</v>
      </c>
      <c r="O248" s="37">
        <f>SUMIF(Tabela1[Produtos],K248,Tabela1[Valor do lucro])</f>
        <v>9.5</v>
      </c>
      <c r="Q248" s="50"/>
      <c r="R248" s="49"/>
      <c r="S248" s="37"/>
      <c r="T248" s="37"/>
      <c r="U248" s="37"/>
    </row>
    <row r="249" spans="1:21" ht="15.75" x14ac:dyDescent="0.25">
      <c r="A249" s="158">
        <v>602</v>
      </c>
      <c r="B249" s="45" t="s">
        <v>97</v>
      </c>
      <c r="C249" s="14">
        <v>1</v>
      </c>
      <c r="D249" s="127">
        <v>4</v>
      </c>
      <c r="E249" s="127">
        <v>13.5</v>
      </c>
      <c r="F249" s="61">
        <f>E249-D249</f>
        <v>9.5</v>
      </c>
      <c r="G249" s="8" t="s">
        <v>15</v>
      </c>
      <c r="H249" s="8" t="s">
        <v>113</v>
      </c>
      <c r="I249" s="161"/>
      <c r="K249" s="50" t="str">
        <v>Organizador gaveteiro 7000 com 16 gavetas</v>
      </c>
      <c r="L249" s="49">
        <f>SUMIF(Tabela1[Produtos],K249,Tabela1[Quantidade])</f>
        <v>3</v>
      </c>
      <c r="M249" s="37">
        <f>SUMIF(Tabela1[Produtos],K249,Tabela1[Valor gasto])</f>
        <v>75</v>
      </c>
      <c r="N249" s="37">
        <f>SUMIF(Tabela1[Produtos],K249,Tabela1[Valor venddo])</f>
        <v>201.76</v>
      </c>
      <c r="O249" s="37">
        <f>SUMIF(Tabela1[Produtos],K249,Tabela1[Valor do lucro])</f>
        <v>126.75999999999999</v>
      </c>
      <c r="Q249" s="50"/>
      <c r="R249" s="49"/>
      <c r="S249" s="37"/>
      <c r="T249" s="37"/>
      <c r="U249" s="37"/>
    </row>
    <row r="250" spans="1:21" ht="15.75" x14ac:dyDescent="0.25">
      <c r="A250" s="158">
        <v>257</v>
      </c>
      <c r="B250" s="45" t="s">
        <v>177</v>
      </c>
      <c r="C250" s="17">
        <v>1</v>
      </c>
      <c r="D250" s="58">
        <v>45</v>
      </c>
      <c r="E250" s="58">
        <v>45</v>
      </c>
      <c r="F250" s="58">
        <v>44.650000000000006</v>
      </c>
      <c r="G250" s="8" t="s">
        <v>15</v>
      </c>
      <c r="H250" s="57" t="s">
        <v>114</v>
      </c>
      <c r="I250" s="159"/>
      <c r="K250" s="50" t="str">
        <v>Organizador Para Lateral De Asiento Auto Carro -- AZUL</v>
      </c>
      <c r="L250" s="49">
        <f>SUMIF(Tabela1[Produtos],K250,Tabela1[Quantidade])</f>
        <v>122</v>
      </c>
      <c r="M250" s="37">
        <f>SUMIF(Tabela1[Produtos],K250,Tabela1[Valor gasto])</f>
        <v>637.5</v>
      </c>
      <c r="N250" s="37">
        <f>SUMIF(Tabela1[Produtos],K250,Tabela1[Valor venddo])</f>
        <v>1653.9486000000002</v>
      </c>
      <c r="O250" s="37">
        <f>SUMIF(Tabela1[Produtos],K250,Tabela1[Valor do lucro])</f>
        <v>977.94860000000006</v>
      </c>
      <c r="Q250" s="50"/>
      <c r="R250" s="49"/>
      <c r="S250" s="37"/>
      <c r="T250" s="37"/>
      <c r="U250" s="37"/>
    </row>
    <row r="251" spans="1:21" ht="15.75" x14ac:dyDescent="0.25">
      <c r="A251" s="158">
        <v>603</v>
      </c>
      <c r="B251" s="45" t="s">
        <v>177</v>
      </c>
      <c r="C251" s="14">
        <v>1</v>
      </c>
      <c r="D251" s="127">
        <v>40</v>
      </c>
      <c r="E251" s="127">
        <v>69.989999999999995</v>
      </c>
      <c r="F251" s="61">
        <f t="shared" ref="F251:F278" si="7">E251-D251</f>
        <v>29.989999999999995</v>
      </c>
      <c r="G251" s="8" t="s">
        <v>15</v>
      </c>
      <c r="H251" s="8" t="s">
        <v>113</v>
      </c>
      <c r="I251" s="161"/>
      <c r="K251" s="50" t="str">
        <v>Papa Bolinhas Elétrico Portátil Tira Pelo Bolinhas Roupas</v>
      </c>
      <c r="L251" s="49">
        <f>SUMIF(Tabela1[Produtos],K251,Tabela1[Quantidade])</f>
        <v>3</v>
      </c>
      <c r="M251" s="37">
        <f>SUMIF(Tabela1[Produtos],K251,Tabela1[Valor gasto])</f>
        <v>24</v>
      </c>
      <c r="N251" s="37">
        <f>SUMIF(Tabela1[Produtos],K251,Tabela1[Valor venddo])</f>
        <v>60.31</v>
      </c>
      <c r="O251" s="37">
        <f>SUMIF(Tabela1[Produtos],K251,Tabela1[Valor do lucro])</f>
        <v>36.31</v>
      </c>
      <c r="Q251" s="50"/>
      <c r="R251" s="49"/>
      <c r="S251" s="37"/>
      <c r="T251" s="37"/>
      <c r="U251" s="37"/>
    </row>
    <row r="252" spans="1:21" ht="15.75" x14ac:dyDescent="0.25">
      <c r="A252" s="158">
        <v>502</v>
      </c>
      <c r="B252" s="7" t="s">
        <v>293</v>
      </c>
      <c r="C252" s="14">
        <v>1</v>
      </c>
      <c r="D252" s="61">
        <v>37</v>
      </c>
      <c r="E252" s="61">
        <v>80</v>
      </c>
      <c r="F252" s="61">
        <f t="shared" si="7"/>
        <v>43</v>
      </c>
      <c r="G252" s="8" t="s">
        <v>15</v>
      </c>
      <c r="H252" s="8" t="s">
        <v>113</v>
      </c>
      <c r="I252" s="160"/>
      <c r="K252" s="50" t="str">
        <v>Pasta de dente clareadora hinode</v>
      </c>
      <c r="L252" s="49">
        <f>SUMIF(Tabela1[Produtos],K252,Tabela1[Quantidade])</f>
        <v>3</v>
      </c>
      <c r="M252" s="37">
        <f>SUMIF(Tabela1[Produtos],K252,Tabela1[Valor gasto])</f>
        <v>38.5</v>
      </c>
      <c r="N252" s="37">
        <f>SUMIF(Tabela1[Produtos],K252,Tabela1[Valor venddo])</f>
        <v>65</v>
      </c>
      <c r="O252" s="37">
        <f>SUMIF(Tabela1[Produtos],K252,Tabela1[Valor do lucro])</f>
        <v>26.5</v>
      </c>
      <c r="Q252" s="50"/>
      <c r="R252" s="49"/>
      <c r="S252" s="37"/>
      <c r="T252" s="37"/>
      <c r="U252" s="37"/>
    </row>
    <row r="253" spans="1:21" ht="15.75" x14ac:dyDescent="0.25">
      <c r="A253" s="158">
        <v>504</v>
      </c>
      <c r="B253" s="7" t="s">
        <v>293</v>
      </c>
      <c r="C253" s="14">
        <v>1</v>
      </c>
      <c r="D253" s="61">
        <v>37</v>
      </c>
      <c r="E253" s="61">
        <v>60</v>
      </c>
      <c r="F253" s="61">
        <f t="shared" si="7"/>
        <v>23</v>
      </c>
      <c r="G253" s="8" t="s">
        <v>15</v>
      </c>
      <c r="H253" s="8" t="s">
        <v>113</v>
      </c>
      <c r="I253" s="160"/>
      <c r="K253" s="50" t="str">
        <v>Pasta de dente hinode</v>
      </c>
      <c r="L253" s="49">
        <f>SUMIF(Tabela1[Produtos],K253,Tabela1[Quantidade])</f>
        <v>1</v>
      </c>
      <c r="M253" s="37">
        <f>SUMIF(Tabela1[Produtos],K253,Tabela1[Valor gasto])</f>
        <v>7.5</v>
      </c>
      <c r="N253" s="37">
        <f>SUMIF(Tabela1[Produtos],K253,Tabela1[Valor venddo])</f>
        <v>15</v>
      </c>
      <c r="O253" s="37">
        <f>SUMIF(Tabela1[Produtos],K253,Tabela1[Valor do lucro])</f>
        <v>7.5</v>
      </c>
      <c r="Q253" s="50"/>
      <c r="R253" s="49"/>
      <c r="S253" s="37"/>
      <c r="T253" s="37"/>
      <c r="U253" s="37"/>
    </row>
    <row r="254" spans="1:21" ht="15.75" x14ac:dyDescent="0.25">
      <c r="A254" s="158">
        <v>560</v>
      </c>
      <c r="B254" s="7" t="s">
        <v>293</v>
      </c>
      <c r="C254" s="14">
        <v>1</v>
      </c>
      <c r="D254" s="61">
        <v>28</v>
      </c>
      <c r="E254" s="61">
        <v>65</v>
      </c>
      <c r="F254" s="61">
        <f t="shared" si="7"/>
        <v>37</v>
      </c>
      <c r="G254" s="8" t="s">
        <v>15</v>
      </c>
      <c r="H254" s="8" t="s">
        <v>113</v>
      </c>
      <c r="I254" s="161"/>
      <c r="K254" s="50" t="str">
        <v>Pasta para Soldar Cobix Pote 110g Plastico Solda</v>
      </c>
      <c r="L254" s="49">
        <f>SUMIF(Tabela1[Produtos],K254,Tabela1[Quantidade])</f>
        <v>1</v>
      </c>
      <c r="M254" s="37">
        <f>SUMIF(Tabela1[Produtos],K254,Tabela1[Valor gasto])</f>
        <v>8</v>
      </c>
      <c r="N254" s="37">
        <f>SUMIF(Tabela1[Produtos],K254,Tabela1[Valor venddo])</f>
        <v>15.52</v>
      </c>
      <c r="O254" s="37">
        <f>SUMIF(Tabela1[Produtos],K254,Tabela1[Valor do lucro])</f>
        <v>7.52</v>
      </c>
      <c r="Q254" s="50"/>
      <c r="R254" s="49"/>
      <c r="S254" s="37"/>
      <c r="T254" s="37"/>
      <c r="U254" s="37"/>
    </row>
    <row r="255" spans="1:21" ht="15.75" x14ac:dyDescent="0.25">
      <c r="A255" s="158">
        <v>561</v>
      </c>
      <c r="B255" s="7" t="s">
        <v>293</v>
      </c>
      <c r="C255" s="14">
        <v>1</v>
      </c>
      <c r="D255" s="61">
        <v>28</v>
      </c>
      <c r="E255" s="61">
        <v>50</v>
      </c>
      <c r="F255" s="61">
        <f t="shared" si="7"/>
        <v>22</v>
      </c>
      <c r="G255" s="8" t="s">
        <v>15</v>
      </c>
      <c r="H255" s="8" t="s">
        <v>113</v>
      </c>
      <c r="I255" s="161"/>
      <c r="K255" s="50" t="str">
        <v>PC</v>
      </c>
      <c r="L255" s="49">
        <f>SUMIF(Tabela1[Produtos],K255,Tabela1[Quantidade])</f>
        <v>1</v>
      </c>
      <c r="M255" s="37">
        <f>SUMIF(Tabela1[Produtos],K255,Tabela1[Valor gasto])</f>
        <v>300</v>
      </c>
      <c r="N255" s="37">
        <f>SUMIF(Tabela1[Produtos],K255,Tabela1[Valor venddo])</f>
        <v>500</v>
      </c>
      <c r="O255" s="37">
        <f>SUMIF(Tabela1[Produtos],K255,Tabela1[Valor do lucro])</f>
        <v>200</v>
      </c>
      <c r="Q255" s="50"/>
      <c r="R255" s="49"/>
      <c r="S255" s="37"/>
      <c r="T255" s="37"/>
      <c r="U255" s="37"/>
    </row>
    <row r="256" spans="1:21" ht="15.75" x14ac:dyDescent="0.25">
      <c r="A256" s="158">
        <v>562</v>
      </c>
      <c r="B256" s="7" t="s">
        <v>293</v>
      </c>
      <c r="C256" s="14">
        <v>1</v>
      </c>
      <c r="D256" s="61">
        <v>28</v>
      </c>
      <c r="E256" s="61">
        <v>50</v>
      </c>
      <c r="F256" s="61">
        <f t="shared" si="7"/>
        <v>22</v>
      </c>
      <c r="G256" s="8" t="s">
        <v>15</v>
      </c>
      <c r="H256" s="8" t="s">
        <v>113</v>
      </c>
      <c r="I256" s="161"/>
      <c r="K256" s="50" t="str">
        <v>pelicula 3d</v>
      </c>
      <c r="L256" s="49">
        <f>SUMIF(Tabela1[Produtos],K256,Tabela1[Quantidade])</f>
        <v>2</v>
      </c>
      <c r="M256" s="37">
        <f>SUMIF(Tabela1[Produtos],K256,Tabela1[Valor gasto])</f>
        <v>6</v>
      </c>
      <c r="N256" s="37">
        <f>SUMIF(Tabela1[Produtos],K256,Tabela1[Valor venddo])</f>
        <v>22</v>
      </c>
      <c r="O256" s="37">
        <f>SUMIF(Tabela1[Produtos],K256,Tabela1[Valor do lucro])</f>
        <v>16</v>
      </c>
      <c r="Q256" s="50"/>
      <c r="R256" s="49"/>
      <c r="S256" s="37"/>
      <c r="T256" s="37"/>
      <c r="U256" s="37"/>
    </row>
    <row r="257" spans="1:21" ht="15.75" x14ac:dyDescent="0.25">
      <c r="A257" s="158">
        <v>566</v>
      </c>
      <c r="B257" s="7" t="s">
        <v>293</v>
      </c>
      <c r="C257" s="14">
        <v>1</v>
      </c>
      <c r="D257" s="61">
        <v>28</v>
      </c>
      <c r="E257" s="61">
        <v>50</v>
      </c>
      <c r="F257" s="61">
        <f t="shared" si="7"/>
        <v>22</v>
      </c>
      <c r="G257" s="8" t="s">
        <v>15</v>
      </c>
      <c r="H257" s="8" t="s">
        <v>113</v>
      </c>
      <c r="I257" s="161"/>
      <c r="K257" s="50" t="str">
        <v>Pelicula iphone</v>
      </c>
      <c r="L257" s="49">
        <f>SUMIF(Tabela1[Produtos],K257,Tabela1[Quantidade])</f>
        <v>2</v>
      </c>
      <c r="M257" s="37">
        <f>SUMIF(Tabela1[Produtos],K257,Tabela1[Valor gasto])</f>
        <v>3</v>
      </c>
      <c r="N257" s="37">
        <f>SUMIF(Tabela1[Produtos],K257,Tabela1[Valor venddo])</f>
        <v>16</v>
      </c>
      <c r="O257" s="37">
        <f>SUMIF(Tabela1[Produtos],K257,Tabela1[Valor do lucro])</f>
        <v>13</v>
      </c>
      <c r="Q257" s="50"/>
      <c r="R257" s="49"/>
      <c r="S257" s="37"/>
      <c r="T257" s="37"/>
      <c r="U257" s="37"/>
    </row>
    <row r="258" spans="1:21" ht="15.75" x14ac:dyDescent="0.25">
      <c r="A258" s="158">
        <v>567</v>
      </c>
      <c r="B258" s="7" t="s">
        <v>293</v>
      </c>
      <c r="C258" s="14">
        <v>1</v>
      </c>
      <c r="D258" s="61">
        <v>28</v>
      </c>
      <c r="E258" s="61">
        <v>50</v>
      </c>
      <c r="F258" s="61">
        <f t="shared" si="7"/>
        <v>22</v>
      </c>
      <c r="G258" s="8" t="s">
        <v>15</v>
      </c>
      <c r="H258" s="8" t="s">
        <v>113</v>
      </c>
      <c r="I258" s="161"/>
      <c r="K258" s="50" t="str">
        <v>Película Vidro Temperado Vários modelos.</v>
      </c>
      <c r="L258" s="49">
        <f>SUMIF(Tabela1[Produtos],K258,Tabela1[Quantidade])</f>
        <v>38</v>
      </c>
      <c r="M258" s="37">
        <f>SUMIF(Tabela1[Produtos],K258,Tabela1[Valor gasto])</f>
        <v>69.900000000000006</v>
      </c>
      <c r="N258" s="37">
        <f>SUMIF(Tabela1[Produtos],K258,Tabela1[Valor venddo])</f>
        <v>199.9</v>
      </c>
      <c r="O258" s="37">
        <f>SUMIF(Tabela1[Produtos],K258,Tabela1[Valor do lucro])</f>
        <v>130</v>
      </c>
      <c r="Q258" s="50"/>
      <c r="R258" s="49"/>
      <c r="S258" s="37"/>
      <c r="T258" s="37"/>
      <c r="U258" s="37"/>
    </row>
    <row r="259" spans="1:21" ht="15.75" x14ac:dyDescent="0.25">
      <c r="A259" s="158">
        <v>568</v>
      </c>
      <c r="B259" s="7" t="s">
        <v>293</v>
      </c>
      <c r="C259" s="14">
        <v>1</v>
      </c>
      <c r="D259" s="61">
        <v>28</v>
      </c>
      <c r="E259" s="61">
        <v>65</v>
      </c>
      <c r="F259" s="61">
        <f t="shared" si="7"/>
        <v>37</v>
      </c>
      <c r="G259" s="8" t="s">
        <v>15</v>
      </c>
      <c r="H259" s="8" t="s">
        <v>113</v>
      </c>
      <c r="I259" s="161"/>
      <c r="K259" s="50" t="str">
        <v>pelucia polvo p</v>
      </c>
      <c r="L259" s="49">
        <f>SUMIF(Tabela1[Produtos],K259,Tabela1[Quantidade])</f>
        <v>1</v>
      </c>
      <c r="M259" s="37">
        <f>SUMIF(Tabela1[Produtos],K259,Tabela1[Valor gasto])</f>
        <v>12</v>
      </c>
      <c r="N259" s="37">
        <f>SUMIF(Tabela1[Produtos],K259,Tabela1[Valor venddo])</f>
        <v>20</v>
      </c>
      <c r="O259" s="37">
        <f>SUMIF(Tabela1[Produtos],K259,Tabela1[Valor do lucro])</f>
        <v>8</v>
      </c>
      <c r="Q259" s="50"/>
      <c r="R259" s="49"/>
      <c r="S259" s="37"/>
      <c r="T259" s="37"/>
      <c r="U259" s="37"/>
    </row>
    <row r="260" spans="1:21" ht="15.75" x14ac:dyDescent="0.25">
      <c r="A260" s="158">
        <v>102</v>
      </c>
      <c r="B260" s="7" t="s">
        <v>293</v>
      </c>
      <c r="C260" s="14">
        <v>1</v>
      </c>
      <c r="D260" s="61">
        <v>26</v>
      </c>
      <c r="E260" s="61">
        <v>50</v>
      </c>
      <c r="F260" s="61">
        <f t="shared" si="7"/>
        <v>24</v>
      </c>
      <c r="G260" s="8" t="s">
        <v>15</v>
      </c>
      <c r="H260" s="8" t="s">
        <v>113</v>
      </c>
      <c r="I260" s="159"/>
      <c r="K260" s="50" t="str">
        <v>Perfume hinode</v>
      </c>
      <c r="L260" s="49">
        <f>SUMIF(Tabela1[Produtos],K260,Tabela1[Quantidade])</f>
        <v>3</v>
      </c>
      <c r="M260" s="37">
        <f>SUMIF(Tabela1[Produtos],K260,Tabela1[Valor gasto])</f>
        <v>214.5</v>
      </c>
      <c r="N260" s="37">
        <f>SUMIF(Tabela1[Produtos],K260,Tabela1[Valor venddo])</f>
        <v>366.4</v>
      </c>
      <c r="O260" s="37">
        <f>SUMIF(Tabela1[Produtos],K260,Tabela1[Valor do lucro])</f>
        <v>151.9</v>
      </c>
      <c r="Q260" s="50"/>
      <c r="R260" s="49"/>
      <c r="S260" s="37"/>
      <c r="T260" s="37"/>
      <c r="U260" s="37"/>
    </row>
    <row r="261" spans="1:21" ht="15.75" x14ac:dyDescent="0.25">
      <c r="A261" s="158">
        <v>24</v>
      </c>
      <c r="B261" s="177" t="s">
        <v>274</v>
      </c>
      <c r="C261" s="14">
        <v>1</v>
      </c>
      <c r="D261" s="61">
        <v>28</v>
      </c>
      <c r="E261" s="61">
        <v>50</v>
      </c>
      <c r="F261" s="61">
        <f t="shared" si="7"/>
        <v>22</v>
      </c>
      <c r="G261" s="8" t="s">
        <v>15</v>
      </c>
      <c r="H261" s="8" t="s">
        <v>113</v>
      </c>
      <c r="I261" s="160"/>
      <c r="K261" s="50" t="str">
        <v>Placa Adaptador De Som Usb 7.1 Canais 3d Adaptador Audio Pc</v>
      </c>
      <c r="L261" s="49">
        <f>SUMIF(Tabela1[Produtos],K261,Tabela1[Quantidade])</f>
        <v>1</v>
      </c>
      <c r="M261" s="37">
        <f>SUMIF(Tabela1[Produtos],K261,Tabela1[Valor gasto])</f>
        <v>7</v>
      </c>
      <c r="N261" s="37">
        <f>SUMIF(Tabela1[Produtos],K261,Tabela1[Valor venddo])</f>
        <v>21.21</v>
      </c>
      <c r="O261" s="37">
        <f>SUMIF(Tabela1[Produtos],K261,Tabela1[Valor do lucro])</f>
        <v>14.21</v>
      </c>
      <c r="Q261" s="50"/>
      <c r="R261" s="49"/>
      <c r="S261" s="37"/>
      <c r="T261" s="37"/>
      <c r="U261" s="37"/>
    </row>
    <row r="262" spans="1:21" ht="15.75" x14ac:dyDescent="0.25">
      <c r="A262" s="158">
        <v>203</v>
      </c>
      <c r="B262" s="177" t="s">
        <v>274</v>
      </c>
      <c r="C262" s="14">
        <v>1</v>
      </c>
      <c r="D262" s="61">
        <v>30</v>
      </c>
      <c r="E262" s="61">
        <v>50</v>
      </c>
      <c r="F262" s="61">
        <f t="shared" si="7"/>
        <v>20</v>
      </c>
      <c r="G262" s="8" t="s">
        <v>15</v>
      </c>
      <c r="H262" s="8" t="s">
        <v>113</v>
      </c>
      <c r="I262" s="159"/>
      <c r="K262" s="50" t="str">
        <v>placa uber</v>
      </c>
      <c r="L262" s="49">
        <f>SUMIF(Tabela1[Produtos],K262,Tabela1[Quantidade])</f>
        <v>1</v>
      </c>
      <c r="M262" s="37">
        <f>SUMIF(Tabela1[Produtos],K262,Tabela1[Valor gasto])</f>
        <v>15</v>
      </c>
      <c r="N262" s="37">
        <f>SUMIF(Tabela1[Produtos],K262,Tabela1[Valor venddo])</f>
        <v>30</v>
      </c>
      <c r="O262" s="37">
        <f>SUMIF(Tabela1[Produtos],K262,Tabela1[Valor do lucro])</f>
        <v>15</v>
      </c>
      <c r="Q262" s="50"/>
      <c r="R262" s="49"/>
      <c r="S262" s="37"/>
      <c r="T262" s="37"/>
      <c r="U262" s="37"/>
    </row>
    <row r="263" spans="1:21" ht="15.75" x14ac:dyDescent="0.25">
      <c r="A263" s="158">
        <v>204</v>
      </c>
      <c r="B263" s="177" t="s">
        <v>274</v>
      </c>
      <c r="C263" s="14">
        <v>1</v>
      </c>
      <c r="D263" s="61">
        <v>30</v>
      </c>
      <c r="E263" s="61">
        <v>80</v>
      </c>
      <c r="F263" s="61">
        <f t="shared" si="7"/>
        <v>50</v>
      </c>
      <c r="G263" s="8" t="s">
        <v>15</v>
      </c>
      <c r="H263" s="8" t="s">
        <v>113</v>
      </c>
      <c r="I263" s="159"/>
      <c r="K263" s="50" t="str">
        <v>plano de tv</v>
      </c>
      <c r="L263" s="49">
        <f>SUMIF(Tabela1[Produtos],K263,Tabela1[Quantidade])</f>
        <v>3</v>
      </c>
      <c r="M263" s="37">
        <f>SUMIF(Tabela1[Produtos],K263,Tabela1[Valor gasto])</f>
        <v>45</v>
      </c>
      <c r="N263" s="37">
        <f>SUMIF(Tabela1[Produtos],K263,Tabela1[Valor venddo])</f>
        <v>90</v>
      </c>
      <c r="O263" s="37">
        <f>SUMIF(Tabela1[Produtos],K263,Tabela1[Valor do lucro])</f>
        <v>45</v>
      </c>
      <c r="Q263" s="50"/>
      <c r="R263" s="49"/>
      <c r="S263" s="37"/>
      <c r="T263" s="37"/>
      <c r="U263" s="37"/>
    </row>
    <row r="264" spans="1:21" ht="15.75" x14ac:dyDescent="0.25">
      <c r="A264" s="158">
        <v>223</v>
      </c>
      <c r="B264" s="177" t="s">
        <v>274</v>
      </c>
      <c r="C264" s="14">
        <v>1</v>
      </c>
      <c r="D264" s="61">
        <v>30</v>
      </c>
      <c r="E264" s="61">
        <v>70</v>
      </c>
      <c r="F264" s="61">
        <f t="shared" si="7"/>
        <v>40</v>
      </c>
      <c r="G264" s="8" t="s">
        <v>15</v>
      </c>
      <c r="H264" s="8" t="s">
        <v>113</v>
      </c>
      <c r="I264" s="159"/>
      <c r="K264" s="50" t="str">
        <v xml:space="preserve">plano de tv </v>
      </c>
      <c r="L264" s="49">
        <f>SUMIF(Tabela1[Produtos],K264,Tabela1[Quantidade])</f>
        <v>1</v>
      </c>
      <c r="M264" s="37">
        <f>SUMIF(Tabela1[Produtos],K264,Tabela1[Valor gasto])</f>
        <v>0</v>
      </c>
      <c r="N264" s="37">
        <f>SUMIF(Tabela1[Produtos],K264,Tabela1[Valor venddo])</f>
        <v>50</v>
      </c>
      <c r="O264" s="37">
        <f>SUMIF(Tabela1[Produtos],K264,Tabela1[Valor do lucro])</f>
        <v>50</v>
      </c>
      <c r="Q264" s="50"/>
      <c r="R264" s="49"/>
      <c r="S264" s="37"/>
      <c r="T264" s="37"/>
      <c r="U264" s="37"/>
    </row>
    <row r="265" spans="1:21" ht="15.75" x14ac:dyDescent="0.25">
      <c r="A265" s="158">
        <v>226</v>
      </c>
      <c r="B265" s="177" t="s">
        <v>274</v>
      </c>
      <c r="C265" s="14">
        <v>1</v>
      </c>
      <c r="D265" s="61">
        <v>30</v>
      </c>
      <c r="E265" s="61">
        <v>50</v>
      </c>
      <c r="F265" s="61">
        <f t="shared" si="7"/>
        <v>20</v>
      </c>
      <c r="G265" s="8" t="s">
        <v>15</v>
      </c>
      <c r="H265" s="8" t="s">
        <v>113</v>
      </c>
      <c r="I265" s="159"/>
      <c r="K265" s="50" t="str">
        <v>pochete caminhada</v>
      </c>
      <c r="L265" s="49">
        <f>SUMIF(Tabela1[Produtos],K265,Tabela1[Quantidade])</f>
        <v>2</v>
      </c>
      <c r="M265" s="37">
        <f>SUMIF(Tabela1[Produtos],K265,Tabela1[Valor gasto])</f>
        <v>50</v>
      </c>
      <c r="N265" s="37">
        <f>SUMIF(Tabela1[Produtos],K265,Tabela1[Valor venddo])</f>
        <v>90</v>
      </c>
      <c r="O265" s="37">
        <f>SUMIF(Tabela1[Produtos],K265,Tabela1[Valor do lucro])</f>
        <v>40</v>
      </c>
      <c r="Q265" s="50"/>
      <c r="R265" s="49"/>
      <c r="S265" s="37"/>
      <c r="T265" s="37"/>
      <c r="U265" s="37"/>
    </row>
    <row r="266" spans="1:21" ht="15.75" x14ac:dyDescent="0.25">
      <c r="A266" s="158">
        <v>339</v>
      </c>
      <c r="B266" s="177" t="s">
        <v>274</v>
      </c>
      <c r="C266" s="14">
        <v>1</v>
      </c>
      <c r="D266" s="61">
        <v>35</v>
      </c>
      <c r="E266" s="61">
        <v>50</v>
      </c>
      <c r="F266" s="61">
        <f t="shared" si="7"/>
        <v>15</v>
      </c>
      <c r="G266" s="8" t="s">
        <v>15</v>
      </c>
      <c r="H266" s="8" t="s">
        <v>113</v>
      </c>
      <c r="I266" s="160"/>
      <c r="K266" s="50" t="str">
        <v>Polvo Reversível Temperamental Humor Feliz E Bravo / Triste</v>
      </c>
      <c r="L266" s="49">
        <f>SUMIF(Tabela1[Produtos],K266,Tabela1[Quantidade])</f>
        <v>2</v>
      </c>
      <c r="M266" s="37">
        <f>SUMIF(Tabela1[Produtos],K266,Tabela1[Valor gasto])</f>
        <v>40</v>
      </c>
      <c r="N266" s="37">
        <f>SUMIF(Tabela1[Produtos],K266,Tabela1[Valor venddo])</f>
        <v>46.74</v>
      </c>
      <c r="O266" s="37">
        <f>SUMIF(Tabela1[Produtos],K266,Tabela1[Valor do lucro])</f>
        <v>6.740000000000002</v>
      </c>
      <c r="Q266" s="50"/>
      <c r="R266" s="49"/>
      <c r="S266" s="37"/>
      <c r="T266" s="37"/>
      <c r="U266" s="37"/>
    </row>
    <row r="267" spans="1:21" ht="15.75" x14ac:dyDescent="0.25">
      <c r="A267" s="158">
        <v>490</v>
      </c>
      <c r="B267" s="177" t="s">
        <v>274</v>
      </c>
      <c r="C267" s="14">
        <v>1</v>
      </c>
      <c r="D267" s="61">
        <v>35</v>
      </c>
      <c r="E267" s="61">
        <v>60</v>
      </c>
      <c r="F267" s="61">
        <f t="shared" si="7"/>
        <v>25</v>
      </c>
      <c r="G267" s="8" t="s">
        <v>15</v>
      </c>
      <c r="H267" s="8" t="s">
        <v>113</v>
      </c>
      <c r="I267" s="160"/>
      <c r="K267" s="50" t="str">
        <v>Ponta De Dedo Clip Oxímetro De Pulso L-ed Display Mini Spo2</v>
      </c>
      <c r="L267" s="49">
        <f>SUMIF(Tabela1[Produtos],K267,Tabela1[Quantidade])</f>
        <v>1</v>
      </c>
      <c r="M267" s="37">
        <f>SUMIF(Tabela1[Produtos],K267,Tabela1[Valor gasto])</f>
        <v>15</v>
      </c>
      <c r="N267" s="37">
        <f>SUMIF(Tabela1[Produtos],K267,Tabela1[Valor venddo])</f>
        <v>20</v>
      </c>
      <c r="O267" s="37">
        <f>SUMIF(Tabela1[Produtos],K267,Tabela1[Valor do lucro])</f>
        <v>5</v>
      </c>
      <c r="Q267" s="50"/>
      <c r="R267" s="49"/>
      <c r="S267" s="37"/>
      <c r="T267" s="37"/>
      <c r="U267" s="37"/>
    </row>
    <row r="268" spans="1:21" ht="15.75" x14ac:dyDescent="0.25">
      <c r="A268" s="158">
        <v>495</v>
      </c>
      <c r="B268" s="177" t="s">
        <v>274</v>
      </c>
      <c r="C268" s="14">
        <v>1</v>
      </c>
      <c r="D268" s="61">
        <v>35</v>
      </c>
      <c r="E268" s="61">
        <v>50</v>
      </c>
      <c r="F268" s="61">
        <f t="shared" si="7"/>
        <v>15</v>
      </c>
      <c r="G268" s="8" t="s">
        <v>15</v>
      </c>
      <c r="H268" s="8" t="s">
        <v>113</v>
      </c>
      <c r="I268" s="160"/>
      <c r="K268" s="50" t="str">
        <v>Ponta De Prova Teste  Multímetro Digital Analógico</v>
      </c>
      <c r="L268" s="49">
        <f>SUMIF(Tabela1[Produtos],K268,Tabela1[Quantidade])</f>
        <v>2</v>
      </c>
      <c r="M268" s="37">
        <f>SUMIF(Tabela1[Produtos],K268,Tabela1[Valor gasto])</f>
        <v>8</v>
      </c>
      <c r="N268" s="37">
        <f>SUMIF(Tabela1[Produtos],K268,Tabela1[Valor venddo])</f>
        <v>27.54</v>
      </c>
      <c r="O268" s="37">
        <f>SUMIF(Tabela1[Produtos],K268,Tabela1[Valor do lucro])</f>
        <v>19.54</v>
      </c>
      <c r="Q268" s="50"/>
      <c r="R268" s="49"/>
      <c r="S268" s="37"/>
      <c r="T268" s="37"/>
      <c r="U268" s="37"/>
    </row>
    <row r="269" spans="1:21" ht="15.75" x14ac:dyDescent="0.25">
      <c r="A269" s="158">
        <v>655</v>
      </c>
      <c r="B269" s="177" t="s">
        <v>274</v>
      </c>
      <c r="C269" s="14">
        <v>1</v>
      </c>
      <c r="D269" s="61">
        <v>28</v>
      </c>
      <c r="E269" s="61">
        <v>50</v>
      </c>
      <c r="F269" s="61">
        <f t="shared" si="7"/>
        <v>22</v>
      </c>
      <c r="G269" s="8" t="s">
        <v>15</v>
      </c>
      <c r="H269" s="8" t="s">
        <v>113</v>
      </c>
      <c r="I269" s="161"/>
      <c r="K269" s="50" t="str">
        <v>Ponta De Prova Teste 90 Graus Multímetro Digital Analógico</v>
      </c>
      <c r="L269" s="49">
        <f>SUMIF(Tabela1[Produtos],K269,Tabela1[Quantidade])</f>
        <v>1</v>
      </c>
      <c r="M269" s="37">
        <f>SUMIF(Tabela1[Produtos],K269,Tabela1[Valor gasto])</f>
        <v>2.5</v>
      </c>
      <c r="N269" s="37">
        <f>SUMIF(Tabela1[Produtos],K269,Tabela1[Valor venddo])</f>
        <v>9</v>
      </c>
      <c r="O269" s="37">
        <f>SUMIF(Tabela1[Produtos],K269,Tabela1[Valor do lucro])</f>
        <v>6.5</v>
      </c>
      <c r="Q269" s="50"/>
      <c r="R269" s="49"/>
      <c r="S269" s="37"/>
      <c r="T269" s="37"/>
      <c r="U269" s="37"/>
    </row>
    <row r="270" spans="1:21" ht="15.75" x14ac:dyDescent="0.25">
      <c r="A270" s="158">
        <v>656</v>
      </c>
      <c r="B270" s="177" t="s">
        <v>274</v>
      </c>
      <c r="C270" s="14">
        <v>1</v>
      </c>
      <c r="D270" s="61">
        <v>28</v>
      </c>
      <c r="E270" s="61">
        <v>50</v>
      </c>
      <c r="F270" s="61">
        <f t="shared" si="7"/>
        <v>22</v>
      </c>
      <c r="G270" s="8" t="s">
        <v>15</v>
      </c>
      <c r="H270" s="8" t="s">
        <v>113</v>
      </c>
      <c r="I270" s="161"/>
      <c r="K270" s="50" t="str">
        <v>Pop It Colorido Personagens Anime Naruto  Antistress</v>
      </c>
      <c r="L270" s="49">
        <f>SUMIF(Tabela1[Produtos],K270,Tabela1[Quantidade])</f>
        <v>6</v>
      </c>
      <c r="M270" s="37">
        <f>SUMIF(Tabela1[Produtos],K270,Tabela1[Valor gasto])</f>
        <v>75</v>
      </c>
      <c r="N270" s="37">
        <f>SUMIF(Tabela1[Produtos],K270,Tabela1[Valor venddo])</f>
        <v>175.89679999999998</v>
      </c>
      <c r="O270" s="37">
        <f>SUMIF(Tabela1[Produtos],K270,Tabela1[Valor do lucro])</f>
        <v>100.8968</v>
      </c>
      <c r="Q270" s="50"/>
      <c r="R270" s="49"/>
      <c r="S270" s="37"/>
      <c r="T270" s="37"/>
      <c r="U270" s="37"/>
    </row>
    <row r="271" spans="1:21" ht="15.75" x14ac:dyDescent="0.25">
      <c r="A271" s="158">
        <v>657</v>
      </c>
      <c r="B271" s="177" t="s">
        <v>274</v>
      </c>
      <c r="C271" s="14">
        <v>1</v>
      </c>
      <c r="D271" s="61">
        <v>28</v>
      </c>
      <c r="E271" s="61">
        <v>50</v>
      </c>
      <c r="F271" s="61">
        <f t="shared" si="7"/>
        <v>22</v>
      </c>
      <c r="G271" s="8" t="s">
        <v>15</v>
      </c>
      <c r="H271" s="8" t="s">
        <v>113</v>
      </c>
      <c r="I271" s="161"/>
      <c r="K271" s="50" t="str">
        <v>Pop It Naruto Super Novidade  😱 #especialdiadascrianças</v>
      </c>
      <c r="L271" s="49">
        <f>SUMIF(Tabela1[Produtos],K271,Tabela1[Quantidade])</f>
        <v>1</v>
      </c>
      <c r="M271" s="37">
        <f>SUMIF(Tabela1[Produtos],K271,Tabela1[Valor gasto])</f>
        <v>12</v>
      </c>
      <c r="N271" s="37">
        <f>SUMIF(Tabela1[Produtos],K271,Tabela1[Valor venddo])</f>
        <v>36.630000000000003</v>
      </c>
      <c r="O271" s="37">
        <f>SUMIF(Tabela1[Produtos],K271,Tabela1[Valor do lucro])</f>
        <v>24.630000000000003</v>
      </c>
      <c r="Q271" s="50"/>
      <c r="R271" s="49"/>
      <c r="S271" s="37"/>
      <c r="T271" s="37"/>
      <c r="U271" s="37"/>
    </row>
    <row r="272" spans="1:21" ht="15.75" x14ac:dyDescent="0.25">
      <c r="A272" s="158">
        <v>660</v>
      </c>
      <c r="B272" s="177" t="s">
        <v>274</v>
      </c>
      <c r="C272" s="14">
        <v>1</v>
      </c>
      <c r="D272" s="61">
        <v>30</v>
      </c>
      <c r="E272" s="61">
        <v>60</v>
      </c>
      <c r="F272" s="61">
        <f t="shared" si="7"/>
        <v>30</v>
      </c>
      <c r="G272" s="8" t="s">
        <v>15</v>
      </c>
      <c r="H272" s="8" t="s">
        <v>113</v>
      </c>
      <c r="I272" s="161"/>
      <c r="K272" s="50" t="str">
        <v xml:space="preserve">pulseira d20 </v>
      </c>
      <c r="L272" s="49">
        <f>SUMIF(Tabela1[Produtos],K272,Tabela1[Quantidade])</f>
        <v>1</v>
      </c>
      <c r="M272" s="37">
        <f>SUMIF(Tabela1[Produtos],K272,Tabela1[Valor gasto])</f>
        <v>5</v>
      </c>
      <c r="N272" s="37">
        <f>SUMIF(Tabela1[Produtos],K272,Tabela1[Valor venddo])</f>
        <v>20</v>
      </c>
      <c r="O272" s="37">
        <f>SUMIF(Tabela1[Produtos],K272,Tabela1[Valor do lucro])</f>
        <v>15</v>
      </c>
      <c r="Q272" s="50"/>
      <c r="R272" s="49"/>
      <c r="S272" s="37"/>
      <c r="T272" s="37"/>
      <c r="U272" s="37"/>
    </row>
    <row r="273" spans="1:21" ht="15.75" x14ac:dyDescent="0.25">
      <c r="A273" s="158">
        <v>667</v>
      </c>
      <c r="B273" s="177" t="s">
        <v>274</v>
      </c>
      <c r="C273" s="14">
        <v>1</v>
      </c>
      <c r="D273" s="61">
        <v>30</v>
      </c>
      <c r="E273" s="61">
        <v>75</v>
      </c>
      <c r="F273" s="61">
        <f t="shared" si="7"/>
        <v>45</v>
      </c>
      <c r="G273" s="8" t="s">
        <v>15</v>
      </c>
      <c r="H273" s="8" t="s">
        <v>113</v>
      </c>
      <c r="I273" s="161"/>
      <c r="K273" s="50" t="str">
        <v>Receptor Transmissor Bluetooth Usb P2 Saida Car Atacado</v>
      </c>
      <c r="L273" s="49">
        <f>SUMIF(Tabela1[Produtos],K273,Tabela1[Quantidade])</f>
        <v>1</v>
      </c>
      <c r="M273" s="37">
        <f>SUMIF(Tabela1[Produtos],K273,Tabela1[Valor gasto])</f>
        <v>8</v>
      </c>
      <c r="N273" s="37">
        <f>SUMIF(Tabela1[Produtos],K273,Tabela1[Valor venddo])</f>
        <v>10</v>
      </c>
      <c r="O273" s="37">
        <f>SUMIF(Tabela1[Produtos],K273,Tabela1[Valor do lucro])</f>
        <v>2</v>
      </c>
      <c r="Q273" s="50"/>
      <c r="R273" s="49"/>
      <c r="S273" s="37"/>
      <c r="T273" s="37"/>
      <c r="U273" s="37"/>
    </row>
    <row r="274" spans="1:21" ht="15.75" x14ac:dyDescent="0.25">
      <c r="A274" s="158">
        <v>681</v>
      </c>
      <c r="B274" s="177" t="s">
        <v>274</v>
      </c>
      <c r="C274" s="14">
        <v>1</v>
      </c>
      <c r="D274" s="61">
        <v>30</v>
      </c>
      <c r="E274" s="61">
        <v>60</v>
      </c>
      <c r="F274" s="61">
        <f t="shared" si="7"/>
        <v>30</v>
      </c>
      <c r="G274" s="8" t="s">
        <v>15</v>
      </c>
      <c r="H274" s="8" t="s">
        <v>113</v>
      </c>
      <c r="I274" s="161"/>
      <c r="K274" s="50" t="str">
        <v>Refatrometro</v>
      </c>
      <c r="L274" s="49">
        <f>SUMIF(Tabela1[Produtos],K274,Tabela1[Quantidade])</f>
        <v>1</v>
      </c>
      <c r="M274" s="37">
        <f>SUMIF(Tabela1[Produtos],K274,Tabela1[Valor gasto])</f>
        <v>54.59</v>
      </c>
      <c r="N274" s="37">
        <f>SUMIF(Tabela1[Produtos],K274,Tabela1[Valor venddo])</f>
        <v>100</v>
      </c>
      <c r="O274" s="37">
        <f>SUMIF(Tabela1[Produtos],K274,Tabela1[Valor do lucro])</f>
        <v>45.41</v>
      </c>
      <c r="Q274" s="50"/>
      <c r="R274" s="49"/>
      <c r="S274" s="37"/>
      <c r="T274" s="37"/>
      <c r="U274" s="37"/>
    </row>
    <row r="275" spans="1:21" ht="15.75" x14ac:dyDescent="0.25">
      <c r="A275" s="158">
        <v>805</v>
      </c>
      <c r="B275" s="177" t="s">
        <v>274</v>
      </c>
      <c r="C275" s="14">
        <v>1</v>
      </c>
      <c r="D275" s="61">
        <v>30</v>
      </c>
      <c r="E275" s="61">
        <v>50</v>
      </c>
      <c r="F275" s="61">
        <f t="shared" si="7"/>
        <v>20</v>
      </c>
      <c r="G275" s="8" t="s">
        <v>15</v>
      </c>
      <c r="H275" s="8" t="s">
        <v>113</v>
      </c>
      <c r="I275" s="161"/>
      <c r="K275" s="50" t="str">
        <v>RELÓGIO DE PAREDE QUARTZ 😱😱</v>
      </c>
      <c r="L275" s="49">
        <f>SUMIF(Tabela1[Produtos],K275,Tabela1[Quantidade])</f>
        <v>3</v>
      </c>
      <c r="M275" s="37">
        <f>SUMIF(Tabela1[Produtos],K275,Tabela1[Valor gasto])</f>
        <v>22</v>
      </c>
      <c r="N275" s="37">
        <f>SUMIF(Tabela1[Produtos],K275,Tabela1[Valor venddo])</f>
        <v>68.61</v>
      </c>
      <c r="O275" s="37">
        <f>SUMIF(Tabela1[Produtos],K275,Tabela1[Valor do lucro])</f>
        <v>34.61</v>
      </c>
      <c r="Q275" s="50"/>
      <c r="R275" s="49"/>
      <c r="S275" s="37"/>
      <c r="T275" s="37"/>
      <c r="U275" s="37"/>
    </row>
    <row r="276" spans="1:21" ht="15.75" x14ac:dyDescent="0.25">
      <c r="A276" s="158">
        <v>584</v>
      </c>
      <c r="B276" s="7" t="s">
        <v>274</v>
      </c>
      <c r="C276" s="14">
        <v>1</v>
      </c>
      <c r="D276" s="61">
        <v>28</v>
      </c>
      <c r="E276" s="61">
        <v>50</v>
      </c>
      <c r="F276" s="61">
        <f t="shared" si="7"/>
        <v>22</v>
      </c>
      <c r="G276" s="8" t="s">
        <v>15</v>
      </c>
      <c r="H276" s="8" t="s">
        <v>113</v>
      </c>
      <c r="I276" s="161"/>
      <c r="K276" s="50" t="str">
        <v>Relógio Digital Automotivo Painel mesa com fixador</v>
      </c>
      <c r="L276" s="49">
        <f>SUMIF(Tabela1[Produtos],K276,Tabela1[Quantidade])</f>
        <v>1</v>
      </c>
      <c r="M276" s="37">
        <f>SUMIF(Tabela1[Produtos],K276,Tabela1[Valor gasto])</f>
        <v>10</v>
      </c>
      <c r="N276" s="37">
        <f>SUMIF(Tabela1[Produtos],K276,Tabela1[Valor venddo])</f>
        <v>20</v>
      </c>
      <c r="O276" s="37">
        <f>SUMIF(Tabela1[Produtos],K276,Tabela1[Valor do lucro])</f>
        <v>10</v>
      </c>
      <c r="Q276" s="50"/>
      <c r="R276" s="49"/>
      <c r="S276" s="37"/>
      <c r="T276" s="37"/>
      <c r="U276" s="37"/>
    </row>
    <row r="277" spans="1:21" ht="15.75" x14ac:dyDescent="0.25">
      <c r="A277" s="158">
        <v>585</v>
      </c>
      <c r="B277" s="7" t="s">
        <v>274</v>
      </c>
      <c r="C277" s="14">
        <v>1</v>
      </c>
      <c r="D277" s="61">
        <v>28</v>
      </c>
      <c r="E277" s="61">
        <v>65</v>
      </c>
      <c r="F277" s="61">
        <f t="shared" si="7"/>
        <v>37</v>
      </c>
      <c r="G277" s="8" t="s">
        <v>15</v>
      </c>
      <c r="H277" s="8" t="s">
        <v>113</v>
      </c>
      <c r="I277" s="161"/>
      <c r="K277" s="50" t="str">
        <v>Relógio Digital Unissex Led Sport Pulseira Bracelete Colors</v>
      </c>
      <c r="L277" s="49">
        <f>SUMIF(Tabela1[Produtos],K277,Tabela1[Quantidade])</f>
        <v>4</v>
      </c>
      <c r="M277" s="37">
        <f>SUMIF(Tabela1[Produtos],K277,Tabela1[Valor gasto])</f>
        <v>16</v>
      </c>
      <c r="N277" s="37">
        <f>SUMIF(Tabela1[Produtos],K277,Tabela1[Valor venddo])</f>
        <v>32.290000000000006</v>
      </c>
      <c r="O277" s="37">
        <f>SUMIF(Tabela1[Produtos],K277,Tabela1[Valor do lucro])</f>
        <v>16.29</v>
      </c>
      <c r="Q277" s="50"/>
      <c r="R277" s="49"/>
      <c r="S277" s="37"/>
      <c r="T277" s="37"/>
      <c r="U277" s="37"/>
    </row>
    <row r="278" spans="1:21" ht="15.75" x14ac:dyDescent="0.25">
      <c r="A278" s="158">
        <v>278</v>
      </c>
      <c r="B278" s="7" t="s">
        <v>293</v>
      </c>
      <c r="C278" s="14">
        <v>1</v>
      </c>
      <c r="D278" s="61">
        <v>30</v>
      </c>
      <c r="E278" s="61">
        <v>60</v>
      </c>
      <c r="F278" s="61">
        <f t="shared" si="7"/>
        <v>30</v>
      </c>
      <c r="G278" s="8" t="s">
        <v>3</v>
      </c>
      <c r="H278" s="8" t="s">
        <v>113</v>
      </c>
      <c r="I278" s="161"/>
      <c r="K278" s="50" t="str">
        <v>Relógio Inteligente Smartwatch D20 Bluetooth Monitor Saúde</v>
      </c>
      <c r="L278" s="49">
        <f>SUMIF(Tabela1[Produtos],K278,Tabela1[Quantidade])</f>
        <v>2</v>
      </c>
      <c r="M278" s="37">
        <f>SUMIF(Tabela1[Produtos],K278,Tabela1[Valor gasto])</f>
        <v>50</v>
      </c>
      <c r="N278" s="37">
        <f>SUMIF(Tabela1[Produtos],K278,Tabela1[Valor venddo])</f>
        <v>202.21</v>
      </c>
      <c r="O278" s="37">
        <f>SUMIF(Tabela1[Produtos],K278,Tabela1[Valor do lucro])</f>
        <v>152.21</v>
      </c>
      <c r="Q278" s="50"/>
      <c r="R278" s="49"/>
      <c r="S278" s="37"/>
      <c r="T278" s="37"/>
      <c r="U278" s="37"/>
    </row>
    <row r="279" spans="1:21" ht="15.75" x14ac:dyDescent="0.25">
      <c r="A279" s="158">
        <v>142</v>
      </c>
      <c r="B279" s="45" t="s">
        <v>176</v>
      </c>
      <c r="C279" s="17">
        <v>1</v>
      </c>
      <c r="D279" s="58">
        <v>6</v>
      </c>
      <c r="E279" s="58">
        <v>10</v>
      </c>
      <c r="F279" s="58">
        <v>4</v>
      </c>
      <c r="G279" s="8" t="s">
        <v>15</v>
      </c>
      <c r="H279" s="57" t="s">
        <v>6</v>
      </c>
      <c r="I279" s="159"/>
      <c r="K279" s="50" t="str">
        <v xml:space="preserve">relogio pequeno </v>
      </c>
      <c r="L279" s="49">
        <f>SUMIF(Tabela1[Produtos],K279,Tabela1[Quantidade])</f>
        <v>1</v>
      </c>
      <c r="M279" s="37">
        <f>SUMIF(Tabela1[Produtos],K279,Tabela1[Valor gasto])</f>
        <v>9</v>
      </c>
      <c r="N279" s="37">
        <f>SUMIF(Tabela1[Produtos],K279,Tabela1[Valor venddo])</f>
        <v>20</v>
      </c>
      <c r="O279" s="37">
        <f>SUMIF(Tabela1[Produtos],K279,Tabela1[Valor do lucro])</f>
        <v>11</v>
      </c>
      <c r="Q279" s="45"/>
      <c r="R279" s="49"/>
      <c r="S279" s="37"/>
      <c r="T279" s="37"/>
      <c r="U279" s="37"/>
    </row>
    <row r="280" spans="1:21" ht="15.75" x14ac:dyDescent="0.25">
      <c r="A280" s="158">
        <v>303</v>
      </c>
      <c r="B280" s="45" t="s">
        <v>176</v>
      </c>
      <c r="C280" s="126">
        <v>1</v>
      </c>
      <c r="D280" s="127">
        <v>6</v>
      </c>
      <c r="E280" s="127">
        <v>14.41</v>
      </c>
      <c r="F280" s="127">
        <v>8.41</v>
      </c>
      <c r="G280" s="8" t="s">
        <v>3</v>
      </c>
      <c r="H280" s="8" t="s">
        <v>114</v>
      </c>
      <c r="I280" s="161"/>
      <c r="K280" s="50" t="str">
        <v>Reparo macarrão pneu 10pç</v>
      </c>
      <c r="L280" s="49">
        <f>SUMIF(Tabela1[Produtos],K280,Tabela1[Quantidade])</f>
        <v>12</v>
      </c>
      <c r="M280" s="37">
        <f>SUMIF(Tabela1[Produtos],K280,Tabela1[Valor gasto])</f>
        <v>75</v>
      </c>
      <c r="N280" s="37">
        <f>SUMIF(Tabela1[Produtos],K280,Tabela1[Valor venddo])</f>
        <v>146.2062</v>
      </c>
      <c r="O280" s="37">
        <f>SUMIF(Tabela1[Produtos],K280,Tabela1[Valor do lucro])</f>
        <v>80.926199999999994</v>
      </c>
      <c r="Q280" s="50"/>
      <c r="R280" s="49"/>
      <c r="S280" s="37"/>
      <c r="T280" s="37"/>
      <c r="U280" s="37"/>
    </row>
    <row r="281" spans="1:21" ht="15.75" x14ac:dyDescent="0.25">
      <c r="A281" s="158">
        <v>514</v>
      </c>
      <c r="B281" s="45" t="s">
        <v>176</v>
      </c>
      <c r="C281" s="130">
        <v>1</v>
      </c>
      <c r="D281" s="61">
        <v>8</v>
      </c>
      <c r="E281" s="58">
        <v>11.11</v>
      </c>
      <c r="F281" s="61">
        <f>SUM(E281-D281)</f>
        <v>3.1099999999999994</v>
      </c>
      <c r="G281" s="8" t="s">
        <v>15</v>
      </c>
      <c r="H281" s="8" t="s">
        <v>114</v>
      </c>
      <c r="I281" s="160"/>
      <c r="K281" s="50" t="str">
        <v>Rimel hinode</v>
      </c>
      <c r="L281" s="49">
        <f>SUMIF(Tabela1[Produtos],K281,Tabela1[Quantidade])</f>
        <v>1</v>
      </c>
      <c r="M281" s="37">
        <f>SUMIF(Tabela1[Produtos],K281,Tabela1[Valor gasto])</f>
        <v>27.45</v>
      </c>
      <c r="N281" s="37">
        <f>SUMIF(Tabela1[Produtos],K281,Tabela1[Valor venddo])</f>
        <v>30</v>
      </c>
      <c r="O281" s="37">
        <f>SUMIF(Tabela1[Produtos],K281,Tabela1[Valor do lucro])</f>
        <v>2.5500000000000007</v>
      </c>
      <c r="Q281" s="50"/>
      <c r="R281" s="49"/>
      <c r="S281" s="37"/>
      <c r="T281" s="37"/>
      <c r="U281" s="37"/>
    </row>
    <row r="282" spans="1:21" ht="15.75" x14ac:dyDescent="0.25">
      <c r="A282" s="158">
        <v>256</v>
      </c>
      <c r="B282" s="45" t="s">
        <v>176</v>
      </c>
      <c r="C282" s="17">
        <v>1</v>
      </c>
      <c r="D282" s="58">
        <v>6</v>
      </c>
      <c r="E282" s="58">
        <v>6</v>
      </c>
      <c r="F282" s="58">
        <v>2</v>
      </c>
      <c r="G282" s="8" t="s">
        <v>15</v>
      </c>
      <c r="H282" s="57" t="s">
        <v>114</v>
      </c>
      <c r="I282" s="159"/>
      <c r="K282" s="50" t="str">
        <v>Rolex Suíço Qyster Perpetual Datejust Feminino Pulseira Magnética Replica!</v>
      </c>
      <c r="L282" s="49">
        <f>SUMIF(Tabela1[Produtos],K282,Tabela1[Quantidade])</f>
        <v>1</v>
      </c>
      <c r="M282" s="37">
        <f>SUMIF(Tabela1[Produtos],K282,Tabela1[Valor gasto])</f>
        <v>30</v>
      </c>
      <c r="N282" s="37">
        <f>SUMIF(Tabela1[Produtos],K282,Tabela1[Valor venddo])</f>
        <v>65</v>
      </c>
      <c r="O282" s="37">
        <f>SUMIF(Tabela1[Produtos],K282,Tabela1[Valor do lucro])</f>
        <v>35</v>
      </c>
      <c r="Q282" s="50"/>
      <c r="R282" s="49"/>
      <c r="S282" s="37"/>
      <c r="T282" s="37"/>
      <c r="U282" s="37"/>
    </row>
    <row r="283" spans="1:21" ht="15.75" x14ac:dyDescent="0.25">
      <c r="A283" s="158">
        <v>49</v>
      </c>
      <c r="B283" s="45" t="s">
        <v>82</v>
      </c>
      <c r="C283" s="14">
        <v>1</v>
      </c>
      <c r="D283" s="61">
        <f>E283-F283</f>
        <v>42</v>
      </c>
      <c r="E283" s="58">
        <v>62.8</v>
      </c>
      <c r="F283" s="61">
        <v>20.799999999999997</v>
      </c>
      <c r="G283" s="8" t="s">
        <v>15</v>
      </c>
      <c r="H283" s="57" t="s">
        <v>6</v>
      </c>
      <c r="I283" s="159"/>
      <c r="K283" s="50" t="str">
        <v>Sensor de Porta Tuya WiFi Alexa Alimentação por Pilha AAA Smart Life Inteligente Google Home Detector de Aberto/Fechado Janela</v>
      </c>
      <c r="L283" s="49">
        <f>SUMIF(Tabela1[Produtos],K283,Tabela1[Quantidade])</f>
        <v>1</v>
      </c>
      <c r="M283" s="37">
        <f>SUMIF(Tabela1[Produtos],K283,Tabela1[Valor gasto])</f>
        <v>16</v>
      </c>
      <c r="N283" s="37">
        <f>SUMIF(Tabela1[Produtos],K283,Tabela1[Valor venddo])</f>
        <v>50</v>
      </c>
      <c r="O283" s="37">
        <f>SUMIF(Tabela1[Produtos],K283,Tabela1[Valor do lucro])</f>
        <v>34</v>
      </c>
      <c r="Q283" s="50"/>
      <c r="R283" s="49"/>
      <c r="S283" s="37"/>
      <c r="T283" s="37"/>
      <c r="U283" s="37"/>
    </row>
    <row r="284" spans="1:21" ht="15.75" x14ac:dyDescent="0.25">
      <c r="A284" s="158">
        <v>830</v>
      </c>
      <c r="B284" s="45" t="s">
        <v>431</v>
      </c>
      <c r="C284" s="126">
        <v>2</v>
      </c>
      <c r="D284" s="127">
        <v>12</v>
      </c>
      <c r="E284" s="133">
        <v>46.18</v>
      </c>
      <c r="F284" s="127">
        <v>34.18</v>
      </c>
      <c r="G284" s="8" t="s">
        <v>15</v>
      </c>
      <c r="H284" s="8" t="s">
        <v>114</v>
      </c>
      <c r="I284" s="161"/>
      <c r="K284" s="50" t="str">
        <v>Silicone De Banho Corpo Cinto Esfoliante 😱😱</v>
      </c>
      <c r="L284" s="49">
        <f>SUMIF(Tabela1[Produtos],K284,Tabela1[Quantidade])</f>
        <v>16</v>
      </c>
      <c r="M284" s="37">
        <f>SUMIF(Tabela1[Produtos],K284,Tabela1[Valor gasto])</f>
        <v>89</v>
      </c>
      <c r="N284" s="37">
        <f>SUMIF(Tabela1[Produtos],K284,Tabela1[Valor venddo])</f>
        <v>329.35</v>
      </c>
      <c r="O284" s="37">
        <f>SUMIF(Tabela1[Produtos],K284,Tabela1[Valor do lucro])</f>
        <v>177.35000000000002</v>
      </c>
      <c r="Q284" s="50"/>
      <c r="R284" s="49"/>
      <c r="S284" s="37"/>
      <c r="T284" s="37"/>
      <c r="U284" s="37"/>
    </row>
    <row r="285" spans="1:21" ht="15.75" x14ac:dyDescent="0.25">
      <c r="A285" s="158">
        <v>767</v>
      </c>
      <c r="B285" s="45" t="s">
        <v>431</v>
      </c>
      <c r="C285" s="126">
        <v>1</v>
      </c>
      <c r="D285" s="127">
        <v>6</v>
      </c>
      <c r="E285" s="127">
        <v>8.5500000000000007</v>
      </c>
      <c r="F285" s="127">
        <v>2.5500000000000007</v>
      </c>
      <c r="G285" s="8" t="s">
        <v>15</v>
      </c>
      <c r="H285" s="8" t="s">
        <v>114</v>
      </c>
      <c r="I285" s="161"/>
      <c r="K285" s="50" t="str">
        <v>Skimmer Boyu Interno WG-310 120L para Aquários</v>
      </c>
      <c r="L285" s="49">
        <f>SUMIF(Tabela1[Produtos],K285,Tabela1[Quantidade])</f>
        <v>1</v>
      </c>
      <c r="M285" s="37">
        <f>SUMIF(Tabela1[Produtos],K285,Tabela1[Valor gasto])</f>
        <v>180</v>
      </c>
      <c r="N285" s="37">
        <f>SUMIF(Tabela1[Produtos],K285,Tabela1[Valor venddo])</f>
        <v>241.9</v>
      </c>
      <c r="O285" s="37">
        <f>SUMIF(Tabela1[Produtos],K285,Tabela1[Valor do lucro])</f>
        <v>61.900000000000006</v>
      </c>
      <c r="Q285" s="50"/>
      <c r="R285" s="49"/>
      <c r="S285" s="37"/>
      <c r="T285" s="37"/>
      <c r="U285" s="37"/>
    </row>
    <row r="286" spans="1:21" ht="15.75" x14ac:dyDescent="0.25">
      <c r="A286" s="158">
        <v>831</v>
      </c>
      <c r="B286" s="45" t="s">
        <v>432</v>
      </c>
      <c r="C286" s="126">
        <v>8</v>
      </c>
      <c r="D286" s="127">
        <v>48</v>
      </c>
      <c r="E286" s="133">
        <v>80.22</v>
      </c>
      <c r="F286" s="127">
        <v>32.22</v>
      </c>
      <c r="G286" s="8" t="s">
        <v>15</v>
      </c>
      <c r="H286" s="8" t="s">
        <v>114</v>
      </c>
      <c r="I286" s="161"/>
      <c r="K286" s="50" t="str">
        <v>Smartband d20</v>
      </c>
      <c r="L286" s="49">
        <f>SUMIF(Tabela1[Produtos],K286,Tabela1[Quantidade])</f>
        <v>8</v>
      </c>
      <c r="M286" s="37">
        <f>SUMIF(Tabela1[Produtos],K286,Tabela1[Valor gasto])</f>
        <v>208</v>
      </c>
      <c r="N286" s="37">
        <f>SUMIF(Tabela1[Produtos],K286,Tabela1[Valor venddo])</f>
        <v>670</v>
      </c>
      <c r="O286" s="37">
        <f>SUMIF(Tabela1[Produtos],K286,Tabela1[Valor do lucro])</f>
        <v>462</v>
      </c>
      <c r="Q286" s="50"/>
      <c r="R286" s="49"/>
      <c r="S286" s="37"/>
      <c r="T286" s="37"/>
      <c r="U286" s="37"/>
    </row>
    <row r="287" spans="1:21" ht="15.75" x14ac:dyDescent="0.25">
      <c r="A287" s="158">
        <v>304</v>
      </c>
      <c r="B287" s="45" t="s">
        <v>432</v>
      </c>
      <c r="C287" s="126">
        <v>1</v>
      </c>
      <c r="D287" s="127">
        <v>6</v>
      </c>
      <c r="E287" s="127">
        <v>14.01</v>
      </c>
      <c r="F287" s="127">
        <v>8.01</v>
      </c>
      <c r="G287" s="8" t="s">
        <v>3</v>
      </c>
      <c r="H287" s="8" t="s">
        <v>114</v>
      </c>
      <c r="I287" s="161"/>
      <c r="K287" s="50" t="str">
        <v>smartwatch tf50</v>
      </c>
      <c r="L287" s="49">
        <f>SUMIF(Tabela1[Produtos],K287,Tabela1[Quantidade])</f>
        <v>2</v>
      </c>
      <c r="M287" s="37">
        <f>SUMIF(Tabela1[Produtos],K287,Tabela1[Valor gasto])</f>
        <v>260</v>
      </c>
      <c r="N287" s="37">
        <f>SUMIF(Tabela1[Produtos],K287,Tabela1[Valor venddo])</f>
        <v>440</v>
      </c>
      <c r="O287" s="37">
        <f>SUMIF(Tabela1[Produtos],K287,Tabela1[Valor do lucro])</f>
        <v>180</v>
      </c>
      <c r="Q287" s="50"/>
      <c r="R287" s="49"/>
      <c r="S287" s="37"/>
      <c r="T287" s="37"/>
      <c r="U287" s="37"/>
    </row>
    <row r="288" spans="1:21" ht="15.75" x14ac:dyDescent="0.25">
      <c r="A288" s="158">
        <v>515</v>
      </c>
      <c r="B288" s="45" t="s">
        <v>432</v>
      </c>
      <c r="C288" s="129">
        <v>1</v>
      </c>
      <c r="D288" s="61">
        <v>5</v>
      </c>
      <c r="E288" s="127">
        <v>15</v>
      </c>
      <c r="F288" s="61">
        <f>SUM(E288-D288)</f>
        <v>10</v>
      </c>
      <c r="G288" s="8" t="s">
        <v>15</v>
      </c>
      <c r="H288" s="8" t="s">
        <v>114</v>
      </c>
      <c r="I288" s="160"/>
      <c r="K288" s="50" t="str">
        <v>smartwhat x6</v>
      </c>
      <c r="L288" s="49">
        <f>SUMIF(Tabela1[Produtos],K288,Tabela1[Quantidade])</f>
        <v>1</v>
      </c>
      <c r="M288" s="37">
        <f>SUMIF(Tabela1[Produtos],K288,Tabela1[Valor gasto])</f>
        <v>90</v>
      </c>
      <c r="N288" s="37">
        <f>SUMIF(Tabela1[Produtos],K288,Tabela1[Valor venddo])</f>
        <v>160</v>
      </c>
      <c r="O288" s="37">
        <f>SUMIF(Tabela1[Produtos],K288,Tabela1[Valor do lucro])</f>
        <v>70</v>
      </c>
      <c r="Q288" s="50"/>
      <c r="R288" s="49"/>
      <c r="S288" s="37"/>
      <c r="T288" s="37"/>
      <c r="U288" s="37"/>
    </row>
    <row r="289" spans="1:21" ht="15.75" x14ac:dyDescent="0.25">
      <c r="A289" s="158">
        <v>768</v>
      </c>
      <c r="B289" s="45" t="s">
        <v>432</v>
      </c>
      <c r="C289" s="126">
        <v>1</v>
      </c>
      <c r="D289" s="127">
        <v>6</v>
      </c>
      <c r="E289" s="127">
        <v>13.98</v>
      </c>
      <c r="F289" s="127">
        <v>7.98</v>
      </c>
      <c r="G289" s="8" t="s">
        <v>15</v>
      </c>
      <c r="H289" s="8" t="s">
        <v>114</v>
      </c>
      <c r="I289" s="161"/>
      <c r="K289" s="50" t="str">
        <v>Soquete Universal Chave Catraca</v>
      </c>
      <c r="L289" s="49">
        <f>SUMIF(Tabela1[Produtos],K289,Tabela1[Quantidade])</f>
        <v>1</v>
      </c>
      <c r="M289" s="37">
        <f>SUMIF(Tabela1[Produtos],K289,Tabela1[Valor gasto])</f>
        <v>24</v>
      </c>
      <c r="N289" s="37">
        <f>SUMIF(Tabela1[Produtos],K289,Tabela1[Valor venddo])</f>
        <v>50</v>
      </c>
      <c r="O289" s="37">
        <f>SUMIF(Tabela1[Produtos],K289,Tabela1[Valor do lucro])</f>
        <v>26</v>
      </c>
      <c r="Q289" s="50"/>
      <c r="R289" s="49"/>
      <c r="S289" s="37"/>
      <c r="T289" s="37"/>
      <c r="U289" s="37"/>
    </row>
    <row r="290" spans="1:21" ht="15.75" x14ac:dyDescent="0.25">
      <c r="A290" s="158">
        <v>451</v>
      </c>
      <c r="B290" s="45" t="s">
        <v>364</v>
      </c>
      <c r="C290" s="14">
        <v>1</v>
      </c>
      <c r="D290" s="128">
        <v>15</v>
      </c>
      <c r="E290" s="61">
        <v>28.56</v>
      </c>
      <c r="F290" s="61">
        <f>E290-D290</f>
        <v>13.559999999999999</v>
      </c>
      <c r="G290" s="8" t="s">
        <v>15</v>
      </c>
      <c r="H290" s="8" t="s">
        <v>113</v>
      </c>
      <c r="I290" s="160"/>
      <c r="K290" s="50" t="str">
        <v xml:space="preserve">SSD 240gb </v>
      </c>
      <c r="L290" s="49">
        <f>SUMIF(Tabela1[Produtos],K290,Tabela1[Quantidade])</f>
        <v>2</v>
      </c>
      <c r="M290" s="37">
        <f>SUMIF(Tabela1[Produtos],K290,Tabela1[Valor gasto])</f>
        <v>320</v>
      </c>
      <c r="N290" s="37">
        <f>SUMIF(Tabela1[Produtos],K290,Tabela1[Valor venddo])</f>
        <v>450</v>
      </c>
      <c r="O290" s="37">
        <f>SUMIF(Tabela1[Produtos],K290,Tabela1[Valor do lucro])</f>
        <v>130</v>
      </c>
      <c r="Q290" s="50"/>
      <c r="R290" s="49"/>
      <c r="S290" s="37"/>
      <c r="T290" s="37"/>
      <c r="U290" s="37"/>
    </row>
    <row r="291" spans="1:21" ht="15.75" x14ac:dyDescent="0.25">
      <c r="A291" s="158">
        <v>700</v>
      </c>
      <c r="B291" s="45" t="s">
        <v>364</v>
      </c>
      <c r="C291" s="17">
        <v>4</v>
      </c>
      <c r="D291" s="132">
        <v>7</v>
      </c>
      <c r="E291" s="61">
        <v>50.15</v>
      </c>
      <c r="F291" s="61">
        <v>22.15</v>
      </c>
      <c r="G291" s="8" t="s">
        <v>15</v>
      </c>
      <c r="H291" s="8" t="s">
        <v>114</v>
      </c>
      <c r="I291" s="161"/>
      <c r="K291" s="50" t="str">
        <v>sugador</v>
      </c>
      <c r="L291" s="49">
        <f>SUMIF(Tabela1[Produtos],K291,Tabela1[Quantidade])</f>
        <v>1</v>
      </c>
      <c r="M291" s="37">
        <f>SUMIF(Tabela1[Produtos],K291,Tabela1[Valor gasto])</f>
        <v>10</v>
      </c>
      <c r="N291" s="37">
        <f>SUMIF(Tabela1[Produtos],K291,Tabela1[Valor venddo])</f>
        <v>50</v>
      </c>
      <c r="O291" s="37">
        <f>SUMIF(Tabela1[Produtos],K291,Tabela1[Valor do lucro])</f>
        <v>40</v>
      </c>
      <c r="Q291" s="50"/>
      <c r="R291" s="49"/>
      <c r="S291" s="37"/>
      <c r="T291" s="37"/>
      <c r="U291" s="37"/>
    </row>
    <row r="292" spans="1:21" ht="15.75" x14ac:dyDescent="0.25">
      <c r="A292" s="158">
        <v>634</v>
      </c>
      <c r="B292" s="7" t="s">
        <v>346</v>
      </c>
      <c r="C292" s="14">
        <v>1</v>
      </c>
      <c r="D292" s="61">
        <v>3</v>
      </c>
      <c r="E292" s="61">
        <v>6</v>
      </c>
      <c r="F292" s="61">
        <f>E292-D292</f>
        <v>3</v>
      </c>
      <c r="G292" s="8" t="s">
        <v>15</v>
      </c>
      <c r="H292" s="8" t="s">
        <v>113</v>
      </c>
      <c r="I292" s="161"/>
      <c r="K292" s="50" t="str">
        <v>Sugador De Solda Alumínio Com Bico</v>
      </c>
      <c r="L292" s="49">
        <f>SUMIF(Tabela1[Produtos],K292,Tabela1[Quantidade])</f>
        <v>27</v>
      </c>
      <c r="M292" s="37">
        <f>SUMIF(Tabela1[Produtos],K292,Tabela1[Valor gasto])</f>
        <v>177</v>
      </c>
      <c r="N292" s="37">
        <f>SUMIF(Tabela1[Produtos],K292,Tabela1[Valor venddo])</f>
        <v>183.61120000000003</v>
      </c>
      <c r="O292" s="37">
        <f>SUMIF(Tabela1[Produtos],K292,Tabela1[Valor do lucro])</f>
        <v>6.6112000000000073</v>
      </c>
      <c r="Q292" s="50"/>
      <c r="R292" s="49"/>
      <c r="S292" s="37"/>
      <c r="T292" s="37"/>
      <c r="U292" s="37"/>
    </row>
    <row r="293" spans="1:21" ht="15.75" x14ac:dyDescent="0.25">
      <c r="A293" s="158">
        <v>635</v>
      </c>
      <c r="B293" s="7" t="s">
        <v>346</v>
      </c>
      <c r="C293" s="14">
        <v>1</v>
      </c>
      <c r="D293" s="61">
        <v>3</v>
      </c>
      <c r="E293" s="61">
        <v>6</v>
      </c>
      <c r="F293" s="61">
        <f>E293-D293</f>
        <v>3</v>
      </c>
      <c r="G293" s="8" t="s">
        <v>15</v>
      </c>
      <c r="H293" s="8" t="s">
        <v>113</v>
      </c>
      <c r="I293" s="161"/>
      <c r="K293" s="50" t="str">
        <v>Super Chá Sb Maravilhas Da Terra - O Verdadeiro Seca Barriga</v>
      </c>
      <c r="L293" s="49">
        <f>SUMIF(Tabela1[Produtos],K293,Tabela1[Quantidade])</f>
        <v>2</v>
      </c>
      <c r="M293" s="37">
        <f>SUMIF(Tabela1[Produtos],K293,Tabela1[Valor gasto])</f>
        <v>30</v>
      </c>
      <c r="N293" s="37">
        <f>SUMIF(Tabela1[Produtos],K293,Tabela1[Valor venddo])</f>
        <v>37.979999999999997</v>
      </c>
      <c r="O293" s="37">
        <f>SUMIF(Tabela1[Produtos],K293,Tabela1[Valor do lucro])</f>
        <v>7.9799999999999969</v>
      </c>
      <c r="Q293" s="50"/>
      <c r="R293" s="49"/>
      <c r="S293" s="37"/>
      <c r="T293" s="37"/>
      <c r="U293" s="37"/>
    </row>
    <row r="294" spans="1:21" ht="15.75" x14ac:dyDescent="0.25">
      <c r="A294" s="158">
        <v>636</v>
      </c>
      <c r="B294" s="7" t="s">
        <v>346</v>
      </c>
      <c r="C294" s="14">
        <v>1</v>
      </c>
      <c r="D294" s="61">
        <v>3</v>
      </c>
      <c r="E294" s="61">
        <v>6</v>
      </c>
      <c r="F294" s="61">
        <f>E294-D294</f>
        <v>3</v>
      </c>
      <c r="G294" s="8" t="s">
        <v>15</v>
      </c>
      <c r="H294" s="8" t="s">
        <v>113</v>
      </c>
      <c r="I294" s="161"/>
      <c r="K294" s="50" t="str">
        <v>Super Cola Instantânea Metal Madeira e Plástico</v>
      </c>
      <c r="L294" s="49">
        <f>SUMIF(Tabela1[Produtos],K294,Tabela1[Quantidade])</f>
        <v>59</v>
      </c>
      <c r="M294" s="37">
        <f>SUMIF(Tabela1[Produtos],K294,Tabela1[Valor gasto])</f>
        <v>72.5</v>
      </c>
      <c r="N294" s="37">
        <f>SUMIF(Tabela1[Produtos],K294,Tabela1[Valor venddo])</f>
        <v>270.31900000000002</v>
      </c>
      <c r="O294" s="37">
        <f>SUMIF(Tabela1[Produtos],K294,Tabela1[Valor do lucro])</f>
        <v>214.20566666666667</v>
      </c>
      <c r="Q294" s="50"/>
      <c r="R294" s="49"/>
      <c r="S294" s="37"/>
      <c r="T294" s="37"/>
      <c r="U294" s="37"/>
    </row>
    <row r="295" spans="1:21" ht="15.75" x14ac:dyDescent="0.25">
      <c r="A295" s="158">
        <v>769</v>
      </c>
      <c r="B295" s="45" t="s">
        <v>252</v>
      </c>
      <c r="C295" s="126">
        <v>1</v>
      </c>
      <c r="D295" s="127">
        <v>1</v>
      </c>
      <c r="E295" s="127">
        <v>1.86</v>
      </c>
      <c r="F295" s="127">
        <v>0.8600000000000001</v>
      </c>
      <c r="G295" s="8" t="s">
        <v>15</v>
      </c>
      <c r="H295" s="8" t="s">
        <v>114</v>
      </c>
      <c r="I295" s="161"/>
      <c r="K295" s="50" t="str">
        <v>Super Mini Taser Defense Choque Ideal Para Mulheres</v>
      </c>
      <c r="L295" s="49">
        <f>SUMIF(Tabela1[Produtos],K295,Tabela1[Quantidade])</f>
        <v>269</v>
      </c>
      <c r="M295" s="37">
        <f>SUMIF(Tabela1[Produtos],K295,Tabela1[Valor gasto])</f>
        <v>4190</v>
      </c>
      <c r="N295" s="37">
        <f>SUMIF(Tabela1[Produtos],K295,Tabela1[Valor venddo])</f>
        <v>10769.46</v>
      </c>
      <c r="O295" s="37">
        <f>SUMIF(Tabela1[Produtos],K295,Tabela1[Valor do lucro])</f>
        <v>6944.88</v>
      </c>
      <c r="Q295" s="50"/>
      <c r="R295" s="49"/>
      <c r="S295" s="37"/>
      <c r="T295" s="37"/>
      <c r="U295" s="37"/>
    </row>
    <row r="296" spans="1:21" ht="15.75" x14ac:dyDescent="0.25">
      <c r="A296" s="158">
        <v>452</v>
      </c>
      <c r="B296" s="45" t="s">
        <v>252</v>
      </c>
      <c r="C296" s="14">
        <v>1</v>
      </c>
      <c r="D296" s="128">
        <v>0.9</v>
      </c>
      <c r="E296" s="61">
        <v>2.21</v>
      </c>
      <c r="F296" s="61">
        <f>E296-D296</f>
        <v>1.31</v>
      </c>
      <c r="G296" s="8" t="s">
        <v>15</v>
      </c>
      <c r="H296" s="8" t="s">
        <v>113</v>
      </c>
      <c r="I296" s="160"/>
      <c r="K296" s="50" t="str">
        <v>Suporte Adesivo Celular Gel Mágico Cola Reutilizável</v>
      </c>
      <c r="L296" s="49">
        <f>SUMIF(Tabela1[Produtos],K296,Tabela1[Quantidade])</f>
        <v>3</v>
      </c>
      <c r="M296" s="37">
        <f>SUMIF(Tabela1[Produtos],K296,Tabela1[Valor gasto])</f>
        <v>9</v>
      </c>
      <c r="N296" s="37">
        <f>SUMIF(Tabela1[Produtos],K296,Tabela1[Valor venddo])</f>
        <v>15.4964</v>
      </c>
      <c r="O296" s="37">
        <f>SUMIF(Tabela1[Produtos],K296,Tabela1[Valor do lucro])</f>
        <v>6.4963999999999995</v>
      </c>
      <c r="Q296" s="50"/>
      <c r="R296" s="49"/>
      <c r="S296" s="37"/>
      <c r="T296" s="37"/>
      <c r="U296" s="37"/>
    </row>
    <row r="297" spans="1:21" ht="15.75" x14ac:dyDescent="0.25">
      <c r="A297" s="158">
        <v>127</v>
      </c>
      <c r="B297" s="45" t="s">
        <v>98</v>
      </c>
      <c r="C297" s="17">
        <v>16</v>
      </c>
      <c r="D297" s="58">
        <v>14.4</v>
      </c>
      <c r="E297" s="58">
        <v>31.310000000000002</v>
      </c>
      <c r="F297" s="58">
        <v>16.910000000000004</v>
      </c>
      <c r="G297" s="8" t="s">
        <v>15</v>
      </c>
      <c r="H297" s="57" t="s">
        <v>6</v>
      </c>
      <c r="I297" s="159"/>
      <c r="K297" s="50" t="str">
        <v xml:space="preserve">Suporte Anti-Perda Para Fone De Ouvido Sem Fio Com Gancho Para Apple Iphone Xs Max X Xr Airpods </v>
      </c>
      <c r="L297" s="49">
        <f>SUMIF(Tabela1[Produtos],K297,Tabela1[Quantidade])</f>
        <v>375</v>
      </c>
      <c r="M297" s="37">
        <f>SUMIF(Tabela1[Produtos],K297,Tabela1[Valor gasto])</f>
        <v>412.85</v>
      </c>
      <c r="N297" s="37">
        <f>SUMIF(Tabela1[Produtos],K297,Tabela1[Valor venddo])</f>
        <v>1348.3681999999999</v>
      </c>
      <c r="O297" s="37">
        <f>SUMIF(Tabela1[Produtos],K297,Tabela1[Valor do lucro])</f>
        <v>899.51819999999998</v>
      </c>
      <c r="Q297" s="50"/>
      <c r="R297" s="49"/>
      <c r="S297" s="37"/>
      <c r="T297" s="37"/>
      <c r="U297" s="37"/>
    </row>
    <row r="298" spans="1:21" ht="15.75" x14ac:dyDescent="0.25">
      <c r="A298" s="158">
        <v>305</v>
      </c>
      <c r="B298" s="45" t="s">
        <v>98</v>
      </c>
      <c r="C298" s="126">
        <v>14</v>
      </c>
      <c r="D298" s="127">
        <v>12.6</v>
      </c>
      <c r="E298" s="127">
        <v>30.23</v>
      </c>
      <c r="F298" s="127">
        <v>17.630000000000003</v>
      </c>
      <c r="G298" s="8" t="s">
        <v>3</v>
      </c>
      <c r="H298" s="8" t="s">
        <v>114</v>
      </c>
      <c r="I298" s="161"/>
      <c r="K298" s="50" t="str">
        <v xml:space="preserve">suporte de celular </v>
      </c>
      <c r="L298" s="49">
        <f>SUMIF(Tabela1[Produtos],K298,Tabela1[Quantidade])</f>
        <v>4</v>
      </c>
      <c r="M298" s="37">
        <f>SUMIF(Tabela1[Produtos],K298,Tabela1[Valor gasto])</f>
        <v>36</v>
      </c>
      <c r="N298" s="37">
        <f>SUMIF(Tabela1[Produtos],K298,Tabela1[Valor venddo])</f>
        <v>71.150000000000006</v>
      </c>
      <c r="O298" s="37">
        <f>SUMIF(Tabela1[Produtos],K298,Tabela1[Valor do lucro])</f>
        <v>35.15</v>
      </c>
      <c r="Q298" s="50"/>
      <c r="R298" s="49"/>
      <c r="S298" s="37"/>
      <c r="T298" s="37"/>
      <c r="U298" s="37"/>
    </row>
    <row r="299" spans="1:21" ht="15.75" x14ac:dyDescent="0.25">
      <c r="A299" s="158">
        <v>530</v>
      </c>
      <c r="B299" s="45" t="s">
        <v>98</v>
      </c>
      <c r="C299" s="129">
        <v>2</v>
      </c>
      <c r="D299" s="61">
        <v>1.8</v>
      </c>
      <c r="E299" s="127">
        <v>3.61</v>
      </c>
      <c r="F299" s="61">
        <f>SUM(E299-D299)</f>
        <v>1.8099999999999998</v>
      </c>
      <c r="G299" s="8" t="s">
        <v>15</v>
      </c>
      <c r="H299" s="8" t="s">
        <v>114</v>
      </c>
      <c r="I299" s="160"/>
      <c r="K299" s="50" t="str">
        <v>suporte de pasta de dente</v>
      </c>
      <c r="L299" s="49">
        <f>SUMIF(Tabela1[Produtos],K299,Tabela1[Quantidade])</f>
        <v>1</v>
      </c>
      <c r="M299" s="37">
        <f>SUMIF(Tabela1[Produtos],K299,Tabela1[Valor gasto])</f>
        <v>10</v>
      </c>
      <c r="N299" s="37">
        <f>SUMIF(Tabela1[Produtos],K299,Tabela1[Valor venddo])</f>
        <v>35</v>
      </c>
      <c r="O299" s="37">
        <f>SUMIF(Tabela1[Produtos],K299,Tabela1[Valor do lucro])</f>
        <v>25</v>
      </c>
      <c r="Q299" s="50"/>
      <c r="R299" s="49"/>
      <c r="S299" s="37"/>
      <c r="T299" s="37"/>
      <c r="U299" s="37"/>
    </row>
    <row r="300" spans="1:21" ht="15.75" x14ac:dyDescent="0.25">
      <c r="A300" s="158">
        <v>684</v>
      </c>
      <c r="B300" s="45" t="s">
        <v>98</v>
      </c>
      <c r="C300" s="17">
        <v>2</v>
      </c>
      <c r="D300" s="132">
        <f>9/10</f>
        <v>0.9</v>
      </c>
      <c r="E300" s="61">
        <v>4.51</v>
      </c>
      <c r="F300" s="61">
        <v>2.71</v>
      </c>
      <c r="G300" s="8" t="s">
        <v>15</v>
      </c>
      <c r="H300" s="8" t="s">
        <v>114</v>
      </c>
      <c r="I300" s="161"/>
      <c r="K300" s="50" t="str">
        <v xml:space="preserve">Suporte de TV </v>
      </c>
      <c r="L300" s="49">
        <f>SUMIF(Tabela1[Produtos],K300,Tabela1[Quantidade])</f>
        <v>1</v>
      </c>
      <c r="M300" s="37">
        <f>SUMIF(Tabela1[Produtos],K300,Tabela1[Valor gasto])</f>
        <v>48</v>
      </c>
      <c r="N300" s="37">
        <f>SUMIF(Tabela1[Produtos],K300,Tabela1[Valor venddo])</f>
        <v>85</v>
      </c>
      <c r="O300" s="37">
        <f>SUMIF(Tabela1[Produtos],K300,Tabela1[Valor do lucro])</f>
        <v>37</v>
      </c>
      <c r="Q300" s="50"/>
      <c r="R300" s="49"/>
      <c r="S300" s="37"/>
      <c r="T300" s="37"/>
      <c r="U300" s="37"/>
    </row>
    <row r="301" spans="1:21" ht="15.75" x14ac:dyDescent="0.25">
      <c r="A301" s="158">
        <v>770</v>
      </c>
      <c r="B301" s="45" t="s">
        <v>98</v>
      </c>
      <c r="C301" s="126">
        <v>1</v>
      </c>
      <c r="D301" s="127">
        <v>1</v>
      </c>
      <c r="E301" s="127">
        <v>2.09</v>
      </c>
      <c r="F301" s="127">
        <v>1.0899999999999999</v>
      </c>
      <c r="G301" s="8" t="s">
        <v>15</v>
      </c>
      <c r="H301" s="8" t="s">
        <v>114</v>
      </c>
      <c r="I301" s="161"/>
      <c r="K301" s="50" t="str">
        <v>suporte notebook</v>
      </c>
      <c r="L301" s="49">
        <f>SUMIF(Tabela1[Produtos],K301,Tabela1[Quantidade])</f>
        <v>2</v>
      </c>
      <c r="M301" s="37">
        <f>SUMIF(Tabela1[Produtos],K301,Tabela1[Valor gasto])</f>
        <v>88</v>
      </c>
      <c r="N301" s="37">
        <f>SUMIF(Tabela1[Produtos],K301,Tabela1[Valor venddo])</f>
        <v>160</v>
      </c>
      <c r="O301" s="37">
        <f>SUMIF(Tabela1[Produtos],K301,Tabela1[Valor do lucro])</f>
        <v>72</v>
      </c>
      <c r="Q301" s="50"/>
      <c r="R301" s="49"/>
      <c r="S301" s="37"/>
      <c r="T301" s="37"/>
      <c r="U301" s="37"/>
    </row>
    <row r="302" spans="1:21" ht="15.75" x14ac:dyDescent="0.25">
      <c r="A302" s="158">
        <v>832</v>
      </c>
      <c r="B302" s="45" t="s">
        <v>98</v>
      </c>
      <c r="C302" s="126">
        <v>1</v>
      </c>
      <c r="D302" s="127">
        <v>0.9</v>
      </c>
      <c r="E302" s="133">
        <v>1.99</v>
      </c>
      <c r="F302" s="127">
        <v>1.0899999999999999</v>
      </c>
      <c r="G302" s="8" t="s">
        <v>15</v>
      </c>
      <c r="H302" s="8" t="s">
        <v>114</v>
      </c>
      <c r="I302" s="161"/>
      <c r="K302" s="50" t="str">
        <v>Suporte Para Celular Bate Cola Ventosa Sucçao Magica</v>
      </c>
      <c r="L302" s="49">
        <f>SUMIF(Tabela1[Produtos],K302,Tabela1[Quantidade])</f>
        <v>1</v>
      </c>
      <c r="M302" s="37">
        <f>SUMIF(Tabela1[Produtos],K302,Tabela1[Valor gasto])</f>
        <v>3</v>
      </c>
      <c r="N302" s="37">
        <f>SUMIF(Tabela1[Produtos],K302,Tabela1[Valor venddo])</f>
        <v>8.65</v>
      </c>
      <c r="O302" s="37">
        <f>SUMIF(Tabela1[Produtos],K302,Tabela1[Valor do lucro])</f>
        <v>5.65</v>
      </c>
      <c r="Q302" s="50"/>
      <c r="R302" s="49"/>
      <c r="S302" s="37"/>
      <c r="T302" s="37"/>
      <c r="U302" s="37"/>
    </row>
    <row r="303" spans="1:21" ht="15.75" x14ac:dyDescent="0.25">
      <c r="A303" s="158">
        <v>65</v>
      </c>
      <c r="B303" s="45" t="s">
        <v>98</v>
      </c>
      <c r="C303" s="14">
        <v>1</v>
      </c>
      <c r="D303" s="61">
        <f>E303-F303</f>
        <v>1</v>
      </c>
      <c r="E303" s="58">
        <v>1.99</v>
      </c>
      <c r="F303" s="61">
        <v>0.99</v>
      </c>
      <c r="G303" s="8" t="s">
        <v>15</v>
      </c>
      <c r="H303" s="57" t="s">
        <v>6</v>
      </c>
      <c r="I303" s="159"/>
      <c r="K303" s="50" t="str">
        <v>Suporte ps4 controle</v>
      </c>
      <c r="L303" s="49">
        <f>SUMIF(Tabela1[Produtos],K303,Tabela1[Quantidade])</f>
        <v>1</v>
      </c>
      <c r="M303" s="37">
        <f>SUMIF(Tabela1[Produtos],K303,Tabela1[Valor gasto])</f>
        <v>30</v>
      </c>
      <c r="N303" s="37">
        <f>SUMIF(Tabela1[Produtos],K303,Tabela1[Valor venddo])</f>
        <v>70</v>
      </c>
      <c r="O303" s="37">
        <f>SUMIF(Tabela1[Produtos],K303,Tabela1[Valor do lucro])</f>
        <v>40</v>
      </c>
      <c r="Q303" s="50"/>
      <c r="R303" s="49"/>
      <c r="S303" s="37"/>
      <c r="T303" s="37"/>
      <c r="U303" s="37"/>
    </row>
    <row r="304" spans="1:21" ht="15.75" x14ac:dyDescent="0.25">
      <c r="A304" s="158">
        <v>453</v>
      </c>
      <c r="B304" s="45" t="s">
        <v>98</v>
      </c>
      <c r="C304" s="14">
        <v>1</v>
      </c>
      <c r="D304" s="128">
        <v>1.8</v>
      </c>
      <c r="E304" s="61">
        <v>3.98</v>
      </c>
      <c r="F304" s="61">
        <f>E304-D304</f>
        <v>2.1799999999999997</v>
      </c>
      <c r="G304" s="8" t="s">
        <v>15</v>
      </c>
      <c r="H304" s="8" t="s">
        <v>113</v>
      </c>
      <c r="I304" s="160"/>
      <c r="K304" s="50" t="str">
        <v>Suporte Segurador Slim Anti Queda Compatível Com AirPods 25 / 50 / 100unidades</v>
      </c>
      <c r="L304" s="49">
        <f>SUMIF(Tabela1[Produtos],K304,Tabela1[Quantidade])</f>
        <v>1</v>
      </c>
      <c r="M304" s="37">
        <f>SUMIF(Tabela1[Produtos],K304,Tabela1[Valor gasto])</f>
        <v>100</v>
      </c>
      <c r="N304" s="37">
        <f>SUMIF(Tabela1[Produtos],K304,Tabela1[Valor venddo])</f>
        <v>164</v>
      </c>
      <c r="O304" s="37">
        <f>SUMIF(Tabela1[Produtos],K304,Tabela1[Valor do lucro])</f>
        <v>64</v>
      </c>
      <c r="Q304" s="50"/>
      <c r="R304" s="49"/>
      <c r="S304" s="37"/>
      <c r="T304" s="37"/>
      <c r="U304" s="37"/>
    </row>
    <row r="305" spans="1:21" ht="15.75" x14ac:dyDescent="0.25">
      <c r="A305" s="158">
        <v>833</v>
      </c>
      <c r="B305" s="45" t="s">
        <v>433</v>
      </c>
      <c r="C305" s="126">
        <v>1</v>
      </c>
      <c r="D305" s="127">
        <v>4</v>
      </c>
      <c r="E305" s="133">
        <v>14.53</v>
      </c>
      <c r="F305" s="127">
        <v>10.53</v>
      </c>
      <c r="G305" s="8" t="s">
        <v>15</v>
      </c>
      <c r="H305" s="8" t="s">
        <v>114</v>
      </c>
      <c r="I305" s="161"/>
      <c r="K305" s="50" t="str">
        <v>suporte tv</v>
      </c>
      <c r="L305" s="49">
        <f>SUMIF(Tabela1[Produtos],K305,Tabela1[Quantidade])</f>
        <v>2</v>
      </c>
      <c r="M305" s="37">
        <f>SUMIF(Tabela1[Produtos],K305,Tabela1[Valor gasto])</f>
        <v>30</v>
      </c>
      <c r="N305" s="37">
        <f>SUMIF(Tabela1[Produtos],K305,Tabela1[Valor venddo])</f>
        <v>60</v>
      </c>
      <c r="O305" s="37">
        <f>SUMIF(Tabela1[Produtos],K305,Tabela1[Valor do lucro])</f>
        <v>30</v>
      </c>
      <c r="Q305" s="50"/>
      <c r="R305" s="49"/>
      <c r="S305" s="37"/>
      <c r="T305" s="37"/>
      <c r="U305" s="37"/>
    </row>
    <row r="306" spans="1:21" ht="15.75" x14ac:dyDescent="0.25">
      <c r="A306" s="158">
        <v>802</v>
      </c>
      <c r="B306" s="7" t="s">
        <v>423</v>
      </c>
      <c r="C306" s="14">
        <v>1</v>
      </c>
      <c r="D306" s="61">
        <v>15</v>
      </c>
      <c r="E306" s="61">
        <v>30</v>
      </c>
      <c r="F306" s="61">
        <f>E306-D306</f>
        <v>15</v>
      </c>
      <c r="G306" s="8" t="s">
        <v>15</v>
      </c>
      <c r="H306" s="8" t="s">
        <v>113</v>
      </c>
      <c r="I306" s="161"/>
      <c r="K306" s="50" t="str">
        <v>Suporte Veicular para Celular THIS IS ONE</v>
      </c>
      <c r="L306" s="49">
        <f>SUMIF(Tabela1[Produtos],K306,Tabela1[Quantidade])</f>
        <v>3</v>
      </c>
      <c r="M306" s="37">
        <f>SUMIF(Tabela1[Produtos],K306,Tabela1[Valor gasto])</f>
        <v>6</v>
      </c>
      <c r="N306" s="37">
        <f>SUMIF(Tabela1[Produtos],K306,Tabela1[Valor venddo])</f>
        <v>14.97</v>
      </c>
      <c r="O306" s="37">
        <f>SUMIF(Tabela1[Produtos],K306,Tabela1[Valor do lucro])</f>
        <v>8.9700000000000006</v>
      </c>
      <c r="Q306" s="50"/>
      <c r="R306" s="49"/>
      <c r="S306" s="37"/>
      <c r="T306" s="37"/>
      <c r="U306" s="37"/>
    </row>
    <row r="307" spans="1:21" ht="15.75" x14ac:dyDescent="0.25">
      <c r="A307" s="158">
        <v>213</v>
      </c>
      <c r="B307" s="12" t="s">
        <v>160</v>
      </c>
      <c r="C307" s="14">
        <v>1</v>
      </c>
      <c r="D307" s="61">
        <v>33</v>
      </c>
      <c r="E307" s="61">
        <v>80</v>
      </c>
      <c r="F307" s="61">
        <f>E307-D307</f>
        <v>47</v>
      </c>
      <c r="G307" s="8" t="s">
        <v>15</v>
      </c>
      <c r="H307" s="8" t="s">
        <v>113</v>
      </c>
      <c r="I307" s="159"/>
      <c r="K307" s="50" t="str">
        <v>Sutiã Adesivo Levanta Seio Invisible Pushup Tipo Orelha De C</v>
      </c>
      <c r="L307" s="49">
        <f>SUMIF(Tabela1[Produtos],K307,Tabela1[Quantidade])</f>
        <v>4</v>
      </c>
      <c r="M307" s="37">
        <f>SUMIF(Tabela1[Produtos],K307,Tabela1[Valor gasto])</f>
        <v>36</v>
      </c>
      <c r="N307" s="37">
        <f>SUMIF(Tabela1[Produtos],K307,Tabela1[Valor venddo])</f>
        <v>52.230000000000004</v>
      </c>
      <c r="O307" s="37">
        <f>SUMIF(Tabela1[Produtos],K307,Tabela1[Valor do lucro])</f>
        <v>16.230000000000004</v>
      </c>
      <c r="Q307" s="50"/>
      <c r="R307" s="49"/>
      <c r="S307" s="37"/>
      <c r="T307" s="37"/>
      <c r="U307" s="37"/>
    </row>
    <row r="308" spans="1:21" ht="15.75" x14ac:dyDescent="0.25">
      <c r="A308" s="158">
        <v>820</v>
      </c>
      <c r="B308" s="12" t="s">
        <v>160</v>
      </c>
      <c r="C308" s="14">
        <v>1</v>
      </c>
      <c r="D308" s="61">
        <v>30</v>
      </c>
      <c r="E308" s="61">
        <v>60</v>
      </c>
      <c r="F308" s="61">
        <f>E308-D308</f>
        <v>30</v>
      </c>
      <c r="G308" s="8" t="s">
        <v>15</v>
      </c>
      <c r="H308" s="8" t="s">
        <v>113</v>
      </c>
      <c r="I308" s="161"/>
      <c r="K308" s="50" t="str">
        <v>Taiser pequena</v>
      </c>
      <c r="L308" s="49">
        <f>SUMIF(Tabela1[Produtos],K308,Tabela1[Quantidade])</f>
        <v>1</v>
      </c>
      <c r="M308" s="37">
        <f>SUMIF(Tabela1[Produtos],K308,Tabela1[Valor gasto])</f>
        <v>28</v>
      </c>
      <c r="N308" s="37">
        <f>SUMIF(Tabela1[Produtos],K308,Tabela1[Valor venddo])</f>
        <v>45</v>
      </c>
      <c r="O308" s="37">
        <f>SUMIF(Tabela1[Produtos],K308,Tabela1[Valor do lucro])</f>
        <v>17</v>
      </c>
      <c r="Q308" s="50"/>
      <c r="R308" s="49"/>
      <c r="S308" s="37"/>
      <c r="T308" s="37"/>
      <c r="U308" s="37"/>
    </row>
    <row r="309" spans="1:21" ht="15.75" x14ac:dyDescent="0.25">
      <c r="A309" s="158">
        <v>582</v>
      </c>
      <c r="B309" s="7" t="s">
        <v>311</v>
      </c>
      <c r="C309" s="14">
        <v>1</v>
      </c>
      <c r="D309" s="61">
        <v>13</v>
      </c>
      <c r="E309" s="61">
        <v>30</v>
      </c>
      <c r="F309" s="61">
        <f>E309-D309</f>
        <v>17</v>
      </c>
      <c r="G309" s="8" t="s">
        <v>15</v>
      </c>
      <c r="H309" s="8" t="s">
        <v>113</v>
      </c>
      <c r="I309" s="161"/>
      <c r="K309" s="50" t="str">
        <v>TASER LANTERNA DZ 928 DE 15000 K RECARREGÁVEL COLDRE CHOQUE</v>
      </c>
      <c r="L309" s="49">
        <f>SUMIF(Tabela1[Produtos],K309,Tabela1[Quantidade])</f>
        <v>8</v>
      </c>
      <c r="M309" s="37">
        <f>SUMIF(Tabela1[Produtos],K309,Tabela1[Valor gasto])</f>
        <v>195</v>
      </c>
      <c r="N309" s="37">
        <f>SUMIF(Tabela1[Produtos],K309,Tabela1[Valor venddo])</f>
        <v>643.89</v>
      </c>
      <c r="O309" s="37">
        <f>SUMIF(Tabela1[Produtos],K309,Tabela1[Valor do lucro])</f>
        <v>535.78</v>
      </c>
      <c r="Q309" s="50"/>
      <c r="R309" s="49"/>
      <c r="S309" s="37"/>
      <c r="T309" s="37"/>
      <c r="U309" s="37"/>
    </row>
    <row r="310" spans="1:21" ht="15.75" x14ac:dyDescent="0.25">
      <c r="A310" s="158">
        <v>698</v>
      </c>
      <c r="B310" s="45" t="s">
        <v>363</v>
      </c>
      <c r="C310" s="126">
        <v>1</v>
      </c>
      <c r="D310" s="132">
        <v>30</v>
      </c>
      <c r="E310" s="61">
        <v>50.15</v>
      </c>
      <c r="F310" s="61">
        <v>20.149999999999999</v>
      </c>
      <c r="G310" s="8" t="s">
        <v>15</v>
      </c>
      <c r="H310" s="8" t="s">
        <v>114</v>
      </c>
      <c r="I310" s="161"/>
      <c r="K310" s="50" t="str">
        <v>teclado tv box</v>
      </c>
      <c r="L310" s="49">
        <f>SUMIF(Tabela1[Produtos],K310,Tabela1[Quantidade])</f>
        <v>1</v>
      </c>
      <c r="M310" s="37">
        <f>SUMIF(Tabela1[Produtos],K310,Tabela1[Valor gasto])</f>
        <v>28</v>
      </c>
      <c r="N310" s="37">
        <f>SUMIF(Tabela1[Produtos],K310,Tabela1[Valor venddo])</f>
        <v>60</v>
      </c>
      <c r="O310" s="37">
        <f>SUMIF(Tabela1[Produtos],K310,Tabela1[Valor do lucro])</f>
        <v>32</v>
      </c>
      <c r="Q310" s="45"/>
      <c r="R310" s="49"/>
      <c r="S310" s="37"/>
      <c r="T310" s="37"/>
      <c r="U310" s="37"/>
    </row>
    <row r="311" spans="1:21" ht="15.75" x14ac:dyDescent="0.25">
      <c r="A311" s="158">
        <v>801</v>
      </c>
      <c r="B311" s="45" t="s">
        <v>81</v>
      </c>
      <c r="C311" s="14">
        <v>1</v>
      </c>
      <c r="D311" s="61">
        <v>5</v>
      </c>
      <c r="E311" s="61">
        <v>10</v>
      </c>
      <c r="F311" s="61">
        <f>E311-D311</f>
        <v>5</v>
      </c>
      <c r="G311" s="8" t="s">
        <v>15</v>
      </c>
      <c r="H311" s="8" t="s">
        <v>113</v>
      </c>
      <c r="I311" s="161"/>
      <c r="K311" s="50" t="str">
        <v>tenis</v>
      </c>
      <c r="L311" s="49">
        <f>SUMIF(Tabela1[Produtos],K311,Tabela1[Quantidade])</f>
        <v>3</v>
      </c>
      <c r="M311" s="37">
        <f>SUMIF(Tabela1[Produtos],K311,Tabela1[Valor gasto])</f>
        <v>210</v>
      </c>
      <c r="N311" s="37">
        <f>SUMIF(Tabela1[Produtos],K311,Tabela1[Valor venddo])</f>
        <v>340</v>
      </c>
      <c r="O311" s="37">
        <f>SUMIF(Tabela1[Produtos],K311,Tabela1[Valor do lucro])</f>
        <v>130</v>
      </c>
      <c r="Q311" s="50"/>
      <c r="R311" s="49"/>
      <c r="S311" s="37"/>
      <c r="T311" s="37"/>
      <c r="U311" s="37"/>
    </row>
    <row r="312" spans="1:21" ht="15.75" x14ac:dyDescent="0.25">
      <c r="A312" s="158">
        <v>915</v>
      </c>
      <c r="B312" s="45" t="s">
        <v>81</v>
      </c>
      <c r="C312" s="134">
        <v>1</v>
      </c>
      <c r="D312" s="127">
        <v>9</v>
      </c>
      <c r="E312" s="135">
        <v>11.5456</v>
      </c>
      <c r="F312" s="61">
        <f>E312-D312</f>
        <v>2.5456000000000003</v>
      </c>
      <c r="G312" s="8" t="s">
        <v>15</v>
      </c>
      <c r="H312" s="8" t="s">
        <v>114</v>
      </c>
      <c r="I312" s="161"/>
      <c r="K312" s="50" t="str">
        <v>Termômetro Culinário Digital Espeto Alimento Cozinha Tp101</v>
      </c>
      <c r="L312" s="49">
        <f>SUMIF(Tabela1[Produtos],K312,Tabela1[Quantidade])</f>
        <v>1</v>
      </c>
      <c r="M312" s="37">
        <f>SUMIF(Tabela1[Produtos],K312,Tabela1[Valor gasto])</f>
        <v>9</v>
      </c>
      <c r="N312" s="37">
        <f>SUMIF(Tabela1[Produtos],K312,Tabela1[Valor venddo])</f>
        <v>22.87</v>
      </c>
      <c r="O312" s="37">
        <f>SUMIF(Tabela1[Produtos],K312,Tabela1[Valor do lucro])</f>
        <v>13.870000000000001</v>
      </c>
      <c r="Q312" s="50"/>
      <c r="R312" s="49"/>
      <c r="S312" s="37"/>
      <c r="T312" s="37"/>
      <c r="U312" s="37"/>
    </row>
    <row r="313" spans="1:21" ht="15.75" x14ac:dyDescent="0.25">
      <c r="A313" s="158">
        <v>306</v>
      </c>
      <c r="B313" s="45" t="s">
        <v>81</v>
      </c>
      <c r="C313" s="126">
        <v>20</v>
      </c>
      <c r="D313" s="127">
        <v>60</v>
      </c>
      <c r="E313" s="127">
        <v>213.41</v>
      </c>
      <c r="F313" s="127">
        <v>153.41</v>
      </c>
      <c r="G313" s="8" t="s">
        <v>3</v>
      </c>
      <c r="H313" s="8" t="s">
        <v>114</v>
      </c>
      <c r="I313" s="161"/>
      <c r="K313" s="50" t="str">
        <v>Testador/pilhas E Baterias - Bt-168-d - Aa- Aaa - Cd 9.0v</v>
      </c>
      <c r="L313" s="49">
        <f>SUMIF(Tabela1[Produtos],K313,Tabela1[Quantidade])</f>
        <v>3</v>
      </c>
      <c r="M313" s="37">
        <f>SUMIF(Tabela1[Produtos],K313,Tabela1[Valor gasto])</f>
        <v>40</v>
      </c>
      <c r="N313" s="37">
        <f>SUMIF(Tabela1[Produtos],K313,Tabela1[Valor venddo])</f>
        <v>78.674999999999997</v>
      </c>
      <c r="O313" s="37">
        <f>SUMIF(Tabela1[Produtos],K313,Tabela1[Valor do lucro])</f>
        <v>38.674999999999997</v>
      </c>
      <c r="Q313" s="50"/>
      <c r="R313" s="49"/>
      <c r="S313" s="37"/>
      <c r="T313" s="37"/>
      <c r="U313" s="37"/>
    </row>
    <row r="314" spans="1:21" ht="15.75" x14ac:dyDescent="0.25">
      <c r="A314" s="158">
        <v>122</v>
      </c>
      <c r="B314" s="45" t="s">
        <v>81</v>
      </c>
      <c r="C314" s="17">
        <v>9</v>
      </c>
      <c r="D314" s="58">
        <v>22.5</v>
      </c>
      <c r="E314" s="58">
        <v>49.94</v>
      </c>
      <c r="F314" s="58">
        <v>27.439999999999998</v>
      </c>
      <c r="G314" s="8" t="s">
        <v>15</v>
      </c>
      <c r="H314" s="57" t="s">
        <v>6</v>
      </c>
      <c r="I314" s="159"/>
      <c r="K314" s="50" t="str">
        <v>Transmissor modulador FM para carro Bluetooth X8 Plus 2USB</v>
      </c>
      <c r="L314" s="49">
        <f>SUMIF(Tabela1[Produtos],K314,Tabela1[Quantidade])</f>
        <v>1</v>
      </c>
      <c r="M314" s="37">
        <f>SUMIF(Tabela1[Produtos],K314,Tabela1[Valor gasto])</f>
        <v>22</v>
      </c>
      <c r="N314" s="37">
        <f>SUMIF(Tabela1[Produtos],K314,Tabela1[Valor venddo])</f>
        <v>40</v>
      </c>
      <c r="O314" s="37">
        <f>SUMIF(Tabela1[Produtos],K314,Tabela1[Valor do lucro])</f>
        <v>18</v>
      </c>
      <c r="Q314" s="50"/>
      <c r="R314" s="49"/>
      <c r="S314" s="37"/>
      <c r="T314" s="37"/>
      <c r="U314" s="37"/>
    </row>
    <row r="315" spans="1:21" ht="15.75" x14ac:dyDescent="0.25">
      <c r="A315" s="158">
        <v>771</v>
      </c>
      <c r="B315" s="45" t="s">
        <v>81</v>
      </c>
      <c r="C315" s="126">
        <v>2</v>
      </c>
      <c r="D315" s="127">
        <v>10</v>
      </c>
      <c r="E315" s="127">
        <v>30.85</v>
      </c>
      <c r="F315" s="127">
        <v>20.85</v>
      </c>
      <c r="G315" s="8" t="s">
        <v>15</v>
      </c>
      <c r="H315" s="8" t="s">
        <v>114</v>
      </c>
      <c r="I315" s="161"/>
      <c r="K315" s="50" t="str">
        <v>transmissor veicular x8</v>
      </c>
      <c r="L315" s="49">
        <f>SUMIF(Tabela1[Produtos],K315,Tabela1[Quantidade])</f>
        <v>1</v>
      </c>
      <c r="M315" s="37">
        <f>SUMIF(Tabela1[Produtos],K315,Tabela1[Valor gasto])</f>
        <v>23</v>
      </c>
      <c r="N315" s="37">
        <f>SUMIF(Tabela1[Produtos],K315,Tabela1[Valor venddo])</f>
        <v>50</v>
      </c>
      <c r="O315" s="37">
        <f>SUMIF(Tabela1[Produtos],K315,Tabela1[Valor do lucro])</f>
        <v>27</v>
      </c>
      <c r="Q315" s="50"/>
      <c r="R315" s="49"/>
      <c r="S315" s="37"/>
      <c r="T315" s="37"/>
      <c r="U315" s="37"/>
    </row>
    <row r="316" spans="1:21" ht="15.75" x14ac:dyDescent="0.25">
      <c r="A316" s="158">
        <v>255</v>
      </c>
      <c r="B316" s="45" t="s">
        <v>81</v>
      </c>
      <c r="C316" s="17">
        <v>1</v>
      </c>
      <c r="D316" s="58">
        <v>2.5</v>
      </c>
      <c r="E316" s="58">
        <v>2.5</v>
      </c>
      <c r="F316" s="58">
        <v>3.9699999999999998</v>
      </c>
      <c r="G316" s="8" t="s">
        <v>15</v>
      </c>
      <c r="H316" s="57" t="s">
        <v>114</v>
      </c>
      <c r="I316" s="159"/>
      <c r="K316" s="50" t="str">
        <v>Trava Look U Cadeado Antifurto Moto Reforçada Motocicleta</v>
      </c>
      <c r="L316" s="49">
        <f>SUMIF(Tabela1[Produtos],K316,Tabela1[Quantidade])</f>
        <v>14</v>
      </c>
      <c r="M316" s="37">
        <f>SUMIF(Tabela1[Produtos],K316,Tabela1[Valor gasto])</f>
        <v>165</v>
      </c>
      <c r="N316" s="37">
        <f>SUMIF(Tabela1[Produtos],K316,Tabela1[Valor venddo])</f>
        <v>428.24520000000001</v>
      </c>
      <c r="O316" s="37">
        <f>SUMIF(Tabela1[Produtos],K316,Tabela1[Valor do lucro])</f>
        <v>218.24519999999998</v>
      </c>
      <c r="Q316" s="50"/>
      <c r="R316" s="49"/>
      <c r="S316" s="37"/>
      <c r="T316" s="37"/>
      <c r="U316" s="37"/>
    </row>
    <row r="317" spans="1:21" ht="15.75" x14ac:dyDescent="0.25">
      <c r="A317" s="158">
        <v>689</v>
      </c>
      <c r="B317" s="45" t="s">
        <v>81</v>
      </c>
      <c r="C317" s="17">
        <v>1</v>
      </c>
      <c r="D317" s="132">
        <v>5</v>
      </c>
      <c r="E317" s="61">
        <v>10.87</v>
      </c>
      <c r="F317" s="61">
        <v>5.8699999999999992</v>
      </c>
      <c r="G317" s="8" t="s">
        <v>15</v>
      </c>
      <c r="H317" s="8" t="s">
        <v>114</v>
      </c>
      <c r="I317" s="161"/>
      <c r="K317" s="50" t="str">
        <v>travesseiro de pescoço extra confortável</v>
      </c>
      <c r="L317" s="49">
        <f>SUMIF(Tabela1[Produtos],K317,Tabela1[Quantidade])</f>
        <v>2</v>
      </c>
      <c r="M317" s="37">
        <f>SUMIF(Tabela1[Produtos],K317,Tabela1[Valor gasto])</f>
        <v>26</v>
      </c>
      <c r="N317" s="37">
        <f>SUMIF(Tabela1[Produtos],K317,Tabela1[Valor venddo])</f>
        <v>31.48</v>
      </c>
      <c r="O317" s="37">
        <f>SUMIF(Tabela1[Produtos],K317,Tabela1[Valor do lucro])</f>
        <v>5.48</v>
      </c>
      <c r="Q317" s="50"/>
      <c r="R317" s="49"/>
      <c r="S317" s="37"/>
      <c r="T317" s="37"/>
      <c r="U317" s="37"/>
    </row>
    <row r="318" spans="1:21" ht="15.75" x14ac:dyDescent="0.25">
      <c r="A318" s="158">
        <v>48</v>
      </c>
      <c r="B318" s="45" t="s">
        <v>81</v>
      </c>
      <c r="C318" s="14">
        <v>1</v>
      </c>
      <c r="D318" s="61">
        <f>E318-F318</f>
        <v>15</v>
      </c>
      <c r="E318" s="58">
        <v>23.79</v>
      </c>
      <c r="F318" s="61">
        <v>8.7899999999999991</v>
      </c>
      <c r="G318" s="8" t="s">
        <v>15</v>
      </c>
      <c r="H318" s="57" t="s">
        <v>6</v>
      </c>
      <c r="I318" s="159"/>
      <c r="K318" s="50" t="str">
        <v>Triper cinza</v>
      </c>
      <c r="L318" s="49">
        <f>SUMIF(Tabela1[Produtos],K318,Tabela1[Quantidade])</f>
        <v>1</v>
      </c>
      <c r="M318" s="37">
        <f>SUMIF(Tabela1[Produtos],K318,Tabela1[Valor gasto])</f>
        <v>14</v>
      </c>
      <c r="N318" s="37">
        <f>SUMIF(Tabela1[Produtos],K318,Tabela1[Valor venddo])</f>
        <v>25</v>
      </c>
      <c r="O318" s="37">
        <f>SUMIF(Tabela1[Produtos],K318,Tabela1[Valor do lucro])</f>
        <v>11</v>
      </c>
      <c r="Q318" s="50"/>
      <c r="R318" s="49"/>
      <c r="S318" s="37"/>
      <c r="T318" s="37"/>
      <c r="U318" s="37"/>
    </row>
    <row r="319" spans="1:21" ht="15.75" x14ac:dyDescent="0.25">
      <c r="A319" s="158">
        <v>355</v>
      </c>
      <c r="B319" s="45" t="s">
        <v>81</v>
      </c>
      <c r="C319" s="14">
        <v>1</v>
      </c>
      <c r="D319" s="61">
        <v>3.5</v>
      </c>
      <c r="E319" s="61">
        <v>10</v>
      </c>
      <c r="F319" s="61">
        <f t="shared" ref="F319:F349" si="8">E319-D319</f>
        <v>6.5</v>
      </c>
      <c r="G319" s="8" t="s">
        <v>15</v>
      </c>
      <c r="H319" s="8" t="s">
        <v>113</v>
      </c>
      <c r="I319" s="160"/>
      <c r="K319" s="50" t="str">
        <v>Triper laranja</v>
      </c>
      <c r="L319" s="49">
        <f>SUMIF(Tabela1[Produtos],K319,Tabela1[Quantidade])</f>
        <v>1</v>
      </c>
      <c r="M319" s="37">
        <f>SUMIF(Tabela1[Produtos],K319,Tabela1[Valor gasto])</f>
        <v>14</v>
      </c>
      <c r="N319" s="37">
        <f>SUMIF(Tabela1[Produtos],K319,Tabela1[Valor venddo])</f>
        <v>30</v>
      </c>
      <c r="O319" s="37">
        <f>SUMIF(Tabela1[Produtos],K319,Tabela1[Valor do lucro])</f>
        <v>16</v>
      </c>
      <c r="Q319" s="50"/>
      <c r="R319" s="49"/>
      <c r="S319" s="37"/>
      <c r="T319" s="37"/>
      <c r="U319" s="37"/>
    </row>
    <row r="320" spans="1:21" ht="15.75" x14ac:dyDescent="0.25">
      <c r="A320" s="158">
        <v>14</v>
      </c>
      <c r="B320" s="45" t="s">
        <v>81</v>
      </c>
      <c r="C320" s="14">
        <v>1</v>
      </c>
      <c r="D320" s="61">
        <v>3</v>
      </c>
      <c r="E320" s="61">
        <v>15</v>
      </c>
      <c r="F320" s="61">
        <f t="shared" si="8"/>
        <v>12</v>
      </c>
      <c r="G320" s="8" t="s">
        <v>15</v>
      </c>
      <c r="H320" s="8" t="s">
        <v>113</v>
      </c>
      <c r="I320" s="160"/>
      <c r="K320" s="50" t="str">
        <v>Triper suporte</v>
      </c>
      <c r="L320" s="49">
        <f>SUMIF(Tabela1[Produtos],K320,Tabela1[Quantidade])</f>
        <v>1</v>
      </c>
      <c r="M320" s="37">
        <f>SUMIF(Tabela1[Produtos],K320,Tabela1[Valor gasto])</f>
        <v>15</v>
      </c>
      <c r="N320" s="37">
        <f>SUMIF(Tabela1[Produtos],K320,Tabela1[Valor venddo])</f>
        <v>40</v>
      </c>
      <c r="O320" s="37">
        <f>SUMIF(Tabela1[Produtos],K320,Tabela1[Valor do lucro])</f>
        <v>25</v>
      </c>
      <c r="Q320" s="50"/>
      <c r="R320" s="49"/>
      <c r="S320" s="37"/>
      <c r="T320" s="37"/>
      <c r="U320" s="37"/>
    </row>
    <row r="321" spans="1:21" ht="15.75" x14ac:dyDescent="0.25">
      <c r="A321" s="158">
        <v>15</v>
      </c>
      <c r="B321" s="45" t="s">
        <v>81</v>
      </c>
      <c r="C321" s="14">
        <v>1</v>
      </c>
      <c r="D321" s="61">
        <v>5</v>
      </c>
      <c r="E321" s="61">
        <v>15</v>
      </c>
      <c r="F321" s="61">
        <f t="shared" si="8"/>
        <v>10</v>
      </c>
      <c r="G321" s="8" t="s">
        <v>15</v>
      </c>
      <c r="H321" s="8" t="s">
        <v>113</v>
      </c>
      <c r="I321" s="160"/>
      <c r="K321" s="50" t="str">
        <v>Triturador manual</v>
      </c>
      <c r="L321" s="49">
        <f>SUMIF(Tabela1[Produtos],K321,Tabela1[Quantidade])</f>
        <v>1</v>
      </c>
      <c r="M321" s="37">
        <f>SUMIF(Tabela1[Produtos],K321,Tabela1[Valor gasto])</f>
        <v>22</v>
      </c>
      <c r="N321" s="37">
        <f>SUMIF(Tabela1[Produtos],K321,Tabela1[Valor venddo])</f>
        <v>40</v>
      </c>
      <c r="O321" s="37">
        <f>SUMIF(Tabela1[Produtos],K321,Tabela1[Valor do lucro])</f>
        <v>18</v>
      </c>
      <c r="Q321" s="50"/>
      <c r="R321" s="49"/>
      <c r="S321" s="37"/>
      <c r="T321" s="37"/>
      <c r="U321" s="37"/>
    </row>
    <row r="322" spans="1:21" ht="15.75" x14ac:dyDescent="0.25">
      <c r="A322" s="158">
        <v>269</v>
      </c>
      <c r="B322" s="45" t="s">
        <v>81</v>
      </c>
      <c r="C322" s="14">
        <v>1</v>
      </c>
      <c r="D322" s="61">
        <v>2.5</v>
      </c>
      <c r="E322" s="61">
        <v>10</v>
      </c>
      <c r="F322" s="61">
        <f t="shared" si="8"/>
        <v>7.5</v>
      </c>
      <c r="G322" s="8" t="s">
        <v>3</v>
      </c>
      <c r="H322" s="8" t="s">
        <v>113</v>
      </c>
      <c r="I322" s="161"/>
      <c r="K322" s="50" t="str">
        <v>Tv box</v>
      </c>
      <c r="L322" s="49">
        <f>SUMIF(Tabela1[Produtos],K322,Tabela1[Quantidade])</f>
        <v>3</v>
      </c>
      <c r="M322" s="37">
        <f>SUMIF(Tabela1[Produtos],K322,Tabela1[Valor gasto])</f>
        <v>425</v>
      </c>
      <c r="N322" s="37">
        <f>SUMIF(Tabela1[Produtos],K322,Tabela1[Valor venddo])</f>
        <v>730</v>
      </c>
      <c r="O322" s="37">
        <f>SUMIF(Tabela1[Produtos],K322,Tabela1[Valor do lucro])</f>
        <v>305</v>
      </c>
      <c r="Q322" s="50"/>
      <c r="R322" s="49"/>
      <c r="S322" s="37"/>
      <c r="T322" s="37"/>
      <c r="U322" s="37"/>
    </row>
    <row r="323" spans="1:21" ht="15.75" x14ac:dyDescent="0.25">
      <c r="A323" s="158">
        <v>270</v>
      </c>
      <c r="B323" s="45" t="s">
        <v>81</v>
      </c>
      <c r="C323" s="14">
        <v>1</v>
      </c>
      <c r="D323" s="61">
        <v>2.5</v>
      </c>
      <c r="E323" s="61">
        <v>10</v>
      </c>
      <c r="F323" s="61">
        <f t="shared" si="8"/>
        <v>7.5</v>
      </c>
      <c r="G323" s="8" t="s">
        <v>3</v>
      </c>
      <c r="H323" s="8" t="s">
        <v>113</v>
      </c>
      <c r="I323" s="161"/>
      <c r="K323" s="50" t="str">
        <v>Umidificador lua</v>
      </c>
      <c r="L323" s="49">
        <f>SUMIF(Tabela1[Produtos],K323,Tabela1[Quantidade])</f>
        <v>2</v>
      </c>
      <c r="M323" s="37">
        <f>SUMIF(Tabela1[Produtos],K323,Tabela1[Valor gasto])</f>
        <v>136</v>
      </c>
      <c r="N323" s="37">
        <f>SUMIF(Tabela1[Produtos],K323,Tabela1[Valor venddo])</f>
        <v>200</v>
      </c>
      <c r="O323" s="37">
        <f>SUMIF(Tabela1[Produtos],K323,Tabela1[Valor do lucro])</f>
        <v>64</v>
      </c>
      <c r="Q323" s="50"/>
      <c r="R323" s="49"/>
      <c r="S323" s="37"/>
      <c r="T323" s="37"/>
      <c r="U323" s="37"/>
    </row>
    <row r="324" spans="1:21" ht="15.75" x14ac:dyDescent="0.25">
      <c r="A324" s="158">
        <v>279</v>
      </c>
      <c r="B324" s="45" t="s">
        <v>81</v>
      </c>
      <c r="C324" s="14">
        <v>1</v>
      </c>
      <c r="D324" s="61">
        <v>2.5</v>
      </c>
      <c r="E324" s="61">
        <v>10</v>
      </c>
      <c r="F324" s="61">
        <f t="shared" si="8"/>
        <v>7.5</v>
      </c>
      <c r="G324" s="8" t="s">
        <v>3</v>
      </c>
      <c r="H324" s="8" t="s">
        <v>113</v>
      </c>
      <c r="I324" s="161"/>
      <c r="K324" s="50" t="str">
        <v>Unha Postiça Kits (contendo 20 unhas + cola ) Professional Instant Nail Tips</v>
      </c>
      <c r="L324" s="49">
        <f>SUMIF(Tabela1[Produtos],K324,Tabela1[Quantidade])</f>
        <v>18</v>
      </c>
      <c r="M324" s="37">
        <f>SUMIF(Tabela1[Produtos],K324,Tabela1[Valor gasto])</f>
        <v>10.291666666666666</v>
      </c>
      <c r="N324" s="37">
        <f>SUMIF(Tabela1[Produtos],K324,Tabela1[Valor venddo])</f>
        <v>33.421666666666667</v>
      </c>
      <c r="O324" s="37">
        <f>SUMIF(Tabela1[Produtos],K324,Tabela1[Valor do lucro])</f>
        <v>19.658333333333331</v>
      </c>
      <c r="Q324" s="50"/>
      <c r="R324" s="49"/>
      <c r="S324" s="37"/>
      <c r="T324" s="37"/>
      <c r="U324" s="37"/>
    </row>
    <row r="325" spans="1:21" ht="15.75" x14ac:dyDescent="0.25">
      <c r="A325" s="158">
        <v>280</v>
      </c>
      <c r="B325" s="45" t="s">
        <v>81</v>
      </c>
      <c r="C325" s="14">
        <v>1</v>
      </c>
      <c r="D325" s="61">
        <v>2.5</v>
      </c>
      <c r="E325" s="61">
        <v>10</v>
      </c>
      <c r="F325" s="61">
        <f t="shared" si="8"/>
        <v>7.5</v>
      </c>
      <c r="G325" s="8" t="s">
        <v>3</v>
      </c>
      <c r="H325" s="8" t="s">
        <v>113</v>
      </c>
      <c r="I325" s="161"/>
      <c r="K325" s="50" t="str">
        <v>Universal 3.5mm Bluetooth Car Kit A2DP Transmissor FM Sem Fio AUX Áudio Receptor de Música Adaptador Handsfree Mic Para Speaker Fone De Ouvido Com Caixa</v>
      </c>
      <c r="L325" s="49">
        <f>SUMIF(Tabela1[Produtos],K325,Tabela1[Quantidade])</f>
        <v>2</v>
      </c>
      <c r="M325" s="37">
        <f>SUMIF(Tabela1[Produtos],K325,Tabela1[Valor gasto])</f>
        <v>6</v>
      </c>
      <c r="N325" s="37">
        <f>SUMIF(Tabela1[Produtos],K325,Tabela1[Valor venddo])</f>
        <v>49.11</v>
      </c>
      <c r="O325" s="37">
        <f>SUMIF(Tabela1[Produtos],K325,Tabela1[Valor do lucro])</f>
        <v>43.11</v>
      </c>
      <c r="Q325" s="50"/>
      <c r="R325" s="49"/>
      <c r="S325" s="37"/>
      <c r="T325" s="37"/>
      <c r="U325" s="37"/>
    </row>
    <row r="326" spans="1:21" ht="15.75" x14ac:dyDescent="0.25">
      <c r="A326" s="158">
        <v>747</v>
      </c>
      <c r="B326" s="45" t="s">
        <v>81</v>
      </c>
      <c r="C326" s="14">
        <v>1</v>
      </c>
      <c r="D326" s="61">
        <v>5</v>
      </c>
      <c r="E326" s="61">
        <v>10</v>
      </c>
      <c r="F326" s="61">
        <f t="shared" si="8"/>
        <v>5</v>
      </c>
      <c r="G326" s="8" t="s">
        <v>15</v>
      </c>
      <c r="H326" s="8" t="s">
        <v>113</v>
      </c>
      <c r="I326" s="161"/>
      <c r="K326" s="50" t="str">
        <v>😱😱 RELÓGIO DE PAREDE QUARTZ 😱😱</v>
      </c>
      <c r="L326" s="49">
        <f>SUMIF(Tabela1[Produtos],K326,Tabela1[Quantidade])</f>
        <v>4</v>
      </c>
      <c r="M326" s="37">
        <f>SUMIF(Tabela1[Produtos],K326,Tabela1[Valor gasto])</f>
        <v>52</v>
      </c>
      <c r="N326" s="37">
        <f>SUMIF(Tabela1[Produtos],K326,Tabela1[Valor venddo])</f>
        <v>78.45</v>
      </c>
      <c r="O326" s="37">
        <f>SUMIF(Tabela1[Produtos],K326,Tabela1[Valor do lucro])</f>
        <v>26.450000000000003</v>
      </c>
      <c r="Q326" s="50"/>
      <c r="R326" s="49"/>
      <c r="S326" s="37"/>
      <c r="T326" s="37"/>
      <c r="U326" s="37"/>
    </row>
    <row r="327" spans="1:21" ht="15.75" x14ac:dyDescent="0.25">
      <c r="A327" s="158">
        <v>748</v>
      </c>
      <c r="B327" s="45" t="s">
        <v>81</v>
      </c>
      <c r="C327" s="14">
        <v>1</v>
      </c>
      <c r="D327" s="61">
        <v>5</v>
      </c>
      <c r="E327" s="61">
        <v>10</v>
      </c>
      <c r="F327" s="61">
        <f t="shared" si="8"/>
        <v>5</v>
      </c>
      <c r="G327" s="8" t="s">
        <v>15</v>
      </c>
      <c r="H327" s="8" t="s">
        <v>113</v>
      </c>
      <c r="I327" s="161"/>
      <c r="K327" s="50"/>
      <c r="L327" s="49">
        <f>SUMIF(Tabela1[Produtos],K327,Tabela1[Quantidade])</f>
        <v>0</v>
      </c>
      <c r="M327" s="37">
        <f>SUMIF(Tabela1[Produtos],K327,Tabela1[Valor gasto])</f>
        <v>0</v>
      </c>
      <c r="N327" s="37">
        <f>SUMIF(Tabela1[Produtos],K327,Tabela1[Valor venddo])</f>
        <v>0</v>
      </c>
      <c r="O327" s="37">
        <f>SUMIF(Tabela1[Produtos],K327,Tabela1[Valor do lucro])</f>
        <v>0</v>
      </c>
      <c r="Q327" s="50"/>
      <c r="R327" s="49"/>
      <c r="S327" s="37"/>
      <c r="T327" s="37"/>
      <c r="U327" s="37"/>
    </row>
    <row r="328" spans="1:21" ht="15.75" x14ac:dyDescent="0.25">
      <c r="A328" s="158">
        <v>335</v>
      </c>
      <c r="B328" s="10" t="s">
        <v>210</v>
      </c>
      <c r="C328" s="14">
        <v>1</v>
      </c>
      <c r="D328" s="61">
        <v>2</v>
      </c>
      <c r="E328" s="61">
        <v>30</v>
      </c>
      <c r="F328" s="61">
        <f t="shared" si="8"/>
        <v>28</v>
      </c>
      <c r="G328" s="8" t="s">
        <v>15</v>
      </c>
      <c r="H328" s="8" t="s">
        <v>113</v>
      </c>
      <c r="I328" s="160"/>
      <c r="K328" s="50"/>
      <c r="L328" s="49">
        <f>SUMIF(Tabela1[Produtos],K328,Tabela1[Quantidade])</f>
        <v>0</v>
      </c>
      <c r="M328" s="37">
        <f>SUMIF(Tabela1[Produtos],K328,Tabela1[Valor gasto])</f>
        <v>0</v>
      </c>
      <c r="N328" s="37">
        <f>SUMIF(Tabela1[Produtos],K328,Tabela1[Valor venddo])</f>
        <v>0</v>
      </c>
      <c r="O328" s="37">
        <f>SUMIF(Tabela1[Produtos],K328,Tabela1[Valor do lucro])</f>
        <v>0</v>
      </c>
      <c r="Q328" s="50"/>
      <c r="R328" s="49"/>
      <c r="S328" s="37"/>
      <c r="T328" s="37"/>
      <c r="U328" s="37"/>
    </row>
    <row r="329" spans="1:21" ht="15.75" x14ac:dyDescent="0.25">
      <c r="A329" s="158">
        <v>228</v>
      </c>
      <c r="B329" s="12" t="s">
        <v>166</v>
      </c>
      <c r="C329" s="14">
        <v>1</v>
      </c>
      <c r="D329" s="61">
        <v>80</v>
      </c>
      <c r="E329" s="61">
        <v>150</v>
      </c>
      <c r="F329" s="61">
        <f t="shared" si="8"/>
        <v>70</v>
      </c>
      <c r="G329" s="8" t="s">
        <v>15</v>
      </c>
      <c r="H329" s="8" t="s">
        <v>113</v>
      </c>
      <c r="I329" s="159"/>
      <c r="K329" s="50"/>
      <c r="L329" s="49">
        <f>SUMIF(Tabela1[Produtos],K329,Tabela1[Quantidade])</f>
        <v>0</v>
      </c>
      <c r="M329" s="37">
        <f>SUMIF(Tabela1[Produtos],K329,Tabela1[Valor gasto])</f>
        <v>0</v>
      </c>
      <c r="N329" s="37">
        <f>SUMIF(Tabela1[Produtos],K329,Tabela1[Valor venddo])</f>
        <v>0</v>
      </c>
      <c r="O329" s="37">
        <f>SUMIF(Tabela1[Produtos],K329,Tabela1[Valor do lucro])</f>
        <v>0</v>
      </c>
      <c r="Q329" s="50"/>
      <c r="R329" s="49"/>
      <c r="S329" s="37"/>
      <c r="T329" s="37"/>
      <c r="U329" s="37"/>
    </row>
    <row r="330" spans="1:21" ht="15.75" x14ac:dyDescent="0.25">
      <c r="A330" s="158">
        <v>887</v>
      </c>
      <c r="B330" s="7" t="s">
        <v>465</v>
      </c>
      <c r="C330" s="14">
        <v>1</v>
      </c>
      <c r="D330" s="61">
        <v>50</v>
      </c>
      <c r="E330" s="61">
        <v>70</v>
      </c>
      <c r="F330" s="61">
        <f t="shared" si="8"/>
        <v>20</v>
      </c>
      <c r="G330" s="8" t="s">
        <v>15</v>
      </c>
      <c r="H330" s="8" t="s">
        <v>113</v>
      </c>
      <c r="I330" s="161"/>
      <c r="K330" s="50"/>
      <c r="L330" s="49">
        <f>SUMIF(Tabela1[Produtos],K330,Tabela1[Quantidade])</f>
        <v>0</v>
      </c>
      <c r="M330" s="37">
        <f>SUMIF(Tabela1[Produtos],K330,Tabela1[Valor gasto])</f>
        <v>0</v>
      </c>
      <c r="N330" s="37">
        <f>SUMIF(Tabela1[Produtos],K330,Tabela1[Valor venddo])</f>
        <v>0</v>
      </c>
      <c r="O330" s="37">
        <f>SUMIF(Tabela1[Produtos],K330,Tabela1[Valor do lucro])</f>
        <v>0</v>
      </c>
      <c r="Q330" s="50"/>
      <c r="R330" s="49"/>
      <c r="S330" s="37"/>
      <c r="T330" s="37"/>
      <c r="U330" s="37"/>
    </row>
    <row r="331" spans="1:21" ht="15.75" x14ac:dyDescent="0.25">
      <c r="A331" s="158">
        <v>890</v>
      </c>
      <c r="B331" s="7" t="s">
        <v>465</v>
      </c>
      <c r="C331" s="14">
        <v>1</v>
      </c>
      <c r="D331" s="61">
        <v>15</v>
      </c>
      <c r="E331" s="61">
        <v>65</v>
      </c>
      <c r="F331" s="61">
        <f t="shared" si="8"/>
        <v>50</v>
      </c>
      <c r="G331" s="8" t="s">
        <v>15</v>
      </c>
      <c r="H331" s="8" t="s">
        <v>113</v>
      </c>
      <c r="I331" s="161"/>
      <c r="K331" s="50"/>
      <c r="L331" s="49">
        <f>SUMIF(Tabela1[Produtos],K331,Tabela1[Quantidade])</f>
        <v>0</v>
      </c>
      <c r="M331" s="37">
        <f>SUMIF(Tabela1[Produtos],K331,Tabela1[Valor gasto])</f>
        <v>0</v>
      </c>
      <c r="N331" s="37">
        <f>SUMIF(Tabela1[Produtos],K331,Tabela1[Valor venddo])</f>
        <v>0</v>
      </c>
      <c r="O331" s="37">
        <f>SUMIF(Tabela1[Produtos],K331,Tabela1[Valor do lucro])</f>
        <v>0</v>
      </c>
      <c r="Q331" s="50"/>
      <c r="R331" s="49"/>
      <c r="S331" s="37"/>
      <c r="T331" s="37"/>
      <c r="U331" s="37"/>
    </row>
    <row r="332" spans="1:21" ht="15.75" x14ac:dyDescent="0.25">
      <c r="A332" s="158">
        <v>191</v>
      </c>
      <c r="B332" s="12" t="s">
        <v>146</v>
      </c>
      <c r="C332" s="14">
        <v>1</v>
      </c>
      <c r="D332" s="61">
        <v>65</v>
      </c>
      <c r="E332" s="61">
        <v>120</v>
      </c>
      <c r="F332" s="61">
        <f t="shared" si="8"/>
        <v>55</v>
      </c>
      <c r="G332" s="8" t="s">
        <v>15</v>
      </c>
      <c r="H332" s="8" t="s">
        <v>113</v>
      </c>
      <c r="I332" s="159"/>
      <c r="K332" s="50"/>
      <c r="L332" s="49">
        <f>SUMIF(Tabela1[Produtos],K332,Tabela1[Quantidade])</f>
        <v>0</v>
      </c>
      <c r="M332" s="37">
        <f>SUMIF(Tabela1[Produtos],K332,Tabela1[Valor gasto])</f>
        <v>0</v>
      </c>
      <c r="N332" s="37">
        <f>SUMIF(Tabela1[Produtos],K332,Tabela1[Valor venddo])</f>
        <v>0</v>
      </c>
      <c r="O332" s="37">
        <f>SUMIF(Tabela1[Produtos],K332,Tabela1[Valor do lucro])</f>
        <v>0</v>
      </c>
      <c r="Q332" s="50"/>
      <c r="R332" s="49"/>
      <c r="S332" s="37"/>
      <c r="T332" s="37"/>
      <c r="U332" s="37"/>
    </row>
    <row r="333" spans="1:21" ht="15.75" x14ac:dyDescent="0.25">
      <c r="A333" s="158">
        <v>192</v>
      </c>
      <c r="B333" s="12" t="s">
        <v>147</v>
      </c>
      <c r="C333" s="14">
        <v>1</v>
      </c>
      <c r="D333" s="61">
        <v>9</v>
      </c>
      <c r="E333" s="61">
        <v>25</v>
      </c>
      <c r="F333" s="61">
        <f t="shared" si="8"/>
        <v>16</v>
      </c>
      <c r="G333" s="8" t="s">
        <v>15</v>
      </c>
      <c r="H333" s="8" t="s">
        <v>113</v>
      </c>
      <c r="I333" s="159"/>
      <c r="K333" s="50"/>
      <c r="L333" s="49">
        <f>SUMIF(Tabela1[Produtos],K333,Tabela1[Quantidade])</f>
        <v>0</v>
      </c>
      <c r="M333" s="37">
        <f>SUMIF(Tabela1[Produtos],K333,Tabela1[Valor gasto])</f>
        <v>0</v>
      </c>
      <c r="N333" s="37">
        <f>SUMIF(Tabela1[Produtos],K333,Tabela1[Valor venddo])</f>
        <v>0</v>
      </c>
      <c r="O333" s="37">
        <f>SUMIF(Tabela1[Produtos],K333,Tabela1[Valor do lucro])</f>
        <v>0</v>
      </c>
      <c r="Q333" s="50"/>
      <c r="R333" s="49"/>
      <c r="S333" s="37"/>
      <c r="T333" s="37"/>
      <c r="U333" s="37"/>
    </row>
    <row r="334" spans="1:21" ht="15.75" x14ac:dyDescent="0.25">
      <c r="A334" s="158">
        <v>499</v>
      </c>
      <c r="B334" s="10" t="s">
        <v>10</v>
      </c>
      <c r="C334" s="14">
        <v>1</v>
      </c>
      <c r="D334" s="61">
        <v>60</v>
      </c>
      <c r="E334" s="61">
        <v>100</v>
      </c>
      <c r="F334" s="61">
        <f t="shared" si="8"/>
        <v>40</v>
      </c>
      <c r="G334" s="8" t="s">
        <v>15</v>
      </c>
      <c r="H334" s="8" t="s">
        <v>113</v>
      </c>
      <c r="I334" s="160"/>
      <c r="K334" s="50"/>
      <c r="L334" s="49">
        <f>SUMIF(Tabela1[Produtos],K334,Tabela1[Quantidade])</f>
        <v>0</v>
      </c>
      <c r="M334" s="37">
        <f>SUMIF(Tabela1[Produtos],K334,Tabela1[Valor gasto])</f>
        <v>0</v>
      </c>
      <c r="N334" s="37">
        <f>SUMIF(Tabela1[Produtos],K334,Tabela1[Valor venddo])</f>
        <v>0</v>
      </c>
      <c r="O334" s="37">
        <f>SUMIF(Tabela1[Produtos],K334,Tabela1[Valor do lucro])</f>
        <v>0</v>
      </c>
      <c r="Q334" s="50"/>
      <c r="R334" s="49"/>
      <c r="S334" s="37"/>
      <c r="T334" s="37"/>
      <c r="U334" s="37"/>
    </row>
    <row r="335" spans="1:21" ht="15.75" x14ac:dyDescent="0.25">
      <c r="A335" s="158">
        <v>208</v>
      </c>
      <c r="B335" s="12" t="s">
        <v>156</v>
      </c>
      <c r="C335" s="14">
        <v>1</v>
      </c>
      <c r="D335" s="61">
        <v>160</v>
      </c>
      <c r="E335" s="61">
        <v>250</v>
      </c>
      <c r="F335" s="61">
        <f t="shared" si="8"/>
        <v>90</v>
      </c>
      <c r="G335" s="8" t="s">
        <v>15</v>
      </c>
      <c r="H335" s="8" t="s">
        <v>113</v>
      </c>
      <c r="I335" s="159"/>
      <c r="K335" s="50"/>
      <c r="L335" s="49">
        <f>SUMIF(Tabela1[Produtos],K335,Tabela1[Quantidade])</f>
        <v>0</v>
      </c>
      <c r="M335" s="37">
        <f>SUMIF(Tabela1[Produtos],K335,Tabela1[Valor gasto])</f>
        <v>0</v>
      </c>
      <c r="N335" s="37">
        <f>SUMIF(Tabela1[Produtos],K335,Tabela1[Valor venddo])</f>
        <v>0</v>
      </c>
      <c r="O335" s="37">
        <f>SUMIF(Tabela1[Produtos],K335,Tabela1[Valor do lucro])</f>
        <v>0</v>
      </c>
      <c r="Q335" s="50"/>
      <c r="R335" s="49"/>
      <c r="S335" s="37"/>
      <c r="T335" s="37"/>
      <c r="U335" s="37"/>
    </row>
    <row r="336" spans="1:21" ht="15.75" x14ac:dyDescent="0.25">
      <c r="A336" s="158">
        <v>723</v>
      </c>
      <c r="B336" s="7" t="s">
        <v>301</v>
      </c>
      <c r="C336" s="14">
        <v>1</v>
      </c>
      <c r="D336" s="61">
        <v>15</v>
      </c>
      <c r="E336" s="61">
        <v>50</v>
      </c>
      <c r="F336" s="61">
        <f t="shared" si="8"/>
        <v>35</v>
      </c>
      <c r="G336" s="8" t="s">
        <v>15</v>
      </c>
      <c r="H336" s="8" t="s">
        <v>113</v>
      </c>
      <c r="I336" s="161"/>
      <c r="K336" s="50"/>
      <c r="L336" s="49">
        <f>SUMIF(Tabela1[Produtos],K336,Tabela1[Quantidade])</f>
        <v>0</v>
      </c>
      <c r="M336" s="37">
        <f>SUMIF(Tabela1[Produtos],K336,Tabela1[Valor gasto])</f>
        <v>0</v>
      </c>
      <c r="N336" s="37">
        <f>SUMIF(Tabela1[Produtos],K336,Tabela1[Valor venddo])</f>
        <v>0</v>
      </c>
      <c r="O336" s="37">
        <f>SUMIF(Tabela1[Produtos],K336,Tabela1[Valor do lucro])</f>
        <v>0</v>
      </c>
      <c r="Q336" s="50"/>
      <c r="R336" s="49"/>
      <c r="S336" s="37"/>
      <c r="T336" s="37"/>
      <c r="U336" s="37"/>
    </row>
    <row r="337" spans="1:21" ht="15.75" x14ac:dyDescent="0.25">
      <c r="A337" s="158">
        <v>227</v>
      </c>
      <c r="B337" s="7" t="s">
        <v>301</v>
      </c>
      <c r="C337" s="14">
        <v>1</v>
      </c>
      <c r="D337" s="61">
        <v>30</v>
      </c>
      <c r="E337" s="61">
        <v>110</v>
      </c>
      <c r="F337" s="61">
        <f t="shared" si="8"/>
        <v>80</v>
      </c>
      <c r="G337" s="8" t="s">
        <v>15</v>
      </c>
      <c r="H337" s="8" t="s">
        <v>113</v>
      </c>
      <c r="I337" s="159"/>
      <c r="K337" s="50"/>
      <c r="L337" s="49">
        <f>SUMIF(Tabela1[Produtos],K337,Tabela1[Quantidade])</f>
        <v>0</v>
      </c>
      <c r="M337" s="37">
        <f>SUMIF(Tabela1[Produtos],K337,Tabela1[Valor gasto])</f>
        <v>0</v>
      </c>
      <c r="N337" s="37">
        <f>SUMIF(Tabela1[Produtos],K337,Tabela1[Valor venddo])</f>
        <v>0</v>
      </c>
      <c r="O337" s="37">
        <f>SUMIF(Tabela1[Produtos],K337,Tabela1[Valor do lucro])</f>
        <v>0</v>
      </c>
      <c r="Q337" s="50"/>
      <c r="R337" s="49"/>
      <c r="S337" s="37"/>
      <c r="T337" s="37"/>
      <c r="U337" s="37"/>
    </row>
    <row r="338" spans="1:21" ht="15.75" x14ac:dyDescent="0.25">
      <c r="A338" s="158">
        <v>803</v>
      </c>
      <c r="B338" s="7" t="s">
        <v>301</v>
      </c>
      <c r="C338" s="14">
        <v>1</v>
      </c>
      <c r="D338" s="61">
        <v>20</v>
      </c>
      <c r="E338" s="61">
        <v>85</v>
      </c>
      <c r="F338" s="61">
        <f t="shared" si="8"/>
        <v>65</v>
      </c>
      <c r="G338" s="8" t="s">
        <v>15</v>
      </c>
      <c r="H338" s="8" t="s">
        <v>113</v>
      </c>
      <c r="I338" s="161"/>
      <c r="K338" s="50"/>
      <c r="L338" s="49">
        <f>SUMIF(Tabela1[Produtos],K338,Tabela1[Quantidade])</f>
        <v>0</v>
      </c>
      <c r="M338" s="37">
        <f>SUMIF(Tabela1[Produtos],K338,Tabela1[Valor gasto])</f>
        <v>0</v>
      </c>
      <c r="N338" s="37">
        <f>SUMIF(Tabela1[Produtos],K338,Tabela1[Valor venddo])</f>
        <v>0</v>
      </c>
      <c r="O338" s="37">
        <f>SUMIF(Tabela1[Produtos],K338,Tabela1[Valor do lucro])</f>
        <v>0</v>
      </c>
      <c r="Q338" s="50"/>
      <c r="R338" s="49"/>
      <c r="S338" s="37"/>
      <c r="T338" s="37"/>
      <c r="U338" s="37"/>
    </row>
    <row r="339" spans="1:21" ht="15.75" x14ac:dyDescent="0.25">
      <c r="A339" s="158">
        <v>804</v>
      </c>
      <c r="B339" s="7" t="s">
        <v>301</v>
      </c>
      <c r="C339" s="14">
        <v>1</v>
      </c>
      <c r="D339" s="61">
        <v>23</v>
      </c>
      <c r="E339" s="61">
        <v>50</v>
      </c>
      <c r="F339" s="61">
        <f t="shared" si="8"/>
        <v>27</v>
      </c>
      <c r="G339" s="8" t="s">
        <v>15</v>
      </c>
      <c r="H339" s="8" t="s">
        <v>113</v>
      </c>
      <c r="I339" s="161"/>
      <c r="K339" s="50"/>
      <c r="L339" s="49">
        <f>SUMIF(Tabela1[Produtos],K339,Tabela1[Quantidade])</f>
        <v>0</v>
      </c>
      <c r="M339" s="37">
        <f>SUMIF(Tabela1[Produtos],K339,Tabela1[Valor gasto])</f>
        <v>0</v>
      </c>
      <c r="N339" s="37">
        <f>SUMIF(Tabela1[Produtos],K339,Tabela1[Valor venddo])</f>
        <v>0</v>
      </c>
      <c r="O339" s="37">
        <f>SUMIF(Tabela1[Produtos],K339,Tabela1[Valor do lucro])</f>
        <v>0</v>
      </c>
      <c r="Q339" s="50"/>
      <c r="R339" s="49"/>
      <c r="S339" s="37"/>
      <c r="T339" s="37"/>
      <c r="U339" s="37"/>
    </row>
    <row r="340" spans="1:21" ht="15.75" x14ac:dyDescent="0.25">
      <c r="A340" s="158">
        <v>663</v>
      </c>
      <c r="B340" s="7" t="s">
        <v>301</v>
      </c>
      <c r="C340" s="14">
        <v>1</v>
      </c>
      <c r="D340" s="61">
        <v>11.36</v>
      </c>
      <c r="E340" s="61">
        <v>50</v>
      </c>
      <c r="F340" s="61">
        <f t="shared" si="8"/>
        <v>38.64</v>
      </c>
      <c r="G340" s="8" t="s">
        <v>15</v>
      </c>
      <c r="H340" s="8" t="s">
        <v>113</v>
      </c>
      <c r="I340" s="161"/>
      <c r="K340" s="50"/>
      <c r="L340" s="49">
        <f>SUMIF(Tabela1[Produtos],K340,Tabela1[Quantidade])</f>
        <v>0</v>
      </c>
      <c r="M340" s="37">
        <f>SUMIF(Tabela1[Produtos],K340,Tabela1[Valor gasto])</f>
        <v>0</v>
      </c>
      <c r="N340" s="37">
        <f>SUMIF(Tabela1[Produtos],K340,Tabela1[Valor venddo])</f>
        <v>0</v>
      </c>
      <c r="O340" s="37">
        <f>SUMIF(Tabela1[Produtos],K340,Tabela1[Valor do lucro])</f>
        <v>0</v>
      </c>
      <c r="Q340" s="50"/>
      <c r="R340" s="49"/>
      <c r="S340" s="37"/>
      <c r="T340" s="37"/>
      <c r="U340" s="37"/>
    </row>
    <row r="341" spans="1:21" ht="15.75" x14ac:dyDescent="0.25">
      <c r="A341" s="158">
        <v>664</v>
      </c>
      <c r="B341" s="7" t="s">
        <v>301</v>
      </c>
      <c r="C341" s="14">
        <v>1</v>
      </c>
      <c r="D341" s="61">
        <v>11</v>
      </c>
      <c r="E341" s="61">
        <v>50</v>
      </c>
      <c r="F341" s="61">
        <f t="shared" si="8"/>
        <v>39</v>
      </c>
      <c r="G341" s="8" t="s">
        <v>15</v>
      </c>
      <c r="H341" s="8" t="s">
        <v>113</v>
      </c>
      <c r="I341" s="161"/>
      <c r="K341" s="50"/>
      <c r="L341" s="49">
        <f>SUMIF(Tabela1[Produtos],K341,Tabela1[Quantidade])</f>
        <v>0</v>
      </c>
      <c r="M341" s="37">
        <f>SUMIF(Tabela1[Produtos],K341,Tabela1[Valor gasto])</f>
        <v>0</v>
      </c>
      <c r="N341" s="37">
        <f>SUMIF(Tabela1[Produtos],K341,Tabela1[Valor venddo])</f>
        <v>0</v>
      </c>
      <c r="O341" s="37">
        <f>SUMIF(Tabela1[Produtos],K341,Tabela1[Valor do lucro])</f>
        <v>0</v>
      </c>
      <c r="Q341" s="50"/>
      <c r="R341" s="49"/>
      <c r="S341" s="37"/>
      <c r="T341" s="37"/>
      <c r="U341" s="37"/>
    </row>
    <row r="342" spans="1:21" ht="15.75" x14ac:dyDescent="0.25">
      <c r="A342" s="158">
        <v>671</v>
      </c>
      <c r="B342" s="7" t="s">
        <v>301</v>
      </c>
      <c r="C342" s="14">
        <v>1</v>
      </c>
      <c r="D342" s="61">
        <v>11.36</v>
      </c>
      <c r="E342" s="61">
        <v>70</v>
      </c>
      <c r="F342" s="61">
        <f t="shared" si="8"/>
        <v>58.64</v>
      </c>
      <c r="G342" s="8" t="s">
        <v>15</v>
      </c>
      <c r="H342" s="8" t="s">
        <v>113</v>
      </c>
      <c r="I342" s="161"/>
      <c r="K342" s="50"/>
      <c r="L342" s="49">
        <f>SUMIF(Tabela1[Produtos],K342,Tabela1[Quantidade])</f>
        <v>0</v>
      </c>
      <c r="M342" s="37">
        <f>SUMIF(Tabela1[Produtos],K342,Tabela1[Valor gasto])</f>
        <v>0</v>
      </c>
      <c r="N342" s="37">
        <f>SUMIF(Tabela1[Produtos],K342,Tabela1[Valor venddo])</f>
        <v>0</v>
      </c>
      <c r="O342" s="37">
        <f>SUMIF(Tabela1[Produtos],K342,Tabela1[Valor do lucro])</f>
        <v>0</v>
      </c>
      <c r="Q342" s="50"/>
      <c r="R342" s="49"/>
      <c r="S342" s="37"/>
      <c r="T342" s="37"/>
      <c r="U342" s="37"/>
    </row>
    <row r="343" spans="1:21" ht="15.75" x14ac:dyDescent="0.25">
      <c r="A343" s="158">
        <v>570</v>
      </c>
      <c r="B343" s="7" t="s">
        <v>299</v>
      </c>
      <c r="C343" s="14">
        <v>1</v>
      </c>
      <c r="D343" s="61">
        <v>10</v>
      </c>
      <c r="E343" s="61">
        <v>15</v>
      </c>
      <c r="F343" s="61">
        <f t="shared" si="8"/>
        <v>5</v>
      </c>
      <c r="G343" s="8" t="s">
        <v>15</v>
      </c>
      <c r="H343" s="8" t="s">
        <v>113</v>
      </c>
      <c r="I343" s="161"/>
      <c r="K343" s="50"/>
      <c r="L343" s="49">
        <f>SUMIF(Tabela1[Produtos],K343,Tabela1[Quantidade])</f>
        <v>0</v>
      </c>
      <c r="M343" s="37">
        <f>SUMIF(Tabela1[Produtos],K343,Tabela1[Valor gasto])</f>
        <v>0</v>
      </c>
      <c r="N343" s="37">
        <f>SUMIF(Tabela1[Produtos],K343,Tabela1[Valor venddo])</f>
        <v>0</v>
      </c>
      <c r="O343" s="37">
        <f>SUMIF(Tabela1[Produtos],K343,Tabela1[Valor do lucro])</f>
        <v>0</v>
      </c>
      <c r="Q343" s="50"/>
      <c r="R343" s="49"/>
      <c r="S343" s="37"/>
      <c r="T343" s="37"/>
      <c r="U343" s="37"/>
    </row>
    <row r="344" spans="1:21" ht="15.75" x14ac:dyDescent="0.25">
      <c r="A344" s="158">
        <v>16</v>
      </c>
      <c r="B344" s="7" t="s">
        <v>328</v>
      </c>
      <c r="C344" s="14">
        <v>1</v>
      </c>
      <c r="D344" s="61">
        <v>0</v>
      </c>
      <c r="E344" s="61">
        <v>70</v>
      </c>
      <c r="F344" s="61">
        <f t="shared" si="8"/>
        <v>70</v>
      </c>
      <c r="G344" s="8" t="s">
        <v>15</v>
      </c>
      <c r="H344" s="8" t="s">
        <v>113</v>
      </c>
      <c r="I344" s="159"/>
      <c r="K344" s="50"/>
      <c r="L344" s="49">
        <f>SUMIF(Tabela1[Produtos],K344,Tabela1[Quantidade])</f>
        <v>0</v>
      </c>
      <c r="M344" s="37">
        <f>SUMIF(Tabela1[Produtos],K344,Tabela1[Valor gasto])</f>
        <v>0</v>
      </c>
      <c r="N344" s="37">
        <f>SUMIF(Tabela1[Produtos],K344,Tabela1[Valor venddo])</f>
        <v>0</v>
      </c>
      <c r="O344" s="37">
        <f>SUMIF(Tabela1[Produtos],K344,Tabela1[Valor do lucro])</f>
        <v>0</v>
      </c>
      <c r="Q344" s="50"/>
      <c r="R344" s="49"/>
      <c r="S344" s="37"/>
      <c r="T344" s="37"/>
      <c r="U344" s="37"/>
    </row>
    <row r="345" spans="1:21" ht="15.75" x14ac:dyDescent="0.25">
      <c r="A345" s="158">
        <v>580</v>
      </c>
      <c r="B345" s="7" t="s">
        <v>328</v>
      </c>
      <c r="C345" s="14">
        <v>1</v>
      </c>
      <c r="D345" s="61">
        <v>0</v>
      </c>
      <c r="E345" s="61">
        <v>50</v>
      </c>
      <c r="F345" s="61">
        <f t="shared" si="8"/>
        <v>50</v>
      </c>
      <c r="G345" s="8" t="s">
        <v>15</v>
      </c>
      <c r="H345" s="8" t="s">
        <v>113</v>
      </c>
      <c r="I345" s="161"/>
      <c r="K345" s="50"/>
      <c r="L345" s="49"/>
      <c r="M345" s="37"/>
      <c r="N345" s="37"/>
      <c r="O345" s="37"/>
      <c r="Q345" s="50"/>
      <c r="R345" s="49"/>
      <c r="S345" s="37"/>
      <c r="T345" s="37"/>
      <c r="U345" s="37"/>
    </row>
    <row r="346" spans="1:21" ht="15.75" x14ac:dyDescent="0.25">
      <c r="A346" s="158">
        <v>668</v>
      </c>
      <c r="B346" s="7" t="s">
        <v>328</v>
      </c>
      <c r="C346" s="14">
        <v>1</v>
      </c>
      <c r="D346" s="61">
        <v>0</v>
      </c>
      <c r="E346" s="61">
        <v>50</v>
      </c>
      <c r="F346" s="61">
        <f t="shared" si="8"/>
        <v>50</v>
      </c>
      <c r="G346" s="8" t="s">
        <v>15</v>
      </c>
      <c r="H346" s="8" t="s">
        <v>113</v>
      </c>
      <c r="I346" s="161"/>
      <c r="K346" s="50"/>
      <c r="L346" s="49"/>
      <c r="M346" s="37"/>
      <c r="N346" s="37"/>
      <c r="O346" s="37"/>
      <c r="Q346" s="50"/>
      <c r="R346" s="49"/>
      <c r="S346" s="37"/>
      <c r="T346" s="37"/>
      <c r="U346" s="37"/>
    </row>
    <row r="347" spans="1:21" ht="15.75" x14ac:dyDescent="0.25">
      <c r="A347" s="158">
        <v>669</v>
      </c>
      <c r="B347" s="7" t="s">
        <v>328</v>
      </c>
      <c r="C347" s="14">
        <v>1</v>
      </c>
      <c r="D347" s="61">
        <v>0</v>
      </c>
      <c r="E347" s="61">
        <v>50</v>
      </c>
      <c r="F347" s="61">
        <f t="shared" si="8"/>
        <v>50</v>
      </c>
      <c r="G347" s="8" t="s">
        <v>15</v>
      </c>
      <c r="H347" s="8" t="s">
        <v>113</v>
      </c>
      <c r="I347" s="161"/>
      <c r="K347" s="50"/>
      <c r="L347" s="49"/>
      <c r="M347" s="37"/>
      <c r="N347" s="37"/>
      <c r="O347" s="37"/>
      <c r="Q347" s="50"/>
      <c r="R347" s="49"/>
      <c r="S347" s="37"/>
      <c r="T347" s="37"/>
      <c r="U347" s="37"/>
    </row>
    <row r="348" spans="1:21" ht="15.75" x14ac:dyDescent="0.25">
      <c r="A348" s="158">
        <v>670</v>
      </c>
      <c r="B348" s="7" t="s">
        <v>328</v>
      </c>
      <c r="C348" s="14">
        <v>1</v>
      </c>
      <c r="D348" s="61">
        <v>0</v>
      </c>
      <c r="E348" s="61">
        <v>50</v>
      </c>
      <c r="F348" s="61">
        <f t="shared" si="8"/>
        <v>50</v>
      </c>
      <c r="G348" s="8" t="s">
        <v>15</v>
      </c>
      <c r="H348" s="8" t="s">
        <v>113</v>
      </c>
      <c r="I348" s="161"/>
      <c r="K348" s="50"/>
      <c r="L348" s="49"/>
      <c r="M348" s="37"/>
      <c r="N348" s="37"/>
      <c r="O348" s="37"/>
      <c r="Q348" s="50"/>
      <c r="R348" s="49"/>
      <c r="S348" s="37"/>
      <c r="T348" s="37"/>
      <c r="U348" s="37"/>
    </row>
    <row r="349" spans="1:21" ht="15.75" x14ac:dyDescent="0.25">
      <c r="A349" s="158">
        <v>916</v>
      </c>
      <c r="B349" s="45" t="s">
        <v>477</v>
      </c>
      <c r="C349" s="134">
        <v>1</v>
      </c>
      <c r="D349" s="127">
        <v>58</v>
      </c>
      <c r="E349" s="135">
        <v>131.8888</v>
      </c>
      <c r="F349" s="61">
        <f t="shared" si="8"/>
        <v>73.888800000000003</v>
      </c>
      <c r="G349" s="8" t="s">
        <v>15</v>
      </c>
      <c r="H349" s="8" t="s">
        <v>114</v>
      </c>
      <c r="I349" s="161"/>
      <c r="K349" s="50"/>
      <c r="L349" s="49"/>
      <c r="M349" s="37"/>
      <c r="N349" s="37"/>
      <c r="O349" s="37"/>
      <c r="Q349" s="50"/>
      <c r="R349" s="49"/>
      <c r="S349" s="37"/>
      <c r="T349" s="37"/>
      <c r="U349" s="37"/>
    </row>
    <row r="350" spans="1:21" ht="15.75" x14ac:dyDescent="0.25">
      <c r="A350" s="158">
        <v>126</v>
      </c>
      <c r="B350" s="45" t="s">
        <v>175</v>
      </c>
      <c r="C350" s="17">
        <v>2</v>
      </c>
      <c r="D350" s="58">
        <v>12</v>
      </c>
      <c r="E350" s="58">
        <v>31.42</v>
      </c>
      <c r="F350" s="58">
        <v>19.420000000000002</v>
      </c>
      <c r="G350" s="8" t="s">
        <v>15</v>
      </c>
      <c r="H350" s="57" t="s">
        <v>6</v>
      </c>
      <c r="I350" s="159"/>
      <c r="K350" s="50"/>
      <c r="L350" s="49"/>
      <c r="M350" s="37"/>
      <c r="N350" s="37"/>
      <c r="O350" s="37"/>
      <c r="Q350" s="50"/>
      <c r="R350" s="49"/>
      <c r="S350" s="37"/>
      <c r="T350" s="37"/>
      <c r="U350" s="37"/>
    </row>
    <row r="351" spans="1:21" ht="15.75" x14ac:dyDescent="0.25">
      <c r="A351" s="158">
        <v>307</v>
      </c>
      <c r="B351" s="45" t="s">
        <v>175</v>
      </c>
      <c r="C351" s="126">
        <v>4</v>
      </c>
      <c r="D351" s="127">
        <v>24</v>
      </c>
      <c r="E351" s="127">
        <v>59.41</v>
      </c>
      <c r="F351" s="127">
        <v>35.409999999999997</v>
      </c>
      <c r="G351" s="8" t="s">
        <v>3</v>
      </c>
      <c r="H351" s="8" t="s">
        <v>114</v>
      </c>
      <c r="I351" s="161"/>
      <c r="K351" s="50"/>
      <c r="L351" s="49"/>
      <c r="M351" s="37"/>
      <c r="N351" s="37"/>
      <c r="O351" s="37"/>
      <c r="Q351" s="50"/>
      <c r="R351" s="49"/>
      <c r="S351" s="37"/>
      <c r="T351" s="37"/>
      <c r="U351" s="37"/>
    </row>
    <row r="352" spans="1:21" ht="15.75" x14ac:dyDescent="0.25">
      <c r="A352" s="158">
        <v>254</v>
      </c>
      <c r="B352" s="45" t="s">
        <v>175</v>
      </c>
      <c r="C352" s="17">
        <v>3</v>
      </c>
      <c r="D352" s="58">
        <v>6</v>
      </c>
      <c r="E352" s="58">
        <v>18</v>
      </c>
      <c r="F352" s="58">
        <v>20.64</v>
      </c>
      <c r="G352" s="8" t="s">
        <v>15</v>
      </c>
      <c r="H352" s="57" t="s">
        <v>114</v>
      </c>
      <c r="I352" s="159"/>
      <c r="K352" s="50"/>
      <c r="L352" s="49"/>
      <c r="M352" s="37"/>
      <c r="N352" s="37"/>
      <c r="O352" s="37"/>
      <c r="Q352" s="50"/>
      <c r="R352" s="49"/>
      <c r="S352" s="37"/>
      <c r="T352" s="37"/>
      <c r="U352" s="37"/>
    </row>
    <row r="353" spans="1:21" ht="15.75" x14ac:dyDescent="0.25">
      <c r="A353" s="158">
        <v>772</v>
      </c>
      <c r="B353" s="45" t="s">
        <v>175</v>
      </c>
      <c r="C353" s="126">
        <v>2</v>
      </c>
      <c r="D353" s="127">
        <v>12</v>
      </c>
      <c r="E353" s="127">
        <v>29.9</v>
      </c>
      <c r="F353" s="127">
        <v>17.899999999999999</v>
      </c>
      <c r="G353" s="8" t="s">
        <v>15</v>
      </c>
      <c r="H353" s="8" t="s">
        <v>114</v>
      </c>
      <c r="I353" s="161"/>
      <c r="K353" s="50"/>
      <c r="L353" s="49"/>
      <c r="M353" s="37"/>
      <c r="N353" s="37"/>
      <c r="O353" s="37"/>
      <c r="Q353" s="50"/>
      <c r="R353" s="49"/>
      <c r="S353" s="37"/>
      <c r="T353" s="37"/>
      <c r="U353" s="37"/>
    </row>
    <row r="354" spans="1:21" ht="15.75" x14ac:dyDescent="0.25">
      <c r="A354" s="158">
        <v>516</v>
      </c>
      <c r="B354" s="45" t="s">
        <v>175</v>
      </c>
      <c r="C354" s="129">
        <v>1</v>
      </c>
      <c r="D354" s="61">
        <v>7</v>
      </c>
      <c r="E354" s="127">
        <v>16.149999999999999</v>
      </c>
      <c r="F354" s="61">
        <f>SUM(E354-D354)</f>
        <v>9.1499999999999986</v>
      </c>
      <c r="G354" s="8" t="s">
        <v>15</v>
      </c>
      <c r="H354" s="8" t="s">
        <v>114</v>
      </c>
      <c r="I354" s="160"/>
      <c r="K354" s="50"/>
      <c r="L354" s="49"/>
      <c r="M354" s="37"/>
      <c r="N354" s="37"/>
      <c r="O354" s="37"/>
      <c r="Q354" s="50"/>
      <c r="R354" s="49"/>
      <c r="S354" s="37"/>
      <c r="T354" s="37"/>
      <c r="U354" s="37"/>
    </row>
    <row r="355" spans="1:21" ht="15.75" x14ac:dyDescent="0.25">
      <c r="A355" s="158">
        <v>834</v>
      </c>
      <c r="B355" s="45" t="s">
        <v>175</v>
      </c>
      <c r="C355" s="126">
        <v>1</v>
      </c>
      <c r="D355" s="127">
        <v>6</v>
      </c>
      <c r="E355" s="133">
        <v>16.25</v>
      </c>
      <c r="F355" s="127">
        <v>10.25</v>
      </c>
      <c r="G355" s="8" t="s">
        <v>15</v>
      </c>
      <c r="H355" s="8" t="s">
        <v>114</v>
      </c>
      <c r="I355" s="161"/>
      <c r="K355" s="50"/>
      <c r="L355" s="49"/>
      <c r="M355" s="37"/>
      <c r="N355" s="37"/>
      <c r="O355" s="37"/>
      <c r="Q355" s="50"/>
      <c r="R355" s="49"/>
      <c r="S355" s="37"/>
      <c r="T355" s="37"/>
      <c r="U355" s="37"/>
    </row>
    <row r="356" spans="1:21" ht="15.75" x14ac:dyDescent="0.25">
      <c r="A356" s="158">
        <v>604</v>
      </c>
      <c r="B356" s="45" t="s">
        <v>175</v>
      </c>
      <c r="C356" s="14">
        <v>1</v>
      </c>
      <c r="D356" s="127">
        <v>12</v>
      </c>
      <c r="E356" s="127">
        <v>40.870000000000005</v>
      </c>
      <c r="F356" s="61">
        <f t="shared" ref="F356:F361" si="9">E356-D356</f>
        <v>28.870000000000005</v>
      </c>
      <c r="G356" s="8" t="s">
        <v>15</v>
      </c>
      <c r="H356" s="8" t="s">
        <v>113</v>
      </c>
      <c r="I356" s="161"/>
      <c r="K356" s="50"/>
      <c r="L356" s="49"/>
      <c r="M356" s="37"/>
      <c r="N356" s="37"/>
      <c r="O356" s="37"/>
      <c r="Q356" s="50"/>
      <c r="R356" s="49"/>
      <c r="S356" s="37"/>
      <c r="T356" s="37"/>
      <c r="U356" s="37"/>
    </row>
    <row r="357" spans="1:21" ht="15.75" x14ac:dyDescent="0.25">
      <c r="A357" s="158">
        <v>643</v>
      </c>
      <c r="B357" s="7" t="s">
        <v>333</v>
      </c>
      <c r="C357" s="14">
        <v>1</v>
      </c>
      <c r="D357" s="61">
        <v>12</v>
      </c>
      <c r="E357" s="61">
        <v>25</v>
      </c>
      <c r="F357" s="61">
        <f t="shared" si="9"/>
        <v>13</v>
      </c>
      <c r="G357" s="8" t="s">
        <v>15</v>
      </c>
      <c r="H357" s="8" t="s">
        <v>113</v>
      </c>
      <c r="I357" s="161"/>
      <c r="K357" s="50"/>
      <c r="L357" s="49"/>
      <c r="M357" s="37"/>
      <c r="N357" s="37"/>
      <c r="O357" s="37"/>
      <c r="Q357" s="50"/>
      <c r="R357" s="49"/>
      <c r="S357" s="37"/>
      <c r="T357" s="37"/>
      <c r="U357" s="37"/>
    </row>
    <row r="358" spans="1:21" ht="15.75" x14ac:dyDescent="0.25">
      <c r="A358" s="158">
        <v>878</v>
      </c>
      <c r="B358" s="7" t="s">
        <v>333</v>
      </c>
      <c r="C358" s="14">
        <v>1</v>
      </c>
      <c r="D358" s="61">
        <v>1.8</v>
      </c>
      <c r="E358" s="61">
        <v>5</v>
      </c>
      <c r="F358" s="61">
        <f t="shared" si="9"/>
        <v>3.2</v>
      </c>
      <c r="G358" s="8" t="s">
        <v>15</v>
      </c>
      <c r="H358" s="8" t="s">
        <v>113</v>
      </c>
      <c r="I358" s="161"/>
      <c r="K358" s="50"/>
      <c r="L358" s="49"/>
      <c r="M358" s="37"/>
      <c r="N358" s="37"/>
      <c r="O358" s="37"/>
      <c r="Q358" s="50"/>
      <c r="R358" s="49"/>
      <c r="S358" s="37"/>
      <c r="T358" s="37"/>
      <c r="U358" s="37"/>
    </row>
    <row r="359" spans="1:21" ht="15.75" x14ac:dyDescent="0.25">
      <c r="A359" s="158">
        <v>605</v>
      </c>
      <c r="B359" s="45" t="s">
        <v>320</v>
      </c>
      <c r="C359" s="14">
        <v>1</v>
      </c>
      <c r="D359" s="127">
        <v>11</v>
      </c>
      <c r="E359" s="127">
        <v>15.53</v>
      </c>
      <c r="F359" s="61">
        <f t="shared" si="9"/>
        <v>4.5299999999999994</v>
      </c>
      <c r="G359" s="8" t="s">
        <v>15</v>
      </c>
      <c r="H359" s="8" t="s">
        <v>113</v>
      </c>
      <c r="I359" s="161"/>
      <c r="K359" s="50"/>
      <c r="L359" s="49"/>
      <c r="M359" s="37"/>
      <c r="N359" s="37"/>
      <c r="O359" s="37"/>
      <c r="Q359" s="50"/>
      <c r="R359" s="49"/>
      <c r="S359" s="37"/>
      <c r="T359" s="37"/>
      <c r="U359" s="37"/>
    </row>
    <row r="360" spans="1:21" ht="15.75" x14ac:dyDescent="0.25">
      <c r="A360" s="158">
        <v>917</v>
      </c>
      <c r="B360" s="45" t="s">
        <v>478</v>
      </c>
      <c r="C360" s="136">
        <v>2</v>
      </c>
      <c r="D360" s="127">
        <v>3.6</v>
      </c>
      <c r="E360" s="135">
        <v>10.914200000000001</v>
      </c>
      <c r="F360" s="61">
        <f t="shared" si="9"/>
        <v>7.3142000000000014</v>
      </c>
      <c r="G360" s="8" t="s">
        <v>15</v>
      </c>
      <c r="H360" s="8" t="s">
        <v>114</v>
      </c>
      <c r="I360" s="161"/>
      <c r="K360" s="50"/>
      <c r="L360" s="49"/>
      <c r="M360" s="37"/>
      <c r="N360" s="37"/>
      <c r="O360" s="37"/>
      <c r="Q360" s="50"/>
      <c r="R360" s="49"/>
      <c r="S360" s="37"/>
      <c r="T360" s="37"/>
      <c r="U360" s="37"/>
    </row>
    <row r="361" spans="1:21" ht="15.75" x14ac:dyDescent="0.25">
      <c r="A361" s="158">
        <v>454</v>
      </c>
      <c r="B361" s="45" t="s">
        <v>253</v>
      </c>
      <c r="C361" s="14">
        <v>1</v>
      </c>
      <c r="D361" s="128">
        <v>12</v>
      </c>
      <c r="E361" s="61">
        <v>21.63</v>
      </c>
      <c r="F361" s="61">
        <f t="shared" si="9"/>
        <v>9.629999999999999</v>
      </c>
      <c r="G361" s="8" t="s">
        <v>15</v>
      </c>
      <c r="H361" s="8" t="s">
        <v>113</v>
      </c>
      <c r="I361" s="160"/>
      <c r="K361" s="50"/>
      <c r="L361" s="49"/>
      <c r="M361" s="37"/>
      <c r="N361" s="37"/>
      <c r="O361" s="37"/>
      <c r="Q361" s="50"/>
      <c r="R361" s="49"/>
      <c r="S361" s="37"/>
      <c r="T361" s="37"/>
      <c r="U361" s="37"/>
    </row>
    <row r="362" spans="1:21" ht="15.75" x14ac:dyDescent="0.25">
      <c r="A362" s="158">
        <v>507</v>
      </c>
      <c r="B362" s="10" t="s">
        <v>278</v>
      </c>
      <c r="C362" s="14">
        <v>1</v>
      </c>
      <c r="D362" s="61">
        <v>15</v>
      </c>
      <c r="E362" s="61">
        <v>35</v>
      </c>
      <c r="F362" s="61">
        <f>SUM(E362-D362)</f>
        <v>20</v>
      </c>
      <c r="G362" s="8" t="s">
        <v>15</v>
      </c>
      <c r="H362" s="8" t="s">
        <v>114</v>
      </c>
      <c r="I362" s="160"/>
      <c r="K362" s="50"/>
      <c r="L362" s="49"/>
      <c r="M362" s="37"/>
      <c r="N362" s="37"/>
      <c r="O362" s="37"/>
      <c r="Q362" s="50"/>
      <c r="R362" s="49"/>
      <c r="S362" s="37"/>
      <c r="T362" s="37"/>
      <c r="U362" s="37"/>
    </row>
    <row r="363" spans="1:21" ht="15.75" x14ac:dyDescent="0.25">
      <c r="A363" s="158">
        <v>653</v>
      </c>
      <c r="B363" s="7" t="s">
        <v>335</v>
      </c>
      <c r="C363" s="14">
        <v>1</v>
      </c>
      <c r="D363" s="61">
        <v>4</v>
      </c>
      <c r="E363" s="61">
        <v>25</v>
      </c>
      <c r="F363" s="61">
        <f t="shared" ref="F363:F372" si="10">E363-D363</f>
        <v>21</v>
      </c>
      <c r="G363" s="8" t="s">
        <v>15</v>
      </c>
      <c r="H363" s="8" t="s">
        <v>113</v>
      </c>
      <c r="I363" s="161"/>
      <c r="K363" s="50"/>
      <c r="L363" s="49"/>
      <c r="M363" s="37"/>
      <c r="N363" s="37"/>
      <c r="O363" s="37"/>
      <c r="Q363" s="50"/>
      <c r="R363" s="49"/>
      <c r="S363" s="37"/>
      <c r="T363" s="37"/>
      <c r="U363" s="37"/>
    </row>
    <row r="364" spans="1:21" ht="15.75" x14ac:dyDescent="0.25">
      <c r="A364" s="158">
        <v>189</v>
      </c>
      <c r="B364" s="12" t="s">
        <v>71</v>
      </c>
      <c r="C364" s="14">
        <v>1</v>
      </c>
      <c r="D364" s="61">
        <v>22</v>
      </c>
      <c r="E364" s="61">
        <v>40</v>
      </c>
      <c r="F364" s="61">
        <f t="shared" si="10"/>
        <v>18</v>
      </c>
      <c r="G364" s="8" t="s">
        <v>15</v>
      </c>
      <c r="H364" s="8" t="s">
        <v>113</v>
      </c>
      <c r="I364" s="159"/>
      <c r="K364" s="50"/>
      <c r="L364" s="49"/>
      <c r="M364" s="37"/>
      <c r="N364" s="37"/>
      <c r="O364" s="37"/>
      <c r="Q364" s="50"/>
      <c r="R364" s="49"/>
      <c r="S364" s="37"/>
      <c r="T364" s="37"/>
      <c r="U364" s="37"/>
    </row>
    <row r="365" spans="1:21" ht="15.75" x14ac:dyDescent="0.25">
      <c r="A365" s="158">
        <v>17</v>
      </c>
      <c r="B365" s="45" t="s">
        <v>135</v>
      </c>
      <c r="C365" s="14">
        <v>1</v>
      </c>
      <c r="D365" s="61">
        <v>4</v>
      </c>
      <c r="E365" s="61">
        <v>15</v>
      </c>
      <c r="F365" s="61">
        <f t="shared" si="10"/>
        <v>11</v>
      </c>
      <c r="G365" s="8" t="s">
        <v>15</v>
      </c>
      <c r="H365" s="8" t="s">
        <v>113</v>
      </c>
      <c r="I365" s="160"/>
      <c r="K365" s="50"/>
      <c r="L365" s="49"/>
      <c r="M365" s="37"/>
      <c r="N365" s="37"/>
      <c r="O365" s="37"/>
      <c r="Q365" s="50"/>
      <c r="R365" s="49"/>
      <c r="S365" s="37"/>
      <c r="T365" s="37"/>
      <c r="U365" s="37"/>
    </row>
    <row r="366" spans="1:21" ht="15.75" x14ac:dyDescent="0.25">
      <c r="A366" s="158">
        <v>18</v>
      </c>
      <c r="B366" s="45" t="s">
        <v>135</v>
      </c>
      <c r="C366" s="14">
        <v>1</v>
      </c>
      <c r="D366" s="61">
        <v>4</v>
      </c>
      <c r="E366" s="61">
        <v>15</v>
      </c>
      <c r="F366" s="61">
        <f t="shared" si="10"/>
        <v>11</v>
      </c>
      <c r="G366" s="8" t="s">
        <v>15</v>
      </c>
      <c r="H366" s="8" t="s">
        <v>113</v>
      </c>
      <c r="I366" s="160"/>
      <c r="K366" s="50"/>
      <c r="L366" s="49"/>
      <c r="M366" s="37"/>
      <c r="N366" s="37"/>
      <c r="O366" s="37"/>
      <c r="Q366" s="50"/>
      <c r="R366" s="49"/>
      <c r="S366" s="37"/>
      <c r="T366" s="37"/>
      <c r="U366" s="37"/>
    </row>
    <row r="367" spans="1:21" ht="15.75" x14ac:dyDescent="0.25">
      <c r="A367" s="158">
        <v>19</v>
      </c>
      <c r="B367" s="45" t="s">
        <v>135</v>
      </c>
      <c r="C367" s="14">
        <v>1</v>
      </c>
      <c r="D367" s="61">
        <v>4</v>
      </c>
      <c r="E367" s="61">
        <v>20</v>
      </c>
      <c r="F367" s="61">
        <f t="shared" si="10"/>
        <v>16</v>
      </c>
      <c r="G367" s="8" t="s">
        <v>15</v>
      </c>
      <c r="H367" s="8" t="s">
        <v>113</v>
      </c>
      <c r="I367" s="159"/>
      <c r="K367" s="50"/>
      <c r="L367" s="49"/>
      <c r="M367" s="37"/>
      <c r="N367" s="37"/>
      <c r="O367" s="37"/>
      <c r="Q367" s="50"/>
      <c r="R367" s="49"/>
      <c r="S367" s="37"/>
      <c r="T367" s="37"/>
      <c r="U367" s="37"/>
    </row>
    <row r="368" spans="1:21" ht="15.75" x14ac:dyDescent="0.25">
      <c r="A368" s="158">
        <v>86</v>
      </c>
      <c r="B368" s="45" t="s">
        <v>135</v>
      </c>
      <c r="C368" s="14">
        <v>1</v>
      </c>
      <c r="D368" s="61">
        <v>4</v>
      </c>
      <c r="E368" s="61">
        <v>25</v>
      </c>
      <c r="F368" s="61">
        <f t="shared" si="10"/>
        <v>21</v>
      </c>
      <c r="G368" s="8" t="s">
        <v>15</v>
      </c>
      <c r="H368" s="8" t="s">
        <v>113</v>
      </c>
      <c r="I368" s="159"/>
      <c r="K368" s="50"/>
      <c r="L368" s="49"/>
      <c r="M368" s="37"/>
      <c r="N368" s="37"/>
      <c r="O368" s="37"/>
      <c r="Q368" s="50"/>
      <c r="R368" s="49"/>
      <c r="S368" s="37"/>
      <c r="T368" s="37"/>
      <c r="U368" s="37"/>
    </row>
    <row r="369" spans="1:21" ht="15.75" x14ac:dyDescent="0.25">
      <c r="A369" s="158">
        <v>267</v>
      </c>
      <c r="B369" s="45" t="s">
        <v>135</v>
      </c>
      <c r="C369" s="14">
        <v>1</v>
      </c>
      <c r="D369" s="61">
        <v>2</v>
      </c>
      <c r="E369" s="61">
        <v>10</v>
      </c>
      <c r="F369" s="61">
        <f t="shared" si="10"/>
        <v>8</v>
      </c>
      <c r="G369" s="8" t="s">
        <v>3</v>
      </c>
      <c r="H369" s="8" t="s">
        <v>113</v>
      </c>
      <c r="I369" s="159"/>
      <c r="K369" s="50"/>
      <c r="L369" s="49"/>
      <c r="M369" s="37"/>
      <c r="N369" s="37"/>
      <c r="O369" s="37"/>
      <c r="Q369" s="50"/>
      <c r="R369" s="49"/>
      <c r="S369" s="37"/>
      <c r="T369" s="37"/>
      <c r="U369" s="37"/>
    </row>
    <row r="370" spans="1:21" ht="15.75" x14ac:dyDescent="0.25">
      <c r="A370" s="158">
        <v>268</v>
      </c>
      <c r="B370" s="45" t="s">
        <v>135</v>
      </c>
      <c r="C370" s="14">
        <v>1</v>
      </c>
      <c r="D370" s="61">
        <v>2</v>
      </c>
      <c r="E370" s="61">
        <v>10</v>
      </c>
      <c r="F370" s="61">
        <f t="shared" si="10"/>
        <v>8</v>
      </c>
      <c r="G370" s="8" t="s">
        <v>3</v>
      </c>
      <c r="H370" s="8" t="s">
        <v>113</v>
      </c>
      <c r="I370" s="159"/>
      <c r="K370" s="50"/>
      <c r="L370" s="49"/>
      <c r="M370" s="37"/>
      <c r="N370" s="37"/>
      <c r="O370" s="37"/>
      <c r="Q370" s="50"/>
      <c r="R370" s="49"/>
      <c r="S370" s="37"/>
      <c r="T370" s="37"/>
      <c r="U370" s="37"/>
    </row>
    <row r="371" spans="1:21" ht="15.75" x14ac:dyDescent="0.25">
      <c r="A371" s="158">
        <v>271</v>
      </c>
      <c r="B371" s="45" t="s">
        <v>135</v>
      </c>
      <c r="C371" s="14">
        <v>1</v>
      </c>
      <c r="D371" s="61">
        <v>2</v>
      </c>
      <c r="E371" s="61">
        <v>10</v>
      </c>
      <c r="F371" s="61">
        <f t="shared" si="10"/>
        <v>8</v>
      </c>
      <c r="G371" s="8" t="s">
        <v>3</v>
      </c>
      <c r="H371" s="8" t="s">
        <v>113</v>
      </c>
      <c r="I371" s="161"/>
      <c r="K371" s="50"/>
      <c r="L371" s="49"/>
      <c r="M371" s="37"/>
      <c r="N371" s="37"/>
      <c r="O371" s="37"/>
      <c r="Q371" s="50"/>
      <c r="R371" s="49"/>
      <c r="S371" s="37"/>
      <c r="T371" s="37"/>
      <c r="U371" s="37"/>
    </row>
    <row r="372" spans="1:21" ht="15.75" x14ac:dyDescent="0.25">
      <c r="A372" s="158">
        <v>272</v>
      </c>
      <c r="B372" s="45" t="s">
        <v>135</v>
      </c>
      <c r="C372" s="14">
        <v>1</v>
      </c>
      <c r="D372" s="61">
        <v>2</v>
      </c>
      <c r="E372" s="61">
        <v>10</v>
      </c>
      <c r="F372" s="61">
        <f t="shared" si="10"/>
        <v>8</v>
      </c>
      <c r="G372" s="8" t="s">
        <v>3</v>
      </c>
      <c r="H372" s="8" t="s">
        <v>113</v>
      </c>
      <c r="I372" s="161"/>
      <c r="K372" s="50"/>
      <c r="L372" s="49"/>
      <c r="M372" s="37"/>
      <c r="N372" s="37"/>
      <c r="O372" s="37"/>
      <c r="Q372" s="50"/>
      <c r="R372" s="49"/>
      <c r="S372" s="37"/>
      <c r="T372" s="37"/>
      <c r="U372" s="37"/>
    </row>
    <row r="373" spans="1:21" ht="15.75" x14ac:dyDescent="0.25">
      <c r="A373" s="158">
        <v>128</v>
      </c>
      <c r="B373" s="45" t="s">
        <v>135</v>
      </c>
      <c r="C373" s="17">
        <v>7</v>
      </c>
      <c r="D373" s="58">
        <v>21</v>
      </c>
      <c r="E373" s="58">
        <v>37.43</v>
      </c>
      <c r="F373" s="58">
        <v>16.43</v>
      </c>
      <c r="G373" s="8" t="s">
        <v>15</v>
      </c>
      <c r="H373" s="57" t="s">
        <v>6</v>
      </c>
      <c r="I373" s="159"/>
      <c r="K373" s="50"/>
      <c r="L373" s="49"/>
      <c r="M373" s="37"/>
      <c r="N373" s="37"/>
      <c r="O373" s="37"/>
      <c r="Q373" s="50"/>
      <c r="R373" s="49"/>
      <c r="S373" s="37"/>
      <c r="T373" s="37"/>
      <c r="U373" s="37"/>
    </row>
    <row r="374" spans="1:21" ht="15.75" x14ac:dyDescent="0.25">
      <c r="A374" s="158">
        <v>253</v>
      </c>
      <c r="B374" s="45" t="s">
        <v>135</v>
      </c>
      <c r="C374" s="17">
        <v>3</v>
      </c>
      <c r="D374" s="58">
        <v>2</v>
      </c>
      <c r="E374" s="58">
        <v>6</v>
      </c>
      <c r="F374" s="58">
        <v>25.95</v>
      </c>
      <c r="G374" s="8" t="s">
        <v>15</v>
      </c>
      <c r="H374" s="57" t="s">
        <v>114</v>
      </c>
      <c r="I374" s="159"/>
      <c r="K374" s="50"/>
      <c r="L374" s="49"/>
      <c r="M374" s="37"/>
      <c r="N374" s="37"/>
      <c r="O374" s="37"/>
      <c r="Q374" s="50"/>
      <c r="R374" s="49"/>
      <c r="S374" s="37"/>
      <c r="T374" s="37"/>
      <c r="U374" s="37"/>
    </row>
    <row r="375" spans="1:21" ht="15.75" x14ac:dyDescent="0.25">
      <c r="A375" s="158">
        <v>308</v>
      </c>
      <c r="B375" s="45" t="s">
        <v>135</v>
      </c>
      <c r="C375" s="126">
        <v>1</v>
      </c>
      <c r="D375" s="127">
        <v>2</v>
      </c>
      <c r="E375" s="127">
        <v>18.25</v>
      </c>
      <c r="F375" s="127">
        <v>16.25</v>
      </c>
      <c r="G375" s="8" t="s">
        <v>3</v>
      </c>
      <c r="H375" s="8" t="s">
        <v>114</v>
      </c>
      <c r="I375" s="161"/>
      <c r="K375" s="50"/>
      <c r="L375" s="49"/>
      <c r="M375" s="37"/>
      <c r="N375" s="37"/>
      <c r="O375" s="37"/>
      <c r="Q375" s="50"/>
      <c r="R375" s="49"/>
      <c r="S375" s="37"/>
      <c r="T375" s="37"/>
      <c r="U375" s="37"/>
    </row>
    <row r="376" spans="1:21" ht="15.75" x14ac:dyDescent="0.25">
      <c r="A376" s="158">
        <v>694</v>
      </c>
      <c r="B376" s="45" t="s">
        <v>135</v>
      </c>
      <c r="C376" s="17">
        <v>1</v>
      </c>
      <c r="D376" s="132">
        <v>2</v>
      </c>
      <c r="E376" s="61">
        <v>9.07</v>
      </c>
      <c r="F376" s="61">
        <v>7.07</v>
      </c>
      <c r="G376" s="8" t="s">
        <v>15</v>
      </c>
      <c r="H376" s="8" t="s">
        <v>114</v>
      </c>
      <c r="I376" s="161"/>
      <c r="K376" s="50"/>
      <c r="L376" s="49"/>
      <c r="M376" s="37"/>
      <c r="N376" s="37"/>
      <c r="O376" s="37"/>
      <c r="Q376" s="50"/>
      <c r="R376" s="49"/>
      <c r="S376" s="37"/>
      <c r="T376" s="37"/>
      <c r="U376" s="37"/>
    </row>
    <row r="377" spans="1:21" ht="15.75" x14ac:dyDescent="0.25">
      <c r="A377" s="158">
        <v>773</v>
      </c>
      <c r="B377" s="45" t="s">
        <v>135</v>
      </c>
      <c r="C377" s="126">
        <v>1</v>
      </c>
      <c r="D377" s="127">
        <v>2</v>
      </c>
      <c r="E377" s="127">
        <v>8.57</v>
      </c>
      <c r="F377" s="127">
        <v>6.57</v>
      </c>
      <c r="G377" s="8" t="s">
        <v>15</v>
      </c>
      <c r="H377" s="8" t="s">
        <v>114</v>
      </c>
      <c r="I377" s="161"/>
      <c r="K377" s="50"/>
      <c r="L377" s="49"/>
      <c r="M377" s="37"/>
      <c r="N377" s="37"/>
      <c r="O377" s="37"/>
      <c r="Q377" s="50"/>
      <c r="R377" s="49"/>
      <c r="S377" s="37"/>
      <c r="T377" s="37"/>
      <c r="U377" s="37"/>
    </row>
    <row r="378" spans="1:21" ht="15.75" x14ac:dyDescent="0.25">
      <c r="A378" s="158">
        <v>211</v>
      </c>
      <c r="B378" s="12" t="s">
        <v>135</v>
      </c>
      <c r="C378" s="14">
        <v>1</v>
      </c>
      <c r="D378" s="61">
        <v>4</v>
      </c>
      <c r="E378" s="61">
        <v>15</v>
      </c>
      <c r="F378" s="61">
        <f t="shared" ref="F378:F389" si="11">E378-D378</f>
        <v>11</v>
      </c>
      <c r="G378" s="8" t="s">
        <v>15</v>
      </c>
      <c r="H378" s="8" t="s">
        <v>113</v>
      </c>
      <c r="I378" s="159"/>
      <c r="K378" s="50"/>
      <c r="L378" s="49"/>
      <c r="M378" s="37"/>
      <c r="N378" s="37"/>
      <c r="O378" s="37"/>
      <c r="Q378" s="50"/>
      <c r="R378" s="49"/>
      <c r="S378" s="37"/>
      <c r="T378" s="37"/>
      <c r="U378" s="37"/>
    </row>
    <row r="379" spans="1:21" ht="15.75" x14ac:dyDescent="0.25">
      <c r="A379" s="158">
        <v>216</v>
      </c>
      <c r="B379" s="12" t="s">
        <v>135</v>
      </c>
      <c r="C379" s="14">
        <v>1</v>
      </c>
      <c r="D379" s="61">
        <v>4</v>
      </c>
      <c r="E379" s="61">
        <v>25</v>
      </c>
      <c r="F379" s="61">
        <f t="shared" si="11"/>
        <v>21</v>
      </c>
      <c r="G379" s="8" t="s">
        <v>15</v>
      </c>
      <c r="H379" s="8" t="s">
        <v>113</v>
      </c>
      <c r="I379" s="159"/>
      <c r="K379" s="50"/>
      <c r="L379" s="49"/>
      <c r="M379" s="37"/>
      <c r="N379" s="37"/>
      <c r="O379" s="37"/>
      <c r="Q379" s="50"/>
      <c r="R379" s="49"/>
      <c r="S379" s="37"/>
      <c r="T379" s="37"/>
      <c r="U379" s="37"/>
    </row>
    <row r="380" spans="1:21" ht="15.75" x14ac:dyDescent="0.25">
      <c r="A380" s="158">
        <v>219</v>
      </c>
      <c r="B380" s="12" t="s">
        <v>135</v>
      </c>
      <c r="C380" s="14">
        <v>1</v>
      </c>
      <c r="D380" s="61">
        <v>4</v>
      </c>
      <c r="E380" s="61">
        <v>15</v>
      </c>
      <c r="F380" s="61">
        <f t="shared" si="11"/>
        <v>11</v>
      </c>
      <c r="G380" s="8" t="s">
        <v>15</v>
      </c>
      <c r="H380" s="8" t="s">
        <v>113</v>
      </c>
      <c r="I380" s="159"/>
      <c r="K380" s="50"/>
      <c r="L380" s="49"/>
      <c r="M380" s="37"/>
      <c r="N380" s="37"/>
      <c r="O380" s="37"/>
      <c r="Q380" s="50"/>
      <c r="R380" s="49"/>
      <c r="S380" s="37"/>
      <c r="T380" s="37"/>
      <c r="U380" s="37"/>
    </row>
    <row r="381" spans="1:21" ht="15.75" x14ac:dyDescent="0.25">
      <c r="A381" s="158">
        <v>555</v>
      </c>
      <c r="B381" s="12" t="s">
        <v>135</v>
      </c>
      <c r="C381" s="14">
        <v>1</v>
      </c>
      <c r="D381" s="61">
        <v>2</v>
      </c>
      <c r="E381" s="61">
        <v>10</v>
      </c>
      <c r="F381" s="61">
        <f t="shared" si="11"/>
        <v>8</v>
      </c>
      <c r="G381" s="8" t="s">
        <v>15</v>
      </c>
      <c r="H381" s="8" t="s">
        <v>113</v>
      </c>
      <c r="I381" s="161"/>
      <c r="K381" s="50"/>
      <c r="L381" s="49"/>
      <c r="M381" s="37"/>
      <c r="N381" s="37"/>
      <c r="O381" s="37"/>
      <c r="Q381" s="50"/>
      <c r="R381" s="49"/>
      <c r="S381" s="37"/>
      <c r="T381" s="37"/>
      <c r="U381" s="37"/>
    </row>
    <row r="382" spans="1:21" ht="15.75" x14ac:dyDescent="0.25">
      <c r="A382" s="158">
        <v>556</v>
      </c>
      <c r="B382" s="12" t="s">
        <v>135</v>
      </c>
      <c r="C382" s="14">
        <v>1</v>
      </c>
      <c r="D382" s="61">
        <v>2</v>
      </c>
      <c r="E382" s="61">
        <v>10</v>
      </c>
      <c r="F382" s="61">
        <f t="shared" si="11"/>
        <v>8</v>
      </c>
      <c r="G382" s="8" t="s">
        <v>15</v>
      </c>
      <c r="H382" s="8" t="s">
        <v>113</v>
      </c>
      <c r="I382" s="161"/>
      <c r="K382" s="50"/>
      <c r="L382" s="49"/>
      <c r="M382" s="37"/>
      <c r="N382" s="37"/>
      <c r="O382" s="37"/>
      <c r="Q382" s="50"/>
      <c r="R382" s="49"/>
      <c r="S382" s="37"/>
      <c r="T382" s="37"/>
      <c r="U382" s="37"/>
    </row>
    <row r="383" spans="1:21" ht="15.75" x14ac:dyDescent="0.25">
      <c r="A383" s="158">
        <v>752</v>
      </c>
      <c r="B383" s="7" t="s">
        <v>392</v>
      </c>
      <c r="C383" s="14">
        <v>1</v>
      </c>
      <c r="D383" s="61">
        <v>13.5</v>
      </c>
      <c r="E383" s="61">
        <f>20-(20*0.03)</f>
        <v>19.399999999999999</v>
      </c>
      <c r="F383" s="61">
        <f t="shared" si="11"/>
        <v>5.8999999999999986</v>
      </c>
      <c r="G383" s="8" t="s">
        <v>15</v>
      </c>
      <c r="H383" s="8" t="s">
        <v>113</v>
      </c>
      <c r="I383" s="161"/>
      <c r="K383" s="50"/>
      <c r="L383" s="49"/>
      <c r="M383" s="37"/>
      <c r="N383" s="37"/>
      <c r="O383" s="37"/>
      <c r="Q383" s="50"/>
      <c r="R383" s="49"/>
      <c r="S383" s="37"/>
      <c r="T383" s="37"/>
      <c r="U383" s="37"/>
    </row>
    <row r="384" spans="1:21" ht="15.75" x14ac:dyDescent="0.25">
      <c r="A384" s="158">
        <v>753</v>
      </c>
      <c r="B384" s="7" t="s">
        <v>392</v>
      </c>
      <c r="C384" s="14">
        <v>1</v>
      </c>
      <c r="D384" s="61">
        <v>13.5</v>
      </c>
      <c r="E384" s="61">
        <f>20-(20*0.03)</f>
        <v>19.399999999999999</v>
      </c>
      <c r="F384" s="61">
        <f t="shared" si="11"/>
        <v>5.8999999999999986</v>
      </c>
      <c r="G384" s="8" t="s">
        <v>15</v>
      </c>
      <c r="H384" s="8" t="s">
        <v>113</v>
      </c>
      <c r="I384" s="161"/>
      <c r="K384" s="50"/>
      <c r="L384" s="49"/>
      <c r="M384" s="37"/>
      <c r="N384" s="37"/>
      <c r="O384" s="37"/>
      <c r="Q384" s="50"/>
      <c r="R384" s="49"/>
      <c r="S384" s="37"/>
      <c r="T384" s="37"/>
      <c r="U384" s="37"/>
    </row>
    <row r="385" spans="1:21" ht="15.75" x14ac:dyDescent="0.25">
      <c r="A385" s="158">
        <v>631</v>
      </c>
      <c r="B385" s="45" t="s">
        <v>220</v>
      </c>
      <c r="C385" s="14">
        <v>1</v>
      </c>
      <c r="D385" s="61">
        <v>37</v>
      </c>
      <c r="E385" s="61">
        <v>80</v>
      </c>
      <c r="F385" s="61">
        <f t="shared" si="11"/>
        <v>43</v>
      </c>
      <c r="G385" s="8" t="s">
        <v>15</v>
      </c>
      <c r="H385" s="8" t="s">
        <v>113</v>
      </c>
      <c r="I385" s="161"/>
      <c r="K385" s="50"/>
      <c r="L385" s="49"/>
      <c r="M385" s="37"/>
      <c r="N385" s="37"/>
      <c r="O385" s="37"/>
      <c r="Q385" s="50"/>
      <c r="R385" s="49"/>
      <c r="S385" s="37"/>
      <c r="T385" s="37"/>
      <c r="U385" s="37"/>
    </row>
    <row r="386" spans="1:21" ht="15.75" x14ac:dyDescent="0.25">
      <c r="A386" s="158">
        <v>727</v>
      </c>
      <c r="B386" s="45" t="s">
        <v>220</v>
      </c>
      <c r="C386" s="14">
        <v>1</v>
      </c>
      <c r="D386" s="61">
        <v>37</v>
      </c>
      <c r="E386" s="61">
        <v>76</v>
      </c>
      <c r="F386" s="61">
        <f t="shared" si="11"/>
        <v>39</v>
      </c>
      <c r="G386" s="8" t="s">
        <v>15</v>
      </c>
      <c r="H386" s="8" t="s">
        <v>113</v>
      </c>
      <c r="I386" s="161"/>
      <c r="K386" s="50"/>
      <c r="L386" s="49"/>
      <c r="M386" s="37"/>
      <c r="N386" s="37"/>
      <c r="O386" s="37"/>
      <c r="Q386" s="50"/>
      <c r="R386" s="49"/>
      <c r="S386" s="37"/>
      <c r="T386" s="37"/>
      <c r="U386" s="37"/>
    </row>
    <row r="387" spans="1:21" ht="15.75" x14ac:dyDescent="0.25">
      <c r="A387" s="158">
        <v>883</v>
      </c>
      <c r="B387" s="45" t="s">
        <v>220</v>
      </c>
      <c r="C387" s="14">
        <v>1</v>
      </c>
      <c r="D387" s="61">
        <v>40</v>
      </c>
      <c r="E387" s="61">
        <v>100</v>
      </c>
      <c r="F387" s="61">
        <f t="shared" si="11"/>
        <v>60</v>
      </c>
      <c r="G387" s="8" t="s">
        <v>15</v>
      </c>
      <c r="H387" s="8" t="s">
        <v>113</v>
      </c>
      <c r="I387" s="161"/>
      <c r="K387" s="50"/>
      <c r="L387" s="49"/>
      <c r="M387" s="37"/>
      <c r="N387" s="37"/>
      <c r="O387" s="37"/>
      <c r="Q387" s="50"/>
      <c r="R387" s="49"/>
      <c r="S387" s="37"/>
      <c r="T387" s="37"/>
      <c r="U387" s="37"/>
    </row>
    <row r="388" spans="1:21" ht="15.75" x14ac:dyDescent="0.25">
      <c r="A388" s="158">
        <v>896</v>
      </c>
      <c r="B388" s="45" t="s">
        <v>220</v>
      </c>
      <c r="C388" s="14">
        <v>1</v>
      </c>
      <c r="D388" s="61">
        <v>40</v>
      </c>
      <c r="E388" s="61">
        <v>70</v>
      </c>
      <c r="F388" s="61">
        <f t="shared" si="11"/>
        <v>30</v>
      </c>
      <c r="G388" s="8" t="s">
        <v>15</v>
      </c>
      <c r="H388" s="8" t="s">
        <v>113</v>
      </c>
      <c r="I388" s="161"/>
      <c r="K388" s="50"/>
      <c r="L388" s="49"/>
      <c r="M388" s="37"/>
      <c r="N388" s="37"/>
      <c r="O388" s="37"/>
      <c r="Q388" s="50"/>
      <c r="R388" s="49"/>
      <c r="S388" s="37"/>
      <c r="T388" s="37"/>
      <c r="U388" s="37"/>
    </row>
    <row r="389" spans="1:21" ht="15.75" x14ac:dyDescent="0.25">
      <c r="A389" s="158">
        <v>897</v>
      </c>
      <c r="B389" s="45" t="s">
        <v>220</v>
      </c>
      <c r="C389" s="14">
        <v>1</v>
      </c>
      <c r="D389" s="61">
        <v>40</v>
      </c>
      <c r="E389" s="61">
        <v>70</v>
      </c>
      <c r="F389" s="61">
        <f t="shared" si="11"/>
        <v>30</v>
      </c>
      <c r="G389" s="8" t="s">
        <v>15</v>
      </c>
      <c r="H389" s="8" t="s">
        <v>113</v>
      </c>
      <c r="I389" s="161"/>
      <c r="K389" s="50"/>
      <c r="L389" s="49"/>
      <c r="M389" s="37"/>
      <c r="N389" s="37"/>
      <c r="O389" s="37"/>
      <c r="Q389" s="50"/>
      <c r="R389" s="49"/>
      <c r="S389" s="37"/>
      <c r="T389" s="37"/>
      <c r="U389" s="37"/>
    </row>
    <row r="390" spans="1:21" ht="15.75" x14ac:dyDescent="0.25">
      <c r="A390" s="158">
        <v>309</v>
      </c>
      <c r="B390" s="45" t="s">
        <v>220</v>
      </c>
      <c r="C390" s="126">
        <v>31</v>
      </c>
      <c r="D390" s="127">
        <v>1147</v>
      </c>
      <c r="E390" s="127">
        <v>2291.5699999999997</v>
      </c>
      <c r="F390" s="127">
        <v>1144.5699999999997</v>
      </c>
      <c r="G390" s="8" t="s">
        <v>3</v>
      </c>
      <c r="H390" s="8" t="s">
        <v>114</v>
      </c>
      <c r="I390" s="161"/>
      <c r="K390" s="50"/>
      <c r="L390" s="49"/>
      <c r="M390" s="37"/>
      <c r="N390" s="37"/>
      <c r="O390" s="37"/>
      <c r="Q390" s="50"/>
      <c r="R390" s="49"/>
      <c r="S390" s="37"/>
      <c r="T390" s="37"/>
      <c r="U390" s="37"/>
    </row>
    <row r="391" spans="1:21" ht="15.75" x14ac:dyDescent="0.25">
      <c r="A391" s="158">
        <v>835</v>
      </c>
      <c r="B391" s="45" t="s">
        <v>220</v>
      </c>
      <c r="C391" s="126">
        <v>19</v>
      </c>
      <c r="D391" s="127">
        <v>722</v>
      </c>
      <c r="E391" s="127">
        <v>1317.14</v>
      </c>
      <c r="F391" s="127">
        <v>595.1400000000001</v>
      </c>
      <c r="G391" s="8" t="s">
        <v>15</v>
      </c>
      <c r="H391" s="8" t="s">
        <v>114</v>
      </c>
      <c r="I391" s="161"/>
      <c r="K391" s="50"/>
      <c r="L391" s="49"/>
      <c r="M391" s="37"/>
      <c r="N391" s="37"/>
      <c r="O391" s="37"/>
      <c r="Q391" s="50"/>
      <c r="R391" s="49"/>
      <c r="S391" s="37"/>
      <c r="T391" s="37"/>
      <c r="U391" s="37"/>
    </row>
    <row r="392" spans="1:21" ht="15.75" x14ac:dyDescent="0.25">
      <c r="A392" s="158">
        <v>918</v>
      </c>
      <c r="B392" s="45" t="s">
        <v>220</v>
      </c>
      <c r="C392" s="136">
        <v>14</v>
      </c>
      <c r="D392" s="127">
        <v>560</v>
      </c>
      <c r="E392" s="135">
        <v>995.25040000000001</v>
      </c>
      <c r="F392" s="61">
        <f>E392-D392</f>
        <v>435.25040000000001</v>
      </c>
      <c r="G392" s="8" t="s">
        <v>15</v>
      </c>
      <c r="H392" s="8" t="s">
        <v>114</v>
      </c>
      <c r="I392" s="161"/>
      <c r="K392" s="50"/>
      <c r="L392" s="49"/>
      <c r="M392" s="37"/>
      <c r="N392" s="37"/>
      <c r="O392" s="37"/>
      <c r="Q392" s="50"/>
      <c r="R392" s="49"/>
      <c r="S392" s="37"/>
      <c r="T392" s="37"/>
      <c r="U392" s="37"/>
    </row>
    <row r="393" spans="1:21" ht="15.75" x14ac:dyDescent="0.25">
      <c r="A393" s="158">
        <v>44</v>
      </c>
      <c r="B393" s="45" t="s">
        <v>220</v>
      </c>
      <c r="C393" s="14">
        <v>1</v>
      </c>
      <c r="D393" s="61">
        <f>E393-F393</f>
        <v>1225</v>
      </c>
      <c r="E393" s="58">
        <v>2287.14</v>
      </c>
      <c r="F393" s="61">
        <v>1062.1399999999999</v>
      </c>
      <c r="G393" s="8" t="s">
        <v>15</v>
      </c>
      <c r="H393" s="57" t="s">
        <v>6</v>
      </c>
      <c r="I393" s="159"/>
      <c r="K393" s="50"/>
      <c r="L393" s="49"/>
      <c r="M393" s="37"/>
      <c r="N393" s="37"/>
      <c r="O393" s="37"/>
      <c r="Q393" s="50"/>
      <c r="R393" s="49"/>
      <c r="S393" s="37"/>
      <c r="T393" s="37"/>
      <c r="U393" s="37"/>
    </row>
    <row r="394" spans="1:21" ht="15.75" x14ac:dyDescent="0.25">
      <c r="A394" s="158">
        <v>92</v>
      </c>
      <c r="B394" s="125" t="s">
        <v>220</v>
      </c>
      <c r="C394" s="14">
        <v>1</v>
      </c>
      <c r="D394" s="58">
        <v>35</v>
      </c>
      <c r="E394" s="58">
        <v>85</v>
      </c>
      <c r="F394" s="61">
        <f>E394-D394</f>
        <v>50</v>
      </c>
      <c r="G394" s="8" t="s">
        <v>15</v>
      </c>
      <c r="H394" s="8" t="s">
        <v>113</v>
      </c>
      <c r="I394" s="159"/>
      <c r="K394" s="50"/>
      <c r="L394" s="49"/>
      <c r="M394" s="37"/>
      <c r="N394" s="37"/>
      <c r="O394" s="37"/>
      <c r="Q394" s="50"/>
      <c r="R394" s="49"/>
      <c r="S394" s="37"/>
      <c r="T394" s="37"/>
      <c r="U394" s="37"/>
    </row>
    <row r="395" spans="1:21" ht="15.75" x14ac:dyDescent="0.25">
      <c r="A395" s="158">
        <v>94</v>
      </c>
      <c r="B395" s="125" t="s">
        <v>220</v>
      </c>
      <c r="C395" s="14">
        <v>1</v>
      </c>
      <c r="D395" s="58">
        <v>35</v>
      </c>
      <c r="E395" s="58">
        <v>83</v>
      </c>
      <c r="F395" s="61">
        <f>E395-D395</f>
        <v>48</v>
      </c>
      <c r="G395" s="8" t="s">
        <v>15</v>
      </c>
      <c r="H395" s="8" t="s">
        <v>113</v>
      </c>
      <c r="I395" s="159"/>
      <c r="K395" s="50"/>
      <c r="L395" s="49"/>
      <c r="M395" s="37"/>
      <c r="N395" s="37"/>
      <c r="O395" s="37"/>
      <c r="Q395" s="50"/>
      <c r="R395" s="49"/>
      <c r="S395" s="37"/>
      <c r="T395" s="37"/>
      <c r="U395" s="37"/>
    </row>
    <row r="396" spans="1:21" ht="15.75" x14ac:dyDescent="0.25">
      <c r="A396" s="158">
        <v>95</v>
      </c>
      <c r="B396" s="125" t="s">
        <v>220</v>
      </c>
      <c r="C396" s="14">
        <v>1</v>
      </c>
      <c r="D396" s="58">
        <v>35</v>
      </c>
      <c r="E396" s="58">
        <v>70</v>
      </c>
      <c r="F396" s="61">
        <f>E396-D396</f>
        <v>35</v>
      </c>
      <c r="G396" s="8" t="s">
        <v>15</v>
      </c>
      <c r="H396" s="8" t="s">
        <v>113</v>
      </c>
      <c r="I396" s="159"/>
      <c r="K396" s="50"/>
      <c r="L396" s="49"/>
      <c r="M396" s="37"/>
      <c r="N396" s="37"/>
      <c r="O396" s="37"/>
      <c r="Q396" s="50"/>
      <c r="R396" s="49"/>
      <c r="S396" s="37"/>
      <c r="T396" s="37"/>
      <c r="U396" s="37"/>
    </row>
    <row r="397" spans="1:21" ht="15.75" x14ac:dyDescent="0.25">
      <c r="A397" s="158">
        <v>455</v>
      </c>
      <c r="B397" s="45" t="s">
        <v>220</v>
      </c>
      <c r="C397" s="14">
        <v>1</v>
      </c>
      <c r="D397" s="128">
        <v>1221</v>
      </c>
      <c r="E397" s="61">
        <v>2284.41</v>
      </c>
      <c r="F397" s="61">
        <f>E397-D397</f>
        <v>1063.4099999999999</v>
      </c>
      <c r="G397" s="8" t="s">
        <v>15</v>
      </c>
      <c r="H397" s="8" t="s">
        <v>113</v>
      </c>
      <c r="I397" s="160"/>
      <c r="K397" s="50"/>
      <c r="L397" s="49"/>
      <c r="M397" s="37"/>
      <c r="N397" s="37"/>
      <c r="O397" s="37"/>
      <c r="Q397" s="50"/>
      <c r="R397" s="49"/>
      <c r="S397" s="37"/>
      <c r="T397" s="37"/>
      <c r="U397" s="37"/>
    </row>
    <row r="398" spans="1:21" ht="15.75" x14ac:dyDescent="0.25">
      <c r="A398" s="158">
        <v>774</v>
      </c>
      <c r="B398" s="45" t="s">
        <v>220</v>
      </c>
      <c r="C398" s="126">
        <v>65</v>
      </c>
      <c r="D398" s="127">
        <v>2405</v>
      </c>
      <c r="E398" s="133">
        <v>4505.99</v>
      </c>
      <c r="F398" s="127">
        <v>2100.9899999999998</v>
      </c>
      <c r="G398" s="8" t="s">
        <v>15</v>
      </c>
      <c r="H398" s="8" t="s">
        <v>114</v>
      </c>
      <c r="I398" s="161"/>
      <c r="K398" s="50"/>
      <c r="L398" s="49"/>
      <c r="M398" s="37"/>
      <c r="N398" s="37"/>
      <c r="O398" s="37"/>
      <c r="Q398" s="50"/>
      <c r="R398" s="49"/>
      <c r="S398" s="37"/>
      <c r="T398" s="37"/>
      <c r="U398" s="37"/>
    </row>
    <row r="399" spans="1:21" ht="15.75" x14ac:dyDescent="0.25">
      <c r="A399" s="158">
        <v>718</v>
      </c>
      <c r="B399" s="45" t="s">
        <v>220</v>
      </c>
      <c r="C399" s="17">
        <v>57</v>
      </c>
      <c r="D399" s="132">
        <v>30</v>
      </c>
      <c r="E399" s="61">
        <v>3519.1</v>
      </c>
      <c r="F399" s="61">
        <v>1809.1</v>
      </c>
      <c r="G399" s="8" t="s">
        <v>15</v>
      </c>
      <c r="H399" s="8" t="s">
        <v>114</v>
      </c>
      <c r="I399" s="161"/>
      <c r="K399" s="50"/>
      <c r="L399" s="49"/>
      <c r="M399" s="37"/>
      <c r="N399" s="37"/>
      <c r="O399" s="37"/>
      <c r="Q399" s="50"/>
      <c r="R399" s="49"/>
      <c r="S399" s="37"/>
      <c r="T399" s="37"/>
      <c r="U399" s="37"/>
    </row>
    <row r="400" spans="1:21" ht="15.75" x14ac:dyDescent="0.25">
      <c r="A400" s="158">
        <v>539</v>
      </c>
      <c r="B400" s="45" t="s">
        <v>220</v>
      </c>
      <c r="C400" s="129">
        <v>19</v>
      </c>
      <c r="D400" s="61">
        <v>703</v>
      </c>
      <c r="E400" s="127">
        <v>1509.54</v>
      </c>
      <c r="F400" s="61">
        <f>SUM(E400-D400)</f>
        <v>806.54</v>
      </c>
      <c r="G400" s="8" t="s">
        <v>15</v>
      </c>
      <c r="H400" s="8" t="s">
        <v>114</v>
      </c>
      <c r="I400" s="160"/>
      <c r="K400" s="50"/>
      <c r="L400" s="49"/>
      <c r="M400" s="37"/>
      <c r="N400" s="37"/>
      <c r="O400" s="37"/>
      <c r="Q400" s="50"/>
      <c r="R400" s="49"/>
      <c r="S400" s="37"/>
      <c r="T400" s="37"/>
      <c r="U400" s="37"/>
    </row>
    <row r="401" spans="1:21" ht="15.75" x14ac:dyDescent="0.25">
      <c r="A401" s="158">
        <v>719</v>
      </c>
      <c r="B401" s="45" t="s">
        <v>220</v>
      </c>
      <c r="C401" s="17">
        <v>1</v>
      </c>
      <c r="D401" s="132">
        <v>37</v>
      </c>
      <c r="E401" s="61">
        <v>62</v>
      </c>
      <c r="F401" s="61">
        <f>E401-D401</f>
        <v>25</v>
      </c>
      <c r="G401" s="8" t="s">
        <v>15</v>
      </c>
      <c r="H401" s="8" t="s">
        <v>114</v>
      </c>
      <c r="I401" s="161"/>
      <c r="K401" s="50"/>
      <c r="L401" s="49"/>
      <c r="M401" s="37"/>
      <c r="N401" s="37"/>
      <c r="O401" s="37"/>
      <c r="Q401" s="50"/>
      <c r="R401" s="49"/>
      <c r="S401" s="37"/>
      <c r="T401" s="37"/>
      <c r="U401" s="37"/>
    </row>
    <row r="402" spans="1:21" ht="15.75" x14ac:dyDescent="0.25">
      <c r="A402" s="158">
        <v>356</v>
      </c>
      <c r="B402" s="45" t="s">
        <v>220</v>
      </c>
      <c r="C402" s="14">
        <v>1</v>
      </c>
      <c r="D402" s="61">
        <v>1470</v>
      </c>
      <c r="E402" s="61">
        <v>2848.3399999999997</v>
      </c>
      <c r="F402" s="61">
        <f>E402-D402</f>
        <v>1378.3399999999997</v>
      </c>
      <c r="G402" s="8" t="s">
        <v>15</v>
      </c>
      <c r="H402" s="8" t="s">
        <v>113</v>
      </c>
      <c r="I402" s="160"/>
      <c r="K402" s="50"/>
      <c r="L402" s="49"/>
      <c r="M402" s="37"/>
      <c r="N402" s="37"/>
      <c r="O402" s="37"/>
      <c r="Q402" s="50"/>
      <c r="R402" s="49"/>
      <c r="S402" s="37"/>
      <c r="T402" s="37"/>
      <c r="U402" s="37"/>
    </row>
    <row r="403" spans="1:21" ht="15.75" x14ac:dyDescent="0.25">
      <c r="A403" s="158">
        <v>606</v>
      </c>
      <c r="B403" s="45" t="s">
        <v>220</v>
      </c>
      <c r="C403" s="14">
        <v>1</v>
      </c>
      <c r="D403" s="127">
        <v>1170</v>
      </c>
      <c r="E403" s="127">
        <v>2514.25</v>
      </c>
      <c r="F403" s="61">
        <f>E403-D403</f>
        <v>1344.25</v>
      </c>
      <c r="G403" s="8" t="s">
        <v>15</v>
      </c>
      <c r="H403" s="8" t="s">
        <v>113</v>
      </c>
      <c r="I403" s="161"/>
      <c r="K403" s="50"/>
      <c r="L403" s="49"/>
      <c r="M403" s="37"/>
      <c r="N403" s="37"/>
      <c r="O403" s="37"/>
      <c r="Q403" s="50"/>
      <c r="R403" s="49"/>
      <c r="S403" s="37"/>
      <c r="T403" s="37"/>
      <c r="U403" s="37"/>
    </row>
    <row r="404" spans="1:21" ht="15.75" x14ac:dyDescent="0.25">
      <c r="A404" s="158">
        <v>105</v>
      </c>
      <c r="B404" s="45" t="s">
        <v>220</v>
      </c>
      <c r="C404" s="17">
        <v>37</v>
      </c>
      <c r="D404" s="58">
        <v>1295</v>
      </c>
      <c r="E404" s="58">
        <v>2319.84</v>
      </c>
      <c r="F404" s="58">
        <v>1024.8400000000001</v>
      </c>
      <c r="G404" s="8" t="s">
        <v>15</v>
      </c>
      <c r="H404" s="57" t="s">
        <v>6</v>
      </c>
      <c r="I404" s="159"/>
      <c r="K404" s="50"/>
      <c r="L404" s="49"/>
      <c r="M404" s="37"/>
      <c r="N404" s="37"/>
      <c r="O404" s="37"/>
      <c r="Q404" s="50"/>
      <c r="R404" s="49"/>
      <c r="S404" s="37"/>
      <c r="T404" s="37"/>
      <c r="U404" s="37"/>
    </row>
    <row r="405" spans="1:21" ht="15.75" x14ac:dyDescent="0.25">
      <c r="A405" s="158">
        <v>252</v>
      </c>
      <c r="B405" s="45" t="s">
        <v>220</v>
      </c>
      <c r="C405" s="17">
        <v>32</v>
      </c>
      <c r="D405" s="58">
        <v>35</v>
      </c>
      <c r="E405" s="58">
        <v>1120</v>
      </c>
      <c r="F405" s="58">
        <v>1194.8400000000001</v>
      </c>
      <c r="G405" s="8" t="s">
        <v>15</v>
      </c>
      <c r="H405" s="57" t="s">
        <v>114</v>
      </c>
      <c r="I405" s="159"/>
      <c r="K405" s="50"/>
      <c r="L405" s="49"/>
      <c r="M405" s="37"/>
      <c r="N405" s="37"/>
      <c r="O405" s="37"/>
      <c r="Q405" s="50"/>
      <c r="R405" s="49"/>
      <c r="S405" s="37"/>
      <c r="T405" s="37"/>
      <c r="U405" s="37"/>
    </row>
    <row r="406" spans="1:21" ht="15.75" x14ac:dyDescent="0.25">
      <c r="A406" s="158">
        <v>21</v>
      </c>
      <c r="B406" s="45" t="s">
        <v>220</v>
      </c>
      <c r="C406" s="14">
        <v>1</v>
      </c>
      <c r="D406" s="61">
        <v>35</v>
      </c>
      <c r="E406" s="61">
        <v>70</v>
      </c>
      <c r="F406" s="61">
        <f t="shared" ref="F406:F415" si="12">E406-D406</f>
        <v>35</v>
      </c>
      <c r="G406" s="8" t="s">
        <v>15</v>
      </c>
      <c r="H406" s="8" t="s">
        <v>113</v>
      </c>
      <c r="I406" s="160"/>
      <c r="K406" s="50"/>
      <c r="L406" s="49"/>
      <c r="M406" s="37"/>
      <c r="N406" s="37"/>
      <c r="O406" s="37"/>
      <c r="Q406" s="50"/>
      <c r="R406" s="49"/>
      <c r="S406" s="37"/>
      <c r="T406" s="37"/>
      <c r="U406" s="37"/>
    </row>
    <row r="407" spans="1:21" ht="15.75" x14ac:dyDescent="0.25">
      <c r="A407" s="158">
        <v>22</v>
      </c>
      <c r="B407" s="45" t="s">
        <v>220</v>
      </c>
      <c r="C407" s="14">
        <v>1</v>
      </c>
      <c r="D407" s="61">
        <v>35</v>
      </c>
      <c r="E407" s="61">
        <v>70</v>
      </c>
      <c r="F407" s="61">
        <f t="shared" si="12"/>
        <v>35</v>
      </c>
      <c r="G407" s="8" t="s">
        <v>15</v>
      </c>
      <c r="H407" s="8" t="s">
        <v>113</v>
      </c>
      <c r="I407" s="160"/>
      <c r="K407" s="50"/>
      <c r="L407" s="49"/>
      <c r="M407" s="37"/>
      <c r="N407" s="37"/>
      <c r="O407" s="37"/>
      <c r="Q407" s="50"/>
      <c r="R407" s="49"/>
      <c r="S407" s="37"/>
      <c r="T407" s="37"/>
      <c r="U407" s="37"/>
    </row>
    <row r="408" spans="1:21" ht="15.75" x14ac:dyDescent="0.25">
      <c r="A408" s="158">
        <v>23</v>
      </c>
      <c r="B408" s="45" t="s">
        <v>220</v>
      </c>
      <c r="C408" s="14">
        <v>1</v>
      </c>
      <c r="D408" s="61">
        <v>35</v>
      </c>
      <c r="E408" s="61">
        <v>70</v>
      </c>
      <c r="F408" s="61">
        <f t="shared" si="12"/>
        <v>35</v>
      </c>
      <c r="G408" s="8" t="s">
        <v>15</v>
      </c>
      <c r="H408" s="8" t="s">
        <v>113</v>
      </c>
      <c r="I408" s="159"/>
      <c r="K408" s="50"/>
      <c r="L408" s="49"/>
      <c r="M408" s="37"/>
      <c r="N408" s="37"/>
      <c r="O408" s="37"/>
      <c r="Q408" s="50"/>
      <c r="R408" s="49"/>
      <c r="S408" s="37"/>
      <c r="T408" s="37"/>
      <c r="U408" s="37"/>
    </row>
    <row r="409" spans="1:21" ht="15.75" x14ac:dyDescent="0.25">
      <c r="A409" s="158">
        <v>496</v>
      </c>
      <c r="B409" s="45" t="s">
        <v>220</v>
      </c>
      <c r="C409" s="14">
        <v>1</v>
      </c>
      <c r="D409" s="61">
        <v>37</v>
      </c>
      <c r="E409" s="61">
        <v>80</v>
      </c>
      <c r="F409" s="61">
        <f t="shared" si="12"/>
        <v>43</v>
      </c>
      <c r="G409" s="8" t="s">
        <v>15</v>
      </c>
      <c r="H409" s="8" t="s">
        <v>113</v>
      </c>
      <c r="I409" s="160"/>
      <c r="K409" s="50"/>
      <c r="L409" s="49"/>
      <c r="M409" s="37"/>
      <c r="N409" s="37"/>
      <c r="O409" s="37"/>
      <c r="Q409" s="50"/>
      <c r="R409" s="49"/>
      <c r="S409" s="37"/>
      <c r="T409" s="37"/>
      <c r="U409" s="37"/>
    </row>
    <row r="410" spans="1:21" ht="15.75" x14ac:dyDescent="0.25">
      <c r="A410" s="158">
        <v>500</v>
      </c>
      <c r="B410" s="45" t="s">
        <v>220</v>
      </c>
      <c r="C410" s="14">
        <v>1</v>
      </c>
      <c r="D410" s="61">
        <v>37</v>
      </c>
      <c r="E410" s="61">
        <v>70</v>
      </c>
      <c r="F410" s="61">
        <f t="shared" si="12"/>
        <v>33</v>
      </c>
      <c r="G410" s="8" t="s">
        <v>15</v>
      </c>
      <c r="H410" s="8" t="s">
        <v>113</v>
      </c>
      <c r="I410" s="160"/>
      <c r="K410" s="50"/>
      <c r="L410" s="49"/>
      <c r="M410" s="37"/>
      <c r="N410" s="37"/>
      <c r="O410" s="37"/>
      <c r="Q410" s="50"/>
      <c r="R410" s="49"/>
      <c r="S410" s="37"/>
      <c r="T410" s="37"/>
      <c r="U410" s="37"/>
    </row>
    <row r="411" spans="1:21" ht="15.75" x14ac:dyDescent="0.25">
      <c r="A411" s="158">
        <v>501</v>
      </c>
      <c r="B411" s="45" t="s">
        <v>220</v>
      </c>
      <c r="C411" s="14">
        <v>1</v>
      </c>
      <c r="D411" s="61">
        <v>37</v>
      </c>
      <c r="E411" s="61">
        <v>70</v>
      </c>
      <c r="F411" s="61">
        <f t="shared" si="12"/>
        <v>33</v>
      </c>
      <c r="G411" s="8" t="s">
        <v>15</v>
      </c>
      <c r="H411" s="8" t="s">
        <v>113</v>
      </c>
      <c r="I411" s="160"/>
      <c r="K411" s="50"/>
      <c r="L411" s="49"/>
      <c r="M411" s="37"/>
      <c r="N411" s="37"/>
      <c r="O411" s="37"/>
      <c r="Q411" s="50"/>
      <c r="R411" s="49"/>
      <c r="S411" s="37"/>
      <c r="T411" s="37"/>
      <c r="U411" s="37"/>
    </row>
    <row r="412" spans="1:21" ht="15.75" x14ac:dyDescent="0.25">
      <c r="A412" s="158">
        <v>20</v>
      </c>
      <c r="B412" s="10" t="s">
        <v>29</v>
      </c>
      <c r="C412" s="14">
        <v>1</v>
      </c>
      <c r="D412" s="61">
        <v>60</v>
      </c>
      <c r="E412" s="61">
        <v>90</v>
      </c>
      <c r="F412" s="61">
        <f t="shared" si="12"/>
        <v>30</v>
      </c>
      <c r="G412" s="8" t="s">
        <v>15</v>
      </c>
      <c r="H412" s="8" t="s">
        <v>113</v>
      </c>
      <c r="I412" s="160"/>
      <c r="K412" s="50"/>
      <c r="L412" s="49"/>
      <c r="M412" s="37"/>
      <c r="N412" s="37"/>
      <c r="O412" s="37"/>
      <c r="Q412" s="50"/>
      <c r="R412" s="49"/>
      <c r="S412" s="37"/>
      <c r="T412" s="37"/>
      <c r="U412" s="37"/>
    </row>
    <row r="413" spans="1:21" ht="15.75" x14ac:dyDescent="0.25">
      <c r="A413" s="158">
        <v>491</v>
      </c>
      <c r="B413" s="10" t="s">
        <v>29</v>
      </c>
      <c r="C413" s="14">
        <v>1</v>
      </c>
      <c r="D413" s="61">
        <v>60</v>
      </c>
      <c r="E413" s="61">
        <v>120</v>
      </c>
      <c r="F413" s="61">
        <f t="shared" si="12"/>
        <v>60</v>
      </c>
      <c r="G413" s="8" t="s">
        <v>15</v>
      </c>
      <c r="H413" s="8" t="s">
        <v>113</v>
      </c>
      <c r="I413" s="160"/>
      <c r="K413" s="50"/>
      <c r="L413" s="50"/>
      <c r="M413" s="37"/>
      <c r="N413" s="37"/>
      <c r="O413" s="37"/>
    </row>
    <row r="414" spans="1:21" ht="15.75" x14ac:dyDescent="0.25">
      <c r="A414" s="158">
        <v>494</v>
      </c>
      <c r="B414" s="10" t="s">
        <v>29</v>
      </c>
      <c r="C414" s="14">
        <v>1</v>
      </c>
      <c r="D414" s="61">
        <v>60</v>
      </c>
      <c r="E414" s="61">
        <v>120</v>
      </c>
      <c r="F414" s="61">
        <f t="shared" si="12"/>
        <v>60</v>
      </c>
      <c r="G414" s="8" t="s">
        <v>15</v>
      </c>
      <c r="H414" s="8" t="s">
        <v>113</v>
      </c>
      <c r="I414" s="160"/>
      <c r="K414" s="50"/>
      <c r="L414" s="50"/>
      <c r="M414" s="37"/>
      <c r="N414" s="37"/>
      <c r="O414" s="37"/>
    </row>
    <row r="415" spans="1:21" ht="15.75" x14ac:dyDescent="0.25">
      <c r="A415" s="158">
        <v>679</v>
      </c>
      <c r="B415" s="7" t="s">
        <v>355</v>
      </c>
      <c r="C415" s="14">
        <v>1</v>
      </c>
      <c r="D415" s="61">
        <v>48</v>
      </c>
      <c r="E415" s="61">
        <v>80</v>
      </c>
      <c r="F415" s="61">
        <f t="shared" si="12"/>
        <v>32</v>
      </c>
      <c r="G415" s="8" t="s">
        <v>15</v>
      </c>
      <c r="H415" s="8" t="s">
        <v>113</v>
      </c>
      <c r="I415" s="161"/>
      <c r="K415" s="50"/>
      <c r="L415" s="50"/>
      <c r="M415" s="37"/>
      <c r="N415" s="37"/>
      <c r="O415" s="37"/>
    </row>
    <row r="416" spans="1:21" ht="15.75" x14ac:dyDescent="0.25">
      <c r="A416" s="158">
        <v>836</v>
      </c>
      <c r="B416" s="45" t="s">
        <v>434</v>
      </c>
      <c r="C416" s="126">
        <v>1</v>
      </c>
      <c r="D416" s="127">
        <v>75</v>
      </c>
      <c r="E416" s="127">
        <v>112.5</v>
      </c>
      <c r="F416" s="127">
        <v>37.5</v>
      </c>
      <c r="G416" s="8" t="s">
        <v>15</v>
      </c>
      <c r="H416" s="8" t="s">
        <v>114</v>
      </c>
      <c r="I416" s="161"/>
      <c r="K416" s="50"/>
      <c r="L416" s="50"/>
      <c r="M416" s="37"/>
      <c r="N416" s="37"/>
      <c r="O416" s="37"/>
    </row>
    <row r="417" spans="1:15" ht="15.75" x14ac:dyDescent="0.25">
      <c r="A417" s="158">
        <v>775</v>
      </c>
      <c r="B417" s="45" t="s">
        <v>401</v>
      </c>
      <c r="C417" s="126">
        <v>1</v>
      </c>
      <c r="D417" s="127">
        <v>8</v>
      </c>
      <c r="E417" s="127">
        <v>20.77</v>
      </c>
      <c r="F417" s="127">
        <v>12.77</v>
      </c>
      <c r="G417" s="8" t="s">
        <v>15</v>
      </c>
      <c r="H417" s="8" t="s">
        <v>114</v>
      </c>
      <c r="I417" s="161"/>
      <c r="K417" s="50"/>
      <c r="L417" s="50"/>
      <c r="M417" s="37"/>
      <c r="N417" s="37"/>
      <c r="O417" s="37"/>
    </row>
    <row r="418" spans="1:15" ht="15.75" x14ac:dyDescent="0.25">
      <c r="A418" s="158">
        <v>868</v>
      </c>
      <c r="B418" s="7" t="s">
        <v>453</v>
      </c>
      <c r="C418" s="14">
        <v>1</v>
      </c>
      <c r="D418" s="61">
        <v>33.76</v>
      </c>
      <c r="E418" s="61">
        <v>70</v>
      </c>
      <c r="F418" s="61">
        <f>E418-D418</f>
        <v>36.24</v>
      </c>
      <c r="G418" s="8" t="s">
        <v>15</v>
      </c>
      <c r="H418" s="8" t="s">
        <v>113</v>
      </c>
      <c r="I418" s="161"/>
      <c r="K418" s="50"/>
      <c r="L418" s="50"/>
      <c r="M418" s="37"/>
      <c r="N418" s="37"/>
      <c r="O418" s="37"/>
    </row>
    <row r="419" spans="1:15" ht="15.75" x14ac:dyDescent="0.25">
      <c r="A419" s="158">
        <v>274</v>
      </c>
      <c r="B419" s="7" t="s">
        <v>185</v>
      </c>
      <c r="C419" s="14">
        <v>1</v>
      </c>
      <c r="D419" s="61">
        <v>30</v>
      </c>
      <c r="E419" s="61">
        <v>80</v>
      </c>
      <c r="F419" s="61">
        <f>E419-D419</f>
        <v>50</v>
      </c>
      <c r="G419" s="8" t="s">
        <v>3</v>
      </c>
      <c r="H419" s="8" t="s">
        <v>113</v>
      </c>
      <c r="I419" s="161"/>
      <c r="K419" s="50"/>
      <c r="L419" s="50"/>
      <c r="M419" s="37"/>
      <c r="N419" s="37"/>
      <c r="O419" s="37"/>
    </row>
    <row r="420" spans="1:15" ht="15.75" x14ac:dyDescent="0.25">
      <c r="A420" s="158">
        <v>776</v>
      </c>
      <c r="B420" s="45" t="s">
        <v>402</v>
      </c>
      <c r="C420" s="126">
        <v>1</v>
      </c>
      <c r="D420" s="127">
        <v>7</v>
      </c>
      <c r="E420" s="127">
        <v>15.03</v>
      </c>
      <c r="F420" s="127">
        <v>8.0299999999999994</v>
      </c>
      <c r="G420" s="8" t="s">
        <v>15</v>
      </c>
      <c r="H420" s="8" t="s">
        <v>114</v>
      </c>
      <c r="I420" s="161"/>
    </row>
    <row r="421" spans="1:15" ht="15.75" x14ac:dyDescent="0.25">
      <c r="A421" s="158">
        <v>919</v>
      </c>
      <c r="B421" s="45" t="s">
        <v>402</v>
      </c>
      <c r="C421" s="134">
        <v>1</v>
      </c>
      <c r="D421" s="127">
        <v>7</v>
      </c>
      <c r="E421" s="135">
        <v>16.399999999999999</v>
      </c>
      <c r="F421" s="61">
        <f>E421-D421</f>
        <v>9.3999999999999986</v>
      </c>
      <c r="G421" s="8" t="s">
        <v>15</v>
      </c>
      <c r="H421" s="8" t="s">
        <v>114</v>
      </c>
      <c r="I421" s="161"/>
    </row>
    <row r="422" spans="1:15" ht="15.75" x14ac:dyDescent="0.25">
      <c r="A422" s="158">
        <v>456</v>
      </c>
      <c r="B422" s="45" t="s">
        <v>174</v>
      </c>
      <c r="C422" s="14">
        <v>1</v>
      </c>
      <c r="D422" s="128">
        <v>10</v>
      </c>
      <c r="E422" s="61">
        <v>20.58</v>
      </c>
      <c r="F422" s="61">
        <f>E422-D422</f>
        <v>10.579999999999998</v>
      </c>
      <c r="G422" s="8" t="s">
        <v>15</v>
      </c>
      <c r="H422" s="8" t="s">
        <v>113</v>
      </c>
      <c r="I422" s="160"/>
    </row>
    <row r="423" spans="1:15" ht="15.75" x14ac:dyDescent="0.25">
      <c r="A423" s="158">
        <v>531</v>
      </c>
      <c r="B423" s="45" t="s">
        <v>174</v>
      </c>
      <c r="C423" s="130">
        <v>2</v>
      </c>
      <c r="D423" s="61">
        <v>20</v>
      </c>
      <c r="E423" s="58">
        <v>44.24</v>
      </c>
      <c r="F423" s="61">
        <f>SUM(E423-D423)</f>
        <v>24.240000000000002</v>
      </c>
      <c r="G423" s="8" t="s">
        <v>15</v>
      </c>
      <c r="H423" s="8" t="s">
        <v>114</v>
      </c>
      <c r="I423" s="160"/>
    </row>
    <row r="424" spans="1:15" ht="15.75" x14ac:dyDescent="0.25">
      <c r="A424" s="158">
        <v>251</v>
      </c>
      <c r="B424" s="45" t="s">
        <v>174</v>
      </c>
      <c r="C424" s="17">
        <v>1</v>
      </c>
      <c r="D424" s="58">
        <v>10</v>
      </c>
      <c r="E424" s="58">
        <v>10</v>
      </c>
      <c r="F424" s="58">
        <v>5.9600000000000009</v>
      </c>
      <c r="G424" s="8" t="s">
        <v>15</v>
      </c>
      <c r="H424" s="57" t="s">
        <v>114</v>
      </c>
      <c r="I424" s="159"/>
    </row>
    <row r="425" spans="1:15" ht="15.75" x14ac:dyDescent="0.25">
      <c r="A425" s="158">
        <v>131</v>
      </c>
      <c r="B425" s="45" t="s">
        <v>99</v>
      </c>
      <c r="C425" s="17">
        <v>1</v>
      </c>
      <c r="D425" s="58">
        <v>16</v>
      </c>
      <c r="E425" s="58">
        <v>27.84</v>
      </c>
      <c r="F425" s="58">
        <v>11.84</v>
      </c>
      <c r="G425" s="8" t="s">
        <v>15</v>
      </c>
      <c r="H425" s="57" t="s">
        <v>6</v>
      </c>
      <c r="I425" s="159"/>
    </row>
    <row r="426" spans="1:15" ht="15.75" x14ac:dyDescent="0.25">
      <c r="A426" s="158">
        <v>250</v>
      </c>
      <c r="B426" s="45" t="s">
        <v>99</v>
      </c>
      <c r="C426" s="17">
        <v>1</v>
      </c>
      <c r="D426" s="58">
        <v>16</v>
      </c>
      <c r="E426" s="58">
        <v>16</v>
      </c>
      <c r="F426" s="58">
        <v>22.17</v>
      </c>
      <c r="G426" s="8" t="s">
        <v>15</v>
      </c>
      <c r="H426" s="57" t="s">
        <v>114</v>
      </c>
      <c r="I426" s="159"/>
    </row>
    <row r="427" spans="1:15" ht="15.75" x14ac:dyDescent="0.25">
      <c r="A427" s="158">
        <v>66</v>
      </c>
      <c r="B427" s="45" t="s">
        <v>99</v>
      </c>
      <c r="C427" s="14">
        <v>1</v>
      </c>
      <c r="D427" s="61">
        <f>E427-F427</f>
        <v>16</v>
      </c>
      <c r="E427" s="58">
        <v>28</v>
      </c>
      <c r="F427" s="61">
        <v>12</v>
      </c>
      <c r="G427" s="8" t="s">
        <v>15</v>
      </c>
      <c r="H427" s="57" t="s">
        <v>6</v>
      </c>
      <c r="I427" s="159"/>
    </row>
    <row r="428" spans="1:15" ht="15.75" x14ac:dyDescent="0.25">
      <c r="A428" s="158">
        <v>607</v>
      </c>
      <c r="B428" s="45" t="s">
        <v>100</v>
      </c>
      <c r="C428" s="14">
        <v>1</v>
      </c>
      <c r="D428" s="127">
        <v>5</v>
      </c>
      <c r="E428" s="127">
        <v>11.26</v>
      </c>
      <c r="F428" s="61">
        <f>E428-D428</f>
        <v>6.26</v>
      </c>
      <c r="G428" s="8" t="s">
        <v>15</v>
      </c>
      <c r="H428" s="8" t="s">
        <v>113</v>
      </c>
      <c r="I428" s="161"/>
    </row>
    <row r="429" spans="1:15" ht="15.75" x14ac:dyDescent="0.25">
      <c r="A429" s="158">
        <v>249</v>
      </c>
      <c r="B429" s="45" t="s">
        <v>100</v>
      </c>
      <c r="C429" s="17">
        <v>25</v>
      </c>
      <c r="D429" s="58">
        <v>5</v>
      </c>
      <c r="E429" s="58">
        <v>125</v>
      </c>
      <c r="F429" s="58">
        <v>59.419999999999987</v>
      </c>
      <c r="G429" s="8" t="s">
        <v>15</v>
      </c>
      <c r="H429" s="57" t="s">
        <v>114</v>
      </c>
      <c r="I429" s="159"/>
    </row>
    <row r="430" spans="1:15" ht="15.75" x14ac:dyDescent="0.25">
      <c r="A430" s="158">
        <v>120</v>
      </c>
      <c r="B430" s="45" t="s">
        <v>100</v>
      </c>
      <c r="C430" s="17">
        <v>6</v>
      </c>
      <c r="D430" s="58">
        <v>15</v>
      </c>
      <c r="E430" s="58">
        <v>44.37</v>
      </c>
      <c r="F430" s="58">
        <v>29.369999999999997</v>
      </c>
      <c r="G430" s="8" t="s">
        <v>15</v>
      </c>
      <c r="H430" s="57" t="s">
        <v>6</v>
      </c>
      <c r="I430" s="159"/>
    </row>
    <row r="431" spans="1:15" ht="15.75" x14ac:dyDescent="0.25">
      <c r="A431" s="158">
        <v>310</v>
      </c>
      <c r="B431" s="45" t="s">
        <v>100</v>
      </c>
      <c r="C431" s="126">
        <v>2</v>
      </c>
      <c r="D431" s="127">
        <v>10</v>
      </c>
      <c r="E431" s="127">
        <v>20.48</v>
      </c>
      <c r="F431" s="127">
        <v>10.48</v>
      </c>
      <c r="G431" s="8" t="s">
        <v>3</v>
      </c>
      <c r="H431" s="8" t="s">
        <v>114</v>
      </c>
      <c r="I431" s="161"/>
    </row>
    <row r="432" spans="1:15" ht="15.75" x14ac:dyDescent="0.25">
      <c r="A432" s="158">
        <v>517</v>
      </c>
      <c r="B432" s="45" t="s">
        <v>100</v>
      </c>
      <c r="C432" s="129">
        <v>1</v>
      </c>
      <c r="D432" s="61">
        <v>5</v>
      </c>
      <c r="E432" s="127">
        <v>11.11</v>
      </c>
      <c r="F432" s="61">
        <f>SUM(E432-D432)</f>
        <v>6.1099999999999994</v>
      </c>
      <c r="G432" s="8" t="s">
        <v>15</v>
      </c>
      <c r="H432" s="8" t="s">
        <v>114</v>
      </c>
      <c r="I432" s="160"/>
    </row>
    <row r="433" spans="1:9" ht="15.75" x14ac:dyDescent="0.25">
      <c r="A433" s="158">
        <v>67</v>
      </c>
      <c r="B433" s="45" t="s">
        <v>100</v>
      </c>
      <c r="C433" s="14">
        <v>1</v>
      </c>
      <c r="D433" s="61">
        <f>E433-F433</f>
        <v>5</v>
      </c>
      <c r="E433" s="58">
        <v>12</v>
      </c>
      <c r="F433" s="61">
        <v>7</v>
      </c>
      <c r="G433" s="8" t="s">
        <v>15</v>
      </c>
      <c r="H433" s="57" t="s">
        <v>6</v>
      </c>
      <c r="I433" s="159"/>
    </row>
    <row r="434" spans="1:9" ht="15.75" x14ac:dyDescent="0.25">
      <c r="A434" s="158">
        <v>132</v>
      </c>
      <c r="B434" s="45" t="s">
        <v>84</v>
      </c>
      <c r="C434" s="17">
        <v>3</v>
      </c>
      <c r="D434" s="58">
        <v>9</v>
      </c>
      <c r="E434" s="58">
        <v>20.420000000000002</v>
      </c>
      <c r="F434" s="58">
        <v>11.420000000000002</v>
      </c>
      <c r="G434" s="8" t="s">
        <v>15</v>
      </c>
      <c r="H434" s="57" t="s">
        <v>6</v>
      </c>
      <c r="I434" s="159"/>
    </row>
    <row r="435" spans="1:9" ht="15.75" x14ac:dyDescent="0.25">
      <c r="A435" s="158">
        <v>51</v>
      </c>
      <c r="B435" s="45" t="s">
        <v>84</v>
      </c>
      <c r="C435" s="14">
        <v>1</v>
      </c>
      <c r="D435" s="61">
        <f>E435-F435</f>
        <v>9</v>
      </c>
      <c r="E435" s="58">
        <v>22.94</v>
      </c>
      <c r="F435" s="61">
        <v>13.940000000000001</v>
      </c>
      <c r="G435" s="8" t="s">
        <v>15</v>
      </c>
      <c r="H435" s="57" t="s">
        <v>6</v>
      </c>
      <c r="I435" s="159"/>
    </row>
    <row r="436" spans="1:9" ht="15.75" x14ac:dyDescent="0.25">
      <c r="A436" s="158">
        <v>357</v>
      </c>
      <c r="B436" s="45" t="s">
        <v>221</v>
      </c>
      <c r="C436" s="14">
        <v>1</v>
      </c>
      <c r="D436" s="61">
        <v>7.5</v>
      </c>
      <c r="E436" s="61">
        <v>23.51</v>
      </c>
      <c r="F436" s="61">
        <f>E436-D436</f>
        <v>16.010000000000002</v>
      </c>
      <c r="G436" s="8" t="s">
        <v>15</v>
      </c>
      <c r="H436" s="8" t="s">
        <v>113</v>
      </c>
      <c r="I436" s="160"/>
    </row>
    <row r="437" spans="1:9" ht="15.75" x14ac:dyDescent="0.25">
      <c r="A437" s="158">
        <v>457</v>
      </c>
      <c r="B437" s="45" t="s">
        <v>221</v>
      </c>
      <c r="C437" s="14">
        <v>1</v>
      </c>
      <c r="D437" s="128">
        <v>7</v>
      </c>
      <c r="E437" s="61">
        <v>25.47</v>
      </c>
      <c r="F437" s="61">
        <f>E437-D437</f>
        <v>18.47</v>
      </c>
      <c r="G437" s="8" t="s">
        <v>15</v>
      </c>
      <c r="H437" s="8" t="s">
        <v>113</v>
      </c>
      <c r="I437" s="160"/>
    </row>
    <row r="438" spans="1:9" ht="15.75" x14ac:dyDescent="0.25">
      <c r="A438" s="158">
        <v>777</v>
      </c>
      <c r="B438" s="45" t="s">
        <v>403</v>
      </c>
      <c r="C438" s="126">
        <v>1</v>
      </c>
      <c r="D438" s="127">
        <v>12</v>
      </c>
      <c r="E438" s="127">
        <v>37.15</v>
      </c>
      <c r="F438" s="127">
        <v>25.15</v>
      </c>
      <c r="G438" s="8" t="s">
        <v>15</v>
      </c>
      <c r="H438" s="8" t="s">
        <v>114</v>
      </c>
      <c r="I438" s="161"/>
    </row>
    <row r="439" spans="1:9" ht="15.75" x14ac:dyDescent="0.25">
      <c r="A439" s="158">
        <v>358</v>
      </c>
      <c r="B439" s="45" t="s">
        <v>85</v>
      </c>
      <c r="C439" s="14">
        <v>1</v>
      </c>
      <c r="D439" s="61">
        <v>660</v>
      </c>
      <c r="E439" s="61">
        <v>1387.8</v>
      </c>
      <c r="F439" s="61">
        <f>E439-D439</f>
        <v>727.8</v>
      </c>
      <c r="G439" s="8" t="s">
        <v>15</v>
      </c>
      <c r="H439" s="8" t="s">
        <v>113</v>
      </c>
      <c r="I439" s="160"/>
    </row>
    <row r="440" spans="1:9" ht="15.75" x14ac:dyDescent="0.25">
      <c r="A440" s="158">
        <v>458</v>
      </c>
      <c r="B440" s="45" t="s">
        <v>85</v>
      </c>
      <c r="C440" s="14">
        <v>1</v>
      </c>
      <c r="D440" s="128">
        <v>352</v>
      </c>
      <c r="E440" s="61">
        <v>721.03</v>
      </c>
      <c r="F440" s="61">
        <f>E440-D440</f>
        <v>369.03</v>
      </c>
      <c r="G440" s="8" t="s">
        <v>15</v>
      </c>
      <c r="H440" s="8" t="s">
        <v>113</v>
      </c>
      <c r="I440" s="160"/>
    </row>
    <row r="441" spans="1:9" ht="15.75" x14ac:dyDescent="0.25">
      <c r="A441" s="158">
        <v>311</v>
      </c>
      <c r="B441" s="45" t="s">
        <v>85</v>
      </c>
      <c r="C441" s="126">
        <v>39</v>
      </c>
      <c r="D441" s="127">
        <v>858</v>
      </c>
      <c r="E441" s="127">
        <v>1605.0900000000001</v>
      </c>
      <c r="F441" s="127">
        <v>747.09000000000015</v>
      </c>
      <c r="G441" s="8" t="s">
        <v>3</v>
      </c>
      <c r="H441" s="8" t="s">
        <v>114</v>
      </c>
      <c r="I441" s="161"/>
    </row>
    <row r="442" spans="1:9" ht="15.75" x14ac:dyDescent="0.25">
      <c r="A442" s="158">
        <v>248</v>
      </c>
      <c r="B442" s="45" t="s">
        <v>85</v>
      </c>
      <c r="C442" s="17">
        <v>17</v>
      </c>
      <c r="D442" s="58">
        <v>22</v>
      </c>
      <c r="E442" s="58">
        <v>374</v>
      </c>
      <c r="F442" s="58">
        <v>174.66999999999996</v>
      </c>
      <c r="G442" s="8" t="s">
        <v>15</v>
      </c>
      <c r="H442" s="57" t="s">
        <v>114</v>
      </c>
      <c r="I442" s="159"/>
    </row>
    <row r="443" spans="1:9" ht="15.75" x14ac:dyDescent="0.25">
      <c r="A443" s="158">
        <v>52</v>
      </c>
      <c r="B443" s="45" t="s">
        <v>85</v>
      </c>
      <c r="C443" s="14">
        <v>1</v>
      </c>
      <c r="D443" s="61">
        <f>E443-F443</f>
        <v>96</v>
      </c>
      <c r="E443" s="58">
        <v>119.69</v>
      </c>
      <c r="F443" s="61">
        <v>23.689999999999998</v>
      </c>
      <c r="G443" s="8" t="s">
        <v>15</v>
      </c>
      <c r="H443" s="57" t="s">
        <v>6</v>
      </c>
      <c r="I443" s="159"/>
    </row>
    <row r="444" spans="1:9" ht="15.75" x14ac:dyDescent="0.25">
      <c r="A444" s="158">
        <v>837</v>
      </c>
      <c r="B444" s="45" t="s">
        <v>435</v>
      </c>
      <c r="C444" s="126">
        <v>1</v>
      </c>
      <c r="D444" s="127">
        <v>1</v>
      </c>
      <c r="E444" s="127">
        <v>2.06</v>
      </c>
      <c r="F444" s="127">
        <v>1.06</v>
      </c>
      <c r="G444" s="8" t="s">
        <v>15</v>
      </c>
      <c r="H444" s="8" t="s">
        <v>114</v>
      </c>
      <c r="I444" s="161"/>
    </row>
    <row r="445" spans="1:9" ht="15.75" x14ac:dyDescent="0.25">
      <c r="A445" s="158">
        <v>518</v>
      </c>
      <c r="B445" s="45" t="s">
        <v>280</v>
      </c>
      <c r="C445" s="129">
        <v>1</v>
      </c>
      <c r="D445" s="61">
        <v>1</v>
      </c>
      <c r="E445" s="127">
        <v>7.3</v>
      </c>
      <c r="F445" s="61">
        <f>SUM(E445-D445)</f>
        <v>6.3</v>
      </c>
      <c r="G445" s="8" t="s">
        <v>15</v>
      </c>
      <c r="H445" s="8" t="s">
        <v>114</v>
      </c>
      <c r="I445" s="160"/>
    </row>
    <row r="446" spans="1:9" ht="15.75" x14ac:dyDescent="0.25">
      <c r="A446" s="158">
        <v>608</v>
      </c>
      <c r="B446" s="45" t="s">
        <v>321</v>
      </c>
      <c r="C446" s="14">
        <v>1</v>
      </c>
      <c r="D446" s="127">
        <v>1</v>
      </c>
      <c r="E446" s="127">
        <v>1.39</v>
      </c>
      <c r="F446" s="61">
        <f>E446-D446</f>
        <v>0.3899999999999999</v>
      </c>
      <c r="G446" s="8" t="s">
        <v>15</v>
      </c>
      <c r="H446" s="8" t="s">
        <v>113</v>
      </c>
      <c r="I446" s="161"/>
    </row>
    <row r="447" spans="1:9" ht="15.75" x14ac:dyDescent="0.25">
      <c r="A447" s="158">
        <v>683</v>
      </c>
      <c r="B447" s="45" t="s">
        <v>321</v>
      </c>
      <c r="C447" s="17">
        <v>3</v>
      </c>
      <c r="D447" s="132">
        <v>1</v>
      </c>
      <c r="E447" s="61">
        <v>5.7</v>
      </c>
      <c r="F447" s="61">
        <v>2.7</v>
      </c>
      <c r="G447" s="8" t="s">
        <v>15</v>
      </c>
      <c r="H447" s="8" t="s">
        <v>114</v>
      </c>
      <c r="I447" s="161"/>
    </row>
    <row r="448" spans="1:9" ht="15.75" x14ac:dyDescent="0.25">
      <c r="A448" s="158">
        <v>247</v>
      </c>
      <c r="B448" s="45" t="s">
        <v>173</v>
      </c>
      <c r="C448" s="17">
        <v>1</v>
      </c>
      <c r="D448" s="58">
        <v>16</v>
      </c>
      <c r="E448" s="58">
        <v>16</v>
      </c>
      <c r="F448" s="58">
        <v>23.560000000000002</v>
      </c>
      <c r="G448" s="8" t="s">
        <v>15</v>
      </c>
      <c r="H448" s="57" t="s">
        <v>114</v>
      </c>
      <c r="I448" s="159"/>
    </row>
    <row r="449" spans="1:9" ht="15.75" x14ac:dyDescent="0.25">
      <c r="A449" s="158">
        <v>838</v>
      </c>
      <c r="B449" s="45" t="s">
        <v>436</v>
      </c>
      <c r="C449" s="126">
        <v>1</v>
      </c>
      <c r="D449" s="127">
        <v>12</v>
      </c>
      <c r="E449" s="133">
        <v>36.770000000000003</v>
      </c>
      <c r="F449" s="127">
        <v>24.770000000000003</v>
      </c>
      <c r="G449" s="8" t="s">
        <v>15</v>
      </c>
      <c r="H449" s="8" t="s">
        <v>114</v>
      </c>
      <c r="I449" s="161"/>
    </row>
    <row r="450" spans="1:9" ht="15.75" x14ac:dyDescent="0.25">
      <c r="A450" s="158">
        <v>359</v>
      </c>
      <c r="B450" s="45" t="s">
        <v>140</v>
      </c>
      <c r="C450" s="14">
        <v>1</v>
      </c>
      <c r="D450" s="61">
        <v>2.5</v>
      </c>
      <c r="E450" s="61">
        <v>7.5</v>
      </c>
      <c r="F450" s="61">
        <f>E450-D450</f>
        <v>5</v>
      </c>
      <c r="G450" s="8" t="s">
        <v>15</v>
      </c>
      <c r="H450" s="8" t="s">
        <v>113</v>
      </c>
      <c r="I450" s="160"/>
    </row>
    <row r="451" spans="1:9" ht="15.75" x14ac:dyDescent="0.25">
      <c r="A451" s="158">
        <v>459</v>
      </c>
      <c r="B451" s="45" t="s">
        <v>140</v>
      </c>
      <c r="C451" s="14">
        <v>1</v>
      </c>
      <c r="D451" s="128">
        <v>2.5</v>
      </c>
      <c r="E451" s="61">
        <v>10.4</v>
      </c>
      <c r="F451" s="61">
        <f>E451-D451</f>
        <v>7.9</v>
      </c>
      <c r="G451" s="8" t="s">
        <v>15</v>
      </c>
      <c r="H451" s="8" t="s">
        <v>113</v>
      </c>
      <c r="I451" s="160"/>
    </row>
    <row r="452" spans="1:9" ht="15.75" x14ac:dyDescent="0.25">
      <c r="A452" s="158">
        <v>137</v>
      </c>
      <c r="B452" s="45" t="s">
        <v>140</v>
      </c>
      <c r="C452" s="17">
        <v>2</v>
      </c>
      <c r="D452" s="58">
        <v>4</v>
      </c>
      <c r="E452" s="58">
        <v>12.8</v>
      </c>
      <c r="F452" s="58">
        <v>8.8000000000000007</v>
      </c>
      <c r="G452" s="8" t="s">
        <v>15</v>
      </c>
      <c r="H452" s="57" t="s">
        <v>6</v>
      </c>
      <c r="I452" s="159"/>
    </row>
    <row r="453" spans="1:9" ht="15.75" x14ac:dyDescent="0.25">
      <c r="A453" s="158">
        <v>246</v>
      </c>
      <c r="B453" s="45" t="s">
        <v>78</v>
      </c>
      <c r="C453" s="17">
        <v>11</v>
      </c>
      <c r="D453" s="58">
        <v>3.5</v>
      </c>
      <c r="E453" s="58">
        <v>38.5</v>
      </c>
      <c r="F453" s="58">
        <v>87.34</v>
      </c>
      <c r="G453" s="8" t="s">
        <v>15</v>
      </c>
      <c r="H453" s="57" t="s">
        <v>114</v>
      </c>
      <c r="I453" s="159"/>
    </row>
    <row r="454" spans="1:9" ht="15.75" x14ac:dyDescent="0.25">
      <c r="A454" s="158">
        <v>119</v>
      </c>
      <c r="B454" s="45" t="s">
        <v>78</v>
      </c>
      <c r="C454" s="17">
        <v>9</v>
      </c>
      <c r="D454" s="58">
        <v>31.5</v>
      </c>
      <c r="E454" s="58">
        <v>68.45</v>
      </c>
      <c r="F454" s="58">
        <v>36.950000000000003</v>
      </c>
      <c r="G454" s="8" t="s">
        <v>15</v>
      </c>
      <c r="H454" s="57" t="s">
        <v>6</v>
      </c>
      <c r="I454" s="159"/>
    </row>
    <row r="455" spans="1:9" ht="15.75" x14ac:dyDescent="0.25">
      <c r="A455" s="158">
        <v>312</v>
      </c>
      <c r="B455" s="45" t="s">
        <v>78</v>
      </c>
      <c r="C455" s="126">
        <v>9</v>
      </c>
      <c r="D455" s="127">
        <v>27</v>
      </c>
      <c r="E455" s="127">
        <v>73.88</v>
      </c>
      <c r="F455" s="127">
        <v>46.879999999999995</v>
      </c>
      <c r="G455" s="8" t="s">
        <v>3</v>
      </c>
      <c r="H455" s="8" t="s">
        <v>114</v>
      </c>
      <c r="I455" s="161"/>
    </row>
    <row r="456" spans="1:9" ht="15.75" x14ac:dyDescent="0.25">
      <c r="A456" s="158">
        <v>45</v>
      </c>
      <c r="B456" s="45" t="s">
        <v>78</v>
      </c>
      <c r="C456" s="14">
        <v>1</v>
      </c>
      <c r="D456" s="61">
        <f>E456-F456</f>
        <v>31.5</v>
      </c>
      <c r="E456" s="58">
        <v>93.92</v>
      </c>
      <c r="F456" s="61">
        <v>62.42</v>
      </c>
      <c r="G456" s="8" t="s">
        <v>15</v>
      </c>
      <c r="H456" s="57" t="s">
        <v>6</v>
      </c>
      <c r="I456" s="159"/>
    </row>
    <row r="457" spans="1:9" ht="15.75" x14ac:dyDescent="0.25">
      <c r="A457" s="158">
        <v>360</v>
      </c>
      <c r="B457" s="45" t="s">
        <v>222</v>
      </c>
      <c r="C457" s="14">
        <v>1</v>
      </c>
      <c r="D457" s="61">
        <v>15</v>
      </c>
      <c r="E457" s="61">
        <v>48.800000000000004</v>
      </c>
      <c r="F457" s="61">
        <f>E457-D457</f>
        <v>33.800000000000004</v>
      </c>
      <c r="G457" s="8" t="s">
        <v>15</v>
      </c>
      <c r="H457" s="8" t="s">
        <v>113</v>
      </c>
      <c r="I457" s="160"/>
    </row>
    <row r="458" spans="1:9" ht="15.75" x14ac:dyDescent="0.25">
      <c r="A458" s="158">
        <v>361</v>
      </c>
      <c r="B458" s="45" t="s">
        <v>138</v>
      </c>
      <c r="C458" s="14">
        <v>1</v>
      </c>
      <c r="D458" s="61">
        <v>3</v>
      </c>
      <c r="E458" s="61">
        <v>9.99</v>
      </c>
      <c r="F458" s="61">
        <f>E458-D458</f>
        <v>6.99</v>
      </c>
      <c r="G458" s="8" t="s">
        <v>15</v>
      </c>
      <c r="H458" s="8" t="s">
        <v>113</v>
      </c>
      <c r="I458" s="160"/>
    </row>
    <row r="459" spans="1:9" ht="15.75" x14ac:dyDescent="0.25">
      <c r="A459" s="158">
        <v>134</v>
      </c>
      <c r="B459" s="45" t="s">
        <v>138</v>
      </c>
      <c r="C459" s="17">
        <v>2</v>
      </c>
      <c r="D459" s="58">
        <v>6</v>
      </c>
      <c r="E459" s="58">
        <v>16</v>
      </c>
      <c r="F459" s="58">
        <v>10</v>
      </c>
      <c r="G459" s="8" t="s">
        <v>15</v>
      </c>
      <c r="H459" s="57" t="s">
        <v>6</v>
      </c>
      <c r="I459" s="159"/>
    </row>
    <row r="460" spans="1:9" ht="15.75" x14ac:dyDescent="0.25">
      <c r="A460" s="158">
        <v>519</v>
      </c>
      <c r="B460" s="45" t="s">
        <v>138</v>
      </c>
      <c r="C460" s="129">
        <v>1</v>
      </c>
      <c r="D460" s="61">
        <v>3</v>
      </c>
      <c r="E460" s="127">
        <v>10.95</v>
      </c>
      <c r="F460" s="61">
        <f>SUM(E460-D460)</f>
        <v>7.9499999999999993</v>
      </c>
      <c r="G460" s="8" t="s">
        <v>15</v>
      </c>
      <c r="H460" s="8" t="s">
        <v>114</v>
      </c>
      <c r="I460" s="160"/>
    </row>
    <row r="461" spans="1:9" ht="15.75" x14ac:dyDescent="0.25">
      <c r="A461" s="158">
        <v>68</v>
      </c>
      <c r="B461" s="45" t="s">
        <v>101</v>
      </c>
      <c r="C461" s="14">
        <v>1</v>
      </c>
      <c r="D461" s="61">
        <f>E461-F461</f>
        <v>0</v>
      </c>
      <c r="E461" s="58">
        <v>11.09</v>
      </c>
      <c r="F461" s="61">
        <v>11.09</v>
      </c>
      <c r="G461" s="8" t="s">
        <v>15</v>
      </c>
      <c r="H461" s="57" t="s">
        <v>6</v>
      </c>
      <c r="I461" s="159"/>
    </row>
    <row r="462" spans="1:9" ht="15.75" x14ac:dyDescent="0.25">
      <c r="A462" s="158">
        <v>460</v>
      </c>
      <c r="B462" s="45" t="s">
        <v>254</v>
      </c>
      <c r="C462" s="14">
        <v>1</v>
      </c>
      <c r="D462" s="128">
        <v>3</v>
      </c>
      <c r="E462" s="61">
        <v>5.21</v>
      </c>
      <c r="F462" s="61">
        <f>E462-D462</f>
        <v>2.21</v>
      </c>
      <c r="G462" s="8" t="s">
        <v>15</v>
      </c>
      <c r="H462" s="8" t="s">
        <v>113</v>
      </c>
      <c r="I462" s="160"/>
    </row>
    <row r="463" spans="1:9" ht="15.75" x14ac:dyDescent="0.25">
      <c r="A463" s="158">
        <v>520</v>
      </c>
      <c r="B463" s="45" t="s">
        <v>254</v>
      </c>
      <c r="C463" s="129">
        <v>1</v>
      </c>
      <c r="D463" s="61">
        <v>3</v>
      </c>
      <c r="E463" s="127">
        <v>10</v>
      </c>
      <c r="F463" s="61">
        <f>SUM(E463-D463)</f>
        <v>7</v>
      </c>
      <c r="G463" s="8" t="s">
        <v>15</v>
      </c>
      <c r="H463" s="8" t="s">
        <v>114</v>
      </c>
      <c r="I463" s="160"/>
    </row>
    <row r="464" spans="1:9" ht="15.75" x14ac:dyDescent="0.25">
      <c r="A464" s="158">
        <v>920</v>
      </c>
      <c r="B464" s="45" t="s">
        <v>172</v>
      </c>
      <c r="C464" s="136">
        <v>2</v>
      </c>
      <c r="D464" s="127">
        <v>60</v>
      </c>
      <c r="E464" s="135">
        <v>60.278200000000005</v>
      </c>
      <c r="F464" s="61">
        <f>E464-D464</f>
        <v>0.27820000000000533</v>
      </c>
      <c r="G464" s="8" t="s">
        <v>15</v>
      </c>
      <c r="H464" s="8" t="s">
        <v>114</v>
      </c>
      <c r="I464" s="161"/>
    </row>
    <row r="465" spans="1:9" ht="15.75" x14ac:dyDescent="0.25">
      <c r="A465" s="158">
        <v>245</v>
      </c>
      <c r="B465" s="45" t="s">
        <v>172</v>
      </c>
      <c r="C465" s="17">
        <v>1</v>
      </c>
      <c r="D465" s="58">
        <v>19</v>
      </c>
      <c r="E465" s="58">
        <v>19</v>
      </c>
      <c r="F465" s="58">
        <v>19.18</v>
      </c>
      <c r="G465" s="8" t="s">
        <v>15</v>
      </c>
      <c r="H465" s="57" t="s">
        <v>114</v>
      </c>
      <c r="I465" s="159"/>
    </row>
    <row r="466" spans="1:9" ht="15.75" x14ac:dyDescent="0.25">
      <c r="A466" s="158">
        <v>695</v>
      </c>
      <c r="B466" s="45" t="s">
        <v>172</v>
      </c>
      <c r="C466" s="126">
        <v>1</v>
      </c>
      <c r="D466" s="132">
        <v>20</v>
      </c>
      <c r="E466" s="61">
        <v>32.549999999999997</v>
      </c>
      <c r="F466" s="61">
        <v>12.549999999999997</v>
      </c>
      <c r="G466" s="8" t="s">
        <v>15</v>
      </c>
      <c r="H466" s="8" t="s">
        <v>114</v>
      </c>
      <c r="I466" s="161"/>
    </row>
    <row r="467" spans="1:9" ht="15.75" x14ac:dyDescent="0.25">
      <c r="A467" s="158">
        <v>461</v>
      </c>
      <c r="B467" s="45" t="s">
        <v>255</v>
      </c>
      <c r="C467" s="14">
        <v>1</v>
      </c>
      <c r="D467" s="128">
        <v>10</v>
      </c>
      <c r="E467" s="61">
        <v>19.989999999999998</v>
      </c>
      <c r="F467" s="61">
        <f>E467-D467</f>
        <v>9.9899999999999984</v>
      </c>
      <c r="G467" s="8" t="s">
        <v>15</v>
      </c>
      <c r="H467" s="8" t="s">
        <v>113</v>
      </c>
      <c r="I467" s="160"/>
    </row>
    <row r="468" spans="1:9" ht="15.75" x14ac:dyDescent="0.25">
      <c r="A468" s="158">
        <v>69</v>
      </c>
      <c r="B468" s="45" t="s">
        <v>102</v>
      </c>
      <c r="C468" s="14">
        <v>1</v>
      </c>
      <c r="D468" s="61">
        <f>E468-F468</f>
        <v>14</v>
      </c>
      <c r="E468" s="58">
        <v>24.4</v>
      </c>
      <c r="F468" s="61">
        <v>10.399999999999999</v>
      </c>
      <c r="G468" s="8" t="s">
        <v>15</v>
      </c>
      <c r="H468" s="57" t="s">
        <v>6</v>
      </c>
      <c r="I468" s="159"/>
    </row>
    <row r="469" spans="1:9" ht="15.75" x14ac:dyDescent="0.25">
      <c r="A469" s="158">
        <v>778</v>
      </c>
      <c r="B469" s="45" t="s">
        <v>404</v>
      </c>
      <c r="C469" s="126">
        <v>1</v>
      </c>
      <c r="D469" s="127">
        <v>3</v>
      </c>
      <c r="E469" s="127">
        <v>14.25</v>
      </c>
      <c r="F469" s="127">
        <v>11.25</v>
      </c>
      <c r="G469" s="8" t="s">
        <v>15</v>
      </c>
      <c r="H469" s="8" t="s">
        <v>114</v>
      </c>
      <c r="I469" s="161"/>
    </row>
    <row r="470" spans="1:9" ht="15.75" x14ac:dyDescent="0.25">
      <c r="A470" s="158">
        <v>25</v>
      </c>
      <c r="B470" s="12" t="s">
        <v>32</v>
      </c>
      <c r="C470" s="14">
        <v>1</v>
      </c>
      <c r="D470" s="61">
        <v>10</v>
      </c>
      <c r="E470" s="61">
        <v>20</v>
      </c>
      <c r="F470" s="61">
        <f>E470-D470</f>
        <v>10</v>
      </c>
      <c r="G470" s="8" t="s">
        <v>15</v>
      </c>
      <c r="H470" s="8" t="s">
        <v>113</v>
      </c>
      <c r="I470" s="160"/>
    </row>
    <row r="471" spans="1:9" ht="15.75" x14ac:dyDescent="0.25">
      <c r="A471" s="158">
        <v>26</v>
      </c>
      <c r="B471" s="12" t="s">
        <v>33</v>
      </c>
      <c r="C471" s="14">
        <v>1</v>
      </c>
      <c r="D471" s="61">
        <v>15</v>
      </c>
      <c r="E471" s="61">
        <v>30</v>
      </c>
      <c r="F471" s="61">
        <f>E471-D471</f>
        <v>15</v>
      </c>
      <c r="G471" s="8" t="s">
        <v>15</v>
      </c>
      <c r="H471" s="8" t="s">
        <v>113</v>
      </c>
      <c r="I471" s="160"/>
    </row>
    <row r="472" spans="1:9" ht="15.75" x14ac:dyDescent="0.25">
      <c r="A472" s="158">
        <v>462</v>
      </c>
      <c r="B472" s="45" t="s">
        <v>171</v>
      </c>
      <c r="C472" s="14">
        <v>1</v>
      </c>
      <c r="D472" s="128">
        <v>2</v>
      </c>
      <c r="E472" s="61">
        <v>13</v>
      </c>
      <c r="F472" s="61">
        <f>E472-D472</f>
        <v>11</v>
      </c>
      <c r="G472" s="8" t="s">
        <v>15</v>
      </c>
      <c r="H472" s="8" t="s">
        <v>113</v>
      </c>
      <c r="I472" s="160"/>
    </row>
    <row r="473" spans="1:9" ht="15.75" x14ac:dyDescent="0.25">
      <c r="A473" s="158">
        <v>313</v>
      </c>
      <c r="B473" s="45" t="s">
        <v>171</v>
      </c>
      <c r="C473" s="126">
        <v>6</v>
      </c>
      <c r="D473" s="127">
        <v>15</v>
      </c>
      <c r="E473" s="127">
        <v>46.27</v>
      </c>
      <c r="F473" s="127">
        <v>31.270000000000003</v>
      </c>
      <c r="G473" s="8" t="s">
        <v>3</v>
      </c>
      <c r="H473" s="8" t="s">
        <v>114</v>
      </c>
      <c r="I473" s="161"/>
    </row>
    <row r="474" spans="1:9" ht="15.75" x14ac:dyDescent="0.25">
      <c r="A474" s="158">
        <v>244</v>
      </c>
      <c r="B474" s="45" t="s">
        <v>171</v>
      </c>
      <c r="C474" s="17">
        <v>1</v>
      </c>
      <c r="D474" s="58">
        <v>2</v>
      </c>
      <c r="E474" s="58">
        <v>2</v>
      </c>
      <c r="F474" s="58">
        <v>5.5</v>
      </c>
      <c r="G474" s="8" t="s">
        <v>15</v>
      </c>
      <c r="H474" s="57" t="s">
        <v>114</v>
      </c>
      <c r="I474" s="159"/>
    </row>
    <row r="475" spans="1:9" ht="15.75" x14ac:dyDescent="0.25">
      <c r="A475" s="158">
        <v>779</v>
      </c>
      <c r="B475" s="45" t="s">
        <v>405</v>
      </c>
      <c r="C475" s="126">
        <v>1</v>
      </c>
      <c r="D475" s="127">
        <v>3</v>
      </c>
      <c r="E475" s="127">
        <v>8.14</v>
      </c>
      <c r="F475" s="127">
        <v>5.1400000000000006</v>
      </c>
      <c r="G475" s="8" t="s">
        <v>15</v>
      </c>
      <c r="H475" s="8" t="s">
        <v>114</v>
      </c>
      <c r="I475" s="161"/>
    </row>
    <row r="476" spans="1:9" ht="15.75" x14ac:dyDescent="0.25">
      <c r="A476" s="158">
        <v>27</v>
      </c>
      <c r="B476" s="12" t="s">
        <v>34</v>
      </c>
      <c r="C476" s="14">
        <v>1</v>
      </c>
      <c r="D476" s="61">
        <v>2.5</v>
      </c>
      <c r="E476" s="61">
        <v>5</v>
      </c>
      <c r="F476" s="61">
        <f>E476-D476</f>
        <v>2.5</v>
      </c>
      <c r="G476" s="8" t="s">
        <v>15</v>
      </c>
      <c r="H476" s="8" t="s">
        <v>113</v>
      </c>
      <c r="I476" s="159"/>
    </row>
    <row r="477" spans="1:9" ht="15.75" x14ac:dyDescent="0.25">
      <c r="A477" s="158">
        <v>125</v>
      </c>
      <c r="B477" s="45" t="s">
        <v>133</v>
      </c>
      <c r="C477" s="17">
        <v>2</v>
      </c>
      <c r="D477" s="58">
        <v>14</v>
      </c>
      <c r="E477" s="58">
        <v>36</v>
      </c>
      <c r="F477" s="58">
        <v>22</v>
      </c>
      <c r="G477" s="8" t="s">
        <v>15</v>
      </c>
      <c r="H477" s="57" t="s">
        <v>6</v>
      </c>
      <c r="I477" s="159"/>
    </row>
    <row r="478" spans="1:9" ht="15.75" x14ac:dyDescent="0.25">
      <c r="A478" s="158">
        <v>839</v>
      </c>
      <c r="B478" s="45" t="s">
        <v>133</v>
      </c>
      <c r="C478" s="126">
        <v>2</v>
      </c>
      <c r="D478" s="127">
        <v>16</v>
      </c>
      <c r="E478" s="133">
        <v>22.52</v>
      </c>
      <c r="F478" s="127">
        <v>6.52</v>
      </c>
      <c r="G478" s="8" t="s">
        <v>15</v>
      </c>
      <c r="H478" s="8" t="s">
        <v>114</v>
      </c>
      <c r="I478" s="161"/>
    </row>
    <row r="479" spans="1:9" ht="15.75" x14ac:dyDescent="0.25">
      <c r="A479" s="158">
        <v>55</v>
      </c>
      <c r="B479" s="45" t="s">
        <v>88</v>
      </c>
      <c r="C479" s="14">
        <v>1</v>
      </c>
      <c r="D479" s="61">
        <f>E479-F479</f>
        <v>5</v>
      </c>
      <c r="E479" s="58">
        <v>12.07</v>
      </c>
      <c r="F479" s="61">
        <v>7.07</v>
      </c>
      <c r="G479" s="8" t="s">
        <v>15</v>
      </c>
      <c r="H479" s="57" t="s">
        <v>6</v>
      </c>
      <c r="I479" s="159"/>
    </row>
    <row r="480" spans="1:9" ht="15.75" x14ac:dyDescent="0.25">
      <c r="A480" s="158">
        <v>42</v>
      </c>
      <c r="B480" s="45" t="s">
        <v>75</v>
      </c>
      <c r="C480" s="14">
        <v>1</v>
      </c>
      <c r="D480" s="61">
        <f>E480-F480</f>
        <v>110</v>
      </c>
      <c r="E480" s="58">
        <v>221.1</v>
      </c>
      <c r="F480" s="61">
        <v>111.1</v>
      </c>
      <c r="G480" s="8" t="s">
        <v>15</v>
      </c>
      <c r="H480" s="57" t="s">
        <v>6</v>
      </c>
      <c r="I480" s="159"/>
    </row>
    <row r="481" spans="1:9" ht="15.75" x14ac:dyDescent="0.25">
      <c r="A481" s="158">
        <v>70</v>
      </c>
      <c r="B481" s="45" t="s">
        <v>75</v>
      </c>
      <c r="C481" s="14">
        <v>1</v>
      </c>
      <c r="D481" s="61">
        <f>E481-F481</f>
        <v>5</v>
      </c>
      <c r="E481" s="58">
        <v>8</v>
      </c>
      <c r="F481" s="61">
        <v>3</v>
      </c>
      <c r="G481" s="8" t="s">
        <v>15</v>
      </c>
      <c r="H481" s="57" t="s">
        <v>6</v>
      </c>
      <c r="I481" s="159"/>
    </row>
    <row r="482" spans="1:9" ht="15.75" x14ac:dyDescent="0.25">
      <c r="A482" s="158">
        <v>609</v>
      </c>
      <c r="B482" s="45" t="s">
        <v>125</v>
      </c>
      <c r="C482" s="14">
        <v>1</v>
      </c>
      <c r="D482" s="127">
        <v>14</v>
      </c>
      <c r="E482" s="127">
        <v>21.26</v>
      </c>
      <c r="F482" s="61">
        <f>E482-D482</f>
        <v>7.2600000000000016</v>
      </c>
      <c r="G482" s="8" t="s">
        <v>15</v>
      </c>
      <c r="H482" s="8" t="s">
        <v>113</v>
      </c>
      <c r="I482" s="161"/>
    </row>
    <row r="483" spans="1:9" ht="15.75" x14ac:dyDescent="0.25">
      <c r="A483" s="158">
        <v>106</v>
      </c>
      <c r="B483" s="45" t="s">
        <v>125</v>
      </c>
      <c r="C483" s="17">
        <v>112</v>
      </c>
      <c r="D483" s="58">
        <v>560</v>
      </c>
      <c r="E483" s="58">
        <v>1170.73</v>
      </c>
      <c r="F483" s="58">
        <v>610.73</v>
      </c>
      <c r="G483" s="8" t="s">
        <v>15</v>
      </c>
      <c r="H483" s="57" t="s">
        <v>6</v>
      </c>
      <c r="I483" s="159"/>
    </row>
    <row r="484" spans="1:9" ht="15.75" x14ac:dyDescent="0.25">
      <c r="A484" s="158">
        <v>243</v>
      </c>
      <c r="B484" s="45" t="s">
        <v>125</v>
      </c>
      <c r="C484" s="17">
        <v>37</v>
      </c>
      <c r="D484" s="58">
        <v>7</v>
      </c>
      <c r="E484" s="58">
        <v>259</v>
      </c>
      <c r="F484" s="58">
        <v>283.73</v>
      </c>
      <c r="G484" s="8" t="s">
        <v>15</v>
      </c>
      <c r="H484" s="57" t="s">
        <v>114</v>
      </c>
      <c r="I484" s="159"/>
    </row>
    <row r="485" spans="1:9" ht="15.75" x14ac:dyDescent="0.25">
      <c r="A485" s="158">
        <v>314</v>
      </c>
      <c r="B485" s="45" t="s">
        <v>125</v>
      </c>
      <c r="C485" s="126">
        <v>33</v>
      </c>
      <c r="D485" s="127">
        <v>247.5</v>
      </c>
      <c r="E485" s="127">
        <v>564.04999999999995</v>
      </c>
      <c r="F485" s="127">
        <v>316.54999999999995</v>
      </c>
      <c r="G485" s="8" t="s">
        <v>3</v>
      </c>
      <c r="H485" s="8" t="s">
        <v>114</v>
      </c>
      <c r="I485" s="161"/>
    </row>
    <row r="486" spans="1:9" ht="15.75" x14ac:dyDescent="0.25">
      <c r="A486" s="158">
        <v>921</v>
      </c>
      <c r="B486" s="45" t="s">
        <v>125</v>
      </c>
      <c r="C486" s="136">
        <v>5</v>
      </c>
      <c r="D486" s="127">
        <v>32.5</v>
      </c>
      <c r="E486" s="135">
        <v>66.551199999999994</v>
      </c>
      <c r="F486" s="61">
        <f t="shared" ref="F486:F499" si="13">E486-D486</f>
        <v>34.051199999999994</v>
      </c>
      <c r="G486" s="8" t="s">
        <v>15</v>
      </c>
      <c r="H486" s="8" t="s">
        <v>114</v>
      </c>
      <c r="I486" s="161"/>
    </row>
    <row r="487" spans="1:9" ht="15.75" x14ac:dyDescent="0.25">
      <c r="A487" s="158">
        <v>333</v>
      </c>
      <c r="B487" s="12" t="s">
        <v>152</v>
      </c>
      <c r="C487" s="14">
        <v>1</v>
      </c>
      <c r="D487" s="61">
        <v>22</v>
      </c>
      <c r="E487" s="61">
        <v>50</v>
      </c>
      <c r="F487" s="61">
        <f t="shared" si="13"/>
        <v>28</v>
      </c>
      <c r="G487" s="8" t="s">
        <v>15</v>
      </c>
      <c r="H487" s="8" t="s">
        <v>113</v>
      </c>
      <c r="I487" s="160"/>
    </row>
    <row r="488" spans="1:9" ht="15.75" x14ac:dyDescent="0.25">
      <c r="A488" s="158">
        <v>340</v>
      </c>
      <c r="B488" s="12" t="s">
        <v>152</v>
      </c>
      <c r="C488" s="14">
        <v>1</v>
      </c>
      <c r="D488" s="61">
        <v>22</v>
      </c>
      <c r="E488" s="61">
        <v>60</v>
      </c>
      <c r="F488" s="61">
        <f t="shared" si="13"/>
        <v>38</v>
      </c>
      <c r="G488" s="8" t="s">
        <v>15</v>
      </c>
      <c r="H488" s="8" t="s">
        <v>113</v>
      </c>
      <c r="I488" s="160"/>
    </row>
    <row r="489" spans="1:9" ht="15.75" x14ac:dyDescent="0.25">
      <c r="A489" s="158">
        <v>282</v>
      </c>
      <c r="B489" s="12" t="s">
        <v>152</v>
      </c>
      <c r="C489" s="14">
        <v>1</v>
      </c>
      <c r="D489" s="61">
        <v>22</v>
      </c>
      <c r="E489" s="61">
        <v>40</v>
      </c>
      <c r="F489" s="61">
        <f t="shared" si="13"/>
        <v>18</v>
      </c>
      <c r="G489" s="8" t="s">
        <v>3</v>
      </c>
      <c r="H489" s="8" t="s">
        <v>113</v>
      </c>
      <c r="I489" s="161"/>
    </row>
    <row r="490" spans="1:9" ht="15.75" x14ac:dyDescent="0.25">
      <c r="A490" s="158">
        <v>285</v>
      </c>
      <c r="B490" s="12" t="s">
        <v>152</v>
      </c>
      <c r="C490" s="14">
        <v>1</v>
      </c>
      <c r="D490" s="61">
        <v>22</v>
      </c>
      <c r="E490" s="61">
        <v>40</v>
      </c>
      <c r="F490" s="61">
        <f t="shared" si="13"/>
        <v>18</v>
      </c>
      <c r="G490" s="8" t="s">
        <v>3</v>
      </c>
      <c r="H490" s="8" t="s">
        <v>113</v>
      </c>
      <c r="I490" s="161"/>
    </row>
    <row r="491" spans="1:9" ht="15.75" x14ac:dyDescent="0.25">
      <c r="A491" s="158">
        <v>199</v>
      </c>
      <c r="B491" s="12" t="s">
        <v>152</v>
      </c>
      <c r="C491" s="14">
        <v>1</v>
      </c>
      <c r="D491" s="61">
        <v>22</v>
      </c>
      <c r="E491" s="61">
        <v>35</v>
      </c>
      <c r="F491" s="61">
        <f t="shared" si="13"/>
        <v>13</v>
      </c>
      <c r="G491" s="8" t="s">
        <v>15</v>
      </c>
      <c r="H491" s="8" t="s">
        <v>113</v>
      </c>
      <c r="I491" s="159"/>
    </row>
    <row r="492" spans="1:9" ht="15.75" x14ac:dyDescent="0.25">
      <c r="A492" s="158">
        <v>200</v>
      </c>
      <c r="B492" s="12" t="s">
        <v>152</v>
      </c>
      <c r="C492" s="14">
        <v>1</v>
      </c>
      <c r="D492" s="61">
        <v>22</v>
      </c>
      <c r="E492" s="61">
        <v>35</v>
      </c>
      <c r="F492" s="61">
        <f t="shared" si="13"/>
        <v>13</v>
      </c>
      <c r="G492" s="8" t="s">
        <v>15</v>
      </c>
      <c r="H492" s="8" t="s">
        <v>113</v>
      </c>
      <c r="I492" s="159"/>
    </row>
    <row r="493" spans="1:9" ht="15.75" x14ac:dyDescent="0.25">
      <c r="A493" s="158">
        <v>201</v>
      </c>
      <c r="B493" s="12" t="s">
        <v>152</v>
      </c>
      <c r="C493" s="14">
        <v>1</v>
      </c>
      <c r="D493" s="61">
        <v>22</v>
      </c>
      <c r="E493" s="61">
        <v>35</v>
      </c>
      <c r="F493" s="61">
        <f t="shared" si="13"/>
        <v>13</v>
      </c>
      <c r="G493" s="8" t="s">
        <v>15</v>
      </c>
      <c r="H493" s="8" t="s">
        <v>113</v>
      </c>
      <c r="I493" s="159"/>
    </row>
    <row r="494" spans="1:9" ht="15.75" x14ac:dyDescent="0.25">
      <c r="A494" s="158">
        <v>202</v>
      </c>
      <c r="B494" s="12" t="s">
        <v>152</v>
      </c>
      <c r="C494" s="14">
        <v>1</v>
      </c>
      <c r="D494" s="61">
        <v>22</v>
      </c>
      <c r="E494" s="61">
        <v>40</v>
      </c>
      <c r="F494" s="61">
        <f t="shared" si="13"/>
        <v>18</v>
      </c>
      <c r="G494" s="8" t="s">
        <v>15</v>
      </c>
      <c r="H494" s="8" t="s">
        <v>113</v>
      </c>
      <c r="I494" s="159"/>
    </row>
    <row r="495" spans="1:9" ht="15.75" x14ac:dyDescent="0.25">
      <c r="A495" s="158">
        <v>214</v>
      </c>
      <c r="B495" s="12" t="s">
        <v>152</v>
      </c>
      <c r="C495" s="14">
        <v>1</v>
      </c>
      <c r="D495" s="61">
        <v>22</v>
      </c>
      <c r="E495" s="61">
        <v>50</v>
      </c>
      <c r="F495" s="61">
        <f t="shared" si="13"/>
        <v>28</v>
      </c>
      <c r="G495" s="8" t="s">
        <v>15</v>
      </c>
      <c r="H495" s="8" t="s">
        <v>113</v>
      </c>
      <c r="I495" s="159"/>
    </row>
    <row r="496" spans="1:9" ht="15.75" x14ac:dyDescent="0.25">
      <c r="A496" s="158">
        <v>215</v>
      </c>
      <c r="B496" s="12" t="s">
        <v>152</v>
      </c>
      <c r="C496" s="14">
        <v>1</v>
      </c>
      <c r="D496" s="61">
        <v>22</v>
      </c>
      <c r="E496" s="61">
        <v>60</v>
      </c>
      <c r="F496" s="61">
        <f t="shared" si="13"/>
        <v>38</v>
      </c>
      <c r="G496" s="8" t="s">
        <v>15</v>
      </c>
      <c r="H496" s="8" t="s">
        <v>113</v>
      </c>
      <c r="I496" s="159"/>
    </row>
    <row r="497" spans="1:9" ht="15.75" x14ac:dyDescent="0.25">
      <c r="A497" s="158">
        <v>362</v>
      </c>
      <c r="B497" s="45" t="s">
        <v>223</v>
      </c>
      <c r="C497" s="14">
        <v>1</v>
      </c>
      <c r="D497" s="61">
        <v>105</v>
      </c>
      <c r="E497" s="61">
        <v>269.82</v>
      </c>
      <c r="F497" s="61">
        <f t="shared" si="13"/>
        <v>164.82</v>
      </c>
      <c r="G497" s="8" t="s">
        <v>15</v>
      </c>
      <c r="H497" s="8" t="s">
        <v>113</v>
      </c>
      <c r="I497" s="160"/>
    </row>
    <row r="498" spans="1:9" ht="15.75" x14ac:dyDescent="0.25">
      <c r="A498" s="158">
        <v>463</v>
      </c>
      <c r="B498" s="45" t="s">
        <v>223</v>
      </c>
      <c r="C498" s="14">
        <v>1</v>
      </c>
      <c r="D498" s="128">
        <v>24</v>
      </c>
      <c r="E498" s="61">
        <v>49.44</v>
      </c>
      <c r="F498" s="61">
        <f t="shared" si="13"/>
        <v>25.439999999999998</v>
      </c>
      <c r="G498" s="8" t="s">
        <v>15</v>
      </c>
      <c r="H498" s="8" t="s">
        <v>113</v>
      </c>
      <c r="I498" s="160"/>
    </row>
    <row r="499" spans="1:9" ht="15.75" x14ac:dyDescent="0.25">
      <c r="A499" s="158">
        <v>610</v>
      </c>
      <c r="B499" s="45" t="s">
        <v>223</v>
      </c>
      <c r="C499" s="14">
        <v>1</v>
      </c>
      <c r="D499" s="127">
        <v>119</v>
      </c>
      <c r="E499" s="127">
        <v>236.75</v>
      </c>
      <c r="F499" s="61">
        <f t="shared" si="13"/>
        <v>117.75</v>
      </c>
      <c r="G499" s="8" t="s">
        <v>15</v>
      </c>
      <c r="H499" s="8" t="s">
        <v>113</v>
      </c>
      <c r="I499" s="161"/>
    </row>
    <row r="500" spans="1:9" ht="15.75" x14ac:dyDescent="0.25">
      <c r="A500" s="158">
        <v>710</v>
      </c>
      <c r="B500" s="45" t="s">
        <v>223</v>
      </c>
      <c r="C500" s="126">
        <v>6</v>
      </c>
      <c r="D500" s="132">
        <v>6.5</v>
      </c>
      <c r="E500" s="61">
        <v>98.67</v>
      </c>
      <c r="F500" s="61">
        <v>59.67</v>
      </c>
      <c r="G500" s="8" t="s">
        <v>15</v>
      </c>
      <c r="H500" s="8" t="s">
        <v>114</v>
      </c>
      <c r="I500" s="161"/>
    </row>
    <row r="501" spans="1:9" ht="15.75" x14ac:dyDescent="0.25">
      <c r="A501" s="158">
        <v>780</v>
      </c>
      <c r="B501" s="45" t="s">
        <v>223</v>
      </c>
      <c r="C501" s="126">
        <v>4</v>
      </c>
      <c r="D501" s="127">
        <v>28</v>
      </c>
      <c r="E501" s="127">
        <v>72.489999999999995</v>
      </c>
      <c r="F501" s="127">
        <v>44.489999999999995</v>
      </c>
      <c r="G501" s="8" t="s">
        <v>15</v>
      </c>
      <c r="H501" s="8" t="s">
        <v>114</v>
      </c>
      <c r="I501" s="161"/>
    </row>
    <row r="502" spans="1:9" ht="15.75" x14ac:dyDescent="0.25">
      <c r="A502" s="158">
        <v>840</v>
      </c>
      <c r="B502" s="45" t="s">
        <v>223</v>
      </c>
      <c r="C502" s="126">
        <v>3</v>
      </c>
      <c r="D502" s="127">
        <v>24</v>
      </c>
      <c r="E502" s="127">
        <v>42.12</v>
      </c>
      <c r="F502" s="127">
        <v>18.119999999999997</v>
      </c>
      <c r="G502" s="8" t="s">
        <v>15</v>
      </c>
      <c r="H502" s="8" t="s">
        <v>114</v>
      </c>
      <c r="I502" s="161"/>
    </row>
    <row r="503" spans="1:9" ht="15.75" x14ac:dyDescent="0.25">
      <c r="A503" s="158">
        <v>521</v>
      </c>
      <c r="B503" s="45" t="s">
        <v>223</v>
      </c>
      <c r="C503" s="130">
        <v>1</v>
      </c>
      <c r="D503" s="61">
        <v>7.5</v>
      </c>
      <c r="E503" s="58">
        <v>16.21</v>
      </c>
      <c r="F503" s="61">
        <f>SUM(E503-D503)</f>
        <v>8.7100000000000009</v>
      </c>
      <c r="G503" s="8" t="s">
        <v>15</v>
      </c>
      <c r="H503" s="8" t="s">
        <v>114</v>
      </c>
      <c r="I503" s="160"/>
    </row>
    <row r="504" spans="1:9" ht="15.75" x14ac:dyDescent="0.25">
      <c r="A504" s="158">
        <v>922</v>
      </c>
      <c r="B504" s="45" t="s">
        <v>223</v>
      </c>
      <c r="C504" s="136">
        <v>1</v>
      </c>
      <c r="D504" s="127">
        <v>9</v>
      </c>
      <c r="E504" s="135">
        <v>12.3</v>
      </c>
      <c r="F504" s="61">
        <f t="shared" ref="F504:F512" si="14">E504-D504</f>
        <v>3.3000000000000007</v>
      </c>
      <c r="G504" s="8" t="s">
        <v>15</v>
      </c>
      <c r="H504" s="8" t="s">
        <v>114</v>
      </c>
      <c r="I504" s="161"/>
    </row>
    <row r="505" spans="1:9" ht="15.75" x14ac:dyDescent="0.25">
      <c r="A505" s="158">
        <v>674</v>
      </c>
      <c r="B505" s="7" t="s">
        <v>347</v>
      </c>
      <c r="C505" s="14">
        <v>1</v>
      </c>
      <c r="D505" s="61">
        <v>165</v>
      </c>
      <c r="E505" s="61">
        <v>260</v>
      </c>
      <c r="F505" s="61">
        <f t="shared" si="14"/>
        <v>95</v>
      </c>
      <c r="G505" s="8" t="s">
        <v>15</v>
      </c>
      <c r="H505" s="8" t="s">
        <v>113</v>
      </c>
      <c r="I505" s="161"/>
    </row>
    <row r="506" spans="1:9" ht="15.75" x14ac:dyDescent="0.25">
      <c r="A506" s="158">
        <v>205</v>
      </c>
      <c r="B506" s="12" t="s">
        <v>154</v>
      </c>
      <c r="C506" s="14">
        <v>1</v>
      </c>
      <c r="D506" s="61">
        <v>30</v>
      </c>
      <c r="E506" s="61">
        <v>65</v>
      </c>
      <c r="F506" s="61">
        <f t="shared" si="14"/>
        <v>35</v>
      </c>
      <c r="G506" s="8" t="s">
        <v>15</v>
      </c>
      <c r="H506" s="8" t="s">
        <v>113</v>
      </c>
      <c r="I506" s="159"/>
    </row>
    <row r="507" spans="1:9" ht="15.75" x14ac:dyDescent="0.25">
      <c r="A507" s="158">
        <v>206</v>
      </c>
      <c r="B507" s="12" t="s">
        <v>154</v>
      </c>
      <c r="C507" s="14">
        <v>1</v>
      </c>
      <c r="D507" s="61">
        <v>30</v>
      </c>
      <c r="E507" s="61">
        <v>65</v>
      </c>
      <c r="F507" s="61">
        <f t="shared" si="14"/>
        <v>35</v>
      </c>
      <c r="G507" s="8" t="s">
        <v>15</v>
      </c>
      <c r="H507" s="8" t="s">
        <v>113</v>
      </c>
      <c r="I507" s="159"/>
    </row>
    <row r="508" spans="1:9" ht="15.75" x14ac:dyDescent="0.25">
      <c r="A508" s="158">
        <v>654</v>
      </c>
      <c r="B508" s="12" t="s">
        <v>154</v>
      </c>
      <c r="C508" s="14">
        <v>1</v>
      </c>
      <c r="D508" s="61">
        <v>29</v>
      </c>
      <c r="E508" s="61">
        <v>50</v>
      </c>
      <c r="F508" s="61">
        <f t="shared" si="14"/>
        <v>21</v>
      </c>
      <c r="G508" s="8" t="s">
        <v>15</v>
      </c>
      <c r="H508" s="8" t="s">
        <v>113</v>
      </c>
      <c r="I508" s="161"/>
    </row>
    <row r="509" spans="1:9" ht="15.75" x14ac:dyDescent="0.25">
      <c r="A509" s="158">
        <v>547</v>
      </c>
      <c r="B509" s="7" t="s">
        <v>302</v>
      </c>
      <c r="C509" s="14">
        <v>1</v>
      </c>
      <c r="D509" s="61">
        <v>23.3</v>
      </c>
      <c r="E509" s="61">
        <v>70</v>
      </c>
      <c r="F509" s="61">
        <f t="shared" si="14"/>
        <v>46.7</v>
      </c>
      <c r="G509" s="8" t="s">
        <v>15</v>
      </c>
      <c r="H509" s="8" t="s">
        <v>113</v>
      </c>
      <c r="I509" s="161"/>
    </row>
    <row r="510" spans="1:9" ht="15.75" x14ac:dyDescent="0.25">
      <c r="A510" s="158">
        <v>882</v>
      </c>
      <c r="B510" s="7" t="s">
        <v>462</v>
      </c>
      <c r="C510" s="14">
        <v>1</v>
      </c>
      <c r="D510" s="61">
        <v>40</v>
      </c>
      <c r="E510" s="61">
        <v>80</v>
      </c>
      <c r="F510" s="61">
        <f t="shared" si="14"/>
        <v>40</v>
      </c>
      <c r="G510" s="8" t="s">
        <v>15</v>
      </c>
      <c r="H510" s="8" t="s">
        <v>113</v>
      </c>
      <c r="I510" s="161"/>
    </row>
    <row r="511" spans="1:9" ht="15.75" x14ac:dyDescent="0.25">
      <c r="A511" s="158">
        <v>881</v>
      </c>
      <c r="B511" s="45" t="s">
        <v>224</v>
      </c>
      <c r="C511" s="14">
        <v>1</v>
      </c>
      <c r="D511" s="61">
        <v>40</v>
      </c>
      <c r="E511" s="61">
        <v>80</v>
      </c>
      <c r="F511" s="61">
        <f t="shared" si="14"/>
        <v>40</v>
      </c>
      <c r="G511" s="8" t="s">
        <v>15</v>
      </c>
      <c r="H511" s="8" t="s">
        <v>113</v>
      </c>
      <c r="I511" s="161"/>
    </row>
    <row r="512" spans="1:9" ht="15.75" x14ac:dyDescent="0.25">
      <c r="A512" s="158">
        <v>363</v>
      </c>
      <c r="B512" s="45" t="s">
        <v>224</v>
      </c>
      <c r="C512" s="14">
        <v>1</v>
      </c>
      <c r="D512" s="61">
        <v>48</v>
      </c>
      <c r="E512" s="61">
        <v>105.55</v>
      </c>
      <c r="F512" s="61">
        <f t="shared" si="14"/>
        <v>57.55</v>
      </c>
      <c r="G512" s="8" t="s">
        <v>15</v>
      </c>
      <c r="H512" s="8" t="s">
        <v>113</v>
      </c>
      <c r="I512" s="160"/>
    </row>
    <row r="513" spans="1:9" ht="15.75" x14ac:dyDescent="0.25">
      <c r="A513" s="158">
        <v>781</v>
      </c>
      <c r="B513" s="45" t="s">
        <v>224</v>
      </c>
      <c r="C513" s="126">
        <v>1</v>
      </c>
      <c r="D513" s="127">
        <v>15</v>
      </c>
      <c r="E513" s="127">
        <v>30</v>
      </c>
      <c r="F513" s="127">
        <v>15</v>
      </c>
      <c r="G513" s="8" t="s">
        <v>15</v>
      </c>
      <c r="H513" s="8" t="s">
        <v>114</v>
      </c>
      <c r="I513" s="161"/>
    </row>
    <row r="514" spans="1:9" ht="15.75" x14ac:dyDescent="0.25">
      <c r="A514" s="158">
        <v>571</v>
      </c>
      <c r="B514" s="7" t="s">
        <v>304</v>
      </c>
      <c r="C514" s="14">
        <v>1</v>
      </c>
      <c r="D514" s="61">
        <v>10</v>
      </c>
      <c r="E514" s="61">
        <v>25</v>
      </c>
      <c r="F514" s="61">
        <f>E514-D514</f>
        <v>15</v>
      </c>
      <c r="G514" s="8" t="s">
        <v>15</v>
      </c>
      <c r="H514" s="8" t="s">
        <v>113</v>
      </c>
      <c r="I514" s="161"/>
    </row>
    <row r="515" spans="1:9" ht="15.75" x14ac:dyDescent="0.25">
      <c r="A515" s="158">
        <v>611</v>
      </c>
      <c r="B515" s="45" t="s">
        <v>322</v>
      </c>
      <c r="C515" s="14">
        <v>1</v>
      </c>
      <c r="D515" s="127">
        <v>10</v>
      </c>
      <c r="E515" s="127">
        <v>21.21</v>
      </c>
      <c r="F515" s="61">
        <f>E515-D515</f>
        <v>11.21</v>
      </c>
      <c r="G515" s="8" t="s">
        <v>15</v>
      </c>
      <c r="H515" s="8" t="s">
        <v>113</v>
      </c>
      <c r="I515" s="161"/>
    </row>
    <row r="516" spans="1:9" ht="15.75" x14ac:dyDescent="0.25">
      <c r="A516" s="158">
        <v>364</v>
      </c>
      <c r="B516" s="45" t="s">
        <v>225</v>
      </c>
      <c r="C516" s="14">
        <v>1</v>
      </c>
      <c r="D516" s="61">
        <v>35</v>
      </c>
      <c r="E516" s="61">
        <v>90.36</v>
      </c>
      <c r="F516" s="61">
        <f>E516-D516</f>
        <v>55.36</v>
      </c>
      <c r="G516" s="8" t="s">
        <v>15</v>
      </c>
      <c r="H516" s="8" t="s">
        <v>113</v>
      </c>
      <c r="I516" s="160"/>
    </row>
    <row r="517" spans="1:9" ht="15.75" x14ac:dyDescent="0.25">
      <c r="A517" s="158">
        <v>612</v>
      </c>
      <c r="B517" s="45" t="s">
        <v>225</v>
      </c>
      <c r="C517" s="14">
        <v>1</v>
      </c>
      <c r="D517" s="127">
        <v>35</v>
      </c>
      <c r="E517" s="127">
        <v>66.89</v>
      </c>
      <c r="F517" s="61">
        <f>E517-D517</f>
        <v>31.89</v>
      </c>
      <c r="G517" s="8" t="s">
        <v>15</v>
      </c>
      <c r="H517" s="8" t="s">
        <v>113</v>
      </c>
      <c r="I517" s="161"/>
    </row>
    <row r="518" spans="1:9" ht="15.75" x14ac:dyDescent="0.25">
      <c r="A518" s="158">
        <v>733</v>
      </c>
      <c r="B518" s="45" t="s">
        <v>225</v>
      </c>
      <c r="C518" s="14">
        <v>1</v>
      </c>
      <c r="D518" s="61">
        <v>40</v>
      </c>
      <c r="E518" s="61">
        <v>80</v>
      </c>
      <c r="F518" s="61">
        <f>E518-D518</f>
        <v>40</v>
      </c>
      <c r="G518" s="8" t="s">
        <v>15</v>
      </c>
      <c r="H518" s="8" t="s">
        <v>113</v>
      </c>
      <c r="I518" s="161"/>
    </row>
    <row r="519" spans="1:9" ht="15.75" x14ac:dyDescent="0.25">
      <c r="A519" s="158">
        <v>79</v>
      </c>
      <c r="B519" s="45" t="s">
        <v>76</v>
      </c>
      <c r="C519" s="14">
        <v>1</v>
      </c>
      <c r="D519" s="61">
        <v>17</v>
      </c>
      <c r="E519" s="61">
        <v>30</v>
      </c>
      <c r="F519" s="61">
        <f>SUM(E519-D519)</f>
        <v>13</v>
      </c>
      <c r="G519" s="8" t="s">
        <v>15</v>
      </c>
      <c r="H519" s="57" t="s">
        <v>6</v>
      </c>
      <c r="I519" s="159"/>
    </row>
    <row r="520" spans="1:9" ht="15.75" x14ac:dyDescent="0.25">
      <c r="A520" s="158">
        <v>488</v>
      </c>
      <c r="B520" s="45" t="s">
        <v>76</v>
      </c>
      <c r="C520" s="14">
        <v>1</v>
      </c>
      <c r="D520" s="61">
        <v>19</v>
      </c>
      <c r="E520" s="61">
        <v>35</v>
      </c>
      <c r="F520" s="61">
        <f>E520-D520</f>
        <v>16</v>
      </c>
      <c r="G520" s="8" t="s">
        <v>15</v>
      </c>
      <c r="H520" s="8" t="s">
        <v>113</v>
      </c>
      <c r="I520" s="160"/>
    </row>
    <row r="521" spans="1:9" ht="15.75" x14ac:dyDescent="0.25">
      <c r="A521" s="158">
        <v>737</v>
      </c>
      <c r="B521" s="45" t="s">
        <v>76</v>
      </c>
      <c r="C521" s="14">
        <v>1</v>
      </c>
      <c r="D521" s="61">
        <v>21</v>
      </c>
      <c r="E521" s="61">
        <v>50</v>
      </c>
      <c r="F521" s="61">
        <f>E521-D521</f>
        <v>29</v>
      </c>
      <c r="G521" s="8" t="s">
        <v>15</v>
      </c>
      <c r="H521" s="8" t="s">
        <v>113</v>
      </c>
      <c r="I521" s="161"/>
    </row>
    <row r="522" spans="1:9" ht="15.75" x14ac:dyDescent="0.25">
      <c r="A522" s="158">
        <v>738</v>
      </c>
      <c r="B522" s="45" t="s">
        <v>76</v>
      </c>
      <c r="C522" s="14">
        <v>1</v>
      </c>
      <c r="D522" s="61">
        <v>21</v>
      </c>
      <c r="E522" s="61">
        <v>50</v>
      </c>
      <c r="F522" s="61">
        <f>E522-D522</f>
        <v>29</v>
      </c>
      <c r="G522" s="8" t="s">
        <v>15</v>
      </c>
      <c r="H522" s="8" t="s">
        <v>113</v>
      </c>
      <c r="I522" s="161"/>
    </row>
    <row r="523" spans="1:9" ht="15.75" x14ac:dyDescent="0.25">
      <c r="A523" s="158">
        <v>365</v>
      </c>
      <c r="B523" s="45" t="s">
        <v>76</v>
      </c>
      <c r="C523" s="14">
        <v>1</v>
      </c>
      <c r="D523" s="61">
        <v>57</v>
      </c>
      <c r="E523" s="61">
        <v>88.76</v>
      </c>
      <c r="F523" s="61">
        <f>E523-D523</f>
        <v>31.760000000000005</v>
      </c>
      <c r="G523" s="8" t="s">
        <v>15</v>
      </c>
      <c r="H523" s="8" t="s">
        <v>113</v>
      </c>
      <c r="I523" s="160"/>
    </row>
    <row r="524" spans="1:9" ht="15.75" x14ac:dyDescent="0.25">
      <c r="A524" s="158">
        <v>613</v>
      </c>
      <c r="B524" s="45" t="s">
        <v>76</v>
      </c>
      <c r="C524" s="14">
        <v>1</v>
      </c>
      <c r="D524" s="127">
        <v>20</v>
      </c>
      <c r="E524" s="127">
        <v>19.989999999999998</v>
      </c>
      <c r="F524" s="61">
        <f>E524-D524</f>
        <v>-1.0000000000001563E-2</v>
      </c>
      <c r="G524" s="8" t="s">
        <v>15</v>
      </c>
      <c r="H524" s="8" t="s">
        <v>113</v>
      </c>
      <c r="I524" s="161"/>
    </row>
    <row r="525" spans="1:9" ht="15.75" x14ac:dyDescent="0.25">
      <c r="A525" s="158">
        <v>108</v>
      </c>
      <c r="B525" s="45" t="s">
        <v>76</v>
      </c>
      <c r="C525" s="17">
        <v>23</v>
      </c>
      <c r="D525" s="58">
        <v>391</v>
      </c>
      <c r="E525" s="58">
        <v>674.82</v>
      </c>
      <c r="F525" s="58">
        <v>283.82000000000005</v>
      </c>
      <c r="G525" s="8" t="s">
        <v>15</v>
      </c>
      <c r="H525" s="57" t="s">
        <v>6</v>
      </c>
      <c r="I525" s="159"/>
    </row>
    <row r="526" spans="1:9" ht="15.75" x14ac:dyDescent="0.25">
      <c r="A526" s="158">
        <v>841</v>
      </c>
      <c r="B526" s="45" t="s">
        <v>76</v>
      </c>
      <c r="C526" s="126">
        <v>20</v>
      </c>
      <c r="D526" s="127">
        <v>420</v>
      </c>
      <c r="E526" s="133">
        <v>545</v>
      </c>
      <c r="F526" s="127">
        <v>125</v>
      </c>
      <c r="G526" s="8" t="s">
        <v>15</v>
      </c>
      <c r="H526" s="8" t="s">
        <v>114</v>
      </c>
      <c r="I526" s="161"/>
    </row>
    <row r="527" spans="1:9" ht="15.75" x14ac:dyDescent="0.25">
      <c r="A527" s="158">
        <v>242</v>
      </c>
      <c r="B527" s="45" t="s">
        <v>76</v>
      </c>
      <c r="C527" s="17">
        <v>16</v>
      </c>
      <c r="D527" s="58">
        <v>20</v>
      </c>
      <c r="E527" s="58">
        <v>320</v>
      </c>
      <c r="F527" s="58">
        <v>179.54999999999995</v>
      </c>
      <c r="G527" s="8" t="s">
        <v>15</v>
      </c>
      <c r="H527" s="57" t="s">
        <v>114</v>
      </c>
      <c r="I527" s="159"/>
    </row>
    <row r="528" spans="1:9" ht="15.75" x14ac:dyDescent="0.25">
      <c r="A528" s="158">
        <v>315</v>
      </c>
      <c r="B528" s="45" t="s">
        <v>76</v>
      </c>
      <c r="C528" s="126">
        <v>5</v>
      </c>
      <c r="D528" s="127">
        <v>100</v>
      </c>
      <c r="E528" s="127">
        <v>182.42000000000002</v>
      </c>
      <c r="F528" s="127">
        <v>82.420000000000016</v>
      </c>
      <c r="G528" s="8" t="s">
        <v>3</v>
      </c>
      <c r="H528" s="8" t="s">
        <v>114</v>
      </c>
      <c r="I528" s="161"/>
    </row>
    <row r="529" spans="1:9" ht="15.75" x14ac:dyDescent="0.25">
      <c r="A529" s="158">
        <v>532</v>
      </c>
      <c r="B529" s="45" t="s">
        <v>76</v>
      </c>
      <c r="C529" s="129">
        <v>2</v>
      </c>
      <c r="D529" s="61">
        <v>38</v>
      </c>
      <c r="E529" s="127">
        <v>75.459999999999994</v>
      </c>
      <c r="F529" s="61">
        <f>SUM(E529-D529)</f>
        <v>37.459999999999994</v>
      </c>
      <c r="G529" s="8" t="s">
        <v>15</v>
      </c>
      <c r="H529" s="8" t="s">
        <v>114</v>
      </c>
      <c r="I529" s="160"/>
    </row>
    <row r="530" spans="1:9" ht="15.75" x14ac:dyDescent="0.25">
      <c r="A530" s="158">
        <v>699</v>
      </c>
      <c r="B530" s="45" t="s">
        <v>76</v>
      </c>
      <c r="C530" s="17">
        <v>2</v>
      </c>
      <c r="D530" s="132">
        <v>20</v>
      </c>
      <c r="E530" s="61">
        <v>62.42</v>
      </c>
      <c r="F530" s="61">
        <v>22.42</v>
      </c>
      <c r="G530" s="8" t="s">
        <v>15</v>
      </c>
      <c r="H530" s="8" t="s">
        <v>114</v>
      </c>
      <c r="I530" s="161"/>
    </row>
    <row r="531" spans="1:9" ht="15.75" x14ac:dyDescent="0.25">
      <c r="A531" s="158">
        <v>782</v>
      </c>
      <c r="B531" s="45" t="s">
        <v>76</v>
      </c>
      <c r="C531" s="126">
        <v>1</v>
      </c>
      <c r="D531" s="127">
        <v>20</v>
      </c>
      <c r="E531" s="127">
        <v>30.95</v>
      </c>
      <c r="F531" s="127">
        <v>10.95</v>
      </c>
      <c r="G531" s="8" t="s">
        <v>15</v>
      </c>
      <c r="H531" s="8" t="s">
        <v>114</v>
      </c>
      <c r="I531" s="161"/>
    </row>
    <row r="532" spans="1:9" ht="15.75" x14ac:dyDescent="0.25">
      <c r="A532" s="158">
        <v>43</v>
      </c>
      <c r="B532" s="45" t="s">
        <v>76</v>
      </c>
      <c r="C532" s="14">
        <v>1</v>
      </c>
      <c r="D532" s="61">
        <f>E532-F532</f>
        <v>306</v>
      </c>
      <c r="E532" s="58">
        <v>520.08999999999992</v>
      </c>
      <c r="F532" s="61">
        <v>214.08999999999992</v>
      </c>
      <c r="G532" s="8" t="s">
        <v>15</v>
      </c>
      <c r="H532" s="57" t="s">
        <v>6</v>
      </c>
      <c r="I532" s="159"/>
    </row>
    <row r="533" spans="1:9" ht="15.75" x14ac:dyDescent="0.25">
      <c r="A533" s="158">
        <v>366</v>
      </c>
      <c r="B533" s="45" t="s">
        <v>226</v>
      </c>
      <c r="C533" s="14">
        <v>1</v>
      </c>
      <c r="D533" s="61">
        <v>22</v>
      </c>
      <c r="E533" s="61">
        <v>77.209999999999994</v>
      </c>
      <c r="F533" s="61">
        <f>E533-D533</f>
        <v>55.209999999999994</v>
      </c>
      <c r="G533" s="8" t="s">
        <v>15</v>
      </c>
      <c r="H533" s="8" t="s">
        <v>113</v>
      </c>
      <c r="I533" s="160"/>
    </row>
    <row r="534" spans="1:9" ht="15.75" x14ac:dyDescent="0.25">
      <c r="A534" s="158">
        <v>464</v>
      </c>
      <c r="B534" s="45" t="s">
        <v>226</v>
      </c>
      <c r="C534" s="14">
        <v>1</v>
      </c>
      <c r="D534" s="128">
        <v>40</v>
      </c>
      <c r="E534" s="61">
        <v>88.46</v>
      </c>
      <c r="F534" s="61">
        <f>E534-D534</f>
        <v>48.459999999999994</v>
      </c>
      <c r="G534" s="8" t="s">
        <v>15</v>
      </c>
      <c r="H534" s="8" t="s">
        <v>113</v>
      </c>
      <c r="I534" s="160"/>
    </row>
    <row r="535" spans="1:9" ht="15.75" x14ac:dyDescent="0.25">
      <c r="A535" s="158">
        <v>533</v>
      </c>
      <c r="B535" s="45" t="s">
        <v>226</v>
      </c>
      <c r="C535" s="130">
        <v>2</v>
      </c>
      <c r="D535" s="61">
        <v>22</v>
      </c>
      <c r="E535" s="58">
        <v>42.99</v>
      </c>
      <c r="F535" s="61">
        <f>SUM(E535-D535)</f>
        <v>20.990000000000002</v>
      </c>
      <c r="G535" s="8" t="s">
        <v>15</v>
      </c>
      <c r="H535" s="8" t="s">
        <v>114</v>
      </c>
      <c r="I535" s="160"/>
    </row>
    <row r="536" spans="1:9" ht="15.75" x14ac:dyDescent="0.25">
      <c r="A536" s="158">
        <v>535</v>
      </c>
      <c r="B536" s="45" t="s">
        <v>137</v>
      </c>
      <c r="C536" s="129">
        <v>3</v>
      </c>
      <c r="D536" s="61">
        <v>33</v>
      </c>
      <c r="E536" s="127">
        <v>61.21</v>
      </c>
      <c r="F536" s="61">
        <f>SUM(E536-D536)</f>
        <v>28.21</v>
      </c>
      <c r="G536" s="8" t="s">
        <v>15</v>
      </c>
      <c r="H536" s="8" t="s">
        <v>114</v>
      </c>
      <c r="I536" s="160"/>
    </row>
    <row r="537" spans="1:9" ht="15.75" x14ac:dyDescent="0.25">
      <c r="A537" s="158">
        <v>133</v>
      </c>
      <c r="B537" s="45" t="s">
        <v>137</v>
      </c>
      <c r="C537" s="17">
        <v>1</v>
      </c>
      <c r="D537" s="58">
        <v>10</v>
      </c>
      <c r="E537" s="58">
        <v>21.33</v>
      </c>
      <c r="F537" s="58">
        <v>11.329999999999998</v>
      </c>
      <c r="G537" s="8" t="s">
        <v>15</v>
      </c>
      <c r="H537" s="57" t="s">
        <v>6</v>
      </c>
      <c r="I537" s="159"/>
    </row>
    <row r="538" spans="1:9" ht="15.75" x14ac:dyDescent="0.25">
      <c r="A538" s="158">
        <v>241</v>
      </c>
      <c r="B538" s="45" t="s">
        <v>137</v>
      </c>
      <c r="C538" s="17">
        <v>1</v>
      </c>
      <c r="D538" s="58">
        <v>10</v>
      </c>
      <c r="E538" s="58">
        <v>10</v>
      </c>
      <c r="F538" s="58">
        <v>11.45</v>
      </c>
      <c r="G538" s="8" t="s">
        <v>15</v>
      </c>
      <c r="H538" s="57" t="s">
        <v>114</v>
      </c>
      <c r="I538" s="159"/>
    </row>
    <row r="539" spans="1:9" ht="15.75" x14ac:dyDescent="0.25">
      <c r="A539" s="158">
        <v>923</v>
      </c>
      <c r="B539" s="45" t="s">
        <v>137</v>
      </c>
      <c r="C539" s="134">
        <v>1</v>
      </c>
      <c r="D539" s="127">
        <v>12</v>
      </c>
      <c r="E539" s="135">
        <v>15.907999999999999</v>
      </c>
      <c r="F539" s="61">
        <f>E539-D539</f>
        <v>3.9079999999999995</v>
      </c>
      <c r="G539" s="8" t="s">
        <v>15</v>
      </c>
      <c r="H539" s="8" t="s">
        <v>114</v>
      </c>
      <c r="I539" s="161"/>
    </row>
    <row r="540" spans="1:9" ht="15.75" x14ac:dyDescent="0.25">
      <c r="A540" s="158">
        <v>661</v>
      </c>
      <c r="B540" s="7" t="s">
        <v>342</v>
      </c>
      <c r="C540" s="14">
        <v>1</v>
      </c>
      <c r="D540" s="61">
        <v>20</v>
      </c>
      <c r="E540" s="61">
        <v>50</v>
      </c>
      <c r="F540" s="61">
        <f>E540-D540</f>
        <v>30</v>
      </c>
      <c r="G540" s="8" t="s">
        <v>15</v>
      </c>
      <c r="H540" s="8" t="s">
        <v>113</v>
      </c>
      <c r="I540" s="161"/>
    </row>
    <row r="541" spans="1:9" ht="15.75" x14ac:dyDescent="0.25">
      <c r="A541" s="158">
        <v>276</v>
      </c>
      <c r="B541" s="7" t="s">
        <v>187</v>
      </c>
      <c r="C541" s="14">
        <v>1</v>
      </c>
      <c r="D541" s="61">
        <v>20</v>
      </c>
      <c r="E541" s="61">
        <v>40</v>
      </c>
      <c r="F541" s="61">
        <f>E541-D541</f>
        <v>20</v>
      </c>
      <c r="G541" s="8" t="s">
        <v>3</v>
      </c>
      <c r="H541" s="8" t="s">
        <v>113</v>
      </c>
      <c r="I541" s="161"/>
    </row>
    <row r="542" spans="1:9" ht="15.75" x14ac:dyDescent="0.25">
      <c r="A542" s="158">
        <v>702</v>
      </c>
      <c r="B542" s="45" t="s">
        <v>365</v>
      </c>
      <c r="C542" s="17">
        <v>1</v>
      </c>
      <c r="D542" s="132">
        <v>2</v>
      </c>
      <c r="E542" s="61">
        <v>23.4</v>
      </c>
      <c r="F542" s="61">
        <v>21.4</v>
      </c>
      <c r="G542" s="8" t="s">
        <v>15</v>
      </c>
      <c r="H542" s="8" t="s">
        <v>114</v>
      </c>
      <c r="I542" s="161"/>
    </row>
    <row r="543" spans="1:9" ht="15.75" x14ac:dyDescent="0.25">
      <c r="A543" s="158">
        <v>741</v>
      </c>
      <c r="B543" s="45" t="s">
        <v>227</v>
      </c>
      <c r="C543" s="14">
        <v>1</v>
      </c>
      <c r="D543" s="61">
        <v>40</v>
      </c>
      <c r="E543" s="61">
        <v>80</v>
      </c>
      <c r="F543" s="61">
        <f t="shared" ref="F543:F555" si="15">E543-D543</f>
        <v>40</v>
      </c>
      <c r="G543" s="8" t="s">
        <v>15</v>
      </c>
      <c r="H543" s="8" t="s">
        <v>113</v>
      </c>
      <c r="I543" s="161"/>
    </row>
    <row r="544" spans="1:9" ht="15.75" x14ac:dyDescent="0.25">
      <c r="A544" s="158">
        <v>367</v>
      </c>
      <c r="B544" s="45" t="s">
        <v>227</v>
      </c>
      <c r="C544" s="14">
        <v>1</v>
      </c>
      <c r="D544" s="61">
        <v>40</v>
      </c>
      <c r="E544" s="61">
        <v>80</v>
      </c>
      <c r="F544" s="61">
        <f t="shared" si="15"/>
        <v>40</v>
      </c>
      <c r="G544" s="8" t="s">
        <v>15</v>
      </c>
      <c r="H544" s="8" t="s">
        <v>113</v>
      </c>
      <c r="I544" s="160"/>
    </row>
    <row r="545" spans="1:9" ht="15.75" x14ac:dyDescent="0.25">
      <c r="A545" s="158">
        <v>806</v>
      </c>
      <c r="B545" s="7" t="s">
        <v>411</v>
      </c>
      <c r="C545" s="14">
        <v>1</v>
      </c>
      <c r="D545" s="61">
        <v>2</v>
      </c>
      <c r="E545" s="61">
        <v>10</v>
      </c>
      <c r="F545" s="61">
        <f t="shared" si="15"/>
        <v>8</v>
      </c>
      <c r="G545" s="8" t="s">
        <v>15</v>
      </c>
      <c r="H545" s="8" t="s">
        <v>113</v>
      </c>
      <c r="I545" s="161"/>
    </row>
    <row r="546" spans="1:9" ht="15.75" x14ac:dyDescent="0.25">
      <c r="A546" s="158">
        <v>807</v>
      </c>
      <c r="B546" s="7" t="s">
        <v>411</v>
      </c>
      <c r="C546" s="14">
        <v>1</v>
      </c>
      <c r="D546" s="61">
        <v>9</v>
      </c>
      <c r="E546" s="61">
        <v>15</v>
      </c>
      <c r="F546" s="61">
        <f t="shared" si="15"/>
        <v>6</v>
      </c>
      <c r="G546" s="8" t="s">
        <v>15</v>
      </c>
      <c r="H546" s="8" t="s">
        <v>113</v>
      </c>
      <c r="I546" s="161"/>
    </row>
    <row r="547" spans="1:9" ht="15.75" x14ac:dyDescent="0.25">
      <c r="A547" s="158">
        <v>217</v>
      </c>
      <c r="B547" s="12" t="s">
        <v>161</v>
      </c>
      <c r="C547" s="14">
        <v>1</v>
      </c>
      <c r="D547" s="61">
        <v>10</v>
      </c>
      <c r="E547" s="61">
        <v>20</v>
      </c>
      <c r="F547" s="61">
        <f t="shared" si="15"/>
        <v>10</v>
      </c>
      <c r="G547" s="8" t="s">
        <v>15</v>
      </c>
      <c r="H547" s="8" t="s">
        <v>113</v>
      </c>
      <c r="I547" s="159"/>
    </row>
    <row r="548" spans="1:9" ht="15.75" x14ac:dyDescent="0.25">
      <c r="A548" s="158">
        <v>218</v>
      </c>
      <c r="B548" s="12" t="s">
        <v>161</v>
      </c>
      <c r="C548" s="14">
        <v>1</v>
      </c>
      <c r="D548" s="61">
        <v>10</v>
      </c>
      <c r="E548" s="61">
        <v>20</v>
      </c>
      <c r="F548" s="61">
        <f t="shared" si="15"/>
        <v>10</v>
      </c>
      <c r="G548" s="8" t="s">
        <v>15</v>
      </c>
      <c r="H548" s="8" t="s">
        <v>113</v>
      </c>
      <c r="I548" s="159"/>
    </row>
    <row r="549" spans="1:9" ht="15.75" x14ac:dyDescent="0.25">
      <c r="A549" s="158">
        <v>724</v>
      </c>
      <c r="B549" s="7" t="s">
        <v>374</v>
      </c>
      <c r="C549" s="14">
        <v>1</v>
      </c>
      <c r="D549" s="61">
        <v>7</v>
      </c>
      <c r="E549" s="61">
        <v>20</v>
      </c>
      <c r="F549" s="61">
        <f t="shared" si="15"/>
        <v>13</v>
      </c>
      <c r="G549" s="8" t="s">
        <v>15</v>
      </c>
      <c r="H549" s="8" t="s">
        <v>113</v>
      </c>
      <c r="I549" s="161"/>
    </row>
    <row r="550" spans="1:9" ht="15.75" x14ac:dyDescent="0.25">
      <c r="A550" s="158">
        <v>277</v>
      </c>
      <c r="B550" s="7" t="s">
        <v>188</v>
      </c>
      <c r="C550" s="14">
        <v>1</v>
      </c>
      <c r="D550" s="61">
        <v>9</v>
      </c>
      <c r="E550" s="61">
        <v>20</v>
      </c>
      <c r="F550" s="61">
        <f t="shared" si="15"/>
        <v>11</v>
      </c>
      <c r="G550" s="8" t="s">
        <v>3</v>
      </c>
      <c r="H550" s="8" t="s">
        <v>113</v>
      </c>
      <c r="I550" s="161"/>
    </row>
    <row r="551" spans="1:9" ht="15.75" x14ac:dyDescent="0.25">
      <c r="A551" s="158">
        <v>808</v>
      </c>
      <c r="B551" s="7" t="s">
        <v>407</v>
      </c>
      <c r="C551" s="14">
        <v>1</v>
      </c>
      <c r="D551" s="61">
        <v>4</v>
      </c>
      <c r="E551" s="61">
        <v>10</v>
      </c>
      <c r="F551" s="61">
        <f t="shared" si="15"/>
        <v>6</v>
      </c>
      <c r="G551" s="8" t="s">
        <v>15</v>
      </c>
      <c r="H551" s="8" t="s">
        <v>113</v>
      </c>
      <c r="I551" s="161"/>
    </row>
    <row r="552" spans="1:9" ht="15.75" x14ac:dyDescent="0.25">
      <c r="A552" s="158">
        <v>809</v>
      </c>
      <c r="B552" s="7" t="s">
        <v>407</v>
      </c>
      <c r="C552" s="14">
        <v>1</v>
      </c>
      <c r="D552" s="61">
        <v>6</v>
      </c>
      <c r="E552" s="61">
        <v>20</v>
      </c>
      <c r="F552" s="61">
        <f t="shared" si="15"/>
        <v>14</v>
      </c>
      <c r="G552" s="8" t="s">
        <v>15</v>
      </c>
      <c r="H552" s="8" t="s">
        <v>113</v>
      </c>
      <c r="I552" s="161"/>
    </row>
    <row r="553" spans="1:9" ht="15.75" x14ac:dyDescent="0.25">
      <c r="A553" s="158">
        <v>870</v>
      </c>
      <c r="B553" s="7" t="s">
        <v>407</v>
      </c>
      <c r="C553" s="14">
        <v>1</v>
      </c>
      <c r="D553" s="61">
        <v>2</v>
      </c>
      <c r="E553" s="61">
        <v>10</v>
      </c>
      <c r="F553" s="61">
        <f t="shared" si="15"/>
        <v>8</v>
      </c>
      <c r="G553" s="8" t="s">
        <v>3</v>
      </c>
      <c r="H553" s="8" t="s">
        <v>113</v>
      </c>
      <c r="I553" s="161"/>
    </row>
    <row r="554" spans="1:9" ht="15.75" x14ac:dyDescent="0.25">
      <c r="A554" s="158">
        <v>678</v>
      </c>
      <c r="B554" s="7" t="s">
        <v>407</v>
      </c>
      <c r="C554" s="14">
        <v>1</v>
      </c>
      <c r="D554" s="61">
        <v>2</v>
      </c>
      <c r="E554" s="61">
        <v>15</v>
      </c>
      <c r="F554" s="61">
        <f t="shared" si="15"/>
        <v>13</v>
      </c>
      <c r="G554" s="8" t="s">
        <v>15</v>
      </c>
      <c r="H554" s="8" t="s">
        <v>113</v>
      </c>
      <c r="I554" s="161"/>
    </row>
    <row r="555" spans="1:9" ht="15.75" x14ac:dyDescent="0.25">
      <c r="A555" s="158">
        <v>28</v>
      </c>
      <c r="B555" s="12" t="s">
        <v>40</v>
      </c>
      <c r="C555" s="14">
        <v>1</v>
      </c>
      <c r="D555" s="61">
        <v>20</v>
      </c>
      <c r="E555" s="61">
        <v>50</v>
      </c>
      <c r="F555" s="61">
        <f t="shared" si="15"/>
        <v>30</v>
      </c>
      <c r="G555" s="8" t="s">
        <v>15</v>
      </c>
      <c r="H555" s="8" t="s">
        <v>113</v>
      </c>
      <c r="I555" s="159"/>
    </row>
    <row r="556" spans="1:9" ht="15.75" x14ac:dyDescent="0.25">
      <c r="A556" s="158">
        <v>842</v>
      </c>
      <c r="B556" s="45" t="s">
        <v>437</v>
      </c>
      <c r="C556" s="126">
        <v>1</v>
      </c>
      <c r="D556" s="127">
        <v>12</v>
      </c>
      <c r="E556" s="133">
        <v>18.170000000000002</v>
      </c>
      <c r="F556" s="127">
        <v>6.1700000000000017</v>
      </c>
      <c r="G556" s="8" t="s">
        <v>15</v>
      </c>
      <c r="H556" s="8" t="s">
        <v>114</v>
      </c>
      <c r="I556" s="161"/>
    </row>
    <row r="557" spans="1:9" ht="15.75" x14ac:dyDescent="0.25">
      <c r="A557" s="158">
        <v>924</v>
      </c>
      <c r="B557" s="45" t="s">
        <v>361</v>
      </c>
      <c r="C557" s="134">
        <v>5</v>
      </c>
      <c r="D557" s="127">
        <v>15</v>
      </c>
      <c r="E557" s="135">
        <v>32.357199999999999</v>
      </c>
      <c r="F557" s="61">
        <f>E557-D557</f>
        <v>17.357199999999999</v>
      </c>
      <c r="G557" s="8" t="s">
        <v>15</v>
      </c>
      <c r="H557" s="8" t="s">
        <v>114</v>
      </c>
      <c r="I557" s="161"/>
    </row>
    <row r="558" spans="1:9" ht="15.75" x14ac:dyDescent="0.25">
      <c r="A558" s="158">
        <v>783</v>
      </c>
      <c r="B558" s="45" t="s">
        <v>361</v>
      </c>
      <c r="C558" s="126">
        <v>2</v>
      </c>
      <c r="D558" s="127">
        <v>6</v>
      </c>
      <c r="E558" s="127">
        <v>13.41</v>
      </c>
      <c r="F558" s="127">
        <v>7.41</v>
      </c>
      <c r="G558" s="8" t="s">
        <v>15</v>
      </c>
      <c r="H558" s="8" t="s">
        <v>114</v>
      </c>
      <c r="I558" s="161"/>
    </row>
    <row r="559" spans="1:9" ht="15.75" x14ac:dyDescent="0.25">
      <c r="A559" s="158">
        <v>691</v>
      </c>
      <c r="B559" s="45" t="s">
        <v>361</v>
      </c>
      <c r="C559" s="126">
        <v>1</v>
      </c>
      <c r="D559" s="132">
        <v>5</v>
      </c>
      <c r="E559" s="61">
        <v>11.73</v>
      </c>
      <c r="F559" s="61">
        <v>6.73</v>
      </c>
      <c r="G559" s="8" t="s">
        <v>15</v>
      </c>
      <c r="H559" s="8" t="s">
        <v>114</v>
      </c>
      <c r="I559" s="161"/>
    </row>
    <row r="560" spans="1:9" ht="15.75" x14ac:dyDescent="0.25">
      <c r="A560" s="158">
        <v>332</v>
      </c>
      <c r="B560" s="10" t="s">
        <v>207</v>
      </c>
      <c r="C560" s="14">
        <v>1</v>
      </c>
      <c r="D560" s="61">
        <v>50</v>
      </c>
      <c r="E560" s="61">
        <v>70</v>
      </c>
      <c r="F560" s="61">
        <f>E560-D560</f>
        <v>20</v>
      </c>
      <c r="G560" s="8" t="s">
        <v>15</v>
      </c>
      <c r="H560" s="8" t="s">
        <v>113</v>
      </c>
      <c r="I560" s="160"/>
    </row>
    <row r="561" spans="1:9" ht="15.75" x14ac:dyDescent="0.25">
      <c r="A561" s="158">
        <v>141</v>
      </c>
      <c r="B561" s="45" t="s">
        <v>144</v>
      </c>
      <c r="C561" s="17">
        <v>1</v>
      </c>
      <c r="D561" s="58">
        <v>25</v>
      </c>
      <c r="E561" s="58">
        <v>30</v>
      </c>
      <c r="F561" s="58">
        <v>5</v>
      </c>
      <c r="G561" s="8" t="s">
        <v>15</v>
      </c>
      <c r="H561" s="57" t="s">
        <v>6</v>
      </c>
      <c r="I561" s="159"/>
    </row>
    <row r="562" spans="1:9" ht="15.75" x14ac:dyDescent="0.25">
      <c r="A562" s="158">
        <v>465</v>
      </c>
      <c r="B562" s="45" t="s">
        <v>256</v>
      </c>
      <c r="C562" s="14">
        <v>1</v>
      </c>
      <c r="D562" s="128">
        <v>36</v>
      </c>
      <c r="E562" s="61">
        <v>52</v>
      </c>
      <c r="F562" s="61">
        <f>E562-D562</f>
        <v>16</v>
      </c>
      <c r="G562" s="8" t="s">
        <v>15</v>
      </c>
      <c r="H562" s="8" t="s">
        <v>113</v>
      </c>
      <c r="I562" s="160"/>
    </row>
    <row r="563" spans="1:9" ht="15.75" x14ac:dyDescent="0.25">
      <c r="A563" s="158">
        <v>506</v>
      </c>
      <c r="B563" s="10" t="s">
        <v>256</v>
      </c>
      <c r="C563" s="14">
        <v>1</v>
      </c>
      <c r="D563" s="61">
        <v>26</v>
      </c>
      <c r="E563" s="61">
        <v>50</v>
      </c>
      <c r="F563" s="61">
        <f>E563-D563</f>
        <v>24</v>
      </c>
      <c r="G563" s="8" t="s">
        <v>15</v>
      </c>
      <c r="H563" s="8" t="s">
        <v>113</v>
      </c>
      <c r="I563" s="160"/>
    </row>
    <row r="564" spans="1:9" ht="15.75" x14ac:dyDescent="0.25">
      <c r="A564" s="158">
        <v>522</v>
      </c>
      <c r="B564" s="45" t="s">
        <v>256</v>
      </c>
      <c r="C564" s="129">
        <v>1</v>
      </c>
      <c r="D564" s="61">
        <v>26</v>
      </c>
      <c r="E564" s="127">
        <v>50.55</v>
      </c>
      <c r="F564" s="61">
        <f>SUM(E564-D564)</f>
        <v>24.549999999999997</v>
      </c>
      <c r="G564" s="8" t="s">
        <v>15</v>
      </c>
      <c r="H564" s="8" t="s">
        <v>114</v>
      </c>
      <c r="I564" s="160"/>
    </row>
    <row r="565" spans="1:9" ht="15.75" x14ac:dyDescent="0.25">
      <c r="A565" s="158">
        <v>925</v>
      </c>
      <c r="B565" s="45" t="s">
        <v>256</v>
      </c>
      <c r="C565" s="134">
        <v>1</v>
      </c>
      <c r="D565" s="127">
        <v>0</v>
      </c>
      <c r="E565" s="135">
        <v>37.474000000000004</v>
      </c>
      <c r="F565" s="61">
        <f>E565-D565</f>
        <v>37.474000000000004</v>
      </c>
      <c r="G565" s="8" t="s">
        <v>15</v>
      </c>
      <c r="H565" s="8" t="s">
        <v>114</v>
      </c>
      <c r="I565" s="161"/>
    </row>
    <row r="566" spans="1:9" ht="15.75" x14ac:dyDescent="0.25">
      <c r="A566" s="158">
        <v>466</v>
      </c>
      <c r="B566" s="45" t="s">
        <v>170</v>
      </c>
      <c r="C566" s="14">
        <v>1</v>
      </c>
      <c r="D566" s="128">
        <v>20</v>
      </c>
      <c r="E566" s="61">
        <v>33.33</v>
      </c>
      <c r="F566" s="61">
        <f>E566-D566</f>
        <v>13.329999999999998</v>
      </c>
      <c r="G566" s="8" t="s">
        <v>15</v>
      </c>
      <c r="H566" s="8" t="s">
        <v>113</v>
      </c>
      <c r="I566" s="160"/>
    </row>
    <row r="567" spans="1:9" ht="15.75" x14ac:dyDescent="0.25">
      <c r="A567" s="158">
        <v>784</v>
      </c>
      <c r="B567" s="45" t="s">
        <v>170</v>
      </c>
      <c r="C567" s="126">
        <v>3</v>
      </c>
      <c r="D567" s="127">
        <v>60</v>
      </c>
      <c r="E567" s="127">
        <v>121.28</v>
      </c>
      <c r="F567" s="127">
        <v>61.28</v>
      </c>
      <c r="G567" s="8" t="s">
        <v>15</v>
      </c>
      <c r="H567" s="8" t="s">
        <v>114</v>
      </c>
      <c r="I567" s="161"/>
    </row>
    <row r="568" spans="1:9" ht="15.75" x14ac:dyDescent="0.25">
      <c r="A568" s="158">
        <v>240</v>
      </c>
      <c r="B568" s="45" t="s">
        <v>170</v>
      </c>
      <c r="C568" s="17">
        <v>2</v>
      </c>
      <c r="D568" s="58">
        <v>19.5</v>
      </c>
      <c r="E568" s="58">
        <v>39</v>
      </c>
      <c r="F568" s="58">
        <v>30.72</v>
      </c>
      <c r="G568" s="8" t="s">
        <v>15</v>
      </c>
      <c r="H568" s="57" t="s">
        <v>114</v>
      </c>
      <c r="I568" s="159"/>
    </row>
    <row r="569" spans="1:9" ht="15.75" x14ac:dyDescent="0.25">
      <c r="A569" s="158">
        <v>843</v>
      </c>
      <c r="B569" s="45" t="s">
        <v>170</v>
      </c>
      <c r="C569" s="126">
        <v>1</v>
      </c>
      <c r="D569" s="127">
        <v>25</v>
      </c>
      <c r="E569" s="127">
        <v>32</v>
      </c>
      <c r="F569" s="127">
        <v>7</v>
      </c>
      <c r="G569" s="8" t="s">
        <v>15</v>
      </c>
      <c r="H569" s="8" t="s">
        <v>114</v>
      </c>
      <c r="I569" s="161"/>
    </row>
    <row r="570" spans="1:9" ht="15.75" x14ac:dyDescent="0.25">
      <c r="A570" s="158">
        <v>136</v>
      </c>
      <c r="B570" s="45" t="s">
        <v>103</v>
      </c>
      <c r="C570" s="17">
        <v>1</v>
      </c>
      <c r="D570" s="58">
        <v>16</v>
      </c>
      <c r="E570" s="58">
        <v>25</v>
      </c>
      <c r="F570" s="58">
        <v>9</v>
      </c>
      <c r="G570" s="8" t="s">
        <v>15</v>
      </c>
      <c r="H570" s="57" t="s">
        <v>6</v>
      </c>
      <c r="I570" s="159"/>
    </row>
    <row r="571" spans="1:9" ht="15.75" x14ac:dyDescent="0.25">
      <c r="A571" s="158">
        <v>71</v>
      </c>
      <c r="B571" s="45" t="s">
        <v>103</v>
      </c>
      <c r="C571" s="14">
        <v>1</v>
      </c>
      <c r="D571" s="61">
        <f>E571-F571</f>
        <v>16</v>
      </c>
      <c r="E571" s="58">
        <v>32</v>
      </c>
      <c r="F571" s="61">
        <v>16</v>
      </c>
      <c r="G571" s="8" t="s">
        <v>15</v>
      </c>
      <c r="H571" s="57" t="s">
        <v>6</v>
      </c>
      <c r="I571" s="159"/>
    </row>
    <row r="572" spans="1:9" ht="15.75" x14ac:dyDescent="0.25">
      <c r="A572" s="158">
        <v>720</v>
      </c>
      <c r="B572" s="7" t="s">
        <v>372</v>
      </c>
      <c r="C572" s="14">
        <v>1</v>
      </c>
      <c r="D572" s="61">
        <v>22</v>
      </c>
      <c r="E572" s="61">
        <v>50</v>
      </c>
      <c r="F572" s="61">
        <f>E572-D572</f>
        <v>28</v>
      </c>
      <c r="G572" s="8" t="s">
        <v>15</v>
      </c>
      <c r="H572" s="8" t="s">
        <v>113</v>
      </c>
      <c r="I572" s="161"/>
    </row>
    <row r="573" spans="1:9" ht="15.75" x14ac:dyDescent="0.25">
      <c r="A573" s="158">
        <v>557</v>
      </c>
      <c r="B573" s="7" t="s">
        <v>290</v>
      </c>
      <c r="C573" s="14">
        <v>1</v>
      </c>
      <c r="D573" s="61">
        <v>25</v>
      </c>
      <c r="E573" s="61">
        <v>80</v>
      </c>
      <c r="F573" s="61">
        <f>E573-D573</f>
        <v>55</v>
      </c>
      <c r="G573" s="8" t="s">
        <v>15</v>
      </c>
      <c r="H573" s="8" t="s">
        <v>113</v>
      </c>
      <c r="I573" s="161"/>
    </row>
    <row r="574" spans="1:9" ht="15.75" x14ac:dyDescent="0.25">
      <c r="A574" s="158">
        <v>467</v>
      </c>
      <c r="B574" s="45" t="s">
        <v>80</v>
      </c>
      <c r="C574" s="14">
        <v>1</v>
      </c>
      <c r="D574" s="128">
        <v>9</v>
      </c>
      <c r="E574" s="61">
        <v>21.21</v>
      </c>
      <c r="F574" s="61">
        <f>E574-D574</f>
        <v>12.21</v>
      </c>
      <c r="G574" s="8" t="s">
        <v>15</v>
      </c>
      <c r="H574" s="8" t="s">
        <v>113</v>
      </c>
      <c r="I574" s="160"/>
    </row>
    <row r="575" spans="1:9" ht="15.75" x14ac:dyDescent="0.25">
      <c r="A575" s="158">
        <v>615</v>
      </c>
      <c r="B575" s="45" t="s">
        <v>80</v>
      </c>
      <c r="C575" s="14">
        <v>1</v>
      </c>
      <c r="D575" s="127">
        <v>36</v>
      </c>
      <c r="E575" s="127">
        <v>70.67</v>
      </c>
      <c r="F575" s="61">
        <f>E575-D575</f>
        <v>34.67</v>
      </c>
      <c r="G575" s="8" t="s">
        <v>15</v>
      </c>
      <c r="H575" s="8" t="s">
        <v>113</v>
      </c>
      <c r="I575" s="161"/>
    </row>
    <row r="576" spans="1:9" ht="15.75" x14ac:dyDescent="0.25">
      <c r="A576" s="158">
        <v>844</v>
      </c>
      <c r="B576" s="45" t="s">
        <v>80</v>
      </c>
      <c r="C576" s="126">
        <v>3</v>
      </c>
      <c r="D576" s="127">
        <v>30</v>
      </c>
      <c r="E576" s="127">
        <v>58.75</v>
      </c>
      <c r="F576" s="127">
        <v>28.75</v>
      </c>
      <c r="G576" s="8" t="s">
        <v>15</v>
      </c>
      <c r="H576" s="8" t="s">
        <v>114</v>
      </c>
      <c r="I576" s="161"/>
    </row>
    <row r="577" spans="1:9" ht="15.75" x14ac:dyDescent="0.25">
      <c r="A577" s="158">
        <v>703</v>
      </c>
      <c r="B577" s="45" t="s">
        <v>80</v>
      </c>
      <c r="C577" s="126">
        <v>2</v>
      </c>
      <c r="D577" s="132">
        <v>9</v>
      </c>
      <c r="E577" s="61">
        <v>44.16</v>
      </c>
      <c r="F577" s="61">
        <v>26.159999999999997</v>
      </c>
      <c r="G577" s="8" t="s">
        <v>15</v>
      </c>
      <c r="H577" s="8" t="s">
        <v>114</v>
      </c>
      <c r="I577" s="161"/>
    </row>
    <row r="578" spans="1:9" ht="15.75" x14ac:dyDescent="0.25">
      <c r="A578" s="158">
        <v>524</v>
      </c>
      <c r="B578" s="45" t="s">
        <v>80</v>
      </c>
      <c r="C578" s="130">
        <v>1</v>
      </c>
      <c r="D578" s="61">
        <v>9</v>
      </c>
      <c r="E578" s="58">
        <v>26.53</v>
      </c>
      <c r="F578" s="61">
        <f>SUM(E578-D578)</f>
        <v>17.53</v>
      </c>
      <c r="G578" s="8" t="s">
        <v>15</v>
      </c>
      <c r="H578" s="8" t="s">
        <v>114</v>
      </c>
      <c r="I578" s="160"/>
    </row>
    <row r="579" spans="1:9" ht="15.75" x14ac:dyDescent="0.25">
      <c r="A579" s="158">
        <v>47</v>
      </c>
      <c r="B579" s="45" t="s">
        <v>80</v>
      </c>
      <c r="C579" s="14">
        <v>1</v>
      </c>
      <c r="D579" s="61">
        <f>E579-F579</f>
        <v>63</v>
      </c>
      <c r="E579" s="58">
        <v>89.56</v>
      </c>
      <c r="F579" s="61">
        <v>26.560000000000002</v>
      </c>
      <c r="G579" s="8" t="s">
        <v>15</v>
      </c>
      <c r="H579" s="57" t="s">
        <v>6</v>
      </c>
      <c r="I579" s="159"/>
    </row>
    <row r="580" spans="1:9" ht="15.75" x14ac:dyDescent="0.25">
      <c r="A580" s="158">
        <v>879</v>
      </c>
      <c r="B580" s="45" t="s">
        <v>80</v>
      </c>
      <c r="C580" s="14">
        <v>1</v>
      </c>
      <c r="D580" s="61">
        <v>13</v>
      </c>
      <c r="E580" s="61">
        <v>30</v>
      </c>
      <c r="F580" s="61">
        <f>E580-D580</f>
        <v>17</v>
      </c>
      <c r="G580" s="8" t="s">
        <v>15</v>
      </c>
      <c r="H580" s="8" t="s">
        <v>113</v>
      </c>
      <c r="I580" s="161"/>
    </row>
    <row r="581" spans="1:9" ht="15.75" x14ac:dyDescent="0.25">
      <c r="A581" s="158">
        <v>880</v>
      </c>
      <c r="B581" s="7" t="s">
        <v>460</v>
      </c>
      <c r="C581" s="14">
        <v>1</v>
      </c>
      <c r="D581" s="61">
        <v>13</v>
      </c>
      <c r="E581" s="61">
        <v>20</v>
      </c>
      <c r="F581" s="61">
        <f>E581-D581</f>
        <v>7</v>
      </c>
      <c r="G581" s="8" t="s">
        <v>15</v>
      </c>
      <c r="H581" s="8" t="s">
        <v>113</v>
      </c>
      <c r="I581" s="161"/>
    </row>
    <row r="582" spans="1:9" ht="15.75" x14ac:dyDescent="0.25">
      <c r="A582" s="158">
        <v>468</v>
      </c>
      <c r="B582" s="45" t="s">
        <v>257</v>
      </c>
      <c r="C582" s="14">
        <v>1</v>
      </c>
      <c r="D582" s="128">
        <v>10</v>
      </c>
      <c r="E582" s="61">
        <v>26.62</v>
      </c>
      <c r="F582" s="61">
        <f>E582-D582</f>
        <v>16.62</v>
      </c>
      <c r="G582" s="8" t="s">
        <v>15</v>
      </c>
      <c r="H582" s="8" t="s">
        <v>113</v>
      </c>
      <c r="I582" s="160"/>
    </row>
    <row r="583" spans="1:9" ht="15.75" x14ac:dyDescent="0.25">
      <c r="A583" s="158">
        <v>889</v>
      </c>
      <c r="B583" s="7" t="s">
        <v>466</v>
      </c>
      <c r="C583" s="14">
        <v>1</v>
      </c>
      <c r="D583" s="61">
        <v>130</v>
      </c>
      <c r="E583" s="61">
        <v>230</v>
      </c>
      <c r="F583" s="61">
        <f>E583-D583</f>
        <v>100</v>
      </c>
      <c r="G583" s="8" t="s">
        <v>15</v>
      </c>
      <c r="H583" s="8" t="s">
        <v>113</v>
      </c>
      <c r="I583" s="161"/>
    </row>
    <row r="584" spans="1:9" ht="15.75" x14ac:dyDescent="0.25">
      <c r="A584" s="158">
        <v>697</v>
      </c>
      <c r="B584" s="45" t="s">
        <v>362</v>
      </c>
      <c r="C584" s="17">
        <v>1</v>
      </c>
      <c r="D584" s="132">
        <v>18</v>
      </c>
      <c r="E584" s="61">
        <v>33.75</v>
      </c>
      <c r="F584" s="61">
        <v>15.75</v>
      </c>
      <c r="G584" s="8" t="s">
        <v>15</v>
      </c>
      <c r="H584" s="8" t="s">
        <v>114</v>
      </c>
      <c r="I584" s="161"/>
    </row>
    <row r="585" spans="1:9" ht="15.75" x14ac:dyDescent="0.25">
      <c r="A585" s="158">
        <v>32</v>
      </c>
      <c r="B585" s="12" t="s">
        <v>12</v>
      </c>
      <c r="C585" s="14">
        <v>1</v>
      </c>
      <c r="D585" s="61">
        <v>16</v>
      </c>
      <c r="E585" s="61">
        <v>50</v>
      </c>
      <c r="F585" s="61">
        <f>E585-D585</f>
        <v>34</v>
      </c>
      <c r="G585" s="8" t="s">
        <v>15</v>
      </c>
      <c r="H585" s="8" t="s">
        <v>113</v>
      </c>
      <c r="I585" s="159"/>
    </row>
    <row r="586" spans="1:9" ht="15.75" x14ac:dyDescent="0.25">
      <c r="A586" s="158">
        <v>72</v>
      </c>
      <c r="B586" s="45" t="s">
        <v>104</v>
      </c>
      <c r="C586" s="14">
        <v>1</v>
      </c>
      <c r="D586" s="61">
        <f>E586-F586</f>
        <v>16</v>
      </c>
      <c r="E586" s="58">
        <v>26.71</v>
      </c>
      <c r="F586" s="61">
        <v>10.71</v>
      </c>
      <c r="G586" s="8" t="s">
        <v>15</v>
      </c>
      <c r="H586" s="57" t="s">
        <v>6</v>
      </c>
      <c r="I586" s="159"/>
    </row>
    <row r="587" spans="1:9" ht="15.75" x14ac:dyDescent="0.25">
      <c r="A587" s="158">
        <v>195</v>
      </c>
      <c r="B587" s="45" t="s">
        <v>104</v>
      </c>
      <c r="C587" s="14">
        <v>1</v>
      </c>
      <c r="D587" s="61">
        <v>12</v>
      </c>
      <c r="E587" s="61">
        <v>35</v>
      </c>
      <c r="F587" s="61">
        <f>E587-D587</f>
        <v>23</v>
      </c>
      <c r="G587" s="8" t="s">
        <v>15</v>
      </c>
      <c r="H587" s="8" t="s">
        <v>113</v>
      </c>
      <c r="I587" s="159"/>
    </row>
    <row r="588" spans="1:9" ht="15.75" x14ac:dyDescent="0.25">
      <c r="A588" s="158">
        <v>116</v>
      </c>
      <c r="B588" s="45" t="s">
        <v>104</v>
      </c>
      <c r="C588" s="17">
        <v>4</v>
      </c>
      <c r="D588" s="58">
        <v>64</v>
      </c>
      <c r="E588" s="58">
        <v>120.05000000000001</v>
      </c>
      <c r="F588" s="58">
        <v>56.050000000000011</v>
      </c>
      <c r="G588" s="8" t="s">
        <v>15</v>
      </c>
      <c r="H588" s="57" t="s">
        <v>6</v>
      </c>
      <c r="I588" s="159"/>
    </row>
    <row r="589" spans="1:9" ht="15.75" x14ac:dyDescent="0.25">
      <c r="A589" s="158">
        <v>525</v>
      </c>
      <c r="B589" s="45" t="s">
        <v>281</v>
      </c>
      <c r="C589" s="129">
        <v>1</v>
      </c>
      <c r="D589" s="61">
        <v>2</v>
      </c>
      <c r="E589" s="127">
        <v>20</v>
      </c>
      <c r="F589" s="61">
        <f>SUM(E589-D589)</f>
        <v>18</v>
      </c>
      <c r="G589" s="8" t="s">
        <v>15</v>
      </c>
      <c r="H589" s="8" t="s">
        <v>114</v>
      </c>
      <c r="I589" s="160"/>
    </row>
    <row r="590" spans="1:9" ht="15.75" x14ac:dyDescent="0.25">
      <c r="A590" s="158">
        <v>469</v>
      </c>
      <c r="B590" s="45" t="s">
        <v>258</v>
      </c>
      <c r="C590" s="14">
        <v>1</v>
      </c>
      <c r="D590" s="128">
        <v>2</v>
      </c>
      <c r="E590" s="61">
        <v>11</v>
      </c>
      <c r="F590" s="61">
        <f t="shared" ref="F590:F615" si="16">E590-D590</f>
        <v>9</v>
      </c>
      <c r="G590" s="8" t="s">
        <v>15</v>
      </c>
      <c r="H590" s="8" t="s">
        <v>113</v>
      </c>
      <c r="I590" s="160"/>
    </row>
    <row r="591" spans="1:9" ht="15.75" x14ac:dyDescent="0.25">
      <c r="A591" s="158">
        <v>552</v>
      </c>
      <c r="B591" s="45" t="s">
        <v>258</v>
      </c>
      <c r="C591" s="14">
        <v>1</v>
      </c>
      <c r="D591" s="61">
        <v>11</v>
      </c>
      <c r="E591" s="61">
        <v>20</v>
      </c>
      <c r="F591" s="61">
        <f t="shared" si="16"/>
        <v>9</v>
      </c>
      <c r="G591" s="8" t="s">
        <v>15</v>
      </c>
      <c r="H591" s="8" t="s">
        <v>113</v>
      </c>
      <c r="I591" s="161"/>
    </row>
    <row r="592" spans="1:9" ht="15.75" x14ac:dyDescent="0.25">
      <c r="A592" s="158">
        <v>470</v>
      </c>
      <c r="B592" s="45" t="s">
        <v>259</v>
      </c>
      <c r="C592" s="14">
        <v>1</v>
      </c>
      <c r="D592" s="128">
        <v>14</v>
      </c>
      <c r="E592" s="61">
        <v>19.850000000000001</v>
      </c>
      <c r="F592" s="61">
        <f t="shared" si="16"/>
        <v>5.8500000000000014</v>
      </c>
      <c r="G592" s="8" t="s">
        <v>15</v>
      </c>
      <c r="H592" s="8" t="s">
        <v>113</v>
      </c>
      <c r="I592" s="160"/>
    </row>
    <row r="593" spans="1:9" ht="15.75" x14ac:dyDescent="0.25">
      <c r="A593" s="158">
        <v>33</v>
      </c>
      <c r="B593" s="12" t="s">
        <v>36</v>
      </c>
      <c r="C593" s="14">
        <v>1</v>
      </c>
      <c r="D593" s="61">
        <v>13</v>
      </c>
      <c r="E593" s="61">
        <v>20</v>
      </c>
      <c r="F593" s="61">
        <f t="shared" si="16"/>
        <v>7</v>
      </c>
      <c r="G593" s="8" t="s">
        <v>15</v>
      </c>
      <c r="H593" s="8" t="s">
        <v>113</v>
      </c>
      <c r="I593" s="160"/>
    </row>
    <row r="594" spans="1:9" ht="15.75" x14ac:dyDescent="0.25">
      <c r="A594" s="158">
        <v>34</v>
      </c>
      <c r="B594" s="12" t="s">
        <v>36</v>
      </c>
      <c r="C594" s="14">
        <v>1</v>
      </c>
      <c r="D594" s="61">
        <v>13</v>
      </c>
      <c r="E594" s="61">
        <v>30</v>
      </c>
      <c r="F594" s="61">
        <f t="shared" si="16"/>
        <v>17</v>
      </c>
      <c r="G594" s="8" t="s">
        <v>15</v>
      </c>
      <c r="H594" s="8" t="s">
        <v>113</v>
      </c>
      <c r="I594" s="159"/>
    </row>
    <row r="595" spans="1:9" ht="15.75" x14ac:dyDescent="0.25">
      <c r="A595" s="158">
        <v>485</v>
      </c>
      <c r="B595" s="12" t="s">
        <v>36</v>
      </c>
      <c r="C595" s="14">
        <v>1</v>
      </c>
      <c r="D595" s="61">
        <v>14</v>
      </c>
      <c r="E595" s="61">
        <v>25</v>
      </c>
      <c r="F595" s="61">
        <f t="shared" si="16"/>
        <v>11</v>
      </c>
      <c r="G595" s="8" t="s">
        <v>15</v>
      </c>
      <c r="H595" s="8" t="s">
        <v>113</v>
      </c>
      <c r="I595" s="160"/>
    </row>
    <row r="596" spans="1:9" ht="15.75" x14ac:dyDescent="0.25">
      <c r="A596" s="158">
        <v>581</v>
      </c>
      <c r="B596" s="7" t="s">
        <v>310</v>
      </c>
      <c r="C596" s="14">
        <v>1</v>
      </c>
      <c r="D596" s="61">
        <v>0</v>
      </c>
      <c r="E596" s="61">
        <v>70</v>
      </c>
      <c r="F596" s="61">
        <f t="shared" si="16"/>
        <v>70</v>
      </c>
      <c r="G596" s="8" t="s">
        <v>15</v>
      </c>
      <c r="H596" s="8" t="s">
        <v>113</v>
      </c>
      <c r="I596" s="161"/>
    </row>
    <row r="597" spans="1:9" ht="15.75" x14ac:dyDescent="0.25">
      <c r="A597" s="158">
        <v>632</v>
      </c>
      <c r="B597" s="7" t="s">
        <v>310</v>
      </c>
      <c r="C597" s="14">
        <v>1</v>
      </c>
      <c r="D597" s="61">
        <v>50</v>
      </c>
      <c r="E597" s="61">
        <v>80</v>
      </c>
      <c r="F597" s="61">
        <f t="shared" si="16"/>
        <v>30</v>
      </c>
      <c r="G597" s="8" t="s">
        <v>15</v>
      </c>
      <c r="H597" s="8" t="s">
        <v>113</v>
      </c>
      <c r="I597" s="161"/>
    </row>
    <row r="598" spans="1:9" ht="15.75" x14ac:dyDescent="0.25">
      <c r="A598" s="158">
        <v>735</v>
      </c>
      <c r="B598" s="7" t="s">
        <v>310</v>
      </c>
      <c r="C598" s="14">
        <v>1</v>
      </c>
      <c r="D598" s="61">
        <v>38</v>
      </c>
      <c r="E598" s="61">
        <v>80</v>
      </c>
      <c r="F598" s="61">
        <f t="shared" si="16"/>
        <v>42</v>
      </c>
      <c r="G598" s="8" t="s">
        <v>15</v>
      </c>
      <c r="H598" s="8" t="s">
        <v>113</v>
      </c>
      <c r="I598" s="161"/>
    </row>
    <row r="599" spans="1:9" ht="15.75" x14ac:dyDescent="0.25">
      <c r="A599" s="158">
        <v>368</v>
      </c>
      <c r="B599" s="45" t="s">
        <v>228</v>
      </c>
      <c r="C599" s="14">
        <v>1</v>
      </c>
      <c r="D599" s="61">
        <v>80</v>
      </c>
      <c r="E599" s="61">
        <v>182.49</v>
      </c>
      <c r="F599" s="61">
        <f t="shared" si="16"/>
        <v>102.49000000000001</v>
      </c>
      <c r="G599" s="8" t="s">
        <v>15</v>
      </c>
      <c r="H599" s="8" t="s">
        <v>113</v>
      </c>
      <c r="I599" s="160"/>
    </row>
    <row r="600" spans="1:9" ht="15.75" x14ac:dyDescent="0.25">
      <c r="A600" s="158">
        <v>221</v>
      </c>
      <c r="B600" s="45" t="s">
        <v>72</v>
      </c>
      <c r="C600" s="14">
        <v>1</v>
      </c>
      <c r="D600" s="61">
        <v>7</v>
      </c>
      <c r="E600" s="61">
        <v>20</v>
      </c>
      <c r="F600" s="61">
        <f t="shared" si="16"/>
        <v>13</v>
      </c>
      <c r="G600" s="8" t="s">
        <v>15</v>
      </c>
      <c r="H600" s="8" t="s">
        <v>113</v>
      </c>
      <c r="I600" s="159"/>
    </row>
    <row r="601" spans="1:9" ht="15.75" x14ac:dyDescent="0.25">
      <c r="A601" s="158">
        <v>222</v>
      </c>
      <c r="B601" s="45" t="s">
        <v>72</v>
      </c>
      <c r="C601" s="14">
        <v>1</v>
      </c>
      <c r="D601" s="61">
        <v>7</v>
      </c>
      <c r="E601" s="61">
        <v>20</v>
      </c>
      <c r="F601" s="61">
        <f t="shared" si="16"/>
        <v>13</v>
      </c>
      <c r="G601" s="8" t="s">
        <v>15</v>
      </c>
      <c r="H601" s="8" t="s">
        <v>113</v>
      </c>
      <c r="I601" s="159"/>
    </row>
    <row r="602" spans="1:9" ht="15.75" x14ac:dyDescent="0.25">
      <c r="A602" s="158">
        <v>224</v>
      </c>
      <c r="B602" s="45" t="s">
        <v>72</v>
      </c>
      <c r="C602" s="14">
        <v>1</v>
      </c>
      <c r="D602" s="61">
        <v>7</v>
      </c>
      <c r="E602" s="61">
        <v>30</v>
      </c>
      <c r="F602" s="61">
        <f t="shared" si="16"/>
        <v>23</v>
      </c>
      <c r="G602" s="8" t="s">
        <v>15</v>
      </c>
      <c r="H602" s="8" t="s">
        <v>113</v>
      </c>
      <c r="I602" s="159"/>
    </row>
    <row r="603" spans="1:9" ht="15.75" x14ac:dyDescent="0.25">
      <c r="A603" s="158">
        <v>230</v>
      </c>
      <c r="B603" s="45" t="s">
        <v>72</v>
      </c>
      <c r="C603" s="14">
        <v>1</v>
      </c>
      <c r="D603" s="61">
        <v>7</v>
      </c>
      <c r="E603" s="61">
        <v>20</v>
      </c>
      <c r="F603" s="61">
        <f t="shared" si="16"/>
        <v>13</v>
      </c>
      <c r="G603" s="8" t="s">
        <v>15</v>
      </c>
      <c r="H603" s="8" t="s">
        <v>113</v>
      </c>
      <c r="I603" s="159"/>
    </row>
    <row r="604" spans="1:9" ht="15.75" x14ac:dyDescent="0.25">
      <c r="A604" s="158">
        <v>430</v>
      </c>
      <c r="B604" s="45" t="s">
        <v>72</v>
      </c>
      <c r="C604" s="14">
        <v>1</v>
      </c>
      <c r="D604" s="61">
        <v>7</v>
      </c>
      <c r="E604" s="61">
        <v>20</v>
      </c>
      <c r="F604" s="61">
        <f t="shared" si="16"/>
        <v>13</v>
      </c>
      <c r="G604" s="8" t="s">
        <v>15</v>
      </c>
      <c r="H604" s="8" t="s">
        <v>113</v>
      </c>
      <c r="I604" s="160"/>
    </row>
    <row r="605" spans="1:9" ht="15.75" x14ac:dyDescent="0.25">
      <c r="A605" s="158">
        <v>431</v>
      </c>
      <c r="B605" s="45" t="s">
        <v>72</v>
      </c>
      <c r="C605" s="14">
        <v>1</v>
      </c>
      <c r="D605" s="61">
        <v>7</v>
      </c>
      <c r="E605" s="61">
        <v>20</v>
      </c>
      <c r="F605" s="61">
        <f t="shared" si="16"/>
        <v>13</v>
      </c>
      <c r="G605" s="8" t="s">
        <v>15</v>
      </c>
      <c r="H605" s="8" t="s">
        <v>113</v>
      </c>
      <c r="I605" s="160"/>
    </row>
    <row r="606" spans="1:9" ht="15.75" x14ac:dyDescent="0.25">
      <c r="A606" s="158">
        <v>484</v>
      </c>
      <c r="B606" s="45" t="s">
        <v>72</v>
      </c>
      <c r="C606" s="14">
        <v>1</v>
      </c>
      <c r="D606" s="61">
        <v>7</v>
      </c>
      <c r="E606" s="61">
        <v>25</v>
      </c>
      <c r="F606" s="61">
        <f t="shared" si="16"/>
        <v>18</v>
      </c>
      <c r="G606" s="8" t="s">
        <v>15</v>
      </c>
      <c r="H606" s="8" t="s">
        <v>113</v>
      </c>
      <c r="I606" s="160"/>
    </row>
    <row r="607" spans="1:9" ht="15.75" x14ac:dyDescent="0.25">
      <c r="A607" s="158">
        <v>486</v>
      </c>
      <c r="B607" s="45" t="s">
        <v>72</v>
      </c>
      <c r="C607" s="14">
        <v>1</v>
      </c>
      <c r="D607" s="61">
        <v>7</v>
      </c>
      <c r="E607" s="61">
        <v>20</v>
      </c>
      <c r="F607" s="61">
        <f t="shared" si="16"/>
        <v>13</v>
      </c>
      <c r="G607" s="8" t="s">
        <v>15</v>
      </c>
      <c r="H607" s="8" t="s">
        <v>113</v>
      </c>
      <c r="I607" s="160"/>
    </row>
    <row r="608" spans="1:9" ht="15.75" x14ac:dyDescent="0.25">
      <c r="A608" s="158">
        <v>649</v>
      </c>
      <c r="B608" s="45" t="s">
        <v>72</v>
      </c>
      <c r="C608" s="14">
        <v>1</v>
      </c>
      <c r="D608" s="61">
        <v>7</v>
      </c>
      <c r="E608" s="61">
        <v>25</v>
      </c>
      <c r="F608" s="61">
        <f t="shared" si="16"/>
        <v>18</v>
      </c>
      <c r="G608" s="8" t="s">
        <v>15</v>
      </c>
      <c r="H608" s="8" t="s">
        <v>113</v>
      </c>
      <c r="I608" s="161"/>
    </row>
    <row r="609" spans="1:9" ht="15.75" x14ac:dyDescent="0.25">
      <c r="A609" s="158">
        <v>650</v>
      </c>
      <c r="B609" s="45" t="s">
        <v>72</v>
      </c>
      <c r="C609" s="14">
        <v>1</v>
      </c>
      <c r="D609" s="61">
        <v>7</v>
      </c>
      <c r="E609" s="61">
        <v>25</v>
      </c>
      <c r="F609" s="61">
        <f t="shared" si="16"/>
        <v>18</v>
      </c>
      <c r="G609" s="8" t="s">
        <v>15</v>
      </c>
      <c r="H609" s="8" t="s">
        <v>113</v>
      </c>
      <c r="I609" s="161"/>
    </row>
    <row r="610" spans="1:9" ht="15.75" x14ac:dyDescent="0.25">
      <c r="A610" s="158">
        <v>725</v>
      </c>
      <c r="B610" s="45" t="s">
        <v>72</v>
      </c>
      <c r="C610" s="14">
        <v>1</v>
      </c>
      <c r="D610" s="61">
        <v>7</v>
      </c>
      <c r="E610" s="61">
        <v>20</v>
      </c>
      <c r="F610" s="61">
        <f t="shared" si="16"/>
        <v>13</v>
      </c>
      <c r="G610" s="8" t="s">
        <v>15</v>
      </c>
      <c r="H610" s="8" t="s">
        <v>113</v>
      </c>
      <c r="I610" s="161"/>
    </row>
    <row r="611" spans="1:9" ht="15.75" x14ac:dyDescent="0.25">
      <c r="A611" s="158">
        <v>728</v>
      </c>
      <c r="B611" s="45" t="s">
        <v>72</v>
      </c>
      <c r="C611" s="14">
        <v>1</v>
      </c>
      <c r="D611" s="61">
        <v>7</v>
      </c>
      <c r="E611" s="61">
        <v>40</v>
      </c>
      <c r="F611" s="61">
        <f t="shared" si="16"/>
        <v>33</v>
      </c>
      <c r="G611" s="8" t="s">
        <v>15</v>
      </c>
      <c r="H611" s="8" t="s">
        <v>113</v>
      </c>
      <c r="I611" s="161"/>
    </row>
    <row r="612" spans="1:9" ht="15.75" x14ac:dyDescent="0.25">
      <c r="A612" s="158">
        <v>729</v>
      </c>
      <c r="B612" s="45" t="s">
        <v>72</v>
      </c>
      <c r="C612" s="14">
        <v>1</v>
      </c>
      <c r="D612" s="61">
        <v>7</v>
      </c>
      <c r="E612" s="61">
        <v>20</v>
      </c>
      <c r="F612" s="61">
        <f t="shared" si="16"/>
        <v>13</v>
      </c>
      <c r="G612" s="8" t="s">
        <v>15</v>
      </c>
      <c r="H612" s="8" t="s">
        <v>113</v>
      </c>
      <c r="I612" s="161"/>
    </row>
    <row r="613" spans="1:9" ht="15.75" x14ac:dyDescent="0.25">
      <c r="A613" s="158">
        <v>730</v>
      </c>
      <c r="B613" s="45" t="s">
        <v>72</v>
      </c>
      <c r="C613" s="14">
        <v>1</v>
      </c>
      <c r="D613" s="61">
        <v>7</v>
      </c>
      <c r="E613" s="61">
        <v>20</v>
      </c>
      <c r="F613" s="61">
        <f t="shared" si="16"/>
        <v>13</v>
      </c>
      <c r="G613" s="8" t="s">
        <v>15</v>
      </c>
      <c r="H613" s="8" t="s">
        <v>113</v>
      </c>
      <c r="I613" s="161"/>
    </row>
    <row r="614" spans="1:9" ht="15.75" x14ac:dyDescent="0.25">
      <c r="A614" s="158">
        <v>30</v>
      </c>
      <c r="B614" s="45" t="s">
        <v>72</v>
      </c>
      <c r="C614" s="14">
        <v>1</v>
      </c>
      <c r="D614" s="61">
        <v>7</v>
      </c>
      <c r="E614" s="61">
        <v>20</v>
      </c>
      <c r="F614" s="61">
        <f t="shared" si="16"/>
        <v>13</v>
      </c>
      <c r="G614" s="8" t="s">
        <v>15</v>
      </c>
      <c r="H614" s="8" t="s">
        <v>113</v>
      </c>
      <c r="I614" s="159"/>
    </row>
    <row r="615" spans="1:9" ht="15.75" x14ac:dyDescent="0.25">
      <c r="A615" s="158">
        <v>31</v>
      </c>
      <c r="B615" s="45" t="s">
        <v>72</v>
      </c>
      <c r="C615" s="14">
        <v>1</v>
      </c>
      <c r="D615" s="61">
        <v>7</v>
      </c>
      <c r="E615" s="61">
        <v>20</v>
      </c>
      <c r="F615" s="61">
        <f t="shared" si="16"/>
        <v>13</v>
      </c>
      <c r="G615" s="8" t="s">
        <v>15</v>
      </c>
      <c r="H615" s="8" t="s">
        <v>113</v>
      </c>
      <c r="I615" s="159"/>
    </row>
    <row r="616" spans="1:9" ht="15.75" x14ac:dyDescent="0.25">
      <c r="A616" s="158">
        <v>77</v>
      </c>
      <c r="B616" s="45" t="s">
        <v>72</v>
      </c>
      <c r="C616" s="14">
        <v>1</v>
      </c>
      <c r="D616" s="61">
        <v>5</v>
      </c>
      <c r="E616" s="61">
        <v>16</v>
      </c>
      <c r="F616" s="61">
        <f>SUM(E616-D616)</f>
        <v>11</v>
      </c>
      <c r="G616" s="8" t="s">
        <v>15</v>
      </c>
      <c r="H616" s="57" t="s">
        <v>6</v>
      </c>
      <c r="I616" s="159"/>
    </row>
    <row r="617" spans="1:9" ht="15.75" x14ac:dyDescent="0.25">
      <c r="A617" s="158">
        <v>78</v>
      </c>
      <c r="B617" s="45" t="s">
        <v>72</v>
      </c>
      <c r="C617" s="14">
        <v>1</v>
      </c>
      <c r="D617" s="61">
        <v>5</v>
      </c>
      <c r="E617" s="61">
        <v>16</v>
      </c>
      <c r="F617" s="61">
        <f>SUM(E617-D617)</f>
        <v>11</v>
      </c>
      <c r="G617" s="8" t="s">
        <v>15</v>
      </c>
      <c r="H617" s="57" t="s">
        <v>6</v>
      </c>
      <c r="I617" s="159"/>
    </row>
    <row r="618" spans="1:9" ht="15.75" x14ac:dyDescent="0.25">
      <c r="A618" s="158">
        <v>369</v>
      </c>
      <c r="B618" s="45" t="s">
        <v>72</v>
      </c>
      <c r="C618" s="14">
        <v>1</v>
      </c>
      <c r="D618" s="61">
        <v>28</v>
      </c>
      <c r="E618" s="61">
        <v>76.78</v>
      </c>
      <c r="F618" s="61">
        <f>E618-D618</f>
        <v>48.78</v>
      </c>
      <c r="G618" s="8" t="s">
        <v>15</v>
      </c>
      <c r="H618" s="8" t="s">
        <v>113</v>
      </c>
      <c r="I618" s="160"/>
    </row>
    <row r="619" spans="1:9" ht="15.75" x14ac:dyDescent="0.25">
      <c r="A619" s="158">
        <v>471</v>
      </c>
      <c r="B619" s="45" t="s">
        <v>72</v>
      </c>
      <c r="C619" s="14">
        <v>1</v>
      </c>
      <c r="D619" s="128">
        <v>21</v>
      </c>
      <c r="E619" s="61">
        <v>50.36</v>
      </c>
      <c r="F619" s="61">
        <f>E619-D619</f>
        <v>29.36</v>
      </c>
      <c r="G619" s="8" t="s">
        <v>15</v>
      </c>
      <c r="H619" s="8" t="s">
        <v>113</v>
      </c>
      <c r="I619" s="160"/>
    </row>
    <row r="620" spans="1:9" ht="15.75" x14ac:dyDescent="0.25">
      <c r="A620" s="158">
        <v>616</v>
      </c>
      <c r="B620" s="45" t="s">
        <v>72</v>
      </c>
      <c r="C620" s="14">
        <v>1</v>
      </c>
      <c r="D620" s="127">
        <v>35</v>
      </c>
      <c r="E620" s="127">
        <v>68.349999999999994</v>
      </c>
      <c r="F620" s="61">
        <f>E620-D620</f>
        <v>33.349999999999994</v>
      </c>
      <c r="G620" s="8" t="s">
        <v>15</v>
      </c>
      <c r="H620" s="8" t="s">
        <v>113</v>
      </c>
      <c r="I620" s="161"/>
    </row>
    <row r="621" spans="1:9" ht="15.75" x14ac:dyDescent="0.25">
      <c r="A621" s="158">
        <v>104</v>
      </c>
      <c r="B621" s="45" t="s">
        <v>72</v>
      </c>
      <c r="C621" s="17">
        <v>163</v>
      </c>
      <c r="D621" s="58">
        <v>978</v>
      </c>
      <c r="E621" s="58">
        <v>2394.59</v>
      </c>
      <c r="F621" s="58">
        <v>1416.5900000000001</v>
      </c>
      <c r="G621" s="8" t="s">
        <v>15</v>
      </c>
      <c r="H621" s="57" t="s">
        <v>6</v>
      </c>
      <c r="I621" s="159"/>
    </row>
    <row r="622" spans="1:9" ht="15.75" x14ac:dyDescent="0.25">
      <c r="A622" s="158">
        <v>716</v>
      </c>
      <c r="B622" s="45" t="s">
        <v>72</v>
      </c>
      <c r="C622" s="126">
        <v>56</v>
      </c>
      <c r="D622" s="132">
        <v>7</v>
      </c>
      <c r="E622" s="61">
        <v>726.68000000000006</v>
      </c>
      <c r="F622" s="61">
        <v>334.68000000000006</v>
      </c>
      <c r="G622" s="8" t="s">
        <v>15</v>
      </c>
      <c r="H622" s="8" t="s">
        <v>114</v>
      </c>
      <c r="I622" s="161"/>
    </row>
    <row r="623" spans="1:9" ht="15.75" x14ac:dyDescent="0.25">
      <c r="A623" s="158">
        <v>317</v>
      </c>
      <c r="B623" s="45" t="s">
        <v>72</v>
      </c>
      <c r="C623" s="126">
        <v>39</v>
      </c>
      <c r="D623" s="127">
        <v>273</v>
      </c>
      <c r="E623" s="127">
        <v>551.13</v>
      </c>
      <c r="F623" s="127">
        <v>278.13</v>
      </c>
      <c r="G623" s="8" t="s">
        <v>3</v>
      </c>
      <c r="H623" s="8" t="s">
        <v>114</v>
      </c>
      <c r="I623" s="161"/>
    </row>
    <row r="624" spans="1:9" ht="15.75" x14ac:dyDescent="0.25">
      <c r="A624" s="158">
        <v>238</v>
      </c>
      <c r="B624" s="45" t="s">
        <v>72</v>
      </c>
      <c r="C624" s="17">
        <v>37</v>
      </c>
      <c r="D624" s="58">
        <v>7</v>
      </c>
      <c r="E624" s="58">
        <v>259</v>
      </c>
      <c r="F624" s="58">
        <v>455.81999999999994</v>
      </c>
      <c r="G624" s="8" t="s">
        <v>15</v>
      </c>
      <c r="H624" s="57" t="s">
        <v>114</v>
      </c>
      <c r="I624" s="159"/>
    </row>
    <row r="625" spans="1:9" ht="15.75" x14ac:dyDescent="0.25">
      <c r="A625" s="158">
        <v>785</v>
      </c>
      <c r="B625" s="45" t="s">
        <v>72</v>
      </c>
      <c r="C625" s="126">
        <v>29</v>
      </c>
      <c r="D625" s="127">
        <v>203</v>
      </c>
      <c r="E625" s="133">
        <v>482.52</v>
      </c>
      <c r="F625" s="127">
        <v>279.52</v>
      </c>
      <c r="G625" s="8" t="s">
        <v>15</v>
      </c>
      <c r="H625" s="8" t="s">
        <v>114</v>
      </c>
      <c r="I625" s="161"/>
    </row>
    <row r="626" spans="1:9" ht="15.75" x14ac:dyDescent="0.25">
      <c r="A626" s="158">
        <v>845</v>
      </c>
      <c r="B626" s="45" t="s">
        <v>72</v>
      </c>
      <c r="C626" s="126">
        <v>18</v>
      </c>
      <c r="D626" s="127">
        <v>126</v>
      </c>
      <c r="E626" s="133">
        <v>365.28</v>
      </c>
      <c r="F626" s="127">
        <v>239.27999999999997</v>
      </c>
      <c r="G626" s="8" t="s">
        <v>15</v>
      </c>
      <c r="H626" s="8" t="s">
        <v>114</v>
      </c>
      <c r="I626" s="161"/>
    </row>
    <row r="627" spans="1:9" ht="15.75" x14ac:dyDescent="0.25">
      <c r="A627" s="158">
        <v>540</v>
      </c>
      <c r="B627" s="45" t="s">
        <v>72</v>
      </c>
      <c r="C627" s="129">
        <v>12</v>
      </c>
      <c r="D627" s="61">
        <v>84</v>
      </c>
      <c r="E627" s="127">
        <v>231.59</v>
      </c>
      <c r="F627" s="61">
        <f>SUM(E627-D627)</f>
        <v>147.59</v>
      </c>
      <c r="G627" s="8" t="s">
        <v>15</v>
      </c>
      <c r="H627" s="8" t="s">
        <v>114</v>
      </c>
      <c r="I627" s="160"/>
    </row>
    <row r="628" spans="1:9" ht="15.75" x14ac:dyDescent="0.25">
      <c r="A628" s="158">
        <v>926</v>
      </c>
      <c r="B628" s="45" t="s">
        <v>72</v>
      </c>
      <c r="C628" s="134">
        <v>11</v>
      </c>
      <c r="D628" s="127">
        <v>77</v>
      </c>
      <c r="E628" s="135">
        <v>184.20479999999998</v>
      </c>
      <c r="F628" s="61">
        <f>E628-D628</f>
        <v>107.20479999999998</v>
      </c>
      <c r="G628" s="8" t="s">
        <v>15</v>
      </c>
      <c r="H628" s="8" t="s">
        <v>114</v>
      </c>
      <c r="I628" s="161"/>
    </row>
    <row r="629" spans="1:9" ht="15.75" x14ac:dyDescent="0.25">
      <c r="A629" s="158">
        <v>39</v>
      </c>
      <c r="B629" s="45" t="s">
        <v>72</v>
      </c>
      <c r="C629" s="14">
        <v>1</v>
      </c>
      <c r="D629" s="61">
        <f>E629-F629</f>
        <v>324</v>
      </c>
      <c r="E629" s="61">
        <v>868.72</v>
      </c>
      <c r="F629" s="61">
        <v>544.72</v>
      </c>
      <c r="G629" s="8" t="s">
        <v>15</v>
      </c>
      <c r="H629" s="57" t="s">
        <v>6</v>
      </c>
      <c r="I629" s="159"/>
    </row>
    <row r="630" spans="1:9" ht="15.75" x14ac:dyDescent="0.25">
      <c r="A630" s="158">
        <v>742</v>
      </c>
      <c r="B630" s="7" t="s">
        <v>385</v>
      </c>
      <c r="C630" s="14">
        <v>1</v>
      </c>
      <c r="D630" s="61">
        <v>13</v>
      </c>
      <c r="E630" s="61">
        <v>25</v>
      </c>
      <c r="F630" s="61">
        <f>E630-D630</f>
        <v>12</v>
      </c>
      <c r="G630" s="8" t="s">
        <v>15</v>
      </c>
      <c r="H630" s="8" t="s">
        <v>113</v>
      </c>
      <c r="I630" s="161"/>
    </row>
    <row r="631" spans="1:9" ht="15.75" x14ac:dyDescent="0.25">
      <c r="A631" s="158">
        <v>370</v>
      </c>
      <c r="B631" s="45" t="s">
        <v>131</v>
      </c>
      <c r="C631" s="14">
        <v>1</v>
      </c>
      <c r="D631" s="61">
        <v>28</v>
      </c>
      <c r="E631" s="61">
        <v>42.92</v>
      </c>
      <c r="F631" s="61">
        <f>E631-D631</f>
        <v>14.920000000000002</v>
      </c>
      <c r="G631" s="8" t="s">
        <v>15</v>
      </c>
      <c r="H631" s="8" t="s">
        <v>113</v>
      </c>
      <c r="I631" s="160"/>
    </row>
    <row r="632" spans="1:9" ht="15.75" x14ac:dyDescent="0.25">
      <c r="A632" s="158">
        <v>121</v>
      </c>
      <c r="B632" s="45" t="s">
        <v>131</v>
      </c>
      <c r="C632" s="17">
        <v>3</v>
      </c>
      <c r="D632" s="58">
        <v>42</v>
      </c>
      <c r="E632" s="58">
        <v>70.240000000000009</v>
      </c>
      <c r="F632" s="58">
        <v>28.240000000000009</v>
      </c>
      <c r="G632" s="8" t="s">
        <v>15</v>
      </c>
      <c r="H632" s="57" t="s">
        <v>6</v>
      </c>
      <c r="I632" s="159"/>
    </row>
    <row r="633" spans="1:9" ht="15.75" x14ac:dyDescent="0.25">
      <c r="A633" s="158">
        <v>237</v>
      </c>
      <c r="B633" s="45" t="s">
        <v>131</v>
      </c>
      <c r="C633" s="17">
        <v>2</v>
      </c>
      <c r="D633" s="58">
        <v>14</v>
      </c>
      <c r="E633" s="58">
        <v>28</v>
      </c>
      <c r="F633" s="58">
        <v>26</v>
      </c>
      <c r="G633" s="8" t="s">
        <v>15</v>
      </c>
      <c r="H633" s="57" t="s">
        <v>114</v>
      </c>
      <c r="I633" s="159"/>
    </row>
    <row r="634" spans="1:9" ht="15.75" x14ac:dyDescent="0.25">
      <c r="A634" s="158">
        <v>318</v>
      </c>
      <c r="B634" s="45" t="s">
        <v>131</v>
      </c>
      <c r="C634" s="126">
        <v>1</v>
      </c>
      <c r="D634" s="127">
        <v>12</v>
      </c>
      <c r="E634" s="127">
        <v>19.98</v>
      </c>
      <c r="F634" s="127">
        <v>7.98</v>
      </c>
      <c r="G634" s="8" t="s">
        <v>3</v>
      </c>
      <c r="H634" s="8" t="s">
        <v>114</v>
      </c>
      <c r="I634" s="161"/>
    </row>
    <row r="635" spans="1:9" ht="15.75" x14ac:dyDescent="0.25">
      <c r="A635" s="158">
        <v>846</v>
      </c>
      <c r="B635" s="45" t="s">
        <v>131</v>
      </c>
      <c r="C635" s="126">
        <v>1</v>
      </c>
      <c r="D635" s="127">
        <v>12</v>
      </c>
      <c r="E635" s="127">
        <v>26.25</v>
      </c>
      <c r="F635" s="127">
        <v>14.25</v>
      </c>
      <c r="G635" s="8" t="s">
        <v>15</v>
      </c>
      <c r="H635" s="8" t="s">
        <v>114</v>
      </c>
      <c r="I635" s="161"/>
    </row>
    <row r="636" spans="1:9" ht="15.75" x14ac:dyDescent="0.25">
      <c r="A636" s="158">
        <v>927</v>
      </c>
      <c r="B636" s="45" t="s">
        <v>479</v>
      </c>
      <c r="C636" s="134">
        <v>1</v>
      </c>
      <c r="D636" s="127">
        <v>0.6</v>
      </c>
      <c r="E636" s="135">
        <v>1.4923999999999999</v>
      </c>
      <c r="F636" s="61">
        <f>E636-D636</f>
        <v>0.89239999999999997</v>
      </c>
      <c r="G636" s="8" t="s">
        <v>15</v>
      </c>
      <c r="H636" s="8" t="s">
        <v>114</v>
      </c>
      <c r="I636" s="161"/>
    </row>
    <row r="637" spans="1:9" ht="15.75" x14ac:dyDescent="0.25">
      <c r="A637" s="158">
        <v>644</v>
      </c>
      <c r="B637" s="7" t="s">
        <v>343</v>
      </c>
      <c r="C637" s="14">
        <v>1</v>
      </c>
      <c r="D637" s="61">
        <v>6</v>
      </c>
      <c r="E637" s="61">
        <v>20</v>
      </c>
      <c r="F637" s="61">
        <f>E637-D637</f>
        <v>14</v>
      </c>
      <c r="G637" s="8" t="s">
        <v>15</v>
      </c>
      <c r="H637" s="8" t="s">
        <v>113</v>
      </c>
      <c r="I637" s="161"/>
    </row>
    <row r="638" spans="1:9" ht="15.75" x14ac:dyDescent="0.25">
      <c r="A638" s="158">
        <v>80</v>
      </c>
      <c r="B638" s="12" t="s">
        <v>110</v>
      </c>
      <c r="C638" s="14">
        <v>1</v>
      </c>
      <c r="D638" s="61">
        <v>25</v>
      </c>
      <c r="E638" s="61">
        <v>40</v>
      </c>
      <c r="F638" s="61">
        <f>SUM(E638-D638)</f>
        <v>15</v>
      </c>
      <c r="G638" s="8" t="s">
        <v>15</v>
      </c>
      <c r="H638" s="57" t="s">
        <v>6</v>
      </c>
      <c r="I638" s="159"/>
    </row>
    <row r="639" spans="1:9" ht="15.75" x14ac:dyDescent="0.25">
      <c r="A639" s="158">
        <v>371</v>
      </c>
      <c r="B639" s="45" t="s">
        <v>229</v>
      </c>
      <c r="C639" s="14">
        <v>1</v>
      </c>
      <c r="D639" s="61">
        <v>14</v>
      </c>
      <c r="E639" s="61">
        <v>25.6</v>
      </c>
      <c r="F639" s="61">
        <f>E639-D639</f>
        <v>11.600000000000001</v>
      </c>
      <c r="G639" s="8" t="s">
        <v>15</v>
      </c>
      <c r="H639" s="8" t="s">
        <v>113</v>
      </c>
      <c r="I639" s="160"/>
    </row>
    <row r="640" spans="1:9" ht="15.75" x14ac:dyDescent="0.25">
      <c r="A640" s="158">
        <v>472</v>
      </c>
      <c r="B640" s="45" t="s">
        <v>229</v>
      </c>
      <c r="C640" s="14">
        <v>1</v>
      </c>
      <c r="D640" s="128">
        <v>20</v>
      </c>
      <c r="E640" s="61">
        <v>35.58</v>
      </c>
      <c r="F640" s="61">
        <f>E640-D640</f>
        <v>15.579999999999998</v>
      </c>
      <c r="G640" s="8" t="s">
        <v>15</v>
      </c>
      <c r="H640" s="8" t="s">
        <v>113</v>
      </c>
      <c r="I640" s="160"/>
    </row>
    <row r="641" spans="1:9" ht="15.75" x14ac:dyDescent="0.25">
      <c r="A641" s="158">
        <v>473</v>
      </c>
      <c r="B641" s="45" t="s">
        <v>260</v>
      </c>
      <c r="C641" s="14">
        <v>1</v>
      </c>
      <c r="D641" s="128">
        <v>114</v>
      </c>
      <c r="E641" s="61">
        <v>224.32999999999998</v>
      </c>
      <c r="F641" s="61">
        <f>E641-D641</f>
        <v>110.32999999999998</v>
      </c>
      <c r="G641" s="8" t="s">
        <v>15</v>
      </c>
      <c r="H641" s="8" t="s">
        <v>113</v>
      </c>
      <c r="I641" s="160"/>
    </row>
    <row r="642" spans="1:9" ht="15.75" x14ac:dyDescent="0.25">
      <c r="A642" s="158">
        <v>372</v>
      </c>
      <c r="B642" s="45" t="s">
        <v>230</v>
      </c>
      <c r="C642" s="14">
        <v>1</v>
      </c>
      <c r="D642" s="61">
        <v>4</v>
      </c>
      <c r="E642" s="61">
        <v>30.95</v>
      </c>
      <c r="F642" s="61">
        <f>E642-D642</f>
        <v>26.95</v>
      </c>
      <c r="G642" s="8" t="s">
        <v>15</v>
      </c>
      <c r="H642" s="8" t="s">
        <v>113</v>
      </c>
      <c r="I642" s="160"/>
    </row>
    <row r="643" spans="1:9" ht="15.75" x14ac:dyDescent="0.25">
      <c r="A643" s="158">
        <v>617</v>
      </c>
      <c r="B643" s="45" t="s">
        <v>230</v>
      </c>
      <c r="C643" s="14">
        <v>1</v>
      </c>
      <c r="D643" s="127">
        <v>5</v>
      </c>
      <c r="E643" s="127">
        <v>8.27</v>
      </c>
      <c r="F643" s="61">
        <f>E643-D643</f>
        <v>3.2699999999999996</v>
      </c>
      <c r="G643" s="8" t="s">
        <v>15</v>
      </c>
      <c r="H643" s="8" t="s">
        <v>113</v>
      </c>
      <c r="I643" s="161"/>
    </row>
    <row r="644" spans="1:9" ht="15.75" x14ac:dyDescent="0.25">
      <c r="A644" s="158">
        <v>526</v>
      </c>
      <c r="B644" s="45" t="s">
        <v>230</v>
      </c>
      <c r="C644" s="129">
        <v>1</v>
      </c>
      <c r="D644" s="61">
        <v>5</v>
      </c>
      <c r="E644" s="127">
        <v>9.24</v>
      </c>
      <c r="F644" s="61">
        <f>SUM(E644-D644)</f>
        <v>4.24</v>
      </c>
      <c r="G644" s="8" t="s">
        <v>15</v>
      </c>
      <c r="H644" s="8" t="s">
        <v>114</v>
      </c>
      <c r="I644" s="160"/>
    </row>
    <row r="645" spans="1:9" ht="15.75" x14ac:dyDescent="0.25">
      <c r="A645" s="158">
        <v>928</v>
      </c>
      <c r="B645" s="45" t="s">
        <v>230</v>
      </c>
      <c r="C645" s="134">
        <v>1</v>
      </c>
      <c r="D645" s="127">
        <v>2</v>
      </c>
      <c r="E645" s="135">
        <v>8.1999999999999993</v>
      </c>
      <c r="F645" s="61">
        <f>E645-D645</f>
        <v>6.1999999999999993</v>
      </c>
      <c r="G645" s="8" t="s">
        <v>15</v>
      </c>
      <c r="H645" s="8" t="s">
        <v>114</v>
      </c>
      <c r="I645" s="161"/>
    </row>
    <row r="646" spans="1:9" ht="15.75" x14ac:dyDescent="0.25">
      <c r="A646" s="158">
        <v>869</v>
      </c>
      <c r="B646" s="7" t="s">
        <v>351</v>
      </c>
      <c r="C646" s="14">
        <v>1</v>
      </c>
      <c r="D646" s="61">
        <v>9.69</v>
      </c>
      <c r="E646" s="61">
        <v>30</v>
      </c>
      <c r="F646" s="61">
        <f>E646-D646</f>
        <v>20.310000000000002</v>
      </c>
      <c r="G646" s="8" t="s">
        <v>3</v>
      </c>
      <c r="H646" s="8" t="s">
        <v>113</v>
      </c>
      <c r="I646" s="161"/>
    </row>
    <row r="647" spans="1:9" ht="15.75" x14ac:dyDescent="0.25">
      <c r="A647" s="158">
        <v>640</v>
      </c>
      <c r="B647" s="7" t="s">
        <v>340</v>
      </c>
      <c r="C647" s="14">
        <v>1</v>
      </c>
      <c r="D647" s="61">
        <v>14</v>
      </c>
      <c r="E647" s="61">
        <v>25</v>
      </c>
      <c r="F647" s="61">
        <f>E647-D647</f>
        <v>11</v>
      </c>
      <c r="G647" s="8" t="s">
        <v>15</v>
      </c>
      <c r="H647" s="8" t="s">
        <v>113</v>
      </c>
      <c r="I647" s="161"/>
    </row>
    <row r="648" spans="1:9" ht="15.75" x14ac:dyDescent="0.25">
      <c r="A648" s="158">
        <v>641</v>
      </c>
      <c r="B648" s="7" t="s">
        <v>340</v>
      </c>
      <c r="C648" s="14">
        <v>1</v>
      </c>
      <c r="D648" s="61">
        <v>14</v>
      </c>
      <c r="E648" s="61">
        <v>25</v>
      </c>
      <c r="F648" s="61">
        <f>E648-D648</f>
        <v>11</v>
      </c>
      <c r="G648" s="8" t="s">
        <v>15</v>
      </c>
      <c r="H648" s="8" t="s">
        <v>113</v>
      </c>
      <c r="I648" s="161"/>
    </row>
    <row r="649" spans="1:9" ht="15.75" x14ac:dyDescent="0.25">
      <c r="A649" s="158">
        <v>139</v>
      </c>
      <c r="B649" s="45" t="s">
        <v>142</v>
      </c>
      <c r="C649" s="17">
        <v>2</v>
      </c>
      <c r="D649" s="58">
        <v>4</v>
      </c>
      <c r="E649" s="58">
        <v>9.6</v>
      </c>
      <c r="F649" s="58">
        <v>5.6</v>
      </c>
      <c r="G649" s="8" t="s">
        <v>15</v>
      </c>
      <c r="H649" s="57" t="s">
        <v>6</v>
      </c>
      <c r="I649" s="159"/>
    </row>
    <row r="650" spans="1:9" ht="15.75" x14ac:dyDescent="0.25">
      <c r="A650" s="158">
        <v>492</v>
      </c>
      <c r="B650" s="10" t="s">
        <v>269</v>
      </c>
      <c r="C650" s="14">
        <v>1</v>
      </c>
      <c r="D650" s="61">
        <v>90</v>
      </c>
      <c r="E650" s="61">
        <v>150</v>
      </c>
      <c r="F650" s="61">
        <f t="shared" ref="F650:F655" si="17">E650-D650</f>
        <v>60</v>
      </c>
      <c r="G650" s="8" t="s">
        <v>15</v>
      </c>
      <c r="H650" s="8" t="s">
        <v>113</v>
      </c>
      <c r="I650" s="160"/>
    </row>
    <row r="651" spans="1:9" ht="15.75" x14ac:dyDescent="0.25">
      <c r="A651" s="158">
        <v>209</v>
      </c>
      <c r="B651" s="12" t="s">
        <v>157</v>
      </c>
      <c r="C651" s="14">
        <v>1</v>
      </c>
      <c r="D651" s="61">
        <v>80</v>
      </c>
      <c r="E651" s="61">
        <v>160</v>
      </c>
      <c r="F651" s="61">
        <f t="shared" si="17"/>
        <v>80</v>
      </c>
      <c r="G651" s="8" t="s">
        <v>15</v>
      </c>
      <c r="H651" s="8" t="s">
        <v>113</v>
      </c>
      <c r="I651" s="159"/>
    </row>
    <row r="652" spans="1:9" ht="15.75" x14ac:dyDescent="0.25">
      <c r="A652" s="158">
        <v>549</v>
      </c>
      <c r="B652" s="7" t="s">
        <v>157</v>
      </c>
      <c r="C652" s="14">
        <v>1</v>
      </c>
      <c r="D652" s="61">
        <v>80</v>
      </c>
      <c r="E652" s="61">
        <v>150</v>
      </c>
      <c r="F652" s="61">
        <f t="shared" si="17"/>
        <v>70</v>
      </c>
      <c r="G652" s="8" t="s">
        <v>15</v>
      </c>
      <c r="H652" s="8" t="s">
        <v>113</v>
      </c>
      <c r="I652" s="161"/>
    </row>
    <row r="653" spans="1:9" ht="15.75" x14ac:dyDescent="0.25">
      <c r="A653" s="158">
        <v>89</v>
      </c>
      <c r="B653" s="12" t="s">
        <v>13</v>
      </c>
      <c r="C653" s="14">
        <v>1</v>
      </c>
      <c r="D653" s="61">
        <v>15</v>
      </c>
      <c r="E653" s="61">
        <v>35</v>
      </c>
      <c r="F653" s="61">
        <f t="shared" si="17"/>
        <v>20</v>
      </c>
      <c r="G653" s="8" t="s">
        <v>15</v>
      </c>
      <c r="H653" s="8" t="s">
        <v>113</v>
      </c>
      <c r="I653" s="159"/>
    </row>
    <row r="654" spans="1:9" ht="15.75" x14ac:dyDescent="0.25">
      <c r="A654" s="158">
        <v>373</v>
      </c>
      <c r="B654" s="45" t="s">
        <v>231</v>
      </c>
      <c r="C654" s="14">
        <v>1</v>
      </c>
      <c r="D654" s="61">
        <v>15</v>
      </c>
      <c r="E654" s="61">
        <v>20</v>
      </c>
      <c r="F654" s="61">
        <f t="shared" si="17"/>
        <v>5</v>
      </c>
      <c r="G654" s="8" t="s">
        <v>15</v>
      </c>
      <c r="H654" s="8" t="s">
        <v>113</v>
      </c>
      <c r="I654" s="160"/>
    </row>
    <row r="655" spans="1:9" ht="15.75" x14ac:dyDescent="0.25">
      <c r="A655" s="158">
        <v>810</v>
      </c>
      <c r="B655" s="7" t="s">
        <v>419</v>
      </c>
      <c r="C655" s="14">
        <v>1</v>
      </c>
      <c r="D655" s="61">
        <v>8</v>
      </c>
      <c r="E655" s="61">
        <v>20</v>
      </c>
      <c r="F655" s="61">
        <f t="shared" si="17"/>
        <v>12</v>
      </c>
      <c r="G655" s="8" t="s">
        <v>15</v>
      </c>
      <c r="H655" s="8" t="s">
        <v>113</v>
      </c>
      <c r="I655" s="161"/>
    </row>
    <row r="656" spans="1:9" ht="15.75" x14ac:dyDescent="0.25">
      <c r="A656" s="158">
        <v>236</v>
      </c>
      <c r="B656" s="45" t="s">
        <v>168</v>
      </c>
      <c r="C656" s="17">
        <v>1</v>
      </c>
      <c r="D656" s="58">
        <v>10</v>
      </c>
      <c r="E656" s="58">
        <v>10</v>
      </c>
      <c r="F656" s="58">
        <v>10</v>
      </c>
      <c r="G656" s="8" t="s">
        <v>15</v>
      </c>
      <c r="H656" s="57" t="s">
        <v>114</v>
      </c>
      <c r="I656" s="159"/>
    </row>
    <row r="657" spans="1:9" ht="15.75" x14ac:dyDescent="0.25">
      <c r="A657" s="158">
        <v>527</v>
      </c>
      <c r="B657" s="45" t="s">
        <v>168</v>
      </c>
      <c r="C657" s="129">
        <v>1</v>
      </c>
      <c r="D657" s="61">
        <v>9</v>
      </c>
      <c r="E657" s="127">
        <v>18.11</v>
      </c>
      <c r="F657" s="61">
        <f>SUM(E657-D657)</f>
        <v>9.11</v>
      </c>
      <c r="G657" s="8" t="s">
        <v>15</v>
      </c>
      <c r="H657" s="8" t="s">
        <v>114</v>
      </c>
      <c r="I657" s="160"/>
    </row>
    <row r="658" spans="1:9" ht="15.75" x14ac:dyDescent="0.25">
      <c r="A658" s="158">
        <v>682</v>
      </c>
      <c r="B658" s="45" t="s">
        <v>357</v>
      </c>
      <c r="C658" s="126">
        <v>1</v>
      </c>
      <c r="D658" s="132">
        <v>30</v>
      </c>
      <c r="E658" s="61">
        <v>31.59</v>
      </c>
      <c r="F658" s="61">
        <v>1.5899999999999999</v>
      </c>
      <c r="G658" s="8" t="s">
        <v>15</v>
      </c>
      <c r="H658" s="8" t="s">
        <v>114</v>
      </c>
      <c r="I658" s="161"/>
    </row>
    <row r="659" spans="1:9" ht="15.75" x14ac:dyDescent="0.25">
      <c r="A659" s="158">
        <v>847</v>
      </c>
      <c r="B659" s="45" t="s">
        <v>438</v>
      </c>
      <c r="C659" s="126">
        <v>1</v>
      </c>
      <c r="D659" s="127">
        <v>30</v>
      </c>
      <c r="E659" s="127">
        <v>49.48</v>
      </c>
      <c r="F659" s="127">
        <v>19.479999999999997</v>
      </c>
      <c r="G659" s="8" t="s">
        <v>15</v>
      </c>
      <c r="H659" s="8" t="s">
        <v>114</v>
      </c>
      <c r="I659" s="161"/>
    </row>
    <row r="660" spans="1:9" ht="15.75" x14ac:dyDescent="0.25">
      <c r="A660" s="158">
        <v>929</v>
      </c>
      <c r="B660" s="45" t="s">
        <v>480</v>
      </c>
      <c r="C660" s="134">
        <v>1</v>
      </c>
      <c r="D660" s="127">
        <v>25</v>
      </c>
      <c r="E660" s="135">
        <v>26.215399999999999</v>
      </c>
      <c r="F660" s="61">
        <f>E660-D660</f>
        <v>1.2153999999999989</v>
      </c>
      <c r="G660" s="8" t="s">
        <v>15</v>
      </c>
      <c r="H660" s="8" t="s">
        <v>114</v>
      </c>
      <c r="I660" s="161"/>
    </row>
    <row r="661" spans="1:9" ht="15.75" x14ac:dyDescent="0.25">
      <c r="A661" s="158">
        <v>637</v>
      </c>
      <c r="B661" s="7" t="s">
        <v>337</v>
      </c>
      <c r="C661" s="14">
        <v>1</v>
      </c>
      <c r="D661" s="61">
        <v>5.5</v>
      </c>
      <c r="E661" s="61">
        <v>10</v>
      </c>
      <c r="F661" s="61">
        <f>E661-D661</f>
        <v>4.5</v>
      </c>
      <c r="G661" s="8" t="s">
        <v>15</v>
      </c>
      <c r="H661" s="8" t="s">
        <v>113</v>
      </c>
      <c r="I661" s="161"/>
    </row>
    <row r="662" spans="1:9" ht="15.75" x14ac:dyDescent="0.25">
      <c r="A662" s="158">
        <v>420</v>
      </c>
      <c r="B662" s="10" t="s">
        <v>236</v>
      </c>
      <c r="C662" s="14">
        <v>1</v>
      </c>
      <c r="D662" s="61">
        <v>5.5</v>
      </c>
      <c r="E662" s="61">
        <v>15</v>
      </c>
      <c r="F662" s="61">
        <f>E662-D662</f>
        <v>9.5</v>
      </c>
      <c r="G662" s="8" t="s">
        <v>15</v>
      </c>
      <c r="H662" s="8" t="s">
        <v>113</v>
      </c>
      <c r="I662" s="160"/>
    </row>
    <row r="663" spans="1:9" ht="15.75" x14ac:dyDescent="0.25">
      <c r="A663" s="158">
        <v>113</v>
      </c>
      <c r="B663" s="45" t="s">
        <v>105</v>
      </c>
      <c r="C663" s="17">
        <v>2</v>
      </c>
      <c r="D663" s="58">
        <v>50</v>
      </c>
      <c r="E663" s="58">
        <v>151.76</v>
      </c>
      <c r="F663" s="58">
        <v>101.75999999999999</v>
      </c>
      <c r="G663" s="8" t="s">
        <v>15</v>
      </c>
      <c r="H663" s="57" t="s">
        <v>6</v>
      </c>
      <c r="I663" s="159"/>
    </row>
    <row r="664" spans="1:9" ht="15.75" x14ac:dyDescent="0.25">
      <c r="A664" s="158">
        <v>73</v>
      </c>
      <c r="B664" s="45" t="s">
        <v>105</v>
      </c>
      <c r="C664" s="14">
        <v>1</v>
      </c>
      <c r="D664" s="61">
        <f>E664-F664</f>
        <v>25</v>
      </c>
      <c r="E664" s="58">
        <v>50</v>
      </c>
      <c r="F664" s="61">
        <v>25</v>
      </c>
      <c r="G664" s="8" t="s">
        <v>15</v>
      </c>
      <c r="H664" s="57" t="s">
        <v>6</v>
      </c>
      <c r="I664" s="159"/>
    </row>
    <row r="665" spans="1:9" ht="15.75" x14ac:dyDescent="0.25">
      <c r="A665" s="158">
        <v>848</v>
      </c>
      <c r="B665" s="45" t="s">
        <v>439</v>
      </c>
      <c r="C665" s="126">
        <v>52</v>
      </c>
      <c r="D665" s="127">
        <v>286</v>
      </c>
      <c r="E665" s="133">
        <v>724.47</v>
      </c>
      <c r="F665" s="127">
        <v>438.47</v>
      </c>
      <c r="G665" s="8" t="s">
        <v>15</v>
      </c>
      <c r="H665" s="8" t="s">
        <v>114</v>
      </c>
      <c r="I665" s="161"/>
    </row>
    <row r="666" spans="1:9" ht="15.75" x14ac:dyDescent="0.25">
      <c r="A666" s="158">
        <v>930</v>
      </c>
      <c r="B666" s="45" t="s">
        <v>439</v>
      </c>
      <c r="C666" s="134">
        <v>43</v>
      </c>
      <c r="D666" s="127">
        <v>236.5</v>
      </c>
      <c r="E666" s="135">
        <v>579.51859999999999</v>
      </c>
      <c r="F666" s="61">
        <f>E666-D666</f>
        <v>343.01859999999999</v>
      </c>
      <c r="G666" s="8" t="s">
        <v>15</v>
      </c>
      <c r="H666" s="8" t="s">
        <v>114</v>
      </c>
      <c r="I666" s="161"/>
    </row>
    <row r="667" spans="1:9" ht="15.75" x14ac:dyDescent="0.25">
      <c r="A667" s="158">
        <v>474</v>
      </c>
      <c r="B667" s="45" t="s">
        <v>439</v>
      </c>
      <c r="C667" s="14">
        <v>1</v>
      </c>
      <c r="D667" s="128">
        <v>12</v>
      </c>
      <c r="E667" s="61">
        <v>33.81</v>
      </c>
      <c r="F667" s="61">
        <f>E667-D667</f>
        <v>21.810000000000002</v>
      </c>
      <c r="G667" s="8" t="s">
        <v>15</v>
      </c>
      <c r="H667" s="8" t="s">
        <v>113</v>
      </c>
      <c r="I667" s="160"/>
    </row>
    <row r="668" spans="1:9" ht="15.75" x14ac:dyDescent="0.25">
      <c r="A668" s="158">
        <v>618</v>
      </c>
      <c r="B668" s="45" t="s">
        <v>439</v>
      </c>
      <c r="C668" s="14">
        <v>1</v>
      </c>
      <c r="D668" s="127">
        <v>5</v>
      </c>
      <c r="E668" s="127">
        <v>8.9</v>
      </c>
      <c r="F668" s="61">
        <f>E668-D668</f>
        <v>3.9000000000000004</v>
      </c>
      <c r="G668" s="8" t="s">
        <v>15</v>
      </c>
      <c r="H668" s="8" t="s">
        <v>113</v>
      </c>
      <c r="I668" s="161"/>
    </row>
    <row r="669" spans="1:9" ht="15.75" x14ac:dyDescent="0.25">
      <c r="A669" s="158">
        <v>786</v>
      </c>
      <c r="B669" s="45" t="s">
        <v>439</v>
      </c>
      <c r="C669" s="126">
        <v>15</v>
      </c>
      <c r="D669" s="127">
        <v>82.5</v>
      </c>
      <c r="E669" s="127">
        <v>181.14</v>
      </c>
      <c r="F669" s="127">
        <v>98.639999999999986</v>
      </c>
      <c r="G669" s="8" t="s">
        <v>15</v>
      </c>
      <c r="H669" s="8" t="s">
        <v>114</v>
      </c>
      <c r="I669" s="161"/>
    </row>
    <row r="670" spans="1:9" ht="15.75" x14ac:dyDescent="0.25">
      <c r="A670" s="158">
        <v>709</v>
      </c>
      <c r="B670" s="45" t="s">
        <v>439</v>
      </c>
      <c r="C670" s="17">
        <v>8</v>
      </c>
      <c r="D670" s="132">
        <v>5.5</v>
      </c>
      <c r="E670" s="61">
        <v>96.94</v>
      </c>
      <c r="F670" s="61">
        <v>52.94</v>
      </c>
      <c r="G670" s="8" t="s">
        <v>15</v>
      </c>
      <c r="H670" s="8" t="s">
        <v>114</v>
      </c>
      <c r="I670" s="161"/>
    </row>
    <row r="671" spans="1:9" ht="15.75" x14ac:dyDescent="0.25">
      <c r="A671" s="158">
        <v>534</v>
      </c>
      <c r="B671" s="45" t="s">
        <v>439</v>
      </c>
      <c r="C671" s="129">
        <v>2</v>
      </c>
      <c r="D671" s="61">
        <v>10</v>
      </c>
      <c r="E671" s="127">
        <v>29.17</v>
      </c>
      <c r="F671" s="61">
        <f>SUM(E671-D671)</f>
        <v>19.170000000000002</v>
      </c>
      <c r="G671" s="8" t="s">
        <v>15</v>
      </c>
      <c r="H671" s="8" t="s">
        <v>114</v>
      </c>
      <c r="I671" s="160"/>
    </row>
    <row r="672" spans="1:9" ht="15.75" x14ac:dyDescent="0.25">
      <c r="A672" s="158">
        <v>619</v>
      </c>
      <c r="B672" s="45" t="s">
        <v>323</v>
      </c>
      <c r="C672" s="14">
        <v>1</v>
      </c>
      <c r="D672" s="127">
        <v>8</v>
      </c>
      <c r="E672" s="127">
        <v>25.31</v>
      </c>
      <c r="F672" s="61">
        <f>E672-D672</f>
        <v>17.309999999999999</v>
      </c>
      <c r="G672" s="8" t="s">
        <v>15</v>
      </c>
      <c r="H672" s="8" t="s">
        <v>113</v>
      </c>
      <c r="I672" s="161"/>
    </row>
    <row r="673" spans="1:9" ht="15.75" x14ac:dyDescent="0.25">
      <c r="A673" s="158">
        <v>693</v>
      </c>
      <c r="B673" s="45" t="s">
        <v>323</v>
      </c>
      <c r="C673" s="17">
        <v>1</v>
      </c>
      <c r="D673" s="132">
        <v>8</v>
      </c>
      <c r="E673" s="61">
        <v>16.25</v>
      </c>
      <c r="F673" s="61">
        <v>8.25</v>
      </c>
      <c r="G673" s="8" t="s">
        <v>15</v>
      </c>
      <c r="H673" s="8" t="s">
        <v>114</v>
      </c>
      <c r="I673" s="161"/>
    </row>
    <row r="674" spans="1:9" ht="15.75" x14ac:dyDescent="0.25">
      <c r="A674" s="158">
        <v>787</v>
      </c>
      <c r="B674" s="45" t="s">
        <v>323</v>
      </c>
      <c r="C674" s="126">
        <v>1</v>
      </c>
      <c r="D674" s="127">
        <v>8</v>
      </c>
      <c r="E674" s="127">
        <v>18.75</v>
      </c>
      <c r="F674" s="127">
        <v>10.75</v>
      </c>
      <c r="G674" s="8" t="s">
        <v>15</v>
      </c>
      <c r="H674" s="8" t="s">
        <v>114</v>
      </c>
      <c r="I674" s="161"/>
    </row>
    <row r="675" spans="1:9" ht="15.75" x14ac:dyDescent="0.25">
      <c r="A675" s="158">
        <v>754</v>
      </c>
      <c r="B675" s="7" t="s">
        <v>393</v>
      </c>
      <c r="C675" s="14">
        <v>1</v>
      </c>
      <c r="D675" s="61">
        <v>12.5</v>
      </c>
      <c r="E675" s="61">
        <v>20</v>
      </c>
      <c r="F675" s="61">
        <f>E675-D675</f>
        <v>7.5</v>
      </c>
      <c r="G675" s="8" t="s">
        <v>15</v>
      </c>
      <c r="H675" s="8" t="s">
        <v>113</v>
      </c>
      <c r="I675" s="161"/>
    </row>
    <row r="676" spans="1:9" ht="15.75" x14ac:dyDescent="0.25">
      <c r="A676" s="158">
        <v>811</v>
      </c>
      <c r="B676" s="7" t="s">
        <v>393</v>
      </c>
      <c r="C676" s="14">
        <v>1</v>
      </c>
      <c r="D676" s="61">
        <v>13.5</v>
      </c>
      <c r="E676" s="61">
        <v>20</v>
      </c>
      <c r="F676" s="61">
        <f>E676-D676</f>
        <v>6.5</v>
      </c>
      <c r="G676" s="8" t="s">
        <v>15</v>
      </c>
      <c r="H676" s="8" t="s">
        <v>113</v>
      </c>
      <c r="I676" s="161"/>
    </row>
    <row r="677" spans="1:9" ht="15.75" x14ac:dyDescent="0.25">
      <c r="A677" s="158">
        <v>893</v>
      </c>
      <c r="B677" s="7" t="s">
        <v>393</v>
      </c>
      <c r="C677" s="14">
        <v>1</v>
      </c>
      <c r="D677" s="61">
        <v>12.5</v>
      </c>
      <c r="E677" s="61">
        <v>25</v>
      </c>
      <c r="F677" s="61">
        <f>E677-D677</f>
        <v>12.5</v>
      </c>
      <c r="G677" s="8" t="s">
        <v>15</v>
      </c>
      <c r="H677" s="8" t="s">
        <v>113</v>
      </c>
      <c r="I677" s="161"/>
    </row>
    <row r="678" spans="1:9" ht="15.75" x14ac:dyDescent="0.25">
      <c r="A678" s="158">
        <v>894</v>
      </c>
      <c r="B678" s="7" t="s">
        <v>468</v>
      </c>
      <c r="C678" s="14">
        <v>1</v>
      </c>
      <c r="D678" s="61">
        <v>7.5</v>
      </c>
      <c r="E678" s="61">
        <v>15</v>
      </c>
      <c r="F678" s="61">
        <f>E678-D678</f>
        <v>7.5</v>
      </c>
      <c r="G678" s="8" t="s">
        <v>15</v>
      </c>
      <c r="H678" s="8" t="s">
        <v>113</v>
      </c>
      <c r="I678" s="161"/>
    </row>
    <row r="679" spans="1:9" ht="15.75" x14ac:dyDescent="0.25">
      <c r="A679" s="158">
        <v>319</v>
      </c>
      <c r="B679" s="45" t="s">
        <v>202</v>
      </c>
      <c r="C679" s="126">
        <v>1</v>
      </c>
      <c r="D679" s="127">
        <v>8</v>
      </c>
      <c r="E679" s="127">
        <v>15.52</v>
      </c>
      <c r="F679" s="127">
        <v>7.52</v>
      </c>
      <c r="G679" s="8" t="s">
        <v>3</v>
      </c>
      <c r="H679" s="8" t="s">
        <v>114</v>
      </c>
      <c r="I679" s="161"/>
    </row>
    <row r="680" spans="1:9" ht="15.75" x14ac:dyDescent="0.25">
      <c r="A680" s="158">
        <v>96</v>
      </c>
      <c r="B680" s="12" t="s">
        <v>117</v>
      </c>
      <c r="C680" s="14">
        <v>1</v>
      </c>
      <c r="D680" s="61">
        <v>300</v>
      </c>
      <c r="E680" s="61">
        <v>500</v>
      </c>
      <c r="F680" s="61">
        <f t="shared" ref="F680:F686" si="18">E680-D680</f>
        <v>200</v>
      </c>
      <c r="G680" s="8" t="s">
        <v>15</v>
      </c>
      <c r="H680" s="8" t="s">
        <v>113</v>
      </c>
      <c r="I680" s="159"/>
    </row>
    <row r="681" spans="1:9" ht="15.75" x14ac:dyDescent="0.25">
      <c r="A681" s="158">
        <v>336</v>
      </c>
      <c r="B681" s="7" t="s">
        <v>389</v>
      </c>
      <c r="C681" s="14">
        <v>1</v>
      </c>
      <c r="D681" s="61">
        <v>3</v>
      </c>
      <c r="E681" s="61">
        <v>12</v>
      </c>
      <c r="F681" s="61">
        <f t="shared" si="18"/>
        <v>9</v>
      </c>
      <c r="G681" s="8" t="s">
        <v>15</v>
      </c>
      <c r="H681" s="8" t="s">
        <v>113</v>
      </c>
      <c r="I681" s="160"/>
    </row>
    <row r="682" spans="1:9" ht="15.75" x14ac:dyDescent="0.25">
      <c r="A682" s="158">
        <v>749</v>
      </c>
      <c r="B682" s="7" t="s">
        <v>389</v>
      </c>
      <c r="C682" s="14">
        <v>1</v>
      </c>
      <c r="D682" s="61">
        <v>3</v>
      </c>
      <c r="E682" s="61">
        <v>10</v>
      </c>
      <c r="F682" s="61">
        <f t="shared" si="18"/>
        <v>7</v>
      </c>
      <c r="G682" s="8" t="s">
        <v>15</v>
      </c>
      <c r="H682" s="8" t="s">
        <v>113</v>
      </c>
      <c r="I682" s="161"/>
    </row>
    <row r="683" spans="1:9" ht="15.75" x14ac:dyDescent="0.25">
      <c r="A683" s="158">
        <v>99</v>
      </c>
      <c r="B683" s="12" t="s">
        <v>119</v>
      </c>
      <c r="C683" s="14">
        <v>1</v>
      </c>
      <c r="D683" s="61">
        <v>1.5</v>
      </c>
      <c r="E683" s="61">
        <v>6</v>
      </c>
      <c r="F683" s="61">
        <f t="shared" si="18"/>
        <v>4.5</v>
      </c>
      <c r="G683" s="8" t="s">
        <v>15</v>
      </c>
      <c r="H683" s="8" t="s">
        <v>113</v>
      </c>
      <c r="I683" s="159"/>
    </row>
    <row r="684" spans="1:9" ht="15.75" x14ac:dyDescent="0.25">
      <c r="A684" s="158">
        <v>197</v>
      </c>
      <c r="B684" s="12" t="s">
        <v>119</v>
      </c>
      <c r="C684" s="14">
        <v>1</v>
      </c>
      <c r="D684" s="61">
        <v>1.5</v>
      </c>
      <c r="E684" s="61">
        <v>10</v>
      </c>
      <c r="F684" s="61">
        <f t="shared" si="18"/>
        <v>8.5</v>
      </c>
      <c r="G684" s="8" t="s">
        <v>15</v>
      </c>
      <c r="H684" s="8" t="s">
        <v>113</v>
      </c>
      <c r="I684" s="159"/>
    </row>
    <row r="685" spans="1:9" ht="15.75" x14ac:dyDescent="0.25">
      <c r="A685" s="158">
        <v>578</v>
      </c>
      <c r="B685" s="45" t="s">
        <v>79</v>
      </c>
      <c r="C685" s="14">
        <v>1</v>
      </c>
      <c r="D685" s="61">
        <v>1.5</v>
      </c>
      <c r="E685" s="61">
        <v>5</v>
      </c>
      <c r="F685" s="61">
        <f t="shared" si="18"/>
        <v>3.5</v>
      </c>
      <c r="G685" s="8" t="s">
        <v>15</v>
      </c>
      <c r="H685" s="8" t="s">
        <v>113</v>
      </c>
      <c r="I685" s="161"/>
    </row>
    <row r="686" spans="1:9" ht="15.75" x14ac:dyDescent="0.25">
      <c r="A686" s="158">
        <v>579</v>
      </c>
      <c r="B686" s="45" t="s">
        <v>79</v>
      </c>
      <c r="C686" s="14">
        <v>1</v>
      </c>
      <c r="D686" s="61">
        <v>1.5</v>
      </c>
      <c r="E686" s="61">
        <v>5</v>
      </c>
      <c r="F686" s="61">
        <f t="shared" si="18"/>
        <v>3.5</v>
      </c>
      <c r="G686" s="8" t="s">
        <v>15</v>
      </c>
      <c r="H686" s="8" t="s">
        <v>113</v>
      </c>
      <c r="I686" s="161"/>
    </row>
    <row r="687" spans="1:9" ht="15.75" x14ac:dyDescent="0.25">
      <c r="A687" s="158">
        <v>114</v>
      </c>
      <c r="B687" s="45" t="s">
        <v>79</v>
      </c>
      <c r="C687" s="17">
        <v>33</v>
      </c>
      <c r="D687" s="58">
        <v>49.5</v>
      </c>
      <c r="E687" s="58">
        <v>135.13</v>
      </c>
      <c r="F687" s="58">
        <v>85.63</v>
      </c>
      <c r="G687" s="8" t="s">
        <v>15</v>
      </c>
      <c r="H687" s="57" t="s">
        <v>6</v>
      </c>
      <c r="I687" s="159"/>
    </row>
    <row r="688" spans="1:9" ht="15.75" x14ac:dyDescent="0.25">
      <c r="A688" s="158">
        <v>320</v>
      </c>
      <c r="B688" s="45" t="s">
        <v>79</v>
      </c>
      <c r="C688" s="126">
        <v>2</v>
      </c>
      <c r="D688" s="127">
        <v>3</v>
      </c>
      <c r="E688" s="127">
        <v>16.21</v>
      </c>
      <c r="F688" s="127">
        <v>13.21</v>
      </c>
      <c r="G688" s="8" t="s">
        <v>3</v>
      </c>
      <c r="H688" s="8" t="s">
        <v>114</v>
      </c>
      <c r="I688" s="161"/>
    </row>
    <row r="689" spans="1:9" ht="15.75" x14ac:dyDescent="0.25">
      <c r="A689" s="158">
        <v>46</v>
      </c>
      <c r="B689" s="45" t="s">
        <v>79</v>
      </c>
      <c r="C689" s="14">
        <v>1</v>
      </c>
      <c r="D689" s="61">
        <f>E689-F689</f>
        <v>14.399999999999999</v>
      </c>
      <c r="E689" s="58">
        <v>38.56</v>
      </c>
      <c r="F689" s="61">
        <v>24.160000000000004</v>
      </c>
      <c r="G689" s="8" t="s">
        <v>15</v>
      </c>
      <c r="H689" s="57" t="s">
        <v>6</v>
      </c>
      <c r="I689" s="159"/>
    </row>
    <row r="690" spans="1:9" ht="15.75" x14ac:dyDescent="0.25">
      <c r="A690" s="158">
        <v>558</v>
      </c>
      <c r="B690" s="7" t="s">
        <v>291</v>
      </c>
      <c r="C690" s="14">
        <v>1</v>
      </c>
      <c r="D690" s="61">
        <v>12</v>
      </c>
      <c r="E690" s="61">
        <v>20</v>
      </c>
      <c r="F690" s="61">
        <f t="shared" ref="F690:F703" si="19">E690-D690</f>
        <v>8</v>
      </c>
      <c r="G690" s="8" t="s">
        <v>15</v>
      </c>
      <c r="H690" s="8" t="s">
        <v>113</v>
      </c>
      <c r="I690" s="161"/>
    </row>
    <row r="691" spans="1:9" ht="15.75" x14ac:dyDescent="0.25">
      <c r="A691" s="158">
        <v>751</v>
      </c>
      <c r="B691" s="7" t="s">
        <v>391</v>
      </c>
      <c r="C691" s="14">
        <v>1</v>
      </c>
      <c r="D691" s="61">
        <v>64.5</v>
      </c>
      <c r="E691" s="61">
        <f>120-(120*0.03)</f>
        <v>116.4</v>
      </c>
      <c r="F691" s="61">
        <f t="shared" si="19"/>
        <v>51.900000000000006</v>
      </c>
      <c r="G691" s="8" t="s">
        <v>15</v>
      </c>
      <c r="H691" s="8" t="s">
        <v>113</v>
      </c>
      <c r="I691" s="161"/>
    </row>
    <row r="692" spans="1:9" ht="15.75" x14ac:dyDescent="0.25">
      <c r="A692" s="158">
        <v>886</v>
      </c>
      <c r="B692" s="7" t="s">
        <v>391</v>
      </c>
      <c r="C692" s="14">
        <v>1</v>
      </c>
      <c r="D692" s="61">
        <v>75</v>
      </c>
      <c r="E692" s="61">
        <v>125</v>
      </c>
      <c r="F692" s="61">
        <f t="shared" si="19"/>
        <v>50</v>
      </c>
      <c r="G692" s="8" t="s">
        <v>15</v>
      </c>
      <c r="H692" s="8" t="s">
        <v>113</v>
      </c>
      <c r="I692" s="161"/>
    </row>
    <row r="693" spans="1:9" ht="15.75" x14ac:dyDescent="0.25">
      <c r="A693" s="158">
        <v>888</v>
      </c>
      <c r="B693" s="7" t="s">
        <v>391</v>
      </c>
      <c r="C693" s="14">
        <v>1</v>
      </c>
      <c r="D693" s="61">
        <v>75</v>
      </c>
      <c r="E693" s="61">
        <v>125</v>
      </c>
      <c r="F693" s="61">
        <f t="shared" si="19"/>
        <v>50</v>
      </c>
      <c r="G693" s="8" t="s">
        <v>15</v>
      </c>
      <c r="H693" s="8" t="s">
        <v>113</v>
      </c>
      <c r="I693" s="161"/>
    </row>
    <row r="694" spans="1:9" ht="15.75" x14ac:dyDescent="0.25">
      <c r="A694" s="158">
        <v>374</v>
      </c>
      <c r="B694" s="45" t="s">
        <v>232</v>
      </c>
      <c r="C694" s="14">
        <v>1</v>
      </c>
      <c r="D694" s="61">
        <v>7</v>
      </c>
      <c r="E694" s="61">
        <v>21.21</v>
      </c>
      <c r="F694" s="61">
        <f t="shared" si="19"/>
        <v>14.21</v>
      </c>
      <c r="G694" s="8" t="s">
        <v>15</v>
      </c>
      <c r="H694" s="8" t="s">
        <v>113</v>
      </c>
      <c r="I694" s="160"/>
    </row>
    <row r="695" spans="1:9" ht="15.75" x14ac:dyDescent="0.25">
      <c r="A695" s="158">
        <v>874</v>
      </c>
      <c r="B695" s="7" t="s">
        <v>455</v>
      </c>
      <c r="C695" s="14">
        <v>1</v>
      </c>
      <c r="D695" s="61">
        <v>15</v>
      </c>
      <c r="E695" s="61">
        <v>30</v>
      </c>
      <c r="F695" s="61">
        <f t="shared" si="19"/>
        <v>15</v>
      </c>
      <c r="G695" s="8" t="s">
        <v>3</v>
      </c>
      <c r="H695" s="8" t="s">
        <v>113</v>
      </c>
      <c r="I695" s="161"/>
    </row>
    <row r="696" spans="1:9" ht="15.75" x14ac:dyDescent="0.25">
      <c r="A696" s="158">
        <v>35</v>
      </c>
      <c r="B696" s="12" t="s">
        <v>37</v>
      </c>
      <c r="C696" s="14">
        <v>1</v>
      </c>
      <c r="D696" s="61">
        <v>15</v>
      </c>
      <c r="E696" s="61">
        <v>30</v>
      </c>
      <c r="F696" s="61">
        <f t="shared" si="19"/>
        <v>15</v>
      </c>
      <c r="G696" s="8" t="s">
        <v>15</v>
      </c>
      <c r="H696" s="8" t="s">
        <v>113</v>
      </c>
      <c r="I696" s="159"/>
    </row>
    <row r="697" spans="1:9" ht="15.75" x14ac:dyDescent="0.25">
      <c r="A697" s="158">
        <v>88</v>
      </c>
      <c r="B697" s="12" t="s">
        <v>37</v>
      </c>
      <c r="C697" s="14">
        <v>1</v>
      </c>
      <c r="D697" s="61">
        <v>15</v>
      </c>
      <c r="E697" s="61">
        <v>30</v>
      </c>
      <c r="F697" s="61">
        <f t="shared" si="19"/>
        <v>15</v>
      </c>
      <c r="G697" s="8" t="s">
        <v>15</v>
      </c>
      <c r="H697" s="8" t="s">
        <v>113</v>
      </c>
      <c r="I697" s="160"/>
    </row>
    <row r="698" spans="1:9" ht="15.75" x14ac:dyDescent="0.25">
      <c r="A698" s="158">
        <v>98</v>
      </c>
      <c r="B698" s="12" t="s">
        <v>37</v>
      </c>
      <c r="C698" s="14">
        <v>1</v>
      </c>
      <c r="D698" s="61">
        <v>15</v>
      </c>
      <c r="E698" s="61">
        <v>30</v>
      </c>
      <c r="F698" s="61">
        <f t="shared" si="19"/>
        <v>15</v>
      </c>
      <c r="G698" s="8" t="s">
        <v>15</v>
      </c>
      <c r="H698" s="8" t="s">
        <v>113</v>
      </c>
      <c r="I698" s="160"/>
    </row>
    <row r="699" spans="1:9" ht="15.75" x14ac:dyDescent="0.25">
      <c r="A699" s="158">
        <v>871</v>
      </c>
      <c r="B699" s="7" t="s">
        <v>450</v>
      </c>
      <c r="C699" s="14">
        <v>1</v>
      </c>
      <c r="D699" s="61">
        <v>0</v>
      </c>
      <c r="E699" s="61">
        <v>50</v>
      </c>
      <c r="F699" s="61">
        <f t="shared" si="19"/>
        <v>50</v>
      </c>
      <c r="G699" s="8" t="s">
        <v>3</v>
      </c>
      <c r="H699" s="8" t="s">
        <v>113</v>
      </c>
      <c r="I699" s="161"/>
    </row>
    <row r="700" spans="1:9" ht="15.75" x14ac:dyDescent="0.25">
      <c r="A700" s="158">
        <v>646</v>
      </c>
      <c r="B700" s="7" t="s">
        <v>341</v>
      </c>
      <c r="C700" s="14">
        <v>1</v>
      </c>
      <c r="D700" s="61">
        <v>25</v>
      </c>
      <c r="E700" s="61">
        <v>40</v>
      </c>
      <c r="F700" s="61">
        <f t="shared" si="19"/>
        <v>15</v>
      </c>
      <c r="G700" s="8" t="s">
        <v>15</v>
      </c>
      <c r="H700" s="8" t="s">
        <v>113</v>
      </c>
      <c r="I700" s="161"/>
    </row>
    <row r="701" spans="1:9" ht="15.75" x14ac:dyDescent="0.25">
      <c r="A701" s="158">
        <v>659</v>
      </c>
      <c r="B701" s="7" t="s">
        <v>341</v>
      </c>
      <c r="C701" s="14">
        <v>1</v>
      </c>
      <c r="D701" s="61">
        <v>25</v>
      </c>
      <c r="E701" s="61">
        <v>50</v>
      </c>
      <c r="F701" s="61">
        <f t="shared" si="19"/>
        <v>25</v>
      </c>
      <c r="G701" s="8" t="s">
        <v>15</v>
      </c>
      <c r="H701" s="8" t="s">
        <v>113</v>
      </c>
      <c r="I701" s="161"/>
    </row>
    <row r="702" spans="1:9" ht="15.75" x14ac:dyDescent="0.25">
      <c r="A702" s="158">
        <v>931</v>
      </c>
      <c r="B702" s="45" t="s">
        <v>481</v>
      </c>
      <c r="C702" s="134">
        <v>2</v>
      </c>
      <c r="D702" s="127">
        <v>40</v>
      </c>
      <c r="E702" s="135">
        <v>46.74</v>
      </c>
      <c r="F702" s="61">
        <f t="shared" si="19"/>
        <v>6.740000000000002</v>
      </c>
      <c r="G702" s="8" t="s">
        <v>15</v>
      </c>
      <c r="H702" s="8" t="s">
        <v>114</v>
      </c>
      <c r="I702" s="161"/>
    </row>
    <row r="703" spans="1:9" ht="15.75" x14ac:dyDescent="0.25">
      <c r="A703" s="158">
        <v>475</v>
      </c>
      <c r="B703" s="45" t="s">
        <v>262</v>
      </c>
      <c r="C703" s="14">
        <v>1</v>
      </c>
      <c r="D703" s="128">
        <v>15</v>
      </c>
      <c r="E703" s="61">
        <v>20</v>
      </c>
      <c r="F703" s="61">
        <f t="shared" si="19"/>
        <v>5</v>
      </c>
      <c r="G703" s="8" t="s">
        <v>15</v>
      </c>
      <c r="H703" s="8" t="s">
        <v>113</v>
      </c>
      <c r="I703" s="160"/>
    </row>
    <row r="704" spans="1:9" ht="15.75" x14ac:dyDescent="0.25">
      <c r="A704" s="158">
        <v>321</v>
      </c>
      <c r="B704" s="45" t="s">
        <v>203</v>
      </c>
      <c r="C704" s="126">
        <v>2</v>
      </c>
      <c r="D704" s="127">
        <v>8</v>
      </c>
      <c r="E704" s="127">
        <v>27.54</v>
      </c>
      <c r="F704" s="127">
        <v>19.54</v>
      </c>
      <c r="G704" s="8" t="s">
        <v>3</v>
      </c>
      <c r="H704" s="8" t="s">
        <v>114</v>
      </c>
      <c r="I704" s="161"/>
    </row>
    <row r="705" spans="1:9" ht="15.75" x14ac:dyDescent="0.25">
      <c r="A705" s="158">
        <v>138</v>
      </c>
      <c r="B705" s="45" t="s">
        <v>141</v>
      </c>
      <c r="C705" s="17">
        <v>1</v>
      </c>
      <c r="D705" s="58">
        <v>2.5</v>
      </c>
      <c r="E705" s="58">
        <v>9</v>
      </c>
      <c r="F705" s="58">
        <v>6.5</v>
      </c>
      <c r="G705" s="8" t="s">
        <v>15</v>
      </c>
      <c r="H705" s="57" t="s">
        <v>6</v>
      </c>
      <c r="I705" s="159"/>
    </row>
    <row r="706" spans="1:9" ht="15.75" x14ac:dyDescent="0.25">
      <c r="A706" s="158">
        <v>559</v>
      </c>
      <c r="B706" s="45" t="s">
        <v>440</v>
      </c>
      <c r="C706" s="14">
        <v>1</v>
      </c>
      <c r="D706" s="61">
        <v>25</v>
      </c>
      <c r="E706" s="61">
        <v>50</v>
      </c>
      <c r="F706" s="61">
        <f>E706-D706</f>
        <v>25</v>
      </c>
      <c r="G706" s="8" t="s">
        <v>15</v>
      </c>
      <c r="H706" s="8" t="s">
        <v>113</v>
      </c>
      <c r="I706" s="161"/>
    </row>
    <row r="707" spans="1:9" ht="15.75" x14ac:dyDescent="0.25">
      <c r="A707" s="158">
        <v>849</v>
      </c>
      <c r="B707" s="45" t="s">
        <v>440</v>
      </c>
      <c r="C707" s="126">
        <v>4</v>
      </c>
      <c r="D707" s="127">
        <v>40</v>
      </c>
      <c r="E707" s="133">
        <v>107.66</v>
      </c>
      <c r="F707" s="127">
        <v>67.66</v>
      </c>
      <c r="G707" s="8" t="s">
        <v>15</v>
      </c>
      <c r="H707" s="8" t="s">
        <v>114</v>
      </c>
      <c r="I707" s="161"/>
    </row>
    <row r="708" spans="1:9" ht="15.75" x14ac:dyDescent="0.25">
      <c r="A708" s="158">
        <v>932</v>
      </c>
      <c r="B708" s="45" t="s">
        <v>440</v>
      </c>
      <c r="C708" s="134">
        <v>1</v>
      </c>
      <c r="D708" s="127">
        <v>10</v>
      </c>
      <c r="E708" s="135">
        <v>18.236799999999999</v>
      </c>
      <c r="F708" s="61">
        <f>E708-D708</f>
        <v>8.2367999999999988</v>
      </c>
      <c r="G708" s="8" t="s">
        <v>15</v>
      </c>
      <c r="H708" s="8" t="s">
        <v>114</v>
      </c>
      <c r="I708" s="161"/>
    </row>
    <row r="709" spans="1:9" ht="15.75" x14ac:dyDescent="0.25">
      <c r="A709" s="158">
        <v>788</v>
      </c>
      <c r="B709" s="45" t="s">
        <v>406</v>
      </c>
      <c r="C709" s="126">
        <v>1</v>
      </c>
      <c r="D709" s="127">
        <v>12</v>
      </c>
      <c r="E709" s="127">
        <v>36.630000000000003</v>
      </c>
      <c r="F709" s="127">
        <v>24.630000000000003</v>
      </c>
      <c r="G709" s="8" t="s">
        <v>15</v>
      </c>
      <c r="H709" s="8" t="s">
        <v>114</v>
      </c>
      <c r="I709" s="161"/>
    </row>
    <row r="710" spans="1:9" ht="15.75" x14ac:dyDescent="0.25">
      <c r="A710" s="158">
        <v>487</v>
      </c>
      <c r="B710" s="10" t="s">
        <v>271</v>
      </c>
      <c r="C710" s="14">
        <v>1</v>
      </c>
      <c r="D710" s="61">
        <v>5</v>
      </c>
      <c r="E710" s="61">
        <v>20</v>
      </c>
      <c r="F710" s="61">
        <f>E710-D710</f>
        <v>15</v>
      </c>
      <c r="G710" s="8" t="s">
        <v>15</v>
      </c>
      <c r="H710" s="8" t="s">
        <v>113</v>
      </c>
      <c r="I710" s="160"/>
    </row>
    <row r="711" spans="1:9" ht="15.75" x14ac:dyDescent="0.25">
      <c r="A711" s="158">
        <v>620</v>
      </c>
      <c r="B711" s="45" t="s">
        <v>324</v>
      </c>
      <c r="C711" s="14">
        <v>1</v>
      </c>
      <c r="D711" s="127">
        <v>8</v>
      </c>
      <c r="E711" s="127">
        <v>10</v>
      </c>
      <c r="F711" s="61">
        <f>E711-D711</f>
        <v>2</v>
      </c>
      <c r="G711" s="8" t="s">
        <v>15</v>
      </c>
      <c r="H711" s="8" t="s">
        <v>113</v>
      </c>
      <c r="I711" s="161"/>
    </row>
    <row r="712" spans="1:9" ht="15.75" x14ac:dyDescent="0.25">
      <c r="A712" s="158">
        <v>867</v>
      </c>
      <c r="B712" s="7" t="s">
        <v>454</v>
      </c>
      <c r="C712" s="14">
        <v>1</v>
      </c>
      <c r="D712" s="61">
        <v>54.59</v>
      </c>
      <c r="E712" s="61">
        <v>100</v>
      </c>
      <c r="F712" s="61">
        <f>E712-D712</f>
        <v>45.41</v>
      </c>
      <c r="G712" s="8" t="s">
        <v>15</v>
      </c>
      <c r="H712" s="8" t="s">
        <v>113</v>
      </c>
      <c r="I712" s="161"/>
    </row>
    <row r="713" spans="1:9" ht="15.75" x14ac:dyDescent="0.25">
      <c r="A713" s="158">
        <v>476</v>
      </c>
      <c r="B713" s="45" t="s">
        <v>263</v>
      </c>
      <c r="C713" s="14">
        <v>1</v>
      </c>
      <c r="D713" s="128">
        <v>10</v>
      </c>
      <c r="E713" s="61">
        <v>22</v>
      </c>
      <c r="F713" s="61">
        <f>E713-D713</f>
        <v>12</v>
      </c>
      <c r="G713" s="8" t="s">
        <v>15</v>
      </c>
      <c r="H713" s="8" t="s">
        <v>113</v>
      </c>
      <c r="I713" s="160"/>
    </row>
    <row r="714" spans="1:9" ht="15.75" x14ac:dyDescent="0.25">
      <c r="A714" s="158">
        <v>701</v>
      </c>
      <c r="B714" s="45" t="s">
        <v>263</v>
      </c>
      <c r="C714" s="17">
        <v>2</v>
      </c>
      <c r="D714" s="132">
        <v>12</v>
      </c>
      <c r="E714" s="61">
        <v>46.61</v>
      </c>
      <c r="F714" s="61">
        <v>22.61</v>
      </c>
      <c r="G714" s="8" t="s">
        <v>15</v>
      </c>
      <c r="H714" s="8" t="s">
        <v>114</v>
      </c>
      <c r="I714" s="161"/>
    </row>
    <row r="715" spans="1:9" ht="15.75" x14ac:dyDescent="0.25">
      <c r="A715" s="158">
        <v>850</v>
      </c>
      <c r="B715" s="45" t="s">
        <v>441</v>
      </c>
      <c r="C715" s="126">
        <v>1</v>
      </c>
      <c r="D715" s="127">
        <v>10</v>
      </c>
      <c r="E715" s="127">
        <v>20</v>
      </c>
      <c r="F715" s="127">
        <v>10</v>
      </c>
      <c r="G715" s="8" t="s">
        <v>15</v>
      </c>
      <c r="H715" s="8" t="s">
        <v>114</v>
      </c>
      <c r="I715" s="161"/>
    </row>
    <row r="716" spans="1:9" ht="15.75" x14ac:dyDescent="0.25">
      <c r="A716" s="158">
        <v>477</v>
      </c>
      <c r="B716" s="45" t="s">
        <v>264</v>
      </c>
      <c r="C716" s="14">
        <v>1</v>
      </c>
      <c r="D716" s="128">
        <v>3</v>
      </c>
      <c r="E716" s="61">
        <v>10</v>
      </c>
      <c r="F716" s="61">
        <f>E716-D716</f>
        <v>7</v>
      </c>
      <c r="G716" s="8" t="s">
        <v>15</v>
      </c>
      <c r="H716" s="8" t="s">
        <v>113</v>
      </c>
      <c r="I716" s="160"/>
    </row>
    <row r="717" spans="1:9" ht="15.75" x14ac:dyDescent="0.25">
      <c r="A717" s="158">
        <v>621</v>
      </c>
      <c r="B717" s="45" t="s">
        <v>264</v>
      </c>
      <c r="C717" s="14">
        <v>1</v>
      </c>
      <c r="D717" s="127">
        <v>3</v>
      </c>
      <c r="E717" s="127">
        <v>9.99</v>
      </c>
      <c r="F717" s="61">
        <f>E717-D717</f>
        <v>6.99</v>
      </c>
      <c r="G717" s="8" t="s">
        <v>15</v>
      </c>
      <c r="H717" s="8" t="s">
        <v>113</v>
      </c>
      <c r="I717" s="161"/>
    </row>
    <row r="718" spans="1:9" ht="15.75" x14ac:dyDescent="0.25">
      <c r="A718" s="158">
        <v>933</v>
      </c>
      <c r="B718" s="45" t="s">
        <v>264</v>
      </c>
      <c r="C718" s="134">
        <v>2</v>
      </c>
      <c r="D718" s="127">
        <v>10</v>
      </c>
      <c r="E718" s="135">
        <v>12.3</v>
      </c>
      <c r="F718" s="61">
        <f>E718-D718</f>
        <v>2.3000000000000007</v>
      </c>
      <c r="G718" s="8" t="s">
        <v>15</v>
      </c>
      <c r="H718" s="8" t="s">
        <v>114</v>
      </c>
      <c r="I718" s="161"/>
    </row>
    <row r="719" spans="1:9" ht="15.75" x14ac:dyDescent="0.25">
      <c r="A719" s="158">
        <v>478</v>
      </c>
      <c r="B719" s="45" t="s">
        <v>128</v>
      </c>
      <c r="C719" s="14">
        <v>1</v>
      </c>
      <c r="D719" s="128">
        <v>30</v>
      </c>
      <c r="E719" s="61">
        <v>60</v>
      </c>
      <c r="F719" s="61">
        <f>E719-D719</f>
        <v>30</v>
      </c>
      <c r="G719" s="8" t="s">
        <v>15</v>
      </c>
      <c r="H719" s="8" t="s">
        <v>113</v>
      </c>
      <c r="I719" s="160"/>
    </row>
    <row r="720" spans="1:9" ht="15.75" x14ac:dyDescent="0.25">
      <c r="A720" s="158">
        <v>112</v>
      </c>
      <c r="B720" s="45" t="s">
        <v>128</v>
      </c>
      <c r="C720" s="17">
        <v>1</v>
      </c>
      <c r="D720" s="58">
        <v>20</v>
      </c>
      <c r="E720" s="58">
        <v>142.21</v>
      </c>
      <c r="F720" s="58">
        <v>122.21000000000001</v>
      </c>
      <c r="G720" s="8" t="s">
        <v>15</v>
      </c>
      <c r="H720" s="57" t="s">
        <v>6</v>
      </c>
      <c r="I720" s="159"/>
    </row>
    <row r="721" spans="1:9" ht="15.75" x14ac:dyDescent="0.25">
      <c r="A721" s="158">
        <v>812</v>
      </c>
      <c r="B721" s="7" t="s">
        <v>410</v>
      </c>
      <c r="C721" s="14">
        <v>1</v>
      </c>
      <c r="D721" s="61">
        <v>9</v>
      </c>
      <c r="E721" s="61">
        <v>20</v>
      </c>
      <c r="F721" s="61">
        <f>E721-D721</f>
        <v>11</v>
      </c>
      <c r="G721" s="8" t="s">
        <v>15</v>
      </c>
      <c r="H721" s="8" t="s">
        <v>113</v>
      </c>
      <c r="I721" s="161"/>
    </row>
    <row r="722" spans="1:9" ht="15.75" x14ac:dyDescent="0.25">
      <c r="A722" s="158">
        <v>375</v>
      </c>
      <c r="B722" s="45" t="s">
        <v>89</v>
      </c>
      <c r="C722" s="14">
        <v>1</v>
      </c>
      <c r="D722" s="61">
        <v>5</v>
      </c>
      <c r="E722" s="61">
        <v>11.5</v>
      </c>
      <c r="F722" s="61">
        <f>E722-D722</f>
        <v>6.5</v>
      </c>
      <c r="G722" s="8" t="s">
        <v>15</v>
      </c>
      <c r="H722" s="8" t="s">
        <v>113</v>
      </c>
      <c r="I722" s="160"/>
    </row>
    <row r="723" spans="1:9" ht="15.75" x14ac:dyDescent="0.25">
      <c r="A723" s="158">
        <v>622</v>
      </c>
      <c r="B723" s="45" t="s">
        <v>89</v>
      </c>
      <c r="C723" s="14">
        <v>1</v>
      </c>
      <c r="D723" s="127">
        <v>15</v>
      </c>
      <c r="E723" s="127">
        <v>28.94</v>
      </c>
      <c r="F723" s="61">
        <f>E723-D723</f>
        <v>13.940000000000001</v>
      </c>
      <c r="G723" s="8" t="s">
        <v>15</v>
      </c>
      <c r="H723" s="8" t="s">
        <v>113</v>
      </c>
      <c r="I723" s="161"/>
    </row>
    <row r="724" spans="1:9" ht="15.75" x14ac:dyDescent="0.25">
      <c r="A724" s="158">
        <v>130</v>
      </c>
      <c r="B724" s="45" t="s">
        <v>89</v>
      </c>
      <c r="C724" s="17">
        <v>2</v>
      </c>
      <c r="D724" s="58">
        <v>10</v>
      </c>
      <c r="E724" s="58">
        <v>22.39</v>
      </c>
      <c r="F724" s="58">
        <v>12.39</v>
      </c>
      <c r="G724" s="8" t="s">
        <v>15</v>
      </c>
      <c r="H724" s="57" t="s">
        <v>6</v>
      </c>
      <c r="I724" s="159"/>
    </row>
    <row r="725" spans="1:9" ht="15.75" x14ac:dyDescent="0.25">
      <c r="A725" s="158">
        <v>322</v>
      </c>
      <c r="B725" s="45" t="s">
        <v>89</v>
      </c>
      <c r="C725" s="126">
        <v>2</v>
      </c>
      <c r="D725" s="127">
        <v>10</v>
      </c>
      <c r="E725" s="127">
        <v>20</v>
      </c>
      <c r="F725" s="127">
        <v>10</v>
      </c>
      <c r="G725" s="8" t="s">
        <v>3</v>
      </c>
      <c r="H725" s="8" t="s">
        <v>114</v>
      </c>
      <c r="I725" s="161"/>
    </row>
    <row r="726" spans="1:9" ht="15.75" x14ac:dyDescent="0.25">
      <c r="A726" s="158">
        <v>934</v>
      </c>
      <c r="B726" s="45" t="s">
        <v>89</v>
      </c>
      <c r="C726" s="136">
        <v>2</v>
      </c>
      <c r="D726" s="127">
        <v>10</v>
      </c>
      <c r="E726" s="135">
        <v>17.1462</v>
      </c>
      <c r="F726" s="61">
        <f>E726-D726</f>
        <v>7.1462000000000003</v>
      </c>
      <c r="G726" s="8" t="s">
        <v>15</v>
      </c>
      <c r="H726" s="8" t="s">
        <v>114</v>
      </c>
      <c r="I726" s="161"/>
    </row>
    <row r="727" spans="1:9" ht="15.75" x14ac:dyDescent="0.25">
      <c r="A727" s="158">
        <v>235</v>
      </c>
      <c r="B727" s="45" t="s">
        <v>89</v>
      </c>
      <c r="C727" s="17">
        <v>1</v>
      </c>
      <c r="D727" s="58">
        <v>5</v>
      </c>
      <c r="E727" s="58">
        <v>5</v>
      </c>
      <c r="F727" s="58">
        <v>9.7200000000000006</v>
      </c>
      <c r="G727" s="8" t="s">
        <v>15</v>
      </c>
      <c r="H727" s="57" t="s">
        <v>114</v>
      </c>
      <c r="I727" s="159"/>
    </row>
    <row r="728" spans="1:9" ht="15.75" x14ac:dyDescent="0.25">
      <c r="A728" s="158">
        <v>688</v>
      </c>
      <c r="B728" s="45" t="s">
        <v>89</v>
      </c>
      <c r="C728" s="126">
        <v>1</v>
      </c>
      <c r="D728" s="132">
        <v>5</v>
      </c>
      <c r="E728" s="61">
        <v>10</v>
      </c>
      <c r="F728" s="61">
        <v>5</v>
      </c>
      <c r="G728" s="8" t="s">
        <v>15</v>
      </c>
      <c r="H728" s="8" t="s">
        <v>114</v>
      </c>
      <c r="I728" s="161"/>
    </row>
    <row r="729" spans="1:9" ht="15.75" x14ac:dyDescent="0.25">
      <c r="A729" s="158">
        <v>851</v>
      </c>
      <c r="B729" s="45" t="s">
        <v>89</v>
      </c>
      <c r="C729" s="126">
        <v>1</v>
      </c>
      <c r="D729" s="127">
        <v>5</v>
      </c>
      <c r="E729" s="127">
        <v>9.8800000000000008</v>
      </c>
      <c r="F729" s="127">
        <v>4.8800000000000008</v>
      </c>
      <c r="G729" s="8" t="s">
        <v>15</v>
      </c>
      <c r="H729" s="8" t="s">
        <v>114</v>
      </c>
      <c r="I729" s="161"/>
    </row>
    <row r="730" spans="1:9" ht="15.75" x14ac:dyDescent="0.25">
      <c r="A730" s="158">
        <v>56</v>
      </c>
      <c r="B730" s="45" t="s">
        <v>89</v>
      </c>
      <c r="C730" s="14">
        <v>1</v>
      </c>
      <c r="D730" s="61">
        <f>E730-F730</f>
        <v>10</v>
      </c>
      <c r="E730" s="58">
        <v>21.35</v>
      </c>
      <c r="F730" s="61">
        <v>11.350000000000001</v>
      </c>
      <c r="G730" s="8" t="s">
        <v>15</v>
      </c>
      <c r="H730" s="57" t="s">
        <v>6</v>
      </c>
      <c r="I730" s="159"/>
    </row>
    <row r="731" spans="1:9" ht="15.75" x14ac:dyDescent="0.25">
      <c r="A731" s="158">
        <v>813</v>
      </c>
      <c r="B731" s="7" t="s">
        <v>409</v>
      </c>
      <c r="C731" s="14">
        <v>1</v>
      </c>
      <c r="D731" s="61">
        <v>27.45</v>
      </c>
      <c r="E731" s="61">
        <v>30</v>
      </c>
      <c r="F731" s="61">
        <f>E731-D731</f>
        <v>2.5500000000000007</v>
      </c>
      <c r="G731" s="8" t="s">
        <v>15</v>
      </c>
      <c r="H731" s="8" t="s">
        <v>113</v>
      </c>
      <c r="I731" s="161"/>
    </row>
    <row r="732" spans="1:9" ht="15.75" x14ac:dyDescent="0.25">
      <c r="A732" s="158">
        <v>707</v>
      </c>
      <c r="B732" s="45" t="s">
        <v>367</v>
      </c>
      <c r="C732" s="17">
        <v>1</v>
      </c>
      <c r="D732" s="132">
        <v>30</v>
      </c>
      <c r="E732" s="61">
        <v>65</v>
      </c>
      <c r="F732" s="61">
        <v>35</v>
      </c>
      <c r="G732" s="8" t="s">
        <v>15</v>
      </c>
      <c r="H732" s="8" t="s">
        <v>114</v>
      </c>
      <c r="I732" s="161"/>
    </row>
    <row r="733" spans="1:9" ht="15.75" x14ac:dyDescent="0.25">
      <c r="A733" s="158">
        <v>852</v>
      </c>
      <c r="B733" s="45" t="s">
        <v>442</v>
      </c>
      <c r="C733" s="126">
        <v>1</v>
      </c>
      <c r="D733" s="127">
        <v>16</v>
      </c>
      <c r="E733" s="127">
        <v>50</v>
      </c>
      <c r="F733" s="127">
        <v>34</v>
      </c>
      <c r="G733" s="8" t="s">
        <v>15</v>
      </c>
      <c r="H733" s="8" t="s">
        <v>114</v>
      </c>
      <c r="I733" s="161"/>
    </row>
    <row r="734" spans="1:9" ht="15.75" x14ac:dyDescent="0.25">
      <c r="A734" s="158">
        <v>623</v>
      </c>
      <c r="B734" s="45" t="s">
        <v>325</v>
      </c>
      <c r="C734" s="14">
        <v>1</v>
      </c>
      <c r="D734" s="127">
        <v>9</v>
      </c>
      <c r="E734" s="127">
        <v>18</v>
      </c>
      <c r="F734" s="61">
        <f>E734-D734</f>
        <v>9</v>
      </c>
      <c r="G734" s="8" t="s">
        <v>15</v>
      </c>
      <c r="H734" s="8" t="s">
        <v>113</v>
      </c>
      <c r="I734" s="161"/>
    </row>
    <row r="735" spans="1:9" ht="15.75" x14ac:dyDescent="0.25">
      <c r="A735" s="158">
        <v>712</v>
      </c>
      <c r="B735" s="45" t="s">
        <v>325</v>
      </c>
      <c r="C735" s="17">
        <v>8</v>
      </c>
      <c r="D735" s="132">
        <v>9</v>
      </c>
      <c r="E735" s="61">
        <v>163.06</v>
      </c>
      <c r="F735" s="61">
        <v>91.06</v>
      </c>
      <c r="G735" s="8" t="s">
        <v>15</v>
      </c>
      <c r="H735" s="8" t="s">
        <v>114</v>
      </c>
      <c r="I735" s="161"/>
    </row>
    <row r="736" spans="1:9" ht="15.75" x14ac:dyDescent="0.25">
      <c r="A736" s="158">
        <v>853</v>
      </c>
      <c r="B736" s="45" t="s">
        <v>325</v>
      </c>
      <c r="C736" s="126">
        <v>4</v>
      </c>
      <c r="D736" s="127">
        <v>44</v>
      </c>
      <c r="E736" s="133">
        <v>92.3</v>
      </c>
      <c r="F736" s="127">
        <v>48.3</v>
      </c>
      <c r="G736" s="8" t="s">
        <v>15</v>
      </c>
      <c r="H736" s="8" t="s">
        <v>114</v>
      </c>
      <c r="I736" s="161"/>
    </row>
    <row r="737" spans="1:9" ht="15.75" x14ac:dyDescent="0.25">
      <c r="A737" s="158">
        <v>789</v>
      </c>
      <c r="B737" s="45" t="s">
        <v>325</v>
      </c>
      <c r="C737" s="126">
        <v>3</v>
      </c>
      <c r="D737" s="127">
        <v>27</v>
      </c>
      <c r="E737" s="127">
        <v>55.99</v>
      </c>
      <c r="F737" s="127">
        <v>28.990000000000002</v>
      </c>
      <c r="G737" s="8" t="s">
        <v>15</v>
      </c>
      <c r="H737" s="8" t="s">
        <v>114</v>
      </c>
      <c r="I737" s="161"/>
    </row>
    <row r="738" spans="1:9" ht="15.75" x14ac:dyDescent="0.25">
      <c r="A738" s="158">
        <v>935</v>
      </c>
      <c r="B738" s="45" t="s">
        <v>482</v>
      </c>
      <c r="C738" s="134">
        <v>1</v>
      </c>
      <c r="D738" s="127">
        <v>180</v>
      </c>
      <c r="E738" s="135">
        <v>241.9</v>
      </c>
      <c r="F738" s="61">
        <f t="shared" ref="F738:F749" si="20">E738-D738</f>
        <v>61.900000000000006</v>
      </c>
      <c r="G738" s="8" t="s">
        <v>15</v>
      </c>
      <c r="H738" s="8" t="s">
        <v>114</v>
      </c>
      <c r="I738" s="161"/>
    </row>
    <row r="739" spans="1:9" ht="15.75" x14ac:dyDescent="0.25">
      <c r="A739" s="158">
        <v>87</v>
      </c>
      <c r="B739" s="7" t="s">
        <v>14</v>
      </c>
      <c r="C739" s="14">
        <v>1</v>
      </c>
      <c r="D739" s="61">
        <v>22</v>
      </c>
      <c r="E739" s="61">
        <v>110</v>
      </c>
      <c r="F739" s="61">
        <f t="shared" si="20"/>
        <v>88</v>
      </c>
      <c r="G739" s="8" t="s">
        <v>15</v>
      </c>
      <c r="H739" s="8" t="s">
        <v>113</v>
      </c>
      <c r="I739" s="160"/>
    </row>
    <row r="740" spans="1:9" ht="15.75" x14ac:dyDescent="0.25">
      <c r="A740" s="158">
        <v>329</v>
      </c>
      <c r="B740" s="7" t="s">
        <v>14</v>
      </c>
      <c r="C740" s="14">
        <v>1</v>
      </c>
      <c r="D740" s="61">
        <v>22</v>
      </c>
      <c r="E740" s="61">
        <v>65</v>
      </c>
      <c r="F740" s="61">
        <f t="shared" si="20"/>
        <v>43</v>
      </c>
      <c r="G740" s="8" t="s">
        <v>15</v>
      </c>
      <c r="H740" s="8" t="s">
        <v>113</v>
      </c>
      <c r="I740" s="160"/>
    </row>
    <row r="741" spans="1:9" ht="15.75" x14ac:dyDescent="0.25">
      <c r="A741" s="158">
        <v>330</v>
      </c>
      <c r="B741" s="7" t="s">
        <v>14</v>
      </c>
      <c r="C741" s="14">
        <v>1</v>
      </c>
      <c r="D741" s="61">
        <v>22</v>
      </c>
      <c r="E741" s="61">
        <v>65</v>
      </c>
      <c r="F741" s="61">
        <f t="shared" si="20"/>
        <v>43</v>
      </c>
      <c r="G741" s="8" t="s">
        <v>15</v>
      </c>
      <c r="H741" s="8" t="s">
        <v>113</v>
      </c>
      <c r="I741" s="160"/>
    </row>
    <row r="742" spans="1:9" ht="15.75" x14ac:dyDescent="0.25">
      <c r="A742" s="158">
        <v>331</v>
      </c>
      <c r="B742" s="7" t="s">
        <v>14</v>
      </c>
      <c r="C742" s="14">
        <v>1</v>
      </c>
      <c r="D742" s="61">
        <v>22</v>
      </c>
      <c r="E742" s="61">
        <v>90</v>
      </c>
      <c r="F742" s="61">
        <f t="shared" si="20"/>
        <v>68</v>
      </c>
      <c r="G742" s="8" t="s">
        <v>15</v>
      </c>
      <c r="H742" s="8" t="s">
        <v>113</v>
      </c>
      <c r="I742" s="160"/>
    </row>
    <row r="743" spans="1:9" ht="15.75" x14ac:dyDescent="0.25">
      <c r="A743" s="158">
        <v>419</v>
      </c>
      <c r="B743" s="7" t="s">
        <v>14</v>
      </c>
      <c r="C743" s="14">
        <v>1</v>
      </c>
      <c r="D743" s="61">
        <v>30</v>
      </c>
      <c r="E743" s="61">
        <v>80</v>
      </c>
      <c r="F743" s="61">
        <f t="shared" si="20"/>
        <v>50</v>
      </c>
      <c r="G743" s="8" t="s">
        <v>15</v>
      </c>
      <c r="H743" s="8" t="s">
        <v>113</v>
      </c>
      <c r="I743" s="160"/>
    </row>
    <row r="744" spans="1:9" ht="15.75" x14ac:dyDescent="0.25">
      <c r="A744" s="158">
        <v>428</v>
      </c>
      <c r="B744" s="7" t="s">
        <v>14</v>
      </c>
      <c r="C744" s="14">
        <v>1</v>
      </c>
      <c r="D744" s="61">
        <v>30</v>
      </c>
      <c r="E744" s="61">
        <v>80</v>
      </c>
      <c r="F744" s="61">
        <f t="shared" si="20"/>
        <v>50</v>
      </c>
      <c r="G744" s="8" t="s">
        <v>15</v>
      </c>
      <c r="H744" s="8" t="s">
        <v>113</v>
      </c>
      <c r="I744" s="160"/>
    </row>
    <row r="745" spans="1:9" ht="15.75" x14ac:dyDescent="0.25">
      <c r="A745" s="158">
        <v>429</v>
      </c>
      <c r="B745" s="7" t="s">
        <v>14</v>
      </c>
      <c r="C745" s="14">
        <v>1</v>
      </c>
      <c r="D745" s="61">
        <v>30</v>
      </c>
      <c r="E745" s="61">
        <v>80</v>
      </c>
      <c r="F745" s="61">
        <f t="shared" si="20"/>
        <v>50</v>
      </c>
      <c r="G745" s="8" t="s">
        <v>15</v>
      </c>
      <c r="H745" s="8" t="s">
        <v>113</v>
      </c>
      <c r="I745" s="160"/>
    </row>
    <row r="746" spans="1:9" ht="15.75" x14ac:dyDescent="0.25">
      <c r="A746" s="158">
        <v>493</v>
      </c>
      <c r="B746" s="7" t="s">
        <v>14</v>
      </c>
      <c r="C746" s="14">
        <v>1</v>
      </c>
      <c r="D746" s="61">
        <v>30</v>
      </c>
      <c r="E746" s="61">
        <v>100</v>
      </c>
      <c r="F746" s="61">
        <f t="shared" si="20"/>
        <v>70</v>
      </c>
      <c r="G746" s="8" t="s">
        <v>15</v>
      </c>
      <c r="H746" s="8" t="s">
        <v>113</v>
      </c>
      <c r="I746" s="160"/>
    </row>
    <row r="747" spans="1:9" ht="15.75" x14ac:dyDescent="0.25">
      <c r="A747" s="158">
        <v>872</v>
      </c>
      <c r="B747" s="7" t="s">
        <v>452</v>
      </c>
      <c r="C747" s="14">
        <v>1</v>
      </c>
      <c r="D747" s="61">
        <v>130</v>
      </c>
      <c r="E747" s="61">
        <v>220</v>
      </c>
      <c r="F747" s="61">
        <f t="shared" si="20"/>
        <v>90</v>
      </c>
      <c r="G747" s="8" t="s">
        <v>3</v>
      </c>
      <c r="H747" s="8" t="s">
        <v>113</v>
      </c>
      <c r="I747" s="161"/>
    </row>
    <row r="748" spans="1:9" ht="15.75" x14ac:dyDescent="0.25">
      <c r="A748" s="158">
        <v>873</v>
      </c>
      <c r="B748" s="7" t="s">
        <v>452</v>
      </c>
      <c r="C748" s="14">
        <v>1</v>
      </c>
      <c r="D748" s="61">
        <v>130</v>
      </c>
      <c r="E748" s="61">
        <v>220</v>
      </c>
      <c r="F748" s="61">
        <f t="shared" si="20"/>
        <v>90</v>
      </c>
      <c r="G748" s="8" t="s">
        <v>3</v>
      </c>
      <c r="H748" s="8" t="s">
        <v>113</v>
      </c>
      <c r="I748" s="161"/>
    </row>
    <row r="749" spans="1:9" ht="15.75" x14ac:dyDescent="0.25">
      <c r="A749" s="158">
        <v>676</v>
      </c>
      <c r="B749" s="7" t="s">
        <v>353</v>
      </c>
      <c r="C749" s="14">
        <v>1</v>
      </c>
      <c r="D749" s="61">
        <v>90</v>
      </c>
      <c r="E749" s="61">
        <v>160</v>
      </c>
      <c r="F749" s="61">
        <f t="shared" si="20"/>
        <v>70</v>
      </c>
      <c r="G749" s="8" t="s">
        <v>15</v>
      </c>
      <c r="H749" s="8" t="s">
        <v>113</v>
      </c>
      <c r="I749" s="161"/>
    </row>
    <row r="750" spans="1:9" ht="15.75" x14ac:dyDescent="0.25">
      <c r="A750" s="158">
        <v>323</v>
      </c>
      <c r="B750" s="45" t="s">
        <v>204</v>
      </c>
      <c r="C750" s="126">
        <v>1</v>
      </c>
      <c r="D750" s="127">
        <v>24</v>
      </c>
      <c r="E750" s="127">
        <v>50</v>
      </c>
      <c r="F750" s="127">
        <v>26</v>
      </c>
      <c r="G750" s="8" t="s">
        <v>3</v>
      </c>
      <c r="H750" s="8" t="s">
        <v>114</v>
      </c>
      <c r="I750" s="161"/>
    </row>
    <row r="751" spans="1:9" ht="15.75" x14ac:dyDescent="0.25">
      <c r="A751" s="158">
        <v>36</v>
      </c>
      <c r="B751" s="12" t="s">
        <v>38</v>
      </c>
      <c r="C751" s="14">
        <v>1</v>
      </c>
      <c r="D751" s="61">
        <v>160</v>
      </c>
      <c r="E751" s="61">
        <v>250</v>
      </c>
      <c r="F751" s="61">
        <f>E751-D751</f>
        <v>90</v>
      </c>
      <c r="G751" s="8" t="s">
        <v>15</v>
      </c>
      <c r="H751" s="8" t="s">
        <v>113</v>
      </c>
      <c r="I751" s="159"/>
    </row>
    <row r="752" spans="1:9" ht="15.75" x14ac:dyDescent="0.25">
      <c r="A752" s="158">
        <v>37</v>
      </c>
      <c r="B752" s="12" t="s">
        <v>38</v>
      </c>
      <c r="C752" s="14">
        <v>1</v>
      </c>
      <c r="D752" s="61">
        <v>160</v>
      </c>
      <c r="E752" s="61">
        <v>200</v>
      </c>
      <c r="F752" s="61">
        <f>E752-D752</f>
        <v>40</v>
      </c>
      <c r="G752" s="8" t="s">
        <v>15</v>
      </c>
      <c r="H752" s="8" t="s">
        <v>113</v>
      </c>
      <c r="I752" s="159"/>
    </row>
    <row r="753" spans="1:9" ht="15.75" x14ac:dyDescent="0.25">
      <c r="A753" s="158">
        <v>212</v>
      </c>
      <c r="B753" s="12" t="s">
        <v>159</v>
      </c>
      <c r="C753" s="14">
        <v>1</v>
      </c>
      <c r="D753" s="61">
        <v>10</v>
      </c>
      <c r="E753" s="61">
        <v>50</v>
      </c>
      <c r="F753" s="61">
        <f>E753-D753</f>
        <v>40</v>
      </c>
      <c r="G753" s="8" t="s">
        <v>15</v>
      </c>
      <c r="H753" s="8" t="s">
        <v>113</v>
      </c>
      <c r="I753" s="159"/>
    </row>
    <row r="754" spans="1:9" ht="15.75" x14ac:dyDescent="0.25">
      <c r="A754" s="158">
        <v>324</v>
      </c>
      <c r="B754" s="45" t="s">
        <v>86</v>
      </c>
      <c r="C754" s="126">
        <v>23</v>
      </c>
      <c r="D754" s="127">
        <v>138</v>
      </c>
      <c r="E754" s="127">
        <v>104.12</v>
      </c>
      <c r="F754" s="127">
        <v>-33.879999999999995</v>
      </c>
      <c r="G754" s="8" t="s">
        <v>3</v>
      </c>
      <c r="H754" s="8" t="s">
        <v>114</v>
      </c>
      <c r="I754" s="161"/>
    </row>
    <row r="755" spans="1:9" ht="15.75" x14ac:dyDescent="0.25">
      <c r="A755" s="158">
        <v>696</v>
      </c>
      <c r="B755" s="45" t="s">
        <v>86</v>
      </c>
      <c r="C755" s="126">
        <v>1</v>
      </c>
      <c r="D755" s="132">
        <v>9</v>
      </c>
      <c r="E755" s="61">
        <v>21.96</v>
      </c>
      <c r="F755" s="61">
        <v>12.96</v>
      </c>
      <c r="G755" s="8" t="s">
        <v>15</v>
      </c>
      <c r="H755" s="8" t="s">
        <v>114</v>
      </c>
      <c r="I755" s="161"/>
    </row>
    <row r="756" spans="1:9" ht="15.75" x14ac:dyDescent="0.25">
      <c r="A756" s="158">
        <v>790</v>
      </c>
      <c r="B756" s="45" t="s">
        <v>86</v>
      </c>
      <c r="C756" s="126">
        <v>1</v>
      </c>
      <c r="D756" s="127">
        <v>7</v>
      </c>
      <c r="E756" s="127">
        <v>16.899999999999999</v>
      </c>
      <c r="F756" s="127">
        <v>9.8999999999999986</v>
      </c>
      <c r="G756" s="8" t="s">
        <v>15</v>
      </c>
      <c r="H756" s="8" t="s">
        <v>114</v>
      </c>
      <c r="I756" s="161"/>
    </row>
    <row r="757" spans="1:9" ht="15.75" x14ac:dyDescent="0.25">
      <c r="A757" s="158">
        <v>936</v>
      </c>
      <c r="B757" s="45" t="s">
        <v>86</v>
      </c>
      <c r="C757" s="134">
        <v>1</v>
      </c>
      <c r="D757" s="127">
        <v>8</v>
      </c>
      <c r="E757" s="135">
        <v>16.941200000000002</v>
      </c>
      <c r="F757" s="61">
        <f>E757-D757</f>
        <v>8.941200000000002</v>
      </c>
      <c r="G757" s="8" t="s">
        <v>15</v>
      </c>
      <c r="H757" s="8" t="s">
        <v>114</v>
      </c>
      <c r="I757" s="161"/>
    </row>
    <row r="758" spans="1:9" ht="15.75" x14ac:dyDescent="0.25">
      <c r="A758" s="158">
        <v>53</v>
      </c>
      <c r="B758" s="45" t="s">
        <v>86</v>
      </c>
      <c r="C758" s="14">
        <v>1</v>
      </c>
      <c r="D758" s="61">
        <f>E758-F758</f>
        <v>15</v>
      </c>
      <c r="E758" s="58">
        <v>23.69</v>
      </c>
      <c r="F758" s="61">
        <v>8.6900000000000013</v>
      </c>
      <c r="G758" s="8" t="s">
        <v>15</v>
      </c>
      <c r="H758" s="57" t="s">
        <v>6</v>
      </c>
      <c r="I758" s="159"/>
    </row>
    <row r="759" spans="1:9" ht="15.75" x14ac:dyDescent="0.25">
      <c r="A759" s="158">
        <v>854</v>
      </c>
      <c r="B759" s="45" t="s">
        <v>443</v>
      </c>
      <c r="C759" s="126">
        <v>2</v>
      </c>
      <c r="D759" s="127">
        <v>30</v>
      </c>
      <c r="E759" s="133">
        <v>37.979999999999997</v>
      </c>
      <c r="F759" s="127">
        <v>7.9799999999999969</v>
      </c>
      <c r="G759" s="8" t="s">
        <v>15</v>
      </c>
      <c r="H759" s="8" t="s">
        <v>114</v>
      </c>
      <c r="I759" s="161"/>
    </row>
    <row r="760" spans="1:9" ht="15.75" x14ac:dyDescent="0.25">
      <c r="A760" s="158">
        <v>937</v>
      </c>
      <c r="B760" s="45" t="s">
        <v>106</v>
      </c>
      <c r="C760" s="134">
        <v>1</v>
      </c>
      <c r="D760" s="127">
        <v>0.41666666666666669</v>
      </c>
      <c r="E760" s="135">
        <v>3.2390000000000003</v>
      </c>
      <c r="F760" s="61">
        <f>E760-D760</f>
        <v>2.8223333333333338</v>
      </c>
      <c r="G760" s="8" t="s">
        <v>15</v>
      </c>
      <c r="H760" s="8" t="s">
        <v>114</v>
      </c>
      <c r="I760" s="161"/>
    </row>
    <row r="761" spans="1:9" ht="15.75" x14ac:dyDescent="0.25">
      <c r="A761" s="158">
        <v>74</v>
      </c>
      <c r="B761" s="45" t="s">
        <v>106</v>
      </c>
      <c r="C761" s="14">
        <v>1</v>
      </c>
      <c r="D761" s="61">
        <f>E761-F761</f>
        <v>0.5</v>
      </c>
      <c r="E761" s="58">
        <v>2.0499999999999998</v>
      </c>
      <c r="F761" s="61">
        <v>1.5499999999999998</v>
      </c>
      <c r="G761" s="8" t="s">
        <v>15</v>
      </c>
      <c r="H761" s="57" t="s">
        <v>6</v>
      </c>
      <c r="I761" s="159"/>
    </row>
    <row r="762" spans="1:9" ht="15.75" x14ac:dyDescent="0.25">
      <c r="A762" s="158">
        <v>376</v>
      </c>
      <c r="B762" s="45" t="s">
        <v>106</v>
      </c>
      <c r="C762" s="14">
        <v>1</v>
      </c>
      <c r="D762" s="61">
        <v>16.666666666666668</v>
      </c>
      <c r="E762" s="61">
        <v>110.42</v>
      </c>
      <c r="F762" s="61">
        <f>E762-D762</f>
        <v>93.75333333333333</v>
      </c>
      <c r="G762" s="8" t="s">
        <v>15</v>
      </c>
      <c r="H762" s="8" t="s">
        <v>113</v>
      </c>
      <c r="I762" s="160"/>
    </row>
    <row r="763" spans="1:9" ht="15.75" x14ac:dyDescent="0.25">
      <c r="A763" s="158">
        <v>624</v>
      </c>
      <c r="B763" s="45" t="s">
        <v>106</v>
      </c>
      <c r="C763" s="14">
        <v>1</v>
      </c>
      <c r="D763" s="127">
        <v>0.41666666666666669</v>
      </c>
      <c r="E763" s="127">
        <v>1.9</v>
      </c>
      <c r="F763" s="61">
        <f>E763-D763</f>
        <v>1.4833333333333332</v>
      </c>
      <c r="G763" s="8" t="s">
        <v>15</v>
      </c>
      <c r="H763" s="8" t="s">
        <v>113</v>
      </c>
      <c r="I763" s="161"/>
    </row>
    <row r="764" spans="1:9" ht="15.75" x14ac:dyDescent="0.25">
      <c r="A764" s="158">
        <v>479</v>
      </c>
      <c r="B764" s="45" t="s">
        <v>106</v>
      </c>
      <c r="C764" s="14">
        <v>1</v>
      </c>
      <c r="D764" s="128">
        <v>1.25</v>
      </c>
      <c r="E764" s="61">
        <v>5.97</v>
      </c>
      <c r="F764" s="61">
        <f>E764-D764</f>
        <v>4.72</v>
      </c>
      <c r="G764" s="8" t="s">
        <v>15</v>
      </c>
      <c r="H764" s="8" t="s">
        <v>113</v>
      </c>
      <c r="I764" s="160"/>
    </row>
    <row r="765" spans="1:9" ht="15.75" x14ac:dyDescent="0.25">
      <c r="A765" s="158">
        <v>117</v>
      </c>
      <c r="B765" s="45" t="s">
        <v>106</v>
      </c>
      <c r="C765" s="17">
        <v>33</v>
      </c>
      <c r="D765" s="58">
        <v>16.5</v>
      </c>
      <c r="E765" s="58">
        <v>64.240000000000009</v>
      </c>
      <c r="F765" s="58">
        <v>47.740000000000009</v>
      </c>
      <c r="G765" s="8" t="s">
        <v>15</v>
      </c>
      <c r="H765" s="57" t="s">
        <v>6</v>
      </c>
      <c r="I765" s="159"/>
    </row>
    <row r="766" spans="1:9" ht="15.75" x14ac:dyDescent="0.25">
      <c r="A766" s="158">
        <v>234</v>
      </c>
      <c r="B766" s="45" t="s">
        <v>106</v>
      </c>
      <c r="C766" s="17">
        <v>12</v>
      </c>
      <c r="D766" s="58">
        <v>0.41666666666666669</v>
      </c>
      <c r="E766" s="58">
        <v>5</v>
      </c>
      <c r="F766" s="58">
        <v>20.97</v>
      </c>
      <c r="G766" s="8" t="s">
        <v>15</v>
      </c>
      <c r="H766" s="57" t="s">
        <v>114</v>
      </c>
      <c r="I766" s="159"/>
    </row>
    <row r="767" spans="1:9" ht="15.75" x14ac:dyDescent="0.25">
      <c r="A767" s="158">
        <v>537</v>
      </c>
      <c r="B767" s="45" t="s">
        <v>106</v>
      </c>
      <c r="C767" s="129">
        <v>5</v>
      </c>
      <c r="D767" s="61">
        <v>2.0833333333333335</v>
      </c>
      <c r="E767" s="127">
        <v>9.57</v>
      </c>
      <c r="F767" s="61">
        <f>SUM(E767-D767)</f>
        <v>7.4866666666666664</v>
      </c>
      <c r="G767" s="8" t="s">
        <v>15</v>
      </c>
      <c r="H767" s="8" t="s">
        <v>114</v>
      </c>
      <c r="I767" s="160"/>
    </row>
    <row r="768" spans="1:9" ht="15.75" x14ac:dyDescent="0.25">
      <c r="A768" s="158">
        <v>855</v>
      </c>
      <c r="B768" s="45" t="s">
        <v>106</v>
      </c>
      <c r="C768" s="126">
        <v>3</v>
      </c>
      <c r="D768" s="127">
        <v>1.25</v>
      </c>
      <c r="E768" s="133">
        <v>5.57</v>
      </c>
      <c r="F768" s="127">
        <v>4.32</v>
      </c>
      <c r="G768" s="8" t="s">
        <v>15</v>
      </c>
      <c r="H768" s="8" t="s">
        <v>114</v>
      </c>
      <c r="I768" s="161"/>
    </row>
    <row r="769" spans="1:9" ht="15.75" x14ac:dyDescent="0.25">
      <c r="A769" s="158">
        <v>41</v>
      </c>
      <c r="B769" s="45" t="s">
        <v>106</v>
      </c>
      <c r="C769" s="14">
        <v>1</v>
      </c>
      <c r="D769" s="61">
        <f>E769-F769</f>
        <v>33</v>
      </c>
      <c r="E769" s="58">
        <v>62.36</v>
      </c>
      <c r="F769" s="61">
        <v>29.36</v>
      </c>
      <c r="G769" s="8" t="s">
        <v>15</v>
      </c>
      <c r="H769" s="57" t="s">
        <v>6</v>
      </c>
      <c r="I769" s="159"/>
    </row>
    <row r="770" spans="1:9" ht="15.75" x14ac:dyDescent="0.25">
      <c r="A770" s="158">
        <v>325</v>
      </c>
      <c r="B770" s="45" t="s">
        <v>90</v>
      </c>
      <c r="C770" s="126">
        <v>130</v>
      </c>
      <c r="D770" s="127">
        <v>3640</v>
      </c>
      <c r="E770" s="127">
        <v>6783.57</v>
      </c>
      <c r="F770" s="127">
        <v>3143.57</v>
      </c>
      <c r="G770" s="8" t="s">
        <v>3</v>
      </c>
      <c r="H770" s="8" t="s">
        <v>114</v>
      </c>
      <c r="I770" s="161"/>
    </row>
    <row r="771" spans="1:9" ht="15.75" x14ac:dyDescent="0.25">
      <c r="A771" s="158">
        <v>233</v>
      </c>
      <c r="B771" s="45" t="s">
        <v>90</v>
      </c>
      <c r="C771" s="17">
        <v>119</v>
      </c>
      <c r="D771" s="58">
        <v>25</v>
      </c>
      <c r="E771" s="58">
        <v>2975</v>
      </c>
      <c r="F771" s="58">
        <v>3315.42</v>
      </c>
      <c r="G771" s="8" t="s">
        <v>15</v>
      </c>
      <c r="H771" s="57" t="s">
        <v>114</v>
      </c>
      <c r="I771" s="159"/>
    </row>
    <row r="772" spans="1:9" ht="15.75" x14ac:dyDescent="0.25">
      <c r="A772" s="158">
        <v>107</v>
      </c>
      <c r="B772" s="45" t="s">
        <v>90</v>
      </c>
      <c r="C772" s="17">
        <v>19</v>
      </c>
      <c r="D772" s="58">
        <v>475</v>
      </c>
      <c r="E772" s="58">
        <v>910.83</v>
      </c>
      <c r="F772" s="58">
        <v>435.83000000000004</v>
      </c>
      <c r="G772" s="8" t="s">
        <v>15</v>
      </c>
      <c r="H772" s="57" t="s">
        <v>6</v>
      </c>
      <c r="I772" s="159"/>
    </row>
    <row r="773" spans="1:9" ht="15.75" x14ac:dyDescent="0.25">
      <c r="A773" s="158">
        <v>57</v>
      </c>
      <c r="B773" s="45" t="s">
        <v>90</v>
      </c>
      <c r="C773" s="14">
        <v>1</v>
      </c>
      <c r="D773" s="61">
        <f>E773-F773</f>
        <v>50</v>
      </c>
      <c r="E773" s="58">
        <v>100.06</v>
      </c>
      <c r="F773" s="61">
        <v>50.06</v>
      </c>
      <c r="G773" s="8" t="s">
        <v>15</v>
      </c>
      <c r="H773" s="57" t="s">
        <v>6</v>
      </c>
      <c r="I773" s="159"/>
    </row>
    <row r="774" spans="1:9" ht="15.75" x14ac:dyDescent="0.25">
      <c r="A774" s="158">
        <v>938</v>
      </c>
      <c r="B774" s="45" t="s">
        <v>444</v>
      </c>
      <c r="C774" s="134">
        <v>2</v>
      </c>
      <c r="D774" s="127">
        <v>6</v>
      </c>
      <c r="E774" s="135">
        <v>10.266399999999999</v>
      </c>
      <c r="F774" s="61">
        <f>E774-D774</f>
        <v>4.2663999999999991</v>
      </c>
      <c r="G774" s="8" t="s">
        <v>15</v>
      </c>
      <c r="H774" s="8" t="s">
        <v>114</v>
      </c>
      <c r="I774" s="161"/>
    </row>
    <row r="775" spans="1:9" ht="15.75" x14ac:dyDescent="0.25">
      <c r="A775" s="158">
        <v>856</v>
      </c>
      <c r="B775" s="45" t="s">
        <v>444</v>
      </c>
      <c r="C775" s="126">
        <v>1</v>
      </c>
      <c r="D775" s="127">
        <v>3</v>
      </c>
      <c r="E775" s="133">
        <v>5.23</v>
      </c>
      <c r="F775" s="127">
        <v>2.2300000000000004</v>
      </c>
      <c r="G775" s="8" t="s">
        <v>15</v>
      </c>
      <c r="H775" s="8" t="s">
        <v>114</v>
      </c>
      <c r="I775" s="161"/>
    </row>
    <row r="776" spans="1:9" ht="15.75" x14ac:dyDescent="0.25">
      <c r="A776" s="158">
        <v>857</v>
      </c>
      <c r="B776" s="45" t="s">
        <v>445</v>
      </c>
      <c r="C776" s="126">
        <v>7</v>
      </c>
      <c r="D776" s="127">
        <v>70</v>
      </c>
      <c r="E776" s="127">
        <v>139.13999999999999</v>
      </c>
      <c r="F776" s="127">
        <v>69.139999999999986</v>
      </c>
      <c r="G776" s="8" t="s">
        <v>15</v>
      </c>
      <c r="H776" s="8" t="s">
        <v>114</v>
      </c>
      <c r="I776" s="161"/>
    </row>
    <row r="777" spans="1:9" ht="15.75" x14ac:dyDescent="0.25">
      <c r="A777" s="158">
        <v>858</v>
      </c>
      <c r="B777" s="45" t="s">
        <v>445</v>
      </c>
      <c r="C777" s="126">
        <v>81</v>
      </c>
      <c r="D777" s="127">
        <v>81</v>
      </c>
      <c r="E777" s="127">
        <v>260.09000000000003</v>
      </c>
      <c r="F777" s="127">
        <v>179.09000000000003</v>
      </c>
      <c r="G777" s="8" t="s">
        <v>15</v>
      </c>
      <c r="H777" s="8" t="s">
        <v>114</v>
      </c>
      <c r="I777" s="161"/>
    </row>
    <row r="778" spans="1:9" ht="15.75" x14ac:dyDescent="0.25">
      <c r="A778" s="158">
        <v>625</v>
      </c>
      <c r="B778" s="45" t="s">
        <v>445</v>
      </c>
      <c r="C778" s="14">
        <v>1</v>
      </c>
      <c r="D778" s="127">
        <v>14</v>
      </c>
      <c r="E778" s="127">
        <v>37.25</v>
      </c>
      <c r="F778" s="61">
        <f>E778-D778</f>
        <v>23.25</v>
      </c>
      <c r="G778" s="8" t="s">
        <v>15</v>
      </c>
      <c r="H778" s="8" t="s">
        <v>113</v>
      </c>
      <c r="I778" s="161"/>
    </row>
    <row r="779" spans="1:9" ht="15.75" x14ac:dyDescent="0.25">
      <c r="A779" s="158">
        <v>714</v>
      </c>
      <c r="B779" s="45" t="s">
        <v>445</v>
      </c>
      <c r="C779" s="126">
        <v>37</v>
      </c>
      <c r="D779" s="132">
        <v>1</v>
      </c>
      <c r="E779" s="61">
        <v>204.13</v>
      </c>
      <c r="F779" s="61">
        <v>167.13</v>
      </c>
      <c r="G779" s="8" t="s">
        <v>15</v>
      </c>
      <c r="H779" s="8" t="s">
        <v>114</v>
      </c>
      <c r="I779" s="161"/>
    </row>
    <row r="780" spans="1:9" ht="15.75" x14ac:dyDescent="0.25">
      <c r="A780" s="158">
        <v>791</v>
      </c>
      <c r="B780" s="45" t="s">
        <v>445</v>
      </c>
      <c r="C780" s="126">
        <v>34</v>
      </c>
      <c r="D780" s="127">
        <v>34</v>
      </c>
      <c r="E780" s="127">
        <v>93.16</v>
      </c>
      <c r="F780" s="127">
        <v>59.16</v>
      </c>
      <c r="G780" s="8" t="s">
        <v>15</v>
      </c>
      <c r="H780" s="8" t="s">
        <v>114</v>
      </c>
      <c r="I780" s="161"/>
    </row>
    <row r="781" spans="1:9" ht="15.75" x14ac:dyDescent="0.25">
      <c r="A781" s="158">
        <v>939</v>
      </c>
      <c r="B781" s="45" t="s">
        <v>445</v>
      </c>
      <c r="C781" s="136">
        <v>215</v>
      </c>
      <c r="D781" s="127">
        <v>212.85</v>
      </c>
      <c r="E781" s="135">
        <v>614.59820000000002</v>
      </c>
      <c r="F781" s="61">
        <f t="shared" ref="F781:F794" si="21">E781-D781</f>
        <v>401.7482</v>
      </c>
      <c r="G781" s="8" t="s">
        <v>15</v>
      </c>
      <c r="H781" s="8" t="s">
        <v>114</v>
      </c>
      <c r="I781" s="161"/>
    </row>
    <row r="782" spans="1:9" ht="15.75" x14ac:dyDescent="0.25">
      <c r="A782" s="158">
        <v>647</v>
      </c>
      <c r="B782" s="7" t="s">
        <v>331</v>
      </c>
      <c r="C782" s="14">
        <v>1</v>
      </c>
      <c r="D782" s="61">
        <v>14</v>
      </c>
      <c r="E782" s="61">
        <v>30</v>
      </c>
      <c r="F782" s="61">
        <f t="shared" si="21"/>
        <v>16</v>
      </c>
      <c r="G782" s="8" t="s">
        <v>15</v>
      </c>
      <c r="H782" s="8" t="s">
        <v>113</v>
      </c>
      <c r="I782" s="161"/>
    </row>
    <row r="783" spans="1:9" ht="15.75" x14ac:dyDescent="0.25">
      <c r="A783" s="158">
        <v>940</v>
      </c>
      <c r="B783" s="7" t="s">
        <v>331</v>
      </c>
      <c r="C783" s="134">
        <v>1</v>
      </c>
      <c r="D783" s="127">
        <v>2</v>
      </c>
      <c r="E783" s="135">
        <v>6.15</v>
      </c>
      <c r="F783" s="61">
        <f t="shared" si="21"/>
        <v>4.1500000000000004</v>
      </c>
      <c r="G783" s="8" t="s">
        <v>15</v>
      </c>
      <c r="H783" s="8" t="s">
        <v>114</v>
      </c>
      <c r="I783" s="161"/>
    </row>
    <row r="784" spans="1:9" ht="15.75" x14ac:dyDescent="0.25">
      <c r="A784" s="158">
        <v>633</v>
      </c>
      <c r="B784" s="7" t="s">
        <v>331</v>
      </c>
      <c r="C784" s="14">
        <v>1</v>
      </c>
      <c r="D784" s="61">
        <v>2</v>
      </c>
      <c r="E784" s="61">
        <v>5</v>
      </c>
      <c r="F784" s="61">
        <f t="shared" si="21"/>
        <v>3</v>
      </c>
      <c r="G784" s="8" t="s">
        <v>15</v>
      </c>
      <c r="H784" s="8" t="s">
        <v>113</v>
      </c>
      <c r="I784" s="161"/>
    </row>
    <row r="785" spans="1:9" ht="15.75" x14ac:dyDescent="0.25">
      <c r="A785" s="158">
        <v>642</v>
      </c>
      <c r="B785" s="7" t="s">
        <v>331</v>
      </c>
      <c r="C785" s="14">
        <v>1</v>
      </c>
      <c r="D785" s="61">
        <v>18</v>
      </c>
      <c r="E785" s="61">
        <v>30</v>
      </c>
      <c r="F785" s="61">
        <f t="shared" si="21"/>
        <v>12</v>
      </c>
      <c r="G785" s="8" t="s">
        <v>15</v>
      </c>
      <c r="H785" s="8" t="s">
        <v>113</v>
      </c>
      <c r="I785" s="161"/>
    </row>
    <row r="786" spans="1:9" ht="15.75" x14ac:dyDescent="0.25">
      <c r="A786" s="158">
        <v>432</v>
      </c>
      <c r="B786" s="10" t="s">
        <v>243</v>
      </c>
      <c r="C786" s="14">
        <v>1</v>
      </c>
      <c r="D786" s="61">
        <v>10</v>
      </c>
      <c r="E786" s="61">
        <v>35</v>
      </c>
      <c r="F786" s="61">
        <f t="shared" si="21"/>
        <v>25</v>
      </c>
      <c r="G786" s="8" t="s">
        <v>15</v>
      </c>
      <c r="H786" s="8" t="s">
        <v>113</v>
      </c>
      <c r="I786" s="160"/>
    </row>
    <row r="787" spans="1:9" ht="15.75" x14ac:dyDescent="0.25">
      <c r="A787" s="158">
        <v>821</v>
      </c>
      <c r="B787" s="7" t="s">
        <v>428</v>
      </c>
      <c r="C787" s="14">
        <v>1</v>
      </c>
      <c r="D787" s="61">
        <v>48</v>
      </c>
      <c r="E787" s="61">
        <v>85</v>
      </c>
      <c r="F787" s="61">
        <f t="shared" si="21"/>
        <v>37</v>
      </c>
      <c r="G787" s="8" t="s">
        <v>15</v>
      </c>
      <c r="H787" s="8" t="s">
        <v>113</v>
      </c>
      <c r="I787" s="161"/>
    </row>
    <row r="788" spans="1:9" ht="15.75" x14ac:dyDescent="0.25">
      <c r="A788" s="158">
        <v>210</v>
      </c>
      <c r="B788" s="12" t="s">
        <v>158</v>
      </c>
      <c r="C788" s="14">
        <v>1</v>
      </c>
      <c r="D788" s="61">
        <v>30</v>
      </c>
      <c r="E788" s="61">
        <v>60</v>
      </c>
      <c r="F788" s="61">
        <f t="shared" si="21"/>
        <v>30</v>
      </c>
      <c r="G788" s="8" t="s">
        <v>15</v>
      </c>
      <c r="H788" s="8" t="s">
        <v>113</v>
      </c>
      <c r="I788" s="159"/>
    </row>
    <row r="789" spans="1:9" ht="15.75" x14ac:dyDescent="0.25">
      <c r="A789" s="158">
        <v>666</v>
      </c>
      <c r="B789" s="12" t="s">
        <v>158</v>
      </c>
      <c r="C789" s="14">
        <v>1</v>
      </c>
      <c r="D789" s="61">
        <v>58</v>
      </c>
      <c r="E789" s="61">
        <v>100</v>
      </c>
      <c r="F789" s="61">
        <f t="shared" si="21"/>
        <v>42</v>
      </c>
      <c r="G789" s="8" t="s">
        <v>15</v>
      </c>
      <c r="H789" s="8" t="s">
        <v>113</v>
      </c>
      <c r="I789" s="161"/>
    </row>
    <row r="790" spans="1:9" ht="15.75" x14ac:dyDescent="0.25">
      <c r="A790" s="158">
        <v>377</v>
      </c>
      <c r="B790" s="45" t="s">
        <v>234</v>
      </c>
      <c r="C790" s="14">
        <v>1</v>
      </c>
      <c r="D790" s="61">
        <v>3</v>
      </c>
      <c r="E790" s="61">
        <v>8.65</v>
      </c>
      <c r="F790" s="61">
        <f t="shared" si="21"/>
        <v>5.65</v>
      </c>
      <c r="G790" s="8" t="s">
        <v>15</v>
      </c>
      <c r="H790" s="8" t="s">
        <v>113</v>
      </c>
      <c r="I790" s="160"/>
    </row>
    <row r="791" spans="1:9" ht="15.75" x14ac:dyDescent="0.25">
      <c r="A791" s="158">
        <v>814</v>
      </c>
      <c r="B791" s="7" t="s">
        <v>394</v>
      </c>
      <c r="C791" s="14">
        <v>1</v>
      </c>
      <c r="D791" s="61">
        <v>30</v>
      </c>
      <c r="E791" s="61">
        <v>70</v>
      </c>
      <c r="F791" s="61">
        <f t="shared" si="21"/>
        <v>40</v>
      </c>
      <c r="G791" s="8" t="s">
        <v>15</v>
      </c>
      <c r="H791" s="8" t="s">
        <v>113</v>
      </c>
      <c r="I791" s="161"/>
    </row>
    <row r="792" spans="1:9" ht="15.75" x14ac:dyDescent="0.25">
      <c r="A792" s="158">
        <v>941</v>
      </c>
      <c r="B792" s="45" t="s">
        <v>485</v>
      </c>
      <c r="C792" s="134">
        <v>1</v>
      </c>
      <c r="D792" s="127">
        <v>100</v>
      </c>
      <c r="E792" s="135">
        <v>164</v>
      </c>
      <c r="F792" s="61">
        <f t="shared" si="21"/>
        <v>64</v>
      </c>
      <c r="G792" s="8" t="s">
        <v>15</v>
      </c>
      <c r="H792" s="8" t="s">
        <v>114</v>
      </c>
      <c r="I792" s="161"/>
    </row>
    <row r="793" spans="1:9" ht="15.75" x14ac:dyDescent="0.25">
      <c r="A793" s="158">
        <v>815</v>
      </c>
      <c r="B793" s="7" t="s">
        <v>418</v>
      </c>
      <c r="C793" s="14">
        <v>1</v>
      </c>
      <c r="D793" s="61">
        <v>15</v>
      </c>
      <c r="E793" s="61">
        <v>30</v>
      </c>
      <c r="F793" s="61">
        <f t="shared" si="21"/>
        <v>15</v>
      </c>
      <c r="G793" s="8" t="s">
        <v>15</v>
      </c>
      <c r="H793" s="8" t="s">
        <v>113</v>
      </c>
      <c r="I793" s="161"/>
    </row>
    <row r="794" spans="1:9" ht="15.75" x14ac:dyDescent="0.25">
      <c r="A794" s="158">
        <v>818</v>
      </c>
      <c r="B794" s="7" t="s">
        <v>418</v>
      </c>
      <c r="C794" s="14">
        <v>1</v>
      </c>
      <c r="D794" s="61">
        <v>15</v>
      </c>
      <c r="E794" s="61">
        <v>30</v>
      </c>
      <c r="F794" s="61">
        <f t="shared" si="21"/>
        <v>15</v>
      </c>
      <c r="G794" s="8" t="s">
        <v>15</v>
      </c>
      <c r="H794" s="8" t="s">
        <v>113</v>
      </c>
      <c r="I794" s="161"/>
    </row>
    <row r="795" spans="1:9" ht="15.75" x14ac:dyDescent="0.25">
      <c r="A795" s="158">
        <v>536</v>
      </c>
      <c r="B795" s="45" t="s">
        <v>283</v>
      </c>
      <c r="C795" s="129">
        <v>3</v>
      </c>
      <c r="D795" s="61">
        <v>6</v>
      </c>
      <c r="E795" s="127">
        <v>14.97</v>
      </c>
      <c r="F795" s="61">
        <f>SUM(E795-D795)</f>
        <v>8.9700000000000006</v>
      </c>
      <c r="G795" s="8" t="s">
        <v>15</v>
      </c>
      <c r="H795" s="8" t="s">
        <v>114</v>
      </c>
      <c r="I795" s="160"/>
    </row>
    <row r="796" spans="1:9" ht="15.75" x14ac:dyDescent="0.25">
      <c r="A796" s="158">
        <v>859</v>
      </c>
      <c r="B796" s="45" t="s">
        <v>358</v>
      </c>
      <c r="C796" s="126">
        <v>3</v>
      </c>
      <c r="D796" s="127">
        <v>27</v>
      </c>
      <c r="E796" s="133">
        <v>38.24</v>
      </c>
      <c r="F796" s="127">
        <v>11.240000000000002</v>
      </c>
      <c r="G796" s="8" t="s">
        <v>15</v>
      </c>
      <c r="H796" s="8" t="s">
        <v>114</v>
      </c>
      <c r="I796" s="161"/>
    </row>
    <row r="797" spans="1:9" ht="15.75" x14ac:dyDescent="0.25">
      <c r="A797" s="158">
        <v>685</v>
      </c>
      <c r="B797" s="45" t="s">
        <v>358</v>
      </c>
      <c r="C797" s="126">
        <v>1</v>
      </c>
      <c r="D797" s="132">
        <v>9</v>
      </c>
      <c r="E797" s="61">
        <v>13.99</v>
      </c>
      <c r="F797" s="61">
        <v>4.99</v>
      </c>
      <c r="G797" s="8" t="s">
        <v>15</v>
      </c>
      <c r="H797" s="8" t="s">
        <v>114</v>
      </c>
      <c r="I797" s="161"/>
    </row>
    <row r="798" spans="1:9" ht="15.75" x14ac:dyDescent="0.25">
      <c r="A798" s="158">
        <v>572</v>
      </c>
      <c r="B798" s="7" t="s">
        <v>305</v>
      </c>
      <c r="C798" s="8">
        <v>1</v>
      </c>
      <c r="D798" s="61">
        <v>28</v>
      </c>
      <c r="E798" s="61">
        <v>45</v>
      </c>
      <c r="F798" s="61">
        <f>E798-D798</f>
        <v>17</v>
      </c>
      <c r="G798" s="8" t="s">
        <v>15</v>
      </c>
      <c r="H798" s="8" t="s">
        <v>114</v>
      </c>
      <c r="I798" s="161"/>
    </row>
    <row r="799" spans="1:9" ht="15.75" x14ac:dyDescent="0.25">
      <c r="A799" s="158">
        <v>232</v>
      </c>
      <c r="B799" s="45" t="s">
        <v>167</v>
      </c>
      <c r="C799" s="17">
        <v>6</v>
      </c>
      <c r="D799" s="58">
        <v>65</v>
      </c>
      <c r="E799" s="58">
        <v>390</v>
      </c>
      <c r="F799" s="58">
        <v>411.89</v>
      </c>
      <c r="G799" s="8" t="s">
        <v>15</v>
      </c>
      <c r="H799" s="57" t="s">
        <v>114</v>
      </c>
      <c r="I799" s="159"/>
    </row>
    <row r="800" spans="1:9" ht="15.75" x14ac:dyDescent="0.25">
      <c r="A800" s="158">
        <v>326</v>
      </c>
      <c r="B800" s="45" t="s">
        <v>167</v>
      </c>
      <c r="C800" s="126">
        <v>2</v>
      </c>
      <c r="D800" s="127">
        <v>130</v>
      </c>
      <c r="E800" s="127">
        <v>253.89</v>
      </c>
      <c r="F800" s="127">
        <v>123.88999999999999</v>
      </c>
      <c r="G800" s="8" t="s">
        <v>3</v>
      </c>
      <c r="H800" s="8" t="s">
        <v>114</v>
      </c>
      <c r="I800" s="161"/>
    </row>
    <row r="801" spans="1:9" ht="15.75" x14ac:dyDescent="0.25">
      <c r="A801" s="158">
        <v>93</v>
      </c>
      <c r="B801" s="12" t="s">
        <v>116</v>
      </c>
      <c r="C801" s="14">
        <v>1</v>
      </c>
      <c r="D801" s="61">
        <v>28</v>
      </c>
      <c r="E801" s="61">
        <v>60</v>
      </c>
      <c r="F801" s="61">
        <f>E801-D801</f>
        <v>32</v>
      </c>
      <c r="G801" s="8" t="s">
        <v>15</v>
      </c>
      <c r="H801" s="8" t="s">
        <v>113</v>
      </c>
      <c r="I801" s="159"/>
    </row>
    <row r="802" spans="1:9" ht="15.75" x14ac:dyDescent="0.25">
      <c r="A802" s="158">
        <v>505</v>
      </c>
      <c r="B802" s="10" t="s">
        <v>277</v>
      </c>
      <c r="C802" s="14">
        <v>1</v>
      </c>
      <c r="D802" s="61">
        <v>70</v>
      </c>
      <c r="E802" s="61">
        <v>120</v>
      </c>
      <c r="F802" s="61">
        <f>E802-D802</f>
        <v>50</v>
      </c>
      <c r="G802" s="8" t="s">
        <v>15</v>
      </c>
      <c r="H802" s="8" t="s">
        <v>113</v>
      </c>
      <c r="I802" s="160"/>
    </row>
    <row r="803" spans="1:9" ht="15.75" x14ac:dyDescent="0.25">
      <c r="A803" s="158">
        <v>421</v>
      </c>
      <c r="B803" s="10" t="s">
        <v>277</v>
      </c>
      <c r="C803" s="14">
        <v>1</v>
      </c>
      <c r="D803" s="61">
        <v>70</v>
      </c>
      <c r="E803" s="61">
        <v>100</v>
      </c>
      <c r="F803" s="61">
        <f>E803-D803</f>
        <v>30</v>
      </c>
      <c r="G803" s="8" t="s">
        <v>15</v>
      </c>
      <c r="H803" s="8" t="s">
        <v>113</v>
      </c>
      <c r="I803" s="160"/>
    </row>
    <row r="804" spans="1:9" ht="15.75" x14ac:dyDescent="0.25">
      <c r="A804" s="158">
        <v>489</v>
      </c>
      <c r="B804" s="10" t="s">
        <v>277</v>
      </c>
      <c r="C804" s="14">
        <v>1</v>
      </c>
      <c r="D804" s="61">
        <v>70</v>
      </c>
      <c r="E804" s="61">
        <v>120</v>
      </c>
      <c r="F804" s="61">
        <f>E804-D804</f>
        <v>50</v>
      </c>
      <c r="G804" s="8" t="s">
        <v>15</v>
      </c>
      <c r="H804" s="8" t="s">
        <v>113</v>
      </c>
      <c r="I804" s="160"/>
    </row>
    <row r="805" spans="1:9" ht="15.75" x14ac:dyDescent="0.25">
      <c r="A805" s="158">
        <v>860</v>
      </c>
      <c r="B805" s="45" t="s">
        <v>447</v>
      </c>
      <c r="C805" s="126">
        <v>1</v>
      </c>
      <c r="D805" s="127">
        <v>9</v>
      </c>
      <c r="E805" s="133">
        <v>22.87</v>
      </c>
      <c r="F805" s="127">
        <v>13.870000000000001</v>
      </c>
      <c r="G805" s="8" t="s">
        <v>15</v>
      </c>
      <c r="H805" s="8" t="s">
        <v>114</v>
      </c>
      <c r="I805" s="161"/>
    </row>
    <row r="806" spans="1:9" ht="15.75" x14ac:dyDescent="0.25">
      <c r="A806" s="158">
        <v>378</v>
      </c>
      <c r="B806" s="45" t="s">
        <v>205</v>
      </c>
      <c r="C806" s="14">
        <v>1</v>
      </c>
      <c r="D806" s="61">
        <v>20</v>
      </c>
      <c r="E806" s="61">
        <v>40</v>
      </c>
      <c r="F806" s="61">
        <f>E806-D806</f>
        <v>20</v>
      </c>
      <c r="G806" s="8" t="s">
        <v>15</v>
      </c>
      <c r="H806" s="8" t="s">
        <v>113</v>
      </c>
      <c r="I806" s="160"/>
    </row>
    <row r="807" spans="1:9" ht="15.75" x14ac:dyDescent="0.25">
      <c r="A807" s="158">
        <v>327</v>
      </c>
      <c r="B807" s="45" t="s">
        <v>205</v>
      </c>
      <c r="C807" s="126">
        <v>2</v>
      </c>
      <c r="D807" s="127">
        <v>20</v>
      </c>
      <c r="E807" s="127">
        <v>38.674999999999997</v>
      </c>
      <c r="F807" s="127">
        <v>18.674999999999997</v>
      </c>
      <c r="G807" s="8" t="s">
        <v>3</v>
      </c>
      <c r="H807" s="8" t="s">
        <v>114</v>
      </c>
      <c r="I807" s="161"/>
    </row>
    <row r="808" spans="1:9" ht="15.75" x14ac:dyDescent="0.25">
      <c r="A808" s="158">
        <v>75</v>
      </c>
      <c r="B808" s="45" t="s">
        <v>107</v>
      </c>
      <c r="C808" s="14">
        <v>1</v>
      </c>
      <c r="D808" s="61">
        <f>E808-F808</f>
        <v>22</v>
      </c>
      <c r="E808" s="58">
        <v>40</v>
      </c>
      <c r="F808" s="61">
        <v>18</v>
      </c>
      <c r="G808" s="8" t="s">
        <v>15</v>
      </c>
      <c r="H808" s="57" t="s">
        <v>6</v>
      </c>
      <c r="I808" s="161"/>
    </row>
    <row r="809" spans="1:9" ht="15.75" x14ac:dyDescent="0.25">
      <c r="A809" s="158">
        <v>38</v>
      </c>
      <c r="B809" s="12" t="s">
        <v>39</v>
      </c>
      <c r="C809" s="14">
        <v>1</v>
      </c>
      <c r="D809" s="61">
        <v>23</v>
      </c>
      <c r="E809" s="61">
        <v>50</v>
      </c>
      <c r="F809" s="61">
        <f>E809-D809</f>
        <v>27</v>
      </c>
      <c r="G809" s="8" t="s">
        <v>15</v>
      </c>
      <c r="H809" s="8" t="s">
        <v>113</v>
      </c>
      <c r="I809" s="159"/>
    </row>
    <row r="810" spans="1:9" ht="15.75" x14ac:dyDescent="0.25">
      <c r="A810" s="158">
        <v>711</v>
      </c>
      <c r="B810" s="45" t="s">
        <v>282</v>
      </c>
      <c r="C810" s="17">
        <v>4</v>
      </c>
      <c r="D810" s="132">
        <v>15</v>
      </c>
      <c r="E810" s="61">
        <v>125.12</v>
      </c>
      <c r="F810" s="61">
        <v>65.12</v>
      </c>
      <c r="G810" s="8" t="s">
        <v>15</v>
      </c>
      <c r="H810" s="8" t="s">
        <v>114</v>
      </c>
      <c r="I810" s="161"/>
    </row>
    <row r="811" spans="1:9" ht="15.75" x14ac:dyDescent="0.25">
      <c r="A811" s="158">
        <v>792</v>
      </c>
      <c r="B811" s="45" t="s">
        <v>282</v>
      </c>
      <c r="C811" s="126">
        <v>4</v>
      </c>
      <c r="D811" s="127">
        <v>60</v>
      </c>
      <c r="E811" s="127">
        <v>122.13</v>
      </c>
      <c r="F811" s="127">
        <v>62.129999999999995</v>
      </c>
      <c r="G811" s="8" t="s">
        <v>15</v>
      </c>
      <c r="H811" s="8" t="s">
        <v>114</v>
      </c>
      <c r="I811" s="161"/>
    </row>
    <row r="812" spans="1:9" ht="15.75" x14ac:dyDescent="0.25">
      <c r="A812" s="158">
        <v>861</v>
      </c>
      <c r="B812" s="45" t="s">
        <v>282</v>
      </c>
      <c r="C812" s="126">
        <v>4</v>
      </c>
      <c r="D812" s="127">
        <v>60</v>
      </c>
      <c r="E812" s="133">
        <v>122.51</v>
      </c>
      <c r="F812" s="127">
        <v>62.510000000000005</v>
      </c>
      <c r="G812" s="8" t="s">
        <v>15</v>
      </c>
      <c r="H812" s="8" t="s">
        <v>114</v>
      </c>
      <c r="I812" s="161"/>
    </row>
    <row r="813" spans="1:9" ht="15.75" x14ac:dyDescent="0.25">
      <c r="A813" s="158">
        <v>528</v>
      </c>
      <c r="B813" s="45" t="s">
        <v>282</v>
      </c>
      <c r="C813" s="129">
        <v>1</v>
      </c>
      <c r="D813" s="61">
        <v>15</v>
      </c>
      <c r="E813" s="127">
        <v>40.97</v>
      </c>
      <c r="F813" s="61">
        <f>SUM(E813-D813)</f>
        <v>25.97</v>
      </c>
      <c r="G813" s="8" t="s">
        <v>15</v>
      </c>
      <c r="H813" s="8" t="s">
        <v>114</v>
      </c>
      <c r="I813" s="160"/>
    </row>
    <row r="814" spans="1:9" ht="15.75" x14ac:dyDescent="0.25">
      <c r="A814" s="158">
        <v>942</v>
      </c>
      <c r="B814" s="45" t="s">
        <v>282</v>
      </c>
      <c r="C814" s="134">
        <v>1</v>
      </c>
      <c r="D814" s="127">
        <v>15</v>
      </c>
      <c r="E814" s="135">
        <v>17.5152</v>
      </c>
      <c r="F814" s="61">
        <f>E814-D814</f>
        <v>2.5152000000000001</v>
      </c>
      <c r="G814" s="8" t="s">
        <v>15</v>
      </c>
      <c r="H814" s="8" t="s">
        <v>114</v>
      </c>
      <c r="I814" s="161"/>
    </row>
    <row r="815" spans="1:9" ht="15.75" x14ac:dyDescent="0.25">
      <c r="A815" s="158">
        <v>140</v>
      </c>
      <c r="B815" s="45" t="s">
        <v>143</v>
      </c>
      <c r="C815" s="17">
        <v>2</v>
      </c>
      <c r="D815" s="58">
        <v>26</v>
      </c>
      <c r="E815" s="58">
        <v>31.48</v>
      </c>
      <c r="F815" s="58">
        <v>5.48</v>
      </c>
      <c r="G815" s="8" t="s">
        <v>15</v>
      </c>
      <c r="H815" s="57" t="s">
        <v>6</v>
      </c>
      <c r="I815" s="159"/>
    </row>
    <row r="816" spans="1:9" ht="15.75" x14ac:dyDescent="0.25">
      <c r="A816" s="158">
        <v>551</v>
      </c>
      <c r="B816" s="7" t="s">
        <v>285</v>
      </c>
      <c r="C816" s="14">
        <v>1</v>
      </c>
      <c r="D816" s="61">
        <v>14</v>
      </c>
      <c r="E816" s="61">
        <v>25</v>
      </c>
      <c r="F816" s="61">
        <f t="shared" ref="F816:F825" si="22">E816-D816</f>
        <v>11</v>
      </c>
      <c r="G816" s="8" t="s">
        <v>15</v>
      </c>
      <c r="H816" s="8" t="s">
        <v>113</v>
      </c>
      <c r="I816" s="161"/>
    </row>
    <row r="817" spans="1:9" ht="15.75" x14ac:dyDescent="0.25">
      <c r="A817" s="158">
        <v>550</v>
      </c>
      <c r="B817" s="7" t="s">
        <v>284</v>
      </c>
      <c r="C817" s="14">
        <v>1</v>
      </c>
      <c r="D817" s="61">
        <v>14</v>
      </c>
      <c r="E817" s="61">
        <v>30</v>
      </c>
      <c r="F817" s="61">
        <f t="shared" si="22"/>
        <v>16</v>
      </c>
      <c r="G817" s="8" t="s">
        <v>15</v>
      </c>
      <c r="H817" s="8" t="s">
        <v>113</v>
      </c>
      <c r="I817" s="161"/>
    </row>
    <row r="818" spans="1:9" ht="15.75" x14ac:dyDescent="0.25">
      <c r="A818" s="158">
        <v>281</v>
      </c>
      <c r="B818" s="7" t="s">
        <v>190</v>
      </c>
      <c r="C818" s="14">
        <v>1</v>
      </c>
      <c r="D818" s="61">
        <v>15</v>
      </c>
      <c r="E818" s="61">
        <v>40</v>
      </c>
      <c r="F818" s="61">
        <f t="shared" si="22"/>
        <v>25</v>
      </c>
      <c r="G818" s="8" t="s">
        <v>3</v>
      </c>
      <c r="H818" s="8" t="s">
        <v>113</v>
      </c>
      <c r="I818" s="161"/>
    </row>
    <row r="819" spans="1:9" ht="15.75" x14ac:dyDescent="0.25">
      <c r="A819" s="158">
        <v>630</v>
      </c>
      <c r="B819" s="7" t="s">
        <v>369</v>
      </c>
      <c r="C819" s="14">
        <v>1</v>
      </c>
      <c r="D819" s="61">
        <v>22</v>
      </c>
      <c r="E819" s="61">
        <v>40</v>
      </c>
      <c r="F819" s="61">
        <f t="shared" si="22"/>
        <v>18</v>
      </c>
      <c r="G819" s="8" t="s">
        <v>15</v>
      </c>
      <c r="H819" s="8" t="s">
        <v>113</v>
      </c>
      <c r="I819" s="161"/>
    </row>
    <row r="820" spans="1:9" ht="15.75" x14ac:dyDescent="0.25">
      <c r="A820" s="158">
        <v>569</v>
      </c>
      <c r="B820" s="7" t="s">
        <v>298</v>
      </c>
      <c r="C820" s="14">
        <v>1</v>
      </c>
      <c r="D820" s="61">
        <v>100</v>
      </c>
      <c r="E820" s="61">
        <v>200</v>
      </c>
      <c r="F820" s="61">
        <f t="shared" si="22"/>
        <v>100</v>
      </c>
      <c r="G820" s="8" t="s">
        <v>15</v>
      </c>
      <c r="H820" s="8" t="s">
        <v>113</v>
      </c>
      <c r="I820" s="161"/>
    </row>
    <row r="821" spans="1:9" ht="15.75" x14ac:dyDescent="0.25">
      <c r="A821" s="158">
        <v>816</v>
      </c>
      <c r="B821" s="7" t="s">
        <v>298</v>
      </c>
      <c r="C821" s="14">
        <v>1</v>
      </c>
      <c r="D821" s="61">
        <v>165</v>
      </c>
      <c r="E821" s="61">
        <v>280</v>
      </c>
      <c r="F821" s="61">
        <f t="shared" si="22"/>
        <v>115</v>
      </c>
      <c r="G821" s="8" t="s">
        <v>15</v>
      </c>
      <c r="H821" s="8" t="s">
        <v>113</v>
      </c>
      <c r="I821" s="161"/>
    </row>
    <row r="822" spans="1:9" ht="15.75" x14ac:dyDescent="0.25">
      <c r="A822" s="158">
        <v>876</v>
      </c>
      <c r="B822" s="7" t="s">
        <v>298</v>
      </c>
      <c r="C822" s="14">
        <v>1</v>
      </c>
      <c r="D822" s="61">
        <v>160</v>
      </c>
      <c r="E822" s="61">
        <v>250</v>
      </c>
      <c r="F822" s="61">
        <f t="shared" si="22"/>
        <v>90</v>
      </c>
      <c r="G822" s="8" t="s">
        <v>15</v>
      </c>
      <c r="H822" s="8" t="s">
        <v>113</v>
      </c>
      <c r="I822" s="161"/>
    </row>
    <row r="823" spans="1:9" ht="15.75" x14ac:dyDescent="0.25">
      <c r="A823" s="158">
        <v>675</v>
      </c>
      <c r="B823" s="7" t="s">
        <v>350</v>
      </c>
      <c r="C823" s="14">
        <v>1</v>
      </c>
      <c r="D823" s="61">
        <v>68</v>
      </c>
      <c r="E823" s="61">
        <v>100</v>
      </c>
      <c r="F823" s="61">
        <f t="shared" si="22"/>
        <v>32</v>
      </c>
      <c r="G823" s="8" t="s">
        <v>15</v>
      </c>
      <c r="H823" s="8" t="s">
        <v>113</v>
      </c>
      <c r="I823" s="161"/>
    </row>
    <row r="824" spans="1:9" ht="15.75" x14ac:dyDescent="0.25">
      <c r="A824" s="158">
        <v>677</v>
      </c>
      <c r="B824" s="7" t="s">
        <v>350</v>
      </c>
      <c r="C824" s="14">
        <v>1</v>
      </c>
      <c r="D824" s="61">
        <v>68</v>
      </c>
      <c r="E824" s="61">
        <v>100</v>
      </c>
      <c r="F824" s="61">
        <f t="shared" si="22"/>
        <v>32</v>
      </c>
      <c r="G824" s="8" t="s">
        <v>15</v>
      </c>
      <c r="H824" s="8" t="s">
        <v>113</v>
      </c>
      <c r="I824" s="161"/>
    </row>
    <row r="825" spans="1:9" ht="15.75" x14ac:dyDescent="0.25">
      <c r="A825" s="158">
        <v>379</v>
      </c>
      <c r="B825" s="45" t="s">
        <v>108</v>
      </c>
      <c r="C825" s="14">
        <v>1</v>
      </c>
      <c r="D825" s="61">
        <v>1</v>
      </c>
      <c r="E825" s="61">
        <v>2.1800000000000002</v>
      </c>
      <c r="F825" s="61">
        <f t="shared" si="22"/>
        <v>1.1800000000000002</v>
      </c>
      <c r="G825" s="8" t="s">
        <v>15</v>
      </c>
      <c r="H825" s="8" t="s">
        <v>113</v>
      </c>
      <c r="I825" s="160"/>
    </row>
    <row r="826" spans="1:9" ht="15.75" x14ac:dyDescent="0.25">
      <c r="A826" s="158">
        <v>328</v>
      </c>
      <c r="B826" s="45" t="s">
        <v>108</v>
      </c>
      <c r="C826" s="126">
        <v>9</v>
      </c>
      <c r="D826" s="127">
        <v>7.5</v>
      </c>
      <c r="E826" s="127">
        <v>14.11</v>
      </c>
      <c r="F826" s="127">
        <v>6.6099999999999994</v>
      </c>
      <c r="G826" s="8" t="s">
        <v>3</v>
      </c>
      <c r="H826" s="8" t="s">
        <v>114</v>
      </c>
      <c r="I826" s="161"/>
    </row>
    <row r="827" spans="1:9" ht="15.75" x14ac:dyDescent="0.25">
      <c r="A827" s="158">
        <v>231</v>
      </c>
      <c r="B827" s="45" t="s">
        <v>108</v>
      </c>
      <c r="C827" s="17">
        <v>7</v>
      </c>
      <c r="D827" s="58">
        <v>0.79166666666666663</v>
      </c>
      <c r="E827" s="58">
        <v>5.5416666666666661</v>
      </c>
      <c r="F827" s="58">
        <v>1.2783333333333342</v>
      </c>
      <c r="G827" s="8" t="s">
        <v>15</v>
      </c>
      <c r="H827" s="57" t="s">
        <v>114</v>
      </c>
      <c r="I827" s="159"/>
    </row>
    <row r="828" spans="1:9" ht="15.75" x14ac:dyDescent="0.25">
      <c r="A828" s="158">
        <v>76</v>
      </c>
      <c r="B828" s="45" t="s">
        <v>108</v>
      </c>
      <c r="C828" s="14">
        <v>1</v>
      </c>
      <c r="D828" s="61">
        <f>E828-F828</f>
        <v>1</v>
      </c>
      <c r="E828" s="58">
        <v>11.59</v>
      </c>
      <c r="F828" s="61">
        <v>10.59</v>
      </c>
      <c r="G828" s="8" t="s">
        <v>15</v>
      </c>
      <c r="H828" s="57" t="s">
        <v>6</v>
      </c>
      <c r="I828" s="161"/>
    </row>
    <row r="829" spans="1:9" ht="15.75" x14ac:dyDescent="0.25">
      <c r="A829" s="158">
        <v>626</v>
      </c>
      <c r="B829" s="45" t="s">
        <v>327</v>
      </c>
      <c r="C829" s="14">
        <v>1</v>
      </c>
      <c r="D829" s="127">
        <v>4</v>
      </c>
      <c r="E829" s="127">
        <v>29.11</v>
      </c>
      <c r="F829" s="61">
        <f>E829-D829</f>
        <v>25.11</v>
      </c>
      <c r="G829" s="8" t="s">
        <v>15</v>
      </c>
      <c r="H829" s="8" t="s">
        <v>113</v>
      </c>
      <c r="I829" s="161"/>
    </row>
    <row r="830" spans="1:9" ht="15.75" x14ac:dyDescent="0.25">
      <c r="A830" s="158">
        <v>862</v>
      </c>
      <c r="B830" s="45" t="s">
        <v>327</v>
      </c>
      <c r="C830" s="126">
        <v>1</v>
      </c>
      <c r="D830" s="127">
        <v>2</v>
      </c>
      <c r="E830" s="133">
        <v>20</v>
      </c>
      <c r="F830" s="127">
        <v>18</v>
      </c>
      <c r="G830" s="8" t="s">
        <v>15</v>
      </c>
      <c r="H830" s="8" t="s">
        <v>114</v>
      </c>
      <c r="I830" s="161"/>
    </row>
    <row r="831" spans="1:9" ht="15.75" x14ac:dyDescent="0.25">
      <c r="A831" s="167">
        <v>863</v>
      </c>
      <c r="B831" s="168" t="s">
        <v>448</v>
      </c>
      <c r="C831" s="169">
        <v>4</v>
      </c>
      <c r="D831" s="170">
        <v>52</v>
      </c>
      <c r="E831" s="171">
        <v>78.45</v>
      </c>
      <c r="F831" s="170">
        <v>26.450000000000003</v>
      </c>
      <c r="G831" s="172" t="s">
        <v>15</v>
      </c>
      <c r="H831" s="172" t="s">
        <v>114</v>
      </c>
      <c r="I831" s="173"/>
    </row>
    <row r="832" spans="1:9" x14ac:dyDescent="0.25">
      <c r="A832" s="75"/>
      <c r="B832" s="44"/>
      <c r="C832" s="62"/>
      <c r="D832" s="123"/>
      <c r="E832" s="64"/>
      <c r="F832" s="64"/>
      <c r="G832" s="62"/>
      <c r="H832" s="62"/>
      <c r="I832" s="44"/>
    </row>
  </sheetData>
  <autoFilter ref="Q1:U327" xr:uid="{2CE80573-4417-48A4-985F-F80A7C1A9DB6}">
    <sortState ref="Q2:U327">
      <sortCondition descending="1" ref="U1:U327"/>
    </sortState>
  </autoFilter>
  <conditionalFormatting sqref="G540:G786 G1:G538">
    <cfRule type="expression" dxfId="857" priority="138">
      <formula>G1 = "Tem que compra"</formula>
    </cfRule>
    <cfRule type="expression" dxfId="856" priority="139">
      <formula>G1 = "Pedidos"</formula>
    </cfRule>
    <cfRule type="expression" dxfId="855" priority="140">
      <formula>G1 = "Estoque"</formula>
    </cfRule>
    <cfRule type="expression" dxfId="854" priority="141">
      <formula>G1 = "Pendente"</formula>
    </cfRule>
    <cfRule type="expression" dxfId="853" priority="142">
      <formula>G1 = "Vendido"</formula>
    </cfRule>
  </conditionalFormatting>
  <conditionalFormatting sqref="G459:G461 G465:G480 G483:G485 G488:G494 G416:G456 G582:G590 G636 G640 G642 G646 G649:G653 G659:G660 G664:G703 G705 G775">
    <cfRule type="expression" dxfId="852" priority="1031">
      <formula>G416 ="Loja"</formula>
    </cfRule>
    <cfRule type="expression" dxfId="851" priority="1032">
      <formula>G416 ="Entregar"</formula>
    </cfRule>
    <cfRule type="expression" dxfId="850" priority="1033">
      <formula>G416 = "Tem que compra"</formula>
    </cfRule>
    <cfRule type="expression" dxfId="849" priority="1034">
      <formula>G416 = "Atacado"</formula>
    </cfRule>
    <cfRule type="expression" dxfId="848" priority="1035">
      <formula>G416 = "Pedidos"</formula>
    </cfRule>
    <cfRule type="expression" dxfId="847" priority="1036">
      <formula>G416 = "Estoque"</formula>
    </cfRule>
    <cfRule type="expression" dxfId="846" priority="1037">
      <formula>G416 = "Pendente"</formula>
    </cfRule>
    <cfRule type="expression" dxfId="845" priority="1038">
      <formula>G416 = "Vendido"</formula>
    </cfRule>
  </conditionalFormatting>
  <conditionalFormatting sqref="I40:I43">
    <cfRule type="expression" dxfId="844" priority="927">
      <formula>I40 ="Loja"</formula>
    </cfRule>
    <cfRule type="expression" dxfId="843" priority="928">
      <formula>I40 ="Entregar"</formula>
    </cfRule>
    <cfRule type="expression" dxfId="842" priority="929">
      <formula>I40 = "Tem que compra"</formula>
    </cfRule>
    <cfRule type="expression" dxfId="841" priority="930">
      <formula>I40 = "Atacado"</formula>
    </cfRule>
    <cfRule type="expression" dxfId="840" priority="931">
      <formula>I40 = "Pedidos"</formula>
    </cfRule>
    <cfRule type="expression" dxfId="839" priority="932">
      <formula>I40 = "Estoque"</formula>
    </cfRule>
    <cfRule type="expression" dxfId="838" priority="933">
      <formula>I40 = "Pendente"</formula>
    </cfRule>
    <cfRule type="expression" dxfId="837" priority="934">
      <formula>I40 = "Vendido"</formula>
    </cfRule>
  </conditionalFormatting>
  <conditionalFormatting sqref="I2:I5">
    <cfRule type="expression" dxfId="836" priority="907">
      <formula>I2 ="Loja"</formula>
    </cfRule>
    <cfRule type="expression" dxfId="835" priority="908">
      <formula>I2 ="Entregar"</formula>
    </cfRule>
    <cfRule type="expression" dxfId="834" priority="909">
      <formula>I2 = "Tem que compra"</formula>
    </cfRule>
    <cfRule type="expression" dxfId="833" priority="910">
      <formula>I2 = "Atacado"</formula>
    </cfRule>
    <cfRule type="expression" dxfId="832" priority="911">
      <formula>I2 = "Pedidos"</formula>
    </cfRule>
    <cfRule type="expression" dxfId="831" priority="912">
      <formula>I2 = "Estoque"</formula>
    </cfRule>
    <cfRule type="expression" dxfId="830" priority="913">
      <formula>I2 = "Pendente"</formula>
    </cfRule>
    <cfRule type="expression" dxfId="829" priority="914">
      <formula>I2 = "Vendido"</formula>
    </cfRule>
  </conditionalFormatting>
  <conditionalFormatting sqref="I6:I13">
    <cfRule type="expression" dxfId="828" priority="899">
      <formula>I6 ="Loja"</formula>
    </cfRule>
    <cfRule type="expression" dxfId="827" priority="900">
      <formula>I6 ="Entregar"</formula>
    </cfRule>
    <cfRule type="expression" dxfId="826" priority="901">
      <formula>I6 = "Tem que compra"</formula>
    </cfRule>
    <cfRule type="expression" dxfId="825" priority="902">
      <formula>I6 = "Atacado"</formula>
    </cfRule>
    <cfRule type="expression" dxfId="824" priority="903">
      <formula>I6 = "Pedidos"</formula>
    </cfRule>
    <cfRule type="expression" dxfId="823" priority="904">
      <formula>I6 = "Estoque"</formula>
    </cfRule>
    <cfRule type="expression" dxfId="822" priority="905">
      <formula>I6 = "Pendente"</formula>
    </cfRule>
    <cfRule type="expression" dxfId="821" priority="906">
      <formula>I6 = "Vendido"</formula>
    </cfRule>
  </conditionalFormatting>
  <conditionalFormatting sqref="I14:I21">
    <cfRule type="expression" dxfId="820" priority="891">
      <formula>I14 ="Loja"</formula>
    </cfRule>
    <cfRule type="expression" dxfId="819" priority="892">
      <formula>I14 ="Entregar"</formula>
    </cfRule>
    <cfRule type="expression" dxfId="818" priority="893">
      <formula>I14 = "Tem que compra"</formula>
    </cfRule>
    <cfRule type="expression" dxfId="817" priority="894">
      <formula>I14 = "Atacado"</formula>
    </cfRule>
    <cfRule type="expression" dxfId="816" priority="895">
      <formula>I14 = "Pedidos"</formula>
    </cfRule>
    <cfRule type="expression" dxfId="815" priority="896">
      <formula>I14 = "Estoque"</formula>
    </cfRule>
    <cfRule type="expression" dxfId="814" priority="897">
      <formula>I14 = "Pendente"</formula>
    </cfRule>
    <cfRule type="expression" dxfId="813" priority="898">
      <formula>I14 = "Vendido"</formula>
    </cfRule>
  </conditionalFormatting>
  <conditionalFormatting sqref="I22:I29">
    <cfRule type="expression" dxfId="812" priority="883">
      <formula>I22 ="Loja"</formula>
    </cfRule>
    <cfRule type="expression" dxfId="811" priority="884">
      <formula>I22 ="Entregar"</formula>
    </cfRule>
    <cfRule type="expression" dxfId="810" priority="885">
      <formula>I22 = "Tem que compra"</formula>
    </cfRule>
    <cfRule type="expression" dxfId="809" priority="886">
      <formula>I22 = "Atacado"</formula>
    </cfRule>
    <cfRule type="expression" dxfId="808" priority="887">
      <formula>I22 = "Pedidos"</formula>
    </cfRule>
    <cfRule type="expression" dxfId="807" priority="888">
      <formula>I22 = "Estoque"</formula>
    </cfRule>
    <cfRule type="expression" dxfId="806" priority="889">
      <formula>I22 = "Pendente"</formula>
    </cfRule>
    <cfRule type="expression" dxfId="805" priority="890">
      <formula>I22 = "Vendido"</formula>
    </cfRule>
  </conditionalFormatting>
  <conditionalFormatting sqref="I30:I37">
    <cfRule type="expression" dxfId="804" priority="875">
      <formula>I30 ="Loja"</formula>
    </cfRule>
    <cfRule type="expression" dxfId="803" priority="876">
      <formula>I30 ="Entregar"</formula>
    </cfRule>
    <cfRule type="expression" dxfId="802" priority="877">
      <formula>I30 = "Tem que compra"</formula>
    </cfRule>
    <cfRule type="expression" dxfId="801" priority="878">
      <formula>I30 = "Atacado"</formula>
    </cfRule>
    <cfRule type="expression" dxfId="800" priority="879">
      <formula>I30 = "Pedidos"</formula>
    </cfRule>
    <cfRule type="expression" dxfId="799" priority="880">
      <formula>I30 = "Estoque"</formula>
    </cfRule>
    <cfRule type="expression" dxfId="798" priority="881">
      <formula>I30 = "Pendente"</formula>
    </cfRule>
    <cfRule type="expression" dxfId="797" priority="882">
      <formula>I30 = "Vendido"</formula>
    </cfRule>
  </conditionalFormatting>
  <conditionalFormatting sqref="G397">
    <cfRule type="expression" dxfId="796" priority="827">
      <formula>G397 ="Loja"</formula>
    </cfRule>
    <cfRule type="expression" dxfId="795" priority="828">
      <formula>G397 ="Entregar"</formula>
    </cfRule>
    <cfRule type="expression" dxfId="794" priority="829">
      <formula>G397 = "Tem que compra"</formula>
    </cfRule>
    <cfRule type="expression" dxfId="793" priority="830">
      <formula>G397 = "Atacado"</formula>
    </cfRule>
    <cfRule type="expression" dxfId="792" priority="831">
      <formula>G397 = "Pedidos"</formula>
    </cfRule>
    <cfRule type="expression" dxfId="791" priority="832">
      <formula>G397 = "Estoque"</formula>
    </cfRule>
    <cfRule type="expression" dxfId="790" priority="833">
      <formula>G397 = "Pendente"</formula>
    </cfRule>
    <cfRule type="expression" dxfId="789" priority="834">
      <formula>G397 = "Vendido"</formula>
    </cfRule>
  </conditionalFormatting>
  <conditionalFormatting sqref="G398">
    <cfRule type="expression" dxfId="788" priority="819">
      <formula>G398 ="Loja"</formula>
    </cfRule>
    <cfRule type="expression" dxfId="787" priority="820">
      <formula>G398 ="Entregar"</formula>
    </cfRule>
    <cfRule type="expression" dxfId="786" priority="821">
      <formula>G398 = "Tem que compra"</formula>
    </cfRule>
    <cfRule type="expression" dxfId="785" priority="822">
      <formula>G398 = "Atacado"</formula>
    </cfRule>
    <cfRule type="expression" dxfId="784" priority="823">
      <formula>G398 = "Pedidos"</formula>
    </cfRule>
    <cfRule type="expression" dxfId="783" priority="824">
      <formula>G398 = "Estoque"</formula>
    </cfRule>
    <cfRule type="expression" dxfId="782" priority="825">
      <formula>G398 = "Pendente"</formula>
    </cfRule>
    <cfRule type="expression" dxfId="781" priority="826">
      <formula>G398 = "Vendido"</formula>
    </cfRule>
  </conditionalFormatting>
  <conditionalFormatting sqref="G405">
    <cfRule type="expression" dxfId="780" priority="811">
      <formula>G405 ="Loja"</formula>
    </cfRule>
    <cfRule type="expression" dxfId="779" priority="812">
      <formula>G405 ="Entregar"</formula>
    </cfRule>
    <cfRule type="expression" dxfId="778" priority="813">
      <formula>G405 = "Tem que compra"</formula>
    </cfRule>
    <cfRule type="expression" dxfId="777" priority="814">
      <formula>G405 = "Atacado"</formula>
    </cfRule>
    <cfRule type="expression" dxfId="776" priority="815">
      <formula>G405 = "Pedidos"</formula>
    </cfRule>
    <cfRule type="expression" dxfId="775" priority="816">
      <formula>G405 = "Estoque"</formula>
    </cfRule>
    <cfRule type="expression" dxfId="774" priority="817">
      <formula>G405 = "Pendente"</formula>
    </cfRule>
    <cfRule type="expression" dxfId="773" priority="818">
      <formula>G405 = "Vendido"</formula>
    </cfRule>
  </conditionalFormatting>
  <conditionalFormatting sqref="G406">
    <cfRule type="expression" dxfId="772" priority="803">
      <formula>G406 ="Loja"</formula>
    </cfRule>
    <cfRule type="expression" dxfId="771" priority="804">
      <formula>G406 ="Entregar"</formula>
    </cfRule>
    <cfRule type="expression" dxfId="770" priority="805">
      <formula>G406 = "Tem que compra"</formula>
    </cfRule>
    <cfRule type="expression" dxfId="769" priority="806">
      <formula>G406 = "Atacado"</formula>
    </cfRule>
    <cfRule type="expression" dxfId="768" priority="807">
      <formula>G406 = "Pedidos"</formula>
    </cfRule>
    <cfRule type="expression" dxfId="767" priority="808">
      <formula>G406 = "Estoque"</formula>
    </cfRule>
    <cfRule type="expression" dxfId="766" priority="809">
      <formula>G406 = "Pendente"</formula>
    </cfRule>
    <cfRule type="expression" dxfId="765" priority="810">
      <formula>G406 = "Vendido"</formula>
    </cfRule>
  </conditionalFormatting>
  <conditionalFormatting sqref="G407">
    <cfRule type="expression" dxfId="764" priority="795">
      <formula>G407 ="Loja"</formula>
    </cfRule>
    <cfRule type="expression" dxfId="763" priority="796">
      <formula>G407 ="Entregar"</formula>
    </cfRule>
    <cfRule type="expression" dxfId="762" priority="797">
      <formula>G407 = "Tem que compra"</formula>
    </cfRule>
    <cfRule type="expression" dxfId="761" priority="798">
      <formula>G407 = "Atacado"</formula>
    </cfRule>
    <cfRule type="expression" dxfId="760" priority="799">
      <formula>G407 = "Pedidos"</formula>
    </cfRule>
    <cfRule type="expression" dxfId="759" priority="800">
      <formula>G407 = "Estoque"</formula>
    </cfRule>
    <cfRule type="expression" dxfId="758" priority="801">
      <formula>G407 = "Pendente"</formula>
    </cfRule>
    <cfRule type="expression" dxfId="757" priority="802">
      <formula>G407 = "Vendido"</formula>
    </cfRule>
  </conditionalFormatting>
  <conditionalFormatting sqref="G409">
    <cfRule type="expression" dxfId="756" priority="787">
      <formula>G409 ="Loja"</formula>
    </cfRule>
    <cfRule type="expression" dxfId="755" priority="788">
      <formula>G409 ="Entregar"</formula>
    </cfRule>
    <cfRule type="expression" dxfId="754" priority="789">
      <formula>G409 = "Tem que compra"</formula>
    </cfRule>
    <cfRule type="expression" dxfId="753" priority="790">
      <formula>G409 = "Atacado"</formula>
    </cfRule>
    <cfRule type="expression" dxfId="752" priority="791">
      <formula>G409 = "Pedidos"</formula>
    </cfRule>
    <cfRule type="expression" dxfId="751" priority="792">
      <formula>G409 = "Estoque"</formula>
    </cfRule>
    <cfRule type="expression" dxfId="750" priority="793">
      <formula>G409 = "Pendente"</formula>
    </cfRule>
    <cfRule type="expression" dxfId="749" priority="794">
      <formula>G409 = "Vendido"</formula>
    </cfRule>
  </conditionalFormatting>
  <conditionalFormatting sqref="G411">
    <cfRule type="expression" dxfId="748" priority="779">
      <formula>G411 ="Loja"</formula>
    </cfRule>
    <cfRule type="expression" dxfId="747" priority="780">
      <formula>G411 ="Entregar"</formula>
    </cfRule>
    <cfRule type="expression" dxfId="746" priority="781">
      <formula>G411 = "Tem que compra"</formula>
    </cfRule>
    <cfRule type="expression" dxfId="745" priority="782">
      <formula>G411 = "Atacado"</formula>
    </cfRule>
    <cfRule type="expression" dxfId="744" priority="783">
      <formula>G411 = "Pedidos"</formula>
    </cfRule>
    <cfRule type="expression" dxfId="743" priority="784">
      <formula>G411 = "Estoque"</formula>
    </cfRule>
    <cfRule type="expression" dxfId="742" priority="785">
      <formula>G411 = "Pendente"</formula>
    </cfRule>
    <cfRule type="expression" dxfId="741" priority="786">
      <formula>G411 = "Vendido"</formula>
    </cfRule>
  </conditionalFormatting>
  <conditionalFormatting sqref="G412">
    <cfRule type="expression" dxfId="740" priority="771">
      <formula>G412 ="Loja"</formula>
    </cfRule>
    <cfRule type="expression" dxfId="739" priority="772">
      <formula>G412 ="Entregar"</formula>
    </cfRule>
    <cfRule type="expression" dxfId="738" priority="773">
      <formula>G412 = "Tem que compra"</formula>
    </cfRule>
    <cfRule type="expression" dxfId="737" priority="774">
      <formula>G412 = "Atacado"</formula>
    </cfRule>
    <cfRule type="expression" dxfId="736" priority="775">
      <formula>G412 = "Pedidos"</formula>
    </cfRule>
    <cfRule type="expression" dxfId="735" priority="776">
      <formula>G412 = "Estoque"</formula>
    </cfRule>
    <cfRule type="expression" dxfId="734" priority="777">
      <formula>G412 = "Pendente"</formula>
    </cfRule>
    <cfRule type="expression" dxfId="733" priority="778">
      <formula>G412 = "Vendido"</formula>
    </cfRule>
  </conditionalFormatting>
  <conditionalFormatting sqref="G415">
    <cfRule type="expression" dxfId="732" priority="763">
      <formula>G415 ="Loja"</formula>
    </cfRule>
    <cfRule type="expression" dxfId="731" priority="764">
      <formula>G415 ="Entregar"</formula>
    </cfRule>
    <cfRule type="expression" dxfId="730" priority="765">
      <formula>G415 = "Tem que compra"</formula>
    </cfRule>
    <cfRule type="expression" dxfId="729" priority="766">
      <formula>G415 = "Atacado"</formula>
    </cfRule>
    <cfRule type="expression" dxfId="728" priority="767">
      <formula>G415 = "Pedidos"</formula>
    </cfRule>
    <cfRule type="expression" dxfId="727" priority="768">
      <formula>G415 = "Estoque"</formula>
    </cfRule>
    <cfRule type="expression" dxfId="726" priority="769">
      <formula>G415 = "Pendente"</formula>
    </cfRule>
    <cfRule type="expression" dxfId="725" priority="770">
      <formula>G415 = "Vendido"</formula>
    </cfRule>
  </conditionalFormatting>
  <conditionalFormatting sqref="G457">
    <cfRule type="expression" dxfId="724" priority="741">
      <formula>G457 ="Loja"</formula>
    </cfRule>
    <cfRule type="expression" dxfId="723" priority="742">
      <formula>G457 ="Entregar"</formula>
    </cfRule>
    <cfRule type="expression" dxfId="722" priority="743">
      <formula>G457 = "Tem que compra"</formula>
    </cfRule>
    <cfRule type="expression" dxfId="721" priority="744">
      <formula>G457 = "Atacado"</formula>
    </cfRule>
    <cfRule type="expression" dxfId="720" priority="745">
      <formula>G457 = "Pedidos"</formula>
    </cfRule>
    <cfRule type="expression" dxfId="719" priority="746">
      <formula>G457 = "Estoque"</formula>
    </cfRule>
    <cfRule type="expression" dxfId="718" priority="747">
      <formula>G457 = "Pendente"</formula>
    </cfRule>
    <cfRule type="expression" dxfId="717" priority="748">
      <formula>G457 = "Vendido"</formula>
    </cfRule>
  </conditionalFormatting>
  <conditionalFormatting sqref="G458">
    <cfRule type="expression" dxfId="716" priority="733">
      <formula>G458 ="Loja"</formula>
    </cfRule>
    <cfRule type="expression" dxfId="715" priority="734">
      <formula>G458 ="Entregar"</formula>
    </cfRule>
    <cfRule type="expression" dxfId="714" priority="735">
      <formula>G458 = "Tem que compra"</formula>
    </cfRule>
    <cfRule type="expression" dxfId="713" priority="736">
      <formula>G458 = "Atacado"</formula>
    </cfRule>
    <cfRule type="expression" dxfId="712" priority="737">
      <formula>G458 = "Pedidos"</formula>
    </cfRule>
    <cfRule type="expression" dxfId="711" priority="738">
      <formula>G458 = "Estoque"</formula>
    </cfRule>
    <cfRule type="expression" dxfId="710" priority="739">
      <formula>G458 = "Pendente"</formula>
    </cfRule>
    <cfRule type="expression" dxfId="709" priority="740">
      <formula>G458 = "Vendido"</formula>
    </cfRule>
  </conditionalFormatting>
  <conditionalFormatting sqref="G462">
    <cfRule type="expression" dxfId="708" priority="725">
      <formula>G462 ="Loja"</formula>
    </cfRule>
    <cfRule type="expression" dxfId="707" priority="726">
      <formula>G462 ="Entregar"</formula>
    </cfRule>
    <cfRule type="expression" dxfId="706" priority="727">
      <formula>G462 = "Tem que compra"</formula>
    </cfRule>
    <cfRule type="expression" dxfId="705" priority="728">
      <formula>G462 = "Atacado"</formula>
    </cfRule>
    <cfRule type="expression" dxfId="704" priority="729">
      <formula>G462 = "Pedidos"</formula>
    </cfRule>
    <cfRule type="expression" dxfId="703" priority="730">
      <formula>G462 = "Estoque"</formula>
    </cfRule>
    <cfRule type="expression" dxfId="702" priority="731">
      <formula>G462 = "Pendente"</formula>
    </cfRule>
    <cfRule type="expression" dxfId="701" priority="732">
      <formula>G462 = "Vendido"</formula>
    </cfRule>
  </conditionalFormatting>
  <conditionalFormatting sqref="G463">
    <cfRule type="expression" dxfId="700" priority="717">
      <formula>G463 ="Loja"</formula>
    </cfRule>
    <cfRule type="expression" dxfId="699" priority="718">
      <formula>G463 ="Entregar"</formula>
    </cfRule>
    <cfRule type="expression" dxfId="698" priority="719">
      <formula>G463 = "Tem que compra"</formula>
    </cfRule>
    <cfRule type="expression" dxfId="697" priority="720">
      <formula>G463 = "Atacado"</formula>
    </cfRule>
    <cfRule type="expression" dxfId="696" priority="721">
      <formula>G463 = "Pedidos"</formula>
    </cfRule>
    <cfRule type="expression" dxfId="695" priority="722">
      <formula>G463 = "Estoque"</formula>
    </cfRule>
    <cfRule type="expression" dxfId="694" priority="723">
      <formula>G463 = "Pendente"</formula>
    </cfRule>
    <cfRule type="expression" dxfId="693" priority="724">
      <formula>G463 = "Vendido"</formula>
    </cfRule>
  </conditionalFormatting>
  <conditionalFormatting sqref="G464">
    <cfRule type="expression" dxfId="692" priority="709">
      <formula>G464 ="Loja"</formula>
    </cfRule>
    <cfRule type="expression" dxfId="691" priority="710">
      <formula>G464 ="Entregar"</formula>
    </cfRule>
    <cfRule type="expression" dxfId="690" priority="711">
      <formula>G464 = "Tem que compra"</formula>
    </cfRule>
    <cfRule type="expression" dxfId="689" priority="712">
      <formula>G464 = "Atacado"</formula>
    </cfRule>
    <cfRule type="expression" dxfId="688" priority="713">
      <formula>G464 = "Pedidos"</formula>
    </cfRule>
    <cfRule type="expression" dxfId="687" priority="714">
      <formula>G464 = "Estoque"</formula>
    </cfRule>
    <cfRule type="expression" dxfId="686" priority="715">
      <formula>G464 = "Pendente"</formula>
    </cfRule>
    <cfRule type="expression" dxfId="685" priority="716">
      <formula>G464 = "Vendido"</formula>
    </cfRule>
  </conditionalFormatting>
  <conditionalFormatting sqref="G481">
    <cfRule type="expression" dxfId="684" priority="701">
      <formula>G481 ="Loja"</formula>
    </cfRule>
    <cfRule type="expression" dxfId="683" priority="702">
      <formula>G481 ="Entregar"</formula>
    </cfRule>
    <cfRule type="expression" dxfId="682" priority="703">
      <formula>G481 = "Tem que compra"</formula>
    </cfRule>
    <cfRule type="expression" dxfId="681" priority="704">
      <formula>G481 = "Atacado"</formula>
    </cfRule>
    <cfRule type="expression" dxfId="680" priority="705">
      <formula>G481 = "Pedidos"</formula>
    </cfRule>
    <cfRule type="expression" dxfId="679" priority="706">
      <formula>G481 = "Estoque"</formula>
    </cfRule>
    <cfRule type="expression" dxfId="678" priority="707">
      <formula>G481 = "Pendente"</formula>
    </cfRule>
    <cfRule type="expression" dxfId="677" priority="708">
      <formula>G481 = "Vendido"</formula>
    </cfRule>
  </conditionalFormatting>
  <conditionalFormatting sqref="G482:G485">
    <cfRule type="expression" dxfId="676" priority="693">
      <formula>G482 ="Loja"</formula>
    </cfRule>
    <cfRule type="expression" dxfId="675" priority="694">
      <formula>G482 ="Entregar"</formula>
    </cfRule>
    <cfRule type="expression" dxfId="674" priority="695">
      <formula>G482 = "Tem que compra"</formula>
    </cfRule>
    <cfRule type="expression" dxfId="673" priority="696">
      <formula>G482 = "Atacado"</formula>
    </cfRule>
    <cfRule type="expression" dxfId="672" priority="697">
      <formula>G482 = "Pedidos"</formula>
    </cfRule>
    <cfRule type="expression" dxfId="671" priority="698">
      <formula>G482 = "Estoque"</formula>
    </cfRule>
    <cfRule type="expression" dxfId="670" priority="699">
      <formula>G482 = "Pendente"</formula>
    </cfRule>
    <cfRule type="expression" dxfId="669" priority="700">
      <formula>G482 = "Vendido"</formula>
    </cfRule>
  </conditionalFormatting>
  <conditionalFormatting sqref="G486">
    <cfRule type="expression" dxfId="668" priority="685">
      <formula>G486 ="Loja"</formula>
    </cfRule>
    <cfRule type="expression" dxfId="667" priority="686">
      <formula>G486 ="Entregar"</formula>
    </cfRule>
    <cfRule type="expression" dxfId="666" priority="687">
      <formula>G486 = "Tem que compra"</formula>
    </cfRule>
    <cfRule type="expression" dxfId="665" priority="688">
      <formula>G486 = "Atacado"</formula>
    </cfRule>
    <cfRule type="expression" dxfId="664" priority="689">
      <formula>G486 = "Pedidos"</formula>
    </cfRule>
    <cfRule type="expression" dxfId="663" priority="690">
      <formula>G486 = "Estoque"</formula>
    </cfRule>
    <cfRule type="expression" dxfId="662" priority="691">
      <formula>G486 = "Pendente"</formula>
    </cfRule>
    <cfRule type="expression" dxfId="661" priority="692">
      <formula>G486 = "Vendido"</formula>
    </cfRule>
  </conditionalFormatting>
  <conditionalFormatting sqref="G486">
    <cfRule type="expression" dxfId="660" priority="677">
      <formula>G486 ="Loja"</formula>
    </cfRule>
    <cfRule type="expression" dxfId="659" priority="678">
      <formula>G486 ="Entregar"</formula>
    </cfRule>
    <cfRule type="expression" dxfId="658" priority="679">
      <formula>G486 = "Tem que compra"</formula>
    </cfRule>
    <cfRule type="expression" dxfId="657" priority="680">
      <formula>G486 = "Atacado"</formula>
    </cfRule>
    <cfRule type="expression" dxfId="656" priority="681">
      <formula>G486 = "Pedidos"</formula>
    </cfRule>
    <cfRule type="expression" dxfId="655" priority="682">
      <formula>G486 = "Estoque"</formula>
    </cfRule>
    <cfRule type="expression" dxfId="654" priority="683">
      <formula>G486 = "Pendente"</formula>
    </cfRule>
    <cfRule type="expression" dxfId="653" priority="684">
      <formula>G486 = "Vendido"</formula>
    </cfRule>
  </conditionalFormatting>
  <conditionalFormatting sqref="G487">
    <cfRule type="expression" dxfId="652" priority="669">
      <formula>G487 ="Loja"</formula>
    </cfRule>
    <cfRule type="expression" dxfId="651" priority="670">
      <formula>G487 ="Entregar"</formula>
    </cfRule>
    <cfRule type="expression" dxfId="650" priority="671">
      <formula>G487 = "Tem que compra"</formula>
    </cfRule>
    <cfRule type="expression" dxfId="649" priority="672">
      <formula>G487 = "Atacado"</formula>
    </cfRule>
    <cfRule type="expression" dxfId="648" priority="673">
      <formula>G487 = "Pedidos"</formula>
    </cfRule>
    <cfRule type="expression" dxfId="647" priority="674">
      <formula>G487 = "Estoque"</formula>
    </cfRule>
    <cfRule type="expression" dxfId="646" priority="675">
      <formula>G487 = "Pendente"</formula>
    </cfRule>
    <cfRule type="expression" dxfId="645" priority="676">
      <formula>G487 = "Vendido"</formula>
    </cfRule>
  </conditionalFormatting>
  <conditionalFormatting sqref="G487">
    <cfRule type="expression" dxfId="644" priority="661">
      <formula>G487 ="Loja"</formula>
    </cfRule>
    <cfRule type="expression" dxfId="643" priority="662">
      <formula>G487 ="Entregar"</formula>
    </cfRule>
    <cfRule type="expression" dxfId="642" priority="663">
      <formula>G487 = "Tem que compra"</formula>
    </cfRule>
    <cfRule type="expression" dxfId="641" priority="664">
      <formula>G487 = "Atacado"</formula>
    </cfRule>
    <cfRule type="expression" dxfId="640" priority="665">
      <formula>G487 = "Pedidos"</formula>
    </cfRule>
    <cfRule type="expression" dxfId="639" priority="666">
      <formula>G487 = "Estoque"</formula>
    </cfRule>
    <cfRule type="expression" dxfId="638" priority="667">
      <formula>G487 = "Pendente"</formula>
    </cfRule>
    <cfRule type="expression" dxfId="637" priority="668">
      <formula>G487 = "Vendido"</formula>
    </cfRule>
  </conditionalFormatting>
  <conditionalFormatting sqref="G495:G538 G543:G544 G547:G552 G554:G556 G561:G563 G565 G568:G573 G578:G579 G631:G635">
    <cfRule type="expression" dxfId="636" priority="653">
      <formula>G495 ="Loja"</formula>
    </cfRule>
    <cfRule type="expression" dxfId="635" priority="654">
      <formula>G495 ="Entregar"</formula>
    </cfRule>
    <cfRule type="expression" dxfId="634" priority="655">
      <formula>G495 = "Tem que compra"</formula>
    </cfRule>
    <cfRule type="expression" dxfId="633" priority="656">
      <formula>G495 = "Atacado"</formula>
    </cfRule>
    <cfRule type="expression" dxfId="632" priority="657">
      <formula>G495 = "Pedidos"</formula>
    </cfRule>
    <cfRule type="expression" dxfId="631" priority="658">
      <formula>G495 = "Estoque"</formula>
    </cfRule>
    <cfRule type="expression" dxfId="630" priority="659">
      <formula>G495 = "Pendente"</formula>
    </cfRule>
    <cfRule type="expression" dxfId="629" priority="660">
      <formula>G495 = "Vendido"</formula>
    </cfRule>
  </conditionalFormatting>
  <conditionalFormatting sqref="G1">
    <cfRule type="expression" dxfId="628" priority="645">
      <formula>G1 ="Loja"</formula>
    </cfRule>
    <cfRule type="expression" dxfId="627" priority="646">
      <formula>G1 ="Entregar"</formula>
    </cfRule>
    <cfRule type="expression" dxfId="626" priority="647">
      <formula>G1 = "Tem que compra"</formula>
    </cfRule>
    <cfRule type="expression" dxfId="625" priority="648">
      <formula>G1 = "Atacado"</formula>
    </cfRule>
    <cfRule type="expression" dxfId="624" priority="649">
      <formula>G1 = "Pedidos"</formula>
    </cfRule>
    <cfRule type="expression" dxfId="623" priority="650">
      <formula>G1 = "Estoque"</formula>
    </cfRule>
    <cfRule type="expression" dxfId="622" priority="651">
      <formula>G1 = "Pendente"</formula>
    </cfRule>
    <cfRule type="expression" dxfId="621" priority="652">
      <formula>G1 = "Vendido"</formula>
    </cfRule>
  </conditionalFormatting>
  <conditionalFormatting sqref="A1">
    <cfRule type="expression" dxfId="620" priority="631">
      <formula>#REF! = "Entregar"</formula>
    </cfRule>
    <cfRule type="expression" dxfId="619" priority="632">
      <formula>#REF! = "Vendido"</formula>
    </cfRule>
    <cfRule type="expression" dxfId="618" priority="633">
      <formula>#REF! = "Estoque"</formula>
    </cfRule>
    <cfRule type="expression" dxfId="617" priority="634">
      <formula>#REF! = "Pendente"</formula>
    </cfRule>
    <cfRule type="expression" dxfId="616" priority="635">
      <formula>#REF! = "Tem que compra"</formula>
    </cfRule>
    <cfRule type="expression" dxfId="615" priority="636">
      <formula>#REF! = "Atacado"</formula>
    </cfRule>
  </conditionalFormatting>
  <conditionalFormatting sqref="G1">
    <cfRule type="expression" dxfId="614" priority="637">
      <formula>G1 ="Loja"</formula>
    </cfRule>
    <cfRule type="expression" dxfId="613" priority="638">
      <formula>G1 ="Entregar"</formula>
    </cfRule>
    <cfRule type="expression" dxfId="612" priority="639">
      <formula>G1 = "Tem que compra"</formula>
    </cfRule>
    <cfRule type="expression" dxfId="611" priority="640">
      <formula>G1 = "Atacado"</formula>
    </cfRule>
    <cfRule type="expression" dxfId="610" priority="641">
      <formula>G1 = "Pedidos"</formula>
    </cfRule>
    <cfRule type="expression" dxfId="609" priority="642">
      <formula>G1 = "Estoque"</formula>
    </cfRule>
    <cfRule type="expression" dxfId="608" priority="643">
      <formula>G1 = "Pendente"</formula>
    </cfRule>
    <cfRule type="expression" dxfId="607" priority="644">
      <formula>G1 = "Vendido"</formula>
    </cfRule>
  </conditionalFormatting>
  <conditionalFormatting sqref="G545">
    <cfRule type="expression" dxfId="606" priority="623">
      <formula>G545 ="Loja"</formula>
    </cfRule>
    <cfRule type="expression" dxfId="605" priority="624">
      <formula>G545 ="Entregar"</formula>
    </cfRule>
    <cfRule type="expression" dxfId="604" priority="625">
      <formula>G545 = "Tem que compra"</formula>
    </cfRule>
    <cfRule type="expression" dxfId="603" priority="626">
      <formula>G545 = "Atacado"</formula>
    </cfRule>
    <cfRule type="expression" dxfId="602" priority="627">
      <formula>G545 = "Pedidos"</formula>
    </cfRule>
    <cfRule type="expression" dxfId="601" priority="628">
      <formula>G545 = "Estoque"</formula>
    </cfRule>
    <cfRule type="expression" dxfId="600" priority="629">
      <formula>G545 = "Pendente"</formula>
    </cfRule>
    <cfRule type="expression" dxfId="599" priority="630">
      <formula>G545 = "Vendido"</formula>
    </cfRule>
  </conditionalFormatting>
  <conditionalFormatting sqref="G546">
    <cfRule type="expression" dxfId="598" priority="615">
      <formula>G546 ="Loja"</formula>
    </cfRule>
    <cfRule type="expression" dxfId="597" priority="616">
      <formula>G546 ="Entregar"</formula>
    </cfRule>
    <cfRule type="expression" dxfId="596" priority="617">
      <formula>G546 = "Tem que compra"</formula>
    </cfRule>
    <cfRule type="expression" dxfId="595" priority="618">
      <formula>G546 = "Atacado"</formula>
    </cfRule>
    <cfRule type="expression" dxfId="594" priority="619">
      <formula>G546 = "Pedidos"</formula>
    </cfRule>
    <cfRule type="expression" dxfId="593" priority="620">
      <formula>G546 = "Estoque"</formula>
    </cfRule>
    <cfRule type="expression" dxfId="592" priority="621">
      <formula>G546 = "Pendente"</formula>
    </cfRule>
    <cfRule type="expression" dxfId="591" priority="622">
      <formula>G546 = "Vendido"</formula>
    </cfRule>
  </conditionalFormatting>
  <conditionalFormatting sqref="G553">
    <cfRule type="expression" dxfId="590" priority="607">
      <formula>G553 ="Loja"</formula>
    </cfRule>
    <cfRule type="expression" dxfId="589" priority="608">
      <formula>G553 ="Entregar"</formula>
    </cfRule>
    <cfRule type="expression" dxfId="588" priority="609">
      <formula>G553 = "Tem que compra"</formula>
    </cfRule>
    <cfRule type="expression" dxfId="587" priority="610">
      <formula>G553 = "Atacado"</formula>
    </cfRule>
    <cfRule type="expression" dxfId="586" priority="611">
      <formula>G553 = "Pedidos"</formula>
    </cfRule>
    <cfRule type="expression" dxfId="585" priority="612">
      <formula>G553 = "Estoque"</formula>
    </cfRule>
    <cfRule type="expression" dxfId="584" priority="613">
      <formula>G553 = "Pendente"</formula>
    </cfRule>
    <cfRule type="expression" dxfId="583" priority="614">
      <formula>G553 = "Vendido"</formula>
    </cfRule>
  </conditionalFormatting>
  <conditionalFormatting sqref="G557">
    <cfRule type="expression" dxfId="582" priority="599">
      <formula>G557 ="Loja"</formula>
    </cfRule>
    <cfRule type="expression" dxfId="581" priority="600">
      <formula>G557 ="Entregar"</formula>
    </cfRule>
    <cfRule type="expression" dxfId="580" priority="601">
      <formula>G557 = "Tem que compra"</formula>
    </cfRule>
    <cfRule type="expression" dxfId="579" priority="602">
      <formula>G557 = "Atacado"</formula>
    </cfRule>
    <cfRule type="expression" dxfId="578" priority="603">
      <formula>G557 = "Pedidos"</formula>
    </cfRule>
    <cfRule type="expression" dxfId="577" priority="604">
      <formula>G557 = "Estoque"</formula>
    </cfRule>
    <cfRule type="expression" dxfId="576" priority="605">
      <formula>G557 = "Pendente"</formula>
    </cfRule>
    <cfRule type="expression" dxfId="575" priority="606">
      <formula>G557 = "Vendido"</formula>
    </cfRule>
  </conditionalFormatting>
  <conditionalFormatting sqref="G558">
    <cfRule type="expression" dxfId="574" priority="591">
      <formula>G558 ="Loja"</formula>
    </cfRule>
    <cfRule type="expression" dxfId="573" priority="592">
      <formula>G558 ="Entregar"</formula>
    </cfRule>
    <cfRule type="expression" dxfId="572" priority="593">
      <formula>G558 = "Tem que compra"</formula>
    </cfRule>
    <cfRule type="expression" dxfId="571" priority="594">
      <formula>G558 = "Atacado"</formula>
    </cfRule>
    <cfRule type="expression" dxfId="570" priority="595">
      <formula>G558 = "Pedidos"</formula>
    </cfRule>
    <cfRule type="expression" dxfId="569" priority="596">
      <formula>G558 = "Estoque"</formula>
    </cfRule>
    <cfRule type="expression" dxfId="568" priority="597">
      <formula>G558 = "Pendente"</formula>
    </cfRule>
    <cfRule type="expression" dxfId="567" priority="598">
      <formula>G558 = "Vendido"</formula>
    </cfRule>
  </conditionalFormatting>
  <conditionalFormatting sqref="G559">
    <cfRule type="expression" dxfId="566" priority="583">
      <formula>G559 ="Loja"</formula>
    </cfRule>
    <cfRule type="expression" dxfId="565" priority="584">
      <formula>G559 ="Entregar"</formula>
    </cfRule>
    <cfRule type="expression" dxfId="564" priority="585">
      <formula>G559 = "Tem que compra"</formula>
    </cfRule>
    <cfRule type="expression" dxfId="563" priority="586">
      <formula>G559 = "Atacado"</formula>
    </cfRule>
    <cfRule type="expression" dxfId="562" priority="587">
      <formula>G559 = "Pedidos"</formula>
    </cfRule>
    <cfRule type="expression" dxfId="561" priority="588">
      <formula>G559 = "Estoque"</formula>
    </cfRule>
    <cfRule type="expression" dxfId="560" priority="589">
      <formula>G559 = "Pendente"</formula>
    </cfRule>
    <cfRule type="expression" dxfId="559" priority="590">
      <formula>G559 = "Vendido"</formula>
    </cfRule>
  </conditionalFormatting>
  <conditionalFormatting sqref="G560">
    <cfRule type="expression" dxfId="558" priority="575">
      <formula>G560 ="Loja"</formula>
    </cfRule>
    <cfRule type="expression" dxfId="557" priority="576">
      <formula>G560 ="Entregar"</formula>
    </cfRule>
    <cfRule type="expression" dxfId="556" priority="577">
      <formula>G560 = "Tem que compra"</formula>
    </cfRule>
    <cfRule type="expression" dxfId="555" priority="578">
      <formula>G560 = "Atacado"</formula>
    </cfRule>
    <cfRule type="expression" dxfId="554" priority="579">
      <formula>G560 = "Pedidos"</formula>
    </cfRule>
    <cfRule type="expression" dxfId="553" priority="580">
      <formula>G560 = "Estoque"</formula>
    </cfRule>
    <cfRule type="expression" dxfId="552" priority="581">
      <formula>G560 = "Pendente"</formula>
    </cfRule>
    <cfRule type="expression" dxfId="551" priority="582">
      <formula>G560 = "Vendido"</formula>
    </cfRule>
  </conditionalFormatting>
  <conditionalFormatting sqref="G564">
    <cfRule type="expression" dxfId="550" priority="567">
      <formula>G564 ="Loja"</formula>
    </cfRule>
    <cfRule type="expression" dxfId="549" priority="568">
      <formula>G564 ="Entregar"</formula>
    </cfRule>
    <cfRule type="expression" dxfId="548" priority="569">
      <formula>G564 = "Tem que compra"</formula>
    </cfRule>
    <cfRule type="expression" dxfId="547" priority="570">
      <formula>G564 = "Atacado"</formula>
    </cfRule>
    <cfRule type="expression" dxfId="546" priority="571">
      <formula>G564 = "Pedidos"</formula>
    </cfRule>
    <cfRule type="expression" dxfId="545" priority="572">
      <formula>G564 = "Estoque"</formula>
    </cfRule>
    <cfRule type="expression" dxfId="544" priority="573">
      <formula>G564 = "Pendente"</formula>
    </cfRule>
    <cfRule type="expression" dxfId="543" priority="574">
      <formula>G564 = "Vendido"</formula>
    </cfRule>
  </conditionalFormatting>
  <conditionalFormatting sqref="G566">
    <cfRule type="expression" dxfId="542" priority="559">
      <formula>G566 ="Loja"</formula>
    </cfRule>
    <cfRule type="expression" dxfId="541" priority="560">
      <formula>G566 ="Entregar"</formula>
    </cfRule>
    <cfRule type="expression" dxfId="540" priority="561">
      <formula>G566 = "Tem que compra"</formula>
    </cfRule>
    <cfRule type="expression" dxfId="539" priority="562">
      <formula>G566 = "Atacado"</formula>
    </cfRule>
    <cfRule type="expression" dxfId="538" priority="563">
      <formula>G566 = "Pedidos"</formula>
    </cfRule>
    <cfRule type="expression" dxfId="537" priority="564">
      <formula>G566 = "Estoque"</formula>
    </cfRule>
    <cfRule type="expression" dxfId="536" priority="565">
      <formula>G566 = "Pendente"</formula>
    </cfRule>
    <cfRule type="expression" dxfId="535" priority="566">
      <formula>G566 = "Vendido"</formula>
    </cfRule>
  </conditionalFormatting>
  <conditionalFormatting sqref="G567">
    <cfRule type="expression" dxfId="534" priority="551">
      <formula>G567 ="Loja"</formula>
    </cfRule>
    <cfRule type="expression" dxfId="533" priority="552">
      <formula>G567 ="Entregar"</formula>
    </cfRule>
    <cfRule type="expression" dxfId="532" priority="553">
      <formula>G567 = "Tem que compra"</formula>
    </cfRule>
    <cfRule type="expression" dxfId="531" priority="554">
      <formula>G567 = "Atacado"</formula>
    </cfRule>
    <cfRule type="expression" dxfId="530" priority="555">
      <formula>G567 = "Pedidos"</formula>
    </cfRule>
    <cfRule type="expression" dxfId="529" priority="556">
      <formula>G567 = "Estoque"</formula>
    </cfRule>
    <cfRule type="expression" dxfId="528" priority="557">
      <formula>G567 = "Pendente"</formula>
    </cfRule>
    <cfRule type="expression" dxfId="527" priority="558">
      <formula>G567 = "Vendido"</formula>
    </cfRule>
  </conditionalFormatting>
  <conditionalFormatting sqref="G574">
    <cfRule type="expression" dxfId="526" priority="543">
      <formula>G574 ="Loja"</formula>
    </cfRule>
    <cfRule type="expression" dxfId="525" priority="544">
      <formula>G574 ="Entregar"</formula>
    </cfRule>
    <cfRule type="expression" dxfId="524" priority="545">
      <formula>G574 = "Tem que compra"</formula>
    </cfRule>
    <cfRule type="expression" dxfId="523" priority="546">
      <formula>G574 = "Atacado"</formula>
    </cfRule>
    <cfRule type="expression" dxfId="522" priority="547">
      <formula>G574 = "Pedidos"</formula>
    </cfRule>
    <cfRule type="expression" dxfId="521" priority="548">
      <formula>G574 = "Estoque"</formula>
    </cfRule>
    <cfRule type="expression" dxfId="520" priority="549">
      <formula>G574 = "Pendente"</formula>
    </cfRule>
    <cfRule type="expression" dxfId="519" priority="550">
      <formula>G574 = "Vendido"</formula>
    </cfRule>
  </conditionalFormatting>
  <conditionalFormatting sqref="G575">
    <cfRule type="expression" dxfId="518" priority="535">
      <formula>G575 ="Loja"</formula>
    </cfRule>
    <cfRule type="expression" dxfId="517" priority="536">
      <formula>G575 ="Entregar"</formula>
    </cfRule>
    <cfRule type="expression" dxfId="516" priority="537">
      <formula>G575 = "Tem que compra"</formula>
    </cfRule>
    <cfRule type="expression" dxfId="515" priority="538">
      <formula>G575 = "Atacado"</formula>
    </cfRule>
    <cfRule type="expression" dxfId="514" priority="539">
      <formula>G575 = "Pedidos"</formula>
    </cfRule>
    <cfRule type="expression" dxfId="513" priority="540">
      <formula>G575 = "Estoque"</formula>
    </cfRule>
    <cfRule type="expression" dxfId="512" priority="541">
      <formula>G575 = "Pendente"</formula>
    </cfRule>
    <cfRule type="expression" dxfId="511" priority="542">
      <formula>G575 = "Vendido"</formula>
    </cfRule>
  </conditionalFormatting>
  <conditionalFormatting sqref="G576">
    <cfRule type="expression" dxfId="510" priority="527">
      <formula>G576 ="Loja"</formula>
    </cfRule>
    <cfRule type="expression" dxfId="509" priority="528">
      <formula>G576 ="Entregar"</formula>
    </cfRule>
    <cfRule type="expression" dxfId="508" priority="529">
      <formula>G576 = "Tem que compra"</formula>
    </cfRule>
    <cfRule type="expression" dxfId="507" priority="530">
      <formula>G576 = "Atacado"</formula>
    </cfRule>
    <cfRule type="expression" dxfId="506" priority="531">
      <formula>G576 = "Pedidos"</formula>
    </cfRule>
    <cfRule type="expression" dxfId="505" priority="532">
      <formula>G576 = "Estoque"</formula>
    </cfRule>
    <cfRule type="expression" dxfId="504" priority="533">
      <formula>G576 = "Pendente"</formula>
    </cfRule>
    <cfRule type="expression" dxfId="503" priority="534">
      <formula>G576 = "Vendido"</formula>
    </cfRule>
  </conditionalFormatting>
  <conditionalFormatting sqref="G577">
    <cfRule type="expression" dxfId="502" priority="519">
      <formula>G577 ="Loja"</formula>
    </cfRule>
    <cfRule type="expression" dxfId="501" priority="520">
      <formula>G577 ="Entregar"</formula>
    </cfRule>
    <cfRule type="expression" dxfId="500" priority="521">
      <formula>G577 = "Tem que compra"</formula>
    </cfRule>
    <cfRule type="expression" dxfId="499" priority="522">
      <formula>G577 = "Atacado"</formula>
    </cfRule>
    <cfRule type="expression" dxfId="498" priority="523">
      <formula>G577 = "Pedidos"</formula>
    </cfRule>
    <cfRule type="expression" dxfId="497" priority="524">
      <formula>G577 = "Estoque"</formula>
    </cfRule>
    <cfRule type="expression" dxfId="496" priority="525">
      <formula>G577 = "Pendente"</formula>
    </cfRule>
    <cfRule type="expression" dxfId="495" priority="526">
      <formula>G577 = "Vendido"</formula>
    </cfRule>
  </conditionalFormatting>
  <conditionalFormatting sqref="G580">
    <cfRule type="expression" dxfId="494" priority="511">
      <formula>G580 ="Loja"</formula>
    </cfRule>
    <cfRule type="expression" dxfId="493" priority="512">
      <formula>G580 ="Entregar"</formula>
    </cfRule>
    <cfRule type="expression" dxfId="492" priority="513">
      <formula>G580 = "Tem que compra"</formula>
    </cfRule>
    <cfRule type="expression" dxfId="491" priority="514">
      <formula>G580 = "Atacado"</formula>
    </cfRule>
    <cfRule type="expression" dxfId="490" priority="515">
      <formula>G580 = "Pedidos"</formula>
    </cfRule>
    <cfRule type="expression" dxfId="489" priority="516">
      <formula>G580 = "Estoque"</formula>
    </cfRule>
    <cfRule type="expression" dxfId="488" priority="517">
      <formula>G580 = "Pendente"</formula>
    </cfRule>
    <cfRule type="expression" dxfId="487" priority="518">
      <formula>G580 = "Vendido"</formula>
    </cfRule>
  </conditionalFormatting>
  <conditionalFormatting sqref="G581">
    <cfRule type="expression" dxfId="486" priority="503">
      <formula>G581 ="Loja"</formula>
    </cfRule>
    <cfRule type="expression" dxfId="485" priority="504">
      <formula>G581 ="Entregar"</formula>
    </cfRule>
    <cfRule type="expression" dxfId="484" priority="505">
      <formula>G581 = "Tem que compra"</formula>
    </cfRule>
    <cfRule type="expression" dxfId="483" priority="506">
      <formula>G581 = "Atacado"</formula>
    </cfRule>
    <cfRule type="expression" dxfId="482" priority="507">
      <formula>G581 = "Pedidos"</formula>
    </cfRule>
    <cfRule type="expression" dxfId="481" priority="508">
      <formula>G581 = "Estoque"</formula>
    </cfRule>
    <cfRule type="expression" dxfId="480" priority="509">
      <formula>G581 = "Pendente"</formula>
    </cfRule>
    <cfRule type="expression" dxfId="479" priority="510">
      <formula>G581 = "Vendido"</formula>
    </cfRule>
  </conditionalFormatting>
  <conditionalFormatting sqref="G591:G628">
    <cfRule type="expression" dxfId="478" priority="495">
      <formula>G591 ="Loja"</formula>
    </cfRule>
    <cfRule type="expression" dxfId="477" priority="496">
      <formula>G591 ="Entregar"</formula>
    </cfRule>
    <cfRule type="expression" dxfId="476" priority="497">
      <formula>G591 = "Tem que compra"</formula>
    </cfRule>
    <cfRule type="expression" dxfId="475" priority="498">
      <formula>G591 = "Atacado"</formula>
    </cfRule>
    <cfRule type="expression" dxfId="474" priority="499">
      <formula>G591 = "Pedidos"</formula>
    </cfRule>
    <cfRule type="expression" dxfId="473" priority="500">
      <formula>G591 = "Estoque"</formula>
    </cfRule>
    <cfRule type="expression" dxfId="472" priority="501">
      <formula>G591 = "Pendente"</formula>
    </cfRule>
    <cfRule type="expression" dxfId="471" priority="502">
      <formula>G591 = "Vendido"</formula>
    </cfRule>
  </conditionalFormatting>
  <conditionalFormatting sqref="G542">
    <cfRule type="expression" dxfId="470" priority="471">
      <formula>G542 ="Loja"</formula>
    </cfRule>
    <cfRule type="expression" dxfId="469" priority="472">
      <formula>G542 ="Entregar"</formula>
    </cfRule>
    <cfRule type="expression" dxfId="468" priority="473">
      <formula>G542 = "Tem que compra"</formula>
    </cfRule>
    <cfRule type="expression" dxfId="467" priority="474">
      <formula>G542 = "Atacado"</formula>
    </cfRule>
    <cfRule type="expression" dxfId="466" priority="475">
      <formula>G542 = "Pedidos"</formula>
    </cfRule>
    <cfRule type="expression" dxfId="465" priority="476">
      <formula>G542 = "Estoque"</formula>
    </cfRule>
    <cfRule type="expression" dxfId="464" priority="477">
      <formula>G542 = "Pendente"</formula>
    </cfRule>
    <cfRule type="expression" dxfId="463" priority="478">
      <formula>G542 = "Vendido"</formula>
    </cfRule>
  </conditionalFormatting>
  <conditionalFormatting sqref="G541">
    <cfRule type="expression" dxfId="462" priority="463">
      <formula>G541 ="Loja"</formula>
    </cfRule>
    <cfRule type="expression" dxfId="461" priority="464">
      <formula>G541 ="Entregar"</formula>
    </cfRule>
    <cfRule type="expression" dxfId="460" priority="465">
      <formula>G541 = "Tem que compra"</formula>
    </cfRule>
    <cfRule type="expression" dxfId="459" priority="466">
      <formula>G541 = "Atacado"</formula>
    </cfRule>
    <cfRule type="expression" dxfId="458" priority="467">
      <formula>G541 = "Pedidos"</formula>
    </cfRule>
    <cfRule type="expression" dxfId="457" priority="468">
      <formula>G541 = "Estoque"</formula>
    </cfRule>
    <cfRule type="expression" dxfId="456" priority="469">
      <formula>G541 = "Pendente"</formula>
    </cfRule>
    <cfRule type="expression" dxfId="455" priority="470">
      <formula>G541 = "Vendido"</formula>
    </cfRule>
  </conditionalFormatting>
  <conditionalFormatting sqref="G540">
    <cfRule type="expression" dxfId="454" priority="455">
      <formula>G540 ="Loja"</formula>
    </cfRule>
    <cfRule type="expression" dxfId="453" priority="456">
      <formula>G540 ="Entregar"</formula>
    </cfRule>
    <cfRule type="expression" dxfId="452" priority="457">
      <formula>G540 = "Tem que compra"</formula>
    </cfRule>
    <cfRule type="expression" dxfId="451" priority="458">
      <formula>G540 = "Atacado"</formula>
    </cfRule>
    <cfRule type="expression" dxfId="450" priority="459">
      <formula>G540 = "Pedidos"</formula>
    </cfRule>
    <cfRule type="expression" dxfId="449" priority="460">
      <formula>G540 = "Estoque"</formula>
    </cfRule>
    <cfRule type="expression" dxfId="448" priority="461">
      <formula>G540 = "Pendente"</formula>
    </cfRule>
    <cfRule type="expression" dxfId="447" priority="462">
      <formula>G540 = "Vendido"</formula>
    </cfRule>
  </conditionalFormatting>
  <conditionalFormatting sqref="G629">
    <cfRule type="expression" dxfId="446" priority="447">
      <formula>G629 ="Loja"</formula>
    </cfRule>
    <cfRule type="expression" dxfId="445" priority="448">
      <formula>G629 ="Entregar"</formula>
    </cfRule>
    <cfRule type="expression" dxfId="444" priority="449">
      <formula>G629 = "Tem que compra"</formula>
    </cfRule>
    <cfRule type="expression" dxfId="443" priority="450">
      <formula>G629 = "Atacado"</formula>
    </cfRule>
    <cfRule type="expression" dxfId="442" priority="451">
      <formula>G629 = "Pedidos"</formula>
    </cfRule>
    <cfRule type="expression" dxfId="441" priority="452">
      <formula>G629 = "Estoque"</formula>
    </cfRule>
    <cfRule type="expression" dxfId="440" priority="453">
      <formula>G629 = "Pendente"</formula>
    </cfRule>
    <cfRule type="expression" dxfId="439" priority="454">
      <formula>G629 = "Vendido"</formula>
    </cfRule>
  </conditionalFormatting>
  <conditionalFormatting sqref="G630">
    <cfRule type="expression" dxfId="438" priority="439">
      <formula>G630 ="Loja"</formula>
    </cfRule>
    <cfRule type="expression" dxfId="437" priority="440">
      <formula>G630 ="Entregar"</formula>
    </cfRule>
    <cfRule type="expression" dxfId="436" priority="441">
      <formula>G630 = "Tem que compra"</formula>
    </cfRule>
    <cfRule type="expression" dxfId="435" priority="442">
      <formula>G630 = "Atacado"</formula>
    </cfRule>
    <cfRule type="expression" dxfId="434" priority="443">
      <formula>G630 = "Pedidos"</formula>
    </cfRule>
    <cfRule type="expression" dxfId="433" priority="444">
      <formula>G630 = "Estoque"</formula>
    </cfRule>
    <cfRule type="expression" dxfId="432" priority="445">
      <formula>G630 = "Pendente"</formula>
    </cfRule>
    <cfRule type="expression" dxfId="431" priority="446">
      <formula>G630 = "Vendido"</formula>
    </cfRule>
  </conditionalFormatting>
  <conditionalFormatting sqref="G704">
    <cfRule type="expression" dxfId="430" priority="431">
      <formula>G704 ="Loja"</formula>
    </cfRule>
    <cfRule type="expression" dxfId="429" priority="432">
      <formula>G704 ="Entregar"</formula>
    </cfRule>
    <cfRule type="expression" dxfId="428" priority="433">
      <formula>G704 = "Tem que compra"</formula>
    </cfRule>
    <cfRule type="expression" dxfId="427" priority="434">
      <formula>G704 = "Atacado"</formula>
    </cfRule>
    <cfRule type="expression" dxfId="426" priority="435">
      <formula>G704 = "Pedidos"</formula>
    </cfRule>
    <cfRule type="expression" dxfId="425" priority="436">
      <formula>G704 = "Estoque"</formula>
    </cfRule>
    <cfRule type="expression" dxfId="424" priority="437">
      <formula>G704 = "Pendente"</formula>
    </cfRule>
    <cfRule type="expression" dxfId="423" priority="438">
      <formula>G704 = "Vendido"</formula>
    </cfRule>
  </conditionalFormatting>
  <conditionalFormatting sqref="G637">
    <cfRule type="expression" dxfId="422" priority="423">
      <formula>G637 ="Loja"</formula>
    </cfRule>
    <cfRule type="expression" dxfId="421" priority="424">
      <formula>G637 ="Entregar"</formula>
    </cfRule>
    <cfRule type="expression" dxfId="420" priority="425">
      <formula>G637 = "Tem que compra"</formula>
    </cfRule>
    <cfRule type="expression" dxfId="419" priority="426">
      <formula>G637 = "Atacado"</formula>
    </cfRule>
    <cfRule type="expression" dxfId="418" priority="427">
      <formula>G637 = "Pedidos"</formula>
    </cfRule>
    <cfRule type="expression" dxfId="417" priority="428">
      <formula>G637 = "Estoque"</formula>
    </cfRule>
    <cfRule type="expression" dxfId="416" priority="429">
      <formula>G637 = "Pendente"</formula>
    </cfRule>
    <cfRule type="expression" dxfId="415" priority="430">
      <formula>G637 = "Vendido"</formula>
    </cfRule>
  </conditionalFormatting>
  <conditionalFormatting sqref="G638">
    <cfRule type="expression" dxfId="414" priority="415">
      <formula>G638 ="Loja"</formula>
    </cfRule>
    <cfRule type="expression" dxfId="413" priority="416">
      <formula>G638 ="Entregar"</formula>
    </cfRule>
    <cfRule type="expression" dxfId="412" priority="417">
      <formula>G638 = "Tem que compra"</formula>
    </cfRule>
    <cfRule type="expression" dxfId="411" priority="418">
      <formula>G638 = "Atacado"</formula>
    </cfRule>
    <cfRule type="expression" dxfId="410" priority="419">
      <formula>G638 = "Pedidos"</formula>
    </cfRule>
    <cfRule type="expression" dxfId="409" priority="420">
      <formula>G638 = "Estoque"</formula>
    </cfRule>
    <cfRule type="expression" dxfId="408" priority="421">
      <formula>G638 = "Pendente"</formula>
    </cfRule>
    <cfRule type="expression" dxfId="407" priority="422">
      <formula>G638 = "Vendido"</formula>
    </cfRule>
  </conditionalFormatting>
  <conditionalFormatting sqref="G639">
    <cfRule type="expression" dxfId="406" priority="407">
      <formula>G639 ="Loja"</formula>
    </cfRule>
    <cfRule type="expression" dxfId="405" priority="408">
      <formula>G639 ="Entregar"</formula>
    </cfRule>
    <cfRule type="expression" dxfId="404" priority="409">
      <formula>G639 = "Tem que compra"</formula>
    </cfRule>
    <cfRule type="expression" dxfId="403" priority="410">
      <formula>G639 = "Atacado"</formula>
    </cfRule>
    <cfRule type="expression" dxfId="402" priority="411">
      <formula>G639 = "Pedidos"</formula>
    </cfRule>
    <cfRule type="expression" dxfId="401" priority="412">
      <formula>G639 = "Estoque"</formula>
    </cfRule>
    <cfRule type="expression" dxfId="400" priority="413">
      <formula>G639 = "Pendente"</formula>
    </cfRule>
    <cfRule type="expression" dxfId="399" priority="414">
      <formula>G639 = "Vendido"</formula>
    </cfRule>
  </conditionalFormatting>
  <conditionalFormatting sqref="G641">
    <cfRule type="expression" dxfId="398" priority="399">
      <formula>G641 ="Loja"</formula>
    </cfRule>
    <cfRule type="expression" dxfId="397" priority="400">
      <formula>G641 ="Entregar"</formula>
    </cfRule>
    <cfRule type="expression" dxfId="396" priority="401">
      <formula>G641 = "Tem que compra"</formula>
    </cfRule>
    <cfRule type="expression" dxfId="395" priority="402">
      <formula>G641 = "Atacado"</formula>
    </cfRule>
    <cfRule type="expression" dxfId="394" priority="403">
      <formula>G641 = "Pedidos"</formula>
    </cfRule>
    <cfRule type="expression" dxfId="393" priority="404">
      <formula>G641 = "Estoque"</formula>
    </cfRule>
    <cfRule type="expression" dxfId="392" priority="405">
      <formula>G641 = "Pendente"</formula>
    </cfRule>
    <cfRule type="expression" dxfId="391" priority="406">
      <formula>G641 = "Vendido"</formula>
    </cfRule>
  </conditionalFormatting>
  <conditionalFormatting sqref="G643">
    <cfRule type="expression" dxfId="390" priority="391">
      <formula>G643 ="Loja"</formula>
    </cfRule>
    <cfRule type="expression" dxfId="389" priority="392">
      <formula>G643 ="Entregar"</formula>
    </cfRule>
    <cfRule type="expression" dxfId="388" priority="393">
      <formula>G643 = "Tem que compra"</formula>
    </cfRule>
    <cfRule type="expression" dxfId="387" priority="394">
      <formula>G643 = "Atacado"</formula>
    </cfRule>
    <cfRule type="expression" dxfId="386" priority="395">
      <formula>G643 = "Pedidos"</formula>
    </cfRule>
    <cfRule type="expression" dxfId="385" priority="396">
      <formula>G643 = "Estoque"</formula>
    </cfRule>
    <cfRule type="expression" dxfId="384" priority="397">
      <formula>G643 = "Pendente"</formula>
    </cfRule>
    <cfRule type="expression" dxfId="383" priority="398">
      <formula>G643 = "Vendido"</formula>
    </cfRule>
  </conditionalFormatting>
  <conditionalFormatting sqref="G644">
    <cfRule type="expression" dxfId="382" priority="383">
      <formula>G644 ="Loja"</formula>
    </cfRule>
    <cfRule type="expression" dxfId="381" priority="384">
      <formula>G644 ="Entregar"</formula>
    </cfRule>
    <cfRule type="expression" dxfId="380" priority="385">
      <formula>G644 = "Tem que compra"</formula>
    </cfRule>
    <cfRule type="expression" dxfId="379" priority="386">
      <formula>G644 = "Atacado"</formula>
    </cfRule>
    <cfRule type="expression" dxfId="378" priority="387">
      <formula>G644 = "Pedidos"</formula>
    </cfRule>
    <cfRule type="expression" dxfId="377" priority="388">
      <formula>G644 = "Estoque"</formula>
    </cfRule>
    <cfRule type="expression" dxfId="376" priority="389">
      <formula>G644 = "Pendente"</formula>
    </cfRule>
    <cfRule type="expression" dxfId="375" priority="390">
      <formula>G644 = "Vendido"</formula>
    </cfRule>
  </conditionalFormatting>
  <conditionalFormatting sqref="G645">
    <cfRule type="expression" dxfId="374" priority="375">
      <formula>G645 ="Loja"</formula>
    </cfRule>
    <cfRule type="expression" dxfId="373" priority="376">
      <formula>G645 ="Entregar"</formula>
    </cfRule>
    <cfRule type="expression" dxfId="372" priority="377">
      <formula>G645 = "Tem que compra"</formula>
    </cfRule>
    <cfRule type="expression" dxfId="371" priority="378">
      <formula>G645 = "Atacado"</formula>
    </cfRule>
    <cfRule type="expression" dxfId="370" priority="379">
      <formula>G645 = "Pedidos"</formula>
    </cfRule>
    <cfRule type="expression" dxfId="369" priority="380">
      <formula>G645 = "Estoque"</formula>
    </cfRule>
    <cfRule type="expression" dxfId="368" priority="381">
      <formula>G645 = "Pendente"</formula>
    </cfRule>
    <cfRule type="expression" dxfId="367" priority="382">
      <formula>G645 = "Vendido"</formula>
    </cfRule>
  </conditionalFormatting>
  <conditionalFormatting sqref="G647">
    <cfRule type="expression" dxfId="366" priority="367">
      <formula>G647 ="Loja"</formula>
    </cfRule>
    <cfRule type="expression" dxfId="365" priority="368">
      <formula>G647 ="Entregar"</formula>
    </cfRule>
    <cfRule type="expression" dxfId="364" priority="369">
      <formula>G647 = "Tem que compra"</formula>
    </cfRule>
    <cfRule type="expression" dxfId="363" priority="370">
      <formula>G647 = "Atacado"</formula>
    </cfRule>
    <cfRule type="expression" dxfId="362" priority="371">
      <formula>G647 = "Pedidos"</formula>
    </cfRule>
    <cfRule type="expression" dxfId="361" priority="372">
      <formula>G647 = "Estoque"</formula>
    </cfRule>
    <cfRule type="expression" dxfId="360" priority="373">
      <formula>G647 = "Pendente"</formula>
    </cfRule>
    <cfRule type="expression" dxfId="359" priority="374">
      <formula>G647 = "Vendido"</formula>
    </cfRule>
  </conditionalFormatting>
  <conditionalFormatting sqref="G648">
    <cfRule type="expression" dxfId="358" priority="359">
      <formula>G648 ="Loja"</formula>
    </cfRule>
    <cfRule type="expression" dxfId="357" priority="360">
      <formula>G648 ="Entregar"</formula>
    </cfRule>
    <cfRule type="expression" dxfId="356" priority="361">
      <formula>G648 = "Tem que compra"</formula>
    </cfRule>
    <cfRule type="expression" dxfId="355" priority="362">
      <formula>G648 = "Atacado"</formula>
    </cfRule>
    <cfRule type="expression" dxfId="354" priority="363">
      <formula>G648 = "Pedidos"</formula>
    </cfRule>
    <cfRule type="expression" dxfId="353" priority="364">
      <formula>G648 = "Estoque"</formula>
    </cfRule>
    <cfRule type="expression" dxfId="352" priority="365">
      <formula>G648 = "Pendente"</formula>
    </cfRule>
    <cfRule type="expression" dxfId="351" priority="366">
      <formula>G648 = "Vendido"</formula>
    </cfRule>
  </conditionalFormatting>
  <conditionalFormatting sqref="G654">
    <cfRule type="expression" dxfId="350" priority="351">
      <formula>G654 ="Loja"</formula>
    </cfRule>
    <cfRule type="expression" dxfId="349" priority="352">
      <formula>G654 ="Entregar"</formula>
    </cfRule>
    <cfRule type="expression" dxfId="348" priority="353">
      <formula>G654 = "Tem que compra"</formula>
    </cfRule>
    <cfRule type="expression" dxfId="347" priority="354">
      <formula>G654 = "Atacado"</formula>
    </cfRule>
    <cfRule type="expression" dxfId="346" priority="355">
      <formula>G654 = "Pedidos"</formula>
    </cfRule>
    <cfRule type="expression" dxfId="345" priority="356">
      <formula>G654 = "Estoque"</formula>
    </cfRule>
    <cfRule type="expression" dxfId="344" priority="357">
      <formula>G654 = "Pendente"</formula>
    </cfRule>
    <cfRule type="expression" dxfId="343" priority="358">
      <formula>G654 = "Vendido"</formula>
    </cfRule>
  </conditionalFormatting>
  <conditionalFormatting sqref="G655">
    <cfRule type="expression" dxfId="342" priority="343">
      <formula>G655 ="Loja"</formula>
    </cfRule>
    <cfRule type="expression" dxfId="341" priority="344">
      <formula>G655 ="Entregar"</formula>
    </cfRule>
    <cfRule type="expression" dxfId="340" priority="345">
      <formula>G655 = "Tem que compra"</formula>
    </cfRule>
    <cfRule type="expression" dxfId="339" priority="346">
      <formula>G655 = "Atacado"</formula>
    </cfRule>
    <cfRule type="expression" dxfId="338" priority="347">
      <formula>G655 = "Pedidos"</formula>
    </cfRule>
    <cfRule type="expression" dxfId="337" priority="348">
      <formula>G655 = "Estoque"</formula>
    </cfRule>
    <cfRule type="expression" dxfId="336" priority="349">
      <formula>G655 = "Pendente"</formula>
    </cfRule>
    <cfRule type="expression" dxfId="335" priority="350">
      <formula>G655 = "Vendido"</formula>
    </cfRule>
  </conditionalFormatting>
  <conditionalFormatting sqref="G656">
    <cfRule type="expression" dxfId="334" priority="335">
      <formula>G656 ="Loja"</formula>
    </cfRule>
    <cfRule type="expression" dxfId="333" priority="336">
      <formula>G656 ="Entregar"</formula>
    </cfRule>
    <cfRule type="expression" dxfId="332" priority="337">
      <formula>G656 = "Tem que compra"</formula>
    </cfRule>
    <cfRule type="expression" dxfId="331" priority="338">
      <formula>G656 = "Atacado"</formula>
    </cfRule>
    <cfRule type="expression" dxfId="330" priority="339">
      <formula>G656 = "Pedidos"</formula>
    </cfRule>
    <cfRule type="expression" dxfId="329" priority="340">
      <formula>G656 = "Estoque"</formula>
    </cfRule>
    <cfRule type="expression" dxfId="328" priority="341">
      <formula>G656 = "Pendente"</formula>
    </cfRule>
    <cfRule type="expression" dxfId="327" priority="342">
      <formula>G656 = "Vendido"</formula>
    </cfRule>
  </conditionalFormatting>
  <conditionalFormatting sqref="G657">
    <cfRule type="expression" dxfId="326" priority="327">
      <formula>G657 ="Loja"</formula>
    </cfRule>
    <cfRule type="expression" dxfId="325" priority="328">
      <formula>G657 ="Entregar"</formula>
    </cfRule>
    <cfRule type="expression" dxfId="324" priority="329">
      <formula>G657 = "Tem que compra"</formula>
    </cfRule>
    <cfRule type="expression" dxfId="323" priority="330">
      <formula>G657 = "Atacado"</formula>
    </cfRule>
    <cfRule type="expression" dxfId="322" priority="331">
      <formula>G657 = "Pedidos"</formula>
    </cfRule>
    <cfRule type="expression" dxfId="321" priority="332">
      <formula>G657 = "Estoque"</formula>
    </cfRule>
    <cfRule type="expression" dxfId="320" priority="333">
      <formula>G657 = "Pendente"</formula>
    </cfRule>
    <cfRule type="expression" dxfId="319" priority="334">
      <formula>G657 = "Vendido"</formula>
    </cfRule>
  </conditionalFormatting>
  <conditionalFormatting sqref="G658">
    <cfRule type="expression" dxfId="318" priority="319">
      <formula>G658 ="Loja"</formula>
    </cfRule>
    <cfRule type="expression" dxfId="317" priority="320">
      <formula>G658 ="Entregar"</formula>
    </cfRule>
    <cfRule type="expression" dxfId="316" priority="321">
      <formula>G658 = "Tem que compra"</formula>
    </cfRule>
    <cfRule type="expression" dxfId="315" priority="322">
      <formula>G658 = "Atacado"</formula>
    </cfRule>
    <cfRule type="expression" dxfId="314" priority="323">
      <formula>G658 = "Pedidos"</formula>
    </cfRule>
    <cfRule type="expression" dxfId="313" priority="324">
      <formula>G658 = "Estoque"</formula>
    </cfRule>
    <cfRule type="expression" dxfId="312" priority="325">
      <formula>G658 = "Pendente"</formula>
    </cfRule>
    <cfRule type="expression" dxfId="311" priority="326">
      <formula>G658 = "Vendido"</formula>
    </cfRule>
  </conditionalFormatting>
  <conditionalFormatting sqref="G661">
    <cfRule type="expression" dxfId="310" priority="311">
      <formula>G661 ="Loja"</formula>
    </cfRule>
    <cfRule type="expression" dxfId="309" priority="312">
      <formula>G661 ="Entregar"</formula>
    </cfRule>
    <cfRule type="expression" dxfId="308" priority="313">
      <formula>G661 = "Tem que compra"</formula>
    </cfRule>
    <cfRule type="expression" dxfId="307" priority="314">
      <formula>G661 = "Atacado"</formula>
    </cfRule>
    <cfRule type="expression" dxfId="306" priority="315">
      <formula>G661 = "Pedidos"</formula>
    </cfRule>
    <cfRule type="expression" dxfId="305" priority="316">
      <formula>G661 = "Estoque"</formula>
    </cfRule>
    <cfRule type="expression" dxfId="304" priority="317">
      <formula>G661 = "Pendente"</formula>
    </cfRule>
    <cfRule type="expression" dxfId="303" priority="318">
      <formula>G661 = "Vendido"</formula>
    </cfRule>
  </conditionalFormatting>
  <conditionalFormatting sqref="G662">
    <cfRule type="expression" dxfId="302" priority="303">
      <formula>G662 ="Loja"</formula>
    </cfRule>
    <cfRule type="expression" dxfId="301" priority="304">
      <formula>G662 ="Entregar"</formula>
    </cfRule>
    <cfRule type="expression" dxfId="300" priority="305">
      <formula>G662 = "Tem que compra"</formula>
    </cfRule>
    <cfRule type="expression" dxfId="299" priority="306">
      <formula>G662 = "Atacado"</formula>
    </cfRule>
    <cfRule type="expression" dxfId="298" priority="307">
      <formula>G662 = "Pedidos"</formula>
    </cfRule>
    <cfRule type="expression" dxfId="297" priority="308">
      <formula>G662 = "Estoque"</formula>
    </cfRule>
    <cfRule type="expression" dxfId="296" priority="309">
      <formula>G662 = "Pendente"</formula>
    </cfRule>
    <cfRule type="expression" dxfId="295" priority="310">
      <formula>G662 = "Vendido"</formula>
    </cfRule>
  </conditionalFormatting>
  <conditionalFormatting sqref="G663">
    <cfRule type="expression" dxfId="294" priority="295">
      <formula>G663 ="Loja"</formula>
    </cfRule>
    <cfRule type="expression" dxfId="293" priority="296">
      <formula>G663 ="Entregar"</formula>
    </cfRule>
    <cfRule type="expression" dxfId="292" priority="297">
      <formula>G663 = "Tem que compra"</formula>
    </cfRule>
    <cfRule type="expression" dxfId="291" priority="298">
      <formula>G663 = "Atacado"</formula>
    </cfRule>
    <cfRule type="expression" dxfId="290" priority="299">
      <formula>G663 = "Pedidos"</formula>
    </cfRule>
    <cfRule type="expression" dxfId="289" priority="300">
      <formula>G663 = "Estoque"</formula>
    </cfRule>
    <cfRule type="expression" dxfId="288" priority="301">
      <formula>G663 = "Pendente"</formula>
    </cfRule>
    <cfRule type="expression" dxfId="287" priority="302">
      <formula>G663 = "Vendido"</formula>
    </cfRule>
  </conditionalFormatting>
  <conditionalFormatting sqref="G705 G709 G711:G714 G717:G728">
    <cfRule type="expression" dxfId="286" priority="265">
      <formula>G705 ="Loja"</formula>
    </cfRule>
    <cfRule type="expression" dxfId="285" priority="266">
      <formula>G705 ="Entregar"</formula>
    </cfRule>
    <cfRule type="expression" dxfId="284" priority="267">
      <formula>G705 = "Tem que compra"</formula>
    </cfRule>
    <cfRule type="expression" dxfId="283" priority="268">
      <formula>G705 = "Atacado"</formula>
    </cfRule>
    <cfRule type="expression" dxfId="282" priority="269">
      <formula>G705 = "Pedidos"</formula>
    </cfRule>
    <cfRule type="expression" dxfId="281" priority="270">
      <formula>G705 = "Estoque"</formula>
    </cfRule>
    <cfRule type="expression" dxfId="280" priority="271">
      <formula>G705 = "Pendente"</formula>
    </cfRule>
    <cfRule type="expression" dxfId="279" priority="272">
      <formula>G705 = "Vendido"</formula>
    </cfRule>
  </conditionalFormatting>
  <conditionalFormatting sqref="G706">
    <cfRule type="expression" dxfId="278" priority="257">
      <formula>G706 ="Loja"</formula>
    </cfRule>
    <cfRule type="expression" dxfId="277" priority="258">
      <formula>G706 ="Entregar"</formula>
    </cfRule>
    <cfRule type="expression" dxfId="276" priority="259">
      <formula>G706 = "Tem que compra"</formula>
    </cfRule>
    <cfRule type="expression" dxfId="275" priority="260">
      <formula>G706 = "Atacado"</formula>
    </cfRule>
    <cfRule type="expression" dxfId="274" priority="261">
      <formula>G706 = "Pedidos"</formula>
    </cfRule>
    <cfRule type="expression" dxfId="273" priority="262">
      <formula>G706 = "Estoque"</formula>
    </cfRule>
    <cfRule type="expression" dxfId="272" priority="263">
      <formula>G706 = "Pendente"</formula>
    </cfRule>
    <cfRule type="expression" dxfId="271" priority="264">
      <formula>G706 = "Vendido"</formula>
    </cfRule>
  </conditionalFormatting>
  <conditionalFormatting sqref="G706">
    <cfRule type="expression" dxfId="270" priority="249">
      <formula>G706 ="Loja"</formula>
    </cfRule>
    <cfRule type="expression" dxfId="269" priority="250">
      <formula>G706 ="Entregar"</formula>
    </cfRule>
    <cfRule type="expression" dxfId="268" priority="251">
      <formula>G706 = "Tem que compra"</formula>
    </cfRule>
    <cfRule type="expression" dxfId="267" priority="252">
      <formula>G706 = "Atacado"</formula>
    </cfRule>
    <cfRule type="expression" dxfId="266" priority="253">
      <formula>G706 = "Pedidos"</formula>
    </cfRule>
    <cfRule type="expression" dxfId="265" priority="254">
      <formula>G706 = "Estoque"</formula>
    </cfRule>
    <cfRule type="expression" dxfId="264" priority="255">
      <formula>G706 = "Pendente"</formula>
    </cfRule>
    <cfRule type="expression" dxfId="263" priority="256">
      <formula>G706 = "Vendido"</formula>
    </cfRule>
  </conditionalFormatting>
  <conditionalFormatting sqref="G707">
    <cfRule type="expression" dxfId="262" priority="241">
      <formula>G707 ="Loja"</formula>
    </cfRule>
    <cfRule type="expression" dxfId="261" priority="242">
      <formula>G707 ="Entregar"</formula>
    </cfRule>
    <cfRule type="expression" dxfId="260" priority="243">
      <formula>G707 = "Tem que compra"</formula>
    </cfRule>
    <cfRule type="expression" dxfId="259" priority="244">
      <formula>G707 = "Atacado"</formula>
    </cfRule>
    <cfRule type="expression" dxfId="258" priority="245">
      <formula>G707 = "Pedidos"</formula>
    </cfRule>
    <cfRule type="expression" dxfId="257" priority="246">
      <formula>G707 = "Estoque"</formula>
    </cfRule>
    <cfRule type="expression" dxfId="256" priority="247">
      <formula>G707 = "Pendente"</formula>
    </cfRule>
    <cfRule type="expression" dxfId="255" priority="248">
      <formula>G707 = "Vendido"</formula>
    </cfRule>
  </conditionalFormatting>
  <conditionalFormatting sqref="G707">
    <cfRule type="expression" dxfId="254" priority="233">
      <formula>G707 ="Loja"</formula>
    </cfRule>
    <cfRule type="expression" dxfId="253" priority="234">
      <formula>G707 ="Entregar"</formula>
    </cfRule>
    <cfRule type="expression" dxfId="252" priority="235">
      <formula>G707 = "Tem que compra"</formula>
    </cfRule>
    <cfRule type="expression" dxfId="251" priority="236">
      <formula>G707 = "Atacado"</formula>
    </cfRule>
    <cfRule type="expression" dxfId="250" priority="237">
      <formula>G707 = "Pedidos"</formula>
    </cfRule>
    <cfRule type="expression" dxfId="249" priority="238">
      <formula>G707 = "Estoque"</formula>
    </cfRule>
    <cfRule type="expression" dxfId="248" priority="239">
      <formula>G707 = "Pendente"</formula>
    </cfRule>
    <cfRule type="expression" dxfId="247" priority="240">
      <formula>G707 = "Vendido"</formula>
    </cfRule>
  </conditionalFormatting>
  <conditionalFormatting sqref="G708">
    <cfRule type="expression" dxfId="246" priority="225">
      <formula>G708 ="Loja"</formula>
    </cfRule>
    <cfRule type="expression" dxfId="245" priority="226">
      <formula>G708 ="Entregar"</formula>
    </cfRule>
    <cfRule type="expression" dxfId="244" priority="227">
      <formula>G708 = "Tem que compra"</formula>
    </cfRule>
    <cfRule type="expression" dxfId="243" priority="228">
      <formula>G708 = "Atacado"</formula>
    </cfRule>
    <cfRule type="expression" dxfId="242" priority="229">
      <formula>G708 = "Pedidos"</formula>
    </cfRule>
    <cfRule type="expression" dxfId="241" priority="230">
      <formula>G708 = "Estoque"</formula>
    </cfRule>
    <cfRule type="expression" dxfId="240" priority="231">
      <formula>G708 = "Pendente"</formula>
    </cfRule>
    <cfRule type="expression" dxfId="239" priority="232">
      <formula>G708 = "Vendido"</formula>
    </cfRule>
  </conditionalFormatting>
  <conditionalFormatting sqref="G708">
    <cfRule type="expression" dxfId="238" priority="217">
      <formula>G708 ="Loja"</formula>
    </cfRule>
    <cfRule type="expression" dxfId="237" priority="218">
      <formula>G708 ="Entregar"</formula>
    </cfRule>
    <cfRule type="expression" dxfId="236" priority="219">
      <formula>G708 = "Tem que compra"</formula>
    </cfRule>
    <cfRule type="expression" dxfId="235" priority="220">
      <formula>G708 = "Atacado"</formula>
    </cfRule>
    <cfRule type="expression" dxfId="234" priority="221">
      <formula>G708 = "Pedidos"</formula>
    </cfRule>
    <cfRule type="expression" dxfId="233" priority="222">
      <formula>G708 = "Estoque"</formula>
    </cfRule>
    <cfRule type="expression" dxfId="232" priority="223">
      <formula>G708 = "Pendente"</formula>
    </cfRule>
    <cfRule type="expression" dxfId="231" priority="224">
      <formula>G708 = "Vendido"</formula>
    </cfRule>
  </conditionalFormatting>
  <conditionalFormatting sqref="G710">
    <cfRule type="expression" dxfId="230" priority="209">
      <formula>G710 ="Loja"</formula>
    </cfRule>
    <cfRule type="expression" dxfId="229" priority="210">
      <formula>G710 ="Entregar"</formula>
    </cfRule>
    <cfRule type="expression" dxfId="228" priority="211">
      <formula>G710 = "Tem que compra"</formula>
    </cfRule>
    <cfRule type="expression" dxfId="227" priority="212">
      <formula>G710 = "Atacado"</formula>
    </cfRule>
    <cfRule type="expression" dxfId="226" priority="213">
      <formula>G710 = "Pedidos"</formula>
    </cfRule>
    <cfRule type="expression" dxfId="225" priority="214">
      <formula>G710 = "Estoque"</formula>
    </cfRule>
    <cfRule type="expression" dxfId="224" priority="215">
      <formula>G710 = "Pendente"</formula>
    </cfRule>
    <cfRule type="expression" dxfId="223" priority="216">
      <formula>G710 = "Vendido"</formula>
    </cfRule>
  </conditionalFormatting>
  <conditionalFormatting sqref="G710">
    <cfRule type="expression" dxfId="222" priority="201">
      <formula>G710 ="Loja"</formula>
    </cfRule>
    <cfRule type="expression" dxfId="221" priority="202">
      <formula>G710 ="Entregar"</formula>
    </cfRule>
    <cfRule type="expression" dxfId="220" priority="203">
      <formula>G710 = "Tem que compra"</formula>
    </cfRule>
    <cfRule type="expression" dxfId="219" priority="204">
      <formula>G710 = "Atacado"</formula>
    </cfRule>
    <cfRule type="expression" dxfId="218" priority="205">
      <formula>G710 = "Pedidos"</formula>
    </cfRule>
    <cfRule type="expression" dxfId="217" priority="206">
      <formula>G710 = "Estoque"</formula>
    </cfRule>
    <cfRule type="expression" dxfId="216" priority="207">
      <formula>G710 = "Pendente"</formula>
    </cfRule>
    <cfRule type="expression" dxfId="215" priority="208">
      <formula>G710 = "Vendido"</formula>
    </cfRule>
  </conditionalFormatting>
  <conditionalFormatting sqref="G715">
    <cfRule type="expression" dxfId="214" priority="193">
      <formula>G715 ="Loja"</formula>
    </cfRule>
    <cfRule type="expression" dxfId="213" priority="194">
      <formula>G715 ="Entregar"</formula>
    </cfRule>
    <cfRule type="expression" dxfId="212" priority="195">
      <formula>G715 = "Tem que compra"</formula>
    </cfRule>
    <cfRule type="expression" dxfId="211" priority="196">
      <formula>G715 = "Atacado"</formula>
    </cfRule>
    <cfRule type="expression" dxfId="210" priority="197">
      <formula>G715 = "Pedidos"</formula>
    </cfRule>
    <cfRule type="expression" dxfId="209" priority="198">
      <formula>G715 = "Estoque"</formula>
    </cfRule>
    <cfRule type="expression" dxfId="208" priority="199">
      <formula>G715 = "Pendente"</formula>
    </cfRule>
    <cfRule type="expression" dxfId="207" priority="200">
      <formula>G715 = "Vendido"</formula>
    </cfRule>
  </conditionalFormatting>
  <conditionalFormatting sqref="G716">
    <cfRule type="expression" dxfId="206" priority="185">
      <formula>G716 ="Loja"</formula>
    </cfRule>
    <cfRule type="expression" dxfId="205" priority="186">
      <formula>G716 ="Entregar"</formula>
    </cfRule>
    <cfRule type="expression" dxfId="204" priority="187">
      <formula>G716 = "Tem que compra"</formula>
    </cfRule>
    <cfRule type="expression" dxfId="203" priority="188">
      <formula>G716 = "Atacado"</formula>
    </cfRule>
    <cfRule type="expression" dxfId="202" priority="189">
      <formula>G716 = "Pedidos"</formula>
    </cfRule>
    <cfRule type="expression" dxfId="201" priority="190">
      <formula>G716 = "Estoque"</formula>
    </cfRule>
    <cfRule type="expression" dxfId="200" priority="191">
      <formula>G716 = "Pendente"</formula>
    </cfRule>
    <cfRule type="expression" dxfId="199" priority="192">
      <formula>G716 = "Vendido"</formula>
    </cfRule>
  </conditionalFormatting>
  <conditionalFormatting sqref="G729:G773">
    <cfRule type="expression" dxfId="198" priority="177">
      <formula>G729 ="Loja"</formula>
    </cfRule>
    <cfRule type="expression" dxfId="197" priority="178">
      <formula>G729 ="Entregar"</formula>
    </cfRule>
    <cfRule type="expression" dxfId="196" priority="179">
      <formula>G729 = "Tem que compra"</formula>
    </cfRule>
    <cfRule type="expression" dxfId="195" priority="180">
      <formula>G729 = "Atacado"</formula>
    </cfRule>
    <cfRule type="expression" dxfId="194" priority="181">
      <formula>G729 = "Pedidos"</formula>
    </cfRule>
    <cfRule type="expression" dxfId="193" priority="182">
      <formula>G729 = "Estoque"</formula>
    </cfRule>
    <cfRule type="expression" dxfId="192" priority="183">
      <formula>G729 = "Pendente"</formula>
    </cfRule>
    <cfRule type="expression" dxfId="191" priority="184">
      <formula>G729 = "Vendido"</formula>
    </cfRule>
  </conditionalFormatting>
  <conditionalFormatting sqref="G787:G832">
    <cfRule type="expression" dxfId="190" priority="127">
      <formula>G787 = "Pedidos"</formula>
    </cfRule>
    <cfRule type="expression" dxfId="189" priority="128">
      <formula>G787 = "Estoque"</formula>
    </cfRule>
    <cfRule type="expression" dxfId="188" priority="129">
      <formula>G787 = "Pendente"</formula>
    </cfRule>
    <cfRule type="expression" dxfId="187" priority="130">
      <formula>G787 = "Vendido"</formula>
    </cfRule>
  </conditionalFormatting>
  <conditionalFormatting sqref="L1">
    <cfRule type="expression" dxfId="186" priority="72">
      <formula>L1 = "Tem que compra"</formula>
    </cfRule>
    <cfRule type="expression" dxfId="185" priority="73">
      <formula>L1 = "Pedidos"</formula>
    </cfRule>
    <cfRule type="expression" dxfId="184" priority="74">
      <formula>L1 = "Estoque"</formula>
    </cfRule>
    <cfRule type="expression" dxfId="183" priority="75">
      <formula>L1 = "Pendente"</formula>
    </cfRule>
    <cfRule type="expression" dxfId="182" priority="76">
      <formula>L1 = "Vendido"</formula>
    </cfRule>
  </conditionalFormatting>
  <conditionalFormatting sqref="L1">
    <cfRule type="expression" dxfId="181" priority="85">
      <formula>L1 ="Loja"</formula>
    </cfRule>
    <cfRule type="expression" dxfId="180" priority="86">
      <formula>L1 ="Entregar"</formula>
    </cfRule>
    <cfRule type="expression" dxfId="179" priority="87">
      <formula>L1 = "Tem que compra"</formula>
    </cfRule>
    <cfRule type="expression" dxfId="178" priority="88">
      <formula>L1 = "Atacado"</formula>
    </cfRule>
    <cfRule type="expression" dxfId="177" priority="89">
      <formula>L1 = "Pedidos"</formula>
    </cfRule>
    <cfRule type="expression" dxfId="176" priority="90">
      <formula>L1 = "Estoque"</formula>
    </cfRule>
    <cfRule type="expression" dxfId="175" priority="91">
      <formula>L1 = "Pendente"</formula>
    </cfRule>
    <cfRule type="expression" dxfId="174" priority="92">
      <formula>L1 = "Vendido"</formula>
    </cfRule>
  </conditionalFormatting>
  <conditionalFormatting sqref="L1">
    <cfRule type="expression" dxfId="173" priority="77">
      <formula>L1 ="Loja"</formula>
    </cfRule>
    <cfRule type="expression" dxfId="172" priority="78">
      <formula>L1 ="Entregar"</formula>
    </cfRule>
    <cfRule type="expression" dxfId="171" priority="79">
      <formula>L1 = "Tem que compra"</formula>
    </cfRule>
    <cfRule type="expression" dxfId="170" priority="80">
      <formula>L1 = "Atacado"</formula>
    </cfRule>
    <cfRule type="expression" dxfId="169" priority="81">
      <formula>L1 = "Pedidos"</formula>
    </cfRule>
    <cfRule type="expression" dxfId="168" priority="82">
      <formula>L1 = "Estoque"</formula>
    </cfRule>
    <cfRule type="expression" dxfId="167" priority="83">
      <formula>L1 = "Pendente"</formula>
    </cfRule>
    <cfRule type="expression" dxfId="166" priority="84">
      <formula>L1 = "Vendido"</formula>
    </cfRule>
  </conditionalFormatting>
  <conditionalFormatting sqref="F2:F831">
    <cfRule type="cellIs" dxfId="165" priority="71" operator="greaterThan">
      <formula>1000</formula>
    </cfRule>
  </conditionalFormatting>
  <conditionalFormatting sqref="B1">
    <cfRule type="expression" dxfId="164" priority="25">
      <formula>#REF! = "Entregar"</formula>
    </cfRule>
    <cfRule type="expression" dxfId="163" priority="26">
      <formula>#REF! = "Vendido"</formula>
    </cfRule>
    <cfRule type="expression" dxfId="162" priority="27">
      <formula>#REF! = "Estoque"</formula>
    </cfRule>
    <cfRule type="expression" dxfId="161" priority="28">
      <formula>#REF! = "Pendente"</formula>
    </cfRule>
    <cfRule type="expression" dxfId="160" priority="29">
      <formula>#REF! = "Tem que compra"</formula>
    </cfRule>
    <cfRule type="expression" dxfId="159" priority="30">
      <formula>#REF! = "Atacado"</formula>
    </cfRule>
  </conditionalFormatting>
  <conditionalFormatting sqref="K1:K5 K7:K1048576">
    <cfRule type="duplicateValues" dxfId="158" priority="24"/>
  </conditionalFormatting>
  <conditionalFormatting sqref="Q2:Q412">
    <cfRule type="duplicateValues" dxfId="157" priority="23"/>
  </conditionalFormatting>
  <conditionalFormatting sqref="R1">
    <cfRule type="expression" dxfId="156" priority="2">
      <formula>R1 = "Tem que compra"</formula>
    </cfRule>
    <cfRule type="expression" dxfId="155" priority="3">
      <formula>R1 = "Pedidos"</formula>
    </cfRule>
    <cfRule type="expression" dxfId="154" priority="4">
      <formula>R1 = "Estoque"</formula>
    </cfRule>
    <cfRule type="expression" dxfId="153" priority="5">
      <formula>R1 = "Pendente"</formula>
    </cfRule>
    <cfRule type="expression" dxfId="152" priority="6">
      <formula>R1 = "Vendido"</formula>
    </cfRule>
  </conditionalFormatting>
  <conditionalFormatting sqref="R1">
    <cfRule type="expression" dxfId="151" priority="15">
      <formula>R1 ="Loja"</formula>
    </cfRule>
    <cfRule type="expression" dxfId="150" priority="16">
      <formula>R1 ="Entregar"</formula>
    </cfRule>
    <cfRule type="expression" dxfId="149" priority="17">
      <formula>R1 = "Tem que compra"</formula>
    </cfRule>
    <cfRule type="expression" dxfId="148" priority="18">
      <formula>R1 = "Atacado"</formula>
    </cfRule>
    <cfRule type="expression" dxfId="147" priority="19">
      <formula>R1 = "Pedidos"</formula>
    </cfRule>
    <cfRule type="expression" dxfId="146" priority="20">
      <formula>R1 = "Estoque"</formula>
    </cfRule>
    <cfRule type="expression" dxfId="145" priority="21">
      <formula>R1 = "Pendente"</formula>
    </cfRule>
    <cfRule type="expression" dxfId="144" priority="22">
      <formula>R1 = "Vendido"</formula>
    </cfRule>
  </conditionalFormatting>
  <conditionalFormatting sqref="R1">
    <cfRule type="expression" dxfId="143" priority="7">
      <formula>R1 ="Loja"</formula>
    </cfRule>
    <cfRule type="expression" dxfId="142" priority="8">
      <formula>R1 ="Entregar"</formula>
    </cfRule>
    <cfRule type="expression" dxfId="141" priority="9">
      <formula>R1 = "Tem que compra"</formula>
    </cfRule>
    <cfRule type="expression" dxfId="140" priority="10">
      <formula>R1 = "Atacado"</formula>
    </cfRule>
    <cfRule type="expression" dxfId="139" priority="11">
      <formula>R1 = "Pedidos"</formula>
    </cfRule>
    <cfRule type="expression" dxfId="138" priority="12">
      <formula>R1 = "Estoque"</formula>
    </cfRule>
    <cfRule type="expression" dxfId="137" priority="13">
      <formula>R1 = "Pendente"</formula>
    </cfRule>
    <cfRule type="expression" dxfId="136" priority="14">
      <formula>R1 = "Vendido"</formula>
    </cfRule>
  </conditionalFormatting>
  <conditionalFormatting sqref="Q1">
    <cfRule type="duplicateValues" dxfId="135" priority="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CDD8-ADE0-45CE-A10B-D80DBB940B1F}">
  <dimension ref="A1:G23"/>
  <sheetViews>
    <sheetView tabSelected="1" topLeftCell="A10" workbookViewId="0">
      <selection activeCell="G7" sqref="G7"/>
    </sheetView>
  </sheetViews>
  <sheetFormatPr defaultRowHeight="15" x14ac:dyDescent="0.25"/>
  <cols>
    <col min="1" max="1" width="44.5703125" bestFit="1" customWidth="1"/>
    <col min="2" max="2" width="14.140625" style="154" bestFit="1" customWidth="1"/>
    <col min="3" max="4" width="16.28515625" style="114" bestFit="1" customWidth="1"/>
    <col min="5" max="5" width="12.7109375" style="114" bestFit="1" customWidth="1"/>
    <col min="6" max="6" width="12.7109375" style="157" bestFit="1" customWidth="1"/>
    <col min="7" max="7" width="7.7109375" bestFit="1" customWidth="1"/>
  </cols>
  <sheetData>
    <row r="1" spans="1:7" ht="15.75" x14ac:dyDescent="0.25">
      <c r="A1" s="152" t="s">
        <v>487</v>
      </c>
      <c r="B1" s="4" t="s">
        <v>489</v>
      </c>
      <c r="C1" s="4" t="s">
        <v>490</v>
      </c>
      <c r="D1" s="4" t="s">
        <v>491</v>
      </c>
      <c r="E1" s="4" t="s">
        <v>492</v>
      </c>
    </row>
    <row r="2" spans="1:7" ht="15.75" x14ac:dyDescent="0.25">
      <c r="A2" s="152" t="s">
        <v>487</v>
      </c>
      <c r="B2" s="4">
        <v>16749.433333333334</v>
      </c>
      <c r="C2" s="4">
        <v>35538.480000000003</v>
      </c>
      <c r="D2" s="4">
        <v>18789.046666666665</v>
      </c>
      <c r="E2" s="4">
        <v>478</v>
      </c>
    </row>
    <row r="3" spans="1:7" ht="15.75" x14ac:dyDescent="0.25">
      <c r="A3" s="152" t="s">
        <v>488</v>
      </c>
      <c r="B3" s="4">
        <v>22706.675000000007</v>
      </c>
      <c r="C3" s="4">
        <v>57741.756666666646</v>
      </c>
      <c r="D3" s="4">
        <v>33144.369999999988</v>
      </c>
      <c r="E3" s="4">
        <v>2526</v>
      </c>
    </row>
    <row r="6" spans="1:7" ht="15.75" x14ac:dyDescent="0.25">
      <c r="A6" s="4" t="s">
        <v>493</v>
      </c>
      <c r="B6" s="1" t="s">
        <v>492</v>
      </c>
      <c r="C6" s="4" t="s">
        <v>496</v>
      </c>
      <c r="D6" s="4" t="s">
        <v>489</v>
      </c>
      <c r="E6" s="4" t="s">
        <v>490</v>
      </c>
      <c r="F6" s="4" t="s">
        <v>491</v>
      </c>
      <c r="G6" s="155" t="s">
        <v>495</v>
      </c>
    </row>
    <row r="7" spans="1:7" ht="15.75" x14ac:dyDescent="0.25">
      <c r="A7" s="45" t="s">
        <v>494</v>
      </c>
      <c r="B7" s="153">
        <v>275</v>
      </c>
      <c r="C7" s="37">
        <v>35</v>
      </c>
      <c r="D7" s="37">
        <v>8159</v>
      </c>
      <c r="E7" s="37">
        <v>19927.570400000001</v>
      </c>
      <c r="F7" s="37">
        <f>E7-D7</f>
        <v>11768.570400000001</v>
      </c>
      <c r="G7" s="156">
        <f t="shared" ref="G7:G13" si="0">(F7/E7)</f>
        <v>0.59056724747538714</v>
      </c>
    </row>
    <row r="8" spans="1:7" x14ac:dyDescent="0.25">
      <c r="A8" s="50" t="s">
        <v>499</v>
      </c>
      <c r="B8" s="153">
        <v>268</v>
      </c>
      <c r="C8" s="37">
        <v>50</v>
      </c>
      <c r="D8" s="37">
        <v>4190</v>
      </c>
      <c r="E8" s="37">
        <v>10769.46</v>
      </c>
      <c r="F8" s="37">
        <f>E8-D8</f>
        <v>6579.4599999999991</v>
      </c>
      <c r="G8" s="156">
        <f t="shared" si="0"/>
        <v>0.61093685291555933</v>
      </c>
    </row>
    <row r="9" spans="1:7" x14ac:dyDescent="0.25">
      <c r="A9" s="50" t="s">
        <v>497</v>
      </c>
      <c r="B9" s="153">
        <v>365</v>
      </c>
      <c r="C9" s="37">
        <v>6</v>
      </c>
      <c r="D9" s="37">
        <v>1755</v>
      </c>
      <c r="E9" s="37">
        <v>5194.9948000000004</v>
      </c>
      <c r="F9" s="37">
        <f t="shared" ref="F9:F16" si="1">E9-D9</f>
        <v>3439.9948000000004</v>
      </c>
      <c r="G9" s="156">
        <f t="shared" si="0"/>
        <v>0.66217483028086965</v>
      </c>
    </row>
    <row r="10" spans="1:7" x14ac:dyDescent="0.25">
      <c r="A10" s="50" t="s">
        <v>498</v>
      </c>
      <c r="B10" s="153">
        <v>375</v>
      </c>
      <c r="C10" s="37">
        <v>1</v>
      </c>
      <c r="D10" s="37">
        <v>498.85</v>
      </c>
      <c r="E10" s="37">
        <v>1475.1181999999999</v>
      </c>
      <c r="F10" s="37">
        <f t="shared" si="1"/>
        <v>976.26819999999987</v>
      </c>
      <c r="G10" s="156">
        <f t="shared" si="0"/>
        <v>0.66182371012709351</v>
      </c>
    </row>
    <row r="11" spans="1:7" x14ac:dyDescent="0.25">
      <c r="A11" s="50" t="s">
        <v>73</v>
      </c>
      <c r="B11" s="153">
        <v>447</v>
      </c>
      <c r="C11" s="37">
        <f>4/5</f>
        <v>0.8</v>
      </c>
      <c r="D11" s="37">
        <v>242.1</v>
      </c>
      <c r="E11" s="37">
        <v>1134.5396000000001</v>
      </c>
      <c r="F11" s="37">
        <f t="shared" si="1"/>
        <v>892.43960000000004</v>
      </c>
      <c r="G11" s="156">
        <f t="shared" si="0"/>
        <v>0.78660947577325635</v>
      </c>
    </row>
    <row r="12" spans="1:7" x14ac:dyDescent="0.25">
      <c r="A12" s="50" t="s">
        <v>200</v>
      </c>
      <c r="B12" s="153">
        <v>116</v>
      </c>
      <c r="C12" s="37">
        <v>2</v>
      </c>
      <c r="D12" s="37">
        <v>138</v>
      </c>
      <c r="E12" s="37">
        <v>949.73</v>
      </c>
      <c r="F12" s="37">
        <f t="shared" si="1"/>
        <v>811.73</v>
      </c>
      <c r="G12" s="156">
        <f t="shared" si="0"/>
        <v>0.85469554504964573</v>
      </c>
    </row>
    <row r="13" spans="1:7" x14ac:dyDescent="0.25">
      <c r="A13" s="50" t="s">
        <v>75</v>
      </c>
      <c r="B13" s="153">
        <v>202</v>
      </c>
      <c r="C13" s="37">
        <v>10</v>
      </c>
      <c r="D13" s="37">
        <v>1037</v>
      </c>
      <c r="E13" s="37">
        <v>2531.2212</v>
      </c>
      <c r="F13" s="37">
        <f t="shared" si="1"/>
        <v>1494.2212</v>
      </c>
      <c r="G13" s="156">
        <f t="shared" si="0"/>
        <v>0.59031632636452314</v>
      </c>
    </row>
    <row r="14" spans="1:7" x14ac:dyDescent="0.25">
      <c r="A14" s="50"/>
      <c r="B14" s="153"/>
      <c r="C14" s="37"/>
      <c r="D14" s="37"/>
      <c r="E14" s="37"/>
      <c r="F14" s="37">
        <f t="shared" si="1"/>
        <v>0</v>
      </c>
      <c r="G14" s="156" t="e">
        <f t="shared" ref="G14:G16" si="2">(F14/E14)</f>
        <v>#DIV/0!</v>
      </c>
    </row>
    <row r="15" spans="1:7" x14ac:dyDescent="0.25">
      <c r="A15" s="50"/>
      <c r="B15" s="153"/>
      <c r="C15" s="37"/>
      <c r="D15" s="37"/>
      <c r="E15" s="37"/>
      <c r="F15" s="37">
        <f t="shared" si="1"/>
        <v>0</v>
      </c>
      <c r="G15" s="156" t="e">
        <f t="shared" si="2"/>
        <v>#DIV/0!</v>
      </c>
    </row>
    <row r="16" spans="1:7" x14ac:dyDescent="0.25">
      <c r="A16" s="50"/>
      <c r="B16" s="153"/>
      <c r="C16" s="37"/>
      <c r="D16" s="37"/>
      <c r="E16" s="37"/>
      <c r="F16" s="37">
        <f t="shared" si="1"/>
        <v>0</v>
      </c>
      <c r="G16" s="156" t="e">
        <f t="shared" si="2"/>
        <v>#DIV/0!</v>
      </c>
    </row>
    <row r="22" spans="1:5" ht="15.75" x14ac:dyDescent="0.25">
      <c r="A22" s="4" t="s">
        <v>493</v>
      </c>
      <c r="B22" s="1" t="s">
        <v>492</v>
      </c>
      <c r="C22" s="4" t="s">
        <v>489</v>
      </c>
      <c r="D22" s="4" t="s">
        <v>490</v>
      </c>
      <c r="E22" s="4" t="s">
        <v>491</v>
      </c>
    </row>
    <row r="23" spans="1:5" ht="15.75" x14ac:dyDescent="0.25">
      <c r="A23" s="45" t="s">
        <v>200</v>
      </c>
      <c r="B23">
        <f>SUM(B24:B33)</f>
        <v>0</v>
      </c>
      <c r="C23" s="114">
        <f t="shared" ref="C23:E23" si="3">SUM(C24:C33)</f>
        <v>0</v>
      </c>
      <c r="D23" s="114">
        <f t="shared" si="3"/>
        <v>0</v>
      </c>
      <c r="E23" s="114">
        <f t="shared" si="3"/>
        <v>0</v>
      </c>
    </row>
  </sheetData>
  <conditionalFormatting sqref="E2">
    <cfRule type="expression" dxfId="122" priority="98">
      <formula>E2 = "Tem que compra"</formula>
    </cfRule>
    <cfRule type="expression" dxfId="121" priority="99">
      <formula>E2 = "Pedidos"</formula>
    </cfRule>
    <cfRule type="expression" dxfId="120" priority="100">
      <formula>E2 = "Estoque"</formula>
    </cfRule>
    <cfRule type="expression" dxfId="119" priority="101">
      <formula>E2 = "Pendente"</formula>
    </cfRule>
    <cfRule type="expression" dxfId="118" priority="102">
      <formula>E2 = "Vendido"</formula>
    </cfRule>
  </conditionalFormatting>
  <conditionalFormatting sqref="E2">
    <cfRule type="expression" dxfId="117" priority="117">
      <formula>E2 ="Loja"</formula>
    </cfRule>
    <cfRule type="expression" dxfId="116" priority="118">
      <formula>E2 ="Entregar"</formula>
    </cfRule>
    <cfRule type="expression" dxfId="115" priority="119">
      <formula>E2 = "Tem que compra"</formula>
    </cfRule>
    <cfRule type="expression" dxfId="114" priority="120">
      <formula>E2 = "Atacado"</formula>
    </cfRule>
    <cfRule type="expression" dxfId="113" priority="121">
      <formula>E2 = "Pedidos"</formula>
    </cfRule>
    <cfRule type="expression" dxfId="112" priority="122">
      <formula>E2 = "Estoque"</formula>
    </cfRule>
    <cfRule type="expression" dxfId="111" priority="123">
      <formula>E2 = "Pendente"</formula>
    </cfRule>
    <cfRule type="expression" dxfId="110" priority="124">
      <formula>E2 = "Vendido"</formula>
    </cfRule>
  </conditionalFormatting>
  <conditionalFormatting sqref="A2">
    <cfRule type="expression" dxfId="109" priority="103">
      <formula>#REF! = "Entregar"</formula>
    </cfRule>
    <cfRule type="expression" dxfId="108" priority="104">
      <formula>#REF! = "Vendido"</formula>
    </cfRule>
    <cfRule type="expression" dxfId="107" priority="105">
      <formula>#REF! = "Estoque"</formula>
    </cfRule>
    <cfRule type="expression" dxfId="106" priority="106">
      <formula>#REF! = "Pendente"</formula>
    </cfRule>
    <cfRule type="expression" dxfId="105" priority="107">
      <formula>#REF! = "Tem que compra"</formula>
    </cfRule>
    <cfRule type="expression" dxfId="104" priority="108">
      <formula>#REF! = "Atacado"</formula>
    </cfRule>
  </conditionalFormatting>
  <conditionalFormatting sqref="E2">
    <cfRule type="expression" dxfId="103" priority="109">
      <formula>E2 ="Loja"</formula>
    </cfRule>
    <cfRule type="expression" dxfId="102" priority="110">
      <formula>E2 ="Entregar"</formula>
    </cfRule>
    <cfRule type="expression" dxfId="101" priority="111">
      <formula>E2 = "Tem que compra"</formula>
    </cfRule>
    <cfRule type="expression" dxfId="100" priority="112">
      <formula>E2 = "Atacado"</formula>
    </cfRule>
    <cfRule type="expression" dxfId="99" priority="113">
      <formula>E2 = "Pedidos"</formula>
    </cfRule>
    <cfRule type="expression" dxfId="98" priority="114">
      <formula>E2 = "Estoque"</formula>
    </cfRule>
    <cfRule type="expression" dxfId="97" priority="115">
      <formula>E2 = "Pendente"</formula>
    </cfRule>
    <cfRule type="expression" dxfId="96" priority="116">
      <formula>E2 = "Vendido"</formula>
    </cfRule>
  </conditionalFormatting>
  <conditionalFormatting sqref="E3">
    <cfRule type="expression" dxfId="95" priority="71">
      <formula>E3 = "Tem que compra"</formula>
    </cfRule>
    <cfRule type="expression" dxfId="94" priority="72">
      <formula>E3 = "Pedidos"</formula>
    </cfRule>
    <cfRule type="expression" dxfId="93" priority="73">
      <formula>E3 = "Estoque"</formula>
    </cfRule>
    <cfRule type="expression" dxfId="92" priority="74">
      <formula>E3 = "Pendente"</formula>
    </cfRule>
    <cfRule type="expression" dxfId="91" priority="75">
      <formula>E3 = "Vendido"</formula>
    </cfRule>
  </conditionalFormatting>
  <conditionalFormatting sqref="E1">
    <cfRule type="expression" dxfId="90" priority="44">
      <formula>E1 = "Tem que compra"</formula>
    </cfRule>
    <cfRule type="expression" dxfId="89" priority="45">
      <formula>E1 = "Pedidos"</formula>
    </cfRule>
    <cfRule type="expression" dxfId="88" priority="46">
      <formula>E1 = "Estoque"</formula>
    </cfRule>
    <cfRule type="expression" dxfId="87" priority="47">
      <formula>E1 = "Pendente"</formula>
    </cfRule>
    <cfRule type="expression" dxfId="86" priority="48">
      <formula>E1 = "Vendido"</formula>
    </cfRule>
  </conditionalFormatting>
  <conditionalFormatting sqref="B6">
    <cfRule type="expression" dxfId="85" priority="23">
      <formula>B6 = "Tem que compra"</formula>
    </cfRule>
    <cfRule type="expression" dxfId="84" priority="24">
      <formula>B6 = "Pedidos"</formula>
    </cfRule>
    <cfRule type="expression" dxfId="83" priority="25">
      <formula>B6 = "Estoque"</formula>
    </cfRule>
    <cfRule type="expression" dxfId="82" priority="26">
      <formula>B6 = "Pendente"</formula>
    </cfRule>
    <cfRule type="expression" dxfId="81" priority="27">
      <formula>B6 = "Vendido"</formula>
    </cfRule>
  </conditionalFormatting>
  <conditionalFormatting sqref="E3">
    <cfRule type="expression" dxfId="80" priority="90">
      <formula>E3 ="Loja"</formula>
    </cfRule>
    <cfRule type="expression" dxfId="79" priority="91">
      <formula>E3 ="Entregar"</formula>
    </cfRule>
    <cfRule type="expression" dxfId="78" priority="92">
      <formula>E3 = "Tem que compra"</formula>
    </cfRule>
    <cfRule type="expression" dxfId="77" priority="93">
      <formula>E3 = "Atacado"</formula>
    </cfRule>
    <cfRule type="expression" dxfId="76" priority="94">
      <formula>E3 = "Pedidos"</formula>
    </cfRule>
    <cfRule type="expression" dxfId="75" priority="95">
      <formula>E3 = "Estoque"</formula>
    </cfRule>
    <cfRule type="expression" dxfId="74" priority="96">
      <formula>E3 = "Pendente"</formula>
    </cfRule>
    <cfRule type="expression" dxfId="73" priority="97">
      <formula>E3 = "Vendido"</formula>
    </cfRule>
  </conditionalFormatting>
  <conditionalFormatting sqref="A3">
    <cfRule type="expression" dxfId="72" priority="76">
      <formula>#REF! = "Entregar"</formula>
    </cfRule>
    <cfRule type="expression" dxfId="71" priority="77">
      <formula>#REF! = "Vendido"</formula>
    </cfRule>
    <cfRule type="expression" dxfId="70" priority="78">
      <formula>#REF! = "Estoque"</formula>
    </cfRule>
    <cfRule type="expression" dxfId="69" priority="79">
      <formula>#REF! = "Pendente"</formula>
    </cfRule>
    <cfRule type="expression" dxfId="68" priority="80">
      <formula>#REF! = "Tem que compra"</formula>
    </cfRule>
    <cfRule type="expression" dxfId="67" priority="81">
      <formula>#REF! = "Atacado"</formula>
    </cfRule>
  </conditionalFormatting>
  <conditionalFormatting sqref="E3">
    <cfRule type="expression" dxfId="66" priority="82">
      <formula>E3 ="Loja"</formula>
    </cfRule>
    <cfRule type="expression" dxfId="65" priority="83">
      <formula>E3 ="Entregar"</formula>
    </cfRule>
    <cfRule type="expression" dxfId="64" priority="84">
      <formula>E3 = "Tem que compra"</formula>
    </cfRule>
    <cfRule type="expression" dxfId="63" priority="85">
      <formula>E3 = "Atacado"</formula>
    </cfRule>
    <cfRule type="expression" dxfId="62" priority="86">
      <formula>E3 = "Pedidos"</formula>
    </cfRule>
    <cfRule type="expression" dxfId="61" priority="87">
      <formula>E3 = "Estoque"</formula>
    </cfRule>
    <cfRule type="expression" dxfId="60" priority="88">
      <formula>E3 = "Pendente"</formula>
    </cfRule>
    <cfRule type="expression" dxfId="59" priority="89">
      <formula>E3 = "Vendido"</formula>
    </cfRule>
  </conditionalFormatting>
  <conditionalFormatting sqref="A1">
    <cfRule type="expression" dxfId="58" priority="65">
      <formula>#REF! = "Entregar"</formula>
    </cfRule>
    <cfRule type="expression" dxfId="57" priority="66">
      <formula>#REF! = "Vendido"</formula>
    </cfRule>
    <cfRule type="expression" dxfId="56" priority="67">
      <formula>#REF! = "Estoque"</formula>
    </cfRule>
    <cfRule type="expression" dxfId="55" priority="68">
      <formula>#REF! = "Pendente"</formula>
    </cfRule>
    <cfRule type="expression" dxfId="54" priority="69">
      <formula>#REF! = "Tem que compra"</formula>
    </cfRule>
    <cfRule type="expression" dxfId="53" priority="70">
      <formula>#REF! = "Atacado"</formula>
    </cfRule>
  </conditionalFormatting>
  <conditionalFormatting sqref="E1">
    <cfRule type="expression" dxfId="52" priority="57">
      <formula>E1 ="Loja"</formula>
    </cfRule>
    <cfRule type="expression" dxfId="51" priority="58">
      <formula>E1 ="Entregar"</formula>
    </cfRule>
    <cfRule type="expression" dxfId="50" priority="59">
      <formula>E1 = "Tem que compra"</formula>
    </cfRule>
    <cfRule type="expression" dxfId="49" priority="60">
      <formula>E1 = "Atacado"</formula>
    </cfRule>
    <cfRule type="expression" dxfId="48" priority="61">
      <formula>E1 = "Pedidos"</formula>
    </cfRule>
    <cfRule type="expression" dxfId="47" priority="62">
      <formula>E1 = "Estoque"</formula>
    </cfRule>
    <cfRule type="expression" dxfId="46" priority="63">
      <formula>E1 = "Pendente"</formula>
    </cfRule>
    <cfRule type="expression" dxfId="45" priority="64">
      <formula>E1 = "Vendido"</formula>
    </cfRule>
  </conditionalFormatting>
  <conditionalFormatting sqref="E1">
    <cfRule type="expression" dxfId="44" priority="49">
      <formula>E1 ="Loja"</formula>
    </cfRule>
    <cfRule type="expression" dxfId="43" priority="50">
      <formula>E1 ="Entregar"</formula>
    </cfRule>
    <cfRule type="expression" dxfId="42" priority="51">
      <formula>E1 = "Tem que compra"</formula>
    </cfRule>
    <cfRule type="expression" dxfId="41" priority="52">
      <formula>E1 = "Atacado"</formula>
    </cfRule>
    <cfRule type="expression" dxfId="40" priority="53">
      <formula>E1 = "Pedidos"</formula>
    </cfRule>
    <cfRule type="expression" dxfId="39" priority="54">
      <formula>E1 = "Estoque"</formula>
    </cfRule>
    <cfRule type="expression" dxfId="38" priority="55">
      <formula>E1 = "Pendente"</formula>
    </cfRule>
    <cfRule type="expression" dxfId="37" priority="56">
      <formula>E1 = "Vendido"</formula>
    </cfRule>
  </conditionalFormatting>
  <conditionalFormatting sqref="B6">
    <cfRule type="expression" dxfId="36" priority="36">
      <formula>B6 ="Loja"</formula>
    </cfRule>
    <cfRule type="expression" dxfId="35" priority="37">
      <formula>B6 ="Entregar"</formula>
    </cfRule>
    <cfRule type="expression" dxfId="34" priority="38">
      <formula>B6 = "Tem que compra"</formula>
    </cfRule>
    <cfRule type="expression" dxfId="33" priority="39">
      <formula>B6 = "Atacado"</formula>
    </cfRule>
    <cfRule type="expression" dxfId="32" priority="40">
      <formula>B6 = "Pedidos"</formula>
    </cfRule>
    <cfRule type="expression" dxfId="31" priority="41">
      <formula>B6 = "Estoque"</formula>
    </cfRule>
    <cfRule type="expression" dxfId="30" priority="42">
      <formula>B6 = "Pendente"</formula>
    </cfRule>
    <cfRule type="expression" dxfId="29" priority="43">
      <formula>B6 = "Vendido"</formula>
    </cfRule>
  </conditionalFormatting>
  <conditionalFormatting sqref="B6">
    <cfRule type="expression" dxfId="28" priority="28">
      <formula>B6 ="Loja"</formula>
    </cfRule>
    <cfRule type="expression" dxfId="27" priority="29">
      <formula>B6 ="Entregar"</formula>
    </cfRule>
    <cfRule type="expression" dxfId="26" priority="30">
      <formula>B6 = "Tem que compra"</formula>
    </cfRule>
    <cfRule type="expression" dxfId="25" priority="31">
      <formula>B6 = "Atacado"</formula>
    </cfRule>
    <cfRule type="expression" dxfId="24" priority="32">
      <formula>B6 = "Pedidos"</formula>
    </cfRule>
    <cfRule type="expression" dxfId="23" priority="33">
      <formula>B6 = "Estoque"</formula>
    </cfRule>
    <cfRule type="expression" dxfId="22" priority="34">
      <formula>B6 = "Pendente"</formula>
    </cfRule>
    <cfRule type="expression" dxfId="21" priority="35">
      <formula>B6 = "Vendido"</formula>
    </cfRule>
  </conditionalFormatting>
  <conditionalFormatting sqref="G7:G1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{BFFE56F0-D442-4B2E-8A94-BD2C32F300F8}</x14:id>
        </ext>
      </extLst>
    </cfRule>
  </conditionalFormatting>
  <conditionalFormatting sqref="B22">
    <cfRule type="expression" dxfId="20" priority="1">
      <formula>B22 = "Tem que compra"</formula>
    </cfRule>
    <cfRule type="expression" dxfId="19" priority="2">
      <formula>B22 = "Pedidos"</formula>
    </cfRule>
    <cfRule type="expression" dxfId="18" priority="3">
      <formula>B22 = "Estoque"</formula>
    </cfRule>
    <cfRule type="expression" dxfId="17" priority="4">
      <formula>B22 = "Pendente"</formula>
    </cfRule>
    <cfRule type="expression" dxfId="16" priority="5">
      <formula>B22 = "Vendido"</formula>
    </cfRule>
  </conditionalFormatting>
  <conditionalFormatting sqref="B22">
    <cfRule type="expression" dxfId="15" priority="14">
      <formula>B22 ="Loja"</formula>
    </cfRule>
    <cfRule type="expression" dxfId="14" priority="15">
      <formula>B22 ="Entregar"</formula>
    </cfRule>
    <cfRule type="expression" dxfId="13" priority="16">
      <formula>B22 = "Tem que compra"</formula>
    </cfRule>
    <cfRule type="expression" dxfId="12" priority="17">
      <formula>B22 = "Atacado"</formula>
    </cfRule>
    <cfRule type="expression" dxfId="11" priority="18">
      <formula>B22 = "Pedidos"</formula>
    </cfRule>
    <cfRule type="expression" dxfId="10" priority="19">
      <formula>B22 = "Estoque"</formula>
    </cfRule>
    <cfRule type="expression" dxfId="9" priority="20">
      <formula>B22 = "Pendente"</formula>
    </cfRule>
    <cfRule type="expression" dxfId="8" priority="21">
      <formula>B22 = "Vendido"</formula>
    </cfRule>
  </conditionalFormatting>
  <conditionalFormatting sqref="B22">
    <cfRule type="expression" dxfId="7" priority="6">
      <formula>B22 ="Loja"</formula>
    </cfRule>
    <cfRule type="expression" dxfId="6" priority="7">
      <formula>B22 ="Entregar"</formula>
    </cfRule>
    <cfRule type="expression" dxfId="5" priority="8">
      <formula>B22 = "Tem que compra"</formula>
    </cfRule>
    <cfRule type="expression" dxfId="4" priority="9">
      <formula>B22 = "Atacado"</formula>
    </cfRule>
    <cfRule type="expression" dxfId="3" priority="10">
      <formula>B22 = "Pedidos"</formula>
    </cfRule>
    <cfRule type="expression" dxfId="2" priority="11">
      <formula>B22 = "Estoque"</formula>
    </cfRule>
    <cfRule type="expression" dxfId="1" priority="12">
      <formula>B22 = "Pendente"</formula>
    </cfRule>
    <cfRule type="expression" dxfId="0" priority="13">
      <formula>B22 = "Vendido"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FE56F0-D442-4B2E-8A94-BD2C32F300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G7:G16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devedores</vt:lpstr>
      <vt:lpstr>Relatorio</vt:lpstr>
      <vt:lpstr>vendas</vt:lpstr>
      <vt:lpstr>Planilha5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 cunha</cp:lastModifiedBy>
  <dcterms:created xsi:type="dcterms:W3CDTF">2021-01-28T11:21:43Z</dcterms:created>
  <dcterms:modified xsi:type="dcterms:W3CDTF">2022-11-30T20:02:25Z</dcterms:modified>
</cp:coreProperties>
</file>