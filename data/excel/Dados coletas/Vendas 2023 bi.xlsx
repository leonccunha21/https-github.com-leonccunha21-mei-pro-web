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Pessoal\Financeiro\2023\"/>
    </mc:Choice>
  </mc:AlternateContent>
  <xr:revisionPtr revIDLastSave="0" documentId="13_ncr:1_{44A633CA-F3D1-450E-83D0-1E076D8D40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edores" sheetId="4" r:id="rId1"/>
    <sheet name="Relatorio" sheetId="3" r:id="rId2"/>
    <sheet name="Dados" sheetId="8" r:id="rId3"/>
    <sheet name="Vendas" sheetId="1" r:id="rId4"/>
    <sheet name="Rifas" sheetId="7" state="hidden" r:id="rId5"/>
    <sheet name="V. S. N." sheetId="6" r:id="rId6"/>
  </sheets>
  <definedNames>
    <definedName name="_xlnm._FilterDatabase" localSheetId="2" hidden="1">Dados!$A$1:$H$73</definedName>
    <definedName name="_xlnm._FilterDatabase" localSheetId="0" hidden="1">Devedores!$A$10:$G$16</definedName>
    <definedName name="_xlnm._FilterDatabase" localSheetId="1" hidden="1">Relatorio!#REF!</definedName>
    <definedName name="_xlnm._FilterDatabase" localSheetId="3" hidden="1">Vendas!$A$1:$J$531</definedName>
    <definedName name="leo" localSheetId="3" hidden="1">Vendas!#REF!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G534" i="1"/>
  <c r="D534" i="1"/>
  <c r="B17" i="6"/>
  <c r="B16" i="6"/>
  <c r="P12" i="4"/>
  <c r="P8" i="4"/>
  <c r="M18" i="4"/>
  <c r="M19" i="4" s="1"/>
  <c r="M15" i="4"/>
  <c r="M11" i="4"/>
  <c r="M12" i="4" s="1"/>
  <c r="H522" i="1"/>
  <c r="H523" i="1"/>
  <c r="H524" i="1"/>
  <c r="H525" i="1"/>
  <c r="H526" i="1"/>
  <c r="H527" i="1"/>
  <c r="H528" i="1"/>
  <c r="H529" i="1"/>
  <c r="H530" i="1"/>
  <c r="O33" i="3"/>
  <c r="O32" i="3"/>
  <c r="O31" i="3"/>
  <c r="O30" i="3"/>
  <c r="W3" i="3" s="1"/>
  <c r="O29" i="3"/>
  <c r="O28" i="3"/>
  <c r="H504" i="1"/>
  <c r="H505" i="1"/>
  <c r="H509" i="1"/>
  <c r="H502" i="1"/>
  <c r="H521" i="1"/>
  <c r="H520" i="1"/>
  <c r="H506" i="1"/>
  <c r="H508" i="1"/>
  <c r="H512" i="1"/>
  <c r="H517" i="1"/>
  <c r="H518" i="1"/>
  <c r="C15" i="6"/>
  <c r="D15" i="6"/>
  <c r="E15" i="6"/>
  <c r="G15" i="6"/>
  <c r="F15" i="6"/>
  <c r="B15" i="6"/>
  <c r="W4" i="3"/>
  <c r="W2" i="3"/>
  <c r="O3" i="3"/>
  <c r="O4" i="3"/>
  <c r="O5" i="3"/>
  <c r="O2" i="3"/>
  <c r="E12" i="4" l="1"/>
  <c r="D12" i="4" s="1"/>
  <c r="G12" i="4" s="1"/>
  <c r="E11" i="4"/>
  <c r="O22" i="3"/>
  <c r="O27" i="3"/>
  <c r="O26" i="3"/>
  <c r="O23" i="3"/>
  <c r="G470" i="1"/>
  <c r="H478" i="1"/>
  <c r="H469" i="1"/>
  <c r="H477" i="1"/>
  <c r="H462" i="1"/>
  <c r="H481" i="1"/>
  <c r="H463" i="1"/>
  <c r="H492" i="1"/>
  <c r="H490" i="1"/>
  <c r="H486" i="1"/>
  <c r="H475" i="1"/>
  <c r="H487" i="1"/>
  <c r="H483" i="1"/>
  <c r="H493" i="1"/>
  <c r="H471" i="1"/>
  <c r="H500" i="1"/>
  <c r="H488" i="1"/>
  <c r="H474" i="1"/>
  <c r="H473" i="1"/>
  <c r="H480" i="1"/>
  <c r="J18" i="4"/>
  <c r="J10" i="4"/>
  <c r="J11" i="4" s="1"/>
  <c r="J15" i="4"/>
  <c r="H444" i="1"/>
  <c r="H392" i="1"/>
  <c r="H466" i="1"/>
  <c r="H484" i="1"/>
  <c r="H468" i="1"/>
  <c r="H496" i="1"/>
  <c r="H489" i="1"/>
  <c r="H464" i="1"/>
  <c r="H491" i="1"/>
  <c r="H495" i="1"/>
  <c r="H494" i="1"/>
  <c r="H497" i="1"/>
  <c r="H499" i="1"/>
  <c r="H467" i="1"/>
  <c r="H501" i="1"/>
  <c r="H485" i="1"/>
  <c r="H476" i="1"/>
  <c r="H498" i="1"/>
  <c r="H472" i="1"/>
  <c r="H482" i="1"/>
  <c r="H465" i="1"/>
  <c r="H479" i="1"/>
  <c r="H507" i="1"/>
  <c r="H514" i="1"/>
  <c r="H510" i="1"/>
  <c r="H516" i="1"/>
  <c r="H515" i="1"/>
  <c r="H519" i="1"/>
  <c r="H503" i="1"/>
  <c r="H534" i="1" s="1"/>
  <c r="H513" i="1"/>
  <c r="H511" i="1"/>
  <c r="H391" i="1"/>
  <c r="E438" i="1"/>
  <c r="H437" i="1"/>
  <c r="H432" i="1"/>
  <c r="H470" i="1" l="1"/>
  <c r="O25" i="3"/>
  <c r="O24" i="3"/>
  <c r="J12" i="4"/>
  <c r="H427" i="1"/>
  <c r="H395" i="1"/>
  <c r="H433" i="1"/>
  <c r="H458" i="1"/>
  <c r="H412" i="1"/>
  <c r="H400" i="1"/>
  <c r="H438" i="1"/>
  <c r="H453" i="1"/>
  <c r="H405" i="1"/>
  <c r="H436" i="1"/>
  <c r="H398" i="1"/>
  <c r="H397" i="1"/>
  <c r="H415" i="1"/>
  <c r="E393" i="1"/>
  <c r="H393" i="1" s="1"/>
  <c r="H414" i="1"/>
  <c r="G401" i="1"/>
  <c r="E401" i="1"/>
  <c r="H442" i="1"/>
  <c r="H409" i="1"/>
  <c r="H429" i="1"/>
  <c r="H423" i="1"/>
  <c r="H441" i="1"/>
  <c r="H402" i="1"/>
  <c r="H435" i="1"/>
  <c r="H396" i="1"/>
  <c r="H456" i="1"/>
  <c r="H448" i="1"/>
  <c r="H457" i="1"/>
  <c r="E404" i="1"/>
  <c r="H404" i="1" s="1"/>
  <c r="H440" i="1"/>
  <c r="E410" i="1"/>
  <c r="H410" i="1" s="1"/>
  <c r="E413" i="1"/>
  <c r="H413" i="1" s="1"/>
  <c r="H461" i="1"/>
  <c r="H420" i="1"/>
  <c r="H419" i="1"/>
  <c r="H418" i="1"/>
  <c r="H384" i="1"/>
  <c r="H421" i="1"/>
  <c r="H451" i="1"/>
  <c r="H407" i="1"/>
  <c r="H390" i="1"/>
  <c r="H446" i="1"/>
  <c r="H417" i="1"/>
  <c r="H460" i="1"/>
  <c r="H425" i="1"/>
  <c r="H454" i="1"/>
  <c r="H411" i="1"/>
  <c r="H408" i="1"/>
  <c r="H424" i="1"/>
  <c r="H455" i="1"/>
  <c r="H403" i="1"/>
  <c r="H459" i="1"/>
  <c r="H447" i="1"/>
  <c r="H450" i="1"/>
  <c r="H452" i="1"/>
  <c r="H394" i="1"/>
  <c r="H416" i="1"/>
  <c r="H439" i="1"/>
  <c r="H434" i="1"/>
  <c r="H430" i="1"/>
  <c r="H399" i="1"/>
  <c r="H422" i="1"/>
  <c r="H449" i="1"/>
  <c r="H406" i="1"/>
  <c r="H445" i="1"/>
  <c r="H428" i="1"/>
  <c r="H443" i="1"/>
  <c r="H426" i="1"/>
  <c r="H431" i="1"/>
  <c r="H401" i="1" l="1"/>
  <c r="J19" i="4"/>
  <c r="H382" i="1"/>
  <c r="H381" i="1"/>
  <c r="H380" i="1"/>
  <c r="H373" i="1" l="1"/>
  <c r="H360" i="1"/>
  <c r="H348" i="1"/>
  <c r="H347" i="1"/>
  <c r="H363" i="1"/>
  <c r="H345" i="1"/>
  <c r="H343" i="1"/>
  <c r="H342" i="1"/>
  <c r="H383" i="1"/>
  <c r="H371" i="1"/>
  <c r="H385" i="1"/>
  <c r="H359" i="1"/>
  <c r="H341" i="1"/>
  <c r="H355" i="1"/>
  <c r="H378" i="1"/>
  <c r="H389" i="1"/>
  <c r="H366" i="1"/>
  <c r="H374" i="1"/>
  <c r="H367" i="1"/>
  <c r="H350" i="1"/>
  <c r="H351" i="1"/>
  <c r="H375" i="1"/>
  <c r="H354" i="1"/>
  <c r="H372" i="1"/>
  <c r="H357" i="1"/>
  <c r="H368" i="1"/>
  <c r="H344" i="1"/>
  <c r="H387" i="1"/>
  <c r="H353" i="1"/>
  <c r="H376" i="1"/>
  <c r="H352" i="1"/>
  <c r="H358" i="1"/>
  <c r="H379" i="1"/>
  <c r="H361" i="1"/>
  <c r="H386" i="1"/>
  <c r="H346" i="1"/>
  <c r="H370" i="1"/>
  <c r="H349" i="1"/>
  <c r="H388" i="1"/>
  <c r="H377" i="1"/>
  <c r="H369" i="1"/>
  <c r="H365" i="1"/>
  <c r="H356" i="1"/>
  <c r="H364" i="1"/>
  <c r="H362" i="1"/>
  <c r="H338" i="1"/>
  <c r="H303" i="1"/>
  <c r="H289" i="1"/>
  <c r="H310" i="1"/>
  <c r="H291" i="1"/>
  <c r="H317" i="1"/>
  <c r="E304" i="1"/>
  <c r="H304" i="1" s="1"/>
  <c r="E300" i="1"/>
  <c r="H300" i="1" s="1"/>
  <c r="E299" i="1"/>
  <c r="H299" i="1" s="1"/>
  <c r="H306" i="1"/>
  <c r="M5" i="6"/>
  <c r="H327" i="1"/>
  <c r="H339" i="1"/>
  <c r="H311" i="1"/>
  <c r="H326" i="1"/>
  <c r="H318" i="1"/>
  <c r="H286" i="1"/>
  <c r="H336" i="1"/>
  <c r="H321" i="1"/>
  <c r="H284" i="1"/>
  <c r="H328" i="1"/>
  <c r="H329" i="1"/>
  <c r="H309" i="1"/>
  <c r="H323" i="1"/>
  <c r="H290" i="1"/>
  <c r="H298" i="1"/>
  <c r="H333" i="1"/>
  <c r="H330" i="1"/>
  <c r="H283" i="1"/>
  <c r="H340" i="1"/>
  <c r="H296" i="1"/>
  <c r="H312" i="1"/>
  <c r="H324" i="1"/>
  <c r="H322" i="1"/>
  <c r="H331" i="1"/>
  <c r="H292" i="1"/>
  <c r="H302" i="1"/>
  <c r="H332" i="1"/>
  <c r="H285" i="1"/>
  <c r="H313" i="1"/>
  <c r="H314" i="1"/>
  <c r="E301" i="1"/>
  <c r="H301" i="1" s="1"/>
  <c r="E293" i="1"/>
  <c r="H293" i="1" s="1"/>
  <c r="H337" i="1"/>
  <c r="H320" i="1"/>
  <c r="H319" i="1"/>
  <c r="H297" i="1"/>
  <c r="H315" i="1"/>
  <c r="H335" i="1"/>
  <c r="H288" i="1"/>
  <c r="H316" i="1"/>
  <c r="H282" i="1"/>
  <c r="H325" i="1"/>
  <c r="H307" i="1"/>
  <c r="H305" i="1"/>
  <c r="H287" i="1"/>
  <c r="H334" i="1"/>
  <c r="H308" i="1"/>
  <c r="H295" i="1"/>
  <c r="H294" i="1"/>
  <c r="H273" i="1"/>
  <c r="H268" i="1"/>
  <c r="H279" i="1"/>
  <c r="H272" i="1"/>
  <c r="H274" i="1"/>
  <c r="H278" i="1"/>
  <c r="H269" i="1"/>
  <c r="E6" i="4"/>
  <c r="H270" i="1"/>
  <c r="H271" i="1"/>
  <c r="H276" i="1"/>
  <c r="H277" i="1"/>
  <c r="H281" i="1"/>
  <c r="H280" i="1"/>
  <c r="H275" i="1"/>
  <c r="H262" i="1"/>
  <c r="H259" i="1"/>
  <c r="H249" i="1"/>
  <c r="H257" i="1"/>
  <c r="H266" i="1"/>
  <c r="H248" i="1"/>
  <c r="H260" i="1"/>
  <c r="H261" i="1"/>
  <c r="H247" i="1"/>
  <c r="H265" i="1" l="1"/>
  <c r="H255" i="1"/>
  <c r="H256" i="1"/>
  <c r="H253" i="1"/>
  <c r="H258" i="1"/>
  <c r="H252" i="1"/>
  <c r="H264" i="1"/>
  <c r="H251" i="1"/>
  <c r="H241" i="1"/>
  <c r="H229" i="1"/>
  <c r="H227" i="1"/>
  <c r="H217" i="1"/>
  <c r="H216" i="1"/>
  <c r="H205" i="1"/>
  <c r="H203" i="1"/>
  <c r="H202" i="1"/>
  <c r="H200" i="1"/>
  <c r="H243" i="1"/>
  <c r="H230" i="1"/>
  <c r="H211" i="1"/>
  <c r="H206" i="1"/>
  <c r="H221" i="1"/>
  <c r="H204" i="1"/>
  <c r="H85" i="1"/>
  <c r="H108" i="1"/>
  <c r="H86" i="1"/>
  <c r="H124" i="1"/>
  <c r="H71" i="1"/>
  <c r="H83" i="1"/>
  <c r="H87" i="1"/>
  <c r="H89" i="1"/>
  <c r="H75" i="1"/>
  <c r="H76" i="1"/>
  <c r="H125" i="1"/>
  <c r="H122" i="1"/>
  <c r="H80" i="1"/>
  <c r="H90" i="1"/>
  <c r="H104" i="1"/>
  <c r="H94" i="1"/>
  <c r="H121" i="1"/>
  <c r="H91" i="1"/>
  <c r="H105" i="1"/>
  <c r="H106" i="1"/>
  <c r="H78" i="1"/>
  <c r="H79" i="1"/>
  <c r="H107" i="1"/>
  <c r="H101" i="1"/>
  <c r="H73" i="1"/>
  <c r="H99" i="1"/>
  <c r="H109" i="1"/>
  <c r="H110" i="1"/>
  <c r="H111" i="1"/>
  <c r="H112" i="1"/>
  <c r="H250" i="1"/>
  <c r="H254" i="1"/>
  <c r="H263" i="1"/>
  <c r="H246" i="1"/>
  <c r="H267" i="1"/>
  <c r="H127" i="1"/>
  <c r="H240" i="1"/>
  <c r="H197" i="1"/>
  <c r="H196" i="1"/>
  <c r="H225" i="1"/>
  <c r="H220" i="1"/>
  <c r="H228" i="1"/>
  <c r="H224" i="1"/>
  <c r="H201" i="1"/>
  <c r="H207" i="1"/>
  <c r="H234" i="1"/>
  <c r="H226" i="1"/>
  <c r="H212" i="1"/>
  <c r="H218" i="1"/>
  <c r="H192" i="1"/>
  <c r="H232" i="1"/>
  <c r="H195" i="1"/>
  <c r="H233" i="1"/>
  <c r="H245" i="1"/>
  <c r="H239" i="1"/>
  <c r="H223" i="1"/>
  <c r="H191" i="1"/>
  <c r="H237" i="1"/>
  <c r="H238" i="1"/>
  <c r="H219" i="1"/>
  <c r="H208" i="1"/>
  <c r="H194" i="1"/>
  <c r="H235" i="1"/>
  <c r="H214" i="1"/>
  <c r="H213" i="1"/>
  <c r="H222" i="1"/>
  <c r="H231" i="1"/>
  <c r="H193" i="1"/>
  <c r="H215" i="1"/>
  <c r="H198" i="1"/>
  <c r="H199" i="1"/>
  <c r="H209" i="1"/>
  <c r="H210" i="1"/>
  <c r="H236" i="1"/>
  <c r="H242" i="1"/>
  <c r="H244" i="1"/>
  <c r="H147" i="1"/>
  <c r="H160" i="1"/>
  <c r="H166" i="1"/>
  <c r="H168" i="1"/>
  <c r="H146" i="1"/>
  <c r="M4" i="6"/>
  <c r="H133" i="1"/>
  <c r="H132" i="1"/>
  <c r="H131" i="1"/>
  <c r="H130" i="1"/>
  <c r="H170" i="1"/>
  <c r="H149" i="1"/>
  <c r="H145" i="1"/>
  <c r="H136" i="1"/>
  <c r="H140" i="1"/>
  <c r="H159" i="1"/>
  <c r="H167" i="1"/>
  <c r="H139" i="1"/>
  <c r="H163" i="1"/>
  <c r="H165" i="1"/>
  <c r="H134" i="1"/>
  <c r="H158" i="1"/>
  <c r="H129" i="1"/>
  <c r="H151" i="1"/>
  <c r="H141" i="1"/>
  <c r="H150" i="1"/>
  <c r="H148" i="1"/>
  <c r="H161" i="1"/>
  <c r="H154" i="1"/>
  <c r="H142" i="1"/>
  <c r="H156" i="1"/>
  <c r="H152" i="1"/>
  <c r="H144" i="1"/>
  <c r="H138" i="1"/>
  <c r="H143" i="1"/>
  <c r="H128" i="1"/>
  <c r="H153" i="1"/>
  <c r="H135" i="1"/>
  <c r="H155" i="1"/>
  <c r="H169" i="1"/>
  <c r="H126" i="1"/>
  <c r="H157" i="1"/>
  <c r="H183" i="1"/>
  <c r="H174" i="1"/>
  <c r="H184" i="1"/>
  <c r="H172" i="1"/>
  <c r="H178" i="1"/>
  <c r="H190" i="1"/>
  <c r="H173" i="1"/>
  <c r="H187" i="1"/>
  <c r="H186" i="1"/>
  <c r="H162" i="1"/>
  <c r="H137" i="1"/>
  <c r="H164" i="1"/>
  <c r="H2" i="1" l="1"/>
  <c r="H3" i="1"/>
  <c r="H4" i="1"/>
  <c r="H5" i="1"/>
  <c r="H6" i="1"/>
  <c r="H7" i="1"/>
  <c r="H14" i="1"/>
  <c r="H15" i="1"/>
  <c r="H22" i="1"/>
  <c r="H32" i="1"/>
  <c r="H39" i="1"/>
  <c r="H40" i="1"/>
  <c r="H41" i="1"/>
  <c r="H42" i="1"/>
  <c r="H43" i="1"/>
  <c r="H46" i="1"/>
  <c r="H60" i="1"/>
  <c r="H51" i="1"/>
  <c r="H50" i="1"/>
  <c r="H52" i="1"/>
  <c r="H56" i="1"/>
  <c r="H61" i="1"/>
  <c r="H63" i="1"/>
  <c r="H64" i="1"/>
  <c r="H65" i="1"/>
  <c r="H67" i="1"/>
  <c r="H8" i="1"/>
  <c r="H21" i="1"/>
  <c r="H16" i="1" l="1"/>
  <c r="H54" i="1"/>
  <c r="H53" i="1"/>
  <c r="H62" i="1"/>
  <c r="H57" i="1"/>
  <c r="H38" i="1"/>
  <c r="H48" i="1"/>
  <c r="H47" i="1"/>
  <c r="H37" i="1"/>
  <c r="H12" i="1"/>
  <c r="H30" i="1"/>
  <c r="H29" i="1"/>
  <c r="H28" i="1"/>
  <c r="H45" i="1"/>
  <c r="H44" i="1"/>
  <c r="H27" i="1"/>
  <c r="H10" i="1"/>
  <c r="H9" i="1"/>
  <c r="H36" i="1"/>
  <c r="H35" i="1"/>
  <c r="H20" i="1"/>
  <c r="H19" i="1"/>
  <c r="H49" i="1"/>
  <c r="H13" i="1"/>
  <c r="H11" i="1"/>
  <c r="H26" i="1"/>
  <c r="H25" i="1"/>
  <c r="H34" i="1"/>
  <c r="H55" i="1"/>
  <c r="H66" i="1"/>
  <c r="H24" i="1"/>
  <c r="H23" i="1"/>
  <c r="H33" i="1"/>
  <c r="H31" i="1"/>
  <c r="H18" i="1"/>
  <c r="H17" i="1"/>
  <c r="H59" i="1"/>
  <c r="H58" i="1"/>
  <c r="D8" i="4" l="1"/>
  <c r="H15" i="6" l="1"/>
  <c r="O14" i="6" l="1"/>
  <c r="N1" i="6"/>
  <c r="L2" i="4"/>
  <c r="L6" i="4" s="1"/>
  <c r="M2" i="4"/>
  <c r="M14" i="6" l="1"/>
  <c r="N2" i="4"/>
  <c r="C7" i="4"/>
  <c r="E7" i="4"/>
  <c r="B20" i="6" l="1"/>
  <c r="B19" i="6" s="1"/>
  <c r="D7" i="4"/>
  <c r="K6" i="4" l="1"/>
  <c r="C6" i="4" s="1"/>
  <c r="C17" i="4" s="1"/>
  <c r="M6" i="4" l="1"/>
  <c r="D6" i="4" l="1"/>
  <c r="D1" i="4" s="1"/>
  <c r="E17" i="4" l="1"/>
  <c r="D11" i="4"/>
  <c r="D17" i="4" s="1"/>
  <c r="G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 cunha</author>
  </authors>
  <commentList>
    <comment ref="A8" authorId="0" shapeId="0" xr:uid="{26B70135-1835-4B27-9F6D-02EFBB3E19EA}">
      <text>
        <r>
          <rPr>
            <b/>
            <sz val="9"/>
            <color indexed="81"/>
            <rFont val="Segoe UI"/>
            <family val="2"/>
          </rPr>
          <t>leo cunha:</t>
        </r>
        <r>
          <rPr>
            <sz val="9"/>
            <color indexed="81"/>
            <rFont val="Segoe UI"/>
            <family val="2"/>
          </rPr>
          <t xml:space="preserve">
61 9163-5847</t>
        </r>
      </text>
    </comment>
  </commentList>
</comments>
</file>

<file path=xl/sharedStrings.xml><?xml version="1.0" encoding="utf-8"?>
<sst xmlns="http://schemas.openxmlformats.org/spreadsheetml/2006/main" count="2341" uniqueCount="340">
  <si>
    <t>Vendas</t>
  </si>
  <si>
    <t>Pago</t>
  </si>
  <si>
    <t>Vendido</t>
  </si>
  <si>
    <t>Lucro</t>
  </si>
  <si>
    <t>Situação</t>
  </si>
  <si>
    <t>Janeiro</t>
  </si>
  <si>
    <t>Cliente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</si>
  <si>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</si>
  <si>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</si>
  <si>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</si>
  <si>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</si>
  <si>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</si>
  <si>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</si>
  <si>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</si>
  <si>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</si>
  <si>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</si>
  <si>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</si>
  <si>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</si>
  <si>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Gasto</t>
  </si>
  <si>
    <t>Total</t>
  </si>
  <si>
    <t>Nome</t>
  </si>
  <si>
    <t>Gerente tatico</t>
  </si>
  <si>
    <t>Pedro</t>
  </si>
  <si>
    <t>Carlos ETB</t>
  </si>
  <si>
    <t>Gian</t>
  </si>
  <si>
    <t>Valor</t>
  </si>
  <si>
    <t>Falta</t>
  </si>
  <si>
    <t>Pagou</t>
  </si>
  <si>
    <t>OBS</t>
  </si>
  <si>
    <t>Caloteiros</t>
  </si>
  <si>
    <t>Prestação</t>
  </si>
  <si>
    <t>Parcelas</t>
  </si>
  <si>
    <t>Data</t>
  </si>
  <si>
    <t>V.J</t>
  </si>
  <si>
    <t>Valor total</t>
  </si>
  <si>
    <t>Produto</t>
  </si>
  <si>
    <t xml:space="preserve">Vandas NF </t>
  </si>
  <si>
    <t>Quantidade</t>
  </si>
  <si>
    <t>Valor vendido</t>
  </si>
  <si>
    <t>Valor de vendas na shopee</t>
  </si>
  <si>
    <t>Mês</t>
  </si>
  <si>
    <t>Total Shopee</t>
  </si>
  <si>
    <t>Total NF</t>
  </si>
  <si>
    <t>Maximo de NF</t>
  </si>
  <si>
    <t>Pessoa</t>
  </si>
  <si>
    <t>Notas canceladas</t>
  </si>
  <si>
    <t>Media restante</t>
  </si>
  <si>
    <t>ADS</t>
  </si>
  <si>
    <t>Valor fisico</t>
  </si>
  <si>
    <t>Ano</t>
  </si>
  <si>
    <t>Rodrigo p7</t>
  </si>
  <si>
    <t>refletor solar</t>
  </si>
  <si>
    <t>Capinha iphone 11</t>
  </si>
  <si>
    <t>teclado</t>
  </si>
  <si>
    <t>pilha</t>
  </si>
  <si>
    <t>caixa de som redonda</t>
  </si>
  <si>
    <t>maleta de ferramentas</t>
  </si>
  <si>
    <t>cabo tipo c</t>
  </si>
  <si>
    <t>led lua</t>
  </si>
  <si>
    <t>luz negra</t>
  </si>
  <si>
    <t>pufericador</t>
  </si>
  <si>
    <t>100 % Surpresa Pacotes De Presentes Da Sorte Para Produtos</t>
  </si>
  <si>
    <t>Alta Qualidade 3 Em 1 Caneta Laser Mini Lanterna Chaveiro</t>
  </si>
  <si>
    <t>Caixinha Som MH-38BT Caixa Potente Alta Bluetooth Usb FM</t>
  </si>
  <si>
    <t>Capa De Braço Suporte Braçadeira De Celular Corrida Academia</t>
  </si>
  <si>
    <t>Jogo Chave Torx Com Furo Torque Tork Curta 9 Pecas T10 -t50</t>
  </si>
  <si>
    <t>Kit Costura Agulha Linha</t>
  </si>
  <si>
    <t>Kit Poker Profissional Luxo Em Lata Com 100 Fichas</t>
  </si>
  <si>
    <t>Luminária de Led RGB c/ Caixa de Som (via Bluetooth)</t>
  </si>
  <si>
    <t>Máquina De Tosa Pet Clipper Cães Bivolt - Nanzhong</t>
  </si>
  <si>
    <t>Mouse Multilaser Classic Box Optico</t>
  </si>
  <si>
    <t>Pinças Em Aço 4 Formatos Diferentes</t>
  </si>
  <si>
    <t>Relógio Digital Silicone Prova D'água 50 metros</t>
  </si>
  <si>
    <t>Super Maçarico 150 mm Maçarico Portátil Simples Regulável</t>
  </si>
  <si>
    <t>Suporte Para Notebook E Tablet Plástico Regulável</t>
  </si>
  <si>
    <t>Transmissor modulador FM para carro Bluetooth X8 Plus 2USB</t>
  </si>
  <si>
    <t>vassoura magica</t>
  </si>
  <si>
    <t>antena corta linha</t>
  </si>
  <si>
    <t>fit flex academia</t>
  </si>
  <si>
    <t>Bleybleid</t>
  </si>
  <si>
    <t>viatura da policia</t>
  </si>
  <si>
    <t>Teclado simples</t>
  </si>
  <si>
    <t>caixa de som grande</t>
  </si>
  <si>
    <t>Fone airdots3</t>
  </si>
  <si>
    <t>jogo de pneus</t>
  </si>
  <si>
    <t>tablet criança</t>
  </si>
  <si>
    <t>radio transmissor</t>
  </si>
  <si>
    <t>Super Maçarico 150 mm Maçarico Portátil Simples Regulável bico</t>
  </si>
  <si>
    <t>vendido</t>
  </si>
  <si>
    <t>cabo p2 para rca</t>
  </si>
  <si>
    <t xml:space="preserve">faculdade </t>
  </si>
  <si>
    <t>CAbo p2</t>
  </si>
  <si>
    <t>venda maquina</t>
  </si>
  <si>
    <t>calotas</t>
  </si>
  <si>
    <t>ralador in 12</t>
  </si>
  <si>
    <t>jogo chave de roda</t>
  </si>
  <si>
    <t>Fone Jbl950 Pro ( Super Qualidade Grave muito bom !!! ) 😱</t>
  </si>
  <si>
    <t>Dominó Profissional de Pvc - Azul</t>
  </si>
  <si>
    <t>Maçarico Portátil Profissional Encaixe 1,300°c Ignição Automática, Soldas</t>
  </si>
  <si>
    <t>Farol Traseira Bike Bicicleta Recarregável Lanterna Frontal com Led Vermelho e Azul</t>
  </si>
  <si>
    <t>Kit Arco De Serra Mágica 7 Peças Corta Tudo Multifuncional</t>
  </si>
  <si>
    <t>Kit Reparo Remendo Borracheiro Pneu Sem Câmara Carro Moto</t>
  </si>
  <si>
    <t>Unha Postiça Kits (contendo 20 unhas + cola ) Professional Instant Nail Tips</t>
  </si>
  <si>
    <t>Magalu</t>
  </si>
  <si>
    <t>Numero</t>
  </si>
  <si>
    <t>Telefone</t>
  </si>
  <si>
    <t>Rifa 01 Caixa de som</t>
  </si>
  <si>
    <t>Rifa 01 - Caixa de som - R$5,00</t>
  </si>
  <si>
    <t>Vendida</t>
  </si>
  <si>
    <t>Disponivel</t>
  </si>
  <si>
    <t>Realização do sorteio quando vender mais de 85% dos números 
Ganhador retirar produto</t>
  </si>
  <si>
    <t>Rifa 02 Smartwatch</t>
  </si>
  <si>
    <t>tela mosquiteiro</t>
  </si>
  <si>
    <t>Maquina de costura</t>
  </si>
  <si>
    <t>Kit ferramenta</t>
  </si>
  <si>
    <t>Jogo De Chave De Vela 6 Peças Monalisa</t>
  </si>
  <si>
    <t>Lenço de cabeça bluetooth música bluetooth chamável faixa esportiva corrida yoga música lenço na cabeça</t>
  </si>
  <si>
    <t>lanterna pilha simples</t>
  </si>
  <si>
    <t>papagaio</t>
  </si>
  <si>
    <t>micro sd</t>
  </si>
  <si>
    <t>mini charge</t>
  </si>
  <si>
    <t>triturado de carne</t>
  </si>
  <si>
    <t>pistola de ar</t>
  </si>
  <si>
    <t>ralador grande</t>
  </si>
  <si>
    <t>kit faca colorida</t>
  </si>
  <si>
    <t>Bateria A23 12v 1unidade Ótima Qualidade</t>
  </si>
  <si>
    <t>Brinquedo Juvenil Infantil Jogo de Cartas Uno 108 Cartas</t>
  </si>
  <si>
    <t>Cabo Adaptador Carrega Fone  P2 iPhone 7 8 X 11pro Max</t>
  </si>
  <si>
    <t>Calculadora Cientifica BK-82MS 240 Funções Capa Protetora</t>
  </si>
  <si>
    <t>Cali  Beyblade Burst B-127 De Metal Lançador Super Z Valkyrie Com/Brinquedo Para Crianças/Presente</t>
  </si>
  <si>
    <t>Case 2.5 Hd Externo Sim Notebook Ssd Ultra Sata Usb 3.0 Pc</t>
  </si>
  <si>
    <t>Fita Durex Rolinho 35 M - 1un</t>
  </si>
  <si>
    <t>Graxa para Uso Geral Marrom 90Grs - Dimec</t>
  </si>
  <si>
    <t>Kit de costura maleta completa 12cm de plástico</t>
  </si>
  <si>
    <t>Pilha Power UP AAA Tubo 4 unid. SEG5 - Segma</t>
  </si>
  <si>
    <t>Relógio De Parede Redondo Preto E Branco Nativo Analógico 23cm</t>
  </si>
  <si>
    <t>Solda Estanho Tubinho 63x37 1,0mm Azul 22g</t>
  </si>
  <si>
    <t>Super Cola Instantânea Metal Madeira e Plástico</t>
  </si>
  <si>
    <t>Gatilho simples</t>
  </si>
  <si>
    <t xml:space="preserve">Cabo v8 </t>
  </si>
  <si>
    <t>Carregador simples</t>
  </si>
  <si>
    <t>Lanterna cabeça</t>
  </si>
  <si>
    <t>luvinha</t>
  </si>
  <si>
    <t>cabo kingo tipoC</t>
  </si>
  <si>
    <t>fone de ouvido m32</t>
  </si>
  <si>
    <t>game boy 10k</t>
  </si>
  <si>
    <t>Cadeira camp</t>
  </si>
  <si>
    <t>cortador de linha pipa</t>
  </si>
  <si>
    <t>Trena laise</t>
  </si>
  <si>
    <t>BSB</t>
  </si>
  <si>
    <t xml:space="preserve">Creme passar na mão </t>
  </si>
  <si>
    <t>luz giratória</t>
  </si>
  <si>
    <t>garrafa térmica</t>
  </si>
  <si>
    <t>película 3d</t>
  </si>
  <si>
    <t>Alicate Para Descascar Desencapado De Fios 7 / 0,2 A 6mm</t>
  </si>
  <si>
    <t>Bolas LOL Surprese + 1 Boneca + 4 Cards Para Meninas</t>
  </si>
  <si>
    <t>Descascador Ralador Fatiado Frutas e Legumes 5 em 1</t>
  </si>
  <si>
    <t>Kit Acessórios Para Bomba De Ar Bicos Encher Bola 7 Pçs</t>
  </si>
  <si>
    <t>formatação / serviços</t>
  </si>
  <si>
    <t>Powebank</t>
  </si>
  <si>
    <t>mini fogão</t>
  </si>
  <si>
    <t>Smartwatch i8</t>
  </si>
  <si>
    <t>bomba d'agua elétrica</t>
  </si>
  <si>
    <t>Pássaros De Enfeite Mesa Canta Mexe Periquitos Robô Aves | Nanyju Brinquedos e Presentes</t>
  </si>
  <si>
    <t>lâmpada bluet</t>
  </si>
  <si>
    <t>lanterna ima</t>
  </si>
  <si>
    <t>Ebulidor Aquecedor Agua Portátil Quente 500w Mergulhão 220v</t>
  </si>
  <si>
    <t>kit dia das mães</t>
  </si>
  <si>
    <t>bomba d'água</t>
  </si>
  <si>
    <t>Marcador para Quadro Branco 6 peças - Yins Papers</t>
  </si>
  <si>
    <t>lousa magia 12pol</t>
  </si>
  <si>
    <t>lampião</t>
  </si>
  <si>
    <t>Kit Stanley caneca</t>
  </si>
  <si>
    <t>chave catraca</t>
  </si>
  <si>
    <t>Capa Cnh</t>
  </si>
  <si>
    <t>ADAPTADOR DVI P/ HDMI LE-5509 /GO</t>
  </si>
  <si>
    <t>Cabo hdmi vga</t>
  </si>
  <si>
    <t xml:space="preserve">Marmita </t>
  </si>
  <si>
    <t>cubo magico</t>
  </si>
  <si>
    <t>Cortador de legumes</t>
  </si>
  <si>
    <t>Copo Stanley</t>
  </si>
  <si>
    <t>Borboleta adesivo</t>
  </si>
  <si>
    <t>ssd 256gb</t>
  </si>
  <si>
    <t>Boombox</t>
  </si>
  <si>
    <t>meliuz</t>
  </si>
  <si>
    <t>TV box</t>
  </si>
  <si>
    <t>Fone de ouvido simples headset</t>
  </si>
  <si>
    <t>COLA BONDE SIMPLES</t>
  </si>
  <si>
    <t>bateria 9v</t>
  </si>
  <si>
    <t>microfone lapela 01</t>
  </si>
  <si>
    <t>microfone lapela 02</t>
  </si>
  <si>
    <t>fogao 1b</t>
  </si>
  <si>
    <t>kit pintura</t>
  </si>
  <si>
    <t>Papa bolinha</t>
  </si>
  <si>
    <t>Umidificador</t>
  </si>
  <si>
    <t>cavalo pula pula</t>
  </si>
  <si>
    <t>Parceria</t>
  </si>
  <si>
    <t>Aparelho de som</t>
  </si>
  <si>
    <t>tripe simples</t>
  </si>
  <si>
    <t>Chaves de vela</t>
  </si>
  <si>
    <t>Cadeado alarme</t>
  </si>
  <si>
    <t>Escova de dente eletrica</t>
  </si>
  <si>
    <t>kit bomba</t>
  </si>
  <si>
    <t>Umidificador lareira</t>
  </si>
  <si>
    <t>bateria 2026</t>
  </si>
  <si>
    <t>SWITH HDMI</t>
  </si>
  <si>
    <t>Bastao de selfie retratil</t>
  </si>
  <si>
    <t>ar condicionado</t>
  </si>
  <si>
    <t>sensor de porta</t>
  </si>
  <si>
    <t>suporte celular</t>
  </si>
  <si>
    <t>Puxadora Para Amassado</t>
  </si>
  <si>
    <t xml:space="preserve">Uno </t>
  </si>
  <si>
    <t>pau de self</t>
  </si>
  <si>
    <t>globo de luz galaxia</t>
  </si>
  <si>
    <t>cabo auxilia</t>
  </si>
  <si>
    <t>Kit Tesouras Reta</t>
  </si>
  <si>
    <t>Tv box</t>
  </si>
  <si>
    <t>Pula corda</t>
  </si>
  <si>
    <t>Capa RG</t>
  </si>
  <si>
    <t>Pelicula privacidade</t>
  </si>
  <si>
    <t>Carregador veicular</t>
  </si>
  <si>
    <t>vz</t>
  </si>
  <si>
    <t>Total Dev</t>
  </si>
  <si>
    <t>Controle TV box</t>
  </si>
  <si>
    <t>SSD 256</t>
  </si>
  <si>
    <t>SSD 420gb</t>
  </si>
  <si>
    <t xml:space="preserve">cortador de legumes </t>
  </si>
  <si>
    <t xml:space="preserve">Para gopro hero/capacete </t>
  </si>
  <si>
    <t>CELULAR INFANTIL MUSICAL</t>
  </si>
  <si>
    <t>Airdrop</t>
  </si>
  <si>
    <t>Cordinha crachar</t>
  </si>
  <si>
    <t>Valor produto</t>
  </si>
  <si>
    <t>taxa</t>
  </si>
  <si>
    <t>Valor V</t>
  </si>
  <si>
    <t>V V T</t>
  </si>
  <si>
    <t>Pilhas Aparelho Auditivo A10</t>
  </si>
  <si>
    <t>CHAVE Mandril 3/8"</t>
  </si>
  <si>
    <t>Tela Mosquiteiro</t>
  </si>
  <si>
    <t>Mini lanterna lase</t>
  </si>
  <si>
    <t xml:space="preserve">Passaros De Enfeite </t>
  </si>
  <si>
    <t>climatizador</t>
  </si>
  <si>
    <t xml:space="preserve">Kit Adesivos Decorativos </t>
  </si>
  <si>
    <t>Ferramenta Puxadora</t>
  </si>
  <si>
    <t>Shopee CNPJ</t>
  </si>
  <si>
    <t>Shopee CPF</t>
  </si>
  <si>
    <t>Mini lanterna</t>
  </si>
  <si>
    <t>case hd</t>
  </si>
  <si>
    <t>Chave Para Mandril 4</t>
  </si>
  <si>
    <t>Gel Para Massagem</t>
  </si>
  <si>
    <t>Cheirinho para Carro Harts by Hungria</t>
  </si>
  <si>
    <t xml:space="preserve">Suporte De Tablet Para Carros </t>
  </si>
  <si>
    <t>Memory Card 8mb</t>
  </si>
  <si>
    <t xml:space="preserve">Barra Rítmica </t>
  </si>
  <si>
    <t>Suporte de Crachá</t>
  </si>
  <si>
    <t>Kit Mini Fusível</t>
  </si>
  <si>
    <t>Funko Pop Naruto Kakashi</t>
  </si>
  <si>
    <t xml:space="preserve">Lanterna x-900 </t>
  </si>
  <si>
    <t>Fone Jbl950 Pro</t>
  </si>
  <si>
    <t>janeiro</t>
  </si>
  <si>
    <t>fevereiro</t>
  </si>
  <si>
    <t>março</t>
  </si>
  <si>
    <t>Caixa de som jbl</t>
  </si>
  <si>
    <t>Kit Adesivos Decorativos</t>
  </si>
  <si>
    <t>Caminhão brinquedo controle</t>
  </si>
  <si>
    <t xml:space="preserve">Pelicula 3d </t>
  </si>
  <si>
    <t>Astronalta</t>
  </si>
  <si>
    <t>Led</t>
  </si>
  <si>
    <t>Barbeador</t>
  </si>
  <si>
    <t>Cabo Adaptador Y P3 P2</t>
  </si>
  <si>
    <t>card</t>
  </si>
  <si>
    <t>Caixa de som</t>
  </si>
  <si>
    <t>Pendrive</t>
  </si>
  <si>
    <t>Higor</t>
  </si>
  <si>
    <t>lapela</t>
  </si>
  <si>
    <t>mini lanterna</t>
  </si>
  <si>
    <t>Andre</t>
  </si>
  <si>
    <t>Suspen</t>
  </si>
  <si>
    <t>Pelicula relogio</t>
  </si>
  <si>
    <t>pulseira relocio</t>
  </si>
  <si>
    <t>Suporte gopro</t>
  </si>
  <si>
    <t>cabo iphone</t>
  </si>
  <si>
    <t>Rafael P7</t>
  </si>
  <si>
    <t>venditlador 19c</t>
  </si>
  <si>
    <t>jogo de chaves</t>
  </si>
  <si>
    <t>Ralador de comida</t>
  </si>
  <si>
    <t>Kit De Chaves Precisão 31 Peças Torx Alen Philips Fenda</t>
  </si>
  <si>
    <t>Limpa Tela e Lentes 60ml + Flanela</t>
  </si>
  <si>
    <t>Mini Massageador Elétrico Portátil Cervical EMS Alivia Dores Corpo Pescoço</t>
  </si>
  <si>
    <t>Chapéu Palha Cerveja - Time</t>
  </si>
  <si>
    <t>Passaros De Enfeite Mesa Canta Mexe Periquitos Robo Aves | Nanyju Brinquedos e Presentes</t>
  </si>
  <si>
    <t>Globo Bola Maluca Luzes de Festa com Canhão de LED</t>
  </si>
  <si>
    <t>Shopee cpf</t>
  </si>
  <si>
    <t>Bolsa Sacola</t>
  </si>
  <si>
    <t>Cachorro de brinquedo</t>
  </si>
  <si>
    <t>SHOPEE CNPJ</t>
  </si>
  <si>
    <t>SHOPEE CPF</t>
  </si>
  <si>
    <t>V. Local</t>
  </si>
  <si>
    <t>V Shopee</t>
  </si>
  <si>
    <t>Valor Vendido</t>
  </si>
  <si>
    <t>Total vendas</t>
  </si>
  <si>
    <t>Mes</t>
  </si>
  <si>
    <t>Plataforma</t>
  </si>
  <si>
    <t>Valor 
gasto</t>
  </si>
  <si>
    <t>Valor
Vendido</t>
  </si>
  <si>
    <t>Valor
Anuciado</t>
  </si>
  <si>
    <t>Adaptador bluetooth</t>
  </si>
  <si>
    <t>Amolador de faca</t>
  </si>
  <si>
    <t>Alicate</t>
  </si>
  <si>
    <t>Aspirador de Pó e Líquido Automotivo Portátil 12V</t>
  </si>
  <si>
    <t>Blocos De Montar War Power Warfighter</t>
  </si>
  <si>
    <t>Purrificado</t>
  </si>
  <si>
    <t>Carregador</t>
  </si>
  <si>
    <t xml:space="preserve">Cachorro de brinquedo </t>
  </si>
  <si>
    <t>Controle Remoto Elétrico Dinossauro</t>
  </si>
  <si>
    <t>Corrente bike</t>
  </si>
  <si>
    <t>Fone de ouvido</t>
  </si>
  <si>
    <t>Fone de ouvido simples</t>
  </si>
  <si>
    <t>Gamepad com Gatilho Controle - MBTech</t>
  </si>
  <si>
    <t>Globo de luz de discoteca rotativo</t>
  </si>
  <si>
    <t>Refletor solar</t>
  </si>
  <si>
    <t>Massageador p</t>
  </si>
  <si>
    <t>Excluido</t>
  </si>
  <si>
    <t>Suporte Segurador Slim Anti</t>
  </si>
  <si>
    <t>Valor Magalu
liquido</t>
  </si>
  <si>
    <t>Valor Magalu
bruto</t>
  </si>
  <si>
    <t>Shopee cnpj
bruto</t>
  </si>
  <si>
    <t>Shopee cnpj
liquido</t>
  </si>
  <si>
    <t>Shopee CPF bruto</t>
  </si>
  <si>
    <t>Shopee CPF Liquido</t>
  </si>
  <si>
    <t xml:space="preserve">Relógio Digital </t>
  </si>
  <si>
    <t>Mini Massageador Elétrico</t>
  </si>
  <si>
    <t>Capa De Braço Suporte</t>
  </si>
  <si>
    <t>pilha recarregavel</t>
  </si>
  <si>
    <t>chapeu camp</t>
  </si>
  <si>
    <t>carregador tipo c</t>
  </si>
  <si>
    <t>Tipo</t>
  </si>
  <si>
    <t>mes</t>
  </si>
  <si>
    <t>joelheira</t>
  </si>
  <si>
    <t>QT. V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</si>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</sst>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[$$-409]* #,##0.00_ ;_-[$$-409]* \-#,##0.00\ ;_-[$$-409]* &quot;-&quot;??_ ;_-@_ "/>
    <numFmt numFmtId="166" formatCode="&quot;R$&quot;\ #,##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8"/>
      <color theme="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u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6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7" fillId="4" borderId="1" xfId="2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164" fontId="4" fillId="3" borderId="1" xfId="2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center" vertical="center"/>
    </xf>
    <xf numFmtId="0" fontId="4" fillId="3" borderId="1" xfId="2" applyNumberFormat="1" applyFont="1" applyFill="1" applyBorder="1" applyAlignment="1">
      <alignment horizontal="center" vertical="center"/>
    </xf>
    <xf numFmtId="164" fontId="3" fillId="0" borderId="0" xfId="2" applyFont="1" applyAlignment="1"/>
    <xf numFmtId="0" fontId="2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4" fontId="8" fillId="2" borderId="1" xfId="2" applyFont="1" applyFill="1" applyBorder="1" applyAlignment="1">
      <alignment horizontal="center" vertical="center"/>
    </xf>
    <xf numFmtId="44" fontId="8" fillId="2" borderId="1" xfId="0" applyNumberFormat="1" applyFont="1" applyFill="1" applyBorder="1" applyAlignment="1">
      <alignment horizontal="center" vertical="center"/>
    </xf>
    <xf numFmtId="164" fontId="10" fillId="0" borderId="1" xfId="2" applyFont="1" applyFill="1" applyBorder="1" applyAlignment="1">
      <alignment vertical="center"/>
    </xf>
    <xf numFmtId="164" fontId="11" fillId="0" borderId="1" xfId="2" applyFont="1" applyFill="1" applyBorder="1" applyAlignment="1">
      <alignment horizontal="center" vertical="center"/>
    </xf>
    <xf numFmtId="164" fontId="0" fillId="0" borderId="1" xfId="2" applyFont="1" applyBorder="1"/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4" fontId="0" fillId="0" borderId="0" xfId="0" applyNumberFormat="1"/>
    <xf numFmtId="164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164" fontId="15" fillId="6" borderId="1" xfId="2" applyFont="1" applyFill="1" applyBorder="1" applyAlignment="1">
      <alignment horizontal="center" vertical="center"/>
    </xf>
    <xf numFmtId="164" fontId="14" fillId="2" borderId="8" xfId="2" applyFont="1" applyFill="1" applyBorder="1" applyAlignment="1">
      <alignment horizontal="center" vertical="center"/>
    </xf>
    <xf numFmtId="164" fontId="0" fillId="0" borderId="0" xfId="2" applyFont="1"/>
    <xf numFmtId="0" fontId="14" fillId="2" borderId="5" xfId="0" applyFont="1" applyFill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5" fillId="6" borderId="1" xfId="2" applyFont="1" applyFill="1" applyBorder="1" applyAlignment="1">
      <alignment vertical="center"/>
    </xf>
    <xf numFmtId="164" fontId="16" fillId="6" borderId="1" xfId="2" applyFont="1" applyFill="1" applyBorder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0" fillId="0" borderId="0" xfId="2" applyFont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164" fontId="18" fillId="0" borderId="1" xfId="2" applyFont="1" applyBorder="1"/>
    <xf numFmtId="164" fontId="0" fillId="0" borderId="4" xfId="2" applyFont="1" applyBorder="1" applyAlignment="1">
      <alignment horizontal="center"/>
    </xf>
    <xf numFmtId="164" fontId="0" fillId="0" borderId="1" xfId="2" applyFont="1" applyBorder="1" applyAlignment="1">
      <alignment horizont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0" borderId="0" xfId="0" applyFont="1"/>
    <xf numFmtId="164" fontId="20" fillId="0" borderId="0" xfId="2" applyFont="1"/>
    <xf numFmtId="164" fontId="20" fillId="0" borderId="0" xfId="2" applyFont="1" applyAlignment="1">
      <alignment horizontal="center" vertical="center"/>
    </xf>
    <xf numFmtId="164" fontId="20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20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/>
    </xf>
    <xf numFmtId="164" fontId="18" fillId="0" borderId="1" xfId="2" applyFont="1" applyBorder="1" applyAlignment="1">
      <alignment horizontal="center"/>
    </xf>
    <xf numFmtId="9" fontId="20" fillId="0" borderId="1" xfId="3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64" fontId="20" fillId="0" borderId="1" xfId="2" applyFont="1" applyBorder="1"/>
    <xf numFmtId="164" fontId="0" fillId="0" borderId="0" xfId="2" applyFont="1" applyFill="1" applyBorder="1"/>
    <xf numFmtId="165" fontId="0" fillId="0" borderId="1" xfId="2" applyNumberFormat="1" applyFont="1" applyBorder="1" applyAlignment="1">
      <alignment horizontal="center" vertical="center"/>
    </xf>
    <xf numFmtId="9" fontId="18" fillId="0" borderId="1" xfId="3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164" fontId="14" fillId="2" borderId="1" xfId="2" applyFont="1" applyFill="1" applyBorder="1"/>
    <xf numFmtId="0" fontId="14" fillId="2" borderId="1" xfId="0" applyFont="1" applyFill="1" applyBorder="1"/>
    <xf numFmtId="164" fontId="14" fillId="2" borderId="1" xfId="2" applyFont="1" applyFill="1" applyBorder="1" applyAlignment="1">
      <alignment horizontal="center"/>
    </xf>
    <xf numFmtId="0" fontId="14" fillId="2" borderId="1" xfId="2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64" fontId="24" fillId="0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24" fillId="0" borderId="1" xfId="2" applyFont="1" applyFill="1" applyBorder="1" applyAlignment="1">
      <alignment vertical="center"/>
    </xf>
    <xf numFmtId="164" fontId="10" fillId="0" borderId="1" xfId="2" applyFont="1" applyBorder="1"/>
    <xf numFmtId="0" fontId="10" fillId="0" borderId="4" xfId="0" applyFont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14" fillId="2" borderId="1" xfId="2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2" fillId="0" borderId="1" xfId="0" applyFont="1" applyBorder="1"/>
    <xf numFmtId="164" fontId="20" fillId="0" borderId="1" xfId="2" applyFont="1" applyBorder="1" applyAlignment="1">
      <alignment vertical="center"/>
    </xf>
    <xf numFmtId="164" fontId="20" fillId="0" borderId="0" xfId="2" applyFont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/>
    <xf numFmtId="0" fontId="14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64" fontId="18" fillId="0" borderId="1" xfId="2" quotePrefix="1" applyFont="1" applyBorder="1" applyAlignment="1">
      <alignment horizontal="center"/>
    </xf>
    <xf numFmtId="164" fontId="14" fillId="2" borderId="1" xfId="0" applyNumberFormat="1" applyFont="1" applyFill="1" applyBorder="1"/>
    <xf numFmtId="164" fontId="29" fillId="2" borderId="1" xfId="0" applyNumberFormat="1" applyFont="1" applyFill="1" applyBorder="1"/>
    <xf numFmtId="0" fontId="8" fillId="2" borderId="1" xfId="2" applyNumberFormat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/>
    </xf>
    <xf numFmtId="0" fontId="24" fillId="0" borderId="1" xfId="2" applyNumberFormat="1" applyFont="1" applyFill="1" applyBorder="1" applyAlignment="1">
      <alignment horizontal="center" vertical="center"/>
    </xf>
    <xf numFmtId="0" fontId="10" fillId="0" borderId="4" xfId="2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164" fontId="30" fillId="0" borderId="1" xfId="2" applyFont="1" applyFill="1" applyBorder="1" applyAlignment="1">
      <alignment vertical="center"/>
    </xf>
    <xf numFmtId="164" fontId="9" fillId="0" borderId="1" xfId="2" applyFont="1" applyFill="1" applyBorder="1" applyAlignment="1">
      <alignment horizontal="center" vertical="center"/>
    </xf>
    <xf numFmtId="164" fontId="31" fillId="0" borderId="1" xfId="2" applyFont="1" applyFill="1" applyBorder="1" applyAlignment="1">
      <alignment vertical="center"/>
    </xf>
    <xf numFmtId="0" fontId="31" fillId="0" borderId="4" xfId="2" applyNumberFormat="1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9" fontId="0" fillId="0" borderId="0" xfId="0" applyNumberFormat="1"/>
    <xf numFmtId="44" fontId="20" fillId="0" borderId="0" xfId="0" applyNumberFormat="1" applyFont="1"/>
    <xf numFmtId="9" fontId="0" fillId="0" borderId="0" xfId="3" applyFont="1"/>
    <xf numFmtId="0" fontId="24" fillId="0" borderId="1" xfId="0" applyFont="1" applyBorder="1" applyAlignment="1">
      <alignment horizontal="left" vertical="center"/>
    </xf>
    <xf numFmtId="164" fontId="33" fillId="0" borderId="1" xfId="2" applyFont="1" applyFill="1" applyBorder="1" applyAlignment="1">
      <alignment vertical="center"/>
    </xf>
    <xf numFmtId="0" fontId="33" fillId="0" borderId="4" xfId="2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44" fontId="18" fillId="0" borderId="1" xfId="0" applyNumberFormat="1" applyFont="1" applyBorder="1"/>
    <xf numFmtId="0" fontId="22" fillId="0" borderId="1" xfId="0" applyFont="1" applyBorder="1" applyAlignment="1">
      <alignment wrapText="1"/>
    </xf>
    <xf numFmtId="0" fontId="34" fillId="0" borderId="1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164" fontId="7" fillId="9" borderId="1" xfId="2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4" fontId="7" fillId="10" borderId="1" xfId="2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4" fontId="4" fillId="8" borderId="1" xfId="2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164" fontId="36" fillId="9" borderId="1" xfId="2" applyFont="1" applyFill="1" applyBorder="1" applyAlignment="1">
      <alignment horizontal="center" vertical="center"/>
    </xf>
    <xf numFmtId="164" fontId="36" fillId="10" borderId="1" xfId="2" applyFont="1" applyFill="1" applyBorder="1" applyAlignment="1">
      <alignment horizontal="center" vertical="center"/>
    </xf>
    <xf numFmtId="164" fontId="36" fillId="4" borderId="1" xfId="2" applyFont="1" applyFill="1" applyBorder="1" applyAlignment="1">
      <alignment horizontal="center" vertical="center"/>
    </xf>
    <xf numFmtId="164" fontId="37" fillId="5" borderId="1" xfId="2" applyFont="1" applyFill="1" applyBorder="1" applyAlignment="1">
      <alignment horizontal="center" vertical="center"/>
    </xf>
    <xf numFmtId="164" fontId="37" fillId="8" borderId="1" xfId="2" applyFont="1" applyFill="1" applyBorder="1" applyAlignment="1">
      <alignment horizontal="center" vertical="center"/>
    </xf>
    <xf numFmtId="164" fontId="37" fillId="3" borderId="1" xfId="2" applyFont="1" applyFill="1" applyBorder="1" applyAlignment="1">
      <alignment horizontal="center" vertical="center"/>
    </xf>
    <xf numFmtId="0" fontId="37" fillId="3" borderId="1" xfId="2" applyNumberFormat="1" applyFont="1" applyFill="1" applyBorder="1" applyAlignment="1">
      <alignment horizontal="center" vertical="center"/>
    </xf>
    <xf numFmtId="0" fontId="35" fillId="0" borderId="0" xfId="0" applyFont="1"/>
    <xf numFmtId="0" fontId="5" fillId="11" borderId="3" xfId="0" applyFont="1" applyFill="1" applyBorder="1" applyAlignment="1">
      <alignment horizontal="center" vertical="center"/>
    </xf>
    <xf numFmtId="0" fontId="4" fillId="11" borderId="1" xfId="2" applyNumberFormat="1" applyFont="1" applyFill="1" applyBorder="1" applyAlignment="1">
      <alignment horizontal="center" vertical="center"/>
    </xf>
    <xf numFmtId="0" fontId="7" fillId="12" borderId="1" xfId="2" applyNumberFormat="1" applyFont="1" applyFill="1" applyBorder="1" applyAlignment="1">
      <alignment horizontal="center" vertical="center"/>
    </xf>
    <xf numFmtId="0" fontId="37" fillId="11" borderId="1" xfId="2" applyNumberFormat="1" applyFont="1" applyFill="1" applyBorder="1" applyAlignment="1">
      <alignment horizontal="center" vertical="center"/>
    </xf>
    <xf numFmtId="0" fontId="4" fillId="11" borderId="1" xfId="1" applyNumberFormat="1" applyFont="1" applyFill="1" applyBorder="1" applyAlignment="1">
      <alignment horizontal="center" vertical="center"/>
    </xf>
    <xf numFmtId="0" fontId="36" fillId="12" borderId="1" xfId="2" applyNumberFormat="1" applyFont="1" applyFill="1" applyBorder="1" applyAlignment="1">
      <alignment horizontal="center" vertical="center"/>
    </xf>
    <xf numFmtId="0" fontId="38" fillId="0" borderId="0" xfId="0" applyFont="1"/>
    <xf numFmtId="0" fontId="5" fillId="2" borderId="3" xfId="2" applyNumberFormat="1" applyFont="1" applyFill="1" applyBorder="1" applyAlignment="1">
      <alignment horizontal="center" vertical="center"/>
    </xf>
    <xf numFmtId="0" fontId="37" fillId="2" borderId="3" xfId="2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0" fontId="19" fillId="2" borderId="1" xfId="0" applyFont="1" applyFill="1" applyBorder="1" applyAlignment="1">
      <alignment horizontal="center" vertical="center" wrapText="1"/>
    </xf>
    <xf numFmtId="164" fontId="19" fillId="2" borderId="1" xfId="2" applyFont="1" applyFill="1" applyBorder="1" applyAlignment="1">
      <alignment horizontal="center" vertical="center" wrapText="1"/>
    </xf>
    <xf numFmtId="164" fontId="4" fillId="2" borderId="1" xfId="2" applyFont="1" applyFill="1" applyBorder="1" applyAlignment="1">
      <alignment horizontal="center" vertical="center" wrapText="1"/>
    </xf>
    <xf numFmtId="164" fontId="39" fillId="0" borderId="1" xfId="2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64" fontId="1" fillId="0" borderId="0" xfId="2" applyFont="1"/>
    <xf numFmtId="164" fontId="1" fillId="0" borderId="1" xfId="2" applyFont="1" applyBorder="1"/>
    <xf numFmtId="164" fontId="40" fillId="0" borderId="1" xfId="2" applyFont="1" applyBorder="1"/>
    <xf numFmtId="164" fontId="1" fillId="0" borderId="1" xfId="2" quotePrefix="1" applyFont="1" applyBorder="1"/>
    <xf numFmtId="164" fontId="1" fillId="0" borderId="1" xfId="2" applyFont="1" applyBorder="1" applyAlignment="1">
      <alignment horizontal="center" vertical="center"/>
    </xf>
    <xf numFmtId="164" fontId="39" fillId="0" borderId="1" xfId="2" applyFont="1" applyFill="1" applyBorder="1"/>
    <xf numFmtId="0" fontId="6" fillId="4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2" fillId="0" borderId="0" xfId="0" applyFont="1" applyBorder="1"/>
    <xf numFmtId="0" fontId="0" fillId="5" borderId="11" xfId="2" applyNumberFormat="1" applyFont="1" applyFill="1" applyBorder="1" applyAlignment="1">
      <alignment horizontal="center" vertical="center"/>
    </xf>
    <xf numFmtId="0" fontId="0" fillId="5" borderId="12" xfId="2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6">
    <dxf>
      <font>
        <b/>
        <i/>
        <color theme="0"/>
      </font>
      <fill>
        <patternFill>
          <bgColor rgb="FFFF3300"/>
        </patternFill>
      </fill>
    </dxf>
    <dxf>
      <font>
        <b/>
        <i/>
        <color theme="0"/>
      </font>
      <fill>
        <patternFill>
          <bgColor rgb="FF7030A0"/>
        </patternFill>
      </fill>
    </dxf>
    <dxf>
      <font>
        <b/>
        <i/>
        <color theme="0"/>
      </font>
      <fill>
        <patternFill>
          <bgColor rgb="FF00B0F0"/>
        </patternFill>
      </fill>
    </dxf>
    <dxf>
      <font>
        <b/>
        <i/>
        <color theme="0"/>
      </font>
      <fill>
        <patternFill>
          <bgColor rgb="FF00206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00B0F0"/>
        </patternFill>
      </fill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</dxfs>
  <tableStyles count="0" defaultTableStyle="TableStyleMedium2" defaultPivotStyle="PivotStyleLight16"/>
  <colors>
    <mruColors>
      <color rgb="FFFF3300"/>
      <color rgb="FF0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Relatorio!$Q$2</c:f>
              <c:strCache>
                <c:ptCount val="1"/>
                <c:pt idx="0">
                  <c:v>Valor Vendido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Relatorio!$R$1:$W$1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Relatorio!$R$2:$W$2</c:f>
              <c:numCache>
                <c:formatCode>_-"R$"* #,##0.00_-;\-"R$"* #,##0.00_-;_-"R$"* "-"??_-;_-@_-</c:formatCode>
                <c:ptCount val="6"/>
                <c:pt idx="0">
                  <c:v>41900.130000000005</c:v>
                </c:pt>
                <c:pt idx="1">
                  <c:v>64616.149999999994</c:v>
                </c:pt>
                <c:pt idx="2">
                  <c:v>97143.232066666664</c:v>
                </c:pt>
                <c:pt idx="3">
                  <c:v>88605.963000000003</c:v>
                </c:pt>
                <c:pt idx="4">
                  <c:v>44839.802599999995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7-41A4-BC33-F2BACA8457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58046112"/>
        <c:axId val="1204024096"/>
        <c:axId val="0"/>
      </c:bar3DChart>
      <c:catAx>
        <c:axId val="185804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024096"/>
        <c:crosses val="autoZero"/>
        <c:auto val="1"/>
        <c:lblAlgn val="ctr"/>
        <c:lblOffset val="100"/>
        <c:noMultiLvlLbl val="0"/>
      </c:catAx>
      <c:valAx>
        <c:axId val="1204024096"/>
        <c:scaling>
          <c:orientation val="minMax"/>
        </c:scaling>
        <c:delete val="1"/>
        <c:axPos val="l"/>
        <c:numFmt formatCode="_-&quot;R$&quot;* #,##0.00_-;\-&quot;R$&quot;* #,##0.00_-;_-&quot;R$&quot;* &quot;-&quot;??_-;_-@_-" sourceLinked="1"/>
        <c:majorTickMark val="out"/>
        <c:minorTickMark val="none"/>
        <c:tickLblPos val="nextTo"/>
        <c:crossAx val="185804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Relatorio!$Q$3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Relatorio!$R$1:$W$1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Relatorio!$R$3:$W$3</c:f>
              <c:numCache>
                <c:formatCode>_-"R$"* #,##0.00_-;\-"R$"* #,##0.00_-;_-"R$"* "-"??_-;_-@_-</c:formatCode>
                <c:ptCount val="6"/>
                <c:pt idx="0">
                  <c:v>20323.310000000001</c:v>
                </c:pt>
                <c:pt idx="1">
                  <c:v>35323.149999999994</c:v>
                </c:pt>
                <c:pt idx="2">
                  <c:v>53781.945400000011</c:v>
                </c:pt>
                <c:pt idx="3">
                  <c:v>45852.796736000004</c:v>
                </c:pt>
                <c:pt idx="4">
                  <c:v>23634.69213333333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F-4A2F-94CA-6EAE2D4076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58039872"/>
        <c:axId val="1357320848"/>
        <c:axId val="0"/>
      </c:bar3DChart>
      <c:catAx>
        <c:axId val="18580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7320848"/>
        <c:crosses val="autoZero"/>
        <c:auto val="1"/>
        <c:lblAlgn val="ctr"/>
        <c:lblOffset val="100"/>
        <c:noMultiLvlLbl val="0"/>
      </c:catAx>
      <c:valAx>
        <c:axId val="1357320848"/>
        <c:scaling>
          <c:orientation val="minMax"/>
        </c:scaling>
        <c:delete val="1"/>
        <c:axPos val="l"/>
        <c:numFmt formatCode="_-&quot;R$&quot;* #,##0.00_-;\-&quot;R$&quot;* #,##0.00_-;_-&quot;R$&quot;* &quot;-&quot;??_-;_-@_-" sourceLinked="1"/>
        <c:majorTickMark val="out"/>
        <c:minorTickMark val="none"/>
        <c:tickLblPos val="nextTo"/>
        <c:crossAx val="185803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Relatorio!$Q$4</c:f>
              <c:strCache>
                <c:ptCount val="1"/>
                <c:pt idx="0">
                  <c:v>Total vendas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Relatorio!$R$1:$W$1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Relatorio!$R$4:$W$4</c:f>
              <c:numCache>
                <c:formatCode>General</c:formatCode>
                <c:ptCount val="6"/>
                <c:pt idx="0">
                  <c:v>891</c:v>
                </c:pt>
                <c:pt idx="1">
                  <c:v>1531</c:v>
                </c:pt>
                <c:pt idx="2">
                  <c:v>4627</c:v>
                </c:pt>
                <c:pt idx="3">
                  <c:v>2995</c:v>
                </c:pt>
                <c:pt idx="4">
                  <c:v>824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4B7-B988-660687A0AC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6220816"/>
        <c:axId val="137473360"/>
      </c:barChart>
      <c:catAx>
        <c:axId val="1162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473360"/>
        <c:crosses val="autoZero"/>
        <c:auto val="1"/>
        <c:lblAlgn val="ctr"/>
        <c:lblOffset val="100"/>
        <c:noMultiLvlLbl val="0"/>
      </c:catAx>
      <c:valAx>
        <c:axId val="137473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622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834116</xdr:colOff>
      <xdr:row>5</xdr:row>
      <xdr:rowOff>23131</xdr:rowOff>
    </xdr:from>
    <xdr:to>
      <xdr:col>19</xdr:col>
      <xdr:colOff>870856</xdr:colOff>
      <xdr:row>13</xdr:row>
      <xdr:rowOff>394608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B765B58-58D4-DAAE-B340-9EC080DBC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1224643</xdr:colOff>
      <xdr:row>4</xdr:row>
      <xdr:rowOff>295274</xdr:rowOff>
    </xdr:from>
    <xdr:to>
      <xdr:col>23</xdr:col>
      <xdr:colOff>6804</xdr:colOff>
      <xdr:row>13</xdr:row>
      <xdr:rowOff>381000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473B0E8-EBCC-87A0-DD5C-7A043FED3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20408</xdr:colOff>
      <xdr:row>14</xdr:row>
      <xdr:rowOff>254452</xdr:rowOff>
    </xdr:from>
    <xdr:to>
      <xdr:col>22</xdr:col>
      <xdr:colOff>1319893</xdr:colOff>
      <xdr:row>25</xdr:row>
      <xdr:rowOff>217714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34D0889-D969-7117-9E14-00BA6F296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75C00F-1AF6-4C0A-85CA-0E750C4BD581}">
  <we:reference id="wa200005281" version="1.0.0.0" store="pt-BR" storeType="OMEX"/>
  <we:alternateReferences>
    <we:reference id="wa200005281" version="1.0.0.0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23"/>
  <sheetViews>
    <sheetView tabSelected="1" workbookViewId="0">
      <selection activeCell="P15" sqref="P15"/>
    </sheetView>
  </sheetViews>
  <sheetFormatPr defaultRowHeight="15" x14ac:dyDescent="0.25"/>
  <cols>
    <col min="1" max="1" width="20.140625" bestFit="1" customWidth="1"/>
    <col min="2" max="2" width="20.140625" customWidth="1"/>
    <col min="3" max="3" width="16.140625" bestFit="1" customWidth="1"/>
    <col min="4" max="4" width="19.28515625" bestFit="1" customWidth="1"/>
    <col min="5" max="5" width="14" bestFit="1" customWidth="1"/>
    <col min="6" max="6" width="8.85546875" style="22" bestFit="1" customWidth="1"/>
    <col min="7" max="7" width="12.28515625" bestFit="1" customWidth="1"/>
    <col min="8" max="8" width="1.85546875" customWidth="1"/>
    <col min="9" max="9" width="13.42578125" style="22" bestFit="1" customWidth="1"/>
    <col min="10" max="10" width="13.42578125" style="23" bestFit="1" customWidth="1"/>
    <col min="11" max="11" width="10.140625" style="22" bestFit="1" customWidth="1"/>
    <col min="12" max="12" width="13.42578125" style="22" bestFit="1" customWidth="1"/>
    <col min="13" max="13" width="10.7109375" style="34" bestFit="1" customWidth="1"/>
    <col min="14" max="14" width="7" style="40" bestFit="1" customWidth="1"/>
    <col min="15" max="15" width="3.5703125" customWidth="1"/>
    <col min="16" max="16" width="12.140625" bestFit="1" customWidth="1"/>
  </cols>
  <sheetData>
    <row r="1" spans="1:16" ht="23.25" x14ac:dyDescent="0.25">
      <c r="A1" s="170" t="s">
        <v>29</v>
      </c>
      <c r="B1" s="171"/>
      <c r="C1" s="172"/>
      <c r="D1" s="12">
        <f ca="1">SUM(D3:D9)</f>
        <v>3072.8999999999996</v>
      </c>
      <c r="E1" s="13"/>
      <c r="F1" s="10"/>
      <c r="G1" s="10"/>
      <c r="H1" s="22"/>
      <c r="I1" s="24" t="s">
        <v>6</v>
      </c>
      <c r="J1" s="25" t="s">
        <v>31</v>
      </c>
      <c r="K1" s="25" t="s">
        <v>30</v>
      </c>
      <c r="L1" s="32" t="s">
        <v>1</v>
      </c>
      <c r="M1" s="26" t="s">
        <v>32</v>
      </c>
      <c r="N1" s="30" t="s">
        <v>33</v>
      </c>
    </row>
    <row r="2" spans="1:16" ht="23.25" x14ac:dyDescent="0.25">
      <c r="A2" s="10" t="s">
        <v>20</v>
      </c>
      <c r="B2" s="10"/>
      <c r="C2" s="12" t="s">
        <v>25</v>
      </c>
      <c r="D2" s="12" t="s">
        <v>26</v>
      </c>
      <c r="E2" s="12" t="s">
        <v>27</v>
      </c>
      <c r="F2" s="96"/>
      <c r="G2" s="10" t="s">
        <v>28</v>
      </c>
      <c r="H2" s="22"/>
      <c r="I2" s="38" t="s">
        <v>24</v>
      </c>
      <c r="J2" s="19">
        <v>10</v>
      </c>
      <c r="K2" s="46">
        <v>2</v>
      </c>
      <c r="L2" s="33">
        <f>35*K2</f>
        <v>70</v>
      </c>
      <c r="M2" s="27">
        <f ca="1">TODAY()</f>
        <v>46215</v>
      </c>
      <c r="N2" s="168">
        <f ca="1">((M2-M3+((M2-M3)*0.4)))</f>
        <v>2465.4</v>
      </c>
    </row>
    <row r="3" spans="1:16" ht="19.5" thickBot="1" x14ac:dyDescent="0.3">
      <c r="A3" s="11" t="s">
        <v>21</v>
      </c>
      <c r="B3" s="11"/>
      <c r="C3" s="14">
        <v>50</v>
      </c>
      <c r="D3" s="15"/>
      <c r="E3" s="14">
        <v>50</v>
      </c>
      <c r="F3" s="97"/>
      <c r="G3" s="17" t="s">
        <v>29</v>
      </c>
      <c r="H3" s="22"/>
      <c r="I3" s="38"/>
      <c r="J3" s="19"/>
      <c r="K3" s="46"/>
      <c r="L3" s="33"/>
      <c r="M3" s="28">
        <v>44454</v>
      </c>
      <c r="N3" s="169"/>
    </row>
    <row r="4" spans="1:16" ht="18.75" x14ac:dyDescent="0.25">
      <c r="A4" s="11" t="s">
        <v>22</v>
      </c>
      <c r="B4" s="11"/>
      <c r="C4" s="14">
        <v>230</v>
      </c>
      <c r="D4" s="75"/>
      <c r="E4" s="14">
        <v>100</v>
      </c>
      <c r="F4" s="97"/>
      <c r="G4" s="76" t="s">
        <v>29</v>
      </c>
      <c r="H4" s="22"/>
      <c r="I4" s="19"/>
      <c r="J4" s="19"/>
      <c r="K4" s="21"/>
      <c r="L4" s="19"/>
      <c r="M4" s="26" t="s">
        <v>19</v>
      </c>
      <c r="N4" s="44"/>
    </row>
    <row r="5" spans="1:16" ht="18.75" x14ac:dyDescent="0.25">
      <c r="A5" s="11" t="s">
        <v>23</v>
      </c>
      <c r="B5" s="11"/>
      <c r="C5" s="14">
        <v>205</v>
      </c>
      <c r="D5" s="75"/>
      <c r="E5" s="14">
        <v>90</v>
      </c>
      <c r="F5" s="97"/>
      <c r="G5" s="76" t="s">
        <v>29</v>
      </c>
      <c r="H5" s="22"/>
      <c r="I5" s="38" t="s">
        <v>20</v>
      </c>
      <c r="J5" s="39" t="s">
        <v>34</v>
      </c>
      <c r="K5" s="39" t="s">
        <v>26</v>
      </c>
      <c r="L5" s="39" t="s">
        <v>1</v>
      </c>
      <c r="M5" s="39"/>
      <c r="N5" s="45"/>
    </row>
    <row r="6" spans="1:16" ht="18.75" x14ac:dyDescent="0.25">
      <c r="A6" s="11" t="s">
        <v>24</v>
      </c>
      <c r="B6" s="11"/>
      <c r="C6" s="77">
        <f ca="1">(1820+10+40)+N2+24.5+K6</f>
        <v>4639.8999999999996</v>
      </c>
      <c r="D6" s="75">
        <f ca="1">C6-E6</f>
        <v>2752.8999999999996</v>
      </c>
      <c r="E6" s="77">
        <f>1220+300+52+15+(300)</f>
        <v>1887</v>
      </c>
      <c r="F6" s="98"/>
      <c r="G6" s="76" t="s">
        <v>29</v>
      </c>
      <c r="H6" s="22"/>
      <c r="I6" s="64" t="s">
        <v>24</v>
      </c>
      <c r="J6" s="35">
        <v>350</v>
      </c>
      <c r="K6" s="29">
        <f>J6-L6</f>
        <v>280</v>
      </c>
      <c r="L6" s="36">
        <f>L2</f>
        <v>70</v>
      </c>
      <c r="M6" s="37" t="str">
        <f>IF(K6=0,"Pago","Pendente")</f>
        <v>Pendente</v>
      </c>
      <c r="N6" s="45"/>
    </row>
    <row r="7" spans="1:16" ht="18.75" x14ac:dyDescent="0.25">
      <c r="A7" s="11" t="s">
        <v>281</v>
      </c>
      <c r="B7" s="11"/>
      <c r="C7" s="78">
        <f>600</f>
        <v>600</v>
      </c>
      <c r="D7" s="75">
        <f>C7-E7</f>
        <v>200</v>
      </c>
      <c r="E7" s="14">
        <f>200+100+100</f>
        <v>400</v>
      </c>
      <c r="F7" s="97"/>
      <c r="G7" s="76" t="s">
        <v>29</v>
      </c>
      <c r="H7" s="22"/>
    </row>
    <row r="8" spans="1:16" ht="18.75" x14ac:dyDescent="0.25">
      <c r="A8" s="11" t="s">
        <v>50</v>
      </c>
      <c r="B8" s="11"/>
      <c r="C8" s="14">
        <v>120</v>
      </c>
      <c r="D8" s="75">
        <f>C8-E8</f>
        <v>120</v>
      </c>
      <c r="E8" s="14"/>
      <c r="F8" s="99"/>
      <c r="G8" s="79" t="s">
        <v>29</v>
      </c>
      <c r="H8" s="22"/>
      <c r="I8" t="s">
        <v>231</v>
      </c>
      <c r="J8" s="31">
        <v>165</v>
      </c>
      <c r="L8" t="s">
        <v>231</v>
      </c>
      <c r="M8" s="31">
        <v>165</v>
      </c>
      <c r="N8" s="34"/>
      <c r="O8" s="34"/>
      <c r="P8" s="20">
        <f>9*M8</f>
        <v>1485</v>
      </c>
    </row>
    <row r="9" spans="1:16" ht="18.75" x14ac:dyDescent="0.25">
      <c r="A9" s="11"/>
      <c r="B9" s="111"/>
      <c r="C9" s="112"/>
      <c r="D9" s="102"/>
      <c r="E9" s="112"/>
      <c r="F9" s="113"/>
      <c r="G9" s="114"/>
      <c r="H9" s="22"/>
      <c r="I9" s="108" t="s">
        <v>232</v>
      </c>
      <c r="J9" s="110">
        <v>0.2</v>
      </c>
      <c r="L9" s="108" t="s">
        <v>232</v>
      </c>
      <c r="M9" s="110">
        <v>0.2</v>
      </c>
      <c r="N9" s="31"/>
    </row>
    <row r="10" spans="1:16" ht="23.25" x14ac:dyDescent="0.25">
      <c r="A10" s="10" t="s">
        <v>20</v>
      </c>
      <c r="B10" s="10" t="s">
        <v>35</v>
      </c>
      <c r="C10" s="12" t="s">
        <v>25</v>
      </c>
      <c r="D10" s="12" t="s">
        <v>26</v>
      </c>
      <c r="E10" s="12" t="s">
        <v>27</v>
      </c>
      <c r="F10" s="10" t="s">
        <v>221</v>
      </c>
      <c r="G10" s="10" t="s">
        <v>28</v>
      </c>
      <c r="H10" s="22"/>
      <c r="I10" t="s">
        <v>233</v>
      </c>
      <c r="J10" s="31">
        <f>J8*2</f>
        <v>330</v>
      </c>
      <c r="L10" t="s">
        <v>233</v>
      </c>
      <c r="M10" s="31">
        <v>280</v>
      </c>
    </row>
    <row r="11" spans="1:16" ht="18.75" customHeight="1" x14ac:dyDescent="0.25">
      <c r="A11" s="18" t="s">
        <v>272</v>
      </c>
      <c r="B11" s="107" t="s">
        <v>269</v>
      </c>
      <c r="C11" s="101">
        <v>430</v>
      </c>
      <c r="D11" s="102">
        <f>C11-E11</f>
        <v>215</v>
      </c>
      <c r="E11" s="103">
        <f>215*F11</f>
        <v>215</v>
      </c>
      <c r="F11" s="104">
        <v>1</v>
      </c>
      <c r="G11" s="105" t="str">
        <f>IF(D11=0,"Pago","Pendente")</f>
        <v>Pendente</v>
      </c>
      <c r="H11" s="22"/>
      <c r="I11" t="s">
        <v>234</v>
      </c>
      <c r="J11" s="31">
        <f>SUM(J10-(J10*J9)-3)</f>
        <v>261</v>
      </c>
      <c r="L11" t="s">
        <v>234</v>
      </c>
      <c r="M11" s="31">
        <f>SUM(M10-(M10*M9)-3)</f>
        <v>221</v>
      </c>
    </row>
    <row r="12" spans="1:16" ht="18.75" x14ac:dyDescent="0.25">
      <c r="A12" s="18" t="s">
        <v>275</v>
      </c>
      <c r="B12" s="107" t="s">
        <v>276</v>
      </c>
      <c r="C12" s="101">
        <v>1800</v>
      </c>
      <c r="D12" s="102">
        <f>C12-E12</f>
        <v>1620</v>
      </c>
      <c r="E12" s="103">
        <f>180*F12</f>
        <v>180</v>
      </c>
      <c r="F12" s="104">
        <v>1</v>
      </c>
      <c r="G12" s="105" t="str">
        <f>IF(D12=0,"Pago","Pendente")</f>
        <v>Pendente</v>
      </c>
      <c r="I12" t="s">
        <v>3</v>
      </c>
      <c r="J12" s="31">
        <f>J11-J8</f>
        <v>96</v>
      </c>
      <c r="L12" t="s">
        <v>3</v>
      </c>
      <c r="M12" s="31">
        <f>M11-M8</f>
        <v>56</v>
      </c>
      <c r="P12" s="20">
        <f>9*M12</f>
        <v>504</v>
      </c>
    </row>
    <row r="13" spans="1:16" ht="18.75" x14ac:dyDescent="0.25">
      <c r="A13" s="18"/>
      <c r="B13" s="107"/>
      <c r="C13" s="101"/>
      <c r="D13" s="102"/>
      <c r="E13" s="103"/>
      <c r="F13" s="104"/>
      <c r="G13" s="105"/>
      <c r="H13" s="22"/>
      <c r="M13" s="23"/>
    </row>
    <row r="14" spans="1:16" s="34" customFormat="1" ht="18.75" x14ac:dyDescent="0.25">
      <c r="A14" s="18"/>
      <c r="B14" s="107"/>
      <c r="C14" s="101"/>
      <c r="D14" s="102"/>
      <c r="E14" s="103"/>
      <c r="F14" s="104"/>
      <c r="G14" s="105"/>
      <c r="H14" s="22"/>
    </row>
    <row r="15" spans="1:16" ht="18.75" customHeight="1" x14ac:dyDescent="0.25">
      <c r="A15" s="18"/>
      <c r="B15" s="107"/>
      <c r="C15" s="101"/>
      <c r="D15" s="102"/>
      <c r="E15" s="103"/>
      <c r="F15" s="104"/>
      <c r="G15" s="105"/>
      <c r="H15" s="22"/>
      <c r="I15" t="s">
        <v>231</v>
      </c>
      <c r="J15" s="31">
        <f>J8</f>
        <v>165</v>
      </c>
      <c r="K15" s="31"/>
      <c r="L15" t="s">
        <v>231</v>
      </c>
      <c r="M15" s="31">
        <f>M8</f>
        <v>165</v>
      </c>
      <c r="N15" s="34"/>
      <c r="O15" s="34"/>
    </row>
    <row r="16" spans="1:16" ht="18.75" x14ac:dyDescent="0.25">
      <c r="A16" s="18"/>
      <c r="B16" s="107"/>
      <c r="C16" s="101"/>
      <c r="D16" s="102"/>
      <c r="E16" s="103"/>
      <c r="F16" s="104"/>
      <c r="G16" s="105"/>
      <c r="H16" s="22"/>
      <c r="I16" s="108" t="s">
        <v>232</v>
      </c>
      <c r="J16" s="110">
        <v>0.2</v>
      </c>
      <c r="K16" s="31"/>
      <c r="L16" s="108" t="s">
        <v>232</v>
      </c>
      <c r="M16" s="110">
        <v>0.2</v>
      </c>
      <c r="N16" s="34"/>
      <c r="O16" s="34"/>
    </row>
    <row r="17" spans="1:15" ht="21" x14ac:dyDescent="0.3">
      <c r="A17" s="106" t="s">
        <v>222</v>
      </c>
      <c r="B17" s="106"/>
      <c r="C17" s="95">
        <f>SUM(C9:C16)</f>
        <v>2230</v>
      </c>
      <c r="D17" s="95">
        <f>SUM(D9:D16)</f>
        <v>1835</v>
      </c>
      <c r="E17" s="95">
        <f>SUM(E9:E16)</f>
        <v>395</v>
      </c>
      <c r="F17" s="100"/>
      <c r="G17" s="94"/>
      <c r="H17" s="22"/>
      <c r="I17" t="s">
        <v>233</v>
      </c>
      <c r="J17" s="31">
        <v>250</v>
      </c>
      <c r="L17" t="s">
        <v>233</v>
      </c>
      <c r="M17" s="31">
        <v>144</v>
      </c>
      <c r="N17" s="34"/>
      <c r="O17" s="34"/>
    </row>
    <row r="18" spans="1:15" x14ac:dyDescent="0.25">
      <c r="H18" s="22"/>
      <c r="I18" t="s">
        <v>234</v>
      </c>
      <c r="J18" s="31">
        <f>SUM(J17-(J17*J16)-3)</f>
        <v>197</v>
      </c>
      <c r="L18" t="s">
        <v>234</v>
      </c>
      <c r="M18" s="31">
        <f>SUM(M17-(M17*M16)-3)</f>
        <v>112.2</v>
      </c>
      <c r="N18" s="34"/>
      <c r="O18" s="34"/>
    </row>
    <row r="19" spans="1:15" x14ac:dyDescent="0.25">
      <c r="I19" t="s">
        <v>3</v>
      </c>
      <c r="J19" s="31">
        <f>J18-J15</f>
        <v>32</v>
      </c>
      <c r="L19" t="s">
        <v>3</v>
      </c>
      <c r="M19" s="31">
        <f>M18-M15</f>
        <v>-52.8</v>
      </c>
      <c r="N19" s="34"/>
      <c r="O19" s="34"/>
    </row>
    <row r="20" spans="1:15" ht="21" customHeight="1" x14ac:dyDescent="0.25">
      <c r="N20" s="34"/>
      <c r="O20" s="34"/>
    </row>
    <row r="21" spans="1:15" x14ac:dyDescent="0.25">
      <c r="N21" s="34"/>
      <c r="O21" s="34"/>
    </row>
    <row r="22" spans="1:15" x14ac:dyDescent="0.25">
      <c r="N22" s="34"/>
      <c r="O22" s="34"/>
    </row>
    <row r="23" spans="1:15" x14ac:dyDescent="0.25">
      <c r="N23" s="34"/>
      <c r="O23" s="34"/>
    </row>
  </sheetData>
  <autoFilter ref="A10:G16" xr:uid="{00000000-0001-0000-0000-000000000000}">
    <sortState xmlns:xlrd2="http://schemas.microsoft.com/office/spreadsheetml/2017/richdata2" ref="A11:G17">
      <sortCondition ref="F10:F16"/>
    </sortState>
  </autoFilter>
  <mergeCells count="2">
    <mergeCell ref="N2:N3"/>
    <mergeCell ref="A1:C1"/>
  </mergeCells>
  <phoneticPr fontId="13" type="noConversion"/>
  <dataValidations disablePrompts="1" count="1">
    <dataValidation allowBlank="1" showInputMessage="1" showErrorMessage="1" promptTitle="Referente" prompt="A Setembro" sqref="A3:C3 E3:G3" xr:uid="{00000000-0002-0000-0000-000000000000}"/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7"/>
  <sheetViews>
    <sheetView topLeftCell="C15" zoomScale="70" zoomScaleNormal="70" workbookViewId="0">
      <selection activeCell="N35" sqref="N35"/>
    </sheetView>
  </sheetViews>
  <sheetFormatPr defaultRowHeight="23.25" x14ac:dyDescent="0.35"/>
  <cols>
    <col min="1" max="1" width="7.5703125" style="22" bestFit="1" customWidth="1"/>
    <col min="2" max="2" width="19.28515625" customWidth="1"/>
    <col min="3" max="3" width="14.85546875" style="34" bestFit="1" customWidth="1"/>
    <col min="4" max="8" width="14.85546875" bestFit="1" customWidth="1"/>
    <col min="9" max="10" width="13.5703125" bestFit="1" customWidth="1"/>
    <col min="11" max="11" width="15.42578125" bestFit="1" customWidth="1"/>
    <col min="12" max="14" width="14.85546875" bestFit="1" customWidth="1"/>
    <col min="15" max="15" width="22.85546875" style="132" bestFit="1" customWidth="1"/>
    <col min="16" max="16" width="12.5703125" bestFit="1" customWidth="1"/>
    <col min="17" max="17" width="19.7109375" style="139" bestFit="1" customWidth="1"/>
    <col min="18" max="21" width="22.85546875" bestFit="1" customWidth="1"/>
    <col min="22" max="22" width="24.5703125" bestFit="1" customWidth="1"/>
    <col min="23" max="23" width="20.140625" customWidth="1"/>
    <col min="24" max="24" width="12.5703125" bestFit="1" customWidth="1"/>
    <col min="25" max="25" width="15.140625" bestFit="1" customWidth="1"/>
    <col min="26" max="26" width="8.28515625" bestFit="1" customWidth="1"/>
    <col min="27" max="27" width="27.140625" bestFit="1" customWidth="1"/>
    <col min="28" max="28" width="20.85546875" bestFit="1" customWidth="1"/>
    <col min="29" max="29" width="22.7109375" bestFit="1" customWidth="1"/>
    <col min="30" max="30" width="20.42578125" bestFit="1" customWidth="1"/>
    <col min="31" max="31" width="12.28515625" bestFit="1" customWidth="1"/>
  </cols>
  <sheetData>
    <row r="1" spans="1:26" ht="42.75" customHeight="1" x14ac:dyDescent="0.25">
      <c r="A1" s="154" t="s">
        <v>49</v>
      </c>
      <c r="B1" s="1" t="s">
        <v>335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24" t="s">
        <v>19</v>
      </c>
      <c r="Q1" s="141" t="s">
        <v>49</v>
      </c>
      <c r="R1" s="141">
        <v>2019</v>
      </c>
      <c r="S1" s="141">
        <v>2020</v>
      </c>
      <c r="T1" s="141">
        <v>2021</v>
      </c>
      <c r="U1" s="141">
        <v>2022</v>
      </c>
      <c r="V1" s="141">
        <v>2023</v>
      </c>
      <c r="W1" s="141">
        <v>2024</v>
      </c>
    </row>
    <row r="2" spans="1:26" ht="31.5" customHeight="1" x14ac:dyDescent="0.25">
      <c r="A2" s="154">
        <v>2019</v>
      </c>
      <c r="B2" s="118" t="s">
        <v>18</v>
      </c>
      <c r="C2" s="119">
        <v>0</v>
      </c>
      <c r="D2" s="119">
        <v>0</v>
      </c>
      <c r="E2" s="119">
        <v>923.6</v>
      </c>
      <c r="F2" s="119">
        <v>1575.9899999999998</v>
      </c>
      <c r="G2" s="119">
        <v>2048.1999999999998</v>
      </c>
      <c r="H2" s="119">
        <v>2852.09</v>
      </c>
      <c r="I2" s="119">
        <v>3060.2299999999996</v>
      </c>
      <c r="J2" s="119">
        <v>2057.59</v>
      </c>
      <c r="K2" s="119">
        <v>2319.62</v>
      </c>
      <c r="L2" s="119">
        <v>5257.26</v>
      </c>
      <c r="M2" s="119">
        <v>1752.2399999999998</v>
      </c>
      <c r="N2" s="119">
        <v>2756.16</v>
      </c>
      <c r="O2" s="125">
        <f>SUM(C2:N2)</f>
        <v>24602.98</v>
      </c>
      <c r="Q2" s="140" t="s">
        <v>298</v>
      </c>
      <c r="R2" s="126">
        <v>41900.130000000005</v>
      </c>
      <c r="S2" s="126">
        <v>64616.149999999994</v>
      </c>
      <c r="T2" s="129">
        <v>97143.232066666664</v>
      </c>
      <c r="U2" s="129">
        <v>88605.963000000003</v>
      </c>
      <c r="V2" s="129">
        <v>44839.802599999995</v>
      </c>
      <c r="W2" s="129">
        <f>O29</f>
        <v>0</v>
      </c>
    </row>
    <row r="3" spans="1:26" x14ac:dyDescent="0.25">
      <c r="A3" s="154">
        <v>2019</v>
      </c>
      <c r="B3" s="120" t="s">
        <v>38</v>
      </c>
      <c r="C3" s="121">
        <v>310</v>
      </c>
      <c r="D3" s="121">
        <v>45</v>
      </c>
      <c r="E3" s="121">
        <v>1662</v>
      </c>
      <c r="F3" s="121">
        <v>2775.5</v>
      </c>
      <c r="G3" s="121">
        <v>3807</v>
      </c>
      <c r="H3" s="121">
        <v>5267</v>
      </c>
      <c r="I3" s="121">
        <v>5746.5</v>
      </c>
      <c r="J3" s="121">
        <v>3756.8</v>
      </c>
      <c r="K3" s="121">
        <v>4003.9</v>
      </c>
      <c r="L3" s="121">
        <v>6788.82</v>
      </c>
      <c r="M3" s="121">
        <v>3394.41</v>
      </c>
      <c r="N3" s="121">
        <v>4343.2</v>
      </c>
      <c r="O3" s="126">
        <f t="shared" ref="O3:O5" si="0">SUM(C3:N3)</f>
        <v>41900.130000000005</v>
      </c>
      <c r="Q3" s="140" t="s">
        <v>3</v>
      </c>
      <c r="R3" s="127">
        <v>20323.310000000001</v>
      </c>
      <c r="S3" s="127">
        <v>35323.149999999994</v>
      </c>
      <c r="T3" s="130">
        <v>53781.945400000011</v>
      </c>
      <c r="U3" s="130">
        <v>45852.796736000004</v>
      </c>
      <c r="V3" s="130">
        <v>23634.69213333333</v>
      </c>
      <c r="W3" s="130">
        <f>O30</f>
        <v>0</v>
      </c>
    </row>
    <row r="4" spans="1:26" x14ac:dyDescent="0.25">
      <c r="A4" s="154">
        <v>2019</v>
      </c>
      <c r="B4" s="1" t="s">
        <v>3</v>
      </c>
      <c r="C4" s="3">
        <v>310</v>
      </c>
      <c r="D4" s="3">
        <v>45</v>
      </c>
      <c r="E4" s="3">
        <v>738.4</v>
      </c>
      <c r="F4" s="3">
        <v>1199.51</v>
      </c>
      <c r="G4" s="3">
        <v>2048.1999999999998</v>
      </c>
      <c r="H4" s="3">
        <v>2414.91</v>
      </c>
      <c r="I4" s="3">
        <v>2686.27</v>
      </c>
      <c r="J4" s="3">
        <v>1788.21</v>
      </c>
      <c r="K4" s="3">
        <v>1684.2799999999997</v>
      </c>
      <c r="L4" s="3">
        <v>3284.3399999999992</v>
      </c>
      <c r="M4" s="3">
        <v>1642.17</v>
      </c>
      <c r="N4" s="3">
        <v>2482.0199999999995</v>
      </c>
      <c r="O4" s="127">
        <f t="shared" si="0"/>
        <v>20323.310000000001</v>
      </c>
      <c r="Q4" s="140" t="s">
        <v>299</v>
      </c>
      <c r="R4" s="138">
        <v>891</v>
      </c>
      <c r="S4" s="138">
        <v>1531</v>
      </c>
      <c r="T4" s="136">
        <v>4627</v>
      </c>
      <c r="U4" s="136">
        <v>2995</v>
      </c>
      <c r="V4" s="136">
        <v>824</v>
      </c>
      <c r="W4" s="136">
        <f>O31</f>
        <v>0</v>
      </c>
    </row>
    <row r="5" spans="1:26" x14ac:dyDescent="0.3">
      <c r="A5" s="154">
        <v>2019</v>
      </c>
      <c r="B5" s="133" t="s">
        <v>0</v>
      </c>
      <c r="C5" s="137">
        <v>0</v>
      </c>
      <c r="D5" s="135">
        <v>0</v>
      </c>
      <c r="E5" s="135">
        <v>40</v>
      </c>
      <c r="F5" s="134">
        <v>50</v>
      </c>
      <c r="G5" s="134">
        <v>75</v>
      </c>
      <c r="H5" s="134">
        <v>129</v>
      </c>
      <c r="I5" s="134">
        <v>150</v>
      </c>
      <c r="J5" s="134">
        <v>68</v>
      </c>
      <c r="K5" s="134">
        <v>66</v>
      </c>
      <c r="L5" s="134">
        <v>162</v>
      </c>
      <c r="M5" s="134">
        <v>79</v>
      </c>
      <c r="N5" s="134">
        <v>72</v>
      </c>
      <c r="O5" s="138">
        <f t="shared" si="0"/>
        <v>891</v>
      </c>
    </row>
    <row r="6" spans="1:26" x14ac:dyDescent="0.3">
      <c r="A6" s="154">
        <v>2020</v>
      </c>
      <c r="B6" s="118" t="s">
        <v>18</v>
      </c>
      <c r="C6" s="119">
        <v>1482.3999999999999</v>
      </c>
      <c r="D6" s="119">
        <v>1348.19</v>
      </c>
      <c r="E6" s="119">
        <v>1501.3700000000001</v>
      </c>
      <c r="F6" s="119">
        <v>3123.31</v>
      </c>
      <c r="G6" s="119">
        <v>4743.9600000000028</v>
      </c>
      <c r="H6" s="119">
        <v>2795.7500000000005</v>
      </c>
      <c r="I6" s="119">
        <v>2287.08</v>
      </c>
      <c r="J6" s="119">
        <v>2519.5</v>
      </c>
      <c r="K6" s="119">
        <v>2261.71</v>
      </c>
      <c r="L6" s="119">
        <v>1695.72</v>
      </c>
      <c r="M6" s="119">
        <v>2108.77</v>
      </c>
      <c r="N6" s="119">
        <v>3461.24</v>
      </c>
      <c r="O6" s="125">
        <v>29329.000000000007</v>
      </c>
    </row>
    <row r="7" spans="1:26" ht="30" customHeight="1" x14ac:dyDescent="0.3">
      <c r="A7" s="154">
        <v>2020</v>
      </c>
      <c r="B7" s="120" t="s">
        <v>38</v>
      </c>
      <c r="C7" s="121">
        <v>4122.2999999999993</v>
      </c>
      <c r="D7" s="121">
        <v>2617</v>
      </c>
      <c r="E7" s="121">
        <v>3257.75</v>
      </c>
      <c r="F7" s="121">
        <v>6498</v>
      </c>
      <c r="G7" s="121">
        <v>10370.5</v>
      </c>
      <c r="H7" s="121">
        <v>6103.99</v>
      </c>
      <c r="I7" s="121">
        <v>5556</v>
      </c>
      <c r="J7" s="121">
        <v>5025</v>
      </c>
      <c r="K7" s="121">
        <v>5004</v>
      </c>
      <c r="L7" s="121">
        <v>3885</v>
      </c>
      <c r="M7" s="121">
        <v>4560.45</v>
      </c>
      <c r="N7" s="121">
        <v>7616.1599999999989</v>
      </c>
      <c r="O7" s="126">
        <v>64616.149999999994</v>
      </c>
    </row>
    <row r="8" spans="1:26" ht="31.5" customHeight="1" x14ac:dyDescent="0.3">
      <c r="A8" s="154">
        <v>2020</v>
      </c>
      <c r="B8" s="1" t="s">
        <v>3</v>
      </c>
      <c r="C8" s="3">
        <v>2639.9000000000005</v>
      </c>
      <c r="D8" s="3">
        <v>1268.81</v>
      </c>
      <c r="E8" s="3">
        <v>1756.3799999999999</v>
      </c>
      <c r="F8" s="3">
        <v>3374.69</v>
      </c>
      <c r="G8" s="3">
        <v>5626.5399999999981</v>
      </c>
      <c r="H8" s="3">
        <v>3308.2399999999993</v>
      </c>
      <c r="I8" s="3">
        <v>3268.92</v>
      </c>
      <c r="J8" s="3">
        <v>2505.5</v>
      </c>
      <c r="K8" s="3">
        <v>2742.29</v>
      </c>
      <c r="L8" s="3">
        <v>2189.2800000000002</v>
      </c>
      <c r="M8" s="3">
        <v>2451.6800000000003</v>
      </c>
      <c r="N8" s="3">
        <v>4190.92</v>
      </c>
      <c r="O8" s="127">
        <v>35323.149999999994</v>
      </c>
    </row>
    <row r="9" spans="1:26" x14ac:dyDescent="0.3">
      <c r="A9" s="154">
        <v>2020</v>
      </c>
      <c r="B9" s="133" t="s">
        <v>0</v>
      </c>
      <c r="C9" s="135">
        <v>63</v>
      </c>
      <c r="D9" s="135">
        <v>53</v>
      </c>
      <c r="E9" s="135">
        <v>79</v>
      </c>
      <c r="F9" s="134">
        <v>148</v>
      </c>
      <c r="G9" s="134">
        <v>255</v>
      </c>
      <c r="H9" s="134">
        <v>124</v>
      </c>
      <c r="I9" s="134">
        <v>112</v>
      </c>
      <c r="J9" s="134">
        <v>78</v>
      </c>
      <c r="K9" s="134">
        <v>140</v>
      </c>
      <c r="L9" s="134">
        <v>67</v>
      </c>
      <c r="M9" s="134">
        <v>158</v>
      </c>
      <c r="N9" s="134">
        <v>254</v>
      </c>
      <c r="O9" s="138">
        <v>1531</v>
      </c>
    </row>
    <row r="10" spans="1:26" x14ac:dyDescent="0.3">
      <c r="A10" s="154">
        <v>2021</v>
      </c>
      <c r="B10" s="118" t="s">
        <v>18</v>
      </c>
      <c r="C10" s="122">
        <v>3701.8</v>
      </c>
      <c r="D10" s="119">
        <v>5248.7</v>
      </c>
      <c r="E10" s="119">
        <v>1893.7416666666668</v>
      </c>
      <c r="F10" s="122">
        <v>7240.8</v>
      </c>
      <c r="G10" s="122">
        <v>3278.5666666666666</v>
      </c>
      <c r="H10" s="122">
        <v>3220.74</v>
      </c>
      <c r="I10" s="122">
        <v>2126.1833333333334</v>
      </c>
      <c r="J10" s="122">
        <v>5508.6966666666658</v>
      </c>
      <c r="K10" s="122">
        <v>2017.2200000000003</v>
      </c>
      <c r="L10" s="122">
        <v>4107.8999999999996</v>
      </c>
      <c r="M10" s="122">
        <v>3150.4</v>
      </c>
      <c r="N10" s="122">
        <v>3798.5466666666662</v>
      </c>
      <c r="O10" s="128">
        <v>45293.295000000006</v>
      </c>
    </row>
    <row r="11" spans="1:26" x14ac:dyDescent="0.3">
      <c r="A11" s="154">
        <v>2021</v>
      </c>
      <c r="B11" s="120" t="s">
        <v>38</v>
      </c>
      <c r="C11" s="123">
        <v>7125.449999999998</v>
      </c>
      <c r="D11" s="121">
        <v>11712.679999999997</v>
      </c>
      <c r="E11" s="121">
        <v>8961.0416666666661</v>
      </c>
      <c r="F11" s="123">
        <v>14329.375</v>
      </c>
      <c r="G11" s="123">
        <v>7054.3499999999995</v>
      </c>
      <c r="H11" s="123">
        <v>6008.82</v>
      </c>
      <c r="I11" s="123">
        <v>4830.6499999999987</v>
      </c>
      <c r="J11" s="123">
        <v>5830.1100000000015</v>
      </c>
      <c r="K11" s="123">
        <v>10125.51</v>
      </c>
      <c r="L11" s="123">
        <v>8220.23</v>
      </c>
      <c r="M11" s="123">
        <v>6205.0199999999995</v>
      </c>
      <c r="N11" s="123">
        <v>6739.9953999999998</v>
      </c>
      <c r="O11" s="129">
        <v>97143.232066666664</v>
      </c>
    </row>
    <row r="12" spans="1:26" x14ac:dyDescent="0.3">
      <c r="A12" s="154">
        <v>2021</v>
      </c>
      <c r="B12" s="1" t="s">
        <v>3</v>
      </c>
      <c r="C12" s="5">
        <v>3423.650000000001</v>
      </c>
      <c r="D12" s="3">
        <v>6463.9800000000005</v>
      </c>
      <c r="E12" s="3">
        <v>8483.6883333333353</v>
      </c>
      <c r="F12" s="5">
        <v>7088.5749999999998</v>
      </c>
      <c r="G12" s="5">
        <v>3775.7833333333338</v>
      </c>
      <c r="H12" s="5">
        <v>3109.7799999999988</v>
      </c>
      <c r="I12" s="5">
        <v>2704.4666666666672</v>
      </c>
      <c r="J12" s="5">
        <v>3012.4933333333329</v>
      </c>
      <c r="K12" s="5">
        <v>5233.8899999999994</v>
      </c>
      <c r="L12" s="5">
        <v>4112.329999999999</v>
      </c>
      <c r="M12" s="5">
        <v>3054.62</v>
      </c>
      <c r="N12" s="5">
        <v>3318.6887333333339</v>
      </c>
      <c r="O12" s="130">
        <v>53781.945400000011</v>
      </c>
    </row>
    <row r="13" spans="1:26" ht="30" customHeight="1" x14ac:dyDescent="0.3">
      <c r="A13" s="154">
        <v>2021</v>
      </c>
      <c r="B13" s="133" t="s">
        <v>0</v>
      </c>
      <c r="C13" s="137">
        <v>319</v>
      </c>
      <c r="D13" s="135">
        <v>696</v>
      </c>
      <c r="E13" s="135">
        <v>517</v>
      </c>
      <c r="F13" s="134">
        <v>481</v>
      </c>
      <c r="G13" s="134">
        <v>364</v>
      </c>
      <c r="H13" s="134">
        <v>292</v>
      </c>
      <c r="I13" s="134">
        <v>223</v>
      </c>
      <c r="J13" s="134">
        <v>201</v>
      </c>
      <c r="K13" s="134">
        <v>527</v>
      </c>
      <c r="L13" s="134">
        <v>245</v>
      </c>
      <c r="M13" s="134">
        <v>367</v>
      </c>
      <c r="N13" s="134">
        <v>395</v>
      </c>
      <c r="O13" s="136">
        <v>4627</v>
      </c>
    </row>
    <row r="14" spans="1:26" ht="33" customHeight="1" x14ac:dyDescent="0.3">
      <c r="A14" s="154">
        <v>2021</v>
      </c>
      <c r="B14" s="2" t="s">
        <v>296</v>
      </c>
      <c r="C14" s="4">
        <v>38</v>
      </c>
      <c r="D14" s="6">
        <v>60</v>
      </c>
      <c r="E14" s="6">
        <v>42</v>
      </c>
      <c r="F14" s="7">
        <v>27</v>
      </c>
      <c r="G14" s="7">
        <v>35</v>
      </c>
      <c r="H14" s="7">
        <v>14</v>
      </c>
      <c r="I14" s="7">
        <v>24</v>
      </c>
      <c r="J14" s="7">
        <v>38</v>
      </c>
      <c r="K14" s="7">
        <v>53</v>
      </c>
      <c r="L14" s="7">
        <v>32</v>
      </c>
      <c r="M14" s="7">
        <v>26</v>
      </c>
      <c r="N14" s="7">
        <v>31</v>
      </c>
      <c r="O14" s="131">
        <v>420</v>
      </c>
    </row>
    <row r="15" spans="1:26" x14ac:dyDescent="0.3">
      <c r="A15" s="154">
        <v>2021</v>
      </c>
      <c r="B15" s="2" t="s">
        <v>297</v>
      </c>
      <c r="C15" s="4">
        <v>281</v>
      </c>
      <c r="D15" s="6">
        <v>636</v>
      </c>
      <c r="E15" s="6">
        <v>475</v>
      </c>
      <c r="F15" s="7">
        <v>458</v>
      </c>
      <c r="G15" s="7">
        <v>338</v>
      </c>
      <c r="H15" s="7">
        <v>278</v>
      </c>
      <c r="I15" s="7">
        <v>199</v>
      </c>
      <c r="J15" s="7">
        <v>163</v>
      </c>
      <c r="K15" s="7">
        <v>474</v>
      </c>
      <c r="L15" s="7">
        <v>213</v>
      </c>
      <c r="M15" s="7">
        <v>341</v>
      </c>
      <c r="N15" s="7">
        <v>364</v>
      </c>
      <c r="O15" s="131">
        <v>4220</v>
      </c>
    </row>
    <row r="16" spans="1:26" x14ac:dyDescent="0.3">
      <c r="A16" s="154">
        <v>2022</v>
      </c>
      <c r="B16" s="118" t="s">
        <v>18</v>
      </c>
      <c r="C16" s="122">
        <v>4643.1000000000004</v>
      </c>
      <c r="D16" s="119">
        <v>3787.1</v>
      </c>
      <c r="E16" s="119">
        <v>6571.1</v>
      </c>
      <c r="F16" s="122">
        <v>2163.6</v>
      </c>
      <c r="G16" s="122">
        <v>3622.6</v>
      </c>
      <c r="H16" s="122">
        <v>2999.55</v>
      </c>
      <c r="I16" s="122">
        <v>2264.1</v>
      </c>
      <c r="J16" s="122">
        <v>3664.4</v>
      </c>
      <c r="K16" s="122">
        <v>2539.8000000000002</v>
      </c>
      <c r="L16" s="122">
        <v>2098.15</v>
      </c>
      <c r="M16" s="122">
        <v>5459.73</v>
      </c>
      <c r="N16" s="122">
        <v>2153.8000000000002</v>
      </c>
      <c r="O16" s="128">
        <v>41967.03</v>
      </c>
      <c r="Z16" s="20"/>
    </row>
    <row r="17" spans="1:15" x14ac:dyDescent="0.3">
      <c r="A17" s="154">
        <v>2022</v>
      </c>
      <c r="B17" s="120" t="s">
        <v>38</v>
      </c>
      <c r="C17" s="123">
        <v>10439.120000000001</v>
      </c>
      <c r="D17" s="121">
        <v>11169.929999999998</v>
      </c>
      <c r="E17" s="121">
        <v>10463.703000000001</v>
      </c>
      <c r="F17" s="123">
        <v>9215.93</v>
      </c>
      <c r="G17" s="123">
        <v>7515.0700000000006</v>
      </c>
      <c r="H17" s="123">
        <v>6248.72</v>
      </c>
      <c r="I17" s="123">
        <v>4870.7799999999988</v>
      </c>
      <c r="J17" s="123">
        <v>7412.8700000000008</v>
      </c>
      <c r="K17" s="123">
        <v>4764.0599999999995</v>
      </c>
      <c r="L17" s="123">
        <v>6044.48</v>
      </c>
      <c r="M17" s="123">
        <v>5981.4099999999989</v>
      </c>
      <c r="N17" s="123">
        <v>4479.8900000000003</v>
      </c>
      <c r="O17" s="129">
        <v>88605.963000000003</v>
      </c>
    </row>
    <row r="18" spans="1:15" x14ac:dyDescent="0.3">
      <c r="A18" s="154">
        <v>2022</v>
      </c>
      <c r="B18" s="1" t="s">
        <v>3</v>
      </c>
      <c r="C18" s="5">
        <v>6435.4783999999991</v>
      </c>
      <c r="D18" s="3">
        <v>7102.8606</v>
      </c>
      <c r="E18" s="3">
        <v>3902.0731360000004</v>
      </c>
      <c r="F18" s="5">
        <v>5881.0816000000004</v>
      </c>
      <c r="G18" s="5">
        <v>4254.4841999999999</v>
      </c>
      <c r="H18" s="5">
        <v>2789.4193999999989</v>
      </c>
      <c r="I18" s="5">
        <v>2069.13</v>
      </c>
      <c r="J18" s="5">
        <v>3289.1154000000006</v>
      </c>
      <c r="K18" s="5">
        <v>2224.2599999999998</v>
      </c>
      <c r="L18" s="5">
        <v>2965.1460000000011</v>
      </c>
      <c r="M18" s="5">
        <v>2613.6579999999999</v>
      </c>
      <c r="N18" s="5">
        <v>2326.09</v>
      </c>
      <c r="O18" s="130">
        <v>45852.796736000004</v>
      </c>
    </row>
    <row r="19" spans="1:15" x14ac:dyDescent="0.3">
      <c r="A19" s="154">
        <v>2022</v>
      </c>
      <c r="B19" s="133" t="s">
        <v>0</v>
      </c>
      <c r="C19" s="137">
        <v>715</v>
      </c>
      <c r="D19" s="135">
        <v>458</v>
      </c>
      <c r="E19" s="135">
        <v>283</v>
      </c>
      <c r="F19" s="134">
        <v>462</v>
      </c>
      <c r="G19" s="134">
        <v>151</v>
      </c>
      <c r="H19" s="134">
        <v>164</v>
      </c>
      <c r="I19" s="134">
        <v>142</v>
      </c>
      <c r="J19" s="134">
        <v>173</v>
      </c>
      <c r="K19" s="134">
        <v>109</v>
      </c>
      <c r="L19" s="134">
        <v>90</v>
      </c>
      <c r="M19" s="134">
        <v>153</v>
      </c>
      <c r="N19" s="134">
        <v>95</v>
      </c>
      <c r="O19" s="136">
        <v>2995</v>
      </c>
    </row>
    <row r="20" spans="1:15" x14ac:dyDescent="0.3">
      <c r="A20" s="154">
        <v>2022</v>
      </c>
      <c r="B20" s="2" t="s">
        <v>296</v>
      </c>
      <c r="C20" s="4">
        <v>17</v>
      </c>
      <c r="D20" s="6">
        <v>23</v>
      </c>
      <c r="E20" s="6">
        <v>41</v>
      </c>
      <c r="F20" s="7">
        <v>27</v>
      </c>
      <c r="G20" s="7">
        <v>44</v>
      </c>
      <c r="H20" s="7">
        <v>26</v>
      </c>
      <c r="I20" s="7">
        <v>32</v>
      </c>
      <c r="J20" s="7">
        <v>31</v>
      </c>
      <c r="K20" s="7">
        <v>58</v>
      </c>
      <c r="L20" s="7">
        <v>37</v>
      </c>
      <c r="M20" s="7">
        <v>93</v>
      </c>
      <c r="N20" s="7">
        <v>52</v>
      </c>
      <c r="O20" s="131">
        <v>481</v>
      </c>
    </row>
    <row r="21" spans="1:15" ht="30" customHeight="1" x14ac:dyDescent="0.3">
      <c r="A21" s="154">
        <v>2022</v>
      </c>
      <c r="B21" s="2" t="s">
        <v>297</v>
      </c>
      <c r="C21" s="4">
        <v>698</v>
      </c>
      <c r="D21" s="6">
        <v>435</v>
      </c>
      <c r="E21" s="6">
        <v>242</v>
      </c>
      <c r="F21" s="7">
        <v>435</v>
      </c>
      <c r="G21" s="7">
        <v>107</v>
      </c>
      <c r="H21" s="7">
        <v>138</v>
      </c>
      <c r="I21" s="7">
        <v>110</v>
      </c>
      <c r="J21" s="7">
        <v>142</v>
      </c>
      <c r="K21" s="7">
        <v>51</v>
      </c>
      <c r="L21" s="7">
        <v>53</v>
      </c>
      <c r="M21" s="7">
        <v>60</v>
      </c>
      <c r="N21" s="7">
        <v>43</v>
      </c>
      <c r="O21" s="131">
        <v>2514</v>
      </c>
    </row>
    <row r="22" spans="1:15" x14ac:dyDescent="0.3">
      <c r="A22" s="154">
        <v>2023</v>
      </c>
      <c r="B22" s="118" t="s">
        <v>18</v>
      </c>
      <c r="C22" s="122">
        <v>4097.3999999999996</v>
      </c>
      <c r="D22" s="119">
        <v>3359.3999999999996</v>
      </c>
      <c r="E22" s="119">
        <v>4619.1000000000004</v>
      </c>
      <c r="F22" s="122">
        <v>877.3</v>
      </c>
      <c r="G22" s="122">
        <v>1963.7</v>
      </c>
      <c r="H22" s="122">
        <v>3237</v>
      </c>
      <c r="I22" s="122">
        <v>685</v>
      </c>
      <c r="J22" s="122">
        <v>1414.5416666666667</v>
      </c>
      <c r="K22" s="122">
        <v>643.12</v>
      </c>
      <c r="L22" s="122">
        <v>1792</v>
      </c>
      <c r="M22" s="122">
        <v>1992.5</v>
      </c>
      <c r="N22" s="122">
        <v>0</v>
      </c>
      <c r="O22" s="128">
        <f>SUM(C22:N22)</f>
        <v>24681.061666666668</v>
      </c>
    </row>
    <row r="23" spans="1:15" x14ac:dyDescent="0.3">
      <c r="A23" s="154">
        <v>2023</v>
      </c>
      <c r="B23" s="120" t="s">
        <v>38</v>
      </c>
      <c r="C23" s="123">
        <v>8802.5199999999986</v>
      </c>
      <c r="D23" s="121">
        <v>9008.9599999999991</v>
      </c>
      <c r="E23" s="121">
        <v>3882.9049999999997</v>
      </c>
      <c r="F23" s="123">
        <v>2030.4499999999998</v>
      </c>
      <c r="G23" s="123">
        <v>3931.45</v>
      </c>
      <c r="H23" s="123">
        <v>3075.3200000000011</v>
      </c>
      <c r="I23" s="123">
        <v>1170.24</v>
      </c>
      <c r="J23" s="123">
        <v>2651.599999999999</v>
      </c>
      <c r="K23" s="123">
        <v>3415.5899999999992</v>
      </c>
      <c r="L23" s="123">
        <v>3008.7799999999997</v>
      </c>
      <c r="M23" s="123">
        <v>3533.1875999999993</v>
      </c>
      <c r="N23" s="123">
        <v>0</v>
      </c>
      <c r="O23" s="129">
        <f t="shared" ref="O23:O33" si="1">SUM(C23:N23)</f>
        <v>44511.002599999993</v>
      </c>
    </row>
    <row r="24" spans="1:15" x14ac:dyDescent="0.3">
      <c r="A24" s="154">
        <v>2023</v>
      </c>
      <c r="B24" s="1" t="s">
        <v>3</v>
      </c>
      <c r="C24" s="5">
        <v>4370.4599999999982</v>
      </c>
      <c r="D24" s="3">
        <v>4017.648000000001</v>
      </c>
      <c r="E24" s="3">
        <v>3468.3099999999995</v>
      </c>
      <c r="F24" s="5">
        <v>993.67600000000004</v>
      </c>
      <c r="G24" s="5">
        <v>1967.7499999999995</v>
      </c>
      <c r="H24" s="5">
        <v>2065.6559999999999</v>
      </c>
      <c r="I24" s="5">
        <v>485.24</v>
      </c>
      <c r="J24" s="5">
        <v>1237.0583333333336</v>
      </c>
      <c r="K24" s="5">
        <v>2772.4699999999993</v>
      </c>
      <c r="L24" s="5">
        <v>1216.78</v>
      </c>
      <c r="M24" s="5">
        <v>1017.3438</v>
      </c>
      <c r="N24" s="5">
        <v>0</v>
      </c>
      <c r="O24" s="130">
        <f t="shared" si="1"/>
        <v>23612.392133333331</v>
      </c>
    </row>
    <row r="25" spans="1:15" x14ac:dyDescent="0.3">
      <c r="A25" s="154">
        <v>2023</v>
      </c>
      <c r="B25" s="133" t="s">
        <v>0</v>
      </c>
      <c r="C25" s="134">
        <v>107</v>
      </c>
      <c r="D25" s="135">
        <v>91</v>
      </c>
      <c r="E25" s="135">
        <v>99</v>
      </c>
      <c r="F25" s="134">
        <v>40</v>
      </c>
      <c r="G25" s="134">
        <v>92</v>
      </c>
      <c r="H25" s="134">
        <v>95</v>
      </c>
      <c r="I25" s="134">
        <v>17</v>
      </c>
      <c r="J25" s="134">
        <v>81</v>
      </c>
      <c r="K25" s="134">
        <v>46</v>
      </c>
      <c r="L25" s="134">
        <v>84</v>
      </c>
      <c r="M25" s="134">
        <v>62</v>
      </c>
      <c r="N25" s="134">
        <v>0</v>
      </c>
      <c r="O25" s="136">
        <f t="shared" si="1"/>
        <v>814</v>
      </c>
    </row>
    <row r="26" spans="1:15" x14ac:dyDescent="0.3">
      <c r="A26" s="154">
        <v>2023</v>
      </c>
      <c r="B26" s="2" t="s">
        <v>296</v>
      </c>
      <c r="C26" s="7">
        <v>40</v>
      </c>
      <c r="D26" s="6">
        <v>30</v>
      </c>
      <c r="E26" s="6">
        <v>36</v>
      </c>
      <c r="F26" s="7">
        <v>8</v>
      </c>
      <c r="G26" s="7">
        <v>35</v>
      </c>
      <c r="H26" s="7">
        <v>22</v>
      </c>
      <c r="I26" s="7">
        <v>14</v>
      </c>
      <c r="J26" s="7">
        <v>19</v>
      </c>
      <c r="K26" s="7">
        <v>13</v>
      </c>
      <c r="L26" s="7">
        <v>19</v>
      </c>
      <c r="M26" s="7">
        <v>19</v>
      </c>
      <c r="N26" s="7">
        <v>0</v>
      </c>
      <c r="O26" s="131">
        <f t="shared" si="1"/>
        <v>255</v>
      </c>
    </row>
    <row r="27" spans="1:15" x14ac:dyDescent="0.3">
      <c r="A27" s="154">
        <v>2023</v>
      </c>
      <c r="B27" s="2" t="s">
        <v>297</v>
      </c>
      <c r="C27" s="7">
        <v>67</v>
      </c>
      <c r="D27" s="6">
        <v>61</v>
      </c>
      <c r="E27" s="6">
        <v>63</v>
      </c>
      <c r="F27" s="7">
        <v>32</v>
      </c>
      <c r="G27" s="7">
        <v>57</v>
      </c>
      <c r="H27" s="7">
        <v>73</v>
      </c>
      <c r="I27" s="7">
        <v>3</v>
      </c>
      <c r="J27" s="7">
        <v>62</v>
      </c>
      <c r="K27" s="7">
        <v>33</v>
      </c>
      <c r="L27" s="7">
        <v>65</v>
      </c>
      <c r="M27" s="7">
        <v>43</v>
      </c>
      <c r="N27" s="7">
        <v>0</v>
      </c>
      <c r="O27" s="131">
        <f t="shared" si="1"/>
        <v>559</v>
      </c>
    </row>
    <row r="28" spans="1:15" x14ac:dyDescent="0.3">
      <c r="A28" s="154">
        <v>2024</v>
      </c>
      <c r="B28" s="118" t="s">
        <v>18</v>
      </c>
      <c r="C28" s="122">
        <v>0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8">
        <f>SUM(C28:N28)</f>
        <v>0</v>
      </c>
    </row>
    <row r="29" spans="1:15" x14ac:dyDescent="0.3">
      <c r="A29" s="154">
        <v>2024</v>
      </c>
      <c r="B29" s="120" t="s">
        <v>38</v>
      </c>
      <c r="C29" s="123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0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9">
        <f t="shared" si="1"/>
        <v>0</v>
      </c>
    </row>
    <row r="30" spans="1:15" x14ac:dyDescent="0.3">
      <c r="A30" s="154">
        <v>2024</v>
      </c>
      <c r="B30" s="1" t="s">
        <v>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130">
        <f t="shared" si="1"/>
        <v>0</v>
      </c>
    </row>
    <row r="31" spans="1:15" x14ac:dyDescent="0.3">
      <c r="A31" s="154">
        <v>2024</v>
      </c>
      <c r="B31" s="133" t="s">
        <v>0</v>
      </c>
      <c r="C31" s="134">
        <v>0</v>
      </c>
      <c r="D31" s="134">
        <v>0</v>
      </c>
      <c r="E31" s="134">
        <v>0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4">
        <v>0</v>
      </c>
      <c r="M31" s="134">
        <v>0</v>
      </c>
      <c r="N31" s="134">
        <v>0</v>
      </c>
      <c r="O31" s="136">
        <f t="shared" si="1"/>
        <v>0</v>
      </c>
    </row>
    <row r="32" spans="1:15" x14ac:dyDescent="0.3">
      <c r="A32" s="154">
        <v>2024</v>
      </c>
      <c r="B32" s="2" t="s">
        <v>296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131">
        <f t="shared" si="1"/>
        <v>0</v>
      </c>
    </row>
    <row r="33" spans="1:22" x14ac:dyDescent="0.3">
      <c r="A33" s="154">
        <v>2024</v>
      </c>
      <c r="B33" s="2" t="s">
        <v>297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131">
        <f t="shared" si="1"/>
        <v>0</v>
      </c>
    </row>
    <row r="34" spans="1:22" x14ac:dyDescent="0.35">
      <c r="C34"/>
    </row>
    <row r="35" spans="1:22" x14ac:dyDescent="0.35">
      <c r="C35"/>
    </row>
    <row r="36" spans="1:22" x14ac:dyDescent="0.35">
      <c r="C36"/>
    </row>
    <row r="37" spans="1:22" x14ac:dyDescent="0.35">
      <c r="C37"/>
      <c r="U37" s="8"/>
      <c r="V37" s="8"/>
    </row>
    <row r="38" spans="1:22" x14ac:dyDescent="0.35">
      <c r="C38"/>
    </row>
    <row r="39" spans="1:22" x14ac:dyDescent="0.35">
      <c r="C39"/>
    </row>
    <row r="40" spans="1:22" x14ac:dyDescent="0.35">
      <c r="C40"/>
    </row>
    <row r="41" spans="1:22" x14ac:dyDescent="0.35">
      <c r="C41"/>
    </row>
    <row r="42" spans="1:22" x14ac:dyDescent="0.35">
      <c r="C42"/>
    </row>
    <row r="43" spans="1:22" x14ac:dyDescent="0.35">
      <c r="C43"/>
    </row>
    <row r="44" spans="1:22" x14ac:dyDescent="0.35">
      <c r="C44"/>
    </row>
    <row r="69" spans="18:18" x14ac:dyDescent="0.35">
      <c r="R69" s="20"/>
    </row>
    <row r="147" spans="11:11" x14ac:dyDescent="0.35">
      <c r="K147" s="9"/>
    </row>
  </sheetData>
  <conditionalFormatting sqref="Q1:Q4">
    <cfRule type="expression" dxfId="45" priority="55">
      <formula>#REF! = "Pendente"</formula>
    </cfRule>
    <cfRule type="expression" dxfId="44" priority="56">
      <formula>#REF! = "Tem que compra"</formula>
    </cfRule>
    <cfRule type="expression" dxfId="43" priority="57">
      <formula>#REF! = "Atacado"</formula>
    </cfRule>
  </conditionalFormatting>
  <conditionalFormatting sqref="Q2:Q4">
    <cfRule type="expression" dxfId="42" priority="1">
      <formula>#REF! = "Entregar"</formula>
    </cfRule>
    <cfRule type="expression" dxfId="41" priority="2">
      <formula>#REF! = "Vendido"</formula>
    </cfRule>
    <cfRule type="expression" dxfId="40" priority="3">
      <formula>#REF! = "Estoque"</formula>
    </cfRule>
  </conditionalFormatting>
  <conditionalFormatting sqref="Q1:W1">
    <cfRule type="expression" dxfId="39" priority="52">
      <formula>#REF! = "Entregar"</formula>
    </cfRule>
    <cfRule type="expression" dxfId="38" priority="53">
      <formula>#REF! = "Vendido"</formula>
    </cfRule>
    <cfRule type="expression" dxfId="37" priority="54">
      <formula>#REF! = "Estoque"</formula>
    </cfRule>
  </conditionalFormatting>
  <conditionalFormatting sqref="R1:W1">
    <cfRule type="expression" dxfId="36" priority="67">
      <formula>#REF! = "Pendente"</formula>
    </cfRule>
    <cfRule type="expression" dxfId="35" priority="68">
      <formula>#REF! = "Tem que compra"</formula>
    </cfRule>
    <cfRule type="expression" dxfId="34" priority="69">
      <formula>#REF! = "Atacado"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52CF-5A90-455C-BCE6-2C12DD1EFD51}">
  <dimension ref="A1:H73"/>
  <sheetViews>
    <sheetView zoomScale="70" zoomScaleNormal="70" workbookViewId="0">
      <selection activeCell="K7" sqref="K7"/>
    </sheetView>
  </sheetViews>
  <sheetFormatPr defaultRowHeight="15" x14ac:dyDescent="0.25"/>
  <cols>
    <col min="1" max="1" width="7.5703125" bestFit="1" customWidth="1"/>
    <col min="2" max="2" width="14.85546875" bestFit="1" customWidth="1"/>
    <col min="3" max="5" width="22.85546875" bestFit="1" customWidth="1"/>
    <col min="6" max="6" width="10.7109375" bestFit="1" customWidth="1"/>
    <col min="7" max="7" width="11" bestFit="1" customWidth="1"/>
    <col min="8" max="8" width="13.42578125" bestFit="1" customWidth="1"/>
  </cols>
  <sheetData>
    <row r="1" spans="1:8" ht="59.25" customHeight="1" x14ac:dyDescent="0.25">
      <c r="A1" s="155" t="s">
        <v>49</v>
      </c>
      <c r="B1" s="155" t="s">
        <v>336</v>
      </c>
      <c r="C1" s="156" t="s">
        <v>18</v>
      </c>
      <c r="D1" s="157" t="s">
        <v>38</v>
      </c>
      <c r="E1" s="155" t="s">
        <v>3</v>
      </c>
      <c r="F1" s="158" t="s">
        <v>0</v>
      </c>
      <c r="G1" s="159" t="s">
        <v>296</v>
      </c>
      <c r="H1" s="159" t="s">
        <v>297</v>
      </c>
    </row>
    <row r="2" spans="1:8" ht="21" x14ac:dyDescent="0.25">
      <c r="A2" s="155">
        <v>2019</v>
      </c>
      <c r="B2" s="155" t="s">
        <v>5</v>
      </c>
      <c r="C2" s="119">
        <v>0</v>
      </c>
      <c r="D2" s="121">
        <v>310</v>
      </c>
      <c r="E2" s="3">
        <v>310</v>
      </c>
      <c r="F2" s="137">
        <v>0</v>
      </c>
      <c r="G2" s="4">
        <v>0</v>
      </c>
      <c r="H2" s="4">
        <v>0</v>
      </c>
    </row>
    <row r="3" spans="1:8" ht="21" x14ac:dyDescent="0.25">
      <c r="A3" s="155">
        <v>2019</v>
      </c>
      <c r="B3" s="155" t="s">
        <v>7</v>
      </c>
      <c r="C3" s="119">
        <v>0</v>
      </c>
      <c r="D3" s="121">
        <v>45</v>
      </c>
      <c r="E3" s="3">
        <v>45</v>
      </c>
      <c r="F3" s="135">
        <v>0</v>
      </c>
      <c r="G3" s="4">
        <v>0</v>
      </c>
      <c r="H3" s="4">
        <v>0</v>
      </c>
    </row>
    <row r="4" spans="1:8" ht="21" x14ac:dyDescent="0.25">
      <c r="A4" s="155">
        <v>2019</v>
      </c>
      <c r="B4" s="155" t="s">
        <v>8</v>
      </c>
      <c r="C4" s="119">
        <v>923.6</v>
      </c>
      <c r="D4" s="121">
        <v>1662</v>
      </c>
      <c r="E4" s="3">
        <v>738.4</v>
      </c>
      <c r="F4" s="135">
        <v>40</v>
      </c>
      <c r="G4" s="4">
        <v>0</v>
      </c>
      <c r="H4" s="4">
        <v>0</v>
      </c>
    </row>
    <row r="5" spans="1:8" ht="21" x14ac:dyDescent="0.25">
      <c r="A5" s="155">
        <v>2019</v>
      </c>
      <c r="B5" s="155" t="s">
        <v>9</v>
      </c>
      <c r="C5" s="119">
        <v>1575.9899999999998</v>
      </c>
      <c r="D5" s="121">
        <v>2775.5</v>
      </c>
      <c r="E5" s="3">
        <v>1199.51</v>
      </c>
      <c r="F5" s="134">
        <v>50</v>
      </c>
      <c r="G5" s="4">
        <v>0</v>
      </c>
      <c r="H5" s="4">
        <v>0</v>
      </c>
    </row>
    <row r="6" spans="1:8" ht="21" x14ac:dyDescent="0.25">
      <c r="A6" s="155">
        <v>2019</v>
      </c>
      <c r="B6" s="155" t="s">
        <v>10</v>
      </c>
      <c r="C6" s="119">
        <v>2048.1999999999998</v>
      </c>
      <c r="D6" s="121">
        <v>3807</v>
      </c>
      <c r="E6" s="3">
        <v>2048.1999999999998</v>
      </c>
      <c r="F6" s="134">
        <v>75</v>
      </c>
      <c r="G6" s="4">
        <v>0</v>
      </c>
      <c r="H6" s="4">
        <v>0</v>
      </c>
    </row>
    <row r="7" spans="1:8" ht="21" x14ac:dyDescent="0.25">
      <c r="A7" s="155">
        <v>2019</v>
      </c>
      <c r="B7" s="155" t="s">
        <v>11</v>
      </c>
      <c r="C7" s="119">
        <v>2852.09</v>
      </c>
      <c r="D7" s="121">
        <v>5267</v>
      </c>
      <c r="E7" s="3">
        <v>2414.91</v>
      </c>
      <c r="F7" s="134">
        <v>129</v>
      </c>
      <c r="G7" s="4">
        <v>0</v>
      </c>
      <c r="H7" s="4">
        <v>0</v>
      </c>
    </row>
    <row r="8" spans="1:8" ht="21" x14ac:dyDescent="0.25">
      <c r="A8" s="155">
        <v>2019</v>
      </c>
      <c r="B8" s="155" t="s">
        <v>12</v>
      </c>
      <c r="C8" s="119">
        <v>3060.2299999999996</v>
      </c>
      <c r="D8" s="121">
        <v>5746.5</v>
      </c>
      <c r="E8" s="3">
        <v>2686.27</v>
      </c>
      <c r="F8" s="134">
        <v>150</v>
      </c>
      <c r="G8" s="4">
        <v>0</v>
      </c>
      <c r="H8" s="4">
        <v>0</v>
      </c>
    </row>
    <row r="9" spans="1:8" ht="21" x14ac:dyDescent="0.25">
      <c r="A9" s="155">
        <v>2019</v>
      </c>
      <c r="B9" s="155" t="s">
        <v>13</v>
      </c>
      <c r="C9" s="119">
        <v>2057.59</v>
      </c>
      <c r="D9" s="121">
        <v>3756.8</v>
      </c>
      <c r="E9" s="3">
        <v>1788.21</v>
      </c>
      <c r="F9" s="134">
        <v>68</v>
      </c>
      <c r="G9" s="4">
        <v>0</v>
      </c>
      <c r="H9" s="4">
        <v>0</v>
      </c>
    </row>
    <row r="10" spans="1:8" ht="21" x14ac:dyDescent="0.25">
      <c r="A10" s="155">
        <v>2019</v>
      </c>
      <c r="B10" s="155" t="s">
        <v>14</v>
      </c>
      <c r="C10" s="119">
        <v>2319.62</v>
      </c>
      <c r="D10" s="121">
        <v>4003.9</v>
      </c>
      <c r="E10" s="3">
        <v>1684.2799999999997</v>
      </c>
      <c r="F10" s="134">
        <v>66</v>
      </c>
      <c r="G10" s="4">
        <v>0</v>
      </c>
      <c r="H10" s="4">
        <v>0</v>
      </c>
    </row>
    <row r="11" spans="1:8" ht="21" x14ac:dyDescent="0.25">
      <c r="A11" s="155">
        <v>2019</v>
      </c>
      <c r="B11" s="155" t="s">
        <v>15</v>
      </c>
      <c r="C11" s="119">
        <v>5257.26</v>
      </c>
      <c r="D11" s="121">
        <v>6788.82</v>
      </c>
      <c r="E11" s="3">
        <v>3284.3399999999992</v>
      </c>
      <c r="F11" s="134">
        <v>162</v>
      </c>
      <c r="G11" s="4">
        <v>0</v>
      </c>
      <c r="H11" s="4">
        <v>0</v>
      </c>
    </row>
    <row r="12" spans="1:8" ht="21" x14ac:dyDescent="0.25">
      <c r="A12" s="155">
        <v>2019</v>
      </c>
      <c r="B12" s="155" t="s">
        <v>16</v>
      </c>
      <c r="C12" s="119">
        <v>1752.2399999999998</v>
      </c>
      <c r="D12" s="121">
        <v>3394.41</v>
      </c>
      <c r="E12" s="3">
        <v>1642.17</v>
      </c>
      <c r="F12" s="134">
        <v>79</v>
      </c>
      <c r="G12" s="4">
        <v>0</v>
      </c>
      <c r="H12" s="4">
        <v>0</v>
      </c>
    </row>
    <row r="13" spans="1:8" ht="21" x14ac:dyDescent="0.25">
      <c r="A13" s="155">
        <v>2019</v>
      </c>
      <c r="B13" s="155" t="s">
        <v>17</v>
      </c>
      <c r="C13" s="119">
        <v>2756.16</v>
      </c>
      <c r="D13" s="121">
        <v>4343.2</v>
      </c>
      <c r="E13" s="3">
        <v>2482.0199999999995</v>
      </c>
      <c r="F13" s="134">
        <v>72</v>
      </c>
      <c r="G13" s="4">
        <v>0</v>
      </c>
      <c r="H13" s="4">
        <v>0</v>
      </c>
    </row>
    <row r="14" spans="1:8" ht="21" x14ac:dyDescent="0.25">
      <c r="A14" s="155">
        <v>2020</v>
      </c>
      <c r="B14" s="155" t="s">
        <v>5</v>
      </c>
      <c r="C14" s="119">
        <v>1482.3999999999999</v>
      </c>
      <c r="D14" s="121">
        <v>4122.2999999999993</v>
      </c>
      <c r="E14" s="3">
        <v>2639.9000000000005</v>
      </c>
      <c r="F14" s="135">
        <v>63</v>
      </c>
      <c r="G14" s="4">
        <v>0</v>
      </c>
      <c r="H14" s="4">
        <v>0</v>
      </c>
    </row>
    <row r="15" spans="1:8" ht="21" x14ac:dyDescent="0.25">
      <c r="A15" s="155">
        <v>2020</v>
      </c>
      <c r="B15" s="155" t="s">
        <v>7</v>
      </c>
      <c r="C15" s="119">
        <v>1348.19</v>
      </c>
      <c r="D15" s="121">
        <v>2617</v>
      </c>
      <c r="E15" s="3">
        <v>1268.81</v>
      </c>
      <c r="F15" s="135">
        <v>53</v>
      </c>
      <c r="G15" s="4">
        <v>0</v>
      </c>
      <c r="H15" s="4">
        <v>0</v>
      </c>
    </row>
    <row r="16" spans="1:8" ht="21" x14ac:dyDescent="0.25">
      <c r="A16" s="155">
        <v>2020</v>
      </c>
      <c r="B16" s="155" t="s">
        <v>8</v>
      </c>
      <c r="C16" s="119">
        <v>1501.3700000000001</v>
      </c>
      <c r="D16" s="121">
        <v>3257.75</v>
      </c>
      <c r="E16" s="3">
        <v>1756.3799999999999</v>
      </c>
      <c r="F16" s="135">
        <v>79</v>
      </c>
      <c r="G16" s="4">
        <v>0</v>
      </c>
      <c r="H16" s="4">
        <v>0</v>
      </c>
    </row>
    <row r="17" spans="1:8" ht="21" x14ac:dyDescent="0.25">
      <c r="A17" s="155">
        <v>2020</v>
      </c>
      <c r="B17" s="155" t="s">
        <v>9</v>
      </c>
      <c r="C17" s="119">
        <v>3123.31</v>
      </c>
      <c r="D17" s="121">
        <v>6498</v>
      </c>
      <c r="E17" s="3">
        <v>3374.69</v>
      </c>
      <c r="F17" s="134">
        <v>148</v>
      </c>
      <c r="G17" s="4">
        <v>0</v>
      </c>
      <c r="H17" s="4">
        <v>0</v>
      </c>
    </row>
    <row r="18" spans="1:8" ht="21" x14ac:dyDescent="0.25">
      <c r="A18" s="155">
        <v>2020</v>
      </c>
      <c r="B18" s="155" t="s">
        <v>10</v>
      </c>
      <c r="C18" s="119">
        <v>4743.9600000000028</v>
      </c>
      <c r="D18" s="121">
        <v>10370.5</v>
      </c>
      <c r="E18" s="3">
        <v>5626.5399999999981</v>
      </c>
      <c r="F18" s="134">
        <v>255</v>
      </c>
      <c r="G18" s="4">
        <v>0</v>
      </c>
      <c r="H18" s="4">
        <v>0</v>
      </c>
    </row>
    <row r="19" spans="1:8" ht="21" x14ac:dyDescent="0.25">
      <c r="A19" s="155">
        <v>2020</v>
      </c>
      <c r="B19" s="155" t="s">
        <v>11</v>
      </c>
      <c r="C19" s="119">
        <v>2795.7500000000005</v>
      </c>
      <c r="D19" s="121">
        <v>6103.99</v>
      </c>
      <c r="E19" s="3">
        <v>3308.2399999999993</v>
      </c>
      <c r="F19" s="134">
        <v>124</v>
      </c>
      <c r="G19" s="4">
        <v>0</v>
      </c>
      <c r="H19" s="4">
        <v>0</v>
      </c>
    </row>
    <row r="20" spans="1:8" ht="21" x14ac:dyDescent="0.25">
      <c r="A20" s="155">
        <v>2020</v>
      </c>
      <c r="B20" s="155" t="s">
        <v>12</v>
      </c>
      <c r="C20" s="119">
        <v>2287.08</v>
      </c>
      <c r="D20" s="121">
        <v>5556</v>
      </c>
      <c r="E20" s="3">
        <v>3268.92</v>
      </c>
      <c r="F20" s="134">
        <v>112</v>
      </c>
      <c r="G20" s="4">
        <v>0</v>
      </c>
      <c r="H20" s="4">
        <v>0</v>
      </c>
    </row>
    <row r="21" spans="1:8" ht="21" x14ac:dyDescent="0.25">
      <c r="A21" s="155">
        <v>2020</v>
      </c>
      <c r="B21" s="155" t="s">
        <v>13</v>
      </c>
      <c r="C21" s="119">
        <v>2519.5</v>
      </c>
      <c r="D21" s="121">
        <v>5025</v>
      </c>
      <c r="E21" s="3">
        <v>2505.5</v>
      </c>
      <c r="F21" s="134">
        <v>78</v>
      </c>
      <c r="G21" s="4">
        <v>0</v>
      </c>
      <c r="H21" s="4">
        <v>0</v>
      </c>
    </row>
    <row r="22" spans="1:8" ht="21" x14ac:dyDescent="0.25">
      <c r="A22" s="155">
        <v>2020</v>
      </c>
      <c r="B22" s="155" t="s">
        <v>14</v>
      </c>
      <c r="C22" s="119">
        <v>2261.71</v>
      </c>
      <c r="D22" s="121">
        <v>5004</v>
      </c>
      <c r="E22" s="3">
        <v>2742.29</v>
      </c>
      <c r="F22" s="134">
        <v>140</v>
      </c>
      <c r="G22" s="4">
        <v>0</v>
      </c>
      <c r="H22" s="4">
        <v>0</v>
      </c>
    </row>
    <row r="23" spans="1:8" ht="21" x14ac:dyDescent="0.25">
      <c r="A23" s="155">
        <v>2020</v>
      </c>
      <c r="B23" s="155" t="s">
        <v>15</v>
      </c>
      <c r="C23" s="119">
        <v>1695.72</v>
      </c>
      <c r="D23" s="121">
        <v>3885</v>
      </c>
      <c r="E23" s="3">
        <v>2189.2800000000002</v>
      </c>
      <c r="F23" s="134">
        <v>67</v>
      </c>
      <c r="G23" s="4">
        <v>0</v>
      </c>
      <c r="H23" s="4">
        <v>0</v>
      </c>
    </row>
    <row r="24" spans="1:8" ht="21" x14ac:dyDescent="0.25">
      <c r="A24" s="155">
        <v>2020</v>
      </c>
      <c r="B24" s="155" t="s">
        <v>16</v>
      </c>
      <c r="C24" s="119">
        <v>2108.77</v>
      </c>
      <c r="D24" s="121">
        <v>4560.45</v>
      </c>
      <c r="E24" s="3">
        <v>2451.6800000000003</v>
      </c>
      <c r="F24" s="134">
        <v>158</v>
      </c>
      <c r="G24" s="4">
        <v>0</v>
      </c>
      <c r="H24" s="4">
        <v>0</v>
      </c>
    </row>
    <row r="25" spans="1:8" ht="21" x14ac:dyDescent="0.25">
      <c r="A25" s="155">
        <v>2020</v>
      </c>
      <c r="B25" s="155" t="s">
        <v>17</v>
      </c>
      <c r="C25" s="119">
        <v>3461.24</v>
      </c>
      <c r="D25" s="121">
        <v>7616.1599999999989</v>
      </c>
      <c r="E25" s="3">
        <v>4190.92</v>
      </c>
      <c r="F25" s="134">
        <v>254</v>
      </c>
      <c r="G25" s="4">
        <v>0</v>
      </c>
      <c r="H25" s="4">
        <v>0</v>
      </c>
    </row>
    <row r="26" spans="1:8" ht="21" x14ac:dyDescent="0.25">
      <c r="A26" s="155">
        <v>2021</v>
      </c>
      <c r="B26" s="155" t="s">
        <v>5</v>
      </c>
      <c r="C26" s="122">
        <v>3701.8</v>
      </c>
      <c r="D26" s="123">
        <v>7125.449999999998</v>
      </c>
      <c r="E26" s="5">
        <v>3423.650000000001</v>
      </c>
      <c r="F26" s="137">
        <v>319</v>
      </c>
      <c r="G26" s="4">
        <v>38</v>
      </c>
      <c r="H26" s="4">
        <v>281</v>
      </c>
    </row>
    <row r="27" spans="1:8" ht="21" x14ac:dyDescent="0.25">
      <c r="A27" s="155">
        <v>2021</v>
      </c>
      <c r="B27" s="155" t="s">
        <v>7</v>
      </c>
      <c r="C27" s="119">
        <v>5248.7</v>
      </c>
      <c r="D27" s="121">
        <v>11712.679999999997</v>
      </c>
      <c r="E27" s="3">
        <v>6463.9800000000005</v>
      </c>
      <c r="F27" s="135">
        <v>696</v>
      </c>
      <c r="G27" s="6">
        <v>60</v>
      </c>
      <c r="H27" s="6">
        <v>636</v>
      </c>
    </row>
    <row r="28" spans="1:8" ht="21" x14ac:dyDescent="0.25">
      <c r="A28" s="155">
        <v>2021</v>
      </c>
      <c r="B28" s="155" t="s">
        <v>8</v>
      </c>
      <c r="C28" s="119">
        <v>1893.7416666666668</v>
      </c>
      <c r="D28" s="121">
        <v>8961.0416666666661</v>
      </c>
      <c r="E28" s="3">
        <v>8483.6883333333353</v>
      </c>
      <c r="F28" s="135">
        <v>517</v>
      </c>
      <c r="G28" s="6">
        <v>42</v>
      </c>
      <c r="H28" s="6">
        <v>475</v>
      </c>
    </row>
    <row r="29" spans="1:8" ht="21" x14ac:dyDescent="0.25">
      <c r="A29" s="155">
        <v>2021</v>
      </c>
      <c r="B29" s="155" t="s">
        <v>9</v>
      </c>
      <c r="C29" s="122">
        <v>7240.8</v>
      </c>
      <c r="D29" s="123">
        <v>14329.375</v>
      </c>
      <c r="E29" s="5">
        <v>7088.5749999999998</v>
      </c>
      <c r="F29" s="134">
        <v>481</v>
      </c>
      <c r="G29" s="7">
        <v>27</v>
      </c>
      <c r="H29" s="7">
        <v>458</v>
      </c>
    </row>
    <row r="30" spans="1:8" ht="21" x14ac:dyDescent="0.25">
      <c r="A30" s="155">
        <v>2021</v>
      </c>
      <c r="B30" s="155" t="s">
        <v>10</v>
      </c>
      <c r="C30" s="122">
        <v>3278.5666666666666</v>
      </c>
      <c r="D30" s="123">
        <v>7054.3499999999995</v>
      </c>
      <c r="E30" s="5">
        <v>3775.7833333333338</v>
      </c>
      <c r="F30" s="134">
        <v>364</v>
      </c>
      <c r="G30" s="7">
        <v>35</v>
      </c>
      <c r="H30" s="7">
        <v>338</v>
      </c>
    </row>
    <row r="31" spans="1:8" ht="21" x14ac:dyDescent="0.25">
      <c r="A31" s="155">
        <v>2021</v>
      </c>
      <c r="B31" s="155" t="s">
        <v>11</v>
      </c>
      <c r="C31" s="122">
        <v>3220.74</v>
      </c>
      <c r="D31" s="123">
        <v>6008.82</v>
      </c>
      <c r="E31" s="5">
        <v>3109.7799999999988</v>
      </c>
      <c r="F31" s="134">
        <v>292</v>
      </c>
      <c r="G31" s="7">
        <v>14</v>
      </c>
      <c r="H31" s="7">
        <v>278</v>
      </c>
    </row>
    <row r="32" spans="1:8" ht="21" x14ac:dyDescent="0.25">
      <c r="A32" s="155">
        <v>2021</v>
      </c>
      <c r="B32" s="155" t="s">
        <v>12</v>
      </c>
      <c r="C32" s="122">
        <v>2126.1833333333334</v>
      </c>
      <c r="D32" s="123">
        <v>4830.6499999999987</v>
      </c>
      <c r="E32" s="5">
        <v>2704.4666666666672</v>
      </c>
      <c r="F32" s="134">
        <v>223</v>
      </c>
      <c r="G32" s="7">
        <v>24</v>
      </c>
      <c r="H32" s="7">
        <v>199</v>
      </c>
    </row>
    <row r="33" spans="1:8" ht="21" x14ac:dyDescent="0.25">
      <c r="A33" s="155">
        <v>2021</v>
      </c>
      <c r="B33" s="155" t="s">
        <v>13</v>
      </c>
      <c r="C33" s="122">
        <v>5508.6966666666658</v>
      </c>
      <c r="D33" s="123">
        <v>5830.1100000000015</v>
      </c>
      <c r="E33" s="5">
        <v>3012.4933333333329</v>
      </c>
      <c r="F33" s="134">
        <v>201</v>
      </c>
      <c r="G33" s="7">
        <v>38</v>
      </c>
      <c r="H33" s="7">
        <v>163</v>
      </c>
    </row>
    <row r="34" spans="1:8" ht="21" x14ac:dyDescent="0.25">
      <c r="A34" s="155">
        <v>2021</v>
      </c>
      <c r="B34" s="155" t="s">
        <v>14</v>
      </c>
      <c r="C34" s="122">
        <v>2017.2200000000003</v>
      </c>
      <c r="D34" s="123">
        <v>10125.51</v>
      </c>
      <c r="E34" s="5">
        <v>5233.8899999999994</v>
      </c>
      <c r="F34" s="134">
        <v>527</v>
      </c>
      <c r="G34" s="7">
        <v>53</v>
      </c>
      <c r="H34" s="7">
        <v>474</v>
      </c>
    </row>
    <row r="35" spans="1:8" ht="21" x14ac:dyDescent="0.25">
      <c r="A35" s="155">
        <v>2021</v>
      </c>
      <c r="B35" s="155" t="s">
        <v>15</v>
      </c>
      <c r="C35" s="122">
        <v>4107.8999999999996</v>
      </c>
      <c r="D35" s="123">
        <v>8220.23</v>
      </c>
      <c r="E35" s="5">
        <v>4112.329999999999</v>
      </c>
      <c r="F35" s="134">
        <v>245</v>
      </c>
      <c r="G35" s="7">
        <v>32</v>
      </c>
      <c r="H35" s="7">
        <v>213</v>
      </c>
    </row>
    <row r="36" spans="1:8" ht="21" x14ac:dyDescent="0.25">
      <c r="A36" s="155">
        <v>2021</v>
      </c>
      <c r="B36" s="155" t="s">
        <v>16</v>
      </c>
      <c r="C36" s="122">
        <v>3150.4</v>
      </c>
      <c r="D36" s="123">
        <v>6205.0199999999995</v>
      </c>
      <c r="E36" s="5">
        <v>3054.62</v>
      </c>
      <c r="F36" s="134">
        <v>367</v>
      </c>
      <c r="G36" s="7">
        <v>26</v>
      </c>
      <c r="H36" s="7">
        <v>341</v>
      </c>
    </row>
    <row r="37" spans="1:8" ht="21" x14ac:dyDescent="0.25">
      <c r="A37" s="155">
        <v>2021</v>
      </c>
      <c r="B37" s="155" t="s">
        <v>17</v>
      </c>
      <c r="C37" s="122">
        <v>3798.5466666666662</v>
      </c>
      <c r="D37" s="123">
        <v>6739.9953999999998</v>
      </c>
      <c r="E37" s="5">
        <v>3318.6887333333339</v>
      </c>
      <c r="F37" s="134">
        <v>395</v>
      </c>
      <c r="G37" s="7">
        <v>31</v>
      </c>
      <c r="H37" s="7">
        <v>364</v>
      </c>
    </row>
    <row r="38" spans="1:8" ht="21" x14ac:dyDescent="0.25">
      <c r="A38" s="155">
        <v>2022</v>
      </c>
      <c r="B38" s="155" t="s">
        <v>5</v>
      </c>
      <c r="C38" s="122">
        <v>4643.1000000000004</v>
      </c>
      <c r="D38" s="123">
        <v>10439.120000000001</v>
      </c>
      <c r="E38" s="5">
        <v>6435.4783999999991</v>
      </c>
      <c r="F38" s="137">
        <v>715</v>
      </c>
      <c r="G38" s="4">
        <v>17</v>
      </c>
      <c r="H38" s="4">
        <v>698</v>
      </c>
    </row>
    <row r="39" spans="1:8" ht="21" x14ac:dyDescent="0.25">
      <c r="A39" s="155">
        <v>2022</v>
      </c>
      <c r="B39" s="155" t="s">
        <v>7</v>
      </c>
      <c r="C39" s="119">
        <v>3787.1</v>
      </c>
      <c r="D39" s="121">
        <v>11169.929999999998</v>
      </c>
      <c r="E39" s="3">
        <v>7102.8606</v>
      </c>
      <c r="F39" s="135">
        <v>458</v>
      </c>
      <c r="G39" s="6">
        <v>23</v>
      </c>
      <c r="H39" s="6">
        <v>435</v>
      </c>
    </row>
    <row r="40" spans="1:8" ht="21" x14ac:dyDescent="0.25">
      <c r="A40" s="155">
        <v>2022</v>
      </c>
      <c r="B40" s="155" t="s">
        <v>8</v>
      </c>
      <c r="C40" s="119">
        <v>6571.1</v>
      </c>
      <c r="D40" s="121">
        <v>10463.703000000001</v>
      </c>
      <c r="E40" s="3">
        <v>3902.0731360000004</v>
      </c>
      <c r="F40" s="135">
        <v>283</v>
      </c>
      <c r="G40" s="6">
        <v>41</v>
      </c>
      <c r="H40" s="6">
        <v>242</v>
      </c>
    </row>
    <row r="41" spans="1:8" ht="21" x14ac:dyDescent="0.25">
      <c r="A41" s="155">
        <v>2022</v>
      </c>
      <c r="B41" s="155" t="s">
        <v>9</v>
      </c>
      <c r="C41" s="122">
        <v>2163.6</v>
      </c>
      <c r="D41" s="123">
        <v>9215.93</v>
      </c>
      <c r="E41" s="5">
        <v>5881.0816000000004</v>
      </c>
      <c r="F41" s="134">
        <v>462</v>
      </c>
      <c r="G41" s="7">
        <v>27</v>
      </c>
      <c r="H41" s="7">
        <v>435</v>
      </c>
    </row>
    <row r="42" spans="1:8" ht="21" x14ac:dyDescent="0.25">
      <c r="A42" s="155">
        <v>2022</v>
      </c>
      <c r="B42" s="155" t="s">
        <v>10</v>
      </c>
      <c r="C42" s="122">
        <v>3622.6</v>
      </c>
      <c r="D42" s="123">
        <v>7515.0700000000006</v>
      </c>
      <c r="E42" s="5">
        <v>4254.4841999999999</v>
      </c>
      <c r="F42" s="134">
        <v>151</v>
      </c>
      <c r="G42" s="7">
        <v>44</v>
      </c>
      <c r="H42" s="7">
        <v>107</v>
      </c>
    </row>
    <row r="43" spans="1:8" ht="21" x14ac:dyDescent="0.25">
      <c r="A43" s="155">
        <v>2022</v>
      </c>
      <c r="B43" s="155" t="s">
        <v>11</v>
      </c>
      <c r="C43" s="122">
        <v>2999.55</v>
      </c>
      <c r="D43" s="123">
        <v>6248.72</v>
      </c>
      <c r="E43" s="5">
        <v>2789.4193999999989</v>
      </c>
      <c r="F43" s="134">
        <v>164</v>
      </c>
      <c r="G43" s="7">
        <v>26</v>
      </c>
      <c r="H43" s="7">
        <v>138</v>
      </c>
    </row>
    <row r="44" spans="1:8" ht="21" x14ac:dyDescent="0.25">
      <c r="A44" s="155">
        <v>2022</v>
      </c>
      <c r="B44" s="155" t="s">
        <v>12</v>
      </c>
      <c r="C44" s="122">
        <v>2264.1</v>
      </c>
      <c r="D44" s="123">
        <v>4870.7799999999988</v>
      </c>
      <c r="E44" s="5">
        <v>2069.13</v>
      </c>
      <c r="F44" s="134">
        <v>142</v>
      </c>
      <c r="G44" s="7">
        <v>32</v>
      </c>
      <c r="H44" s="7">
        <v>110</v>
      </c>
    </row>
    <row r="45" spans="1:8" ht="21" x14ac:dyDescent="0.25">
      <c r="A45" s="155">
        <v>2022</v>
      </c>
      <c r="B45" s="155" t="s">
        <v>13</v>
      </c>
      <c r="C45" s="122">
        <v>3664.4</v>
      </c>
      <c r="D45" s="123">
        <v>7412.8700000000008</v>
      </c>
      <c r="E45" s="5">
        <v>3289.1154000000006</v>
      </c>
      <c r="F45" s="134">
        <v>173</v>
      </c>
      <c r="G45" s="7">
        <v>31</v>
      </c>
      <c r="H45" s="7">
        <v>142</v>
      </c>
    </row>
    <row r="46" spans="1:8" ht="21" x14ac:dyDescent="0.25">
      <c r="A46" s="155">
        <v>2022</v>
      </c>
      <c r="B46" s="155" t="s">
        <v>14</v>
      </c>
      <c r="C46" s="122">
        <v>2539.8000000000002</v>
      </c>
      <c r="D46" s="123">
        <v>4764.0599999999995</v>
      </c>
      <c r="E46" s="5">
        <v>2224.2599999999998</v>
      </c>
      <c r="F46" s="134">
        <v>109</v>
      </c>
      <c r="G46" s="7">
        <v>58</v>
      </c>
      <c r="H46" s="7">
        <v>51</v>
      </c>
    </row>
    <row r="47" spans="1:8" ht="21" x14ac:dyDescent="0.25">
      <c r="A47" s="155">
        <v>2022</v>
      </c>
      <c r="B47" s="155" t="s">
        <v>15</v>
      </c>
      <c r="C47" s="122">
        <v>2098.15</v>
      </c>
      <c r="D47" s="123">
        <v>6044.48</v>
      </c>
      <c r="E47" s="5">
        <v>2965.1460000000011</v>
      </c>
      <c r="F47" s="134">
        <v>90</v>
      </c>
      <c r="G47" s="7">
        <v>37</v>
      </c>
      <c r="H47" s="7">
        <v>53</v>
      </c>
    </row>
    <row r="48" spans="1:8" ht="21" x14ac:dyDescent="0.25">
      <c r="A48" s="155">
        <v>2022</v>
      </c>
      <c r="B48" s="155" t="s">
        <v>16</v>
      </c>
      <c r="C48" s="122">
        <v>5459.73</v>
      </c>
      <c r="D48" s="123">
        <v>5981.4099999999989</v>
      </c>
      <c r="E48" s="5">
        <v>2613.6579999999999</v>
      </c>
      <c r="F48" s="134">
        <v>153</v>
      </c>
      <c r="G48" s="7">
        <v>93</v>
      </c>
      <c r="H48" s="7">
        <v>60</v>
      </c>
    </row>
    <row r="49" spans="1:8" ht="21" x14ac:dyDescent="0.25">
      <c r="A49" s="155">
        <v>2022</v>
      </c>
      <c r="B49" s="155" t="s">
        <v>17</v>
      </c>
      <c r="C49" s="122">
        <v>2153.8000000000002</v>
      </c>
      <c r="D49" s="123">
        <v>4479.8900000000003</v>
      </c>
      <c r="E49" s="5">
        <v>2326.09</v>
      </c>
      <c r="F49" s="134">
        <v>95</v>
      </c>
      <c r="G49" s="7">
        <v>52</v>
      </c>
      <c r="H49" s="7">
        <v>43</v>
      </c>
    </row>
    <row r="50" spans="1:8" ht="21" x14ac:dyDescent="0.25">
      <c r="A50" s="155">
        <v>2023</v>
      </c>
      <c r="B50" s="155" t="s">
        <v>5</v>
      </c>
      <c r="C50" s="122">
        <v>4097.3999999999996</v>
      </c>
      <c r="D50" s="123">
        <v>8802.5199999999986</v>
      </c>
      <c r="E50" s="5">
        <v>4370.4599999999982</v>
      </c>
      <c r="F50" s="134">
        <v>107</v>
      </c>
      <c r="G50" s="7">
        <v>40</v>
      </c>
      <c r="H50" s="7">
        <v>67</v>
      </c>
    </row>
    <row r="51" spans="1:8" ht="21" x14ac:dyDescent="0.25">
      <c r="A51" s="155">
        <v>2023</v>
      </c>
      <c r="B51" s="155" t="s">
        <v>7</v>
      </c>
      <c r="C51" s="119">
        <v>3359.3999999999996</v>
      </c>
      <c r="D51" s="121">
        <v>9008.9599999999991</v>
      </c>
      <c r="E51" s="3">
        <v>4017.648000000001</v>
      </c>
      <c r="F51" s="135">
        <v>91</v>
      </c>
      <c r="G51" s="6">
        <v>30</v>
      </c>
      <c r="H51" s="6">
        <v>61</v>
      </c>
    </row>
    <row r="52" spans="1:8" ht="21" x14ac:dyDescent="0.25">
      <c r="A52" s="155">
        <v>2023</v>
      </c>
      <c r="B52" s="155" t="s">
        <v>8</v>
      </c>
      <c r="C52" s="119">
        <v>4619.1000000000004</v>
      </c>
      <c r="D52" s="121">
        <v>3882.9049999999997</v>
      </c>
      <c r="E52" s="3">
        <v>3468.3099999999995</v>
      </c>
      <c r="F52" s="135">
        <v>99</v>
      </c>
      <c r="G52" s="6">
        <v>36</v>
      </c>
      <c r="H52" s="6">
        <v>63</v>
      </c>
    </row>
    <row r="53" spans="1:8" ht="21" x14ac:dyDescent="0.25">
      <c r="A53" s="155">
        <v>2023</v>
      </c>
      <c r="B53" s="155" t="s">
        <v>9</v>
      </c>
      <c r="C53" s="122">
        <v>877.3</v>
      </c>
      <c r="D53" s="123">
        <v>2030.4499999999998</v>
      </c>
      <c r="E53" s="5">
        <v>993.67600000000004</v>
      </c>
      <c r="F53" s="134">
        <v>40</v>
      </c>
      <c r="G53" s="7">
        <v>8</v>
      </c>
      <c r="H53" s="7">
        <v>32</v>
      </c>
    </row>
    <row r="54" spans="1:8" ht="21" x14ac:dyDescent="0.25">
      <c r="A54" s="155">
        <v>2023</v>
      </c>
      <c r="B54" s="155" t="s">
        <v>10</v>
      </c>
      <c r="C54" s="122">
        <v>1963.7</v>
      </c>
      <c r="D54" s="123">
        <v>3931.45</v>
      </c>
      <c r="E54" s="5">
        <v>1967.7499999999995</v>
      </c>
      <c r="F54" s="134">
        <v>92</v>
      </c>
      <c r="G54" s="7">
        <v>35</v>
      </c>
      <c r="H54" s="7">
        <v>57</v>
      </c>
    </row>
    <row r="55" spans="1:8" ht="21" x14ac:dyDescent="0.25">
      <c r="A55" s="155">
        <v>2023</v>
      </c>
      <c r="B55" s="155" t="s">
        <v>11</v>
      </c>
      <c r="C55" s="122">
        <v>3237</v>
      </c>
      <c r="D55" s="123">
        <v>3075.3200000000011</v>
      </c>
      <c r="E55" s="5">
        <v>2065.6559999999999</v>
      </c>
      <c r="F55" s="134">
        <v>95</v>
      </c>
      <c r="G55" s="7">
        <v>22</v>
      </c>
      <c r="H55" s="7">
        <v>73</v>
      </c>
    </row>
    <row r="56" spans="1:8" ht="21" x14ac:dyDescent="0.25">
      <c r="A56" s="155">
        <v>2023</v>
      </c>
      <c r="B56" s="155" t="s">
        <v>12</v>
      </c>
      <c r="C56" s="122">
        <v>685</v>
      </c>
      <c r="D56" s="123">
        <v>1170.24</v>
      </c>
      <c r="E56" s="5">
        <v>485.24</v>
      </c>
      <c r="F56" s="134">
        <v>17</v>
      </c>
      <c r="G56" s="7">
        <v>14</v>
      </c>
      <c r="H56" s="7">
        <v>3</v>
      </c>
    </row>
    <row r="57" spans="1:8" ht="21" x14ac:dyDescent="0.25">
      <c r="A57" s="155">
        <v>2023</v>
      </c>
      <c r="B57" s="155" t="s">
        <v>13</v>
      </c>
      <c r="C57" s="122">
        <v>1414.5416666666667</v>
      </c>
      <c r="D57" s="123">
        <v>2651.599999999999</v>
      </c>
      <c r="E57" s="5">
        <v>1237.0583333333336</v>
      </c>
      <c r="F57" s="134">
        <v>81</v>
      </c>
      <c r="G57" s="7">
        <v>19</v>
      </c>
      <c r="H57" s="7">
        <v>62</v>
      </c>
    </row>
    <row r="58" spans="1:8" ht="21" x14ac:dyDescent="0.25">
      <c r="A58" s="155">
        <v>2023</v>
      </c>
      <c r="B58" s="155" t="s">
        <v>14</v>
      </c>
      <c r="C58" s="122">
        <v>643.12</v>
      </c>
      <c r="D58" s="123">
        <v>3415.5899999999992</v>
      </c>
      <c r="E58" s="5">
        <v>2772.4699999999993</v>
      </c>
      <c r="F58" s="134">
        <v>46</v>
      </c>
      <c r="G58" s="7">
        <v>13</v>
      </c>
      <c r="H58" s="7">
        <v>33</v>
      </c>
    </row>
    <row r="59" spans="1:8" ht="21" x14ac:dyDescent="0.25">
      <c r="A59" s="155">
        <v>2023</v>
      </c>
      <c r="B59" s="155" t="s">
        <v>15</v>
      </c>
      <c r="C59" s="122">
        <v>1792</v>
      </c>
      <c r="D59" s="123">
        <v>3008.7799999999997</v>
      </c>
      <c r="E59" s="5">
        <v>1216.78</v>
      </c>
      <c r="F59" s="134">
        <v>84</v>
      </c>
      <c r="G59" s="7">
        <v>19</v>
      </c>
      <c r="H59" s="7">
        <v>65</v>
      </c>
    </row>
    <row r="60" spans="1:8" ht="21" x14ac:dyDescent="0.25">
      <c r="A60" s="155">
        <v>2023</v>
      </c>
      <c r="B60" s="155" t="s">
        <v>16</v>
      </c>
      <c r="C60" s="122">
        <v>1992.5</v>
      </c>
      <c r="D60" s="123">
        <v>3533.1875999999993</v>
      </c>
      <c r="E60" s="5">
        <v>1017.3438</v>
      </c>
      <c r="F60" s="134">
        <v>62</v>
      </c>
      <c r="G60" s="7">
        <v>19</v>
      </c>
      <c r="H60" s="7">
        <v>43</v>
      </c>
    </row>
    <row r="61" spans="1:8" ht="21" x14ac:dyDescent="0.25">
      <c r="A61" s="155">
        <v>2023</v>
      </c>
      <c r="B61" s="155" t="s">
        <v>17</v>
      </c>
      <c r="C61" s="122">
        <v>0</v>
      </c>
      <c r="D61" s="123">
        <v>0</v>
      </c>
      <c r="E61" s="5">
        <v>0</v>
      </c>
      <c r="F61" s="134">
        <v>0</v>
      </c>
      <c r="G61" s="7">
        <v>0</v>
      </c>
      <c r="H61" s="7">
        <v>0</v>
      </c>
    </row>
    <row r="62" spans="1:8" ht="21" x14ac:dyDescent="0.25">
      <c r="A62" s="155">
        <v>2024</v>
      </c>
      <c r="B62" s="155" t="s">
        <v>5</v>
      </c>
      <c r="C62" s="122">
        <v>0</v>
      </c>
      <c r="D62" s="123">
        <v>0</v>
      </c>
      <c r="E62" s="5">
        <v>0</v>
      </c>
      <c r="F62" s="134">
        <v>0</v>
      </c>
      <c r="G62" s="7">
        <v>0</v>
      </c>
      <c r="H62" s="7">
        <v>0</v>
      </c>
    </row>
    <row r="63" spans="1:8" ht="21" x14ac:dyDescent="0.25">
      <c r="A63" s="155">
        <v>2024</v>
      </c>
      <c r="B63" s="155" t="s">
        <v>7</v>
      </c>
      <c r="C63" s="122">
        <v>0</v>
      </c>
      <c r="D63" s="123">
        <v>0</v>
      </c>
      <c r="E63" s="5">
        <v>0</v>
      </c>
      <c r="F63" s="134">
        <v>0</v>
      </c>
      <c r="G63" s="7">
        <v>0</v>
      </c>
      <c r="H63" s="7">
        <v>0</v>
      </c>
    </row>
    <row r="64" spans="1:8" ht="21" x14ac:dyDescent="0.25">
      <c r="A64" s="155">
        <v>2024</v>
      </c>
      <c r="B64" s="155" t="s">
        <v>8</v>
      </c>
      <c r="C64" s="122">
        <v>0</v>
      </c>
      <c r="D64" s="123">
        <v>0</v>
      </c>
      <c r="E64" s="5">
        <v>0</v>
      </c>
      <c r="F64" s="134">
        <v>0</v>
      </c>
      <c r="G64" s="7">
        <v>0</v>
      </c>
      <c r="H64" s="7">
        <v>0</v>
      </c>
    </row>
    <row r="65" spans="1:8" ht="21" x14ac:dyDescent="0.25">
      <c r="A65" s="155">
        <v>2024</v>
      </c>
      <c r="B65" s="155" t="s">
        <v>9</v>
      </c>
      <c r="C65" s="122">
        <v>0</v>
      </c>
      <c r="D65" s="123">
        <v>0</v>
      </c>
      <c r="E65" s="5">
        <v>0</v>
      </c>
      <c r="F65" s="134">
        <v>0</v>
      </c>
      <c r="G65" s="7">
        <v>0</v>
      </c>
      <c r="H65" s="7">
        <v>0</v>
      </c>
    </row>
    <row r="66" spans="1:8" ht="21" x14ac:dyDescent="0.25">
      <c r="A66" s="155">
        <v>2024</v>
      </c>
      <c r="B66" s="155" t="s">
        <v>10</v>
      </c>
      <c r="C66" s="122">
        <v>0</v>
      </c>
      <c r="D66" s="123">
        <v>0</v>
      </c>
      <c r="E66" s="5">
        <v>0</v>
      </c>
      <c r="F66" s="134">
        <v>0</v>
      </c>
      <c r="G66" s="7">
        <v>0</v>
      </c>
      <c r="H66" s="7">
        <v>0</v>
      </c>
    </row>
    <row r="67" spans="1:8" ht="21" x14ac:dyDescent="0.25">
      <c r="A67" s="155">
        <v>2024</v>
      </c>
      <c r="B67" s="155" t="s">
        <v>11</v>
      </c>
      <c r="C67" s="122">
        <v>0</v>
      </c>
      <c r="D67" s="123">
        <v>0</v>
      </c>
      <c r="E67" s="5">
        <v>0</v>
      </c>
      <c r="F67" s="134">
        <v>0</v>
      </c>
      <c r="G67" s="7">
        <v>0</v>
      </c>
      <c r="H67" s="7">
        <v>0</v>
      </c>
    </row>
    <row r="68" spans="1:8" ht="21" x14ac:dyDescent="0.25">
      <c r="A68" s="155">
        <v>2024</v>
      </c>
      <c r="B68" s="155" t="s">
        <v>12</v>
      </c>
      <c r="C68" s="122">
        <v>0</v>
      </c>
      <c r="D68" s="123">
        <v>0</v>
      </c>
      <c r="E68" s="5">
        <v>0</v>
      </c>
      <c r="F68" s="134">
        <v>0</v>
      </c>
      <c r="G68" s="7">
        <v>0</v>
      </c>
      <c r="H68" s="7">
        <v>0</v>
      </c>
    </row>
    <row r="69" spans="1:8" ht="21" x14ac:dyDescent="0.25">
      <c r="A69" s="155">
        <v>2024</v>
      </c>
      <c r="B69" s="155" t="s">
        <v>13</v>
      </c>
      <c r="C69" s="122">
        <v>0</v>
      </c>
      <c r="D69" s="123">
        <v>0</v>
      </c>
      <c r="E69" s="5">
        <v>0</v>
      </c>
      <c r="F69" s="134">
        <v>0</v>
      </c>
      <c r="G69" s="7">
        <v>0</v>
      </c>
      <c r="H69" s="7">
        <v>0</v>
      </c>
    </row>
    <row r="70" spans="1:8" ht="21" x14ac:dyDescent="0.25">
      <c r="A70" s="155">
        <v>2024</v>
      </c>
      <c r="B70" s="155" t="s">
        <v>14</v>
      </c>
      <c r="C70" s="122">
        <v>0</v>
      </c>
      <c r="D70" s="123">
        <v>0</v>
      </c>
      <c r="E70" s="5">
        <v>0</v>
      </c>
      <c r="F70" s="134">
        <v>0</v>
      </c>
      <c r="G70" s="7">
        <v>0</v>
      </c>
      <c r="H70" s="7">
        <v>0</v>
      </c>
    </row>
    <row r="71" spans="1:8" ht="21" x14ac:dyDescent="0.25">
      <c r="A71" s="155">
        <v>2024</v>
      </c>
      <c r="B71" s="155" t="s">
        <v>15</v>
      </c>
      <c r="C71" s="122">
        <v>0</v>
      </c>
      <c r="D71" s="123">
        <v>0</v>
      </c>
      <c r="E71" s="5">
        <v>0</v>
      </c>
      <c r="F71" s="134">
        <v>0</v>
      </c>
      <c r="G71" s="7">
        <v>0</v>
      </c>
      <c r="H71" s="7">
        <v>0</v>
      </c>
    </row>
    <row r="72" spans="1:8" ht="21" x14ac:dyDescent="0.25">
      <c r="A72" s="155">
        <v>2024</v>
      </c>
      <c r="B72" s="155" t="s">
        <v>16</v>
      </c>
      <c r="C72" s="122">
        <v>0</v>
      </c>
      <c r="D72" s="123">
        <v>0</v>
      </c>
      <c r="E72" s="5">
        <v>0</v>
      </c>
      <c r="F72" s="134">
        <v>0</v>
      </c>
      <c r="G72" s="7">
        <v>0</v>
      </c>
      <c r="H72" s="7">
        <v>0</v>
      </c>
    </row>
    <row r="73" spans="1:8" ht="21" x14ac:dyDescent="0.25">
      <c r="A73" s="155">
        <v>2024</v>
      </c>
      <c r="B73" s="155" t="s">
        <v>17</v>
      </c>
      <c r="C73" s="122">
        <v>0</v>
      </c>
      <c r="D73" s="123">
        <v>0</v>
      </c>
      <c r="E73" s="5">
        <v>0</v>
      </c>
      <c r="F73" s="134">
        <v>0</v>
      </c>
      <c r="G73" s="7">
        <v>0</v>
      </c>
      <c r="H73" s="7">
        <v>0</v>
      </c>
    </row>
  </sheetData>
  <autoFilter ref="A1:H73" xr:uid="{4DE452CF-5A90-455C-BCE6-2C12DD1EFD51}">
    <sortState xmlns:xlrd2="http://schemas.microsoft.com/office/spreadsheetml/2017/richdata2" ref="A2:H73">
      <sortCondition ref="A1:A73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N553"/>
  <sheetViews>
    <sheetView zoomScaleNormal="100" workbookViewId="0">
      <selection activeCell="C9" sqref="C9"/>
    </sheetView>
  </sheetViews>
  <sheetFormatPr defaultColWidth="9.140625" defaultRowHeight="12.75" x14ac:dyDescent="0.2"/>
  <cols>
    <col min="1" max="1" width="4.7109375" style="166" customWidth="1"/>
    <col min="2" max="2" width="10.7109375" style="161" bestFit="1" customWidth="1"/>
    <col min="3" max="3" width="42.5703125" style="86" customWidth="1"/>
    <col min="4" max="4" width="10.5703125" style="50" bestFit="1" customWidth="1"/>
    <col min="5" max="5" width="11" style="50" bestFit="1" customWidth="1"/>
    <col min="6" max="6" width="14.140625" style="50" bestFit="1" customWidth="1"/>
    <col min="7" max="7" width="13.140625" style="50" bestFit="1" customWidth="1"/>
    <col min="8" max="8" width="11.5703125" style="49" bestFit="1" customWidth="1"/>
    <col min="9" max="9" width="13.5703125" style="59" bestFit="1" customWidth="1"/>
    <col min="10" max="10" width="15.5703125" style="59" bestFit="1" customWidth="1"/>
    <col min="11" max="11" width="9.5703125" style="48" bestFit="1" customWidth="1"/>
    <col min="12" max="12" width="9.42578125" style="48" bestFit="1" customWidth="1"/>
    <col min="13" max="13" width="13" style="48" bestFit="1" customWidth="1"/>
    <col min="14" max="14" width="15.140625" style="48" bestFit="1" customWidth="1"/>
    <col min="15" max="19" width="9.140625" style="48"/>
    <col min="20" max="20" width="17.140625" style="48" bestFit="1" customWidth="1"/>
    <col min="21" max="21" width="12.85546875" style="48" bestFit="1" customWidth="1"/>
    <col min="22" max="22" width="9.28515625" style="48" bestFit="1" customWidth="1"/>
    <col min="23" max="23" width="14.140625" style="48" bestFit="1" customWidth="1"/>
    <col min="24" max="16384" width="9.140625" style="48"/>
  </cols>
  <sheetData>
    <row r="1" spans="1:14" s="163" customFormat="1" ht="36" customHeight="1" x14ac:dyDescent="0.25">
      <c r="A1" s="164" t="s">
        <v>339</v>
      </c>
      <c r="B1" s="143" t="s">
        <v>300</v>
      </c>
      <c r="C1" s="143" t="s">
        <v>35</v>
      </c>
      <c r="D1" s="143" t="s">
        <v>338</v>
      </c>
      <c r="E1" s="144" t="s">
        <v>302</v>
      </c>
      <c r="F1" s="144" t="s">
        <v>304</v>
      </c>
      <c r="G1" s="144" t="s">
        <v>303</v>
      </c>
      <c r="H1" s="144" t="s">
        <v>3</v>
      </c>
      <c r="I1" s="143" t="s">
        <v>4</v>
      </c>
      <c r="J1" s="143" t="s">
        <v>301</v>
      </c>
      <c r="K1" s="162"/>
      <c r="L1" s="162"/>
      <c r="M1" s="162"/>
      <c r="N1" s="162"/>
    </row>
    <row r="2" spans="1:14" ht="12.75" customHeight="1" x14ac:dyDescent="0.2">
      <c r="A2" s="165">
        <v>1</v>
      </c>
      <c r="B2" s="160" t="s">
        <v>5</v>
      </c>
      <c r="C2" s="84" t="s">
        <v>61</v>
      </c>
      <c r="D2" s="42">
        <v>3</v>
      </c>
      <c r="E2" s="43">
        <v>150</v>
      </c>
      <c r="F2" s="43"/>
      <c r="G2" s="43">
        <v>326.68</v>
      </c>
      <c r="H2" s="43">
        <f t="shared" ref="H2:H33" si="0">G2-E2</f>
        <v>176.68</v>
      </c>
      <c r="I2" s="52" t="s">
        <v>2</v>
      </c>
      <c r="J2" s="117" t="s">
        <v>294</v>
      </c>
    </row>
    <row r="3" spans="1:14" ht="12.75" customHeight="1" x14ac:dyDescent="0.2">
      <c r="A3" s="165">
        <v>1</v>
      </c>
      <c r="B3" s="160" t="s">
        <v>5</v>
      </c>
      <c r="C3" s="84" t="s">
        <v>154</v>
      </c>
      <c r="D3" s="42">
        <v>1</v>
      </c>
      <c r="E3" s="43">
        <v>14</v>
      </c>
      <c r="F3" s="43"/>
      <c r="G3" s="43">
        <v>30.03</v>
      </c>
      <c r="H3" s="43">
        <f t="shared" si="0"/>
        <v>16.03</v>
      </c>
      <c r="I3" s="52" t="s">
        <v>2</v>
      </c>
      <c r="J3" s="117" t="s">
        <v>294</v>
      </c>
    </row>
    <row r="4" spans="1:14" ht="12.75" customHeight="1" x14ac:dyDescent="0.2">
      <c r="A4" s="165">
        <v>1</v>
      </c>
      <c r="B4" s="160" t="s">
        <v>5</v>
      </c>
      <c r="C4" s="84" t="s">
        <v>62</v>
      </c>
      <c r="D4" s="42">
        <v>1</v>
      </c>
      <c r="E4" s="43">
        <v>5</v>
      </c>
      <c r="F4" s="43"/>
      <c r="G4" s="43">
        <v>21.28</v>
      </c>
      <c r="H4" s="43">
        <f t="shared" si="0"/>
        <v>16.28</v>
      </c>
      <c r="I4" s="52" t="s">
        <v>2</v>
      </c>
      <c r="J4" s="117" t="s">
        <v>294</v>
      </c>
    </row>
    <row r="5" spans="1:14" ht="12.75" customHeight="1" x14ac:dyDescent="0.2">
      <c r="A5" s="165">
        <v>1</v>
      </c>
      <c r="B5" s="160" t="s">
        <v>5</v>
      </c>
      <c r="C5" s="84" t="s">
        <v>308</v>
      </c>
      <c r="D5" s="42">
        <v>1</v>
      </c>
      <c r="E5" s="43">
        <v>40</v>
      </c>
      <c r="F5" s="43"/>
      <c r="G5" s="43">
        <v>99.55</v>
      </c>
      <c r="H5" s="43">
        <f t="shared" si="0"/>
        <v>59.55</v>
      </c>
      <c r="I5" s="52" t="s">
        <v>2</v>
      </c>
      <c r="J5" s="117" t="s">
        <v>294</v>
      </c>
    </row>
    <row r="6" spans="1:14" ht="12.75" customHeight="1" x14ac:dyDescent="0.2">
      <c r="A6" s="165">
        <v>1</v>
      </c>
      <c r="B6" s="160" t="s">
        <v>5</v>
      </c>
      <c r="C6" s="84" t="s">
        <v>188</v>
      </c>
      <c r="D6" s="42">
        <v>2</v>
      </c>
      <c r="E6" s="43">
        <v>6</v>
      </c>
      <c r="F6" s="43"/>
      <c r="G6" s="43">
        <v>24.1</v>
      </c>
      <c r="H6" s="43">
        <f t="shared" si="0"/>
        <v>18.100000000000001</v>
      </c>
      <c r="I6" s="52" t="s">
        <v>2</v>
      </c>
      <c r="J6" s="117" t="s">
        <v>294</v>
      </c>
    </row>
    <row r="7" spans="1:14" ht="12.75" customHeight="1" x14ac:dyDescent="0.2">
      <c r="A7" s="165">
        <v>1</v>
      </c>
      <c r="B7" s="160" t="s">
        <v>5</v>
      </c>
      <c r="C7" s="84" t="s">
        <v>155</v>
      </c>
      <c r="D7" s="42">
        <v>3</v>
      </c>
      <c r="E7" s="43">
        <v>15</v>
      </c>
      <c r="F7" s="43"/>
      <c r="G7" s="43">
        <v>64.11</v>
      </c>
      <c r="H7" s="43">
        <f t="shared" si="0"/>
        <v>49.11</v>
      </c>
      <c r="I7" s="52" t="s">
        <v>2</v>
      </c>
      <c r="J7" s="117" t="s">
        <v>294</v>
      </c>
    </row>
    <row r="8" spans="1:14" ht="12.75" customHeight="1" x14ac:dyDescent="0.2">
      <c r="A8" s="165">
        <v>1</v>
      </c>
      <c r="B8" s="160" t="s">
        <v>5</v>
      </c>
      <c r="C8" s="84" t="s">
        <v>143</v>
      </c>
      <c r="D8" s="42">
        <v>1</v>
      </c>
      <c r="E8" s="57">
        <v>7</v>
      </c>
      <c r="F8" s="43">
        <v>15</v>
      </c>
      <c r="G8" s="43">
        <v>15</v>
      </c>
      <c r="H8" s="43">
        <f t="shared" si="0"/>
        <v>8</v>
      </c>
      <c r="I8" s="52" t="s">
        <v>2</v>
      </c>
      <c r="J8" s="56" t="s">
        <v>149</v>
      </c>
    </row>
    <row r="9" spans="1:14" ht="12.75" customHeight="1" x14ac:dyDescent="0.2">
      <c r="A9" s="165">
        <v>1</v>
      </c>
      <c r="B9" s="160" t="s">
        <v>5</v>
      </c>
      <c r="C9" s="84" t="s">
        <v>57</v>
      </c>
      <c r="D9" s="42">
        <v>1</v>
      </c>
      <c r="E9" s="57">
        <v>5.5</v>
      </c>
      <c r="F9" s="57">
        <v>10</v>
      </c>
      <c r="G9" s="57">
        <v>10</v>
      </c>
      <c r="H9" s="43">
        <f t="shared" si="0"/>
        <v>4.5</v>
      </c>
      <c r="I9" s="52" t="s">
        <v>2</v>
      </c>
      <c r="J9" s="53" t="s">
        <v>149</v>
      </c>
    </row>
    <row r="10" spans="1:14" ht="12.75" customHeight="1" x14ac:dyDescent="0.2">
      <c r="A10" s="165">
        <v>1</v>
      </c>
      <c r="B10" s="160" t="s">
        <v>5</v>
      </c>
      <c r="C10" s="84" t="s">
        <v>139</v>
      </c>
      <c r="D10" s="42">
        <v>1</v>
      </c>
      <c r="E10" s="57">
        <v>5.5</v>
      </c>
      <c r="F10" s="57">
        <v>10</v>
      </c>
      <c r="G10" s="57">
        <v>10</v>
      </c>
      <c r="H10" s="43">
        <f t="shared" si="0"/>
        <v>4.5</v>
      </c>
      <c r="I10" s="52" t="s">
        <v>2</v>
      </c>
      <c r="J10" s="53" t="s">
        <v>149</v>
      </c>
    </row>
    <row r="11" spans="1:14" ht="12.75" customHeight="1" x14ac:dyDescent="0.2">
      <c r="A11" s="165">
        <v>1</v>
      </c>
      <c r="B11" s="160" t="s">
        <v>5</v>
      </c>
      <c r="C11" s="84" t="s">
        <v>200</v>
      </c>
      <c r="D11" s="42">
        <v>1</v>
      </c>
      <c r="E11" s="51">
        <v>38</v>
      </c>
      <c r="F11" s="51">
        <v>60</v>
      </c>
      <c r="G11" s="51">
        <v>60</v>
      </c>
      <c r="H11" s="51">
        <f t="shared" si="0"/>
        <v>22</v>
      </c>
      <c r="I11" s="52" t="s">
        <v>2</v>
      </c>
      <c r="J11" s="53" t="s">
        <v>149</v>
      </c>
    </row>
    <row r="12" spans="1:14" ht="12.75" customHeight="1" x14ac:dyDescent="0.2">
      <c r="A12" s="165">
        <v>1</v>
      </c>
      <c r="B12" s="160" t="s">
        <v>5</v>
      </c>
      <c r="C12" s="84" t="s">
        <v>200</v>
      </c>
      <c r="D12" s="42">
        <v>1</v>
      </c>
      <c r="E12" s="57">
        <v>38</v>
      </c>
      <c r="F12" s="57">
        <v>60</v>
      </c>
      <c r="G12" s="57">
        <v>60</v>
      </c>
      <c r="H12" s="43">
        <f t="shared" si="0"/>
        <v>22</v>
      </c>
      <c r="I12" s="52" t="s">
        <v>2</v>
      </c>
      <c r="J12" s="53" t="s">
        <v>149</v>
      </c>
    </row>
    <row r="13" spans="1:14" ht="12.75" customHeight="1" x14ac:dyDescent="0.2">
      <c r="A13" s="165">
        <v>1</v>
      </c>
      <c r="B13" s="160" t="s">
        <v>5</v>
      </c>
      <c r="C13" s="54" t="s">
        <v>55</v>
      </c>
      <c r="D13" s="42">
        <v>1</v>
      </c>
      <c r="E13" s="51">
        <v>55</v>
      </c>
      <c r="F13" s="51">
        <v>100</v>
      </c>
      <c r="G13" s="51">
        <v>100</v>
      </c>
      <c r="H13" s="51">
        <f t="shared" si="0"/>
        <v>45</v>
      </c>
      <c r="I13" s="52" t="s">
        <v>2</v>
      </c>
      <c r="J13" s="53" t="s">
        <v>149</v>
      </c>
    </row>
    <row r="14" spans="1:14" ht="12.75" customHeight="1" x14ac:dyDescent="0.2">
      <c r="A14" s="165">
        <v>1</v>
      </c>
      <c r="B14" s="160" t="s">
        <v>5</v>
      </c>
      <c r="C14" s="84" t="s">
        <v>63</v>
      </c>
      <c r="D14" s="42">
        <v>4</v>
      </c>
      <c r="E14" s="43">
        <v>200</v>
      </c>
      <c r="F14" s="43"/>
      <c r="G14" s="43">
        <v>380.89</v>
      </c>
      <c r="H14" s="43">
        <f t="shared" si="0"/>
        <v>180.89</v>
      </c>
      <c r="I14" s="52" t="s">
        <v>2</v>
      </c>
      <c r="J14" s="117" t="s">
        <v>294</v>
      </c>
    </row>
    <row r="15" spans="1:14" ht="12.75" customHeight="1" x14ac:dyDescent="0.2">
      <c r="A15" s="165">
        <v>1</v>
      </c>
      <c r="B15" s="160" t="s">
        <v>5</v>
      </c>
      <c r="C15" s="84" t="s">
        <v>64</v>
      </c>
      <c r="D15" s="42">
        <v>1</v>
      </c>
      <c r="E15" s="43">
        <v>7</v>
      </c>
      <c r="F15" s="43"/>
      <c r="G15" s="43">
        <v>14.99</v>
      </c>
      <c r="H15" s="43">
        <f t="shared" si="0"/>
        <v>7.99</v>
      </c>
      <c r="I15" s="52" t="s">
        <v>2</v>
      </c>
      <c r="J15" s="117" t="s">
        <v>294</v>
      </c>
    </row>
    <row r="16" spans="1:14" ht="12.75" customHeight="1" x14ac:dyDescent="0.2">
      <c r="A16" s="165">
        <v>1</v>
      </c>
      <c r="B16" s="160" t="s">
        <v>5</v>
      </c>
      <c r="C16" s="83" t="s">
        <v>52</v>
      </c>
      <c r="D16" s="42">
        <v>1</v>
      </c>
      <c r="E16" s="57">
        <v>7</v>
      </c>
      <c r="F16" s="57">
        <v>15</v>
      </c>
      <c r="G16" s="57">
        <v>15</v>
      </c>
      <c r="H16" s="43">
        <f t="shared" si="0"/>
        <v>8</v>
      </c>
      <c r="I16" s="52" t="s">
        <v>2</v>
      </c>
      <c r="J16" s="56" t="s">
        <v>149</v>
      </c>
    </row>
    <row r="17" spans="1:10" ht="12.75" customHeight="1" x14ac:dyDescent="0.2">
      <c r="A17" s="165">
        <v>1</v>
      </c>
      <c r="B17" s="160" t="s">
        <v>5</v>
      </c>
      <c r="C17" s="83" t="s">
        <v>52</v>
      </c>
      <c r="D17" s="42">
        <v>1</v>
      </c>
      <c r="E17" s="51">
        <v>7.5</v>
      </c>
      <c r="F17" s="51">
        <v>15</v>
      </c>
      <c r="G17" s="51">
        <v>15</v>
      </c>
      <c r="H17" s="51">
        <f t="shared" si="0"/>
        <v>7.5</v>
      </c>
      <c r="I17" s="52" t="s">
        <v>2</v>
      </c>
      <c r="J17" s="53" t="s">
        <v>149</v>
      </c>
    </row>
    <row r="18" spans="1:10" ht="12.75" customHeight="1" x14ac:dyDescent="0.2">
      <c r="A18" s="165">
        <v>1</v>
      </c>
      <c r="B18" s="160" t="s">
        <v>5</v>
      </c>
      <c r="C18" s="83" t="s">
        <v>52</v>
      </c>
      <c r="D18" s="42">
        <v>1</v>
      </c>
      <c r="E18" s="51">
        <v>7.5</v>
      </c>
      <c r="F18" s="51">
        <v>15</v>
      </c>
      <c r="G18" s="51">
        <v>15</v>
      </c>
      <c r="H18" s="51">
        <f t="shared" si="0"/>
        <v>7.5</v>
      </c>
      <c r="I18" s="52" t="s">
        <v>2</v>
      </c>
      <c r="J18" s="53" t="s">
        <v>149</v>
      </c>
    </row>
    <row r="19" spans="1:10" ht="12.75" customHeight="1" x14ac:dyDescent="0.2">
      <c r="A19" s="165">
        <v>1</v>
      </c>
      <c r="B19" s="160" t="s">
        <v>5</v>
      </c>
      <c r="C19" s="84" t="s">
        <v>311</v>
      </c>
      <c r="D19" s="42">
        <v>1</v>
      </c>
      <c r="E19" s="51">
        <v>22</v>
      </c>
      <c r="F19" s="51">
        <v>35</v>
      </c>
      <c r="G19" s="51">
        <v>35</v>
      </c>
      <c r="H19" s="51">
        <f t="shared" si="0"/>
        <v>13</v>
      </c>
      <c r="I19" s="52" t="s">
        <v>2</v>
      </c>
      <c r="J19" s="53" t="s">
        <v>149</v>
      </c>
    </row>
    <row r="20" spans="1:10" ht="12.75" customHeight="1" x14ac:dyDescent="0.2">
      <c r="A20" s="165">
        <v>1</v>
      </c>
      <c r="B20" s="160" t="s">
        <v>5</v>
      </c>
      <c r="C20" s="84" t="s">
        <v>311</v>
      </c>
      <c r="D20" s="42">
        <v>1</v>
      </c>
      <c r="E20" s="51">
        <v>22</v>
      </c>
      <c r="F20" s="51">
        <v>35</v>
      </c>
      <c r="G20" s="51">
        <v>35</v>
      </c>
      <c r="H20" s="51">
        <f t="shared" si="0"/>
        <v>13</v>
      </c>
      <c r="I20" s="52" t="s">
        <v>2</v>
      </c>
      <c r="J20" s="53" t="s">
        <v>149</v>
      </c>
    </row>
    <row r="21" spans="1:10" ht="12.75" customHeight="1" x14ac:dyDescent="0.2">
      <c r="A21" s="165">
        <v>1</v>
      </c>
      <c r="B21" s="160" t="s">
        <v>5</v>
      </c>
      <c r="C21" s="84" t="s">
        <v>311</v>
      </c>
      <c r="D21" s="42">
        <v>1</v>
      </c>
      <c r="E21" s="57">
        <v>15</v>
      </c>
      <c r="F21" s="57">
        <v>30</v>
      </c>
      <c r="G21" s="57">
        <v>30</v>
      </c>
      <c r="H21" s="43">
        <f t="shared" si="0"/>
        <v>15</v>
      </c>
      <c r="I21" s="52" t="s">
        <v>2</v>
      </c>
      <c r="J21" s="56" t="s">
        <v>149</v>
      </c>
    </row>
    <row r="22" spans="1:10" ht="12.75" customHeight="1" x14ac:dyDescent="0.2">
      <c r="A22" s="165">
        <v>1</v>
      </c>
      <c r="B22" s="160" t="s">
        <v>5</v>
      </c>
      <c r="C22" s="84" t="s">
        <v>236</v>
      </c>
      <c r="D22" s="42">
        <v>4</v>
      </c>
      <c r="E22" s="43">
        <v>11.2</v>
      </c>
      <c r="F22" s="43"/>
      <c r="G22" s="43">
        <v>46.11</v>
      </c>
      <c r="H22" s="43">
        <f t="shared" si="0"/>
        <v>34.909999999999997</v>
      </c>
      <c r="I22" s="52" t="s">
        <v>2</v>
      </c>
      <c r="J22" s="117" t="s">
        <v>294</v>
      </c>
    </row>
    <row r="23" spans="1:10" ht="12.75" customHeight="1" x14ac:dyDescent="0.2">
      <c r="A23" s="165">
        <v>1</v>
      </c>
      <c r="B23" s="160" t="s">
        <v>5</v>
      </c>
      <c r="C23" s="84" t="s">
        <v>180</v>
      </c>
      <c r="D23" s="42">
        <v>1</v>
      </c>
      <c r="E23" s="51">
        <v>40</v>
      </c>
      <c r="F23" s="51">
        <v>60</v>
      </c>
      <c r="G23" s="51">
        <v>60</v>
      </c>
      <c r="H23" s="51">
        <f t="shared" si="0"/>
        <v>20</v>
      </c>
      <c r="I23" s="52" t="s">
        <v>2</v>
      </c>
      <c r="J23" s="53" t="s">
        <v>149</v>
      </c>
    </row>
    <row r="24" spans="1:10" ht="12.75" customHeight="1" x14ac:dyDescent="0.2">
      <c r="A24" s="165">
        <v>1</v>
      </c>
      <c r="B24" s="160" t="s">
        <v>5</v>
      </c>
      <c r="C24" s="84" t="s">
        <v>180</v>
      </c>
      <c r="D24" s="42">
        <v>1</v>
      </c>
      <c r="E24" s="51">
        <v>40</v>
      </c>
      <c r="F24" s="51">
        <v>60</v>
      </c>
      <c r="G24" s="51">
        <v>60</v>
      </c>
      <c r="H24" s="51">
        <f t="shared" si="0"/>
        <v>20</v>
      </c>
      <c r="I24" s="52" t="s">
        <v>2</v>
      </c>
      <c r="J24" s="53" t="s">
        <v>149</v>
      </c>
    </row>
    <row r="25" spans="1:10" ht="12.75" customHeight="1" x14ac:dyDescent="0.2">
      <c r="A25" s="165">
        <v>1</v>
      </c>
      <c r="B25" s="160" t="s">
        <v>5</v>
      </c>
      <c r="C25" s="84" t="s">
        <v>180</v>
      </c>
      <c r="D25" s="42">
        <v>1</v>
      </c>
      <c r="E25" s="51">
        <v>42</v>
      </c>
      <c r="F25" s="51">
        <v>60</v>
      </c>
      <c r="G25" s="51">
        <v>60</v>
      </c>
      <c r="H25" s="51">
        <f t="shared" si="0"/>
        <v>18</v>
      </c>
      <c r="I25" s="52" t="s">
        <v>2</v>
      </c>
      <c r="J25" s="53" t="s">
        <v>149</v>
      </c>
    </row>
    <row r="26" spans="1:10" ht="12.75" customHeight="1" x14ac:dyDescent="0.2">
      <c r="A26" s="165">
        <v>1</v>
      </c>
      <c r="B26" s="160" t="s">
        <v>5</v>
      </c>
      <c r="C26" s="84" t="s">
        <v>180</v>
      </c>
      <c r="D26" s="42">
        <v>1</v>
      </c>
      <c r="E26" s="51">
        <v>42</v>
      </c>
      <c r="F26" s="51">
        <v>60</v>
      </c>
      <c r="G26" s="51">
        <v>60</v>
      </c>
      <c r="H26" s="51">
        <f t="shared" si="0"/>
        <v>18</v>
      </c>
      <c r="I26" s="52" t="s">
        <v>2</v>
      </c>
      <c r="J26" s="53" t="s">
        <v>149</v>
      </c>
    </row>
    <row r="27" spans="1:10" ht="12.75" customHeight="1" x14ac:dyDescent="0.2">
      <c r="A27" s="165">
        <v>1</v>
      </c>
      <c r="B27" s="160" t="s">
        <v>5</v>
      </c>
      <c r="C27" s="84" t="s">
        <v>314</v>
      </c>
      <c r="D27" s="42">
        <v>1</v>
      </c>
      <c r="E27" s="57">
        <v>25</v>
      </c>
      <c r="F27" s="57">
        <v>50</v>
      </c>
      <c r="G27" s="57">
        <v>50</v>
      </c>
      <c r="H27" s="43">
        <f t="shared" si="0"/>
        <v>25</v>
      </c>
      <c r="I27" s="52" t="s">
        <v>2</v>
      </c>
      <c r="J27" s="56" t="s">
        <v>149</v>
      </c>
    </row>
    <row r="28" spans="1:10" ht="12.75" customHeight="1" x14ac:dyDescent="0.2">
      <c r="A28" s="165">
        <v>1</v>
      </c>
      <c r="B28" s="160" t="s">
        <v>5</v>
      </c>
      <c r="C28" s="84" t="s">
        <v>314</v>
      </c>
      <c r="D28" s="42">
        <v>1</v>
      </c>
      <c r="E28" s="57">
        <v>25</v>
      </c>
      <c r="F28" s="57">
        <v>45</v>
      </c>
      <c r="G28" s="57">
        <v>45</v>
      </c>
      <c r="H28" s="43">
        <f t="shared" si="0"/>
        <v>20</v>
      </c>
      <c r="I28" s="52" t="s">
        <v>2</v>
      </c>
      <c r="J28" s="53" t="s">
        <v>149</v>
      </c>
    </row>
    <row r="29" spans="1:10" ht="12.75" customHeight="1" x14ac:dyDescent="0.2">
      <c r="A29" s="165">
        <v>1</v>
      </c>
      <c r="B29" s="160" t="s">
        <v>5</v>
      </c>
      <c r="C29" s="84" t="s">
        <v>314</v>
      </c>
      <c r="D29" s="42">
        <v>1</v>
      </c>
      <c r="E29" s="57">
        <v>25</v>
      </c>
      <c r="F29" s="57">
        <v>45</v>
      </c>
      <c r="G29" s="57">
        <v>45</v>
      </c>
      <c r="H29" s="43">
        <f t="shared" si="0"/>
        <v>20</v>
      </c>
      <c r="I29" s="52" t="s">
        <v>2</v>
      </c>
      <c r="J29" s="53" t="s">
        <v>149</v>
      </c>
    </row>
    <row r="30" spans="1:10" ht="12.75" customHeight="1" x14ac:dyDescent="0.2">
      <c r="A30" s="165">
        <v>1</v>
      </c>
      <c r="B30" s="160" t="s">
        <v>5</v>
      </c>
      <c r="C30" s="84" t="s">
        <v>314</v>
      </c>
      <c r="D30" s="42">
        <v>1</v>
      </c>
      <c r="E30" s="57">
        <v>25</v>
      </c>
      <c r="F30" s="57">
        <v>50</v>
      </c>
      <c r="G30" s="57">
        <v>50</v>
      </c>
      <c r="H30" s="43">
        <f t="shared" si="0"/>
        <v>25</v>
      </c>
      <c r="I30" s="52" t="s">
        <v>2</v>
      </c>
      <c r="J30" s="53" t="s">
        <v>149</v>
      </c>
    </row>
    <row r="31" spans="1:10" ht="12.75" customHeight="1" x14ac:dyDescent="0.2">
      <c r="A31" s="165">
        <v>1</v>
      </c>
      <c r="B31" s="160" t="s">
        <v>5</v>
      </c>
      <c r="C31" s="54" t="s">
        <v>150</v>
      </c>
      <c r="D31" s="42">
        <v>1</v>
      </c>
      <c r="E31" s="51">
        <v>0</v>
      </c>
      <c r="F31" s="51">
        <v>50</v>
      </c>
      <c r="G31" s="51">
        <v>50</v>
      </c>
      <c r="H31" s="51">
        <f t="shared" si="0"/>
        <v>50</v>
      </c>
      <c r="I31" s="52" t="s">
        <v>2</v>
      </c>
      <c r="J31" s="53" t="s">
        <v>149</v>
      </c>
    </row>
    <row r="32" spans="1:10" ht="12.75" customHeight="1" x14ac:dyDescent="0.2">
      <c r="A32" s="165">
        <v>1</v>
      </c>
      <c r="B32" s="160" t="s">
        <v>5</v>
      </c>
      <c r="C32" s="84" t="s">
        <v>156</v>
      </c>
      <c r="D32" s="42">
        <v>1</v>
      </c>
      <c r="E32" s="43">
        <v>2</v>
      </c>
      <c r="F32" s="43"/>
      <c r="G32" s="43">
        <v>12.77</v>
      </c>
      <c r="H32" s="43">
        <f t="shared" si="0"/>
        <v>10.77</v>
      </c>
      <c r="I32" s="52" t="s">
        <v>2</v>
      </c>
      <c r="J32" s="117" t="s">
        <v>294</v>
      </c>
    </row>
    <row r="33" spans="1:10" ht="12.75" customHeight="1" x14ac:dyDescent="0.2">
      <c r="A33" s="165">
        <v>1</v>
      </c>
      <c r="B33" s="160" t="s">
        <v>5</v>
      </c>
      <c r="C33" s="55" t="s">
        <v>315</v>
      </c>
      <c r="D33" s="42">
        <v>1</v>
      </c>
      <c r="E33" s="51">
        <v>5</v>
      </c>
      <c r="F33" s="51">
        <v>10</v>
      </c>
      <c r="G33" s="51">
        <v>10</v>
      </c>
      <c r="H33" s="51">
        <f t="shared" si="0"/>
        <v>5</v>
      </c>
      <c r="I33" s="52" t="s">
        <v>2</v>
      </c>
      <c r="J33" s="56" t="s">
        <v>149</v>
      </c>
    </row>
    <row r="34" spans="1:10" ht="12.75" customHeight="1" x14ac:dyDescent="0.2">
      <c r="A34" s="165">
        <v>1</v>
      </c>
      <c r="B34" s="160" t="s">
        <v>5</v>
      </c>
      <c r="C34" s="55" t="s">
        <v>315</v>
      </c>
      <c r="D34" s="42">
        <v>1</v>
      </c>
      <c r="E34" s="51">
        <v>5</v>
      </c>
      <c r="F34" s="51">
        <v>10</v>
      </c>
      <c r="G34" s="51">
        <v>10</v>
      </c>
      <c r="H34" s="51">
        <f t="shared" ref="H34:H65" si="1">G34-E34</f>
        <v>5</v>
      </c>
      <c r="I34" s="52" t="s">
        <v>2</v>
      </c>
      <c r="J34" s="56" t="s">
        <v>149</v>
      </c>
    </row>
    <row r="35" spans="1:10" ht="12.75" customHeight="1" x14ac:dyDescent="0.2">
      <c r="A35" s="165">
        <v>1</v>
      </c>
      <c r="B35" s="160" t="s">
        <v>5</v>
      </c>
      <c r="C35" s="55" t="s">
        <v>315</v>
      </c>
      <c r="D35" s="42">
        <v>1</v>
      </c>
      <c r="E35" s="57">
        <v>5</v>
      </c>
      <c r="F35" s="57">
        <v>10</v>
      </c>
      <c r="G35" s="57">
        <v>10</v>
      </c>
      <c r="H35" s="43">
        <f t="shared" si="1"/>
        <v>5</v>
      </c>
      <c r="I35" s="52" t="s">
        <v>2</v>
      </c>
      <c r="J35" s="56" t="s">
        <v>149</v>
      </c>
    </row>
    <row r="36" spans="1:10" ht="12.75" customHeight="1" x14ac:dyDescent="0.2">
      <c r="A36" s="165">
        <v>1</v>
      </c>
      <c r="B36" s="160" t="s">
        <v>5</v>
      </c>
      <c r="C36" s="55" t="s">
        <v>315</v>
      </c>
      <c r="D36" s="42">
        <v>1</v>
      </c>
      <c r="E36" s="57">
        <v>5</v>
      </c>
      <c r="F36" s="57">
        <v>10</v>
      </c>
      <c r="G36" s="57">
        <v>10</v>
      </c>
      <c r="H36" s="43">
        <f t="shared" si="1"/>
        <v>5</v>
      </c>
      <c r="I36" s="52" t="s">
        <v>2</v>
      </c>
      <c r="J36" s="56" t="s">
        <v>149</v>
      </c>
    </row>
    <row r="37" spans="1:10" ht="12.75" customHeight="1" x14ac:dyDescent="0.2">
      <c r="A37" s="165">
        <v>1</v>
      </c>
      <c r="B37" s="160" t="s">
        <v>5</v>
      </c>
      <c r="C37" s="55" t="s">
        <v>315</v>
      </c>
      <c r="D37" s="42">
        <v>1</v>
      </c>
      <c r="E37" s="57">
        <v>5</v>
      </c>
      <c r="F37" s="57">
        <v>10</v>
      </c>
      <c r="G37" s="57">
        <v>10</v>
      </c>
      <c r="H37" s="43">
        <f t="shared" si="1"/>
        <v>5</v>
      </c>
      <c r="I37" s="52" t="s">
        <v>2</v>
      </c>
      <c r="J37" s="56" t="s">
        <v>149</v>
      </c>
    </row>
    <row r="38" spans="1:10" ht="12.75" customHeight="1" x14ac:dyDescent="0.2">
      <c r="A38" s="165">
        <v>1</v>
      </c>
      <c r="B38" s="160" t="s">
        <v>5</v>
      </c>
      <c r="C38" s="84" t="s">
        <v>152</v>
      </c>
      <c r="D38" s="42">
        <v>1</v>
      </c>
      <c r="E38" s="57">
        <v>20</v>
      </c>
      <c r="F38" s="57">
        <v>35</v>
      </c>
      <c r="G38" s="57">
        <v>35</v>
      </c>
      <c r="H38" s="43">
        <f t="shared" si="1"/>
        <v>15</v>
      </c>
      <c r="I38" s="52" t="s">
        <v>2</v>
      </c>
      <c r="J38" s="53" t="s">
        <v>149</v>
      </c>
    </row>
    <row r="39" spans="1:10" ht="12.75" customHeight="1" x14ac:dyDescent="0.2">
      <c r="A39" s="165">
        <v>1</v>
      </c>
      <c r="B39" s="160" t="s">
        <v>5</v>
      </c>
      <c r="C39" s="84" t="s">
        <v>318</v>
      </c>
      <c r="D39" s="42">
        <v>4</v>
      </c>
      <c r="E39" s="43">
        <v>160</v>
      </c>
      <c r="F39" s="43"/>
      <c r="G39" s="43">
        <v>358.9</v>
      </c>
      <c r="H39" s="43">
        <f t="shared" si="1"/>
        <v>198.89999999999998</v>
      </c>
      <c r="I39" s="52" t="s">
        <v>2</v>
      </c>
      <c r="J39" s="117" t="s">
        <v>294</v>
      </c>
    </row>
    <row r="40" spans="1:10" ht="12.75" customHeight="1" x14ac:dyDescent="0.2">
      <c r="A40" s="165">
        <v>1</v>
      </c>
      <c r="B40" s="160" t="s">
        <v>5</v>
      </c>
      <c r="C40" s="84" t="s">
        <v>65</v>
      </c>
      <c r="D40" s="42">
        <v>1</v>
      </c>
      <c r="E40" s="43">
        <v>12</v>
      </c>
      <c r="F40" s="43"/>
      <c r="G40" s="43">
        <v>31.5</v>
      </c>
      <c r="H40" s="43">
        <f t="shared" si="1"/>
        <v>19.5</v>
      </c>
      <c r="I40" s="52" t="s">
        <v>2</v>
      </c>
      <c r="J40" s="117" t="s">
        <v>294</v>
      </c>
    </row>
    <row r="41" spans="1:10" ht="12.75" customHeight="1" x14ac:dyDescent="0.2">
      <c r="A41" s="165">
        <v>1</v>
      </c>
      <c r="B41" s="160" t="s">
        <v>5</v>
      </c>
      <c r="C41" s="84" t="s">
        <v>157</v>
      </c>
      <c r="D41" s="42">
        <v>1</v>
      </c>
      <c r="E41" s="43">
        <v>3</v>
      </c>
      <c r="F41" s="43"/>
      <c r="G41" s="43">
        <v>12.1</v>
      </c>
      <c r="H41" s="43">
        <f t="shared" si="1"/>
        <v>9.1</v>
      </c>
      <c r="I41" s="52" t="s">
        <v>2</v>
      </c>
      <c r="J41" s="117" t="s">
        <v>294</v>
      </c>
    </row>
    <row r="42" spans="1:10" ht="12.75" customHeight="1" x14ac:dyDescent="0.2">
      <c r="A42" s="165">
        <v>1</v>
      </c>
      <c r="B42" s="160" t="s">
        <v>5</v>
      </c>
      <c r="C42" s="84" t="s">
        <v>66</v>
      </c>
      <c r="D42" s="42">
        <v>1</v>
      </c>
      <c r="E42" s="43">
        <v>2</v>
      </c>
      <c r="F42" s="43"/>
      <c r="G42" s="43">
        <v>8.34</v>
      </c>
      <c r="H42" s="43">
        <f t="shared" si="1"/>
        <v>6.34</v>
      </c>
      <c r="I42" s="52" t="s">
        <v>2</v>
      </c>
      <c r="J42" s="117" t="s">
        <v>294</v>
      </c>
    </row>
    <row r="43" spans="1:10" ht="12.75" customHeight="1" x14ac:dyDescent="0.2">
      <c r="A43" s="165">
        <v>1</v>
      </c>
      <c r="B43" s="160" t="s">
        <v>5</v>
      </c>
      <c r="C43" s="84" t="s">
        <v>67</v>
      </c>
      <c r="D43" s="42">
        <v>4</v>
      </c>
      <c r="E43" s="43">
        <v>60</v>
      </c>
      <c r="F43" s="43"/>
      <c r="G43" s="43">
        <v>185.12</v>
      </c>
      <c r="H43" s="43">
        <f t="shared" si="1"/>
        <v>125.12</v>
      </c>
      <c r="I43" s="52" t="s">
        <v>2</v>
      </c>
      <c r="J43" s="117" t="s">
        <v>294</v>
      </c>
    </row>
    <row r="44" spans="1:10" ht="12.75" customHeight="1" x14ac:dyDescent="0.2">
      <c r="A44" s="165">
        <v>1</v>
      </c>
      <c r="B44" s="160" t="s">
        <v>5</v>
      </c>
      <c r="C44" s="84" t="s">
        <v>58</v>
      </c>
      <c r="D44" s="42">
        <v>1</v>
      </c>
      <c r="E44" s="57">
        <v>80</v>
      </c>
      <c r="F44" s="57">
        <v>130</v>
      </c>
      <c r="G44" s="57">
        <v>130</v>
      </c>
      <c r="H44" s="43">
        <f t="shared" si="1"/>
        <v>50</v>
      </c>
      <c r="I44" s="52" t="s">
        <v>2</v>
      </c>
      <c r="J44" s="53" t="s">
        <v>149</v>
      </c>
    </row>
    <row r="45" spans="1:10" ht="12.75" customHeight="1" x14ac:dyDescent="0.2">
      <c r="A45" s="165">
        <v>1</v>
      </c>
      <c r="B45" s="160" t="s">
        <v>5</v>
      </c>
      <c r="C45" s="84" t="s">
        <v>58</v>
      </c>
      <c r="D45" s="42">
        <v>1</v>
      </c>
      <c r="E45" s="57">
        <v>80</v>
      </c>
      <c r="F45" s="57">
        <v>140</v>
      </c>
      <c r="G45" s="57">
        <v>140</v>
      </c>
      <c r="H45" s="43">
        <f t="shared" si="1"/>
        <v>60</v>
      </c>
      <c r="I45" s="52" t="s">
        <v>2</v>
      </c>
      <c r="J45" s="53" t="s">
        <v>149</v>
      </c>
    </row>
    <row r="46" spans="1:10" ht="12.75" customHeight="1" x14ac:dyDescent="0.2">
      <c r="A46" s="165">
        <v>1</v>
      </c>
      <c r="B46" s="160" t="s">
        <v>5</v>
      </c>
      <c r="C46" s="84" t="s">
        <v>68</v>
      </c>
      <c r="D46" s="42">
        <v>1</v>
      </c>
      <c r="E46" s="43">
        <v>50</v>
      </c>
      <c r="F46" s="43"/>
      <c r="G46" s="43">
        <v>128.57</v>
      </c>
      <c r="H46" s="43">
        <f t="shared" si="1"/>
        <v>78.569999999999993</v>
      </c>
      <c r="I46" s="52" t="s">
        <v>2</v>
      </c>
      <c r="J46" s="117" t="s">
        <v>294</v>
      </c>
    </row>
    <row r="47" spans="1:10" ht="12.75" customHeight="1" x14ac:dyDescent="0.2">
      <c r="A47" s="165">
        <v>1</v>
      </c>
      <c r="B47" s="160" t="s">
        <v>5</v>
      </c>
      <c r="C47" s="84" t="s">
        <v>151</v>
      </c>
      <c r="D47" s="42">
        <v>1</v>
      </c>
      <c r="E47" s="57">
        <v>15</v>
      </c>
      <c r="F47" s="57">
        <v>45</v>
      </c>
      <c r="G47" s="57">
        <v>45</v>
      </c>
      <c r="H47" s="43">
        <f t="shared" si="1"/>
        <v>30</v>
      </c>
      <c r="I47" s="52" t="s">
        <v>2</v>
      </c>
      <c r="J47" s="56" t="s">
        <v>149</v>
      </c>
    </row>
    <row r="48" spans="1:10" ht="12.75" customHeight="1" x14ac:dyDescent="0.2">
      <c r="A48" s="165">
        <v>1</v>
      </c>
      <c r="B48" s="160" t="s">
        <v>5</v>
      </c>
      <c r="C48" s="84" t="s">
        <v>59</v>
      </c>
      <c r="D48" s="42">
        <v>1</v>
      </c>
      <c r="E48" s="57">
        <v>35</v>
      </c>
      <c r="F48" s="43">
        <v>50</v>
      </c>
      <c r="G48" s="43">
        <v>50</v>
      </c>
      <c r="H48" s="43">
        <f t="shared" si="1"/>
        <v>15</v>
      </c>
      <c r="I48" s="52" t="s">
        <v>2</v>
      </c>
      <c r="J48" s="56" t="s">
        <v>149</v>
      </c>
    </row>
    <row r="49" spans="1:10" ht="12.75" customHeight="1" x14ac:dyDescent="0.2">
      <c r="A49" s="165">
        <v>1</v>
      </c>
      <c r="B49" s="160" t="s">
        <v>5</v>
      </c>
      <c r="C49" s="55" t="s">
        <v>56</v>
      </c>
      <c r="D49" s="42">
        <v>1</v>
      </c>
      <c r="E49" s="51">
        <v>32</v>
      </c>
      <c r="F49" s="51">
        <v>80</v>
      </c>
      <c r="G49" s="51">
        <v>80</v>
      </c>
      <c r="H49" s="51">
        <f t="shared" si="1"/>
        <v>48</v>
      </c>
      <c r="I49" s="52" t="s">
        <v>2</v>
      </c>
      <c r="J49" s="56" t="s">
        <v>149</v>
      </c>
    </row>
    <row r="50" spans="1:10" ht="12.75" customHeight="1" x14ac:dyDescent="0.2">
      <c r="A50" s="165">
        <v>1</v>
      </c>
      <c r="B50" s="160" t="s">
        <v>5</v>
      </c>
      <c r="C50" s="84" t="s">
        <v>113</v>
      </c>
      <c r="D50" s="42">
        <v>1</v>
      </c>
      <c r="E50" s="43">
        <v>8</v>
      </c>
      <c r="F50" s="43"/>
      <c r="G50" s="43">
        <v>13.99</v>
      </c>
      <c r="H50" s="43">
        <f t="shared" si="1"/>
        <v>5.99</v>
      </c>
      <c r="I50" s="52" t="s">
        <v>2</v>
      </c>
      <c r="J50" s="117" t="s">
        <v>294</v>
      </c>
    </row>
    <row r="51" spans="1:10" ht="12.75" customHeight="1" x14ac:dyDescent="0.2">
      <c r="A51" s="165">
        <v>1</v>
      </c>
      <c r="B51" s="160" t="s">
        <v>5</v>
      </c>
      <c r="C51" s="84" t="s">
        <v>69</v>
      </c>
      <c r="D51" s="42">
        <v>3</v>
      </c>
      <c r="E51" s="43">
        <v>210</v>
      </c>
      <c r="F51" s="43"/>
      <c r="G51" s="43">
        <v>468.68</v>
      </c>
      <c r="H51" s="43">
        <f t="shared" si="1"/>
        <v>258.68</v>
      </c>
      <c r="I51" s="52" t="s">
        <v>2</v>
      </c>
      <c r="J51" s="117" t="s">
        <v>294</v>
      </c>
    </row>
    <row r="52" spans="1:10" ht="12.75" customHeight="1" x14ac:dyDescent="0.2">
      <c r="A52" s="165">
        <v>1</v>
      </c>
      <c r="B52" s="160" t="s">
        <v>5</v>
      </c>
      <c r="C52" s="84" t="s">
        <v>70</v>
      </c>
      <c r="D52" s="42">
        <v>1</v>
      </c>
      <c r="E52" s="43">
        <v>8</v>
      </c>
      <c r="F52" s="43"/>
      <c r="G52" s="43">
        <v>17</v>
      </c>
      <c r="H52" s="43">
        <f t="shared" si="1"/>
        <v>9</v>
      </c>
      <c r="I52" s="52" t="s">
        <v>2</v>
      </c>
      <c r="J52" s="117" t="s">
        <v>294</v>
      </c>
    </row>
    <row r="53" spans="1:10" ht="12.75" customHeight="1" x14ac:dyDescent="0.2">
      <c r="A53" s="165">
        <v>1</v>
      </c>
      <c r="B53" s="160" t="s">
        <v>5</v>
      </c>
      <c r="C53" s="84" t="s">
        <v>153</v>
      </c>
      <c r="D53" s="42">
        <v>1</v>
      </c>
      <c r="E53" s="57">
        <v>3</v>
      </c>
      <c r="F53" s="57">
        <v>15</v>
      </c>
      <c r="G53" s="57">
        <v>15</v>
      </c>
      <c r="H53" s="43">
        <f t="shared" si="1"/>
        <v>12</v>
      </c>
      <c r="I53" s="52" t="s">
        <v>2</v>
      </c>
      <c r="J53" s="56" t="s">
        <v>149</v>
      </c>
    </row>
    <row r="54" spans="1:10" ht="12.75" customHeight="1" x14ac:dyDescent="0.2">
      <c r="A54" s="165">
        <v>1</v>
      </c>
      <c r="B54" s="160" t="s">
        <v>5</v>
      </c>
      <c r="C54" s="84" t="s">
        <v>153</v>
      </c>
      <c r="D54" s="42">
        <v>1</v>
      </c>
      <c r="E54" s="57">
        <v>3</v>
      </c>
      <c r="F54" s="57">
        <v>15</v>
      </c>
      <c r="G54" s="57">
        <v>15</v>
      </c>
      <c r="H54" s="43">
        <f t="shared" si="1"/>
        <v>12</v>
      </c>
      <c r="I54" s="52" t="s">
        <v>2</v>
      </c>
      <c r="J54" s="56" t="s">
        <v>149</v>
      </c>
    </row>
    <row r="55" spans="1:10" ht="12.75" customHeight="1" x14ac:dyDescent="0.2">
      <c r="A55" s="165">
        <v>1</v>
      </c>
      <c r="B55" s="160" t="s">
        <v>5</v>
      </c>
      <c r="C55" s="55" t="s">
        <v>54</v>
      </c>
      <c r="D55" s="42">
        <v>1</v>
      </c>
      <c r="E55" s="51">
        <v>5</v>
      </c>
      <c r="F55" s="51">
        <v>10</v>
      </c>
      <c r="G55" s="51">
        <v>10</v>
      </c>
      <c r="H55" s="51">
        <f t="shared" si="1"/>
        <v>5</v>
      </c>
      <c r="I55" s="52" t="s">
        <v>2</v>
      </c>
      <c r="J55" s="56" t="s">
        <v>149</v>
      </c>
    </row>
    <row r="56" spans="1:10" ht="12.75" customHeight="1" x14ac:dyDescent="0.2">
      <c r="A56" s="165">
        <v>1</v>
      </c>
      <c r="B56" s="160" t="s">
        <v>5</v>
      </c>
      <c r="C56" s="84" t="s">
        <v>71</v>
      </c>
      <c r="D56" s="42">
        <v>1</v>
      </c>
      <c r="E56" s="43">
        <v>1</v>
      </c>
      <c r="F56" s="43"/>
      <c r="G56" s="43">
        <v>11.12</v>
      </c>
      <c r="H56" s="43">
        <f t="shared" si="1"/>
        <v>10.119999999999999</v>
      </c>
      <c r="I56" s="52" t="s">
        <v>2</v>
      </c>
      <c r="J56" s="117" t="s">
        <v>294</v>
      </c>
    </row>
    <row r="57" spans="1:10" ht="12.75" customHeight="1" x14ac:dyDescent="0.2">
      <c r="A57" s="165">
        <v>1</v>
      </c>
      <c r="B57" s="160" t="s">
        <v>5</v>
      </c>
      <c r="C57" s="84" t="s">
        <v>60</v>
      </c>
      <c r="D57" s="42">
        <v>1</v>
      </c>
      <c r="E57" s="57">
        <v>24</v>
      </c>
      <c r="F57" s="57">
        <v>40</v>
      </c>
      <c r="G57" s="57">
        <v>40</v>
      </c>
      <c r="H57" s="43">
        <f t="shared" si="1"/>
        <v>16</v>
      </c>
      <c r="I57" s="52" t="s">
        <v>2</v>
      </c>
      <c r="J57" s="56" t="s">
        <v>149</v>
      </c>
    </row>
    <row r="58" spans="1:10" ht="12.75" customHeight="1" x14ac:dyDescent="0.2">
      <c r="A58" s="165">
        <v>1</v>
      </c>
      <c r="B58" s="160" t="s">
        <v>5</v>
      </c>
      <c r="C58" s="83" t="s">
        <v>51</v>
      </c>
      <c r="D58" s="42">
        <v>1</v>
      </c>
      <c r="E58" s="51">
        <v>20</v>
      </c>
      <c r="F58" s="51">
        <v>30</v>
      </c>
      <c r="G58" s="51">
        <v>30</v>
      </c>
      <c r="H58" s="51">
        <f t="shared" si="1"/>
        <v>10</v>
      </c>
      <c r="I58" s="52" t="s">
        <v>2</v>
      </c>
      <c r="J58" s="53" t="s">
        <v>149</v>
      </c>
    </row>
    <row r="59" spans="1:10" ht="12.75" customHeight="1" x14ac:dyDescent="0.2">
      <c r="A59" s="165">
        <v>1</v>
      </c>
      <c r="B59" s="160" t="s">
        <v>5</v>
      </c>
      <c r="C59" s="83" t="s">
        <v>51</v>
      </c>
      <c r="D59" s="42">
        <v>1</v>
      </c>
      <c r="E59" s="51">
        <v>20</v>
      </c>
      <c r="F59" s="51">
        <v>30</v>
      </c>
      <c r="G59" s="51">
        <v>30</v>
      </c>
      <c r="H59" s="51">
        <f t="shared" si="1"/>
        <v>10</v>
      </c>
      <c r="I59" s="52" t="s">
        <v>2</v>
      </c>
      <c r="J59" s="53" t="s">
        <v>149</v>
      </c>
    </row>
    <row r="60" spans="1:10" ht="12.75" customHeight="1" x14ac:dyDescent="0.2">
      <c r="A60" s="165">
        <v>1</v>
      </c>
      <c r="B60" s="160" t="s">
        <v>5</v>
      </c>
      <c r="C60" s="84" t="s">
        <v>319</v>
      </c>
      <c r="D60" s="42">
        <v>1</v>
      </c>
      <c r="E60" s="43">
        <v>0</v>
      </c>
      <c r="F60" s="43"/>
      <c r="G60" s="43">
        <v>61.03</v>
      </c>
      <c r="H60" s="43">
        <f t="shared" si="1"/>
        <v>61.03</v>
      </c>
      <c r="I60" s="52" t="s">
        <v>2</v>
      </c>
      <c r="J60" s="117" t="s">
        <v>294</v>
      </c>
    </row>
    <row r="61" spans="1:10" ht="12.75" customHeight="1" x14ac:dyDescent="0.2">
      <c r="A61" s="165">
        <v>1</v>
      </c>
      <c r="B61" s="160" t="s">
        <v>5</v>
      </c>
      <c r="C61" s="84" t="s">
        <v>72</v>
      </c>
      <c r="D61" s="42">
        <v>1</v>
      </c>
      <c r="E61" s="43">
        <v>5</v>
      </c>
      <c r="F61" s="43"/>
      <c r="G61" s="43">
        <v>12</v>
      </c>
      <c r="H61" s="43">
        <f t="shared" si="1"/>
        <v>7</v>
      </c>
      <c r="I61" s="52" t="s">
        <v>2</v>
      </c>
      <c r="J61" s="117" t="s">
        <v>294</v>
      </c>
    </row>
    <row r="62" spans="1:10" ht="12.75" customHeight="1" x14ac:dyDescent="0.2">
      <c r="A62" s="165">
        <v>1</v>
      </c>
      <c r="B62" s="160" t="s">
        <v>5</v>
      </c>
      <c r="C62" s="84" t="s">
        <v>182</v>
      </c>
      <c r="D62" s="42">
        <v>1</v>
      </c>
      <c r="E62" s="57">
        <v>100</v>
      </c>
      <c r="F62" s="57">
        <v>200</v>
      </c>
      <c r="G62" s="57">
        <v>200</v>
      </c>
      <c r="H62" s="43">
        <f t="shared" si="1"/>
        <v>100</v>
      </c>
      <c r="I62" s="52" t="s">
        <v>2</v>
      </c>
      <c r="J62" s="56" t="s">
        <v>149</v>
      </c>
    </row>
    <row r="63" spans="1:10" ht="12.75" customHeight="1" x14ac:dyDescent="0.2">
      <c r="A63" s="165">
        <v>1</v>
      </c>
      <c r="B63" s="160" t="s">
        <v>5</v>
      </c>
      <c r="C63" s="84" t="s">
        <v>73</v>
      </c>
      <c r="D63" s="42">
        <v>3</v>
      </c>
      <c r="E63" s="43">
        <v>120</v>
      </c>
      <c r="F63" s="43"/>
      <c r="G63" s="43">
        <v>179.42</v>
      </c>
      <c r="H63" s="43">
        <f t="shared" si="1"/>
        <v>59.419999999999987</v>
      </c>
      <c r="I63" s="52" t="s">
        <v>2</v>
      </c>
      <c r="J63" s="117" t="s">
        <v>294</v>
      </c>
    </row>
    <row r="64" spans="1:10" ht="12.75" customHeight="1" x14ac:dyDescent="0.2">
      <c r="A64" s="165">
        <v>1</v>
      </c>
      <c r="B64" s="160" t="s">
        <v>5</v>
      </c>
      <c r="C64" s="84" t="s">
        <v>74</v>
      </c>
      <c r="D64" s="42">
        <v>1</v>
      </c>
      <c r="E64" s="43">
        <v>20</v>
      </c>
      <c r="F64" s="43"/>
      <c r="G64" s="43">
        <v>57.49</v>
      </c>
      <c r="H64" s="43">
        <f t="shared" si="1"/>
        <v>37.49</v>
      </c>
      <c r="I64" s="52" t="s">
        <v>2</v>
      </c>
      <c r="J64" s="117" t="s">
        <v>294</v>
      </c>
    </row>
    <row r="65" spans="1:10" ht="12.75" customHeight="1" x14ac:dyDescent="0.2">
      <c r="A65" s="165">
        <v>1</v>
      </c>
      <c r="B65" s="160" t="s">
        <v>5</v>
      </c>
      <c r="C65" s="41" t="s">
        <v>322</v>
      </c>
      <c r="D65" s="42">
        <v>9</v>
      </c>
      <c r="E65" s="43">
        <v>9</v>
      </c>
      <c r="F65" s="43"/>
      <c r="G65" s="43">
        <v>125.84</v>
      </c>
      <c r="H65" s="43">
        <f t="shared" si="1"/>
        <v>116.84</v>
      </c>
      <c r="I65" s="52" t="s">
        <v>2</v>
      </c>
      <c r="J65" s="117" t="s">
        <v>294</v>
      </c>
    </row>
    <row r="66" spans="1:10" ht="12.75" customHeight="1" x14ac:dyDescent="0.2">
      <c r="A66" s="165">
        <v>1</v>
      </c>
      <c r="B66" s="160" t="s">
        <v>5</v>
      </c>
      <c r="C66" s="83" t="s">
        <v>53</v>
      </c>
      <c r="D66" s="42">
        <v>1</v>
      </c>
      <c r="E66" s="51">
        <v>55</v>
      </c>
      <c r="F66" s="51">
        <v>80</v>
      </c>
      <c r="G66" s="51">
        <v>80</v>
      </c>
      <c r="H66" s="51">
        <f t="shared" ref="H66:H97" si="2">G66-E66</f>
        <v>25</v>
      </c>
      <c r="I66" s="52" t="s">
        <v>2</v>
      </c>
      <c r="J66" s="56" t="s">
        <v>149</v>
      </c>
    </row>
    <row r="67" spans="1:10" ht="12.75" customHeight="1" x14ac:dyDescent="0.2">
      <c r="A67" s="165">
        <v>1</v>
      </c>
      <c r="B67" s="160" t="s">
        <v>5</v>
      </c>
      <c r="C67" s="84" t="s">
        <v>75</v>
      </c>
      <c r="D67" s="42">
        <v>1</v>
      </c>
      <c r="E67" s="43">
        <v>25</v>
      </c>
      <c r="F67" s="43"/>
      <c r="G67" s="43">
        <v>59.99</v>
      </c>
      <c r="H67" s="43">
        <f t="shared" si="2"/>
        <v>34.99</v>
      </c>
      <c r="I67" s="52" t="s">
        <v>2</v>
      </c>
      <c r="J67" s="117" t="s">
        <v>294</v>
      </c>
    </row>
    <row r="68" spans="1:10" ht="12.75" customHeight="1" x14ac:dyDescent="0.2">
      <c r="A68" s="165">
        <v>2</v>
      </c>
      <c r="B68" s="160" t="s">
        <v>7</v>
      </c>
      <c r="C68" s="41" t="s">
        <v>61</v>
      </c>
      <c r="D68" s="42">
        <v>3</v>
      </c>
      <c r="E68" s="43">
        <v>210</v>
      </c>
      <c r="F68" s="43"/>
      <c r="G68" s="43">
        <v>326.68</v>
      </c>
      <c r="H68" s="43">
        <v>93.344000000000008</v>
      </c>
      <c r="I68" s="63" t="s">
        <v>2</v>
      </c>
      <c r="J68" s="117" t="s">
        <v>294</v>
      </c>
    </row>
    <row r="69" spans="1:10" x14ac:dyDescent="0.2">
      <c r="A69" s="165">
        <v>2</v>
      </c>
      <c r="B69" s="160" t="s">
        <v>7</v>
      </c>
      <c r="C69" s="41" t="s">
        <v>154</v>
      </c>
      <c r="D69" s="42">
        <v>1</v>
      </c>
      <c r="E69" s="43">
        <v>16</v>
      </c>
      <c r="F69" s="43"/>
      <c r="G69" s="43">
        <v>30.03</v>
      </c>
      <c r="H69" s="43">
        <v>11.224</v>
      </c>
      <c r="I69" s="63" t="s">
        <v>2</v>
      </c>
      <c r="J69" s="117" t="s">
        <v>294</v>
      </c>
    </row>
    <row r="70" spans="1:10" x14ac:dyDescent="0.2">
      <c r="A70" s="165">
        <v>2</v>
      </c>
      <c r="B70" s="160" t="s">
        <v>7</v>
      </c>
      <c r="C70" s="41" t="s">
        <v>62</v>
      </c>
      <c r="D70" s="42">
        <v>1</v>
      </c>
      <c r="E70" s="43">
        <v>5</v>
      </c>
      <c r="F70" s="43"/>
      <c r="G70" s="43">
        <v>21.28</v>
      </c>
      <c r="H70" s="43">
        <v>13.024000000000001</v>
      </c>
      <c r="I70" s="63" t="s">
        <v>2</v>
      </c>
      <c r="J70" s="117" t="s">
        <v>294</v>
      </c>
    </row>
    <row r="71" spans="1:10" x14ac:dyDescent="0.2">
      <c r="A71" s="165">
        <v>2</v>
      </c>
      <c r="B71" s="160" t="s">
        <v>7</v>
      </c>
      <c r="C71" s="84" t="s">
        <v>77</v>
      </c>
      <c r="D71" s="42">
        <v>1</v>
      </c>
      <c r="E71" s="57">
        <v>13</v>
      </c>
      <c r="F71" s="57">
        <v>25</v>
      </c>
      <c r="G71" s="57">
        <v>25</v>
      </c>
      <c r="H71" s="43">
        <f>G71-E71</f>
        <v>12</v>
      </c>
      <c r="I71" s="52" t="s">
        <v>2</v>
      </c>
      <c r="J71" s="56" t="s">
        <v>149</v>
      </c>
    </row>
    <row r="72" spans="1:10" x14ac:dyDescent="0.2">
      <c r="A72" s="165">
        <v>2</v>
      </c>
      <c r="B72" s="160" t="s">
        <v>7</v>
      </c>
      <c r="C72" s="84" t="s">
        <v>308</v>
      </c>
      <c r="D72" s="42">
        <v>1</v>
      </c>
      <c r="E72" s="43">
        <v>40</v>
      </c>
      <c r="F72" s="43"/>
      <c r="G72" s="43">
        <v>99.55</v>
      </c>
      <c r="H72" s="43">
        <v>47.64</v>
      </c>
      <c r="I72" s="63" t="s">
        <v>2</v>
      </c>
      <c r="J72" s="117" t="s">
        <v>294</v>
      </c>
    </row>
    <row r="73" spans="1:10" x14ac:dyDescent="0.2">
      <c r="A73" s="165">
        <v>2</v>
      </c>
      <c r="B73" s="160" t="s">
        <v>7</v>
      </c>
      <c r="C73" s="54" t="s">
        <v>267</v>
      </c>
      <c r="D73" s="42">
        <v>1</v>
      </c>
      <c r="E73" s="51">
        <v>30</v>
      </c>
      <c r="F73" s="51">
        <v>60</v>
      </c>
      <c r="G73" s="51">
        <v>60</v>
      </c>
      <c r="H73" s="51">
        <f>G73-E73</f>
        <v>30</v>
      </c>
      <c r="I73" s="63" t="s">
        <v>2</v>
      </c>
      <c r="J73" s="58" t="s">
        <v>149</v>
      </c>
    </row>
    <row r="74" spans="1:10" x14ac:dyDescent="0.2">
      <c r="A74" s="165">
        <v>2</v>
      </c>
      <c r="B74" s="160" t="s">
        <v>7</v>
      </c>
      <c r="C74" s="84" t="s">
        <v>188</v>
      </c>
      <c r="D74" s="42">
        <v>2</v>
      </c>
      <c r="E74" s="43">
        <v>7</v>
      </c>
      <c r="F74" s="43"/>
      <c r="G74" s="43">
        <v>24.1</v>
      </c>
      <c r="H74" s="43">
        <v>13.680000000000001</v>
      </c>
      <c r="I74" s="63" t="s">
        <v>2</v>
      </c>
      <c r="J74" s="117" t="s">
        <v>294</v>
      </c>
    </row>
    <row r="75" spans="1:10" x14ac:dyDescent="0.2">
      <c r="A75" s="165">
        <v>2</v>
      </c>
      <c r="B75" s="160" t="s">
        <v>7</v>
      </c>
      <c r="C75" s="84" t="s">
        <v>79</v>
      </c>
      <c r="D75" s="42">
        <v>1</v>
      </c>
      <c r="E75" s="57">
        <v>10</v>
      </c>
      <c r="F75" s="57">
        <v>20</v>
      </c>
      <c r="G75" s="57">
        <v>20</v>
      </c>
      <c r="H75" s="43">
        <f>G75-E75</f>
        <v>10</v>
      </c>
      <c r="I75" s="52" t="s">
        <v>2</v>
      </c>
      <c r="J75" s="56" t="s">
        <v>149</v>
      </c>
    </row>
    <row r="76" spans="1:10" x14ac:dyDescent="0.2">
      <c r="A76" s="165">
        <v>2</v>
      </c>
      <c r="B76" s="160" t="s">
        <v>7</v>
      </c>
      <c r="C76" s="84" t="s">
        <v>79</v>
      </c>
      <c r="D76" s="42">
        <v>1</v>
      </c>
      <c r="E76" s="57">
        <v>10</v>
      </c>
      <c r="F76" s="57">
        <v>20</v>
      </c>
      <c r="G76" s="57">
        <v>20</v>
      </c>
      <c r="H76" s="43">
        <f>G76-E76</f>
        <v>10</v>
      </c>
      <c r="I76" s="52" t="s">
        <v>2</v>
      </c>
      <c r="J76" s="56" t="s">
        <v>149</v>
      </c>
    </row>
    <row r="77" spans="1:10" x14ac:dyDescent="0.2">
      <c r="A77" s="165">
        <v>2</v>
      </c>
      <c r="B77" s="160" t="s">
        <v>7</v>
      </c>
      <c r="C77" s="41" t="s">
        <v>155</v>
      </c>
      <c r="D77" s="42">
        <v>3</v>
      </c>
      <c r="E77" s="43">
        <v>15</v>
      </c>
      <c r="F77" s="43"/>
      <c r="G77" s="43">
        <v>64.11</v>
      </c>
      <c r="H77" s="43">
        <v>39.287999999999997</v>
      </c>
      <c r="I77" s="63" t="s">
        <v>2</v>
      </c>
      <c r="J77" s="117" t="s">
        <v>294</v>
      </c>
    </row>
    <row r="78" spans="1:10" x14ac:dyDescent="0.2">
      <c r="A78" s="165">
        <v>2</v>
      </c>
      <c r="B78" s="160" t="s">
        <v>7</v>
      </c>
      <c r="C78" s="84" t="s">
        <v>146</v>
      </c>
      <c r="D78" s="42">
        <v>1</v>
      </c>
      <c r="E78" s="51">
        <v>100</v>
      </c>
      <c r="F78" s="51">
        <v>140</v>
      </c>
      <c r="G78" s="51">
        <v>140</v>
      </c>
      <c r="H78" s="51">
        <f>G78-E78</f>
        <v>40</v>
      </c>
      <c r="I78" s="63" t="s">
        <v>2</v>
      </c>
      <c r="J78" s="58" t="s">
        <v>149</v>
      </c>
    </row>
    <row r="79" spans="1:10" x14ac:dyDescent="0.2">
      <c r="A79" s="165">
        <v>2</v>
      </c>
      <c r="B79" s="160" t="s">
        <v>7</v>
      </c>
      <c r="C79" s="84" t="s">
        <v>146</v>
      </c>
      <c r="D79" s="42">
        <v>1</v>
      </c>
      <c r="E79" s="51">
        <v>100</v>
      </c>
      <c r="F79" s="51">
        <v>140</v>
      </c>
      <c r="G79" s="51">
        <v>140</v>
      </c>
      <c r="H79" s="51">
        <f>G79-E79</f>
        <v>40</v>
      </c>
      <c r="I79" s="63" t="s">
        <v>2</v>
      </c>
      <c r="J79" s="58" t="s">
        <v>149</v>
      </c>
    </row>
    <row r="80" spans="1:10" x14ac:dyDescent="0.2">
      <c r="A80" s="165">
        <v>2</v>
      </c>
      <c r="B80" s="160" t="s">
        <v>7</v>
      </c>
      <c r="C80" s="84" t="s">
        <v>82</v>
      </c>
      <c r="D80" s="42">
        <v>1</v>
      </c>
      <c r="E80" s="57">
        <v>110</v>
      </c>
      <c r="F80" s="57">
        <v>170</v>
      </c>
      <c r="G80" s="57">
        <v>170</v>
      </c>
      <c r="H80" s="43">
        <f>G80-E80</f>
        <v>60</v>
      </c>
      <c r="I80" s="52" t="s">
        <v>2</v>
      </c>
      <c r="J80" s="56" t="s">
        <v>149</v>
      </c>
    </row>
    <row r="81" spans="1:10" x14ac:dyDescent="0.2">
      <c r="A81" s="165">
        <v>2</v>
      </c>
      <c r="B81" s="160" t="s">
        <v>7</v>
      </c>
      <c r="C81" s="41" t="s">
        <v>63</v>
      </c>
      <c r="D81" s="42">
        <v>4</v>
      </c>
      <c r="E81" s="43">
        <v>200</v>
      </c>
      <c r="F81" s="43"/>
      <c r="G81" s="43">
        <v>380.89</v>
      </c>
      <c r="H81" s="43">
        <v>144.71199999999999</v>
      </c>
      <c r="I81" s="63" t="s">
        <v>2</v>
      </c>
      <c r="J81" s="117" t="s">
        <v>294</v>
      </c>
    </row>
    <row r="82" spans="1:10" x14ac:dyDescent="0.2">
      <c r="A82" s="165">
        <v>2</v>
      </c>
      <c r="B82" s="160" t="s">
        <v>7</v>
      </c>
      <c r="C82" s="41" t="s">
        <v>64</v>
      </c>
      <c r="D82" s="42">
        <v>1</v>
      </c>
      <c r="E82" s="43">
        <v>7</v>
      </c>
      <c r="F82" s="43"/>
      <c r="G82" s="43">
        <v>14.99</v>
      </c>
      <c r="H82" s="43">
        <v>6.3920000000000003</v>
      </c>
      <c r="I82" s="63" t="s">
        <v>2</v>
      </c>
      <c r="J82" s="117" t="s">
        <v>294</v>
      </c>
    </row>
    <row r="83" spans="1:10" x14ac:dyDescent="0.2">
      <c r="A83" s="165">
        <v>2</v>
      </c>
      <c r="B83" s="160" t="s">
        <v>7</v>
      </c>
      <c r="C83" s="84" t="s">
        <v>311</v>
      </c>
      <c r="D83" s="42">
        <v>1</v>
      </c>
      <c r="E83" s="57">
        <v>55</v>
      </c>
      <c r="F83" s="57">
        <v>100</v>
      </c>
      <c r="G83" s="57">
        <v>100</v>
      </c>
      <c r="H83" s="43">
        <f>G83-E83</f>
        <v>45</v>
      </c>
      <c r="I83" s="52" t="s">
        <v>2</v>
      </c>
      <c r="J83" s="56" t="s">
        <v>149</v>
      </c>
    </row>
    <row r="84" spans="1:10" x14ac:dyDescent="0.2">
      <c r="A84" s="165">
        <v>2</v>
      </c>
      <c r="B84" s="160" t="s">
        <v>7</v>
      </c>
      <c r="C84" s="84" t="s">
        <v>236</v>
      </c>
      <c r="D84" s="42">
        <v>4</v>
      </c>
      <c r="E84" s="43">
        <v>11.2</v>
      </c>
      <c r="F84" s="43"/>
      <c r="G84" s="43">
        <v>46.11</v>
      </c>
      <c r="H84" s="43">
        <v>27.927999999999997</v>
      </c>
      <c r="I84" s="63" t="s">
        <v>2</v>
      </c>
      <c r="J84" s="117" t="s">
        <v>294</v>
      </c>
    </row>
    <row r="85" spans="1:10" x14ac:dyDescent="0.2">
      <c r="A85" s="165">
        <v>2</v>
      </c>
      <c r="B85" s="160" t="s">
        <v>7</v>
      </c>
      <c r="C85" s="84" t="s">
        <v>180</v>
      </c>
      <c r="D85" s="42">
        <v>1</v>
      </c>
      <c r="E85" s="57">
        <v>42</v>
      </c>
      <c r="F85" s="57">
        <v>75</v>
      </c>
      <c r="G85" s="57">
        <v>75</v>
      </c>
      <c r="H85" s="43">
        <f>G85-E85</f>
        <v>33</v>
      </c>
      <c r="I85" s="52" t="s">
        <v>2</v>
      </c>
      <c r="J85" s="56" t="s">
        <v>149</v>
      </c>
    </row>
    <row r="86" spans="1:10" x14ac:dyDescent="0.2">
      <c r="A86" s="165">
        <v>2</v>
      </c>
      <c r="B86" s="160" t="s">
        <v>7</v>
      </c>
      <c r="C86" s="84" t="s">
        <v>180</v>
      </c>
      <c r="D86" s="42">
        <v>1</v>
      </c>
      <c r="E86" s="57">
        <v>55</v>
      </c>
      <c r="F86" s="57">
        <v>80</v>
      </c>
      <c r="G86" s="57">
        <v>80</v>
      </c>
      <c r="H86" s="43">
        <f>G86-E86</f>
        <v>25</v>
      </c>
      <c r="I86" s="52" t="s">
        <v>2</v>
      </c>
      <c r="J86" s="56" t="s">
        <v>149</v>
      </c>
    </row>
    <row r="87" spans="1:10" x14ac:dyDescent="0.2">
      <c r="A87" s="165">
        <v>2</v>
      </c>
      <c r="B87" s="160" t="s">
        <v>7</v>
      </c>
      <c r="C87" s="84" t="s">
        <v>314</v>
      </c>
      <c r="D87" s="42">
        <v>1</v>
      </c>
      <c r="E87" s="57">
        <v>30</v>
      </c>
      <c r="F87" s="57">
        <v>60</v>
      </c>
      <c r="G87" s="57">
        <v>60</v>
      </c>
      <c r="H87" s="43">
        <f>G87-E87</f>
        <v>30</v>
      </c>
      <c r="I87" s="52" t="s">
        <v>2</v>
      </c>
      <c r="J87" s="56" t="s">
        <v>149</v>
      </c>
    </row>
    <row r="88" spans="1:10" x14ac:dyDescent="0.2">
      <c r="A88" s="165">
        <v>2</v>
      </c>
      <c r="B88" s="160" t="s">
        <v>7</v>
      </c>
      <c r="C88" s="41" t="s">
        <v>156</v>
      </c>
      <c r="D88" s="42">
        <v>1</v>
      </c>
      <c r="E88" s="43">
        <v>2.5</v>
      </c>
      <c r="F88" s="43"/>
      <c r="G88" s="43">
        <v>12.77</v>
      </c>
      <c r="H88" s="43">
        <v>8.2159999999999993</v>
      </c>
      <c r="I88" s="63" t="s">
        <v>2</v>
      </c>
      <c r="J88" s="117" t="s">
        <v>294</v>
      </c>
    </row>
    <row r="89" spans="1:10" x14ac:dyDescent="0.2">
      <c r="A89" s="165">
        <v>2</v>
      </c>
      <c r="B89" s="160" t="s">
        <v>7</v>
      </c>
      <c r="C89" s="84" t="s">
        <v>78</v>
      </c>
      <c r="D89" s="42">
        <v>1</v>
      </c>
      <c r="E89" s="57">
        <v>28</v>
      </c>
      <c r="F89" s="57">
        <v>50</v>
      </c>
      <c r="G89" s="57">
        <v>50</v>
      </c>
      <c r="H89" s="43">
        <f>G89-E89</f>
        <v>22</v>
      </c>
      <c r="I89" s="52" t="s">
        <v>2</v>
      </c>
      <c r="J89" s="56" t="s">
        <v>149</v>
      </c>
    </row>
    <row r="90" spans="1:10" x14ac:dyDescent="0.2">
      <c r="A90" s="165">
        <v>2</v>
      </c>
      <c r="B90" s="160" t="s">
        <v>7</v>
      </c>
      <c r="C90" s="84" t="s">
        <v>83</v>
      </c>
      <c r="D90" s="42">
        <v>1</v>
      </c>
      <c r="E90" s="57">
        <v>35</v>
      </c>
      <c r="F90" s="57">
        <v>70</v>
      </c>
      <c r="G90" s="57">
        <v>70</v>
      </c>
      <c r="H90" s="43">
        <f>G90-E90</f>
        <v>35</v>
      </c>
      <c r="I90" s="52" t="s">
        <v>2</v>
      </c>
      <c r="J90" s="56" t="s">
        <v>149</v>
      </c>
    </row>
    <row r="91" spans="1:10" x14ac:dyDescent="0.2">
      <c r="A91" s="165">
        <v>2</v>
      </c>
      <c r="B91" s="160" t="s">
        <v>7</v>
      </c>
      <c r="C91" s="54" t="s">
        <v>158</v>
      </c>
      <c r="D91" s="42">
        <v>1</v>
      </c>
      <c r="E91" s="51">
        <v>0</v>
      </c>
      <c r="F91" s="51">
        <v>100</v>
      </c>
      <c r="G91" s="51">
        <v>100</v>
      </c>
      <c r="H91" s="51">
        <f>G91-E91</f>
        <v>100</v>
      </c>
      <c r="I91" s="63" t="s">
        <v>2</v>
      </c>
      <c r="J91" s="58" t="s">
        <v>149</v>
      </c>
    </row>
    <row r="92" spans="1:10" x14ac:dyDescent="0.2">
      <c r="A92" s="165">
        <v>2</v>
      </c>
      <c r="B92" s="160" t="s">
        <v>7</v>
      </c>
      <c r="C92" s="84" t="s">
        <v>318</v>
      </c>
      <c r="D92" s="42">
        <v>4</v>
      </c>
      <c r="E92" s="43">
        <v>160</v>
      </c>
      <c r="F92" s="43"/>
      <c r="G92" s="43">
        <v>358.9</v>
      </c>
      <c r="H92" s="43">
        <v>159.11999999999998</v>
      </c>
      <c r="I92" s="63" t="s">
        <v>2</v>
      </c>
      <c r="J92" s="117" t="s">
        <v>294</v>
      </c>
    </row>
    <row r="93" spans="1:10" x14ac:dyDescent="0.2">
      <c r="A93" s="165">
        <v>2</v>
      </c>
      <c r="B93" s="160" t="s">
        <v>7</v>
      </c>
      <c r="C93" s="41" t="s">
        <v>65</v>
      </c>
      <c r="D93" s="42">
        <v>1</v>
      </c>
      <c r="E93" s="43">
        <v>5</v>
      </c>
      <c r="F93" s="43"/>
      <c r="G93" s="43">
        <v>31.5</v>
      </c>
      <c r="H93" s="43">
        <v>21.2</v>
      </c>
      <c r="I93" s="63" t="s">
        <v>2</v>
      </c>
      <c r="J93" s="117" t="s">
        <v>294</v>
      </c>
    </row>
    <row r="94" spans="1:10" x14ac:dyDescent="0.2">
      <c r="A94" s="165">
        <v>2</v>
      </c>
      <c r="B94" s="160" t="s">
        <v>7</v>
      </c>
      <c r="C94" s="54" t="s">
        <v>84</v>
      </c>
      <c r="D94" s="42">
        <v>1</v>
      </c>
      <c r="E94" s="51">
        <v>0</v>
      </c>
      <c r="F94" s="51">
        <v>600</v>
      </c>
      <c r="G94" s="51">
        <v>600</v>
      </c>
      <c r="H94" s="51">
        <f>G94-E94</f>
        <v>600</v>
      </c>
      <c r="I94" s="63" t="s">
        <v>2</v>
      </c>
      <c r="J94" s="58" t="s">
        <v>149</v>
      </c>
    </row>
    <row r="95" spans="1:10" x14ac:dyDescent="0.2">
      <c r="A95" s="165">
        <v>2</v>
      </c>
      <c r="B95" s="160" t="s">
        <v>7</v>
      </c>
      <c r="C95" s="41" t="s">
        <v>157</v>
      </c>
      <c r="D95" s="42">
        <v>1</v>
      </c>
      <c r="E95" s="43">
        <v>3.5</v>
      </c>
      <c r="F95" s="43"/>
      <c r="G95" s="43">
        <v>12.1</v>
      </c>
      <c r="H95" s="43">
        <v>6.88</v>
      </c>
      <c r="I95" s="63" t="s">
        <v>2</v>
      </c>
      <c r="J95" s="117" t="s">
        <v>294</v>
      </c>
    </row>
    <row r="96" spans="1:10" x14ac:dyDescent="0.2">
      <c r="A96" s="165">
        <v>2</v>
      </c>
      <c r="B96" s="160" t="s">
        <v>7</v>
      </c>
      <c r="C96" s="41" t="s">
        <v>66</v>
      </c>
      <c r="D96" s="42">
        <v>1</v>
      </c>
      <c r="E96" s="43">
        <v>2</v>
      </c>
      <c r="F96" s="43"/>
      <c r="G96" s="43">
        <v>8.34</v>
      </c>
      <c r="H96" s="43">
        <v>5.0720000000000001</v>
      </c>
      <c r="I96" s="63" t="s">
        <v>2</v>
      </c>
      <c r="J96" s="117" t="s">
        <v>294</v>
      </c>
    </row>
    <row r="97" spans="1:10" x14ac:dyDescent="0.2">
      <c r="A97" s="165">
        <v>2</v>
      </c>
      <c r="B97" s="160" t="s">
        <v>7</v>
      </c>
      <c r="C97" s="41" t="s">
        <v>67</v>
      </c>
      <c r="D97" s="42">
        <v>4</v>
      </c>
      <c r="E97" s="43">
        <v>60</v>
      </c>
      <c r="F97" s="43"/>
      <c r="G97" s="43">
        <v>185.12</v>
      </c>
      <c r="H97" s="43">
        <v>100.096</v>
      </c>
      <c r="I97" s="63" t="s">
        <v>2</v>
      </c>
      <c r="J97" s="117" t="s">
        <v>294</v>
      </c>
    </row>
    <row r="98" spans="1:10" x14ac:dyDescent="0.2">
      <c r="A98" s="165">
        <v>2</v>
      </c>
      <c r="B98" s="160" t="s">
        <v>7</v>
      </c>
      <c r="C98" s="41" t="s">
        <v>68</v>
      </c>
      <c r="D98" s="42">
        <v>1</v>
      </c>
      <c r="E98" s="43">
        <v>50</v>
      </c>
      <c r="F98" s="43"/>
      <c r="G98" s="43">
        <v>128.57</v>
      </c>
      <c r="H98" s="43">
        <v>62.855999999999995</v>
      </c>
      <c r="I98" s="63" t="s">
        <v>2</v>
      </c>
      <c r="J98" s="117" t="s">
        <v>294</v>
      </c>
    </row>
    <row r="99" spans="1:10" x14ac:dyDescent="0.2">
      <c r="A99" s="165">
        <v>2</v>
      </c>
      <c r="B99" s="160" t="s">
        <v>7</v>
      </c>
      <c r="C99" s="54" t="s">
        <v>56</v>
      </c>
      <c r="D99" s="42">
        <v>1</v>
      </c>
      <c r="E99" s="51">
        <v>32</v>
      </c>
      <c r="F99" s="51">
        <v>60</v>
      </c>
      <c r="G99" s="51">
        <v>60</v>
      </c>
      <c r="H99" s="51">
        <f>G99-E99</f>
        <v>28</v>
      </c>
      <c r="I99" s="63" t="s">
        <v>2</v>
      </c>
      <c r="J99" s="58" t="s">
        <v>149</v>
      </c>
    </row>
    <row r="100" spans="1:10" x14ac:dyDescent="0.2">
      <c r="A100" s="165">
        <v>2</v>
      </c>
      <c r="B100" s="160" t="s">
        <v>7</v>
      </c>
      <c r="C100" s="84" t="s">
        <v>113</v>
      </c>
      <c r="D100" s="42">
        <v>1</v>
      </c>
      <c r="E100" s="43">
        <v>7.5</v>
      </c>
      <c r="F100" s="43"/>
      <c r="G100" s="43">
        <v>13.99</v>
      </c>
      <c r="H100" s="43">
        <v>5.1920000000000002</v>
      </c>
      <c r="I100" s="63" t="s">
        <v>2</v>
      </c>
      <c r="J100" s="117" t="s">
        <v>294</v>
      </c>
    </row>
    <row r="101" spans="1:10" x14ac:dyDescent="0.2">
      <c r="A101" s="165">
        <v>2</v>
      </c>
      <c r="B101" s="160" t="s">
        <v>7</v>
      </c>
      <c r="C101" s="84" t="s">
        <v>69</v>
      </c>
      <c r="D101" s="42">
        <v>1</v>
      </c>
      <c r="E101" s="51">
        <v>67</v>
      </c>
      <c r="F101" s="51">
        <v>138</v>
      </c>
      <c r="G101" s="51">
        <v>138</v>
      </c>
      <c r="H101" s="51">
        <f>G101-E101</f>
        <v>71</v>
      </c>
      <c r="I101" s="63" t="s">
        <v>2</v>
      </c>
      <c r="J101" s="58" t="s">
        <v>149</v>
      </c>
    </row>
    <row r="102" spans="1:10" x14ac:dyDescent="0.2">
      <c r="A102" s="165">
        <v>2</v>
      </c>
      <c r="B102" s="160" t="s">
        <v>7</v>
      </c>
      <c r="C102" s="41" t="s">
        <v>69</v>
      </c>
      <c r="D102" s="42">
        <v>3</v>
      </c>
      <c r="E102" s="43">
        <v>225</v>
      </c>
      <c r="F102" s="43"/>
      <c r="G102" s="43">
        <v>468.68</v>
      </c>
      <c r="H102" s="43">
        <v>194.94400000000002</v>
      </c>
      <c r="I102" s="63" t="s">
        <v>2</v>
      </c>
      <c r="J102" s="117" t="s">
        <v>294</v>
      </c>
    </row>
    <row r="103" spans="1:10" x14ac:dyDescent="0.2">
      <c r="A103" s="165">
        <v>2</v>
      </c>
      <c r="B103" s="160" t="s">
        <v>7</v>
      </c>
      <c r="C103" s="41" t="s">
        <v>70</v>
      </c>
      <c r="D103" s="42">
        <v>1</v>
      </c>
      <c r="E103" s="43">
        <v>8</v>
      </c>
      <c r="F103" s="43"/>
      <c r="G103" s="43">
        <v>17</v>
      </c>
      <c r="H103" s="43">
        <v>7.2</v>
      </c>
      <c r="I103" s="63" t="s">
        <v>2</v>
      </c>
      <c r="J103" s="117" t="s">
        <v>294</v>
      </c>
    </row>
    <row r="104" spans="1:10" x14ac:dyDescent="0.2">
      <c r="A104" s="165">
        <v>2</v>
      </c>
      <c r="B104" s="160" t="s">
        <v>7</v>
      </c>
      <c r="C104" s="84" t="s">
        <v>153</v>
      </c>
      <c r="D104" s="42">
        <v>1</v>
      </c>
      <c r="E104" s="57">
        <v>3.5</v>
      </c>
      <c r="F104" s="57">
        <v>10</v>
      </c>
      <c r="G104" s="57">
        <v>10</v>
      </c>
      <c r="H104" s="43">
        <f t="shared" ref="H104:H112" si="3">G104-E104</f>
        <v>6.5</v>
      </c>
      <c r="I104" s="52" t="s">
        <v>2</v>
      </c>
      <c r="J104" s="56" t="s">
        <v>149</v>
      </c>
    </row>
    <row r="105" spans="1:10" x14ac:dyDescent="0.2">
      <c r="A105" s="165">
        <v>2</v>
      </c>
      <c r="B105" s="160" t="s">
        <v>7</v>
      </c>
      <c r="C105" s="54" t="s">
        <v>153</v>
      </c>
      <c r="D105" s="42">
        <v>1</v>
      </c>
      <c r="E105" s="51">
        <v>3.5</v>
      </c>
      <c r="F105" s="51">
        <v>10</v>
      </c>
      <c r="G105" s="51">
        <v>10</v>
      </c>
      <c r="H105" s="51">
        <f t="shared" si="3"/>
        <v>6.5</v>
      </c>
      <c r="I105" s="63" t="s">
        <v>2</v>
      </c>
      <c r="J105" s="58" t="s">
        <v>149</v>
      </c>
    </row>
    <row r="106" spans="1:10" x14ac:dyDescent="0.2">
      <c r="A106" s="165">
        <v>2</v>
      </c>
      <c r="B106" s="160" t="s">
        <v>7</v>
      </c>
      <c r="C106" s="54" t="s">
        <v>153</v>
      </c>
      <c r="D106" s="42">
        <v>1</v>
      </c>
      <c r="E106" s="51">
        <v>3.5</v>
      </c>
      <c r="F106" s="51">
        <v>10</v>
      </c>
      <c r="G106" s="51">
        <v>10</v>
      </c>
      <c r="H106" s="51">
        <f t="shared" si="3"/>
        <v>6.5</v>
      </c>
      <c r="I106" s="63" t="s">
        <v>2</v>
      </c>
      <c r="J106" s="58" t="s">
        <v>149</v>
      </c>
    </row>
    <row r="107" spans="1:10" x14ac:dyDescent="0.2">
      <c r="A107" s="165">
        <v>2</v>
      </c>
      <c r="B107" s="160" t="s">
        <v>7</v>
      </c>
      <c r="C107" s="54" t="s">
        <v>159</v>
      </c>
      <c r="D107" s="42">
        <v>1</v>
      </c>
      <c r="E107" s="51">
        <v>95</v>
      </c>
      <c r="F107" s="51">
        <v>150</v>
      </c>
      <c r="G107" s="51">
        <v>150</v>
      </c>
      <c r="H107" s="51">
        <f t="shared" si="3"/>
        <v>55</v>
      </c>
      <c r="I107" s="63" t="s">
        <v>2</v>
      </c>
      <c r="J107" s="58" t="s">
        <v>149</v>
      </c>
    </row>
    <row r="108" spans="1:10" x14ac:dyDescent="0.2">
      <c r="A108" s="165">
        <v>2</v>
      </c>
      <c r="B108" s="160" t="s">
        <v>7</v>
      </c>
      <c r="C108" s="84" t="s">
        <v>310</v>
      </c>
      <c r="D108" s="42">
        <v>1</v>
      </c>
      <c r="E108" s="57">
        <v>22</v>
      </c>
      <c r="F108" s="57">
        <v>40</v>
      </c>
      <c r="G108" s="57">
        <v>40</v>
      </c>
      <c r="H108" s="43">
        <f t="shared" si="3"/>
        <v>18</v>
      </c>
      <c r="I108" s="52" t="s">
        <v>2</v>
      </c>
      <c r="J108" s="56" t="s">
        <v>149</v>
      </c>
    </row>
    <row r="109" spans="1:10" x14ac:dyDescent="0.2">
      <c r="A109" s="165">
        <v>2</v>
      </c>
      <c r="B109" s="160" t="s">
        <v>7</v>
      </c>
      <c r="C109" s="54" t="s">
        <v>86</v>
      </c>
      <c r="D109" s="42">
        <v>1</v>
      </c>
      <c r="E109" s="51">
        <v>0</v>
      </c>
      <c r="F109" s="51">
        <v>120</v>
      </c>
      <c r="G109" s="51">
        <v>120</v>
      </c>
      <c r="H109" s="51">
        <f t="shared" si="3"/>
        <v>120</v>
      </c>
      <c r="I109" s="63" t="s">
        <v>2</v>
      </c>
      <c r="J109" s="58" t="s">
        <v>149</v>
      </c>
    </row>
    <row r="110" spans="1:10" x14ac:dyDescent="0.2">
      <c r="A110" s="165">
        <v>2</v>
      </c>
      <c r="B110" s="160" t="s">
        <v>7</v>
      </c>
      <c r="C110" s="54" t="s">
        <v>51</v>
      </c>
      <c r="D110" s="42">
        <v>1</v>
      </c>
      <c r="E110" s="51">
        <v>20</v>
      </c>
      <c r="F110" s="51">
        <v>30</v>
      </c>
      <c r="G110" s="51">
        <v>30</v>
      </c>
      <c r="H110" s="51">
        <f t="shared" si="3"/>
        <v>10</v>
      </c>
      <c r="I110" s="63" t="s">
        <v>2</v>
      </c>
      <c r="J110" s="58" t="s">
        <v>149</v>
      </c>
    </row>
    <row r="111" spans="1:10" x14ac:dyDescent="0.2">
      <c r="A111" s="165">
        <v>2</v>
      </c>
      <c r="B111" s="160" t="s">
        <v>7</v>
      </c>
      <c r="C111" s="54" t="s">
        <v>51</v>
      </c>
      <c r="D111" s="42">
        <v>1</v>
      </c>
      <c r="E111" s="51">
        <v>20</v>
      </c>
      <c r="F111" s="51">
        <v>30</v>
      </c>
      <c r="G111" s="51">
        <v>30</v>
      </c>
      <c r="H111" s="51">
        <f t="shared" si="3"/>
        <v>10</v>
      </c>
      <c r="I111" s="63" t="s">
        <v>2</v>
      </c>
      <c r="J111" s="58" t="s">
        <v>149</v>
      </c>
    </row>
    <row r="112" spans="1:10" x14ac:dyDescent="0.2">
      <c r="A112" s="165">
        <v>2</v>
      </c>
      <c r="B112" s="160" t="s">
        <v>7</v>
      </c>
      <c r="C112" s="54" t="s">
        <v>51</v>
      </c>
      <c r="D112" s="42">
        <v>1</v>
      </c>
      <c r="E112" s="51">
        <v>20</v>
      </c>
      <c r="F112" s="51">
        <v>30</v>
      </c>
      <c r="G112" s="51">
        <v>30</v>
      </c>
      <c r="H112" s="51">
        <f t="shared" si="3"/>
        <v>10</v>
      </c>
      <c r="I112" s="63" t="s">
        <v>2</v>
      </c>
      <c r="J112" s="58" t="s">
        <v>149</v>
      </c>
    </row>
    <row r="113" spans="1:10" x14ac:dyDescent="0.2">
      <c r="A113" s="165">
        <v>2</v>
      </c>
      <c r="B113" s="160" t="s">
        <v>7</v>
      </c>
      <c r="C113" s="84" t="s">
        <v>319</v>
      </c>
      <c r="D113" s="42">
        <v>1</v>
      </c>
      <c r="E113" s="43">
        <v>0</v>
      </c>
      <c r="F113" s="43"/>
      <c r="G113" s="43">
        <v>61.03</v>
      </c>
      <c r="H113" s="43">
        <v>48.823999999999998</v>
      </c>
      <c r="I113" s="63" t="s">
        <v>2</v>
      </c>
      <c r="J113" s="117" t="s">
        <v>294</v>
      </c>
    </row>
    <row r="114" spans="1:10" x14ac:dyDescent="0.2">
      <c r="A114" s="165">
        <v>2</v>
      </c>
      <c r="B114" s="160" t="s">
        <v>7</v>
      </c>
      <c r="C114" s="41" t="s">
        <v>72</v>
      </c>
      <c r="D114" s="42">
        <v>1</v>
      </c>
      <c r="E114" s="43">
        <v>5</v>
      </c>
      <c r="F114" s="43"/>
      <c r="G114" s="43">
        <v>12</v>
      </c>
      <c r="H114" s="43">
        <v>5.6</v>
      </c>
      <c r="I114" s="63" t="s">
        <v>2</v>
      </c>
      <c r="J114" s="117" t="s">
        <v>294</v>
      </c>
    </row>
    <row r="115" spans="1:10" x14ac:dyDescent="0.2">
      <c r="A115" s="165">
        <v>2</v>
      </c>
      <c r="B115" s="160" t="s">
        <v>7</v>
      </c>
      <c r="C115" s="41" t="s">
        <v>73</v>
      </c>
      <c r="D115" s="42">
        <v>1</v>
      </c>
      <c r="E115" s="43">
        <v>24</v>
      </c>
      <c r="F115" s="43"/>
      <c r="G115" s="43">
        <v>47.1</v>
      </c>
      <c r="H115" s="43">
        <v>18.48</v>
      </c>
      <c r="I115" s="63" t="s">
        <v>2</v>
      </c>
      <c r="J115" s="117" t="s">
        <v>294</v>
      </c>
    </row>
    <row r="116" spans="1:10" x14ac:dyDescent="0.2">
      <c r="A116" s="165">
        <v>2</v>
      </c>
      <c r="B116" s="160" t="s">
        <v>7</v>
      </c>
      <c r="C116" s="41" t="s">
        <v>73</v>
      </c>
      <c r="D116" s="42">
        <v>1</v>
      </c>
      <c r="E116" s="43">
        <v>39</v>
      </c>
      <c r="F116" s="43"/>
      <c r="G116" s="43">
        <v>83.21</v>
      </c>
      <c r="H116" s="43">
        <v>35.367999999999995</v>
      </c>
      <c r="I116" s="63" t="s">
        <v>2</v>
      </c>
      <c r="J116" s="117" t="s">
        <v>294</v>
      </c>
    </row>
    <row r="117" spans="1:10" x14ac:dyDescent="0.2">
      <c r="A117" s="165">
        <v>2</v>
      </c>
      <c r="B117" s="160" t="s">
        <v>7</v>
      </c>
      <c r="C117" s="41" t="s">
        <v>87</v>
      </c>
      <c r="D117" s="42">
        <v>1</v>
      </c>
      <c r="E117" s="43">
        <v>24</v>
      </c>
      <c r="F117" s="43"/>
      <c r="G117" s="43">
        <v>49.11</v>
      </c>
      <c r="H117" s="43">
        <v>20.088000000000001</v>
      </c>
      <c r="I117" s="63" t="s">
        <v>2</v>
      </c>
      <c r="J117" s="117" t="s">
        <v>294</v>
      </c>
    </row>
    <row r="118" spans="1:10" x14ac:dyDescent="0.2">
      <c r="A118" s="165">
        <v>2</v>
      </c>
      <c r="B118" s="160" t="s">
        <v>7</v>
      </c>
      <c r="C118" s="41" t="s">
        <v>74</v>
      </c>
      <c r="D118" s="42">
        <v>1</v>
      </c>
      <c r="E118" s="43">
        <v>25</v>
      </c>
      <c r="F118" s="43"/>
      <c r="G118" s="43">
        <v>57.49</v>
      </c>
      <c r="H118" s="43">
        <v>25.992000000000001</v>
      </c>
      <c r="I118" s="63" t="s">
        <v>2</v>
      </c>
      <c r="J118" s="117" t="s">
        <v>294</v>
      </c>
    </row>
    <row r="119" spans="1:10" x14ac:dyDescent="0.2">
      <c r="A119" s="165">
        <v>2</v>
      </c>
      <c r="B119" s="160" t="s">
        <v>7</v>
      </c>
      <c r="C119" s="41" t="s">
        <v>322</v>
      </c>
      <c r="D119" s="42">
        <v>4</v>
      </c>
      <c r="E119" s="43">
        <v>4</v>
      </c>
      <c r="F119" s="43"/>
      <c r="G119" s="43">
        <v>80.63</v>
      </c>
      <c r="H119" s="43">
        <v>61.303999999999995</v>
      </c>
      <c r="I119" s="63" t="s">
        <v>2</v>
      </c>
      <c r="J119" s="117" t="s">
        <v>294</v>
      </c>
    </row>
    <row r="120" spans="1:10" x14ac:dyDescent="0.2">
      <c r="A120" s="165">
        <v>2</v>
      </c>
      <c r="B120" s="160" t="s">
        <v>7</v>
      </c>
      <c r="C120" s="41" t="s">
        <v>322</v>
      </c>
      <c r="D120" s="42">
        <v>5</v>
      </c>
      <c r="E120" s="43">
        <v>5</v>
      </c>
      <c r="F120" s="43"/>
      <c r="G120" s="43">
        <v>45.21</v>
      </c>
      <c r="H120" s="43">
        <v>32.167999999999999</v>
      </c>
      <c r="I120" s="63" t="s">
        <v>2</v>
      </c>
      <c r="J120" s="117" t="s">
        <v>294</v>
      </c>
    </row>
    <row r="121" spans="1:10" x14ac:dyDescent="0.2">
      <c r="A121" s="165">
        <v>2</v>
      </c>
      <c r="B121" s="160" t="s">
        <v>7</v>
      </c>
      <c r="C121" s="54" t="s">
        <v>85</v>
      </c>
      <c r="D121" s="42">
        <v>1</v>
      </c>
      <c r="E121" s="51">
        <v>25</v>
      </c>
      <c r="F121" s="51">
        <v>45</v>
      </c>
      <c r="G121" s="51">
        <v>45</v>
      </c>
      <c r="H121" s="51">
        <f>G121-E121</f>
        <v>20</v>
      </c>
      <c r="I121" s="63" t="s">
        <v>2</v>
      </c>
      <c r="J121" s="58" t="s">
        <v>149</v>
      </c>
    </row>
    <row r="122" spans="1:10" x14ac:dyDescent="0.2">
      <c r="A122" s="165">
        <v>2</v>
      </c>
      <c r="B122" s="160" t="s">
        <v>7</v>
      </c>
      <c r="C122" s="84" t="s">
        <v>81</v>
      </c>
      <c r="D122" s="42">
        <v>1</v>
      </c>
      <c r="E122" s="57">
        <v>20</v>
      </c>
      <c r="F122" s="57">
        <v>40</v>
      </c>
      <c r="G122" s="57">
        <v>40</v>
      </c>
      <c r="H122" s="43">
        <f>G122-E122</f>
        <v>20</v>
      </c>
      <c r="I122" s="52" t="s">
        <v>2</v>
      </c>
      <c r="J122" s="56" t="s">
        <v>149</v>
      </c>
    </row>
    <row r="123" spans="1:10" x14ac:dyDescent="0.2">
      <c r="A123" s="165">
        <v>2</v>
      </c>
      <c r="B123" s="160" t="s">
        <v>7</v>
      </c>
      <c r="C123" s="41" t="s">
        <v>75</v>
      </c>
      <c r="D123" s="42">
        <v>1</v>
      </c>
      <c r="E123" s="43">
        <v>25</v>
      </c>
      <c r="F123" s="43"/>
      <c r="G123" s="43">
        <v>59.99</v>
      </c>
      <c r="H123" s="43">
        <v>27.992000000000001</v>
      </c>
      <c r="I123" s="63" t="s">
        <v>2</v>
      </c>
      <c r="J123" s="117" t="s">
        <v>294</v>
      </c>
    </row>
    <row r="124" spans="1:10" x14ac:dyDescent="0.2">
      <c r="A124" s="165">
        <v>2</v>
      </c>
      <c r="B124" s="160" t="s">
        <v>7</v>
      </c>
      <c r="C124" s="84" t="s">
        <v>76</v>
      </c>
      <c r="D124" s="42">
        <v>1</v>
      </c>
      <c r="E124" s="57">
        <v>30</v>
      </c>
      <c r="F124" s="57">
        <v>75</v>
      </c>
      <c r="G124" s="57">
        <v>75</v>
      </c>
      <c r="H124" s="43">
        <f t="shared" ref="H124:H170" si="4">G124-E124</f>
        <v>45</v>
      </c>
      <c r="I124" s="52" t="s">
        <v>2</v>
      </c>
      <c r="J124" s="56" t="s">
        <v>149</v>
      </c>
    </row>
    <row r="125" spans="1:10" x14ac:dyDescent="0.2">
      <c r="A125" s="165">
        <v>2</v>
      </c>
      <c r="B125" s="160" t="s">
        <v>7</v>
      </c>
      <c r="C125" s="84" t="s">
        <v>80</v>
      </c>
      <c r="D125" s="42">
        <v>1</v>
      </c>
      <c r="E125" s="57">
        <v>8.5</v>
      </c>
      <c r="F125" s="57">
        <v>20</v>
      </c>
      <c r="G125" s="57">
        <v>20</v>
      </c>
      <c r="H125" s="43">
        <f t="shared" si="4"/>
        <v>11.5</v>
      </c>
      <c r="I125" s="52" t="s">
        <v>2</v>
      </c>
      <c r="J125" s="56" t="s">
        <v>149</v>
      </c>
    </row>
    <row r="126" spans="1:10" x14ac:dyDescent="0.2">
      <c r="A126" s="165">
        <v>3</v>
      </c>
      <c r="B126" s="160" t="s">
        <v>8</v>
      </c>
      <c r="C126" s="84" t="s">
        <v>308</v>
      </c>
      <c r="D126" s="42">
        <v>1</v>
      </c>
      <c r="E126" s="57">
        <v>40</v>
      </c>
      <c r="F126" s="57"/>
      <c r="G126" s="57">
        <v>88.41</v>
      </c>
      <c r="H126" s="60">
        <f t="shared" si="4"/>
        <v>48.41</v>
      </c>
      <c r="I126" s="52" t="s">
        <v>2</v>
      </c>
      <c r="J126" s="117" t="s">
        <v>294</v>
      </c>
    </row>
    <row r="127" spans="1:10" x14ac:dyDescent="0.2">
      <c r="A127" s="165">
        <v>3</v>
      </c>
      <c r="B127" s="160" t="s">
        <v>8</v>
      </c>
      <c r="C127" s="84" t="s">
        <v>267</v>
      </c>
      <c r="D127" s="42">
        <v>1</v>
      </c>
      <c r="E127" s="51">
        <v>30</v>
      </c>
      <c r="F127" s="51">
        <v>80</v>
      </c>
      <c r="G127" s="51">
        <v>80</v>
      </c>
      <c r="H127" s="60">
        <f t="shared" si="4"/>
        <v>50</v>
      </c>
      <c r="I127" s="56" t="s">
        <v>88</v>
      </c>
      <c r="J127" s="56" t="s">
        <v>149</v>
      </c>
    </row>
    <row r="128" spans="1:10" x14ac:dyDescent="0.2">
      <c r="A128" s="165">
        <v>3</v>
      </c>
      <c r="B128" s="160" t="s">
        <v>8</v>
      </c>
      <c r="C128" s="84" t="s">
        <v>309</v>
      </c>
      <c r="D128" s="42">
        <v>1</v>
      </c>
      <c r="E128" s="57">
        <v>10</v>
      </c>
      <c r="F128" s="57"/>
      <c r="G128" s="57">
        <v>25.85</v>
      </c>
      <c r="H128" s="60">
        <f t="shared" si="4"/>
        <v>15.850000000000001</v>
      </c>
      <c r="I128" s="52" t="s">
        <v>2</v>
      </c>
      <c r="J128" s="117" t="s">
        <v>294</v>
      </c>
    </row>
    <row r="129" spans="1:10" x14ac:dyDescent="0.2">
      <c r="A129" s="165">
        <v>3</v>
      </c>
      <c r="B129" s="160" t="s">
        <v>8</v>
      </c>
      <c r="C129" s="84" t="s">
        <v>162</v>
      </c>
      <c r="D129" s="42">
        <v>1</v>
      </c>
      <c r="E129" s="57">
        <v>20</v>
      </c>
      <c r="F129" s="57">
        <v>40</v>
      </c>
      <c r="G129" s="57">
        <v>40</v>
      </c>
      <c r="H129" s="60">
        <f t="shared" si="4"/>
        <v>20</v>
      </c>
      <c r="I129" s="52" t="s">
        <v>2</v>
      </c>
      <c r="J129" s="56" t="s">
        <v>149</v>
      </c>
    </row>
    <row r="130" spans="1:10" x14ac:dyDescent="0.2">
      <c r="A130" s="165">
        <v>3</v>
      </c>
      <c r="B130" s="160" t="s">
        <v>8</v>
      </c>
      <c r="C130" s="85" t="s">
        <v>89</v>
      </c>
      <c r="D130" s="42">
        <v>1</v>
      </c>
      <c r="E130" s="51">
        <v>5</v>
      </c>
      <c r="F130" s="51">
        <v>10</v>
      </c>
      <c r="G130" s="51">
        <v>10</v>
      </c>
      <c r="H130" s="60">
        <f t="shared" si="4"/>
        <v>5</v>
      </c>
      <c r="I130" s="56" t="s">
        <v>2</v>
      </c>
      <c r="J130" s="56" t="s">
        <v>149</v>
      </c>
    </row>
    <row r="131" spans="1:10" x14ac:dyDescent="0.2">
      <c r="A131" s="165">
        <v>3</v>
      </c>
      <c r="B131" s="160" t="s">
        <v>8</v>
      </c>
      <c r="C131" s="85" t="s">
        <v>89</v>
      </c>
      <c r="D131" s="42">
        <v>1</v>
      </c>
      <c r="E131" s="51">
        <v>5</v>
      </c>
      <c r="F131" s="51">
        <v>10</v>
      </c>
      <c r="G131" s="51">
        <v>10</v>
      </c>
      <c r="H131" s="60">
        <f t="shared" si="4"/>
        <v>5</v>
      </c>
      <c r="I131" s="56" t="s">
        <v>2</v>
      </c>
      <c r="J131" s="56" t="s">
        <v>149</v>
      </c>
    </row>
    <row r="132" spans="1:10" x14ac:dyDescent="0.2">
      <c r="A132" s="165">
        <v>3</v>
      </c>
      <c r="B132" s="160" t="s">
        <v>8</v>
      </c>
      <c r="C132" s="85" t="s">
        <v>89</v>
      </c>
      <c r="D132" s="42">
        <v>1</v>
      </c>
      <c r="E132" s="51">
        <v>5</v>
      </c>
      <c r="F132" s="51">
        <v>10</v>
      </c>
      <c r="G132" s="51">
        <v>10</v>
      </c>
      <c r="H132" s="60">
        <f t="shared" si="4"/>
        <v>5</v>
      </c>
      <c r="I132" s="56" t="s">
        <v>2</v>
      </c>
      <c r="J132" s="56" t="s">
        <v>149</v>
      </c>
    </row>
    <row r="133" spans="1:10" x14ac:dyDescent="0.2">
      <c r="A133" s="165">
        <v>3</v>
      </c>
      <c r="B133" s="160" t="s">
        <v>8</v>
      </c>
      <c r="C133" s="85" t="s">
        <v>89</v>
      </c>
      <c r="D133" s="42">
        <v>1</v>
      </c>
      <c r="E133" s="51">
        <v>5</v>
      </c>
      <c r="F133" s="51">
        <v>10</v>
      </c>
      <c r="G133" s="51">
        <v>10</v>
      </c>
      <c r="H133" s="60">
        <f t="shared" si="4"/>
        <v>5</v>
      </c>
      <c r="I133" s="56" t="s">
        <v>2</v>
      </c>
      <c r="J133" s="56" t="s">
        <v>149</v>
      </c>
    </row>
    <row r="134" spans="1:10" x14ac:dyDescent="0.2">
      <c r="A134" s="165">
        <v>3</v>
      </c>
      <c r="B134" s="160" t="s">
        <v>8</v>
      </c>
      <c r="C134" s="84" t="s">
        <v>139</v>
      </c>
      <c r="D134" s="42">
        <v>1</v>
      </c>
      <c r="E134" s="57">
        <v>5</v>
      </c>
      <c r="F134" s="57">
        <v>10</v>
      </c>
      <c r="G134" s="57">
        <v>10</v>
      </c>
      <c r="H134" s="60">
        <f t="shared" si="4"/>
        <v>5</v>
      </c>
      <c r="I134" s="52" t="s">
        <v>2</v>
      </c>
      <c r="J134" s="56" t="s">
        <v>149</v>
      </c>
    </row>
    <row r="135" spans="1:10" x14ac:dyDescent="0.2">
      <c r="A135" s="165">
        <v>3</v>
      </c>
      <c r="B135" s="160" t="s">
        <v>8</v>
      </c>
      <c r="C135" s="84" t="s">
        <v>63</v>
      </c>
      <c r="D135" s="42">
        <v>1</v>
      </c>
      <c r="E135" s="57">
        <v>50</v>
      </c>
      <c r="F135" s="57"/>
      <c r="G135" s="57">
        <v>111.73</v>
      </c>
      <c r="H135" s="60">
        <f t="shared" si="4"/>
        <v>61.730000000000004</v>
      </c>
      <c r="I135" s="52" t="s">
        <v>2</v>
      </c>
      <c r="J135" s="117" t="s">
        <v>294</v>
      </c>
    </row>
    <row r="136" spans="1:10" x14ac:dyDescent="0.2">
      <c r="A136" s="165">
        <v>3</v>
      </c>
      <c r="B136" s="160" t="s">
        <v>8</v>
      </c>
      <c r="C136" s="85" t="s">
        <v>93</v>
      </c>
      <c r="D136" s="42">
        <v>1</v>
      </c>
      <c r="E136" s="51">
        <v>0</v>
      </c>
      <c r="F136" s="51">
        <v>70</v>
      </c>
      <c r="G136" s="51">
        <v>70</v>
      </c>
      <c r="H136" s="60">
        <f t="shared" si="4"/>
        <v>70</v>
      </c>
      <c r="I136" s="56" t="s">
        <v>2</v>
      </c>
      <c r="J136" s="56" t="s">
        <v>149</v>
      </c>
    </row>
    <row r="137" spans="1:10" x14ac:dyDescent="0.2">
      <c r="A137" s="165">
        <v>3</v>
      </c>
      <c r="B137" s="160" t="s">
        <v>8</v>
      </c>
      <c r="C137" s="84" t="s">
        <v>311</v>
      </c>
      <c r="D137" s="42">
        <v>1</v>
      </c>
      <c r="E137" s="51">
        <v>45</v>
      </c>
      <c r="F137" s="51">
        <v>100</v>
      </c>
      <c r="G137" s="51">
        <v>100</v>
      </c>
      <c r="H137" s="60">
        <f t="shared" si="4"/>
        <v>55</v>
      </c>
      <c r="I137" s="56" t="s">
        <v>88</v>
      </c>
      <c r="J137" s="56" t="s">
        <v>149</v>
      </c>
    </row>
    <row r="138" spans="1:10" x14ac:dyDescent="0.2">
      <c r="A138" s="165">
        <v>3</v>
      </c>
      <c r="B138" s="160" t="s">
        <v>8</v>
      </c>
      <c r="C138" s="84" t="s">
        <v>311</v>
      </c>
      <c r="D138" s="42">
        <v>1</v>
      </c>
      <c r="E138" s="57">
        <v>30</v>
      </c>
      <c r="F138" s="57"/>
      <c r="G138" s="57">
        <v>68.48</v>
      </c>
      <c r="H138" s="60">
        <f t="shared" si="4"/>
        <v>38.480000000000004</v>
      </c>
      <c r="I138" s="52" t="s">
        <v>2</v>
      </c>
      <c r="J138" s="117" t="s">
        <v>294</v>
      </c>
    </row>
    <row r="139" spans="1:10" x14ac:dyDescent="0.2">
      <c r="A139" s="165">
        <v>3</v>
      </c>
      <c r="B139" s="160" t="s">
        <v>8</v>
      </c>
      <c r="C139" s="84" t="s">
        <v>220</v>
      </c>
      <c r="D139" s="42">
        <v>1</v>
      </c>
      <c r="E139" s="57">
        <v>12</v>
      </c>
      <c r="F139" s="57">
        <v>22</v>
      </c>
      <c r="G139" s="57">
        <v>22</v>
      </c>
      <c r="H139" s="60">
        <f t="shared" si="4"/>
        <v>10</v>
      </c>
      <c r="I139" s="52" t="s">
        <v>2</v>
      </c>
      <c r="J139" s="56" t="s">
        <v>149</v>
      </c>
    </row>
    <row r="140" spans="1:10" x14ac:dyDescent="0.2">
      <c r="A140" s="165">
        <v>3</v>
      </c>
      <c r="B140" s="160" t="s">
        <v>8</v>
      </c>
      <c r="C140" s="84" t="s">
        <v>223</v>
      </c>
      <c r="D140" s="42">
        <v>1</v>
      </c>
      <c r="E140" s="51">
        <v>7</v>
      </c>
      <c r="F140" s="51">
        <v>20</v>
      </c>
      <c r="G140" s="51">
        <v>20</v>
      </c>
      <c r="H140" s="60">
        <f t="shared" si="4"/>
        <v>13</v>
      </c>
      <c r="I140" s="56" t="s">
        <v>2</v>
      </c>
      <c r="J140" s="56" t="s">
        <v>149</v>
      </c>
    </row>
    <row r="141" spans="1:10" x14ac:dyDescent="0.2">
      <c r="A141" s="165">
        <v>3</v>
      </c>
      <c r="B141" s="160" t="s">
        <v>8</v>
      </c>
      <c r="C141" s="84" t="s">
        <v>314</v>
      </c>
      <c r="D141" s="42">
        <v>1</v>
      </c>
      <c r="E141" s="57">
        <v>25</v>
      </c>
      <c r="F141" s="57">
        <v>40</v>
      </c>
      <c r="G141" s="57">
        <v>40</v>
      </c>
      <c r="H141" s="60">
        <f t="shared" si="4"/>
        <v>15</v>
      </c>
      <c r="I141" s="52" t="s">
        <v>2</v>
      </c>
      <c r="J141" s="56" t="s">
        <v>149</v>
      </c>
    </row>
    <row r="142" spans="1:10" x14ac:dyDescent="0.2">
      <c r="A142" s="165">
        <v>3</v>
      </c>
      <c r="B142" s="160" t="s">
        <v>8</v>
      </c>
      <c r="C142" s="84" t="s">
        <v>97</v>
      </c>
      <c r="D142" s="42">
        <v>1</v>
      </c>
      <c r="E142" s="57">
        <v>95</v>
      </c>
      <c r="F142" s="57"/>
      <c r="G142" s="57">
        <v>193.1</v>
      </c>
      <c r="H142" s="60">
        <f t="shared" si="4"/>
        <v>98.1</v>
      </c>
      <c r="I142" s="52" t="s">
        <v>2</v>
      </c>
      <c r="J142" s="117" t="s">
        <v>294</v>
      </c>
    </row>
    <row r="143" spans="1:10" x14ac:dyDescent="0.2">
      <c r="A143" s="165">
        <v>3</v>
      </c>
      <c r="B143" s="160" t="s">
        <v>8</v>
      </c>
      <c r="C143" s="84" t="s">
        <v>321</v>
      </c>
      <c r="D143" s="42">
        <v>1</v>
      </c>
      <c r="E143" s="57">
        <v>25</v>
      </c>
      <c r="F143" s="57"/>
      <c r="G143" s="57">
        <v>55.65</v>
      </c>
      <c r="H143" s="60">
        <f t="shared" si="4"/>
        <v>30.65</v>
      </c>
      <c r="I143" s="52" t="s">
        <v>2</v>
      </c>
      <c r="J143" s="117" t="s">
        <v>294</v>
      </c>
    </row>
    <row r="144" spans="1:10" x14ac:dyDescent="0.2">
      <c r="A144" s="165">
        <v>3</v>
      </c>
      <c r="B144" s="160" t="s">
        <v>8</v>
      </c>
      <c r="C144" s="84" t="s">
        <v>99</v>
      </c>
      <c r="D144" s="42">
        <v>1</v>
      </c>
      <c r="E144" s="57">
        <v>10</v>
      </c>
      <c r="F144" s="57"/>
      <c r="G144" s="57">
        <v>34.58</v>
      </c>
      <c r="H144" s="60">
        <f t="shared" si="4"/>
        <v>24.58</v>
      </c>
      <c r="I144" s="52" t="s">
        <v>2</v>
      </c>
      <c r="J144" s="117" t="s">
        <v>294</v>
      </c>
    </row>
    <row r="145" spans="1:10" x14ac:dyDescent="0.2">
      <c r="A145" s="165">
        <v>3</v>
      </c>
      <c r="B145" s="160" t="s">
        <v>8</v>
      </c>
      <c r="C145" s="84" t="s">
        <v>316</v>
      </c>
      <c r="D145" s="42">
        <v>1</v>
      </c>
      <c r="E145" s="51">
        <v>5</v>
      </c>
      <c r="F145" s="51">
        <v>10</v>
      </c>
      <c r="G145" s="51">
        <v>10</v>
      </c>
      <c r="H145" s="60">
        <f t="shared" si="4"/>
        <v>5</v>
      </c>
      <c r="I145" s="56" t="s">
        <v>2</v>
      </c>
      <c r="J145" s="56" t="s">
        <v>149</v>
      </c>
    </row>
    <row r="146" spans="1:10" x14ac:dyDescent="0.2">
      <c r="A146" s="165">
        <v>3</v>
      </c>
      <c r="B146" s="160" t="s">
        <v>8</v>
      </c>
      <c r="C146" s="84" t="s">
        <v>316</v>
      </c>
      <c r="D146" s="42">
        <v>1</v>
      </c>
      <c r="E146" s="51">
        <v>5</v>
      </c>
      <c r="F146" s="51">
        <v>10</v>
      </c>
      <c r="G146" s="51">
        <v>10</v>
      </c>
      <c r="H146" s="60">
        <f t="shared" si="4"/>
        <v>5</v>
      </c>
      <c r="I146" s="56" t="s">
        <v>2</v>
      </c>
      <c r="J146" s="56" t="s">
        <v>149</v>
      </c>
    </row>
    <row r="147" spans="1:10" x14ac:dyDescent="0.2">
      <c r="A147" s="165">
        <v>3</v>
      </c>
      <c r="B147" s="160" t="s">
        <v>8</v>
      </c>
      <c r="C147" s="84" t="s">
        <v>316</v>
      </c>
      <c r="D147" s="42">
        <v>1</v>
      </c>
      <c r="E147" s="51">
        <v>5</v>
      </c>
      <c r="F147" s="51">
        <v>10</v>
      </c>
      <c r="G147" s="51">
        <v>10</v>
      </c>
      <c r="H147" s="60">
        <f t="shared" si="4"/>
        <v>5</v>
      </c>
      <c r="I147" s="56" t="s">
        <v>2</v>
      </c>
      <c r="J147" s="56" t="s">
        <v>149</v>
      </c>
    </row>
    <row r="148" spans="1:10" x14ac:dyDescent="0.2">
      <c r="A148" s="165">
        <v>3</v>
      </c>
      <c r="B148" s="160" t="s">
        <v>8</v>
      </c>
      <c r="C148" s="84" t="s">
        <v>96</v>
      </c>
      <c r="D148" s="42">
        <v>3</v>
      </c>
      <c r="E148" s="57">
        <v>150</v>
      </c>
      <c r="F148" s="57"/>
      <c r="G148" s="57">
        <v>341.995</v>
      </c>
      <c r="H148" s="60">
        <f t="shared" si="4"/>
        <v>191.995</v>
      </c>
      <c r="I148" s="52" t="s">
        <v>2</v>
      </c>
      <c r="J148" s="117" t="s">
        <v>294</v>
      </c>
    </row>
    <row r="149" spans="1:10" x14ac:dyDescent="0.2">
      <c r="A149" s="165">
        <v>3</v>
      </c>
      <c r="B149" s="160" t="s">
        <v>8</v>
      </c>
      <c r="C149" s="84" t="s">
        <v>138</v>
      </c>
      <c r="D149" s="42">
        <v>1</v>
      </c>
      <c r="E149" s="51">
        <v>14</v>
      </c>
      <c r="F149" s="51">
        <v>30</v>
      </c>
      <c r="G149" s="51">
        <v>30</v>
      </c>
      <c r="H149" s="60">
        <f t="shared" si="4"/>
        <v>16</v>
      </c>
      <c r="I149" s="56" t="s">
        <v>2</v>
      </c>
      <c r="J149" s="56" t="s">
        <v>149</v>
      </c>
    </row>
    <row r="150" spans="1:10" x14ac:dyDescent="0.2">
      <c r="A150" s="165">
        <v>3</v>
      </c>
      <c r="B150" s="160" t="s">
        <v>8</v>
      </c>
      <c r="C150" s="84" t="s">
        <v>318</v>
      </c>
      <c r="D150" s="42">
        <v>4</v>
      </c>
      <c r="E150" s="57">
        <v>160</v>
      </c>
      <c r="F150" s="57"/>
      <c r="G150" s="57">
        <v>310.55</v>
      </c>
      <c r="H150" s="60">
        <f t="shared" si="4"/>
        <v>150.55000000000001</v>
      </c>
      <c r="I150" s="52" t="s">
        <v>2</v>
      </c>
      <c r="J150" s="117" t="s">
        <v>294</v>
      </c>
    </row>
    <row r="151" spans="1:10" x14ac:dyDescent="0.2">
      <c r="A151" s="165">
        <v>3</v>
      </c>
      <c r="B151" s="160" t="s">
        <v>8</v>
      </c>
      <c r="C151" s="84" t="s">
        <v>95</v>
      </c>
      <c r="D151" s="42">
        <v>1</v>
      </c>
      <c r="E151" s="57">
        <v>38</v>
      </c>
      <c r="F151" s="57">
        <v>60</v>
      </c>
      <c r="G151" s="57">
        <v>60</v>
      </c>
      <c r="H151" s="60">
        <f t="shared" si="4"/>
        <v>22</v>
      </c>
      <c r="I151" s="52" t="s">
        <v>2</v>
      </c>
      <c r="J151" s="56" t="s">
        <v>149</v>
      </c>
    </row>
    <row r="152" spans="1:10" x14ac:dyDescent="0.2">
      <c r="A152" s="165">
        <v>3</v>
      </c>
      <c r="B152" s="160" t="s">
        <v>8</v>
      </c>
      <c r="C152" s="84" t="s">
        <v>157</v>
      </c>
      <c r="D152" s="42">
        <v>1</v>
      </c>
      <c r="E152" s="57">
        <v>3</v>
      </c>
      <c r="F152" s="57"/>
      <c r="G152" s="57">
        <v>9.18</v>
      </c>
      <c r="H152" s="60">
        <f t="shared" si="4"/>
        <v>6.18</v>
      </c>
      <c r="I152" s="52" t="s">
        <v>2</v>
      </c>
      <c r="J152" s="117" t="s">
        <v>294</v>
      </c>
    </row>
    <row r="153" spans="1:10" x14ac:dyDescent="0.2">
      <c r="A153" s="165">
        <v>3</v>
      </c>
      <c r="B153" s="160" t="s">
        <v>8</v>
      </c>
      <c r="C153" s="84" t="s">
        <v>100</v>
      </c>
      <c r="D153" s="42">
        <v>1</v>
      </c>
      <c r="E153" s="57">
        <v>20</v>
      </c>
      <c r="F153" s="57"/>
      <c r="G153" s="57">
        <v>76.95</v>
      </c>
      <c r="H153" s="60">
        <f t="shared" si="4"/>
        <v>56.95</v>
      </c>
      <c r="I153" s="52" t="s">
        <v>2</v>
      </c>
      <c r="J153" s="117" t="s">
        <v>294</v>
      </c>
    </row>
    <row r="154" spans="1:10" x14ac:dyDescent="0.2">
      <c r="A154" s="165">
        <v>3</v>
      </c>
      <c r="B154" s="160" t="s">
        <v>8</v>
      </c>
      <c r="C154" s="84" t="s">
        <v>67</v>
      </c>
      <c r="D154" s="42">
        <v>2</v>
      </c>
      <c r="E154" s="57">
        <v>30</v>
      </c>
      <c r="F154" s="57"/>
      <c r="G154" s="57">
        <v>120.31</v>
      </c>
      <c r="H154" s="60">
        <f t="shared" si="4"/>
        <v>90.31</v>
      </c>
      <c r="I154" s="52" t="s">
        <v>2</v>
      </c>
      <c r="J154" s="117" t="s">
        <v>294</v>
      </c>
    </row>
    <row r="155" spans="1:10" x14ac:dyDescent="0.2">
      <c r="A155" s="165">
        <v>3</v>
      </c>
      <c r="B155" s="160" t="s">
        <v>8</v>
      </c>
      <c r="C155" s="84" t="s">
        <v>101</v>
      </c>
      <c r="D155" s="42">
        <v>3</v>
      </c>
      <c r="E155" s="57">
        <v>22.5</v>
      </c>
      <c r="F155" s="57"/>
      <c r="G155" s="57">
        <v>54</v>
      </c>
      <c r="H155" s="60">
        <f t="shared" si="4"/>
        <v>31.5</v>
      </c>
      <c r="I155" s="52" t="s">
        <v>2</v>
      </c>
      <c r="J155" s="117" t="s">
        <v>294</v>
      </c>
    </row>
    <row r="156" spans="1:10" x14ac:dyDescent="0.2">
      <c r="A156" s="165">
        <v>3</v>
      </c>
      <c r="B156" s="160" t="s">
        <v>8</v>
      </c>
      <c r="C156" s="84" t="s">
        <v>98</v>
      </c>
      <c r="D156" s="42">
        <v>1</v>
      </c>
      <c r="E156" s="57">
        <v>24</v>
      </c>
      <c r="F156" s="57"/>
      <c r="G156" s="57">
        <v>43.8</v>
      </c>
      <c r="H156" s="60">
        <f t="shared" si="4"/>
        <v>19.799999999999997</v>
      </c>
      <c r="I156" s="52" t="s">
        <v>2</v>
      </c>
      <c r="J156" s="117" t="s">
        <v>294</v>
      </c>
    </row>
    <row r="157" spans="1:10" x14ac:dyDescent="0.2">
      <c r="A157" s="165">
        <v>3</v>
      </c>
      <c r="B157" s="160" t="s">
        <v>8</v>
      </c>
      <c r="C157" s="84" t="s">
        <v>103</v>
      </c>
      <c r="D157" s="42">
        <v>7</v>
      </c>
      <c r="E157" s="57">
        <v>400</v>
      </c>
      <c r="F157" s="57"/>
      <c r="G157" s="57">
        <v>787.78</v>
      </c>
      <c r="H157" s="60">
        <f t="shared" si="4"/>
        <v>387.78</v>
      </c>
      <c r="I157" s="52" t="s">
        <v>2</v>
      </c>
      <c r="J157" s="117" t="s">
        <v>294</v>
      </c>
    </row>
    <row r="158" spans="1:10" x14ac:dyDescent="0.2">
      <c r="A158" s="165">
        <v>3</v>
      </c>
      <c r="B158" s="160" t="s">
        <v>8</v>
      </c>
      <c r="C158" s="84" t="s">
        <v>113</v>
      </c>
      <c r="D158" s="42">
        <v>1</v>
      </c>
      <c r="E158" s="57">
        <v>7.5</v>
      </c>
      <c r="F158" s="57">
        <v>20</v>
      </c>
      <c r="G158" s="57">
        <v>20</v>
      </c>
      <c r="H158" s="60">
        <f t="shared" si="4"/>
        <v>12.5</v>
      </c>
      <c r="I158" s="52" t="s">
        <v>2</v>
      </c>
      <c r="J158" s="56" t="s">
        <v>149</v>
      </c>
    </row>
    <row r="159" spans="1:10" x14ac:dyDescent="0.2">
      <c r="A159" s="165">
        <v>3</v>
      </c>
      <c r="B159" s="160" t="s">
        <v>8</v>
      </c>
      <c r="C159" s="84" t="s">
        <v>160</v>
      </c>
      <c r="D159" s="42">
        <v>1</v>
      </c>
      <c r="E159" s="57">
        <v>45</v>
      </c>
      <c r="F159" s="57">
        <v>80</v>
      </c>
      <c r="G159" s="57">
        <v>80</v>
      </c>
      <c r="H159" s="60">
        <f t="shared" si="4"/>
        <v>35</v>
      </c>
      <c r="I159" s="52" t="s">
        <v>2</v>
      </c>
      <c r="J159" s="56" t="s">
        <v>149</v>
      </c>
    </row>
    <row r="160" spans="1:10" x14ac:dyDescent="0.2">
      <c r="A160" s="165">
        <v>3</v>
      </c>
      <c r="B160" s="160" t="s">
        <v>8</v>
      </c>
      <c r="C160" s="84" t="s">
        <v>160</v>
      </c>
      <c r="D160" s="42">
        <v>1</v>
      </c>
      <c r="E160" s="57">
        <v>45</v>
      </c>
      <c r="F160" s="57">
        <v>80</v>
      </c>
      <c r="G160" s="57">
        <v>80</v>
      </c>
      <c r="H160" s="60">
        <f t="shared" si="4"/>
        <v>35</v>
      </c>
      <c r="I160" s="52" t="s">
        <v>2</v>
      </c>
      <c r="J160" s="56" t="s">
        <v>149</v>
      </c>
    </row>
    <row r="161" spans="1:10" x14ac:dyDescent="0.2">
      <c r="A161" s="165">
        <v>3</v>
      </c>
      <c r="B161" s="160" t="s">
        <v>8</v>
      </c>
      <c r="C161" s="84" t="s">
        <v>163</v>
      </c>
      <c r="D161" s="42">
        <v>1</v>
      </c>
      <c r="E161" s="57">
        <v>35</v>
      </c>
      <c r="F161" s="57"/>
      <c r="G161" s="57">
        <v>93.31</v>
      </c>
      <c r="H161" s="60">
        <f t="shared" si="4"/>
        <v>58.31</v>
      </c>
      <c r="I161" s="52" t="s">
        <v>2</v>
      </c>
      <c r="J161" s="117" t="s">
        <v>294</v>
      </c>
    </row>
    <row r="162" spans="1:10" x14ac:dyDescent="0.2">
      <c r="A162" s="165">
        <v>3</v>
      </c>
      <c r="B162" s="160" t="s">
        <v>8</v>
      </c>
      <c r="C162" s="84" t="s">
        <v>219</v>
      </c>
      <c r="D162" s="42">
        <v>1</v>
      </c>
      <c r="E162" s="51">
        <v>7.5</v>
      </c>
      <c r="F162" s="51">
        <v>15</v>
      </c>
      <c r="G162" s="51">
        <v>15</v>
      </c>
      <c r="H162" s="60">
        <f t="shared" si="4"/>
        <v>7.5</v>
      </c>
      <c r="I162" s="56" t="s">
        <v>88</v>
      </c>
      <c r="J162" s="56" t="s">
        <v>149</v>
      </c>
    </row>
    <row r="163" spans="1:10" x14ac:dyDescent="0.2">
      <c r="A163" s="165">
        <v>3</v>
      </c>
      <c r="B163" s="160" t="s">
        <v>8</v>
      </c>
      <c r="C163" s="84" t="s">
        <v>219</v>
      </c>
      <c r="D163" s="42">
        <v>1</v>
      </c>
      <c r="E163" s="57">
        <v>7.5</v>
      </c>
      <c r="F163" s="57">
        <v>15</v>
      </c>
      <c r="G163" s="57">
        <v>15</v>
      </c>
      <c r="H163" s="60">
        <f t="shared" si="4"/>
        <v>7.5</v>
      </c>
      <c r="I163" s="52" t="s">
        <v>2</v>
      </c>
      <c r="J163" s="56" t="s">
        <v>149</v>
      </c>
    </row>
    <row r="164" spans="1:10" x14ac:dyDescent="0.2">
      <c r="A164" s="165">
        <v>3</v>
      </c>
      <c r="B164" s="160" t="s">
        <v>8</v>
      </c>
      <c r="C164" s="54" t="s">
        <v>159</v>
      </c>
      <c r="D164" s="42">
        <v>1</v>
      </c>
      <c r="E164" s="51">
        <v>60</v>
      </c>
      <c r="F164" s="51">
        <v>120</v>
      </c>
      <c r="G164" s="51">
        <v>120</v>
      </c>
      <c r="H164" s="60">
        <f t="shared" si="4"/>
        <v>60</v>
      </c>
      <c r="I164" s="56" t="s">
        <v>88</v>
      </c>
      <c r="J164" s="56" t="s">
        <v>149</v>
      </c>
    </row>
    <row r="165" spans="1:10" x14ac:dyDescent="0.2">
      <c r="A165" s="165">
        <v>3</v>
      </c>
      <c r="B165" s="160" t="s">
        <v>8</v>
      </c>
      <c r="C165" s="84" t="s">
        <v>94</v>
      </c>
      <c r="D165" s="42">
        <v>1</v>
      </c>
      <c r="E165" s="57">
        <v>25</v>
      </c>
      <c r="F165" s="57">
        <v>55</v>
      </c>
      <c r="G165" s="57">
        <v>55</v>
      </c>
      <c r="H165" s="60">
        <f t="shared" si="4"/>
        <v>30</v>
      </c>
      <c r="I165" s="52" t="s">
        <v>2</v>
      </c>
      <c r="J165" s="56" t="s">
        <v>149</v>
      </c>
    </row>
    <row r="166" spans="1:10" x14ac:dyDescent="0.2">
      <c r="A166" s="165">
        <v>3</v>
      </c>
      <c r="B166" s="160" t="s">
        <v>8</v>
      </c>
      <c r="C166" s="84" t="s">
        <v>94</v>
      </c>
      <c r="D166" s="42">
        <v>1</v>
      </c>
      <c r="E166" s="57">
        <v>25</v>
      </c>
      <c r="F166" s="57">
        <v>55</v>
      </c>
      <c r="G166" s="57">
        <v>55</v>
      </c>
      <c r="H166" s="60">
        <f t="shared" si="4"/>
        <v>30</v>
      </c>
      <c r="I166" s="52" t="s">
        <v>2</v>
      </c>
      <c r="J166" s="56" t="s">
        <v>149</v>
      </c>
    </row>
    <row r="167" spans="1:10" x14ac:dyDescent="0.2">
      <c r="A167" s="165">
        <v>3</v>
      </c>
      <c r="B167" s="160" t="s">
        <v>8</v>
      </c>
      <c r="C167" s="84" t="s">
        <v>161</v>
      </c>
      <c r="D167" s="42">
        <v>1</v>
      </c>
      <c r="E167" s="57">
        <v>100</v>
      </c>
      <c r="F167" s="57">
        <v>160</v>
      </c>
      <c r="G167" s="57">
        <v>160</v>
      </c>
      <c r="H167" s="60">
        <f t="shared" si="4"/>
        <v>60</v>
      </c>
      <c r="I167" s="52" t="s">
        <v>2</v>
      </c>
      <c r="J167" s="56" t="s">
        <v>149</v>
      </c>
    </row>
    <row r="168" spans="1:10" x14ac:dyDescent="0.2">
      <c r="A168" s="165">
        <v>3</v>
      </c>
      <c r="B168" s="160" t="s">
        <v>8</v>
      </c>
      <c r="C168" s="84" t="s">
        <v>161</v>
      </c>
      <c r="D168" s="42">
        <v>1</v>
      </c>
      <c r="E168" s="57">
        <v>100</v>
      </c>
      <c r="F168" s="57">
        <v>160</v>
      </c>
      <c r="G168" s="57">
        <v>160</v>
      </c>
      <c r="H168" s="60">
        <f t="shared" si="4"/>
        <v>60</v>
      </c>
      <c r="I168" s="52" t="s">
        <v>2</v>
      </c>
      <c r="J168" s="56" t="s">
        <v>149</v>
      </c>
    </row>
    <row r="169" spans="1:10" x14ac:dyDescent="0.2">
      <c r="A169" s="165">
        <v>3</v>
      </c>
      <c r="B169" s="160" t="s">
        <v>8</v>
      </c>
      <c r="C169" s="84" t="s">
        <v>102</v>
      </c>
      <c r="D169" s="42">
        <v>1</v>
      </c>
      <c r="E169" s="57">
        <v>1</v>
      </c>
      <c r="F169" s="57"/>
      <c r="G169" s="57">
        <v>34.229999999999997</v>
      </c>
      <c r="H169" s="60">
        <f t="shared" si="4"/>
        <v>33.229999999999997</v>
      </c>
      <c r="I169" s="52" t="s">
        <v>2</v>
      </c>
      <c r="J169" s="117" t="s">
        <v>294</v>
      </c>
    </row>
    <row r="170" spans="1:10" x14ac:dyDescent="0.2">
      <c r="A170" s="165">
        <v>3</v>
      </c>
      <c r="B170" s="160" t="s">
        <v>8</v>
      </c>
      <c r="C170" s="85" t="s">
        <v>92</v>
      </c>
      <c r="D170" s="42">
        <v>1</v>
      </c>
      <c r="E170" s="51">
        <v>0</v>
      </c>
      <c r="F170" s="51">
        <v>131</v>
      </c>
      <c r="G170" s="51">
        <v>131</v>
      </c>
      <c r="H170" s="60">
        <f t="shared" si="4"/>
        <v>131</v>
      </c>
      <c r="I170" s="56" t="s">
        <v>2</v>
      </c>
      <c r="J170" s="56" t="s">
        <v>149</v>
      </c>
    </row>
    <row r="171" spans="1:10" x14ac:dyDescent="0.2">
      <c r="A171" s="165">
        <v>4</v>
      </c>
      <c r="B171" s="160" t="s">
        <v>9</v>
      </c>
      <c r="C171" s="84" t="s">
        <v>61</v>
      </c>
      <c r="D171" s="42">
        <v>1</v>
      </c>
      <c r="E171" s="57">
        <v>50</v>
      </c>
      <c r="F171" s="57"/>
      <c r="G171" s="57">
        <v>158.46</v>
      </c>
      <c r="H171" s="60">
        <v>86.768000000000001</v>
      </c>
      <c r="I171" s="52" t="s">
        <v>88</v>
      </c>
      <c r="J171" s="117" t="s">
        <v>294</v>
      </c>
    </row>
    <row r="172" spans="1:10" x14ac:dyDescent="0.2">
      <c r="A172" s="165">
        <v>4</v>
      </c>
      <c r="B172" s="160" t="s">
        <v>9</v>
      </c>
      <c r="C172" s="84" t="s">
        <v>267</v>
      </c>
      <c r="D172" s="42">
        <v>1</v>
      </c>
      <c r="E172" s="57">
        <v>22</v>
      </c>
      <c r="F172" s="57">
        <v>35</v>
      </c>
      <c r="G172" s="57">
        <v>35</v>
      </c>
      <c r="H172" s="60">
        <f>G172-E172</f>
        <v>13</v>
      </c>
      <c r="I172" s="52" t="s">
        <v>88</v>
      </c>
      <c r="J172" s="56" t="s">
        <v>149</v>
      </c>
    </row>
    <row r="173" spans="1:10" x14ac:dyDescent="0.2">
      <c r="A173" s="165">
        <v>4</v>
      </c>
      <c r="B173" s="160" t="s">
        <v>9</v>
      </c>
      <c r="C173" s="84" t="s">
        <v>267</v>
      </c>
      <c r="D173" s="42">
        <v>1</v>
      </c>
      <c r="E173" s="57">
        <v>30</v>
      </c>
      <c r="F173" s="57">
        <v>60</v>
      </c>
      <c r="G173" s="57">
        <v>60</v>
      </c>
      <c r="H173" s="60">
        <f>G173-E173</f>
        <v>30</v>
      </c>
      <c r="I173" s="52" t="s">
        <v>88</v>
      </c>
      <c r="J173" s="56" t="s">
        <v>149</v>
      </c>
    </row>
    <row r="174" spans="1:10" x14ac:dyDescent="0.2">
      <c r="A174" s="165">
        <v>4</v>
      </c>
      <c r="B174" s="160" t="s">
        <v>9</v>
      </c>
      <c r="C174" s="84" t="s">
        <v>168</v>
      </c>
      <c r="D174" s="42">
        <v>1</v>
      </c>
      <c r="E174" s="57">
        <v>10</v>
      </c>
      <c r="F174" s="57">
        <v>20</v>
      </c>
      <c r="G174" s="57">
        <v>20</v>
      </c>
      <c r="H174" s="60">
        <f>G174-E174</f>
        <v>10</v>
      </c>
      <c r="I174" s="52" t="s">
        <v>88</v>
      </c>
      <c r="J174" s="56" t="s">
        <v>149</v>
      </c>
    </row>
    <row r="175" spans="1:10" x14ac:dyDescent="0.2">
      <c r="A175" s="165">
        <v>4</v>
      </c>
      <c r="B175" s="160" t="s">
        <v>9</v>
      </c>
      <c r="C175" s="84" t="s">
        <v>236</v>
      </c>
      <c r="D175" s="42">
        <v>11</v>
      </c>
      <c r="E175" s="57">
        <v>30.799999999999997</v>
      </c>
      <c r="F175" s="57"/>
      <c r="G175" s="57">
        <v>159.06</v>
      </c>
      <c r="H175" s="60">
        <v>102.60799999999999</v>
      </c>
      <c r="I175" s="52" t="s">
        <v>88</v>
      </c>
      <c r="J175" s="117" t="s">
        <v>294</v>
      </c>
    </row>
    <row r="176" spans="1:10" x14ac:dyDescent="0.2">
      <c r="A176" s="165">
        <v>4</v>
      </c>
      <c r="B176" s="160" t="s">
        <v>9</v>
      </c>
      <c r="C176" s="84" t="s">
        <v>180</v>
      </c>
      <c r="D176" s="42">
        <v>1</v>
      </c>
      <c r="E176" s="57">
        <v>20</v>
      </c>
      <c r="F176" s="57"/>
      <c r="G176" s="57">
        <v>136.86000000000001</v>
      </c>
      <c r="H176" s="60">
        <v>93.488000000000014</v>
      </c>
      <c r="I176" s="52" t="s">
        <v>88</v>
      </c>
      <c r="J176" s="117" t="s">
        <v>294</v>
      </c>
    </row>
    <row r="177" spans="1:10" x14ac:dyDescent="0.2">
      <c r="A177" s="165">
        <v>4</v>
      </c>
      <c r="B177" s="160" t="s">
        <v>9</v>
      </c>
      <c r="C177" s="84" t="s">
        <v>166</v>
      </c>
      <c r="D177" s="42">
        <v>2</v>
      </c>
      <c r="E177" s="57">
        <v>28</v>
      </c>
      <c r="F177" s="57"/>
      <c r="G177" s="57">
        <v>85.47</v>
      </c>
      <c r="H177" s="60">
        <v>45.975999999999999</v>
      </c>
      <c r="I177" s="52" t="s">
        <v>88</v>
      </c>
      <c r="J177" s="117" t="s">
        <v>294</v>
      </c>
    </row>
    <row r="178" spans="1:10" x14ac:dyDescent="0.2">
      <c r="A178" s="165">
        <v>4</v>
      </c>
      <c r="B178" s="160" t="s">
        <v>9</v>
      </c>
      <c r="C178" s="84" t="s">
        <v>316</v>
      </c>
      <c r="D178" s="42">
        <v>1</v>
      </c>
      <c r="E178" s="57">
        <v>4</v>
      </c>
      <c r="F178" s="57">
        <v>10</v>
      </c>
      <c r="G178" s="57">
        <v>10</v>
      </c>
      <c r="H178" s="60">
        <f>G178-E178</f>
        <v>6</v>
      </c>
      <c r="I178" s="52" t="s">
        <v>2</v>
      </c>
      <c r="J178" s="56" t="s">
        <v>149</v>
      </c>
    </row>
    <row r="179" spans="1:10" x14ac:dyDescent="0.2">
      <c r="A179" s="165">
        <v>4</v>
      </c>
      <c r="B179" s="160" t="s">
        <v>9</v>
      </c>
      <c r="C179" s="84" t="s">
        <v>317</v>
      </c>
      <c r="D179" s="42">
        <v>2</v>
      </c>
      <c r="E179" s="57">
        <v>30</v>
      </c>
      <c r="F179" s="57"/>
      <c r="G179" s="57">
        <v>73.86</v>
      </c>
      <c r="H179" s="60">
        <v>35.088000000000001</v>
      </c>
      <c r="I179" s="52" t="s">
        <v>88</v>
      </c>
      <c r="J179" s="117" t="s">
        <v>294</v>
      </c>
    </row>
    <row r="180" spans="1:10" x14ac:dyDescent="0.2">
      <c r="A180" s="165">
        <v>4</v>
      </c>
      <c r="B180" s="160" t="s">
        <v>9</v>
      </c>
      <c r="C180" s="84" t="s">
        <v>318</v>
      </c>
      <c r="D180" s="42">
        <v>1</v>
      </c>
      <c r="E180" s="57">
        <v>40</v>
      </c>
      <c r="F180" s="57"/>
      <c r="G180" s="57">
        <v>71.55</v>
      </c>
      <c r="H180" s="60">
        <v>25.24</v>
      </c>
      <c r="I180" s="52" t="s">
        <v>88</v>
      </c>
      <c r="J180" s="117" t="s">
        <v>294</v>
      </c>
    </row>
    <row r="181" spans="1:10" x14ac:dyDescent="0.2">
      <c r="A181" s="165">
        <v>4</v>
      </c>
      <c r="B181" s="160" t="s">
        <v>9</v>
      </c>
      <c r="C181" s="84" t="s">
        <v>115</v>
      </c>
      <c r="D181" s="42">
        <v>2</v>
      </c>
      <c r="E181" s="57">
        <v>34</v>
      </c>
      <c r="F181" s="57"/>
      <c r="G181" s="57">
        <v>105.95</v>
      </c>
      <c r="H181" s="60">
        <v>57.56</v>
      </c>
      <c r="I181" s="52" t="s">
        <v>88</v>
      </c>
      <c r="J181" s="117" t="s">
        <v>294</v>
      </c>
    </row>
    <row r="182" spans="1:10" x14ac:dyDescent="0.2">
      <c r="A182" s="165">
        <v>4</v>
      </c>
      <c r="B182" s="160" t="s">
        <v>9</v>
      </c>
      <c r="C182" s="84" t="s">
        <v>67</v>
      </c>
      <c r="D182" s="42">
        <v>2</v>
      </c>
      <c r="E182" s="57">
        <v>30</v>
      </c>
      <c r="F182" s="57"/>
      <c r="G182" s="57">
        <v>84.66</v>
      </c>
      <c r="H182" s="60">
        <v>43.727999999999994</v>
      </c>
      <c r="I182" s="52" t="s">
        <v>88</v>
      </c>
      <c r="J182" s="117" t="s">
        <v>294</v>
      </c>
    </row>
    <row r="183" spans="1:10" x14ac:dyDescent="0.2">
      <c r="A183" s="165">
        <v>4</v>
      </c>
      <c r="B183" s="160" t="s">
        <v>9</v>
      </c>
      <c r="C183" s="84" t="s">
        <v>164</v>
      </c>
      <c r="D183" s="42">
        <v>1</v>
      </c>
      <c r="E183" s="57">
        <v>25</v>
      </c>
      <c r="F183" s="57">
        <v>50</v>
      </c>
      <c r="G183" s="57">
        <v>50</v>
      </c>
      <c r="H183" s="60">
        <f>G183-E183</f>
        <v>25</v>
      </c>
      <c r="I183" s="52" t="s">
        <v>88</v>
      </c>
      <c r="J183" s="56" t="s">
        <v>149</v>
      </c>
    </row>
    <row r="184" spans="1:10" x14ac:dyDescent="0.2">
      <c r="A184" s="165">
        <v>4</v>
      </c>
      <c r="B184" s="160" t="s">
        <v>9</v>
      </c>
      <c r="C184" s="84" t="s">
        <v>165</v>
      </c>
      <c r="D184" s="42">
        <v>1</v>
      </c>
      <c r="E184" s="57">
        <v>25</v>
      </c>
      <c r="F184" s="57">
        <v>40</v>
      </c>
      <c r="G184" s="57">
        <v>40</v>
      </c>
      <c r="H184" s="60">
        <f>G184-E184</f>
        <v>15</v>
      </c>
      <c r="I184" s="52" t="s">
        <v>88</v>
      </c>
      <c r="J184" s="56" t="s">
        <v>149</v>
      </c>
    </row>
    <row r="185" spans="1:10" x14ac:dyDescent="0.2">
      <c r="A185" s="165">
        <v>4</v>
      </c>
      <c r="B185" s="160" t="s">
        <v>9</v>
      </c>
      <c r="C185" s="84" t="s">
        <v>116</v>
      </c>
      <c r="D185" s="42">
        <v>1</v>
      </c>
      <c r="E185" s="57">
        <v>16</v>
      </c>
      <c r="F185" s="57"/>
      <c r="G185" s="57">
        <v>37.25</v>
      </c>
      <c r="H185" s="60">
        <v>17</v>
      </c>
      <c r="I185" s="52" t="s">
        <v>88</v>
      </c>
      <c r="J185" s="117" t="s">
        <v>294</v>
      </c>
    </row>
    <row r="186" spans="1:10" x14ac:dyDescent="0.2">
      <c r="A186" s="165">
        <v>4</v>
      </c>
      <c r="B186" s="160" t="s">
        <v>9</v>
      </c>
      <c r="C186" s="84" t="s">
        <v>103</v>
      </c>
      <c r="D186" s="42">
        <v>7</v>
      </c>
      <c r="E186" s="57">
        <v>350</v>
      </c>
      <c r="F186" s="57"/>
      <c r="G186" s="57">
        <v>579.28</v>
      </c>
      <c r="H186" s="60">
        <f>G186-E186</f>
        <v>229.27999999999997</v>
      </c>
      <c r="I186" s="52" t="s">
        <v>88</v>
      </c>
      <c r="J186" s="117" t="s">
        <v>294</v>
      </c>
    </row>
    <row r="187" spans="1:10" x14ac:dyDescent="0.2">
      <c r="A187" s="165">
        <v>4</v>
      </c>
      <c r="B187" s="160" t="s">
        <v>9</v>
      </c>
      <c r="C187" s="84" t="s">
        <v>113</v>
      </c>
      <c r="D187" s="42">
        <v>1</v>
      </c>
      <c r="E187" s="57">
        <v>7.5</v>
      </c>
      <c r="F187" s="57">
        <v>20</v>
      </c>
      <c r="G187" s="57">
        <v>20</v>
      </c>
      <c r="H187" s="60">
        <f>G187-E187</f>
        <v>12.5</v>
      </c>
      <c r="I187" s="52" t="s">
        <v>88</v>
      </c>
      <c r="J187" s="56" t="s">
        <v>149</v>
      </c>
    </row>
    <row r="188" spans="1:10" x14ac:dyDescent="0.2">
      <c r="A188" s="165">
        <v>4</v>
      </c>
      <c r="B188" s="160" t="s">
        <v>9</v>
      </c>
      <c r="C188" s="84" t="s">
        <v>69</v>
      </c>
      <c r="D188" s="42">
        <v>1</v>
      </c>
      <c r="E188" s="57">
        <v>75</v>
      </c>
      <c r="F188" s="57"/>
      <c r="G188" s="57">
        <v>161.19999999999999</v>
      </c>
      <c r="H188" s="60">
        <v>68.959999999999994</v>
      </c>
      <c r="I188" s="52" t="s">
        <v>88</v>
      </c>
      <c r="J188" s="117" t="s">
        <v>294</v>
      </c>
    </row>
    <row r="189" spans="1:10" x14ac:dyDescent="0.2">
      <c r="A189" s="165">
        <v>4</v>
      </c>
      <c r="B189" s="160" t="s">
        <v>9</v>
      </c>
      <c r="C189" s="84" t="s">
        <v>163</v>
      </c>
      <c r="D189" s="42">
        <v>1</v>
      </c>
      <c r="E189" s="57">
        <v>40</v>
      </c>
      <c r="F189" s="57"/>
      <c r="G189" s="57">
        <v>116.85</v>
      </c>
      <c r="H189" s="60">
        <v>61.48</v>
      </c>
      <c r="I189" s="52" t="s">
        <v>88</v>
      </c>
      <c r="J189" s="117" t="s">
        <v>294</v>
      </c>
    </row>
    <row r="190" spans="1:10" x14ac:dyDescent="0.2">
      <c r="A190" s="165">
        <v>4</v>
      </c>
      <c r="B190" s="160" t="s">
        <v>9</v>
      </c>
      <c r="C190" s="84" t="s">
        <v>112</v>
      </c>
      <c r="D190" s="42">
        <v>1</v>
      </c>
      <c r="E190" s="57">
        <v>10</v>
      </c>
      <c r="F190" s="57">
        <v>25</v>
      </c>
      <c r="G190" s="57">
        <v>25</v>
      </c>
      <c r="H190" s="60">
        <f t="shared" ref="H190:H253" si="5">G190-E190</f>
        <v>15</v>
      </c>
      <c r="I190" s="52" t="s">
        <v>2</v>
      </c>
      <c r="J190" s="56" t="s">
        <v>149</v>
      </c>
    </row>
    <row r="191" spans="1:10" x14ac:dyDescent="0.2">
      <c r="A191" s="165">
        <v>5</v>
      </c>
      <c r="B191" s="160" t="s">
        <v>10</v>
      </c>
      <c r="C191" s="84" t="s">
        <v>305</v>
      </c>
      <c r="D191" s="42">
        <v>1</v>
      </c>
      <c r="E191" s="57">
        <v>10</v>
      </c>
      <c r="F191" s="57">
        <v>20</v>
      </c>
      <c r="G191" s="57">
        <v>20</v>
      </c>
      <c r="H191" s="60">
        <f t="shared" si="5"/>
        <v>10</v>
      </c>
      <c r="I191" s="52" t="s">
        <v>88</v>
      </c>
      <c r="J191" s="56" t="s">
        <v>149</v>
      </c>
    </row>
    <row r="192" spans="1:10" x14ac:dyDescent="0.2">
      <c r="A192" s="165">
        <v>5</v>
      </c>
      <c r="B192" s="160" t="s">
        <v>10</v>
      </c>
      <c r="C192" s="84" t="s">
        <v>307</v>
      </c>
      <c r="D192" s="42">
        <v>1</v>
      </c>
      <c r="E192" s="57">
        <v>44</v>
      </c>
      <c r="F192" s="57">
        <v>60</v>
      </c>
      <c r="G192" s="57">
        <v>60</v>
      </c>
      <c r="H192" s="60">
        <f t="shared" si="5"/>
        <v>16</v>
      </c>
      <c r="I192" s="52" t="s">
        <v>88</v>
      </c>
      <c r="J192" s="56" t="s">
        <v>149</v>
      </c>
    </row>
    <row r="193" spans="1:10" x14ac:dyDescent="0.2">
      <c r="A193" s="165">
        <v>5</v>
      </c>
      <c r="B193" s="160" t="s">
        <v>10</v>
      </c>
      <c r="C193" s="41" t="s">
        <v>125</v>
      </c>
      <c r="D193" s="42">
        <v>2</v>
      </c>
      <c r="E193" s="43">
        <v>3</v>
      </c>
      <c r="F193" s="41"/>
      <c r="G193" s="41">
        <v>5.12</v>
      </c>
      <c r="H193" s="60">
        <f t="shared" si="5"/>
        <v>2.12</v>
      </c>
      <c r="I193" s="52" t="s">
        <v>88</v>
      </c>
      <c r="J193" s="117" t="s">
        <v>294</v>
      </c>
    </row>
    <row r="194" spans="1:10" x14ac:dyDescent="0.2">
      <c r="A194" s="165">
        <v>5</v>
      </c>
      <c r="B194" s="160" t="s">
        <v>10</v>
      </c>
      <c r="C194" s="84" t="s">
        <v>168</v>
      </c>
      <c r="D194" s="42">
        <v>1</v>
      </c>
      <c r="E194" s="57">
        <v>10</v>
      </c>
      <c r="F194" s="57">
        <v>20</v>
      </c>
      <c r="G194" s="57">
        <v>20</v>
      </c>
      <c r="H194" s="60">
        <f t="shared" si="5"/>
        <v>10</v>
      </c>
      <c r="I194" s="52" t="s">
        <v>88</v>
      </c>
      <c r="J194" s="56" t="s">
        <v>149</v>
      </c>
    </row>
    <row r="195" spans="1:10" x14ac:dyDescent="0.2">
      <c r="A195" s="165">
        <v>5</v>
      </c>
      <c r="B195" s="160" t="s">
        <v>10</v>
      </c>
      <c r="C195" s="84" t="s">
        <v>183</v>
      </c>
      <c r="D195" s="42">
        <v>1</v>
      </c>
      <c r="E195" s="57">
        <v>180</v>
      </c>
      <c r="F195" s="57">
        <v>250</v>
      </c>
      <c r="G195" s="57">
        <v>250</v>
      </c>
      <c r="H195" s="60">
        <f t="shared" si="5"/>
        <v>70</v>
      </c>
      <c r="I195" s="52" t="s">
        <v>88</v>
      </c>
      <c r="J195" s="56" t="s">
        <v>149</v>
      </c>
    </row>
    <row r="196" spans="1:10" x14ac:dyDescent="0.2">
      <c r="A196" s="165">
        <v>5</v>
      </c>
      <c r="B196" s="160" t="s">
        <v>10</v>
      </c>
      <c r="C196" s="84" t="s">
        <v>183</v>
      </c>
      <c r="D196" s="42">
        <v>1</v>
      </c>
      <c r="E196" s="57">
        <v>160</v>
      </c>
      <c r="F196" s="57">
        <v>250</v>
      </c>
      <c r="G196" s="57">
        <v>250</v>
      </c>
      <c r="H196" s="60">
        <f t="shared" si="5"/>
        <v>90</v>
      </c>
      <c r="I196" s="52" t="s">
        <v>88</v>
      </c>
      <c r="J196" s="56" t="s">
        <v>149</v>
      </c>
    </row>
    <row r="197" spans="1:10" x14ac:dyDescent="0.2">
      <c r="A197" s="165">
        <v>5</v>
      </c>
      <c r="B197" s="160" t="s">
        <v>10</v>
      </c>
      <c r="C197" s="84" t="s">
        <v>183</v>
      </c>
      <c r="D197" s="42">
        <v>1</v>
      </c>
      <c r="E197" s="57">
        <v>160</v>
      </c>
      <c r="F197" s="57">
        <v>240</v>
      </c>
      <c r="G197" s="57">
        <v>240</v>
      </c>
      <c r="H197" s="60">
        <f t="shared" si="5"/>
        <v>80</v>
      </c>
      <c r="I197" s="52" t="s">
        <v>88</v>
      </c>
      <c r="J197" s="56" t="s">
        <v>149</v>
      </c>
    </row>
    <row r="198" spans="1:10" x14ac:dyDescent="0.2">
      <c r="A198" s="165">
        <v>5</v>
      </c>
      <c r="B198" s="160" t="s">
        <v>10</v>
      </c>
      <c r="C198" s="41" t="s">
        <v>126</v>
      </c>
      <c r="D198" s="42">
        <v>1</v>
      </c>
      <c r="E198" s="43">
        <v>5</v>
      </c>
      <c r="F198" s="41"/>
      <c r="G198" s="41">
        <v>9.3000000000000007</v>
      </c>
      <c r="H198" s="60">
        <f t="shared" si="5"/>
        <v>4.3000000000000007</v>
      </c>
      <c r="I198" s="52" t="s">
        <v>88</v>
      </c>
      <c r="J198" s="117" t="s">
        <v>294</v>
      </c>
    </row>
    <row r="199" spans="1:10" x14ac:dyDescent="0.2">
      <c r="A199" s="165">
        <v>5</v>
      </c>
      <c r="B199" s="160" t="s">
        <v>10</v>
      </c>
      <c r="C199" s="41" t="s">
        <v>127</v>
      </c>
      <c r="D199" s="42">
        <v>1</v>
      </c>
      <c r="E199" s="43">
        <v>5</v>
      </c>
      <c r="F199" s="41"/>
      <c r="G199" s="41">
        <v>17.579999999999998</v>
      </c>
      <c r="H199" s="60">
        <f t="shared" si="5"/>
        <v>12.579999999999998</v>
      </c>
      <c r="I199" s="52" t="s">
        <v>88</v>
      </c>
      <c r="J199" s="117" t="s">
        <v>294</v>
      </c>
    </row>
    <row r="200" spans="1:10" x14ac:dyDescent="0.2">
      <c r="A200" s="165">
        <v>5</v>
      </c>
      <c r="B200" s="160" t="s">
        <v>10</v>
      </c>
      <c r="C200" s="84" t="s">
        <v>139</v>
      </c>
      <c r="D200" s="42">
        <v>1</v>
      </c>
      <c r="E200" s="43">
        <v>5</v>
      </c>
      <c r="F200" s="41"/>
      <c r="G200" s="41">
        <v>16.12</v>
      </c>
      <c r="H200" s="60">
        <f t="shared" si="5"/>
        <v>11.120000000000001</v>
      </c>
      <c r="I200" s="52" t="s">
        <v>88</v>
      </c>
      <c r="J200" s="117" t="s">
        <v>294</v>
      </c>
    </row>
    <row r="201" spans="1:10" x14ac:dyDescent="0.2">
      <c r="A201" s="165">
        <v>5</v>
      </c>
      <c r="B201" s="160" t="s">
        <v>10</v>
      </c>
      <c r="C201" s="84" t="s">
        <v>200</v>
      </c>
      <c r="D201" s="42">
        <v>1</v>
      </c>
      <c r="E201" s="57">
        <v>38</v>
      </c>
      <c r="F201" s="57">
        <v>60</v>
      </c>
      <c r="G201" s="57">
        <v>60</v>
      </c>
      <c r="H201" s="60">
        <f t="shared" si="5"/>
        <v>22</v>
      </c>
      <c r="I201" s="52" t="s">
        <v>88</v>
      </c>
      <c r="J201" s="56" t="s">
        <v>149</v>
      </c>
    </row>
    <row r="202" spans="1:10" x14ac:dyDescent="0.2">
      <c r="A202" s="165">
        <v>5</v>
      </c>
      <c r="B202" s="160" t="s">
        <v>10</v>
      </c>
      <c r="C202" s="41" t="s">
        <v>128</v>
      </c>
      <c r="D202" s="42">
        <v>1</v>
      </c>
      <c r="E202" s="43">
        <v>10</v>
      </c>
      <c r="F202" s="41"/>
      <c r="G202" s="41">
        <v>19.72</v>
      </c>
      <c r="H202" s="60">
        <f t="shared" si="5"/>
        <v>9.7199999999999989</v>
      </c>
      <c r="I202" s="52" t="s">
        <v>88</v>
      </c>
      <c r="J202" s="117" t="s">
        <v>294</v>
      </c>
    </row>
    <row r="203" spans="1:10" x14ac:dyDescent="0.2">
      <c r="A203" s="165">
        <v>5</v>
      </c>
      <c r="B203" s="160" t="s">
        <v>10</v>
      </c>
      <c r="C203" s="41" t="s">
        <v>129</v>
      </c>
      <c r="D203" s="42">
        <v>1</v>
      </c>
      <c r="E203" s="43">
        <v>15</v>
      </c>
      <c r="F203" s="41"/>
      <c r="G203" s="41">
        <v>46.77</v>
      </c>
      <c r="H203" s="60">
        <f t="shared" si="5"/>
        <v>31.770000000000003</v>
      </c>
      <c r="I203" s="52" t="s">
        <v>88</v>
      </c>
      <c r="J203" s="117" t="s">
        <v>294</v>
      </c>
    </row>
    <row r="204" spans="1:10" x14ac:dyDescent="0.2">
      <c r="A204" s="165">
        <v>5</v>
      </c>
      <c r="B204" s="160" t="s">
        <v>10</v>
      </c>
      <c r="C204" s="41" t="s">
        <v>130</v>
      </c>
      <c r="D204" s="42">
        <v>1</v>
      </c>
      <c r="E204" s="43">
        <v>25</v>
      </c>
      <c r="F204" s="41"/>
      <c r="G204" s="41">
        <v>61.15</v>
      </c>
      <c r="H204" s="60">
        <f t="shared" si="5"/>
        <v>36.15</v>
      </c>
      <c r="I204" s="52" t="s">
        <v>88</v>
      </c>
      <c r="J204" s="117" t="s">
        <v>294</v>
      </c>
    </row>
    <row r="205" spans="1:10" x14ac:dyDescent="0.2">
      <c r="A205" s="165">
        <v>5</v>
      </c>
      <c r="B205" s="160" t="s">
        <v>10</v>
      </c>
      <c r="C205" s="84" t="s">
        <v>228</v>
      </c>
      <c r="D205" s="42">
        <v>1</v>
      </c>
      <c r="E205" s="43">
        <v>5</v>
      </c>
      <c r="F205" s="41"/>
      <c r="G205" s="41">
        <v>13.02</v>
      </c>
      <c r="H205" s="60">
        <f t="shared" si="5"/>
        <v>8.02</v>
      </c>
      <c r="I205" s="52" t="s">
        <v>88</v>
      </c>
      <c r="J205" s="117" t="s">
        <v>294</v>
      </c>
    </row>
    <row r="206" spans="1:10" x14ac:dyDescent="0.2">
      <c r="A206" s="165">
        <v>5</v>
      </c>
      <c r="B206" s="160" t="s">
        <v>10</v>
      </c>
      <c r="C206" s="84" t="s">
        <v>236</v>
      </c>
      <c r="D206" s="42">
        <v>4</v>
      </c>
      <c r="E206" s="43">
        <v>11.2</v>
      </c>
      <c r="F206" s="41"/>
      <c r="G206" s="41">
        <v>51.69</v>
      </c>
      <c r="H206" s="60">
        <f t="shared" si="5"/>
        <v>40.489999999999995</v>
      </c>
      <c r="I206" s="52" t="s">
        <v>88</v>
      </c>
      <c r="J206" s="117" t="s">
        <v>294</v>
      </c>
    </row>
    <row r="207" spans="1:10" x14ac:dyDescent="0.2">
      <c r="A207" s="165">
        <v>5</v>
      </c>
      <c r="B207" s="160" t="s">
        <v>10</v>
      </c>
      <c r="C207" s="84" t="s">
        <v>180</v>
      </c>
      <c r="D207" s="42">
        <v>1</v>
      </c>
      <c r="E207" s="57">
        <v>23</v>
      </c>
      <c r="F207" s="57">
        <v>45</v>
      </c>
      <c r="G207" s="57">
        <v>45</v>
      </c>
      <c r="H207" s="60">
        <f t="shared" si="5"/>
        <v>22</v>
      </c>
      <c r="I207" s="52" t="s">
        <v>88</v>
      </c>
      <c r="J207" s="56" t="s">
        <v>149</v>
      </c>
    </row>
    <row r="208" spans="1:10" x14ac:dyDescent="0.2">
      <c r="A208" s="165">
        <v>5</v>
      </c>
      <c r="B208" s="160" t="s">
        <v>10</v>
      </c>
      <c r="C208" s="84" t="s">
        <v>180</v>
      </c>
      <c r="D208" s="42">
        <v>1</v>
      </c>
      <c r="E208" s="57">
        <v>40</v>
      </c>
      <c r="F208" s="57">
        <v>80</v>
      </c>
      <c r="G208" s="57">
        <v>80</v>
      </c>
      <c r="H208" s="60">
        <f t="shared" si="5"/>
        <v>40</v>
      </c>
      <c r="I208" s="52" t="s">
        <v>88</v>
      </c>
      <c r="J208" s="56" t="s">
        <v>149</v>
      </c>
    </row>
    <row r="209" spans="1:10" x14ac:dyDescent="0.2">
      <c r="A209" s="165">
        <v>5</v>
      </c>
      <c r="B209" s="160" t="s">
        <v>10</v>
      </c>
      <c r="C209" s="84" t="s">
        <v>321</v>
      </c>
      <c r="D209" s="42">
        <v>1</v>
      </c>
      <c r="E209" s="43">
        <v>0</v>
      </c>
      <c r="F209" s="41"/>
      <c r="G209" s="41">
        <v>10.24</v>
      </c>
      <c r="H209" s="60">
        <f t="shared" si="5"/>
        <v>10.24</v>
      </c>
      <c r="I209" s="52" t="s">
        <v>88</v>
      </c>
      <c r="J209" s="117" t="s">
        <v>294</v>
      </c>
    </row>
    <row r="210" spans="1:10" x14ac:dyDescent="0.2">
      <c r="A210" s="165">
        <v>5</v>
      </c>
      <c r="B210" s="160" t="s">
        <v>10</v>
      </c>
      <c r="C210" s="84" t="s">
        <v>321</v>
      </c>
      <c r="D210" s="42">
        <v>1</v>
      </c>
      <c r="E210" s="43">
        <v>0</v>
      </c>
      <c r="F210" s="41"/>
      <c r="G210" s="41">
        <v>34.770000000000003</v>
      </c>
      <c r="H210" s="60">
        <f t="shared" si="5"/>
        <v>34.770000000000003</v>
      </c>
      <c r="I210" s="52" t="s">
        <v>88</v>
      </c>
      <c r="J210" s="117" t="s">
        <v>294</v>
      </c>
    </row>
    <row r="211" spans="1:10" x14ac:dyDescent="0.2">
      <c r="A211" s="165">
        <v>5</v>
      </c>
      <c r="B211" s="160" t="s">
        <v>10</v>
      </c>
      <c r="C211" s="41" t="s">
        <v>131</v>
      </c>
      <c r="D211" s="42">
        <v>3</v>
      </c>
      <c r="E211" s="43">
        <v>3</v>
      </c>
      <c r="F211" s="41"/>
      <c r="G211" s="41">
        <v>5.76</v>
      </c>
      <c r="H211" s="60">
        <f t="shared" si="5"/>
        <v>2.76</v>
      </c>
      <c r="I211" s="52" t="s">
        <v>88</v>
      </c>
      <c r="J211" s="117" t="s">
        <v>294</v>
      </c>
    </row>
    <row r="212" spans="1:10" x14ac:dyDescent="0.2">
      <c r="A212" s="165">
        <v>5</v>
      </c>
      <c r="B212" s="160" t="s">
        <v>10</v>
      </c>
      <c r="C212" s="84" t="s">
        <v>191</v>
      </c>
      <c r="D212" s="42">
        <v>1</v>
      </c>
      <c r="E212" s="57">
        <v>50</v>
      </c>
      <c r="F212" s="57">
        <v>70</v>
      </c>
      <c r="G212" s="57">
        <v>70</v>
      </c>
      <c r="H212" s="60">
        <f t="shared" si="5"/>
        <v>20</v>
      </c>
      <c r="I212" s="52" t="s">
        <v>88</v>
      </c>
      <c r="J212" s="56" t="s">
        <v>149</v>
      </c>
    </row>
    <row r="213" spans="1:10" x14ac:dyDescent="0.2">
      <c r="A213" s="165">
        <v>5</v>
      </c>
      <c r="B213" s="160" t="s">
        <v>10</v>
      </c>
      <c r="C213" s="84" t="s">
        <v>316</v>
      </c>
      <c r="D213" s="42">
        <v>1</v>
      </c>
      <c r="E213" s="57">
        <v>5</v>
      </c>
      <c r="F213" s="57">
        <v>10</v>
      </c>
      <c r="G213" s="57">
        <v>10</v>
      </c>
      <c r="H213" s="60">
        <f t="shared" si="5"/>
        <v>5</v>
      </c>
      <c r="I213" s="52" t="s">
        <v>88</v>
      </c>
      <c r="J213" s="56" t="s">
        <v>149</v>
      </c>
    </row>
    <row r="214" spans="1:10" x14ac:dyDescent="0.2">
      <c r="A214" s="165">
        <v>5</v>
      </c>
      <c r="B214" s="160" t="s">
        <v>10</v>
      </c>
      <c r="C214" s="54" t="s">
        <v>158</v>
      </c>
      <c r="D214" s="42">
        <v>1</v>
      </c>
      <c r="E214" s="57">
        <v>0</v>
      </c>
      <c r="F214" s="57">
        <v>80</v>
      </c>
      <c r="G214" s="57">
        <v>80</v>
      </c>
      <c r="H214" s="60">
        <f t="shared" si="5"/>
        <v>80</v>
      </c>
      <c r="I214" s="52" t="s">
        <v>88</v>
      </c>
      <c r="J214" s="56" t="s">
        <v>149</v>
      </c>
    </row>
    <row r="215" spans="1:10" x14ac:dyDescent="0.2">
      <c r="A215" s="165">
        <v>5</v>
      </c>
      <c r="B215" s="160" t="s">
        <v>10</v>
      </c>
      <c r="C215" s="84" t="s">
        <v>318</v>
      </c>
      <c r="D215" s="42">
        <v>2</v>
      </c>
      <c r="E215" s="43">
        <v>72</v>
      </c>
      <c r="F215" s="41"/>
      <c r="G215" s="41">
        <v>191.85</v>
      </c>
      <c r="H215" s="60">
        <f t="shared" si="5"/>
        <v>119.85</v>
      </c>
      <c r="I215" s="52" t="s">
        <v>88</v>
      </c>
      <c r="J215" s="117" t="s">
        <v>294</v>
      </c>
    </row>
    <row r="216" spans="1:10" x14ac:dyDescent="0.2">
      <c r="A216" s="165">
        <v>5</v>
      </c>
      <c r="B216" s="160" t="s">
        <v>10</v>
      </c>
      <c r="C216" s="41" t="s">
        <v>132</v>
      </c>
      <c r="D216" s="42">
        <v>1</v>
      </c>
      <c r="E216" s="43">
        <v>5</v>
      </c>
      <c r="F216" s="41"/>
      <c r="G216" s="41">
        <v>24.42</v>
      </c>
      <c r="H216" s="60">
        <f t="shared" si="5"/>
        <v>19.420000000000002</v>
      </c>
      <c r="I216" s="52" t="s">
        <v>88</v>
      </c>
      <c r="J216" s="117" t="s">
        <v>294</v>
      </c>
    </row>
    <row r="217" spans="1:10" x14ac:dyDescent="0.2">
      <c r="A217" s="165">
        <v>5</v>
      </c>
      <c r="B217" s="160" t="s">
        <v>10</v>
      </c>
      <c r="C217" s="41" t="s">
        <v>133</v>
      </c>
      <c r="D217" s="42">
        <v>1</v>
      </c>
      <c r="E217" s="43">
        <v>5</v>
      </c>
      <c r="F217" s="41"/>
      <c r="G217" s="41">
        <v>14.47</v>
      </c>
      <c r="H217" s="60">
        <f t="shared" si="5"/>
        <v>9.4700000000000006</v>
      </c>
      <c r="I217" s="52" t="s">
        <v>88</v>
      </c>
      <c r="J217" s="117" t="s">
        <v>294</v>
      </c>
    </row>
    <row r="218" spans="1:10" x14ac:dyDescent="0.2">
      <c r="A218" s="165">
        <v>5</v>
      </c>
      <c r="B218" s="160" t="s">
        <v>10</v>
      </c>
      <c r="C218" s="84" t="s">
        <v>167</v>
      </c>
      <c r="D218" s="42">
        <v>1</v>
      </c>
      <c r="E218" s="57">
        <v>65</v>
      </c>
      <c r="F218" s="57">
        <v>100</v>
      </c>
      <c r="G218" s="57">
        <v>100</v>
      </c>
      <c r="H218" s="60">
        <f t="shared" si="5"/>
        <v>35</v>
      </c>
      <c r="I218" s="52" t="s">
        <v>88</v>
      </c>
      <c r="J218" s="56" t="s">
        <v>149</v>
      </c>
    </row>
    <row r="219" spans="1:10" x14ac:dyDescent="0.2">
      <c r="A219" s="165">
        <v>5</v>
      </c>
      <c r="B219" s="160" t="s">
        <v>10</v>
      </c>
      <c r="C219" s="84" t="s">
        <v>124</v>
      </c>
      <c r="D219" s="42">
        <v>1</v>
      </c>
      <c r="E219" s="57">
        <v>20</v>
      </c>
      <c r="F219" s="57">
        <v>30</v>
      </c>
      <c r="G219" s="57">
        <v>30</v>
      </c>
      <c r="H219" s="60">
        <f t="shared" si="5"/>
        <v>10</v>
      </c>
      <c r="I219" s="52" t="s">
        <v>88</v>
      </c>
      <c r="J219" s="56" t="s">
        <v>149</v>
      </c>
    </row>
    <row r="220" spans="1:10" x14ac:dyDescent="0.2">
      <c r="A220" s="165">
        <v>5</v>
      </c>
      <c r="B220" s="160" t="s">
        <v>10</v>
      </c>
      <c r="C220" s="84" t="s">
        <v>114</v>
      </c>
      <c r="D220" s="42">
        <v>1</v>
      </c>
      <c r="E220" s="57">
        <v>35</v>
      </c>
      <c r="F220" s="57">
        <v>70</v>
      </c>
      <c r="G220" s="57">
        <v>70</v>
      </c>
      <c r="H220" s="60">
        <f t="shared" si="5"/>
        <v>35</v>
      </c>
      <c r="I220" s="52" t="s">
        <v>88</v>
      </c>
      <c r="J220" s="56" t="s">
        <v>149</v>
      </c>
    </row>
    <row r="221" spans="1:10" x14ac:dyDescent="0.2">
      <c r="A221" s="165">
        <v>5</v>
      </c>
      <c r="B221" s="160" t="s">
        <v>10</v>
      </c>
      <c r="C221" s="84" t="s">
        <v>254</v>
      </c>
      <c r="D221" s="42">
        <v>1</v>
      </c>
      <c r="E221" s="43">
        <v>2.5</v>
      </c>
      <c r="F221" s="41"/>
      <c r="G221" s="41">
        <v>5.12</v>
      </c>
      <c r="H221" s="60">
        <f t="shared" si="5"/>
        <v>2.62</v>
      </c>
      <c r="I221" s="52" t="s">
        <v>88</v>
      </c>
      <c r="J221" s="117" t="s">
        <v>294</v>
      </c>
    </row>
    <row r="222" spans="1:10" x14ac:dyDescent="0.2">
      <c r="A222" s="165">
        <v>5</v>
      </c>
      <c r="B222" s="160" t="s">
        <v>10</v>
      </c>
      <c r="C222" s="41" t="s">
        <v>67</v>
      </c>
      <c r="D222" s="42">
        <v>12</v>
      </c>
      <c r="E222" s="43">
        <v>180</v>
      </c>
      <c r="F222" s="41"/>
      <c r="G222" s="41">
        <v>458.94</v>
      </c>
      <c r="H222" s="60">
        <f t="shared" si="5"/>
        <v>278.94</v>
      </c>
      <c r="I222" s="52" t="s">
        <v>88</v>
      </c>
      <c r="J222" s="117" t="s">
        <v>294</v>
      </c>
    </row>
    <row r="223" spans="1:10" x14ac:dyDescent="0.2">
      <c r="A223" s="165">
        <v>5</v>
      </c>
      <c r="B223" s="160" t="s">
        <v>10</v>
      </c>
      <c r="C223" s="84" t="s">
        <v>141</v>
      </c>
      <c r="D223" s="42">
        <v>1</v>
      </c>
      <c r="E223" s="57">
        <v>16.5</v>
      </c>
      <c r="F223" s="57">
        <v>35</v>
      </c>
      <c r="G223" s="57">
        <v>35</v>
      </c>
      <c r="H223" s="60">
        <f t="shared" si="5"/>
        <v>18.5</v>
      </c>
      <c r="I223" s="52" t="s">
        <v>88</v>
      </c>
      <c r="J223" s="56" t="s">
        <v>149</v>
      </c>
    </row>
    <row r="224" spans="1:10" x14ac:dyDescent="0.2">
      <c r="A224" s="165">
        <v>5</v>
      </c>
      <c r="B224" s="160" t="s">
        <v>10</v>
      </c>
      <c r="C224" s="84" t="s">
        <v>117</v>
      </c>
      <c r="D224" s="42">
        <v>1</v>
      </c>
      <c r="E224" s="57">
        <v>9</v>
      </c>
      <c r="F224" s="57">
        <v>20</v>
      </c>
      <c r="G224" s="57">
        <v>20</v>
      </c>
      <c r="H224" s="60">
        <f t="shared" si="5"/>
        <v>11</v>
      </c>
      <c r="I224" s="52" t="s">
        <v>88</v>
      </c>
      <c r="J224" s="56" t="s">
        <v>149</v>
      </c>
    </row>
    <row r="225" spans="1:10" x14ac:dyDescent="0.2">
      <c r="A225" s="165">
        <v>5</v>
      </c>
      <c r="B225" s="160" t="s">
        <v>10</v>
      </c>
      <c r="C225" s="84" t="s">
        <v>117</v>
      </c>
      <c r="D225" s="42">
        <v>1</v>
      </c>
      <c r="E225" s="57">
        <v>9</v>
      </c>
      <c r="F225" s="57">
        <v>20</v>
      </c>
      <c r="G225" s="57">
        <v>20</v>
      </c>
      <c r="H225" s="60">
        <f t="shared" si="5"/>
        <v>11</v>
      </c>
      <c r="I225" s="52" t="s">
        <v>88</v>
      </c>
      <c r="J225" s="56" t="s">
        <v>149</v>
      </c>
    </row>
    <row r="226" spans="1:10" x14ac:dyDescent="0.2">
      <c r="A226" s="165">
        <v>5</v>
      </c>
      <c r="B226" s="160" t="s">
        <v>10</v>
      </c>
      <c r="C226" s="84" t="s">
        <v>98</v>
      </c>
      <c r="D226" s="42">
        <v>1</v>
      </c>
      <c r="E226" s="57">
        <v>14</v>
      </c>
      <c r="F226" s="57">
        <v>30</v>
      </c>
      <c r="G226" s="57">
        <v>30</v>
      </c>
      <c r="H226" s="60">
        <f t="shared" si="5"/>
        <v>16</v>
      </c>
      <c r="I226" s="52" t="s">
        <v>88</v>
      </c>
      <c r="J226" s="56" t="s">
        <v>149</v>
      </c>
    </row>
    <row r="227" spans="1:10" x14ac:dyDescent="0.2">
      <c r="A227" s="165">
        <v>5</v>
      </c>
      <c r="B227" s="160" t="s">
        <v>10</v>
      </c>
      <c r="C227" s="41" t="s">
        <v>98</v>
      </c>
      <c r="D227" s="42">
        <v>1</v>
      </c>
      <c r="E227" s="43">
        <v>39</v>
      </c>
      <c r="F227" s="41"/>
      <c r="G227" s="41">
        <v>80.849999999999994</v>
      </c>
      <c r="H227" s="60">
        <f t="shared" si="5"/>
        <v>41.849999999999994</v>
      </c>
      <c r="I227" s="52" t="s">
        <v>88</v>
      </c>
      <c r="J227" s="117" t="s">
        <v>294</v>
      </c>
    </row>
    <row r="228" spans="1:10" x14ac:dyDescent="0.2">
      <c r="A228" s="165">
        <v>5</v>
      </c>
      <c r="B228" s="160" t="s">
        <v>10</v>
      </c>
      <c r="C228" s="84" t="s">
        <v>113</v>
      </c>
      <c r="D228" s="42">
        <v>1</v>
      </c>
      <c r="E228" s="57">
        <v>8</v>
      </c>
      <c r="F228" s="57">
        <v>20</v>
      </c>
      <c r="G228" s="57">
        <v>20</v>
      </c>
      <c r="H228" s="60">
        <f t="shared" si="5"/>
        <v>12</v>
      </c>
      <c r="I228" s="52" t="s">
        <v>88</v>
      </c>
      <c r="J228" s="56" t="s">
        <v>149</v>
      </c>
    </row>
    <row r="229" spans="1:10" x14ac:dyDescent="0.2">
      <c r="A229" s="165">
        <v>5</v>
      </c>
      <c r="B229" s="160" t="s">
        <v>10</v>
      </c>
      <c r="C229" s="84" t="s">
        <v>113</v>
      </c>
      <c r="D229" s="42">
        <v>1</v>
      </c>
      <c r="E229" s="43">
        <v>7</v>
      </c>
      <c r="F229" s="41"/>
      <c r="G229" s="41">
        <v>19.53</v>
      </c>
      <c r="H229" s="60">
        <f t="shared" si="5"/>
        <v>12.530000000000001</v>
      </c>
      <c r="I229" s="52" t="s">
        <v>88</v>
      </c>
      <c r="J229" s="117" t="s">
        <v>294</v>
      </c>
    </row>
    <row r="230" spans="1:10" x14ac:dyDescent="0.2">
      <c r="A230" s="165">
        <v>5</v>
      </c>
      <c r="B230" s="160" t="s">
        <v>10</v>
      </c>
      <c r="C230" s="41" t="s">
        <v>69</v>
      </c>
      <c r="D230" s="42">
        <v>2</v>
      </c>
      <c r="E230" s="43">
        <v>150</v>
      </c>
      <c r="F230" s="41"/>
      <c r="G230" s="41">
        <v>292.39999999999998</v>
      </c>
      <c r="H230" s="60">
        <f t="shared" si="5"/>
        <v>142.39999999999998</v>
      </c>
      <c r="I230" s="52" t="s">
        <v>88</v>
      </c>
      <c r="J230" s="117" t="s">
        <v>294</v>
      </c>
    </row>
    <row r="231" spans="1:10" x14ac:dyDescent="0.2">
      <c r="A231" s="165">
        <v>5</v>
      </c>
      <c r="B231" s="160" t="s">
        <v>10</v>
      </c>
      <c r="C231" s="41" t="s">
        <v>169</v>
      </c>
      <c r="D231" s="42">
        <v>12</v>
      </c>
      <c r="E231" s="43">
        <v>180</v>
      </c>
      <c r="F231" s="41"/>
      <c r="G231" s="41">
        <v>323.58</v>
      </c>
      <c r="H231" s="60">
        <f t="shared" si="5"/>
        <v>143.57999999999998</v>
      </c>
      <c r="I231" s="52" t="s">
        <v>88</v>
      </c>
      <c r="J231" s="117" t="s">
        <v>294</v>
      </c>
    </row>
    <row r="232" spans="1:10" x14ac:dyDescent="0.2">
      <c r="A232" s="165">
        <v>5</v>
      </c>
      <c r="B232" s="160" t="s">
        <v>10</v>
      </c>
      <c r="C232" s="84" t="s">
        <v>119</v>
      </c>
      <c r="D232" s="42">
        <v>1</v>
      </c>
      <c r="E232" s="57">
        <v>80</v>
      </c>
      <c r="F232" s="57">
        <v>150</v>
      </c>
      <c r="G232" s="57">
        <v>150</v>
      </c>
      <c r="H232" s="60">
        <f t="shared" si="5"/>
        <v>70</v>
      </c>
      <c r="I232" s="52" t="s">
        <v>88</v>
      </c>
      <c r="J232" s="56" t="s">
        <v>149</v>
      </c>
    </row>
    <row r="233" spans="1:10" x14ac:dyDescent="0.2">
      <c r="A233" s="165">
        <v>5</v>
      </c>
      <c r="B233" s="160" t="s">
        <v>10</v>
      </c>
      <c r="C233" s="84" t="s">
        <v>120</v>
      </c>
      <c r="D233" s="42">
        <v>1</v>
      </c>
      <c r="E233" s="57">
        <v>50</v>
      </c>
      <c r="F233" s="57">
        <v>100</v>
      </c>
      <c r="G233" s="57">
        <v>100</v>
      </c>
      <c r="H233" s="60">
        <f t="shared" si="5"/>
        <v>50</v>
      </c>
      <c r="I233" s="52" t="s">
        <v>88</v>
      </c>
      <c r="J233" s="56" t="s">
        <v>149</v>
      </c>
    </row>
    <row r="234" spans="1:10" x14ac:dyDescent="0.2">
      <c r="A234" s="165">
        <v>5</v>
      </c>
      <c r="B234" s="160" t="s">
        <v>10</v>
      </c>
      <c r="C234" s="84" t="s">
        <v>118</v>
      </c>
      <c r="D234" s="42">
        <v>1</v>
      </c>
      <c r="E234" s="57">
        <v>35</v>
      </c>
      <c r="F234" s="57">
        <v>80</v>
      </c>
      <c r="G234" s="57">
        <v>80</v>
      </c>
      <c r="H234" s="60">
        <f t="shared" si="5"/>
        <v>45</v>
      </c>
      <c r="I234" s="52" t="s">
        <v>88</v>
      </c>
      <c r="J234" s="56" t="s">
        <v>149</v>
      </c>
    </row>
    <row r="235" spans="1:10" x14ac:dyDescent="0.2">
      <c r="A235" s="165">
        <v>5</v>
      </c>
      <c r="B235" s="160" t="s">
        <v>10</v>
      </c>
      <c r="C235" s="84" t="s">
        <v>219</v>
      </c>
      <c r="D235" s="42">
        <v>1</v>
      </c>
      <c r="E235" s="57">
        <v>7.5</v>
      </c>
      <c r="F235" s="57">
        <v>15</v>
      </c>
      <c r="G235" s="57">
        <v>15</v>
      </c>
      <c r="H235" s="60">
        <f t="shared" si="5"/>
        <v>7.5</v>
      </c>
      <c r="I235" s="52" t="s">
        <v>88</v>
      </c>
      <c r="J235" s="56" t="s">
        <v>149</v>
      </c>
    </row>
    <row r="236" spans="1:10" x14ac:dyDescent="0.2">
      <c r="A236" s="165">
        <v>5</v>
      </c>
      <c r="B236" s="160" t="s">
        <v>10</v>
      </c>
      <c r="C236" s="41" t="s">
        <v>134</v>
      </c>
      <c r="D236" s="42">
        <v>1</v>
      </c>
      <c r="E236" s="43">
        <v>3</v>
      </c>
      <c r="F236" s="41"/>
      <c r="G236" s="41">
        <v>4.09</v>
      </c>
      <c r="H236" s="60">
        <f t="shared" si="5"/>
        <v>1.0899999999999999</v>
      </c>
      <c r="I236" s="52" t="s">
        <v>88</v>
      </c>
      <c r="J236" s="117" t="s">
        <v>294</v>
      </c>
    </row>
    <row r="237" spans="1:10" x14ac:dyDescent="0.2">
      <c r="A237" s="165">
        <v>5</v>
      </c>
      <c r="B237" s="160" t="s">
        <v>10</v>
      </c>
      <c r="C237" s="84" t="s">
        <v>122</v>
      </c>
      <c r="D237" s="42">
        <v>1</v>
      </c>
      <c r="E237" s="57">
        <v>8</v>
      </c>
      <c r="F237" s="57">
        <v>20</v>
      </c>
      <c r="G237" s="57">
        <v>20</v>
      </c>
      <c r="H237" s="60">
        <f t="shared" si="5"/>
        <v>12</v>
      </c>
      <c r="I237" s="52" t="s">
        <v>88</v>
      </c>
      <c r="J237" s="56" t="s">
        <v>149</v>
      </c>
    </row>
    <row r="238" spans="1:10" x14ac:dyDescent="0.2">
      <c r="A238" s="165">
        <v>5</v>
      </c>
      <c r="B238" s="160" t="s">
        <v>10</v>
      </c>
      <c r="C238" s="84" t="s">
        <v>123</v>
      </c>
      <c r="D238" s="42">
        <v>1</v>
      </c>
      <c r="E238" s="57">
        <v>60</v>
      </c>
      <c r="F238" s="57">
        <v>120</v>
      </c>
      <c r="G238" s="57">
        <v>120</v>
      </c>
      <c r="H238" s="60">
        <f t="shared" si="5"/>
        <v>60</v>
      </c>
      <c r="I238" s="52" t="s">
        <v>88</v>
      </c>
      <c r="J238" s="56" t="s">
        <v>149</v>
      </c>
    </row>
    <row r="239" spans="1:10" x14ac:dyDescent="0.2">
      <c r="A239" s="165">
        <v>5</v>
      </c>
      <c r="B239" s="160" t="s">
        <v>10</v>
      </c>
      <c r="C239" s="84" t="s">
        <v>319</v>
      </c>
      <c r="D239" s="42">
        <v>1</v>
      </c>
      <c r="E239" s="57">
        <v>15</v>
      </c>
      <c r="F239" s="57">
        <v>42.5</v>
      </c>
      <c r="G239" s="57">
        <v>42.5</v>
      </c>
      <c r="H239" s="60">
        <f t="shared" si="5"/>
        <v>27.5</v>
      </c>
      <c r="I239" s="52" t="s">
        <v>88</v>
      </c>
      <c r="J239" s="56" t="s">
        <v>149</v>
      </c>
    </row>
    <row r="240" spans="1:10" x14ac:dyDescent="0.2">
      <c r="A240" s="165">
        <v>5</v>
      </c>
      <c r="B240" s="160" t="s">
        <v>10</v>
      </c>
      <c r="C240" s="84" t="s">
        <v>319</v>
      </c>
      <c r="D240" s="42">
        <v>1</v>
      </c>
      <c r="E240" s="57">
        <v>15</v>
      </c>
      <c r="F240" s="57">
        <v>42.5</v>
      </c>
      <c r="G240" s="57">
        <v>42.5</v>
      </c>
      <c r="H240" s="60">
        <f t="shared" si="5"/>
        <v>27.5</v>
      </c>
      <c r="I240" s="52" t="s">
        <v>88</v>
      </c>
      <c r="J240" s="56" t="s">
        <v>149</v>
      </c>
    </row>
    <row r="241" spans="1:10" x14ac:dyDescent="0.2">
      <c r="A241" s="165">
        <v>5</v>
      </c>
      <c r="B241" s="160" t="s">
        <v>10</v>
      </c>
      <c r="C241" s="41" t="s">
        <v>135</v>
      </c>
      <c r="D241" s="42">
        <v>1</v>
      </c>
      <c r="E241" s="43">
        <v>20</v>
      </c>
      <c r="F241" s="41"/>
      <c r="G241" s="41">
        <v>39.58</v>
      </c>
      <c r="H241" s="60">
        <f t="shared" si="5"/>
        <v>19.579999999999998</v>
      </c>
      <c r="I241" s="52" t="s">
        <v>88</v>
      </c>
      <c r="J241" s="117" t="s">
        <v>294</v>
      </c>
    </row>
    <row r="242" spans="1:10" x14ac:dyDescent="0.2">
      <c r="A242" s="165">
        <v>5</v>
      </c>
      <c r="B242" s="160" t="s">
        <v>10</v>
      </c>
      <c r="C242" s="41" t="s">
        <v>136</v>
      </c>
      <c r="D242" s="42">
        <v>1</v>
      </c>
      <c r="E242" s="43">
        <v>8</v>
      </c>
      <c r="F242" s="41"/>
      <c r="G242" s="41">
        <v>15.68</v>
      </c>
      <c r="H242" s="60">
        <f t="shared" si="5"/>
        <v>7.68</v>
      </c>
      <c r="I242" s="52" t="s">
        <v>88</v>
      </c>
      <c r="J242" s="117" t="s">
        <v>294</v>
      </c>
    </row>
    <row r="243" spans="1:10" x14ac:dyDescent="0.2">
      <c r="A243" s="165">
        <v>5</v>
      </c>
      <c r="B243" s="160" t="s">
        <v>10</v>
      </c>
      <c r="C243" s="41" t="s">
        <v>137</v>
      </c>
      <c r="D243" s="42">
        <v>2</v>
      </c>
      <c r="E243" s="43">
        <v>2</v>
      </c>
      <c r="F243" s="41"/>
      <c r="G243" s="41">
        <v>4.82</v>
      </c>
      <c r="H243" s="60">
        <f t="shared" si="5"/>
        <v>2.8200000000000003</v>
      </c>
      <c r="I243" s="52" t="s">
        <v>88</v>
      </c>
      <c r="J243" s="117" t="s">
        <v>294</v>
      </c>
    </row>
    <row r="244" spans="1:10" x14ac:dyDescent="0.2">
      <c r="A244" s="165">
        <v>5</v>
      </c>
      <c r="B244" s="160" t="s">
        <v>10</v>
      </c>
      <c r="C244" s="41" t="s">
        <v>322</v>
      </c>
      <c r="D244" s="42">
        <v>1</v>
      </c>
      <c r="E244" s="43">
        <v>1</v>
      </c>
      <c r="F244" s="41"/>
      <c r="G244" s="41">
        <v>4.88</v>
      </c>
      <c r="H244" s="60">
        <f t="shared" si="5"/>
        <v>3.88</v>
      </c>
      <c r="I244" s="52" t="s">
        <v>88</v>
      </c>
      <c r="J244" s="117" t="s">
        <v>294</v>
      </c>
    </row>
    <row r="245" spans="1:10" x14ac:dyDescent="0.2">
      <c r="A245" s="165">
        <v>5</v>
      </c>
      <c r="B245" s="160" t="s">
        <v>10</v>
      </c>
      <c r="C245" s="84" t="s">
        <v>121</v>
      </c>
      <c r="D245" s="42">
        <v>1</v>
      </c>
      <c r="E245" s="57">
        <v>35</v>
      </c>
      <c r="F245" s="57">
        <v>80</v>
      </c>
      <c r="G245" s="57">
        <v>80</v>
      </c>
      <c r="H245" s="60">
        <f t="shared" si="5"/>
        <v>45</v>
      </c>
      <c r="I245" s="52" t="s">
        <v>88</v>
      </c>
      <c r="J245" s="56" t="s">
        <v>149</v>
      </c>
    </row>
    <row r="246" spans="1:10" x14ac:dyDescent="0.2">
      <c r="A246" s="165">
        <v>6</v>
      </c>
      <c r="B246" s="160" t="s">
        <v>11</v>
      </c>
      <c r="C246" s="84" t="s">
        <v>306</v>
      </c>
      <c r="D246" s="42">
        <v>1</v>
      </c>
      <c r="E246" s="57">
        <v>10</v>
      </c>
      <c r="F246" s="57">
        <v>20</v>
      </c>
      <c r="G246" s="57">
        <v>20</v>
      </c>
      <c r="H246" s="60">
        <f t="shared" si="5"/>
        <v>10</v>
      </c>
      <c r="I246" s="52" t="s">
        <v>88</v>
      </c>
      <c r="J246" s="56" t="s">
        <v>149</v>
      </c>
    </row>
    <row r="247" spans="1:10" x14ac:dyDescent="0.2">
      <c r="A247" s="165">
        <v>6</v>
      </c>
      <c r="B247" s="160" t="s">
        <v>11</v>
      </c>
      <c r="C247" s="84" t="s">
        <v>306</v>
      </c>
      <c r="D247" s="42">
        <v>1</v>
      </c>
      <c r="E247" s="57">
        <v>10</v>
      </c>
      <c r="F247" s="57">
        <v>20</v>
      </c>
      <c r="G247" s="57">
        <v>20</v>
      </c>
      <c r="H247" s="60">
        <f t="shared" si="5"/>
        <v>10</v>
      </c>
      <c r="I247" s="52" t="s">
        <v>88</v>
      </c>
      <c r="J247" s="56" t="s">
        <v>149</v>
      </c>
    </row>
    <row r="248" spans="1:10" x14ac:dyDescent="0.2">
      <c r="A248" s="165">
        <v>6</v>
      </c>
      <c r="B248" s="160" t="s">
        <v>11</v>
      </c>
      <c r="C248" s="84" t="s">
        <v>183</v>
      </c>
      <c r="D248" s="42">
        <v>1</v>
      </c>
      <c r="E248" s="57">
        <v>180</v>
      </c>
      <c r="F248" s="57">
        <v>250</v>
      </c>
      <c r="G248" s="57">
        <v>250</v>
      </c>
      <c r="H248" s="60">
        <f t="shared" si="5"/>
        <v>70</v>
      </c>
      <c r="I248" s="52" t="s">
        <v>88</v>
      </c>
      <c r="J248" s="56" t="s">
        <v>149</v>
      </c>
    </row>
    <row r="249" spans="1:10" x14ac:dyDescent="0.2">
      <c r="A249" s="165">
        <v>6</v>
      </c>
      <c r="B249" s="160" t="s">
        <v>11</v>
      </c>
      <c r="C249" s="84" t="s">
        <v>143</v>
      </c>
      <c r="D249" s="42">
        <v>1</v>
      </c>
      <c r="E249" s="57">
        <v>7.5</v>
      </c>
      <c r="F249" s="57">
        <v>15</v>
      </c>
      <c r="G249" s="57">
        <v>15</v>
      </c>
      <c r="H249" s="60">
        <f t="shared" si="5"/>
        <v>7.5</v>
      </c>
      <c r="I249" s="52" t="s">
        <v>88</v>
      </c>
      <c r="J249" s="56" t="s">
        <v>149</v>
      </c>
    </row>
    <row r="250" spans="1:10" x14ac:dyDescent="0.2">
      <c r="A250" s="165">
        <v>6</v>
      </c>
      <c r="B250" s="160" t="s">
        <v>11</v>
      </c>
      <c r="C250" s="84" t="s">
        <v>139</v>
      </c>
      <c r="D250" s="42">
        <v>1</v>
      </c>
      <c r="E250" s="57">
        <v>4.5</v>
      </c>
      <c r="F250" s="57">
        <v>10</v>
      </c>
      <c r="G250" s="57">
        <v>10</v>
      </c>
      <c r="H250" s="60">
        <f t="shared" si="5"/>
        <v>5.5</v>
      </c>
      <c r="I250" s="52" t="s">
        <v>88</v>
      </c>
      <c r="J250" s="56" t="s">
        <v>149</v>
      </c>
    </row>
    <row r="251" spans="1:10" x14ac:dyDescent="0.2">
      <c r="A251" s="165">
        <v>6</v>
      </c>
      <c r="B251" s="160" t="s">
        <v>11</v>
      </c>
      <c r="C251" s="84" t="s">
        <v>139</v>
      </c>
      <c r="D251" s="42">
        <v>1</v>
      </c>
      <c r="E251" s="57">
        <v>4.5</v>
      </c>
      <c r="F251" s="57">
        <v>10</v>
      </c>
      <c r="G251" s="57">
        <v>10</v>
      </c>
      <c r="H251" s="60">
        <f t="shared" si="5"/>
        <v>5.5</v>
      </c>
      <c r="I251" s="52" t="s">
        <v>88</v>
      </c>
      <c r="J251" s="56" t="s">
        <v>149</v>
      </c>
    </row>
    <row r="252" spans="1:10" x14ac:dyDescent="0.2">
      <c r="A252" s="165">
        <v>6</v>
      </c>
      <c r="B252" s="160" t="s">
        <v>11</v>
      </c>
      <c r="C252" s="84" t="s">
        <v>146</v>
      </c>
      <c r="D252" s="42">
        <v>1</v>
      </c>
      <c r="E252" s="57">
        <v>60</v>
      </c>
      <c r="F252" s="57">
        <v>150</v>
      </c>
      <c r="G252" s="57">
        <v>150</v>
      </c>
      <c r="H252" s="60">
        <f t="shared" si="5"/>
        <v>90</v>
      </c>
      <c r="I252" s="52" t="s">
        <v>88</v>
      </c>
      <c r="J252" s="56" t="s">
        <v>149</v>
      </c>
    </row>
    <row r="253" spans="1:10" x14ac:dyDescent="0.2">
      <c r="A253" s="165">
        <v>6</v>
      </c>
      <c r="B253" s="160" t="s">
        <v>11</v>
      </c>
      <c r="C253" s="84" t="s">
        <v>55</v>
      </c>
      <c r="D253" s="42">
        <v>1</v>
      </c>
      <c r="E253" s="57">
        <v>45</v>
      </c>
      <c r="F253" s="57">
        <v>80</v>
      </c>
      <c r="G253" s="57">
        <v>80</v>
      </c>
      <c r="H253" s="60">
        <f t="shared" si="5"/>
        <v>35</v>
      </c>
      <c r="I253" s="52" t="s">
        <v>88</v>
      </c>
      <c r="J253" s="56" t="s">
        <v>149</v>
      </c>
    </row>
    <row r="254" spans="1:10" x14ac:dyDescent="0.2">
      <c r="A254" s="165">
        <v>6</v>
      </c>
      <c r="B254" s="160" t="s">
        <v>11</v>
      </c>
      <c r="C254" s="84" t="s">
        <v>140</v>
      </c>
      <c r="D254" s="42">
        <v>1</v>
      </c>
      <c r="E254" s="57">
        <v>7</v>
      </c>
      <c r="F254" s="57">
        <v>15</v>
      </c>
      <c r="G254" s="57">
        <v>15</v>
      </c>
      <c r="H254" s="60">
        <f t="shared" ref="H254:H317" si="6">G254-E254</f>
        <v>8</v>
      </c>
      <c r="I254" s="91" t="s">
        <v>88</v>
      </c>
      <c r="J254" s="92" t="s">
        <v>149</v>
      </c>
    </row>
    <row r="255" spans="1:10" x14ac:dyDescent="0.2">
      <c r="A255" s="165">
        <v>6</v>
      </c>
      <c r="B255" s="160" t="s">
        <v>11</v>
      </c>
      <c r="C255" s="84" t="s">
        <v>180</v>
      </c>
      <c r="D255" s="42">
        <v>1</v>
      </c>
      <c r="E255" s="57">
        <v>23</v>
      </c>
      <c r="F255" s="57">
        <v>50</v>
      </c>
      <c r="G255" s="57">
        <v>50</v>
      </c>
      <c r="H255" s="60">
        <f t="shared" si="6"/>
        <v>27</v>
      </c>
      <c r="I255" s="52" t="s">
        <v>88</v>
      </c>
      <c r="J255" s="56" t="s">
        <v>149</v>
      </c>
    </row>
    <row r="256" spans="1:10" x14ac:dyDescent="0.2">
      <c r="A256" s="165">
        <v>6</v>
      </c>
      <c r="B256" s="160" t="s">
        <v>11</v>
      </c>
      <c r="C256" s="84" t="s">
        <v>180</v>
      </c>
      <c r="D256" s="42">
        <v>1</v>
      </c>
      <c r="E256" s="57">
        <v>23</v>
      </c>
      <c r="F256" s="57">
        <v>50</v>
      </c>
      <c r="G256" s="57">
        <v>50</v>
      </c>
      <c r="H256" s="60">
        <f t="shared" si="6"/>
        <v>27</v>
      </c>
      <c r="I256" s="52" t="s">
        <v>88</v>
      </c>
      <c r="J256" s="56" t="s">
        <v>149</v>
      </c>
    </row>
    <row r="257" spans="1:10" x14ac:dyDescent="0.2">
      <c r="A257" s="165">
        <v>6</v>
      </c>
      <c r="B257" s="160" t="s">
        <v>11</v>
      </c>
      <c r="C257" s="84" t="s">
        <v>144</v>
      </c>
      <c r="D257" s="42">
        <v>1</v>
      </c>
      <c r="E257" s="57">
        <v>25</v>
      </c>
      <c r="F257" s="57">
        <v>80</v>
      </c>
      <c r="G257" s="57">
        <v>80</v>
      </c>
      <c r="H257" s="60">
        <f t="shared" si="6"/>
        <v>55</v>
      </c>
      <c r="I257" s="52" t="s">
        <v>88</v>
      </c>
      <c r="J257" s="56" t="s">
        <v>149</v>
      </c>
    </row>
    <row r="258" spans="1:10" x14ac:dyDescent="0.2">
      <c r="A258" s="165">
        <v>6</v>
      </c>
      <c r="B258" s="160" t="s">
        <v>11</v>
      </c>
      <c r="C258" s="54" t="s">
        <v>158</v>
      </c>
      <c r="D258" s="42">
        <v>1</v>
      </c>
      <c r="E258" s="57">
        <v>0</v>
      </c>
      <c r="F258" s="57">
        <v>60</v>
      </c>
      <c r="G258" s="57">
        <v>60</v>
      </c>
      <c r="H258" s="60">
        <f t="shared" si="6"/>
        <v>60</v>
      </c>
      <c r="I258" s="52" t="s">
        <v>88</v>
      </c>
      <c r="J258" s="56" t="s">
        <v>149</v>
      </c>
    </row>
    <row r="259" spans="1:10" x14ac:dyDescent="0.2">
      <c r="A259" s="165">
        <v>6</v>
      </c>
      <c r="B259" s="160" t="s">
        <v>11</v>
      </c>
      <c r="C259" s="84" t="s">
        <v>145</v>
      </c>
      <c r="D259" s="42">
        <v>1</v>
      </c>
      <c r="E259" s="57">
        <v>130</v>
      </c>
      <c r="F259" s="57">
        <v>180</v>
      </c>
      <c r="G259" s="57">
        <v>180</v>
      </c>
      <c r="H259" s="60">
        <f t="shared" si="6"/>
        <v>50</v>
      </c>
      <c r="I259" s="52" t="s">
        <v>88</v>
      </c>
      <c r="J259" s="56" t="s">
        <v>149</v>
      </c>
    </row>
    <row r="260" spans="1:10" x14ac:dyDescent="0.2">
      <c r="A260" s="165">
        <v>6</v>
      </c>
      <c r="B260" s="160" t="s">
        <v>11</v>
      </c>
      <c r="C260" s="84" t="s">
        <v>138</v>
      </c>
      <c r="D260" s="42">
        <v>1</v>
      </c>
      <c r="E260" s="57">
        <v>4</v>
      </c>
      <c r="F260" s="57">
        <v>15</v>
      </c>
      <c r="G260" s="57">
        <v>15</v>
      </c>
      <c r="H260" s="60">
        <f t="shared" si="6"/>
        <v>11</v>
      </c>
      <c r="I260" s="52" t="s">
        <v>88</v>
      </c>
      <c r="J260" s="56" t="s">
        <v>149</v>
      </c>
    </row>
    <row r="261" spans="1:10" x14ac:dyDescent="0.2">
      <c r="A261" s="165">
        <v>6</v>
      </c>
      <c r="B261" s="160" t="s">
        <v>11</v>
      </c>
      <c r="C261" s="84" t="s">
        <v>254</v>
      </c>
      <c r="D261" s="42">
        <v>1</v>
      </c>
      <c r="E261" s="57">
        <v>2.5</v>
      </c>
      <c r="F261" s="57">
        <v>7</v>
      </c>
      <c r="G261" s="57">
        <v>7</v>
      </c>
      <c r="H261" s="60">
        <f t="shared" si="6"/>
        <v>4.5</v>
      </c>
      <c r="I261" s="52" t="s">
        <v>88</v>
      </c>
      <c r="J261" s="56" t="s">
        <v>149</v>
      </c>
    </row>
    <row r="262" spans="1:10" x14ac:dyDescent="0.2">
      <c r="A262" s="165">
        <v>6</v>
      </c>
      <c r="B262" s="160" t="s">
        <v>11</v>
      </c>
      <c r="C262" s="84" t="s">
        <v>171</v>
      </c>
      <c r="D262" s="42">
        <v>1</v>
      </c>
      <c r="E262" s="57">
        <v>19</v>
      </c>
      <c r="F262" s="57">
        <v>40</v>
      </c>
      <c r="G262" s="57">
        <v>40</v>
      </c>
      <c r="H262" s="60">
        <f t="shared" si="6"/>
        <v>21</v>
      </c>
      <c r="I262" s="52" t="s">
        <v>88</v>
      </c>
      <c r="J262" s="56" t="s">
        <v>149</v>
      </c>
    </row>
    <row r="263" spans="1:10" x14ac:dyDescent="0.2">
      <c r="A263" s="165">
        <v>6</v>
      </c>
      <c r="B263" s="160" t="s">
        <v>11</v>
      </c>
      <c r="C263" s="84" t="s">
        <v>141</v>
      </c>
      <c r="D263" s="42">
        <v>1</v>
      </c>
      <c r="E263" s="57">
        <v>15</v>
      </c>
      <c r="F263" s="57">
        <v>30</v>
      </c>
      <c r="G263" s="57">
        <v>30</v>
      </c>
      <c r="H263" s="60">
        <f t="shared" si="6"/>
        <v>15</v>
      </c>
      <c r="I263" s="52" t="s">
        <v>88</v>
      </c>
      <c r="J263" s="56" t="s">
        <v>149</v>
      </c>
    </row>
    <row r="264" spans="1:10" x14ac:dyDescent="0.2">
      <c r="A264" s="165">
        <v>6</v>
      </c>
      <c r="B264" s="160" t="s">
        <v>11</v>
      </c>
      <c r="C264" s="84" t="s">
        <v>141</v>
      </c>
      <c r="D264" s="42">
        <v>1</v>
      </c>
      <c r="E264" s="57">
        <v>15</v>
      </c>
      <c r="F264" s="57">
        <v>30</v>
      </c>
      <c r="G264" s="57">
        <v>30</v>
      </c>
      <c r="H264" s="60">
        <f t="shared" si="6"/>
        <v>15</v>
      </c>
      <c r="I264" s="52" t="s">
        <v>88</v>
      </c>
      <c r="J264" s="56" t="s">
        <v>149</v>
      </c>
    </row>
    <row r="265" spans="1:10" x14ac:dyDescent="0.2">
      <c r="A265" s="165">
        <v>6</v>
      </c>
      <c r="B265" s="160" t="s">
        <v>11</v>
      </c>
      <c r="C265" s="84" t="s">
        <v>170</v>
      </c>
      <c r="D265" s="42">
        <v>1</v>
      </c>
      <c r="E265" s="57">
        <v>28</v>
      </c>
      <c r="F265" s="57">
        <v>65</v>
      </c>
      <c r="G265" s="57">
        <v>65</v>
      </c>
      <c r="H265" s="60">
        <f t="shared" si="6"/>
        <v>37</v>
      </c>
      <c r="I265" s="52" t="s">
        <v>88</v>
      </c>
      <c r="J265" s="56" t="s">
        <v>149</v>
      </c>
    </row>
    <row r="266" spans="1:10" x14ac:dyDescent="0.2">
      <c r="A266" s="165">
        <v>6</v>
      </c>
      <c r="B266" s="160" t="s">
        <v>11</v>
      </c>
      <c r="C266" s="84" t="s">
        <v>142</v>
      </c>
      <c r="D266" s="42">
        <v>1</v>
      </c>
      <c r="E266" s="57">
        <v>2</v>
      </c>
      <c r="F266" s="57">
        <v>10</v>
      </c>
      <c r="G266" s="57">
        <v>10</v>
      </c>
      <c r="H266" s="60">
        <f t="shared" si="6"/>
        <v>8</v>
      </c>
      <c r="I266" s="52" t="s">
        <v>88</v>
      </c>
      <c r="J266" s="56" t="s">
        <v>149</v>
      </c>
    </row>
    <row r="267" spans="1:10" x14ac:dyDescent="0.2">
      <c r="A267" s="165">
        <v>6</v>
      </c>
      <c r="B267" s="160" t="s">
        <v>11</v>
      </c>
      <c r="C267" s="41" t="s">
        <v>75</v>
      </c>
      <c r="D267" s="42">
        <v>1</v>
      </c>
      <c r="E267" s="57">
        <v>25</v>
      </c>
      <c r="F267" s="57">
        <v>40</v>
      </c>
      <c r="G267" s="57">
        <v>40</v>
      </c>
      <c r="H267" s="60">
        <f t="shared" si="6"/>
        <v>15</v>
      </c>
      <c r="I267" s="52" t="s">
        <v>88</v>
      </c>
      <c r="J267" s="56" t="s">
        <v>149</v>
      </c>
    </row>
    <row r="268" spans="1:10" x14ac:dyDescent="0.2">
      <c r="A268" s="165">
        <v>7</v>
      </c>
      <c r="B268" s="160" t="s">
        <v>12</v>
      </c>
      <c r="C268" s="84" t="s">
        <v>267</v>
      </c>
      <c r="D268" s="42">
        <v>1</v>
      </c>
      <c r="E268" s="57">
        <v>25</v>
      </c>
      <c r="F268" s="57">
        <v>50</v>
      </c>
      <c r="G268" s="57">
        <v>50</v>
      </c>
      <c r="H268" s="60">
        <f t="shared" si="6"/>
        <v>25</v>
      </c>
      <c r="I268" s="52" t="s">
        <v>88</v>
      </c>
      <c r="J268" s="56" t="s">
        <v>149</v>
      </c>
    </row>
    <row r="269" spans="1:10" x14ac:dyDescent="0.2">
      <c r="A269" s="165">
        <v>7</v>
      </c>
      <c r="B269" s="160" t="s">
        <v>12</v>
      </c>
      <c r="C269" s="84" t="s">
        <v>183</v>
      </c>
      <c r="D269" s="42">
        <v>1</v>
      </c>
      <c r="E269" s="57">
        <v>145</v>
      </c>
      <c r="F269" s="57">
        <v>230</v>
      </c>
      <c r="G269" s="57">
        <v>230</v>
      </c>
      <c r="H269" s="60">
        <f t="shared" si="6"/>
        <v>85</v>
      </c>
      <c r="I269" s="52" t="s">
        <v>88</v>
      </c>
      <c r="J269" s="56" t="s">
        <v>149</v>
      </c>
    </row>
    <row r="270" spans="1:10" x14ac:dyDescent="0.2">
      <c r="A270" s="165">
        <v>7</v>
      </c>
      <c r="B270" s="160" t="s">
        <v>12</v>
      </c>
      <c r="C270" s="84" t="s">
        <v>146</v>
      </c>
      <c r="D270" s="42">
        <v>1</v>
      </c>
      <c r="E270" s="57">
        <v>100</v>
      </c>
      <c r="F270" s="57">
        <v>140</v>
      </c>
      <c r="G270" s="57">
        <v>140</v>
      </c>
      <c r="H270" s="60">
        <f t="shared" si="6"/>
        <v>40</v>
      </c>
      <c r="I270" s="52" t="s">
        <v>88</v>
      </c>
      <c r="J270" s="56" t="s">
        <v>149</v>
      </c>
    </row>
    <row r="271" spans="1:10" x14ac:dyDescent="0.2">
      <c r="A271" s="165">
        <v>7</v>
      </c>
      <c r="B271" s="160" t="s">
        <v>12</v>
      </c>
      <c r="C271" s="84" t="s">
        <v>146</v>
      </c>
      <c r="D271" s="42">
        <v>1</v>
      </c>
      <c r="E271" s="57">
        <v>100</v>
      </c>
      <c r="F271" s="57">
        <v>140</v>
      </c>
      <c r="G271" s="57">
        <v>140</v>
      </c>
      <c r="H271" s="60">
        <f t="shared" si="6"/>
        <v>40</v>
      </c>
      <c r="I271" s="52" t="s">
        <v>88</v>
      </c>
      <c r="J271" s="56" t="s">
        <v>149</v>
      </c>
    </row>
    <row r="272" spans="1:10" x14ac:dyDescent="0.2">
      <c r="A272" s="165">
        <v>7</v>
      </c>
      <c r="B272" s="160" t="s">
        <v>12</v>
      </c>
      <c r="C272" s="84" t="s">
        <v>147</v>
      </c>
      <c r="D272" s="42">
        <v>1</v>
      </c>
      <c r="E272" s="57">
        <v>11</v>
      </c>
      <c r="F272" s="57">
        <v>20</v>
      </c>
      <c r="G272" s="57">
        <v>20</v>
      </c>
      <c r="H272" s="60">
        <f t="shared" si="6"/>
        <v>9</v>
      </c>
      <c r="I272" s="52" t="s">
        <v>88</v>
      </c>
      <c r="J272" s="56" t="s">
        <v>149</v>
      </c>
    </row>
    <row r="273" spans="1:10" x14ac:dyDescent="0.2">
      <c r="A273" s="165">
        <v>7</v>
      </c>
      <c r="B273" s="160" t="s">
        <v>12</v>
      </c>
      <c r="C273" s="55" t="s">
        <v>315</v>
      </c>
      <c r="D273" s="42">
        <v>1</v>
      </c>
      <c r="E273" s="57">
        <v>30</v>
      </c>
      <c r="F273" s="57">
        <v>80</v>
      </c>
      <c r="G273" s="57">
        <v>80</v>
      </c>
      <c r="H273" s="60">
        <f t="shared" si="6"/>
        <v>50</v>
      </c>
      <c r="I273" s="52" t="s">
        <v>88</v>
      </c>
      <c r="J273" s="56" t="s">
        <v>149</v>
      </c>
    </row>
    <row r="274" spans="1:10" x14ac:dyDescent="0.2">
      <c r="A274" s="165">
        <v>7</v>
      </c>
      <c r="B274" s="160" t="s">
        <v>12</v>
      </c>
      <c r="C274" s="84" t="s">
        <v>138</v>
      </c>
      <c r="D274" s="42">
        <v>1</v>
      </c>
      <c r="E274" s="57">
        <v>4</v>
      </c>
      <c r="F274" s="57">
        <v>15</v>
      </c>
      <c r="G274" s="57">
        <v>15</v>
      </c>
      <c r="H274" s="60">
        <f t="shared" si="6"/>
        <v>11</v>
      </c>
      <c r="I274" s="52" t="s">
        <v>88</v>
      </c>
      <c r="J274" s="56" t="s">
        <v>149</v>
      </c>
    </row>
    <row r="275" spans="1:10" x14ac:dyDescent="0.2">
      <c r="A275" s="165">
        <v>7</v>
      </c>
      <c r="B275" s="160" t="s">
        <v>12</v>
      </c>
      <c r="C275" s="84" t="s">
        <v>320</v>
      </c>
      <c r="D275" s="42">
        <v>1</v>
      </c>
      <c r="E275" s="57">
        <v>15</v>
      </c>
      <c r="F275" s="57">
        <v>25</v>
      </c>
      <c r="G275" s="57">
        <v>25</v>
      </c>
      <c r="H275" s="60">
        <f t="shared" si="6"/>
        <v>10</v>
      </c>
      <c r="I275" s="52" t="s">
        <v>88</v>
      </c>
      <c r="J275" s="56" t="s">
        <v>149</v>
      </c>
    </row>
    <row r="276" spans="1:10" x14ac:dyDescent="0.2">
      <c r="A276" s="165">
        <v>7</v>
      </c>
      <c r="B276" s="160" t="s">
        <v>12</v>
      </c>
      <c r="C276" s="84" t="s">
        <v>320</v>
      </c>
      <c r="D276" s="42">
        <v>1</v>
      </c>
      <c r="E276" s="57">
        <v>15</v>
      </c>
      <c r="F276" s="57">
        <v>25</v>
      </c>
      <c r="G276" s="57">
        <v>25</v>
      </c>
      <c r="H276" s="60">
        <f t="shared" si="6"/>
        <v>10</v>
      </c>
      <c r="I276" s="52" t="s">
        <v>88</v>
      </c>
      <c r="J276" s="56" t="s">
        <v>149</v>
      </c>
    </row>
    <row r="277" spans="1:10" x14ac:dyDescent="0.2">
      <c r="A277" s="165">
        <v>7</v>
      </c>
      <c r="B277" s="160" t="s">
        <v>12</v>
      </c>
      <c r="C277" s="84" t="s">
        <v>320</v>
      </c>
      <c r="D277" s="42">
        <v>1</v>
      </c>
      <c r="E277" s="57">
        <v>15</v>
      </c>
      <c r="F277" s="57">
        <v>25</v>
      </c>
      <c r="G277" s="57">
        <v>25</v>
      </c>
      <c r="H277" s="60">
        <f t="shared" si="6"/>
        <v>10</v>
      </c>
      <c r="I277" s="52" t="s">
        <v>88</v>
      </c>
      <c r="J277" s="56" t="s">
        <v>149</v>
      </c>
    </row>
    <row r="278" spans="1:10" x14ac:dyDescent="0.2">
      <c r="A278" s="165">
        <v>7</v>
      </c>
      <c r="B278" s="160" t="s">
        <v>12</v>
      </c>
      <c r="C278" s="84" t="s">
        <v>320</v>
      </c>
      <c r="D278" s="42">
        <v>1</v>
      </c>
      <c r="E278" s="57">
        <v>15</v>
      </c>
      <c r="F278" s="57">
        <v>25</v>
      </c>
      <c r="G278" s="57">
        <v>25</v>
      </c>
      <c r="H278" s="60">
        <f t="shared" si="6"/>
        <v>10</v>
      </c>
      <c r="I278" s="52" t="s">
        <v>88</v>
      </c>
      <c r="J278" s="56" t="s">
        <v>149</v>
      </c>
    </row>
    <row r="279" spans="1:10" x14ac:dyDescent="0.2">
      <c r="A279" s="165">
        <v>7</v>
      </c>
      <c r="B279" s="160" t="s">
        <v>12</v>
      </c>
      <c r="C279" s="84" t="s">
        <v>320</v>
      </c>
      <c r="D279" s="42">
        <v>1</v>
      </c>
      <c r="E279" s="57">
        <v>10</v>
      </c>
      <c r="F279" s="57">
        <v>30</v>
      </c>
      <c r="G279" s="57">
        <v>30</v>
      </c>
      <c r="H279" s="60">
        <f t="shared" si="6"/>
        <v>20</v>
      </c>
      <c r="I279" s="52" t="s">
        <v>88</v>
      </c>
      <c r="J279" s="56" t="s">
        <v>149</v>
      </c>
    </row>
    <row r="280" spans="1:10" x14ac:dyDescent="0.2">
      <c r="A280" s="165">
        <v>7</v>
      </c>
      <c r="B280" s="160" t="s">
        <v>12</v>
      </c>
      <c r="C280" s="84" t="s">
        <v>205</v>
      </c>
      <c r="D280" s="42">
        <v>1</v>
      </c>
      <c r="E280" s="57">
        <v>20</v>
      </c>
      <c r="F280" s="57">
        <v>50</v>
      </c>
      <c r="G280" s="57">
        <v>50</v>
      </c>
      <c r="H280" s="60">
        <f t="shared" si="6"/>
        <v>30</v>
      </c>
      <c r="I280" s="52" t="s">
        <v>88</v>
      </c>
      <c r="J280" s="56" t="s">
        <v>149</v>
      </c>
    </row>
    <row r="281" spans="1:10" x14ac:dyDescent="0.2">
      <c r="A281" s="165">
        <v>7</v>
      </c>
      <c r="B281" s="160" t="s">
        <v>12</v>
      </c>
      <c r="C281" s="84" t="s">
        <v>205</v>
      </c>
      <c r="D281" s="42">
        <v>1</v>
      </c>
      <c r="E281" s="57">
        <v>30</v>
      </c>
      <c r="F281" s="57">
        <v>70</v>
      </c>
      <c r="G281" s="57">
        <v>70</v>
      </c>
      <c r="H281" s="60">
        <f t="shared" si="6"/>
        <v>40</v>
      </c>
      <c r="I281" s="52" t="s">
        <v>88</v>
      </c>
      <c r="J281" s="56" t="s">
        <v>149</v>
      </c>
    </row>
    <row r="282" spans="1:10" x14ac:dyDescent="0.2">
      <c r="A282" s="165">
        <v>8</v>
      </c>
      <c r="B282" s="160" t="s">
        <v>13</v>
      </c>
      <c r="C282" s="84" t="s">
        <v>175</v>
      </c>
      <c r="D282" s="42">
        <v>1</v>
      </c>
      <c r="E282" s="93">
        <v>7</v>
      </c>
      <c r="F282" s="57"/>
      <c r="G282" s="57">
        <v>8.5299999999999994</v>
      </c>
      <c r="H282" s="60">
        <f t="shared" si="6"/>
        <v>1.5299999999999994</v>
      </c>
      <c r="I282" s="52" t="s">
        <v>2</v>
      </c>
      <c r="J282" s="117" t="s">
        <v>294</v>
      </c>
    </row>
    <row r="283" spans="1:10" x14ac:dyDescent="0.2">
      <c r="A283" s="165">
        <v>8</v>
      </c>
      <c r="B283" s="160" t="s">
        <v>13</v>
      </c>
      <c r="C283" s="84" t="s">
        <v>197</v>
      </c>
      <c r="D283" s="42">
        <v>1</v>
      </c>
      <c r="E283" s="57">
        <v>0</v>
      </c>
      <c r="F283" s="57">
        <v>16</v>
      </c>
      <c r="G283" s="57">
        <v>16</v>
      </c>
      <c r="H283" s="60">
        <f t="shared" si="6"/>
        <v>16</v>
      </c>
      <c r="I283" s="52" t="s">
        <v>2</v>
      </c>
      <c r="J283" s="56" t="s">
        <v>196</v>
      </c>
    </row>
    <row r="284" spans="1:10" x14ac:dyDescent="0.2">
      <c r="A284" s="165">
        <v>8</v>
      </c>
      <c r="B284" s="160" t="s">
        <v>13</v>
      </c>
      <c r="C284" s="84" t="s">
        <v>188</v>
      </c>
      <c r="D284" s="42">
        <v>2</v>
      </c>
      <c r="E284" s="57">
        <v>6</v>
      </c>
      <c r="F284" s="57"/>
      <c r="G284" s="57">
        <v>9.74</v>
      </c>
      <c r="H284" s="60">
        <f t="shared" si="6"/>
        <v>3.74</v>
      </c>
      <c r="I284" s="52" t="s">
        <v>2</v>
      </c>
      <c r="J284" s="117" t="s">
        <v>294</v>
      </c>
    </row>
    <row r="285" spans="1:10" x14ac:dyDescent="0.2">
      <c r="A285" s="165">
        <v>8</v>
      </c>
      <c r="B285" s="160" t="s">
        <v>13</v>
      </c>
      <c r="C285" s="84" t="s">
        <v>183</v>
      </c>
      <c r="D285" s="42">
        <v>1</v>
      </c>
      <c r="E285" s="57">
        <v>145</v>
      </c>
      <c r="F285" s="57">
        <v>200</v>
      </c>
      <c r="G285" s="57">
        <v>200</v>
      </c>
      <c r="H285" s="60">
        <f t="shared" si="6"/>
        <v>55</v>
      </c>
      <c r="I285" s="52" t="s">
        <v>2</v>
      </c>
      <c r="J285" s="56" t="s">
        <v>149</v>
      </c>
    </row>
    <row r="286" spans="1:10" x14ac:dyDescent="0.2">
      <c r="A286" s="165">
        <v>8</v>
      </c>
      <c r="B286" s="160" t="s">
        <v>13</v>
      </c>
      <c r="C286" s="84" t="s">
        <v>181</v>
      </c>
      <c r="D286" s="42">
        <v>1</v>
      </c>
      <c r="E286" s="57">
        <v>3.5</v>
      </c>
      <c r="F286" s="57">
        <v>10</v>
      </c>
      <c r="G286" s="57">
        <v>10</v>
      </c>
      <c r="H286" s="60">
        <f t="shared" si="6"/>
        <v>6.5</v>
      </c>
      <c r="I286" s="52" t="s">
        <v>2</v>
      </c>
      <c r="J286" s="56" t="s">
        <v>149</v>
      </c>
    </row>
    <row r="287" spans="1:10" x14ac:dyDescent="0.2">
      <c r="A287" s="165">
        <v>8</v>
      </c>
      <c r="B287" s="160" t="s">
        <v>13</v>
      </c>
      <c r="C287" s="84" t="s">
        <v>181</v>
      </c>
      <c r="D287" s="42">
        <v>1</v>
      </c>
      <c r="E287" s="57">
        <v>4</v>
      </c>
      <c r="F287" s="57"/>
      <c r="G287" s="57">
        <v>22</v>
      </c>
      <c r="H287" s="60">
        <f t="shared" si="6"/>
        <v>18</v>
      </c>
      <c r="I287" s="52" t="s">
        <v>2</v>
      </c>
      <c r="J287" s="117" t="s">
        <v>294</v>
      </c>
    </row>
    <row r="288" spans="1:10" x14ac:dyDescent="0.2">
      <c r="A288" s="165">
        <v>8</v>
      </c>
      <c r="B288" s="160" t="s">
        <v>13</v>
      </c>
      <c r="C288" s="84" t="s">
        <v>176</v>
      </c>
      <c r="D288" s="42">
        <v>1</v>
      </c>
      <c r="E288" s="57">
        <v>13</v>
      </c>
      <c r="F288" s="57"/>
      <c r="G288" s="57">
        <v>19.059999999999999</v>
      </c>
      <c r="H288" s="60">
        <f t="shared" si="6"/>
        <v>6.0599999999999987</v>
      </c>
      <c r="I288" s="52" t="s">
        <v>2</v>
      </c>
      <c r="J288" s="117" t="s">
        <v>294</v>
      </c>
    </row>
    <row r="289" spans="1:10" x14ac:dyDescent="0.2">
      <c r="A289" s="165">
        <v>8</v>
      </c>
      <c r="B289" s="160" t="s">
        <v>13</v>
      </c>
      <c r="C289" s="84" t="s">
        <v>200</v>
      </c>
      <c r="D289" s="42">
        <v>1</v>
      </c>
      <c r="E289" s="57">
        <v>40</v>
      </c>
      <c r="F289" s="57">
        <v>70</v>
      </c>
      <c r="G289" s="57">
        <v>70</v>
      </c>
      <c r="H289" s="60">
        <f t="shared" si="6"/>
        <v>30</v>
      </c>
      <c r="I289" s="52" t="s">
        <v>2</v>
      </c>
      <c r="J289" s="56" t="s">
        <v>149</v>
      </c>
    </row>
    <row r="290" spans="1:10" x14ac:dyDescent="0.2">
      <c r="A290" s="165">
        <v>8</v>
      </c>
      <c r="B290" s="160" t="s">
        <v>13</v>
      </c>
      <c r="C290" s="84" t="s">
        <v>146</v>
      </c>
      <c r="D290" s="42">
        <v>1</v>
      </c>
      <c r="E290" s="57">
        <v>65</v>
      </c>
      <c r="F290" s="57">
        <v>100</v>
      </c>
      <c r="G290" s="57">
        <v>100</v>
      </c>
      <c r="H290" s="60">
        <f t="shared" si="6"/>
        <v>35</v>
      </c>
      <c r="I290" s="52" t="s">
        <v>2</v>
      </c>
      <c r="J290" s="56" t="s">
        <v>149</v>
      </c>
    </row>
    <row r="291" spans="1:10" x14ac:dyDescent="0.2">
      <c r="A291" s="165">
        <v>8</v>
      </c>
      <c r="B291" s="160" t="s">
        <v>13</v>
      </c>
      <c r="C291" s="84" t="s">
        <v>146</v>
      </c>
      <c r="D291" s="42">
        <v>1</v>
      </c>
      <c r="E291" s="57">
        <v>65</v>
      </c>
      <c r="F291" s="57">
        <v>100</v>
      </c>
      <c r="G291" s="57">
        <v>100</v>
      </c>
      <c r="H291" s="60">
        <f t="shared" si="6"/>
        <v>35</v>
      </c>
      <c r="I291" s="52" t="s">
        <v>2</v>
      </c>
      <c r="J291" s="56" t="s">
        <v>149</v>
      </c>
    </row>
    <row r="292" spans="1:10" x14ac:dyDescent="0.2">
      <c r="A292" s="165">
        <v>8</v>
      </c>
      <c r="B292" s="160" t="s">
        <v>13</v>
      </c>
      <c r="C292" s="84" t="s">
        <v>270</v>
      </c>
      <c r="D292" s="42">
        <v>1</v>
      </c>
      <c r="E292" s="57">
        <v>47</v>
      </c>
      <c r="F292" s="57"/>
      <c r="G292" s="57">
        <v>90</v>
      </c>
      <c r="H292" s="60">
        <f t="shared" si="6"/>
        <v>43</v>
      </c>
      <c r="I292" s="52" t="s">
        <v>2</v>
      </c>
      <c r="J292" s="117" t="s">
        <v>294</v>
      </c>
    </row>
    <row r="293" spans="1:10" x14ac:dyDescent="0.2">
      <c r="A293" s="165">
        <v>8</v>
      </c>
      <c r="B293" s="160" t="s">
        <v>13</v>
      </c>
      <c r="C293" s="84" t="s">
        <v>174</v>
      </c>
      <c r="D293" s="42">
        <v>6</v>
      </c>
      <c r="E293" s="57">
        <f>2*D293</f>
        <v>12</v>
      </c>
      <c r="F293" s="57"/>
      <c r="G293" s="57">
        <v>30</v>
      </c>
      <c r="H293" s="60">
        <f t="shared" si="6"/>
        <v>18</v>
      </c>
      <c r="I293" s="52" t="s">
        <v>2</v>
      </c>
      <c r="J293" s="117" t="s">
        <v>294</v>
      </c>
    </row>
    <row r="294" spans="1:10" x14ac:dyDescent="0.2">
      <c r="A294" s="165">
        <v>8</v>
      </c>
      <c r="B294" s="160" t="s">
        <v>13</v>
      </c>
      <c r="C294" s="84" t="s">
        <v>311</v>
      </c>
      <c r="D294" s="42">
        <v>1</v>
      </c>
      <c r="E294" s="57">
        <v>21</v>
      </c>
      <c r="F294" s="57">
        <v>40</v>
      </c>
      <c r="G294" s="57">
        <v>40</v>
      </c>
      <c r="H294" s="60">
        <f t="shared" si="6"/>
        <v>19</v>
      </c>
      <c r="I294" s="52" t="s">
        <v>2</v>
      </c>
      <c r="J294" s="56" t="s">
        <v>149</v>
      </c>
    </row>
    <row r="295" spans="1:10" x14ac:dyDescent="0.2">
      <c r="A295" s="165">
        <v>8</v>
      </c>
      <c r="B295" s="160" t="s">
        <v>13</v>
      </c>
      <c r="C295" s="84" t="s">
        <v>140</v>
      </c>
      <c r="D295" s="42">
        <v>1</v>
      </c>
      <c r="E295" s="57">
        <v>5</v>
      </c>
      <c r="F295" s="57">
        <v>15</v>
      </c>
      <c r="G295" s="57">
        <v>15</v>
      </c>
      <c r="H295" s="60">
        <f t="shared" si="6"/>
        <v>10</v>
      </c>
      <c r="I295" s="52" t="s">
        <v>2</v>
      </c>
      <c r="J295" s="56" t="s">
        <v>149</v>
      </c>
    </row>
    <row r="296" spans="1:10" x14ac:dyDescent="0.2">
      <c r="A296" s="165">
        <v>8</v>
      </c>
      <c r="B296" s="160" t="s">
        <v>13</v>
      </c>
      <c r="C296" s="84" t="s">
        <v>195</v>
      </c>
      <c r="D296" s="42">
        <v>1</v>
      </c>
      <c r="E296" s="57">
        <v>41</v>
      </c>
      <c r="F296" s="57">
        <v>65</v>
      </c>
      <c r="G296" s="57">
        <v>65</v>
      </c>
      <c r="H296" s="60">
        <f t="shared" si="6"/>
        <v>24</v>
      </c>
      <c r="I296" s="52" t="s">
        <v>2</v>
      </c>
      <c r="J296" s="56" t="s">
        <v>196</v>
      </c>
    </row>
    <row r="297" spans="1:10" x14ac:dyDescent="0.2">
      <c r="A297" s="165">
        <v>8</v>
      </c>
      <c r="B297" s="160" t="s">
        <v>13</v>
      </c>
      <c r="C297" s="84" t="s">
        <v>173</v>
      </c>
      <c r="D297" s="42">
        <v>1</v>
      </c>
      <c r="E297" s="57">
        <v>27</v>
      </c>
      <c r="F297" s="57">
        <v>40</v>
      </c>
      <c r="G297" s="57">
        <v>40</v>
      </c>
      <c r="H297" s="60">
        <f t="shared" si="6"/>
        <v>13</v>
      </c>
      <c r="I297" s="52" t="s">
        <v>2</v>
      </c>
      <c r="J297" s="56" t="s">
        <v>149</v>
      </c>
    </row>
    <row r="298" spans="1:10" x14ac:dyDescent="0.2">
      <c r="A298" s="165">
        <v>8</v>
      </c>
      <c r="B298" s="160" t="s">
        <v>13</v>
      </c>
      <c r="C298" s="84" t="s">
        <v>236</v>
      </c>
      <c r="D298" s="42">
        <v>1</v>
      </c>
      <c r="E298" s="57">
        <v>3</v>
      </c>
      <c r="F298" s="57"/>
      <c r="G298" s="57">
        <v>5.99</v>
      </c>
      <c r="H298" s="60">
        <f t="shared" si="6"/>
        <v>2.99</v>
      </c>
      <c r="I298" s="52" t="s">
        <v>2</v>
      </c>
      <c r="J298" s="117" t="s">
        <v>294</v>
      </c>
    </row>
    <row r="299" spans="1:10" x14ac:dyDescent="0.2">
      <c r="A299" s="165">
        <v>8</v>
      </c>
      <c r="B299" s="160" t="s">
        <v>13</v>
      </c>
      <c r="C299" s="84" t="s">
        <v>236</v>
      </c>
      <c r="D299" s="42">
        <v>5</v>
      </c>
      <c r="E299" s="57">
        <f>3*5</f>
        <v>15</v>
      </c>
      <c r="F299" s="57"/>
      <c r="G299" s="57">
        <v>29.96</v>
      </c>
      <c r="H299" s="60">
        <f t="shared" si="6"/>
        <v>14.96</v>
      </c>
      <c r="I299" s="52" t="s">
        <v>2</v>
      </c>
      <c r="J299" s="117" t="s">
        <v>294</v>
      </c>
    </row>
    <row r="300" spans="1:10" x14ac:dyDescent="0.2">
      <c r="A300" s="165">
        <v>8</v>
      </c>
      <c r="B300" s="160" t="s">
        <v>13</v>
      </c>
      <c r="C300" s="84" t="s">
        <v>236</v>
      </c>
      <c r="D300" s="42">
        <v>5</v>
      </c>
      <c r="E300" s="57">
        <f>3*5</f>
        <v>15</v>
      </c>
      <c r="F300" s="57"/>
      <c r="G300" s="57">
        <v>29.96</v>
      </c>
      <c r="H300" s="60">
        <f t="shared" si="6"/>
        <v>14.96</v>
      </c>
      <c r="I300" s="52" t="s">
        <v>2</v>
      </c>
      <c r="J300" s="117" t="s">
        <v>294</v>
      </c>
    </row>
    <row r="301" spans="1:10" x14ac:dyDescent="0.2">
      <c r="A301" s="165">
        <v>8</v>
      </c>
      <c r="B301" s="160" t="s">
        <v>13</v>
      </c>
      <c r="C301" s="84" t="s">
        <v>236</v>
      </c>
      <c r="D301" s="42">
        <v>4</v>
      </c>
      <c r="E301" s="57">
        <f>D301*2.5</f>
        <v>10</v>
      </c>
      <c r="F301" s="57"/>
      <c r="G301" s="57">
        <v>35.700000000000003</v>
      </c>
      <c r="H301" s="60">
        <f t="shared" si="6"/>
        <v>25.700000000000003</v>
      </c>
      <c r="I301" s="52" t="s">
        <v>2</v>
      </c>
      <c r="J301" s="117" t="s">
        <v>294</v>
      </c>
    </row>
    <row r="302" spans="1:10" x14ac:dyDescent="0.2">
      <c r="A302" s="165">
        <v>8</v>
      </c>
      <c r="B302" s="160" t="s">
        <v>13</v>
      </c>
      <c r="C302" s="84" t="s">
        <v>247</v>
      </c>
      <c r="D302" s="42">
        <v>1</v>
      </c>
      <c r="E302" s="57"/>
      <c r="F302" s="57"/>
      <c r="G302" s="57">
        <v>19.739999999999998</v>
      </c>
      <c r="H302" s="60">
        <f t="shared" si="6"/>
        <v>19.739999999999998</v>
      </c>
      <c r="I302" s="52" t="s">
        <v>2</v>
      </c>
      <c r="J302" s="117" t="s">
        <v>294</v>
      </c>
    </row>
    <row r="303" spans="1:10" x14ac:dyDescent="0.2">
      <c r="A303" s="165">
        <v>8</v>
      </c>
      <c r="B303" s="160" t="s">
        <v>13</v>
      </c>
      <c r="C303" s="84" t="s">
        <v>199</v>
      </c>
      <c r="D303" s="42">
        <v>1</v>
      </c>
      <c r="E303" s="57"/>
      <c r="F303" s="57"/>
      <c r="G303" s="57">
        <v>36.409999999999997</v>
      </c>
      <c r="H303" s="60">
        <f t="shared" si="6"/>
        <v>36.409999999999997</v>
      </c>
      <c r="I303" s="52" t="s">
        <v>2</v>
      </c>
      <c r="J303" s="117" t="s">
        <v>294</v>
      </c>
    </row>
    <row r="304" spans="1:10" x14ac:dyDescent="0.2">
      <c r="A304" s="165">
        <v>8</v>
      </c>
      <c r="B304" s="160" t="s">
        <v>13</v>
      </c>
      <c r="C304" s="84" t="s">
        <v>187</v>
      </c>
      <c r="D304" s="42">
        <v>1</v>
      </c>
      <c r="E304" s="57">
        <f>6.5/12</f>
        <v>0.54166666666666663</v>
      </c>
      <c r="F304" s="57"/>
      <c r="G304" s="57">
        <v>1</v>
      </c>
      <c r="H304" s="60">
        <f t="shared" si="6"/>
        <v>0.45833333333333337</v>
      </c>
      <c r="I304" s="52" t="s">
        <v>2</v>
      </c>
      <c r="J304" s="117" t="s">
        <v>294</v>
      </c>
    </row>
    <row r="305" spans="1:10" x14ac:dyDescent="0.2">
      <c r="A305" s="165">
        <v>8</v>
      </c>
      <c r="B305" s="160" t="s">
        <v>13</v>
      </c>
      <c r="C305" s="84" t="s">
        <v>179</v>
      </c>
      <c r="D305" s="42">
        <v>1</v>
      </c>
      <c r="E305" s="57">
        <v>25</v>
      </c>
      <c r="F305" s="57"/>
      <c r="G305" s="57">
        <v>50</v>
      </c>
      <c r="H305" s="60">
        <f t="shared" si="6"/>
        <v>25</v>
      </c>
      <c r="I305" s="52" t="s">
        <v>2</v>
      </c>
      <c r="J305" s="117" t="s">
        <v>294</v>
      </c>
    </row>
    <row r="306" spans="1:10" x14ac:dyDescent="0.2">
      <c r="A306" s="165">
        <v>8</v>
      </c>
      <c r="B306" s="160" t="s">
        <v>13</v>
      </c>
      <c r="C306" s="84" t="s">
        <v>179</v>
      </c>
      <c r="D306" s="42">
        <v>1</v>
      </c>
      <c r="E306" s="57">
        <v>25</v>
      </c>
      <c r="F306" s="57"/>
      <c r="G306" s="57">
        <v>57.31</v>
      </c>
      <c r="H306" s="60">
        <f t="shared" si="6"/>
        <v>32.31</v>
      </c>
      <c r="I306" s="52" t="s">
        <v>2</v>
      </c>
      <c r="J306" s="117" t="s">
        <v>294</v>
      </c>
    </row>
    <row r="307" spans="1:10" x14ac:dyDescent="0.2">
      <c r="A307" s="165">
        <v>8</v>
      </c>
      <c r="B307" s="160" t="s">
        <v>13</v>
      </c>
      <c r="C307" s="84" t="s">
        <v>178</v>
      </c>
      <c r="D307" s="42">
        <v>1</v>
      </c>
      <c r="E307" s="57">
        <v>10</v>
      </c>
      <c r="F307" s="57"/>
      <c r="G307" s="57">
        <v>22</v>
      </c>
      <c r="H307" s="60">
        <f t="shared" si="6"/>
        <v>12</v>
      </c>
      <c r="I307" s="52" t="s">
        <v>2</v>
      </c>
      <c r="J307" s="117" t="s">
        <v>294</v>
      </c>
    </row>
    <row r="308" spans="1:10" x14ac:dyDescent="0.2">
      <c r="A308" s="165">
        <v>8</v>
      </c>
      <c r="B308" s="160" t="s">
        <v>13</v>
      </c>
      <c r="C308" s="84" t="s">
        <v>97</v>
      </c>
      <c r="D308" s="42">
        <v>1</v>
      </c>
      <c r="E308" s="57">
        <v>85</v>
      </c>
      <c r="F308" s="57"/>
      <c r="G308" s="57">
        <v>103.3</v>
      </c>
      <c r="H308" s="60">
        <f t="shared" si="6"/>
        <v>18.299999999999997</v>
      </c>
      <c r="I308" s="52" t="s">
        <v>2</v>
      </c>
      <c r="J308" s="117" t="s">
        <v>294</v>
      </c>
    </row>
    <row r="309" spans="1:10" x14ac:dyDescent="0.2">
      <c r="A309" s="165">
        <v>8</v>
      </c>
      <c r="B309" s="160" t="s">
        <v>13</v>
      </c>
      <c r="C309" s="84" t="s">
        <v>191</v>
      </c>
      <c r="D309" s="42">
        <v>1</v>
      </c>
      <c r="E309" s="57">
        <v>35</v>
      </c>
      <c r="F309" s="57">
        <v>42.5</v>
      </c>
      <c r="G309" s="57">
        <v>42.5</v>
      </c>
      <c r="H309" s="60">
        <f t="shared" si="6"/>
        <v>7.5</v>
      </c>
      <c r="I309" s="52" t="s">
        <v>2</v>
      </c>
      <c r="J309" s="56" t="s">
        <v>196</v>
      </c>
    </row>
    <row r="310" spans="1:10" x14ac:dyDescent="0.2">
      <c r="A310" s="165">
        <v>8</v>
      </c>
      <c r="B310" s="160" t="s">
        <v>13</v>
      </c>
      <c r="C310" s="84" t="s">
        <v>316</v>
      </c>
      <c r="D310" s="42">
        <v>1</v>
      </c>
      <c r="E310" s="57">
        <v>5</v>
      </c>
      <c r="F310" s="57">
        <v>10</v>
      </c>
      <c r="G310" s="57">
        <v>10</v>
      </c>
      <c r="H310" s="60">
        <f t="shared" si="6"/>
        <v>5</v>
      </c>
      <c r="I310" s="52" t="s">
        <v>2</v>
      </c>
      <c r="J310" s="56" t="s">
        <v>149</v>
      </c>
    </row>
    <row r="311" spans="1:10" x14ac:dyDescent="0.2">
      <c r="A311" s="165">
        <v>8</v>
      </c>
      <c r="B311" s="160" t="s">
        <v>13</v>
      </c>
      <c r="C311" s="84" t="s">
        <v>186</v>
      </c>
      <c r="D311" s="42">
        <v>1</v>
      </c>
      <c r="E311" s="57">
        <v>25</v>
      </c>
      <c r="F311" s="57">
        <v>50</v>
      </c>
      <c r="G311" s="57">
        <v>50</v>
      </c>
      <c r="H311" s="60">
        <f t="shared" si="6"/>
        <v>25</v>
      </c>
      <c r="I311" s="52" t="s">
        <v>2</v>
      </c>
      <c r="J311" s="56" t="s">
        <v>149</v>
      </c>
    </row>
    <row r="312" spans="1:10" x14ac:dyDescent="0.2">
      <c r="A312" s="165">
        <v>8</v>
      </c>
      <c r="B312" s="160" t="s">
        <v>13</v>
      </c>
      <c r="C312" s="84" t="s">
        <v>138</v>
      </c>
      <c r="D312" s="42">
        <v>1</v>
      </c>
      <c r="E312" s="57">
        <v>14</v>
      </c>
      <c r="F312" s="57">
        <v>20</v>
      </c>
      <c r="G312" s="57">
        <v>20</v>
      </c>
      <c r="H312" s="60">
        <f t="shared" si="6"/>
        <v>6</v>
      </c>
      <c r="I312" s="52" t="s">
        <v>2</v>
      </c>
      <c r="J312" s="56" t="s">
        <v>196</v>
      </c>
    </row>
    <row r="313" spans="1:10" x14ac:dyDescent="0.2">
      <c r="A313" s="165">
        <v>8</v>
      </c>
      <c r="B313" s="160" t="s">
        <v>13</v>
      </c>
      <c r="C313" s="84" t="s">
        <v>138</v>
      </c>
      <c r="D313" s="42">
        <v>1</v>
      </c>
      <c r="E313" s="57">
        <v>4</v>
      </c>
      <c r="F313" s="57"/>
      <c r="G313" s="57">
        <v>7.6</v>
      </c>
      <c r="H313" s="60">
        <f t="shared" si="6"/>
        <v>3.5999999999999996</v>
      </c>
      <c r="I313" s="52" t="s">
        <v>2</v>
      </c>
      <c r="J313" s="117" t="s">
        <v>294</v>
      </c>
    </row>
    <row r="314" spans="1:10" x14ac:dyDescent="0.2">
      <c r="A314" s="165">
        <v>8</v>
      </c>
      <c r="B314" s="160" t="s">
        <v>13</v>
      </c>
      <c r="C314" s="84" t="s">
        <v>318</v>
      </c>
      <c r="D314" s="42">
        <v>1</v>
      </c>
      <c r="E314" s="57">
        <v>33</v>
      </c>
      <c r="F314" s="57"/>
      <c r="G314" s="57">
        <v>56.6</v>
      </c>
      <c r="H314" s="60">
        <f t="shared" si="6"/>
        <v>23.6</v>
      </c>
      <c r="I314" s="52" t="s">
        <v>2</v>
      </c>
      <c r="J314" s="117" t="s">
        <v>294</v>
      </c>
    </row>
    <row r="315" spans="1:10" x14ac:dyDescent="0.2">
      <c r="A315" s="165">
        <v>8</v>
      </c>
      <c r="B315" s="160" t="s">
        <v>13</v>
      </c>
      <c r="C315" s="84" t="s">
        <v>318</v>
      </c>
      <c r="D315" s="42">
        <v>1</v>
      </c>
      <c r="E315" s="57">
        <v>33</v>
      </c>
      <c r="F315" s="57"/>
      <c r="G315" s="57">
        <v>56.6</v>
      </c>
      <c r="H315" s="60">
        <f t="shared" si="6"/>
        <v>23.6</v>
      </c>
      <c r="I315" s="52" t="s">
        <v>2</v>
      </c>
      <c r="J315" s="117" t="s">
        <v>294</v>
      </c>
    </row>
    <row r="316" spans="1:10" x14ac:dyDescent="0.2">
      <c r="A316" s="165">
        <v>8</v>
      </c>
      <c r="B316" s="160" t="s">
        <v>13</v>
      </c>
      <c r="C316" s="84" t="s">
        <v>318</v>
      </c>
      <c r="D316" s="42">
        <v>1</v>
      </c>
      <c r="E316" s="57">
        <v>33</v>
      </c>
      <c r="F316" s="57"/>
      <c r="G316" s="57">
        <v>61.35</v>
      </c>
      <c r="H316" s="60">
        <f t="shared" si="6"/>
        <v>28.35</v>
      </c>
      <c r="I316" s="52" t="s">
        <v>2</v>
      </c>
      <c r="J316" s="117" t="s">
        <v>294</v>
      </c>
    </row>
    <row r="317" spans="1:10" x14ac:dyDescent="0.2">
      <c r="A317" s="165">
        <v>8</v>
      </c>
      <c r="B317" s="160" t="s">
        <v>13</v>
      </c>
      <c r="C317" s="84" t="s">
        <v>241</v>
      </c>
      <c r="D317" s="42">
        <v>1</v>
      </c>
      <c r="E317" s="57">
        <v>3.5</v>
      </c>
      <c r="F317" s="57"/>
      <c r="G317" s="57">
        <v>10</v>
      </c>
      <c r="H317" s="60">
        <f t="shared" si="6"/>
        <v>6.5</v>
      </c>
      <c r="I317" s="52" t="s">
        <v>2</v>
      </c>
      <c r="J317" s="117" t="s">
        <v>294</v>
      </c>
    </row>
    <row r="318" spans="1:10" x14ac:dyDescent="0.2">
      <c r="A318" s="165">
        <v>8</v>
      </c>
      <c r="B318" s="160" t="s">
        <v>13</v>
      </c>
      <c r="C318" s="84" t="s">
        <v>192</v>
      </c>
      <c r="D318" s="42">
        <v>1</v>
      </c>
      <c r="E318" s="57">
        <v>45</v>
      </c>
      <c r="F318" s="57">
        <v>80</v>
      </c>
      <c r="G318" s="57">
        <v>80</v>
      </c>
      <c r="H318" s="60">
        <f t="shared" ref="H318:H381" si="7">G318-E318</f>
        <v>35</v>
      </c>
      <c r="I318" s="52" t="s">
        <v>2</v>
      </c>
      <c r="J318" s="56" t="s">
        <v>149</v>
      </c>
    </row>
    <row r="319" spans="1:10" x14ac:dyDescent="0.2">
      <c r="A319" s="165">
        <v>8</v>
      </c>
      <c r="B319" s="160" t="s">
        <v>13</v>
      </c>
      <c r="C319" s="84" t="s">
        <v>172</v>
      </c>
      <c r="D319" s="42">
        <v>1</v>
      </c>
      <c r="E319" s="57">
        <v>35</v>
      </c>
      <c r="F319" s="57">
        <v>80</v>
      </c>
      <c r="G319" s="57">
        <v>80</v>
      </c>
      <c r="H319" s="60">
        <f t="shared" si="7"/>
        <v>45</v>
      </c>
      <c r="I319" s="52" t="s">
        <v>2</v>
      </c>
      <c r="J319" s="56" t="s">
        <v>149</v>
      </c>
    </row>
    <row r="320" spans="1:10" x14ac:dyDescent="0.2">
      <c r="A320" s="165">
        <v>8</v>
      </c>
      <c r="B320" s="160" t="s">
        <v>13</v>
      </c>
      <c r="C320" s="84" t="s">
        <v>172</v>
      </c>
      <c r="D320" s="42">
        <v>1</v>
      </c>
      <c r="E320" s="57">
        <v>35</v>
      </c>
      <c r="F320" s="57">
        <v>80</v>
      </c>
      <c r="G320" s="57">
        <v>80</v>
      </c>
      <c r="H320" s="60">
        <f t="shared" si="7"/>
        <v>45</v>
      </c>
      <c r="I320" s="52" t="s">
        <v>2</v>
      </c>
      <c r="J320" s="56" t="s">
        <v>149</v>
      </c>
    </row>
    <row r="321" spans="1:10" x14ac:dyDescent="0.2">
      <c r="A321" s="165">
        <v>8</v>
      </c>
      <c r="B321" s="160" t="s">
        <v>13</v>
      </c>
      <c r="C321" s="84" t="s">
        <v>215</v>
      </c>
      <c r="D321" s="42">
        <v>1</v>
      </c>
      <c r="E321" s="57">
        <v>3.5</v>
      </c>
      <c r="F321" s="57"/>
      <c r="G321" s="57">
        <v>10</v>
      </c>
      <c r="H321" s="60">
        <f t="shared" si="7"/>
        <v>6.5</v>
      </c>
      <c r="I321" s="52" t="s">
        <v>2</v>
      </c>
      <c r="J321" s="117" t="s">
        <v>294</v>
      </c>
    </row>
    <row r="322" spans="1:10" x14ac:dyDescent="0.2">
      <c r="A322" s="165">
        <v>8</v>
      </c>
      <c r="B322" s="160" t="s">
        <v>13</v>
      </c>
      <c r="C322" s="84" t="s">
        <v>215</v>
      </c>
      <c r="D322" s="42">
        <v>1</v>
      </c>
      <c r="E322" s="57">
        <v>4</v>
      </c>
      <c r="F322" s="57"/>
      <c r="G322" s="57">
        <v>10.8</v>
      </c>
      <c r="H322" s="60">
        <f t="shared" si="7"/>
        <v>6.8000000000000007</v>
      </c>
      <c r="I322" s="52" t="s">
        <v>2</v>
      </c>
      <c r="J322" s="117" t="s">
        <v>294</v>
      </c>
    </row>
    <row r="323" spans="1:10" x14ac:dyDescent="0.2">
      <c r="A323" s="165">
        <v>8</v>
      </c>
      <c r="B323" s="160" t="s">
        <v>13</v>
      </c>
      <c r="C323" s="84" t="s">
        <v>171</v>
      </c>
      <c r="D323" s="42">
        <v>1</v>
      </c>
      <c r="E323" s="57">
        <v>20</v>
      </c>
      <c r="F323" s="57">
        <v>25</v>
      </c>
      <c r="G323" s="57">
        <v>25</v>
      </c>
      <c r="H323" s="60">
        <f t="shared" si="7"/>
        <v>5</v>
      </c>
      <c r="I323" s="52" t="s">
        <v>2</v>
      </c>
      <c r="J323" s="56" t="s">
        <v>196</v>
      </c>
    </row>
    <row r="324" spans="1:10" x14ac:dyDescent="0.2">
      <c r="A324" s="165">
        <v>8</v>
      </c>
      <c r="B324" s="160" t="s">
        <v>13</v>
      </c>
      <c r="C324" s="84" t="s">
        <v>113</v>
      </c>
      <c r="D324" s="42">
        <v>1</v>
      </c>
      <c r="E324" s="57">
        <v>7</v>
      </c>
      <c r="F324" s="57"/>
      <c r="G324" s="57">
        <v>14</v>
      </c>
      <c r="H324" s="60">
        <f t="shared" si="7"/>
        <v>7</v>
      </c>
      <c r="I324" s="52" t="s">
        <v>2</v>
      </c>
      <c r="J324" s="117" t="s">
        <v>294</v>
      </c>
    </row>
    <row r="325" spans="1:10" x14ac:dyDescent="0.2">
      <c r="A325" s="165">
        <v>8</v>
      </c>
      <c r="B325" s="160" t="s">
        <v>13</v>
      </c>
      <c r="C325" s="84" t="s">
        <v>177</v>
      </c>
      <c r="D325" s="42">
        <v>1</v>
      </c>
      <c r="E325" s="57">
        <v>20</v>
      </c>
      <c r="F325" s="57"/>
      <c r="G325" s="57">
        <v>30</v>
      </c>
      <c r="H325" s="60">
        <f t="shared" si="7"/>
        <v>10</v>
      </c>
      <c r="I325" s="52" t="s">
        <v>2</v>
      </c>
      <c r="J325" s="117" t="s">
        <v>294</v>
      </c>
    </row>
    <row r="326" spans="1:10" x14ac:dyDescent="0.2">
      <c r="A326" s="165">
        <v>8</v>
      </c>
      <c r="B326" s="160" t="s">
        <v>13</v>
      </c>
      <c r="C326" s="84" t="s">
        <v>320</v>
      </c>
      <c r="D326" s="42">
        <v>1</v>
      </c>
      <c r="E326" s="57">
        <v>10</v>
      </c>
      <c r="F326" s="57">
        <v>30</v>
      </c>
      <c r="G326" s="57">
        <v>30</v>
      </c>
      <c r="H326" s="60">
        <f t="shared" si="7"/>
        <v>20</v>
      </c>
      <c r="I326" s="52" t="s">
        <v>2</v>
      </c>
      <c r="J326" s="56" t="s">
        <v>149</v>
      </c>
    </row>
    <row r="327" spans="1:10" x14ac:dyDescent="0.2">
      <c r="A327" s="165">
        <v>8</v>
      </c>
      <c r="B327" s="160" t="s">
        <v>13</v>
      </c>
      <c r="C327" s="84" t="s">
        <v>184</v>
      </c>
      <c r="D327" s="42">
        <v>1</v>
      </c>
      <c r="E327" s="57">
        <v>0</v>
      </c>
      <c r="F327" s="57">
        <v>54.45</v>
      </c>
      <c r="G327" s="57">
        <v>54.45</v>
      </c>
      <c r="H327" s="60">
        <f t="shared" si="7"/>
        <v>54.45</v>
      </c>
      <c r="I327" s="52" t="s">
        <v>2</v>
      </c>
      <c r="J327" s="56" t="s">
        <v>196</v>
      </c>
    </row>
    <row r="328" spans="1:10" x14ac:dyDescent="0.2">
      <c r="A328" s="165">
        <v>8</v>
      </c>
      <c r="B328" s="160" t="s">
        <v>13</v>
      </c>
      <c r="C328" s="84" t="s">
        <v>189</v>
      </c>
      <c r="D328" s="42">
        <v>1</v>
      </c>
      <c r="E328" s="57">
        <v>6</v>
      </c>
      <c r="F328" s="57">
        <v>15</v>
      </c>
      <c r="G328" s="57">
        <v>15</v>
      </c>
      <c r="H328" s="60">
        <f t="shared" si="7"/>
        <v>9</v>
      </c>
      <c r="I328" s="52" t="s">
        <v>2</v>
      </c>
      <c r="J328" s="56" t="s">
        <v>149</v>
      </c>
    </row>
    <row r="329" spans="1:10" x14ac:dyDescent="0.2">
      <c r="A329" s="165">
        <v>8</v>
      </c>
      <c r="B329" s="160" t="s">
        <v>13</v>
      </c>
      <c r="C329" s="84" t="s">
        <v>190</v>
      </c>
      <c r="D329" s="42">
        <v>1</v>
      </c>
      <c r="E329" s="57">
        <v>10</v>
      </c>
      <c r="F329" s="57">
        <v>20</v>
      </c>
      <c r="G329" s="57">
        <v>20</v>
      </c>
      <c r="H329" s="60">
        <f t="shared" si="7"/>
        <v>10</v>
      </c>
      <c r="I329" s="52" t="s">
        <v>2</v>
      </c>
      <c r="J329" s="56" t="s">
        <v>149</v>
      </c>
    </row>
    <row r="330" spans="1:10" x14ac:dyDescent="0.2">
      <c r="A330" s="165">
        <v>8</v>
      </c>
      <c r="B330" s="160" t="s">
        <v>13</v>
      </c>
      <c r="C330" s="84" t="s">
        <v>193</v>
      </c>
      <c r="D330" s="42">
        <v>1</v>
      </c>
      <c r="E330" s="57">
        <v>7</v>
      </c>
      <c r="F330" s="57"/>
      <c r="G330" s="57">
        <v>17.2</v>
      </c>
      <c r="H330" s="60">
        <f t="shared" si="7"/>
        <v>10.199999999999999</v>
      </c>
      <c r="I330" s="52" t="s">
        <v>2</v>
      </c>
      <c r="J330" s="117" t="s">
        <v>294</v>
      </c>
    </row>
    <row r="331" spans="1:10" x14ac:dyDescent="0.2">
      <c r="A331" s="165">
        <v>8</v>
      </c>
      <c r="B331" s="160" t="s">
        <v>13</v>
      </c>
      <c r="C331" s="84" t="s">
        <v>210</v>
      </c>
      <c r="D331" s="42">
        <v>1</v>
      </c>
      <c r="E331" s="57">
        <v>7</v>
      </c>
      <c r="F331" s="57"/>
      <c r="G331" s="57">
        <v>14.99</v>
      </c>
      <c r="H331" s="60">
        <f t="shared" si="7"/>
        <v>7.99</v>
      </c>
      <c r="I331" s="52" t="s">
        <v>2</v>
      </c>
      <c r="J331" s="117" t="s">
        <v>294</v>
      </c>
    </row>
    <row r="332" spans="1:10" x14ac:dyDescent="0.2">
      <c r="A332" s="165">
        <v>8</v>
      </c>
      <c r="B332" s="160" t="s">
        <v>13</v>
      </c>
      <c r="C332" s="84" t="s">
        <v>210</v>
      </c>
      <c r="D332" s="42">
        <v>1</v>
      </c>
      <c r="E332" s="57">
        <v>7</v>
      </c>
      <c r="F332" s="57"/>
      <c r="G332" s="57">
        <v>19.57</v>
      </c>
      <c r="H332" s="60">
        <f t="shared" si="7"/>
        <v>12.57</v>
      </c>
      <c r="I332" s="52" t="s">
        <v>2</v>
      </c>
      <c r="J332" s="117" t="s">
        <v>294</v>
      </c>
    </row>
    <row r="333" spans="1:10" x14ac:dyDescent="0.2">
      <c r="A333" s="165">
        <v>8</v>
      </c>
      <c r="B333" s="160" t="s">
        <v>13</v>
      </c>
      <c r="C333" s="84" t="s">
        <v>319</v>
      </c>
      <c r="D333" s="42">
        <v>1</v>
      </c>
      <c r="E333" s="57">
        <v>20</v>
      </c>
      <c r="F333" s="57"/>
      <c r="G333" s="57">
        <v>38</v>
      </c>
      <c r="H333" s="60">
        <f t="shared" si="7"/>
        <v>18</v>
      </c>
      <c r="I333" s="52" t="s">
        <v>2</v>
      </c>
      <c r="J333" s="117" t="s">
        <v>294</v>
      </c>
    </row>
    <row r="334" spans="1:10" x14ac:dyDescent="0.2">
      <c r="A334" s="165">
        <v>8</v>
      </c>
      <c r="B334" s="160" t="s">
        <v>13</v>
      </c>
      <c r="C334" s="84" t="s">
        <v>182</v>
      </c>
      <c r="D334" s="42">
        <v>1</v>
      </c>
      <c r="E334" s="57">
        <v>0</v>
      </c>
      <c r="F334" s="57">
        <v>40</v>
      </c>
      <c r="G334" s="57">
        <v>40</v>
      </c>
      <c r="H334" s="60">
        <f t="shared" si="7"/>
        <v>40</v>
      </c>
      <c r="I334" s="52" t="s">
        <v>2</v>
      </c>
      <c r="J334" s="56" t="s">
        <v>196</v>
      </c>
    </row>
    <row r="335" spans="1:10" x14ac:dyDescent="0.2">
      <c r="A335" s="165">
        <v>8</v>
      </c>
      <c r="B335" s="160" t="s">
        <v>13</v>
      </c>
      <c r="C335" s="41" t="s">
        <v>322</v>
      </c>
      <c r="D335" s="42">
        <v>4</v>
      </c>
      <c r="E335" s="57">
        <v>4</v>
      </c>
      <c r="F335" s="57"/>
      <c r="G335" s="57">
        <v>8</v>
      </c>
      <c r="H335" s="60">
        <f t="shared" si="7"/>
        <v>4</v>
      </c>
      <c r="I335" s="52" t="s">
        <v>2</v>
      </c>
      <c r="J335" s="117" t="s">
        <v>294</v>
      </c>
    </row>
    <row r="336" spans="1:10" x14ac:dyDescent="0.2">
      <c r="A336" s="165">
        <v>8</v>
      </c>
      <c r="B336" s="160" t="s">
        <v>13</v>
      </c>
      <c r="C336" s="41" t="s">
        <v>322</v>
      </c>
      <c r="D336" s="42">
        <v>1</v>
      </c>
      <c r="E336" s="57">
        <v>1</v>
      </c>
      <c r="F336" s="57"/>
      <c r="G336" s="57">
        <v>4.8</v>
      </c>
      <c r="H336" s="60">
        <f t="shared" si="7"/>
        <v>3.8</v>
      </c>
      <c r="I336" s="52" t="s">
        <v>2</v>
      </c>
      <c r="J336" s="117" t="s">
        <v>294</v>
      </c>
    </row>
    <row r="337" spans="1:10" x14ac:dyDescent="0.2">
      <c r="A337" s="165">
        <v>8</v>
      </c>
      <c r="B337" s="160" t="s">
        <v>13</v>
      </c>
      <c r="C337" s="84" t="s">
        <v>148</v>
      </c>
      <c r="D337" s="42">
        <v>1</v>
      </c>
      <c r="E337" s="57">
        <v>24</v>
      </c>
      <c r="F337" s="57">
        <v>60</v>
      </c>
      <c r="G337" s="57">
        <v>60</v>
      </c>
      <c r="H337" s="60">
        <f t="shared" si="7"/>
        <v>36</v>
      </c>
      <c r="I337" s="52" t="s">
        <v>2</v>
      </c>
      <c r="J337" s="56" t="s">
        <v>149</v>
      </c>
    </row>
    <row r="338" spans="1:10" x14ac:dyDescent="0.2">
      <c r="A338" s="165">
        <v>8</v>
      </c>
      <c r="B338" s="160" t="s">
        <v>13</v>
      </c>
      <c r="C338" s="84" t="s">
        <v>198</v>
      </c>
      <c r="D338" s="42">
        <v>1</v>
      </c>
      <c r="E338" s="57">
        <v>13</v>
      </c>
      <c r="F338" s="57"/>
      <c r="G338" s="57">
        <v>20</v>
      </c>
      <c r="H338" s="60">
        <f t="shared" si="7"/>
        <v>7</v>
      </c>
      <c r="I338" s="52" t="s">
        <v>2</v>
      </c>
      <c r="J338" s="117" t="s">
        <v>294</v>
      </c>
    </row>
    <row r="339" spans="1:10" x14ac:dyDescent="0.2">
      <c r="A339" s="165">
        <v>8</v>
      </c>
      <c r="B339" s="160" t="s">
        <v>13</v>
      </c>
      <c r="C339" s="84" t="s">
        <v>185</v>
      </c>
      <c r="D339" s="42">
        <v>1</v>
      </c>
      <c r="E339" s="57">
        <v>110</v>
      </c>
      <c r="F339" s="57">
        <v>180</v>
      </c>
      <c r="G339" s="57">
        <v>180</v>
      </c>
      <c r="H339" s="60">
        <f t="shared" si="7"/>
        <v>70</v>
      </c>
      <c r="I339" s="52" t="s">
        <v>2</v>
      </c>
      <c r="J339" s="56" t="s">
        <v>149</v>
      </c>
    </row>
    <row r="340" spans="1:10" x14ac:dyDescent="0.2">
      <c r="A340" s="165">
        <v>8</v>
      </c>
      <c r="B340" s="160" t="s">
        <v>13</v>
      </c>
      <c r="C340" s="84" t="s">
        <v>194</v>
      </c>
      <c r="D340" s="42">
        <v>1</v>
      </c>
      <c r="E340" s="57">
        <v>20</v>
      </c>
      <c r="F340" s="57">
        <v>40</v>
      </c>
      <c r="G340" s="57">
        <v>40</v>
      </c>
      <c r="H340" s="60">
        <f t="shared" si="7"/>
        <v>20</v>
      </c>
      <c r="I340" s="52" t="s">
        <v>2</v>
      </c>
      <c r="J340" s="56" t="s">
        <v>149</v>
      </c>
    </row>
    <row r="341" spans="1:10" x14ac:dyDescent="0.2">
      <c r="A341" s="165">
        <v>9</v>
      </c>
      <c r="B341" s="160" t="s">
        <v>14</v>
      </c>
      <c r="C341" s="84" t="s">
        <v>305</v>
      </c>
      <c r="D341" s="42">
        <v>1</v>
      </c>
      <c r="E341" s="57">
        <v>4.5</v>
      </c>
      <c r="F341" s="57">
        <v>15</v>
      </c>
      <c r="G341" s="57">
        <v>15</v>
      </c>
      <c r="H341" s="60">
        <f t="shared" si="7"/>
        <v>10.5</v>
      </c>
      <c r="I341" s="52" t="s">
        <v>2</v>
      </c>
      <c r="J341" s="56" t="s">
        <v>149</v>
      </c>
    </row>
    <row r="342" spans="1:10" x14ac:dyDescent="0.2">
      <c r="A342" s="165">
        <v>9</v>
      </c>
      <c r="B342" s="160" t="s">
        <v>14</v>
      </c>
      <c r="C342" s="84" t="s">
        <v>175</v>
      </c>
      <c r="D342" s="42">
        <v>1</v>
      </c>
      <c r="E342" s="57">
        <v>7</v>
      </c>
      <c r="F342" s="57"/>
      <c r="G342" s="57">
        <v>14</v>
      </c>
      <c r="H342" s="60">
        <f t="shared" si="7"/>
        <v>7</v>
      </c>
      <c r="I342" s="52" t="s">
        <v>2</v>
      </c>
      <c r="J342" s="117" t="s">
        <v>294</v>
      </c>
    </row>
    <row r="343" spans="1:10" x14ac:dyDescent="0.2">
      <c r="A343" s="165">
        <v>9</v>
      </c>
      <c r="B343" s="160" t="s">
        <v>14</v>
      </c>
      <c r="C343" s="84" t="s">
        <v>207</v>
      </c>
      <c r="D343" s="42">
        <v>1</v>
      </c>
      <c r="E343" s="57">
        <v>0</v>
      </c>
      <c r="F343" s="57">
        <v>2000</v>
      </c>
      <c r="G343" s="57">
        <v>2000</v>
      </c>
      <c r="H343" s="60">
        <f t="shared" si="7"/>
        <v>2000</v>
      </c>
      <c r="I343" s="52" t="s">
        <v>2</v>
      </c>
      <c r="J343" s="56" t="s">
        <v>149</v>
      </c>
    </row>
    <row r="344" spans="1:10" x14ac:dyDescent="0.2">
      <c r="A344" s="165">
        <v>9</v>
      </c>
      <c r="B344" s="160" t="s">
        <v>14</v>
      </c>
      <c r="C344" s="84" t="s">
        <v>206</v>
      </c>
      <c r="D344" s="42">
        <v>2</v>
      </c>
      <c r="E344" s="57">
        <v>10</v>
      </c>
      <c r="F344" s="57"/>
      <c r="G344" s="57">
        <v>24</v>
      </c>
      <c r="H344" s="60">
        <f t="shared" si="7"/>
        <v>14</v>
      </c>
      <c r="I344" s="52" t="s">
        <v>2</v>
      </c>
      <c r="J344" s="56" t="s">
        <v>243</v>
      </c>
    </row>
    <row r="345" spans="1:10" x14ac:dyDescent="0.2">
      <c r="A345" s="165">
        <v>9</v>
      </c>
      <c r="B345" s="160" t="s">
        <v>14</v>
      </c>
      <c r="C345" s="84" t="s">
        <v>206</v>
      </c>
      <c r="D345" s="42">
        <v>1</v>
      </c>
      <c r="E345" s="57">
        <v>5.5</v>
      </c>
      <c r="F345" s="57"/>
      <c r="G345" s="57">
        <v>13.49</v>
      </c>
      <c r="H345" s="60">
        <f t="shared" si="7"/>
        <v>7.99</v>
      </c>
      <c r="I345" s="52" t="s">
        <v>2</v>
      </c>
      <c r="J345" s="117" t="s">
        <v>294</v>
      </c>
    </row>
    <row r="346" spans="1:10" x14ac:dyDescent="0.2">
      <c r="A346" s="165">
        <v>9</v>
      </c>
      <c r="B346" s="160" t="s">
        <v>14</v>
      </c>
      <c r="C346" s="84" t="s">
        <v>204</v>
      </c>
      <c r="D346" s="42">
        <v>1</v>
      </c>
      <c r="E346" s="57">
        <v>5</v>
      </c>
      <c r="F346" s="57">
        <v>10</v>
      </c>
      <c r="G346" s="57">
        <v>10</v>
      </c>
      <c r="H346" s="60">
        <f t="shared" si="7"/>
        <v>5</v>
      </c>
      <c r="I346" s="52" t="s">
        <v>2</v>
      </c>
      <c r="J346" s="56" t="s">
        <v>149</v>
      </c>
    </row>
    <row r="347" spans="1:10" x14ac:dyDescent="0.2">
      <c r="A347" s="165">
        <v>9</v>
      </c>
      <c r="B347" s="160" t="s">
        <v>14</v>
      </c>
      <c r="C347" s="84" t="s">
        <v>204</v>
      </c>
      <c r="D347" s="42">
        <v>1</v>
      </c>
      <c r="E347" s="57">
        <v>5</v>
      </c>
      <c r="F347" s="57">
        <v>10</v>
      </c>
      <c r="G347" s="57">
        <v>10</v>
      </c>
      <c r="H347" s="60">
        <f t="shared" si="7"/>
        <v>5</v>
      </c>
      <c r="I347" s="52" t="s">
        <v>2</v>
      </c>
      <c r="J347" s="56" t="s">
        <v>149</v>
      </c>
    </row>
    <row r="348" spans="1:10" x14ac:dyDescent="0.2">
      <c r="A348" s="165">
        <v>9</v>
      </c>
      <c r="B348" s="160" t="s">
        <v>14</v>
      </c>
      <c r="C348" s="84" t="s">
        <v>188</v>
      </c>
      <c r="D348" s="42">
        <v>2</v>
      </c>
      <c r="E348" s="57">
        <v>8</v>
      </c>
      <c r="F348" s="57"/>
      <c r="G348" s="57">
        <v>18.38</v>
      </c>
      <c r="H348" s="60">
        <f t="shared" si="7"/>
        <v>10.379999999999999</v>
      </c>
      <c r="I348" s="52" t="s">
        <v>2</v>
      </c>
      <c r="J348" s="117" t="s">
        <v>294</v>
      </c>
    </row>
    <row r="349" spans="1:10" x14ac:dyDescent="0.2">
      <c r="A349" s="165">
        <v>9</v>
      </c>
      <c r="B349" s="160" t="s">
        <v>14</v>
      </c>
      <c r="C349" s="84" t="s">
        <v>181</v>
      </c>
      <c r="D349" s="42">
        <v>1</v>
      </c>
      <c r="E349" s="57">
        <v>3.5</v>
      </c>
      <c r="F349" s="57"/>
      <c r="G349" s="57">
        <v>10</v>
      </c>
      <c r="H349" s="60">
        <f t="shared" si="7"/>
        <v>6.5</v>
      </c>
      <c r="I349" s="52" t="s">
        <v>2</v>
      </c>
      <c r="J349" s="117" t="s">
        <v>294</v>
      </c>
    </row>
    <row r="350" spans="1:10" x14ac:dyDescent="0.2">
      <c r="A350" s="165">
        <v>9</v>
      </c>
      <c r="B350" s="160" t="s">
        <v>14</v>
      </c>
      <c r="C350" s="84" t="s">
        <v>181</v>
      </c>
      <c r="D350" s="42">
        <v>1</v>
      </c>
      <c r="E350" s="57">
        <v>4</v>
      </c>
      <c r="F350" s="57"/>
      <c r="G350" s="57">
        <v>14.58</v>
      </c>
      <c r="H350" s="60">
        <f t="shared" si="7"/>
        <v>10.58</v>
      </c>
      <c r="I350" s="52" t="s">
        <v>2</v>
      </c>
      <c r="J350" s="117" t="s">
        <v>294</v>
      </c>
    </row>
    <row r="351" spans="1:10" x14ac:dyDescent="0.2">
      <c r="A351" s="165">
        <v>9</v>
      </c>
      <c r="B351" s="160" t="s">
        <v>14</v>
      </c>
      <c r="C351" s="84" t="s">
        <v>214</v>
      </c>
      <c r="D351" s="42">
        <v>1</v>
      </c>
      <c r="E351" s="57">
        <v>3</v>
      </c>
      <c r="F351" s="57">
        <v>6</v>
      </c>
      <c r="G351" s="57">
        <v>6</v>
      </c>
      <c r="H351" s="60">
        <f t="shared" si="7"/>
        <v>3</v>
      </c>
      <c r="I351" s="52" t="s">
        <v>2</v>
      </c>
      <c r="J351" s="56" t="s">
        <v>149</v>
      </c>
    </row>
    <row r="352" spans="1:10" x14ac:dyDescent="0.2">
      <c r="A352" s="165">
        <v>9</v>
      </c>
      <c r="B352" s="160" t="s">
        <v>14</v>
      </c>
      <c r="C352" s="84" t="s">
        <v>218</v>
      </c>
      <c r="D352" s="42">
        <v>1</v>
      </c>
      <c r="E352" s="57">
        <v>2.5</v>
      </c>
      <c r="F352" s="57"/>
      <c r="G352" s="57">
        <v>4.4000000000000004</v>
      </c>
      <c r="H352" s="60">
        <f t="shared" si="7"/>
        <v>1.9000000000000004</v>
      </c>
      <c r="I352" s="52" t="s">
        <v>2</v>
      </c>
      <c r="J352" s="56" t="s">
        <v>243</v>
      </c>
    </row>
    <row r="353" spans="1:10" x14ac:dyDescent="0.2">
      <c r="A353" s="165">
        <v>9</v>
      </c>
      <c r="B353" s="160" t="s">
        <v>14</v>
      </c>
      <c r="C353" s="83" t="s">
        <v>52</v>
      </c>
      <c r="D353" s="42">
        <v>1</v>
      </c>
      <c r="E353" s="57">
        <v>4</v>
      </c>
      <c r="F353" s="57">
        <v>10</v>
      </c>
      <c r="G353" s="57">
        <v>10</v>
      </c>
      <c r="H353" s="60">
        <f t="shared" si="7"/>
        <v>6</v>
      </c>
      <c r="I353" s="52" t="s">
        <v>2</v>
      </c>
      <c r="J353" s="56" t="s">
        <v>149</v>
      </c>
    </row>
    <row r="354" spans="1:10" x14ac:dyDescent="0.2">
      <c r="A354" s="165">
        <v>9</v>
      </c>
      <c r="B354" s="160" t="s">
        <v>14</v>
      </c>
      <c r="C354" s="84" t="s">
        <v>220</v>
      </c>
      <c r="D354" s="42">
        <v>1</v>
      </c>
      <c r="E354" s="57">
        <v>12</v>
      </c>
      <c r="F354" s="57">
        <v>25</v>
      </c>
      <c r="G354" s="57">
        <v>25</v>
      </c>
      <c r="H354" s="60">
        <f t="shared" si="7"/>
        <v>13</v>
      </c>
      <c r="I354" s="52" t="s">
        <v>2</v>
      </c>
      <c r="J354" s="56" t="s">
        <v>149</v>
      </c>
    </row>
    <row r="355" spans="1:10" x14ac:dyDescent="0.2">
      <c r="A355" s="165">
        <v>9</v>
      </c>
      <c r="B355" s="160" t="s">
        <v>14</v>
      </c>
      <c r="C355" s="84" t="s">
        <v>236</v>
      </c>
      <c r="D355" s="42">
        <v>1</v>
      </c>
      <c r="E355" s="57">
        <v>3</v>
      </c>
      <c r="F355" s="57"/>
      <c r="G355" s="57">
        <v>6.64</v>
      </c>
      <c r="H355" s="60">
        <f t="shared" si="7"/>
        <v>3.6399999999999997</v>
      </c>
      <c r="I355" s="52" t="s">
        <v>2</v>
      </c>
      <c r="J355" s="117" t="s">
        <v>294</v>
      </c>
    </row>
    <row r="356" spans="1:10" x14ac:dyDescent="0.2">
      <c r="A356" s="165">
        <v>9</v>
      </c>
      <c r="B356" s="160" t="s">
        <v>14</v>
      </c>
      <c r="C356" s="84" t="s">
        <v>236</v>
      </c>
      <c r="D356" s="42">
        <v>1</v>
      </c>
      <c r="E356" s="57">
        <v>3</v>
      </c>
      <c r="F356" s="57"/>
      <c r="G356" s="57">
        <v>5.99</v>
      </c>
      <c r="H356" s="60">
        <f t="shared" si="7"/>
        <v>2.99</v>
      </c>
      <c r="I356" s="52" t="s">
        <v>2</v>
      </c>
      <c r="J356" s="117" t="s">
        <v>294</v>
      </c>
    </row>
    <row r="357" spans="1:10" x14ac:dyDescent="0.2">
      <c r="A357" s="165">
        <v>9</v>
      </c>
      <c r="B357" s="160" t="s">
        <v>14</v>
      </c>
      <c r="C357" s="84" t="s">
        <v>247</v>
      </c>
      <c r="D357" s="42">
        <v>1</v>
      </c>
      <c r="E357" s="57">
        <v>4</v>
      </c>
      <c r="F357" s="57"/>
      <c r="G357" s="57">
        <v>10</v>
      </c>
      <c r="H357" s="60">
        <f t="shared" si="7"/>
        <v>6</v>
      </c>
      <c r="I357" s="52" t="s">
        <v>2</v>
      </c>
      <c r="J357" s="56" t="s">
        <v>243</v>
      </c>
    </row>
    <row r="358" spans="1:10" x14ac:dyDescent="0.2">
      <c r="A358" s="165">
        <v>9</v>
      </c>
      <c r="B358" s="160" t="s">
        <v>14</v>
      </c>
      <c r="C358" s="84" t="s">
        <v>247</v>
      </c>
      <c r="D358" s="42">
        <v>1</v>
      </c>
      <c r="E358" s="57">
        <v>4</v>
      </c>
      <c r="F358" s="57"/>
      <c r="G358" s="57">
        <v>10</v>
      </c>
      <c r="H358" s="60">
        <f t="shared" si="7"/>
        <v>6</v>
      </c>
      <c r="I358" s="52" t="s">
        <v>2</v>
      </c>
      <c r="J358" s="56" t="s">
        <v>243</v>
      </c>
    </row>
    <row r="359" spans="1:10" x14ac:dyDescent="0.2">
      <c r="A359" s="165">
        <v>9</v>
      </c>
      <c r="B359" s="160" t="s">
        <v>14</v>
      </c>
      <c r="C359" s="41" t="s">
        <v>249</v>
      </c>
      <c r="D359" s="42">
        <v>1</v>
      </c>
      <c r="E359" s="57">
        <v>7</v>
      </c>
      <c r="F359" s="57"/>
      <c r="G359" s="57">
        <v>9.1999999999999993</v>
      </c>
      <c r="H359" s="60">
        <f t="shared" si="7"/>
        <v>2.1999999999999993</v>
      </c>
      <c r="I359" s="52" t="s">
        <v>2</v>
      </c>
      <c r="J359" s="117" t="s">
        <v>294</v>
      </c>
    </row>
    <row r="360" spans="1:10" x14ac:dyDescent="0.2">
      <c r="A360" s="165">
        <v>9</v>
      </c>
      <c r="B360" s="160" t="s">
        <v>14</v>
      </c>
      <c r="C360" s="41" t="s">
        <v>249</v>
      </c>
      <c r="D360" s="42">
        <v>1</v>
      </c>
      <c r="E360" s="57">
        <v>7</v>
      </c>
      <c r="F360" s="57"/>
      <c r="G360" s="57">
        <v>9.1999999999999993</v>
      </c>
      <c r="H360" s="60">
        <f t="shared" si="7"/>
        <v>2.1999999999999993</v>
      </c>
      <c r="I360" s="52" t="s">
        <v>2</v>
      </c>
      <c r="J360" s="117" t="s">
        <v>294</v>
      </c>
    </row>
    <row r="361" spans="1:10" x14ac:dyDescent="0.2">
      <c r="A361" s="165">
        <v>9</v>
      </c>
      <c r="B361" s="160" t="s">
        <v>14</v>
      </c>
      <c r="C361" s="84" t="s">
        <v>223</v>
      </c>
      <c r="D361" s="42">
        <v>1</v>
      </c>
      <c r="E361" s="57">
        <v>7</v>
      </c>
      <c r="F361" s="57"/>
      <c r="G361" s="57">
        <v>20</v>
      </c>
      <c r="H361" s="60">
        <f t="shared" si="7"/>
        <v>13</v>
      </c>
      <c r="I361" s="52" t="s">
        <v>2</v>
      </c>
      <c r="J361" s="56" t="s">
        <v>243</v>
      </c>
    </row>
    <row r="362" spans="1:10" x14ac:dyDescent="0.2">
      <c r="A362" s="165">
        <v>9</v>
      </c>
      <c r="B362" s="160" t="s">
        <v>14</v>
      </c>
      <c r="C362" s="84" t="s">
        <v>201</v>
      </c>
      <c r="D362" s="42">
        <v>1</v>
      </c>
      <c r="E362" s="57">
        <v>16</v>
      </c>
      <c r="F362" s="57"/>
      <c r="G362" s="57">
        <v>31.4</v>
      </c>
      <c r="H362" s="60">
        <f t="shared" si="7"/>
        <v>15.399999999999999</v>
      </c>
      <c r="I362" s="52" t="s">
        <v>2</v>
      </c>
      <c r="J362" s="117" t="s">
        <v>294</v>
      </c>
    </row>
    <row r="363" spans="1:10" x14ac:dyDescent="0.2">
      <c r="A363" s="165">
        <v>9</v>
      </c>
      <c r="B363" s="160" t="s">
        <v>14</v>
      </c>
      <c r="C363" s="84" t="s">
        <v>316</v>
      </c>
      <c r="D363" s="42">
        <v>1</v>
      </c>
      <c r="E363" s="57">
        <v>5</v>
      </c>
      <c r="F363" s="57">
        <v>10</v>
      </c>
      <c r="G363" s="57">
        <v>10</v>
      </c>
      <c r="H363" s="60">
        <f t="shared" si="7"/>
        <v>5</v>
      </c>
      <c r="I363" s="52" t="s">
        <v>2</v>
      </c>
      <c r="J363" s="56" t="s">
        <v>149</v>
      </c>
    </row>
    <row r="364" spans="1:10" x14ac:dyDescent="0.2">
      <c r="A364" s="165">
        <v>9</v>
      </c>
      <c r="B364" s="160" t="s">
        <v>14</v>
      </c>
      <c r="C364" s="84" t="s">
        <v>317</v>
      </c>
      <c r="D364" s="42">
        <v>1</v>
      </c>
      <c r="E364" s="57">
        <v>3</v>
      </c>
      <c r="F364" s="57"/>
      <c r="G364" s="57">
        <v>28</v>
      </c>
      <c r="H364" s="60">
        <f t="shared" si="7"/>
        <v>25</v>
      </c>
      <c r="I364" s="52" t="s">
        <v>2</v>
      </c>
      <c r="J364" s="117" t="s">
        <v>294</v>
      </c>
    </row>
    <row r="365" spans="1:10" x14ac:dyDescent="0.2">
      <c r="A365" s="165">
        <v>9</v>
      </c>
      <c r="B365" s="160" t="s">
        <v>14</v>
      </c>
      <c r="C365" s="84" t="s">
        <v>318</v>
      </c>
      <c r="D365" s="42">
        <v>1</v>
      </c>
      <c r="E365" s="57">
        <v>33</v>
      </c>
      <c r="F365" s="57"/>
      <c r="G365" s="57">
        <v>58</v>
      </c>
      <c r="H365" s="60">
        <f t="shared" si="7"/>
        <v>25</v>
      </c>
      <c r="I365" s="52" t="s">
        <v>2</v>
      </c>
      <c r="J365" s="117" t="s">
        <v>294</v>
      </c>
    </row>
    <row r="366" spans="1:10" x14ac:dyDescent="0.2">
      <c r="A366" s="165">
        <v>9</v>
      </c>
      <c r="B366" s="160" t="s">
        <v>14</v>
      </c>
      <c r="C366" s="84" t="s">
        <v>318</v>
      </c>
      <c r="D366" s="42">
        <v>1</v>
      </c>
      <c r="E366" s="57">
        <v>33</v>
      </c>
      <c r="F366" s="57"/>
      <c r="G366" s="57">
        <v>62</v>
      </c>
      <c r="H366" s="60">
        <f t="shared" si="7"/>
        <v>29</v>
      </c>
      <c r="I366" s="52" t="s">
        <v>2</v>
      </c>
      <c r="J366" s="117" t="s">
        <v>294</v>
      </c>
    </row>
    <row r="367" spans="1:10" x14ac:dyDescent="0.2">
      <c r="A367" s="165">
        <v>9</v>
      </c>
      <c r="B367" s="160" t="s">
        <v>14</v>
      </c>
      <c r="C367" s="84" t="s">
        <v>213</v>
      </c>
      <c r="D367" s="42">
        <v>1</v>
      </c>
      <c r="E367" s="57">
        <v>30</v>
      </c>
      <c r="F367" s="57">
        <v>57</v>
      </c>
      <c r="G367" s="57">
        <v>57</v>
      </c>
      <c r="H367" s="60">
        <f t="shared" si="7"/>
        <v>27</v>
      </c>
      <c r="I367" s="52" t="s">
        <v>2</v>
      </c>
      <c r="J367" s="56" t="s">
        <v>149</v>
      </c>
    </row>
    <row r="368" spans="1:10" x14ac:dyDescent="0.2">
      <c r="A368" s="165">
        <v>9</v>
      </c>
      <c r="B368" s="160" t="s">
        <v>14</v>
      </c>
      <c r="C368" s="84" t="s">
        <v>157</v>
      </c>
      <c r="D368" s="42">
        <v>1</v>
      </c>
      <c r="E368" s="57">
        <v>3</v>
      </c>
      <c r="F368" s="57"/>
      <c r="G368" s="57">
        <v>8.8000000000000007</v>
      </c>
      <c r="H368" s="60">
        <f t="shared" si="7"/>
        <v>5.8000000000000007</v>
      </c>
      <c r="I368" s="52" t="s">
        <v>2</v>
      </c>
      <c r="J368" s="56" t="s">
        <v>243</v>
      </c>
    </row>
    <row r="369" spans="1:10" x14ac:dyDescent="0.2">
      <c r="A369" s="165">
        <v>9</v>
      </c>
      <c r="B369" s="160" t="s">
        <v>14</v>
      </c>
      <c r="C369" s="84" t="s">
        <v>202</v>
      </c>
      <c r="D369" s="42">
        <v>1</v>
      </c>
      <c r="E369" s="57">
        <v>3</v>
      </c>
      <c r="F369" s="57"/>
      <c r="G369" s="57">
        <v>5.2</v>
      </c>
      <c r="H369" s="60">
        <f t="shared" si="7"/>
        <v>2.2000000000000002</v>
      </c>
      <c r="I369" s="52" t="s">
        <v>2</v>
      </c>
      <c r="J369" s="117" t="s">
        <v>294</v>
      </c>
    </row>
    <row r="370" spans="1:10" x14ac:dyDescent="0.2">
      <c r="A370" s="165">
        <v>9</v>
      </c>
      <c r="B370" s="160" t="s">
        <v>14</v>
      </c>
      <c r="C370" s="84" t="s">
        <v>67</v>
      </c>
      <c r="D370" s="42">
        <v>1</v>
      </c>
      <c r="E370" s="57">
        <v>30</v>
      </c>
      <c r="F370" s="57"/>
      <c r="G370" s="57">
        <v>38</v>
      </c>
      <c r="H370" s="60">
        <f t="shared" si="7"/>
        <v>8</v>
      </c>
      <c r="I370" s="52" t="s">
        <v>2</v>
      </c>
      <c r="J370" s="117" t="s">
        <v>294</v>
      </c>
    </row>
    <row r="371" spans="1:10" x14ac:dyDescent="0.2">
      <c r="A371" s="165">
        <v>9</v>
      </c>
      <c r="B371" s="160" t="s">
        <v>14</v>
      </c>
      <c r="C371" s="84" t="s">
        <v>215</v>
      </c>
      <c r="D371" s="42">
        <v>1</v>
      </c>
      <c r="E371" s="57">
        <v>4</v>
      </c>
      <c r="F371" s="57"/>
      <c r="G371" s="57">
        <v>10</v>
      </c>
      <c r="H371" s="60">
        <f t="shared" si="7"/>
        <v>6</v>
      </c>
      <c r="I371" s="52" t="s">
        <v>2</v>
      </c>
      <c r="J371" s="117" t="s">
        <v>294</v>
      </c>
    </row>
    <row r="372" spans="1:10" x14ac:dyDescent="0.2">
      <c r="A372" s="165">
        <v>9</v>
      </c>
      <c r="B372" s="160" t="s">
        <v>14</v>
      </c>
      <c r="C372" s="84" t="s">
        <v>215</v>
      </c>
      <c r="D372" s="42">
        <v>1</v>
      </c>
      <c r="E372" s="57">
        <v>4</v>
      </c>
      <c r="F372" s="57"/>
      <c r="G372" s="57">
        <v>8.4</v>
      </c>
      <c r="H372" s="60">
        <f t="shared" si="7"/>
        <v>4.4000000000000004</v>
      </c>
      <c r="I372" s="52" t="s">
        <v>2</v>
      </c>
      <c r="J372" s="56" t="s">
        <v>243</v>
      </c>
    </row>
    <row r="373" spans="1:10" x14ac:dyDescent="0.2">
      <c r="A373" s="165">
        <v>9</v>
      </c>
      <c r="B373" s="160" t="s">
        <v>14</v>
      </c>
      <c r="C373" s="84" t="s">
        <v>320</v>
      </c>
      <c r="D373" s="42">
        <v>1</v>
      </c>
      <c r="E373" s="57">
        <v>10</v>
      </c>
      <c r="F373" s="57">
        <v>25</v>
      </c>
      <c r="G373" s="57">
        <v>25</v>
      </c>
      <c r="H373" s="60">
        <f t="shared" si="7"/>
        <v>15</v>
      </c>
      <c r="I373" s="52" t="s">
        <v>2</v>
      </c>
      <c r="J373" s="56" t="s">
        <v>149</v>
      </c>
    </row>
    <row r="374" spans="1:10" x14ac:dyDescent="0.2">
      <c r="A374" s="165">
        <v>9</v>
      </c>
      <c r="B374" s="160" t="s">
        <v>14</v>
      </c>
      <c r="C374" s="84" t="s">
        <v>212</v>
      </c>
      <c r="D374" s="42">
        <v>1</v>
      </c>
      <c r="E374" s="57">
        <v>5.5</v>
      </c>
      <c r="F374" s="57"/>
      <c r="G374" s="57">
        <v>20.54</v>
      </c>
      <c r="H374" s="60">
        <f t="shared" si="7"/>
        <v>15.04</v>
      </c>
      <c r="I374" s="52" t="s">
        <v>2</v>
      </c>
      <c r="J374" s="117" t="s">
        <v>294</v>
      </c>
    </row>
    <row r="375" spans="1:10" x14ac:dyDescent="0.2">
      <c r="A375" s="165">
        <v>9</v>
      </c>
      <c r="B375" s="160" t="s">
        <v>14</v>
      </c>
      <c r="C375" s="84" t="s">
        <v>219</v>
      </c>
      <c r="D375" s="42">
        <v>1</v>
      </c>
      <c r="E375" s="57">
        <v>7</v>
      </c>
      <c r="F375" s="57">
        <v>15</v>
      </c>
      <c r="G375" s="57">
        <v>15</v>
      </c>
      <c r="H375" s="60">
        <f t="shared" si="7"/>
        <v>8</v>
      </c>
      <c r="I375" s="52" t="s">
        <v>2</v>
      </c>
      <c r="J375" s="56" t="s">
        <v>149</v>
      </c>
    </row>
    <row r="376" spans="1:10" x14ac:dyDescent="0.2">
      <c r="A376" s="165">
        <v>9</v>
      </c>
      <c r="B376" s="160" t="s">
        <v>14</v>
      </c>
      <c r="C376" s="84" t="s">
        <v>217</v>
      </c>
      <c r="D376" s="42">
        <v>1</v>
      </c>
      <c r="E376" s="57">
        <v>7.5</v>
      </c>
      <c r="F376" s="57"/>
      <c r="G376" s="57">
        <v>17.2</v>
      </c>
      <c r="H376" s="60">
        <f t="shared" si="7"/>
        <v>9.6999999999999993</v>
      </c>
      <c r="I376" s="52" t="s">
        <v>2</v>
      </c>
      <c r="J376" s="56" t="s">
        <v>243</v>
      </c>
    </row>
    <row r="377" spans="1:10" x14ac:dyDescent="0.2">
      <c r="A377" s="165">
        <v>9</v>
      </c>
      <c r="B377" s="160" t="s">
        <v>14</v>
      </c>
      <c r="C377" s="84" t="s">
        <v>210</v>
      </c>
      <c r="D377" s="42">
        <v>1</v>
      </c>
      <c r="E377" s="57">
        <v>7</v>
      </c>
      <c r="F377" s="57"/>
      <c r="G377" s="57">
        <v>16</v>
      </c>
      <c r="H377" s="60">
        <f t="shared" si="7"/>
        <v>9</v>
      </c>
      <c r="I377" s="52" t="s">
        <v>2</v>
      </c>
      <c r="J377" s="117" t="s">
        <v>294</v>
      </c>
    </row>
    <row r="378" spans="1:10" x14ac:dyDescent="0.2">
      <c r="A378" s="165">
        <v>9</v>
      </c>
      <c r="B378" s="160" t="s">
        <v>14</v>
      </c>
      <c r="C378" s="84" t="s">
        <v>210</v>
      </c>
      <c r="D378" s="42">
        <v>1</v>
      </c>
      <c r="E378" s="57">
        <v>7</v>
      </c>
      <c r="F378" s="57"/>
      <c r="G378" s="57">
        <v>14.99</v>
      </c>
      <c r="H378" s="60">
        <f t="shared" si="7"/>
        <v>7.99</v>
      </c>
      <c r="I378" s="52" t="s">
        <v>2</v>
      </c>
      <c r="J378" s="117" t="s">
        <v>294</v>
      </c>
    </row>
    <row r="379" spans="1:10" x14ac:dyDescent="0.2">
      <c r="A379" s="165">
        <v>9</v>
      </c>
      <c r="B379" s="160" t="s">
        <v>14</v>
      </c>
      <c r="C379" s="84" t="s">
        <v>210</v>
      </c>
      <c r="D379" s="42">
        <v>1</v>
      </c>
      <c r="E379" s="57">
        <v>7</v>
      </c>
      <c r="F379" s="57"/>
      <c r="G379" s="57">
        <v>14.99</v>
      </c>
      <c r="H379" s="60">
        <f t="shared" si="7"/>
        <v>7.99</v>
      </c>
      <c r="I379" s="52" t="s">
        <v>2</v>
      </c>
      <c r="J379" s="56" t="s">
        <v>243</v>
      </c>
    </row>
    <row r="380" spans="1:10" x14ac:dyDescent="0.2">
      <c r="A380" s="165">
        <v>9</v>
      </c>
      <c r="B380" s="160" t="s">
        <v>14</v>
      </c>
      <c r="C380" s="84" t="s">
        <v>319</v>
      </c>
      <c r="D380" s="42">
        <v>1</v>
      </c>
      <c r="E380" s="57">
        <v>15</v>
      </c>
      <c r="F380" s="57"/>
      <c r="G380" s="57">
        <v>35</v>
      </c>
      <c r="H380" s="60">
        <f t="shared" si="7"/>
        <v>20</v>
      </c>
      <c r="I380" s="52" t="s">
        <v>2</v>
      </c>
      <c r="J380" s="56" t="s">
        <v>243</v>
      </c>
    </row>
    <row r="381" spans="1:10" x14ac:dyDescent="0.2">
      <c r="A381" s="165">
        <v>9</v>
      </c>
      <c r="B381" s="160" t="s">
        <v>14</v>
      </c>
      <c r="C381" s="84" t="s">
        <v>319</v>
      </c>
      <c r="D381" s="42">
        <v>1</v>
      </c>
      <c r="E381" s="57">
        <v>15</v>
      </c>
      <c r="F381" s="57"/>
      <c r="G381" s="57">
        <v>35</v>
      </c>
      <c r="H381" s="60">
        <f t="shared" si="7"/>
        <v>20</v>
      </c>
      <c r="I381" s="52" t="s">
        <v>2</v>
      </c>
      <c r="J381" s="56" t="s">
        <v>243</v>
      </c>
    </row>
    <row r="382" spans="1:10" x14ac:dyDescent="0.2">
      <c r="A382" s="165">
        <v>9</v>
      </c>
      <c r="B382" s="160" t="s">
        <v>14</v>
      </c>
      <c r="C382" s="84" t="s">
        <v>319</v>
      </c>
      <c r="D382" s="42">
        <v>1</v>
      </c>
      <c r="E382" s="57">
        <v>15</v>
      </c>
      <c r="F382" s="57"/>
      <c r="G382" s="57">
        <v>30</v>
      </c>
      <c r="H382" s="60">
        <f t="shared" ref="H382:H445" si="8">G382-E382</f>
        <v>15</v>
      </c>
      <c r="I382" s="52" t="s">
        <v>2</v>
      </c>
      <c r="J382" s="56" t="s">
        <v>243</v>
      </c>
    </row>
    <row r="383" spans="1:10" x14ac:dyDescent="0.2">
      <c r="A383" s="165">
        <v>9</v>
      </c>
      <c r="B383" s="160" t="s">
        <v>14</v>
      </c>
      <c r="C383" s="84" t="s">
        <v>208</v>
      </c>
      <c r="D383" s="42">
        <v>1</v>
      </c>
      <c r="E383" s="57">
        <v>7</v>
      </c>
      <c r="F383" s="57"/>
      <c r="G383" s="57">
        <v>17.2</v>
      </c>
      <c r="H383" s="60">
        <f t="shared" si="8"/>
        <v>10.199999999999999</v>
      </c>
      <c r="I383" s="52" t="s">
        <v>2</v>
      </c>
      <c r="J383" s="117" t="s">
        <v>294</v>
      </c>
    </row>
    <row r="384" spans="1:10" x14ac:dyDescent="0.2">
      <c r="A384" s="165">
        <v>9</v>
      </c>
      <c r="B384" s="160" t="s">
        <v>14</v>
      </c>
      <c r="C384" s="84" t="s">
        <v>225</v>
      </c>
      <c r="D384" s="42">
        <v>1</v>
      </c>
      <c r="E384" s="57">
        <v>63.12</v>
      </c>
      <c r="F384" s="57"/>
      <c r="G384" s="57">
        <v>250</v>
      </c>
      <c r="H384" s="60">
        <f t="shared" si="8"/>
        <v>186.88</v>
      </c>
      <c r="I384" s="52" t="s">
        <v>2</v>
      </c>
      <c r="J384" s="56" t="s">
        <v>243</v>
      </c>
    </row>
    <row r="385" spans="1:10" x14ac:dyDescent="0.2">
      <c r="A385" s="165">
        <v>9</v>
      </c>
      <c r="B385" s="160" t="s">
        <v>14</v>
      </c>
      <c r="C385" s="84" t="s">
        <v>209</v>
      </c>
      <c r="D385" s="42">
        <v>1</v>
      </c>
      <c r="E385" s="57">
        <v>7</v>
      </c>
      <c r="F385" s="57"/>
      <c r="G385" s="57">
        <v>10.8</v>
      </c>
      <c r="H385" s="60">
        <f t="shared" si="8"/>
        <v>3.8000000000000007</v>
      </c>
      <c r="I385" s="52" t="s">
        <v>2</v>
      </c>
      <c r="J385" s="117" t="s">
        <v>294</v>
      </c>
    </row>
    <row r="386" spans="1:10" x14ac:dyDescent="0.2">
      <c r="A386" s="165">
        <v>9</v>
      </c>
      <c r="B386" s="160" t="s">
        <v>14</v>
      </c>
      <c r="C386" s="84" t="s">
        <v>205</v>
      </c>
      <c r="D386" s="42">
        <v>1</v>
      </c>
      <c r="E386" s="57">
        <v>32</v>
      </c>
      <c r="F386" s="57">
        <v>70</v>
      </c>
      <c r="G386" s="57">
        <v>70</v>
      </c>
      <c r="H386" s="60">
        <f t="shared" si="8"/>
        <v>38</v>
      </c>
      <c r="I386" s="52" t="s">
        <v>2</v>
      </c>
      <c r="J386" s="56" t="s">
        <v>149</v>
      </c>
    </row>
    <row r="387" spans="1:10" x14ac:dyDescent="0.2">
      <c r="A387" s="165">
        <v>9</v>
      </c>
      <c r="B387" s="160" t="s">
        <v>14</v>
      </c>
      <c r="C387" s="84" t="s">
        <v>216</v>
      </c>
      <c r="D387" s="42">
        <v>1</v>
      </c>
      <c r="E387" s="57">
        <v>100</v>
      </c>
      <c r="F387" s="57">
        <v>165</v>
      </c>
      <c r="G387" s="57">
        <v>165</v>
      </c>
      <c r="H387" s="60">
        <f t="shared" si="8"/>
        <v>65</v>
      </c>
      <c r="I387" s="52" t="s">
        <v>2</v>
      </c>
      <c r="J387" s="56" t="s">
        <v>149</v>
      </c>
    </row>
    <row r="388" spans="1:10" x14ac:dyDescent="0.2">
      <c r="A388" s="165">
        <v>9</v>
      </c>
      <c r="B388" s="160" t="s">
        <v>14</v>
      </c>
      <c r="C388" s="84" t="s">
        <v>203</v>
      </c>
      <c r="D388" s="42">
        <v>1</v>
      </c>
      <c r="E388" s="57">
        <v>65</v>
      </c>
      <c r="F388" s="57"/>
      <c r="G388" s="57">
        <v>106.8</v>
      </c>
      <c r="H388" s="60">
        <f t="shared" si="8"/>
        <v>41.8</v>
      </c>
      <c r="I388" s="52" t="s">
        <v>2</v>
      </c>
      <c r="J388" s="117" t="s">
        <v>294</v>
      </c>
    </row>
    <row r="389" spans="1:10" x14ac:dyDescent="0.2">
      <c r="A389" s="165">
        <v>9</v>
      </c>
      <c r="B389" s="160" t="s">
        <v>14</v>
      </c>
      <c r="C389" s="84" t="s">
        <v>211</v>
      </c>
      <c r="D389" s="42">
        <v>1</v>
      </c>
      <c r="E389" s="57"/>
      <c r="F389" s="57"/>
      <c r="G389" s="57">
        <v>9.39</v>
      </c>
      <c r="H389" s="60">
        <f t="shared" si="8"/>
        <v>9.39</v>
      </c>
      <c r="I389" s="52" t="s">
        <v>2</v>
      </c>
      <c r="J389" s="117" t="s">
        <v>294</v>
      </c>
    </row>
    <row r="390" spans="1:10" x14ac:dyDescent="0.2">
      <c r="A390" s="165">
        <v>10</v>
      </c>
      <c r="B390" s="160" t="s">
        <v>15</v>
      </c>
      <c r="C390" s="84" t="s">
        <v>229</v>
      </c>
      <c r="D390" s="42">
        <v>1</v>
      </c>
      <c r="E390" s="57">
        <v>75</v>
      </c>
      <c r="F390" s="57">
        <v>138</v>
      </c>
      <c r="G390" s="57">
        <v>138</v>
      </c>
      <c r="H390" s="60">
        <f t="shared" si="8"/>
        <v>63</v>
      </c>
      <c r="I390" s="52" t="s">
        <v>2</v>
      </c>
      <c r="J390" s="56" t="s">
        <v>149</v>
      </c>
    </row>
    <row r="391" spans="1:10" x14ac:dyDescent="0.2">
      <c r="A391" s="165">
        <v>10</v>
      </c>
      <c r="B391" s="160" t="s">
        <v>15</v>
      </c>
      <c r="C391" s="84" t="s">
        <v>265</v>
      </c>
      <c r="D391" s="42">
        <v>1</v>
      </c>
      <c r="E391" s="57">
        <v>80</v>
      </c>
      <c r="F391" s="57">
        <v>130</v>
      </c>
      <c r="G391" s="57">
        <v>130</v>
      </c>
      <c r="H391" s="60">
        <f t="shared" si="8"/>
        <v>50</v>
      </c>
      <c r="I391" s="52" t="s">
        <v>2</v>
      </c>
      <c r="J391" s="56" t="s">
        <v>149</v>
      </c>
    </row>
    <row r="392" spans="1:10" x14ac:dyDescent="0.2">
      <c r="A392" s="165">
        <v>10</v>
      </c>
      <c r="B392" s="160" t="s">
        <v>15</v>
      </c>
      <c r="C392" s="84" t="s">
        <v>267</v>
      </c>
      <c r="D392" s="42">
        <v>1</v>
      </c>
      <c r="E392" s="57">
        <v>19</v>
      </c>
      <c r="F392" s="57">
        <v>40</v>
      </c>
      <c r="G392" s="57">
        <v>40</v>
      </c>
      <c r="H392" s="60">
        <f t="shared" si="8"/>
        <v>21</v>
      </c>
      <c r="I392" s="52" t="s">
        <v>2</v>
      </c>
      <c r="J392" s="56" t="s">
        <v>149</v>
      </c>
    </row>
    <row r="393" spans="1:10" x14ac:dyDescent="0.2">
      <c r="A393" s="165">
        <v>10</v>
      </c>
      <c r="B393" s="160" t="s">
        <v>15</v>
      </c>
      <c r="C393" s="41" t="s">
        <v>252</v>
      </c>
      <c r="D393" s="42">
        <v>4</v>
      </c>
      <c r="E393" s="57">
        <f>4*25</f>
        <v>100</v>
      </c>
      <c r="F393" s="57"/>
      <c r="G393" s="57">
        <v>180</v>
      </c>
      <c r="H393" s="60">
        <f t="shared" si="8"/>
        <v>80</v>
      </c>
      <c r="I393" s="52" t="s">
        <v>2</v>
      </c>
      <c r="J393" s="56" t="s">
        <v>243</v>
      </c>
    </row>
    <row r="394" spans="1:10" x14ac:dyDescent="0.2">
      <c r="A394" s="165">
        <v>10</v>
      </c>
      <c r="B394" s="160" t="s">
        <v>15</v>
      </c>
      <c r="C394" s="84" t="s">
        <v>312</v>
      </c>
      <c r="D394" s="42">
        <v>1</v>
      </c>
      <c r="E394" s="57">
        <v>12</v>
      </c>
      <c r="F394" s="57">
        <v>20</v>
      </c>
      <c r="G394" s="57">
        <v>20</v>
      </c>
      <c r="H394" s="60">
        <f t="shared" si="8"/>
        <v>8</v>
      </c>
      <c r="I394" s="52" t="s">
        <v>2</v>
      </c>
      <c r="J394" s="56" t="s">
        <v>149</v>
      </c>
    </row>
    <row r="395" spans="1:10" x14ac:dyDescent="0.2">
      <c r="A395" s="165">
        <v>10</v>
      </c>
      <c r="B395" s="160" t="s">
        <v>15</v>
      </c>
      <c r="C395" s="84" t="s">
        <v>261</v>
      </c>
      <c r="D395" s="42">
        <v>1</v>
      </c>
      <c r="E395" s="57">
        <v>140</v>
      </c>
      <c r="F395" s="57">
        <v>190</v>
      </c>
      <c r="G395" s="57">
        <v>190</v>
      </c>
      <c r="H395" s="60">
        <f t="shared" si="8"/>
        <v>50</v>
      </c>
      <c r="I395" s="52" t="s">
        <v>2</v>
      </c>
      <c r="J395" s="56" t="s">
        <v>149</v>
      </c>
    </row>
    <row r="396" spans="1:10" x14ac:dyDescent="0.2">
      <c r="A396" s="165">
        <v>10</v>
      </c>
      <c r="B396" s="160" t="s">
        <v>15</v>
      </c>
      <c r="C396" s="84" t="s">
        <v>263</v>
      </c>
      <c r="D396" s="42">
        <v>1</v>
      </c>
      <c r="E396" s="57">
        <v>65</v>
      </c>
      <c r="F396" s="57"/>
      <c r="G396" s="57">
        <v>93</v>
      </c>
      <c r="H396" s="60">
        <f t="shared" si="8"/>
        <v>28</v>
      </c>
      <c r="I396" s="52" t="s">
        <v>2</v>
      </c>
      <c r="J396" s="56" t="s">
        <v>243</v>
      </c>
    </row>
    <row r="397" spans="1:10" x14ac:dyDescent="0.2">
      <c r="A397" s="165">
        <v>10</v>
      </c>
      <c r="B397" s="160" t="s">
        <v>15</v>
      </c>
      <c r="C397" s="84" t="s">
        <v>263</v>
      </c>
      <c r="D397" s="42">
        <v>1</v>
      </c>
      <c r="E397" s="57">
        <v>65</v>
      </c>
      <c r="F397" s="57"/>
      <c r="G397" s="57">
        <v>93</v>
      </c>
      <c r="H397" s="60">
        <f t="shared" si="8"/>
        <v>28</v>
      </c>
      <c r="I397" s="52" t="s">
        <v>2</v>
      </c>
      <c r="J397" s="56" t="s">
        <v>243</v>
      </c>
    </row>
    <row r="398" spans="1:10" x14ac:dyDescent="0.2">
      <c r="A398" s="165">
        <v>10</v>
      </c>
      <c r="B398" s="160" t="s">
        <v>15</v>
      </c>
      <c r="C398" s="84" t="s">
        <v>263</v>
      </c>
      <c r="D398" s="42">
        <v>1</v>
      </c>
      <c r="E398" s="57">
        <v>65</v>
      </c>
      <c r="F398" s="57"/>
      <c r="G398" s="57">
        <v>93</v>
      </c>
      <c r="H398" s="60">
        <f t="shared" si="8"/>
        <v>28</v>
      </c>
      <c r="I398" s="52" t="s">
        <v>2</v>
      </c>
      <c r="J398" s="56" t="s">
        <v>243</v>
      </c>
    </row>
    <row r="399" spans="1:10" x14ac:dyDescent="0.2">
      <c r="A399" s="165">
        <v>10</v>
      </c>
      <c r="B399" s="160" t="s">
        <v>15</v>
      </c>
      <c r="C399" s="84" t="s">
        <v>263</v>
      </c>
      <c r="D399" s="42">
        <v>1</v>
      </c>
      <c r="E399" s="57">
        <v>65</v>
      </c>
      <c r="F399" s="57"/>
      <c r="G399" s="57">
        <v>78.599999999999994</v>
      </c>
      <c r="H399" s="60">
        <f t="shared" si="8"/>
        <v>13.599999999999994</v>
      </c>
      <c r="I399" s="52" t="s">
        <v>2</v>
      </c>
      <c r="J399" s="56" t="s">
        <v>243</v>
      </c>
    </row>
    <row r="400" spans="1:10" x14ac:dyDescent="0.2">
      <c r="A400" s="165">
        <v>10</v>
      </c>
      <c r="B400" s="160" t="s">
        <v>15</v>
      </c>
      <c r="C400" s="84" t="s">
        <v>263</v>
      </c>
      <c r="D400" s="42">
        <v>1</v>
      </c>
      <c r="E400" s="57">
        <v>65</v>
      </c>
      <c r="F400" s="57"/>
      <c r="G400" s="57">
        <v>93</v>
      </c>
      <c r="H400" s="60">
        <f t="shared" si="8"/>
        <v>28</v>
      </c>
      <c r="I400" s="52" t="s">
        <v>2</v>
      </c>
      <c r="J400" s="56" t="s">
        <v>243</v>
      </c>
    </row>
    <row r="401" spans="1:10" x14ac:dyDescent="0.2">
      <c r="A401" s="165">
        <v>10</v>
      </c>
      <c r="B401" s="160" t="s">
        <v>15</v>
      </c>
      <c r="C401" s="84" t="s">
        <v>263</v>
      </c>
      <c r="D401" s="42">
        <v>3</v>
      </c>
      <c r="E401" s="57">
        <f>D401*65</f>
        <v>195</v>
      </c>
      <c r="F401" s="57"/>
      <c r="G401" s="57">
        <f>D401*78.61</f>
        <v>235.82999999999998</v>
      </c>
      <c r="H401" s="60">
        <f t="shared" si="8"/>
        <v>40.829999999999984</v>
      </c>
      <c r="I401" s="52" t="s">
        <v>2</v>
      </c>
      <c r="J401" s="56" t="s">
        <v>243</v>
      </c>
    </row>
    <row r="402" spans="1:10" x14ac:dyDescent="0.2">
      <c r="A402" s="165">
        <v>10</v>
      </c>
      <c r="B402" s="160" t="s">
        <v>15</v>
      </c>
      <c r="C402" s="84" t="s">
        <v>263</v>
      </c>
      <c r="D402" s="42">
        <v>1</v>
      </c>
      <c r="E402" s="57">
        <v>65</v>
      </c>
      <c r="F402" s="57"/>
      <c r="G402" s="57">
        <v>98</v>
      </c>
      <c r="H402" s="60">
        <f t="shared" si="8"/>
        <v>33</v>
      </c>
      <c r="I402" s="52" t="s">
        <v>2</v>
      </c>
      <c r="J402" s="56" t="s">
        <v>243</v>
      </c>
    </row>
    <row r="403" spans="1:10" x14ac:dyDescent="0.2">
      <c r="A403" s="165">
        <v>10</v>
      </c>
      <c r="B403" s="160" t="s">
        <v>15</v>
      </c>
      <c r="C403" s="84" t="s">
        <v>263</v>
      </c>
      <c r="D403" s="42">
        <v>1</v>
      </c>
      <c r="E403" s="57">
        <v>45</v>
      </c>
      <c r="F403" s="57"/>
      <c r="G403" s="57">
        <v>61</v>
      </c>
      <c r="H403" s="60">
        <f t="shared" si="8"/>
        <v>16</v>
      </c>
      <c r="I403" s="52" t="s">
        <v>2</v>
      </c>
      <c r="J403" s="56" t="s">
        <v>243</v>
      </c>
    </row>
    <row r="404" spans="1:10" x14ac:dyDescent="0.2">
      <c r="A404" s="165">
        <v>10</v>
      </c>
      <c r="B404" s="160" t="s">
        <v>15</v>
      </c>
      <c r="C404" s="84" t="s">
        <v>218</v>
      </c>
      <c r="D404" s="42">
        <v>2</v>
      </c>
      <c r="E404" s="57">
        <f>2*D404</f>
        <v>4</v>
      </c>
      <c r="F404" s="57"/>
      <c r="G404" s="57">
        <v>6.8</v>
      </c>
      <c r="H404" s="60">
        <f t="shared" si="8"/>
        <v>2.8</v>
      </c>
      <c r="I404" s="52" t="s">
        <v>2</v>
      </c>
      <c r="J404" s="56" t="s">
        <v>243</v>
      </c>
    </row>
    <row r="405" spans="1:10" x14ac:dyDescent="0.2">
      <c r="A405" s="165">
        <v>10</v>
      </c>
      <c r="B405" s="160" t="s">
        <v>15</v>
      </c>
      <c r="C405" s="83" t="s">
        <v>52</v>
      </c>
      <c r="D405" s="42">
        <v>1</v>
      </c>
      <c r="E405" s="57">
        <v>3</v>
      </c>
      <c r="F405" s="57">
        <v>10</v>
      </c>
      <c r="G405" s="57">
        <v>10</v>
      </c>
      <c r="H405" s="60">
        <f t="shared" si="8"/>
        <v>7</v>
      </c>
      <c r="I405" s="52" t="s">
        <v>2</v>
      </c>
      <c r="J405" s="56" t="s">
        <v>149</v>
      </c>
    </row>
    <row r="406" spans="1:10" x14ac:dyDescent="0.2">
      <c r="A406" s="165">
        <v>10</v>
      </c>
      <c r="B406" s="160" t="s">
        <v>15</v>
      </c>
      <c r="C406" s="84" t="s">
        <v>246</v>
      </c>
      <c r="D406" s="42">
        <v>1</v>
      </c>
      <c r="E406" s="57">
        <v>19</v>
      </c>
      <c r="F406" s="57">
        <v>50</v>
      </c>
      <c r="G406" s="57">
        <v>50</v>
      </c>
      <c r="H406" s="60">
        <f t="shared" si="8"/>
        <v>31</v>
      </c>
      <c r="I406" s="52" t="s">
        <v>2</v>
      </c>
      <c r="J406" s="56" t="s">
        <v>149</v>
      </c>
    </row>
    <row r="407" spans="1:10" x14ac:dyDescent="0.2">
      <c r="A407" s="165">
        <v>10</v>
      </c>
      <c r="B407" s="160" t="s">
        <v>15</v>
      </c>
      <c r="C407" s="84" t="s">
        <v>228</v>
      </c>
      <c r="D407" s="42">
        <v>1</v>
      </c>
      <c r="E407" s="57">
        <v>5</v>
      </c>
      <c r="F407" s="57"/>
      <c r="G407" s="57">
        <v>8.8000000000000007</v>
      </c>
      <c r="H407" s="60">
        <f t="shared" si="8"/>
        <v>3.8000000000000007</v>
      </c>
      <c r="I407" s="52" t="s">
        <v>2</v>
      </c>
      <c r="J407" s="56" t="s">
        <v>243</v>
      </c>
    </row>
    <row r="408" spans="1:10" x14ac:dyDescent="0.2">
      <c r="A408" s="165">
        <v>10</v>
      </c>
      <c r="B408" s="160" t="s">
        <v>15</v>
      </c>
      <c r="C408" s="84" t="s">
        <v>236</v>
      </c>
      <c r="D408" s="42">
        <v>1</v>
      </c>
      <c r="E408" s="57">
        <v>3.5</v>
      </c>
      <c r="F408" s="57"/>
      <c r="G408" s="57">
        <v>11.84</v>
      </c>
      <c r="H408" s="60">
        <f t="shared" si="8"/>
        <v>8.34</v>
      </c>
      <c r="I408" s="52" t="s">
        <v>2</v>
      </c>
      <c r="J408" s="56" t="s">
        <v>243</v>
      </c>
    </row>
    <row r="409" spans="1:10" x14ac:dyDescent="0.2">
      <c r="A409" s="165">
        <v>10</v>
      </c>
      <c r="B409" s="160" t="s">
        <v>15</v>
      </c>
      <c r="C409" s="84" t="s">
        <v>247</v>
      </c>
      <c r="D409" s="42">
        <v>1</v>
      </c>
      <c r="E409" s="57">
        <v>7</v>
      </c>
      <c r="F409" s="57"/>
      <c r="G409" s="57">
        <v>13</v>
      </c>
      <c r="H409" s="60">
        <f t="shared" si="8"/>
        <v>6</v>
      </c>
      <c r="I409" s="52" t="s">
        <v>2</v>
      </c>
      <c r="J409" s="56" t="s">
        <v>243</v>
      </c>
    </row>
    <row r="410" spans="1:10" x14ac:dyDescent="0.2">
      <c r="A410" s="165">
        <v>10</v>
      </c>
      <c r="B410" s="160" t="s">
        <v>15</v>
      </c>
      <c r="C410" s="84" t="s">
        <v>247</v>
      </c>
      <c r="D410" s="42">
        <v>3</v>
      </c>
      <c r="E410" s="57">
        <f>7*D410</f>
        <v>21</v>
      </c>
      <c r="F410" s="57"/>
      <c r="G410" s="57">
        <v>27</v>
      </c>
      <c r="H410" s="60">
        <f t="shared" si="8"/>
        <v>6</v>
      </c>
      <c r="I410" s="52" t="s">
        <v>2</v>
      </c>
      <c r="J410" s="56" t="s">
        <v>243</v>
      </c>
    </row>
    <row r="411" spans="1:10" x14ac:dyDescent="0.2">
      <c r="A411" s="165">
        <v>10</v>
      </c>
      <c r="B411" s="160" t="s">
        <v>15</v>
      </c>
      <c r="C411" s="84" t="s">
        <v>247</v>
      </c>
      <c r="D411" s="42">
        <v>1</v>
      </c>
      <c r="E411" s="57">
        <v>7</v>
      </c>
      <c r="F411" s="57"/>
      <c r="G411" s="57">
        <v>9</v>
      </c>
      <c r="H411" s="60">
        <f t="shared" si="8"/>
        <v>2</v>
      </c>
      <c r="I411" s="52" t="s">
        <v>2</v>
      </c>
      <c r="J411" s="56" t="s">
        <v>243</v>
      </c>
    </row>
    <row r="412" spans="1:10" x14ac:dyDescent="0.2">
      <c r="A412" s="165">
        <v>10</v>
      </c>
      <c r="B412" s="160" t="s">
        <v>15</v>
      </c>
      <c r="C412" s="41" t="s">
        <v>249</v>
      </c>
      <c r="D412" s="42">
        <v>1</v>
      </c>
      <c r="E412" s="57">
        <v>7.5</v>
      </c>
      <c r="F412" s="57"/>
      <c r="G412" s="57">
        <v>9.8000000000000007</v>
      </c>
      <c r="H412" s="60">
        <f t="shared" si="8"/>
        <v>2.3000000000000007</v>
      </c>
      <c r="I412" s="52" t="s">
        <v>2</v>
      </c>
      <c r="J412" s="56" t="s">
        <v>243</v>
      </c>
    </row>
    <row r="413" spans="1:10" x14ac:dyDescent="0.2">
      <c r="A413" s="165">
        <v>10</v>
      </c>
      <c r="B413" s="160" t="s">
        <v>15</v>
      </c>
      <c r="C413" s="41" t="s">
        <v>249</v>
      </c>
      <c r="D413" s="42">
        <v>2</v>
      </c>
      <c r="E413" s="57">
        <f>7*D413</f>
        <v>14</v>
      </c>
      <c r="F413" s="57"/>
      <c r="G413" s="57">
        <v>19.600000000000001</v>
      </c>
      <c r="H413" s="60">
        <f t="shared" si="8"/>
        <v>5.6000000000000014</v>
      </c>
      <c r="I413" s="52" t="s">
        <v>2</v>
      </c>
      <c r="J413" s="56" t="s">
        <v>243</v>
      </c>
    </row>
    <row r="414" spans="1:10" x14ac:dyDescent="0.2">
      <c r="A414" s="165">
        <v>10</v>
      </c>
      <c r="B414" s="160" t="s">
        <v>15</v>
      </c>
      <c r="C414" s="41" t="s">
        <v>249</v>
      </c>
      <c r="D414" s="42">
        <v>1</v>
      </c>
      <c r="E414" s="57">
        <v>7</v>
      </c>
      <c r="F414" s="57"/>
      <c r="G414" s="57">
        <v>9.8000000000000007</v>
      </c>
      <c r="H414" s="60">
        <f t="shared" si="8"/>
        <v>2.8000000000000007</v>
      </c>
      <c r="I414" s="52" t="s">
        <v>2</v>
      </c>
      <c r="J414" s="56" t="s">
        <v>243</v>
      </c>
    </row>
    <row r="415" spans="1:10" x14ac:dyDescent="0.2">
      <c r="A415" s="165">
        <v>10</v>
      </c>
      <c r="B415" s="160" t="s">
        <v>15</v>
      </c>
      <c r="C415" s="41" t="s">
        <v>249</v>
      </c>
      <c r="D415" s="42">
        <v>1</v>
      </c>
      <c r="E415" s="57">
        <v>7</v>
      </c>
      <c r="F415" s="57"/>
      <c r="G415" s="57">
        <v>9.8000000000000007</v>
      </c>
      <c r="H415" s="60">
        <f t="shared" si="8"/>
        <v>2.8000000000000007</v>
      </c>
      <c r="I415" s="52" t="s">
        <v>2</v>
      </c>
      <c r="J415" s="56" t="s">
        <v>243</v>
      </c>
    </row>
    <row r="416" spans="1:10" x14ac:dyDescent="0.2">
      <c r="A416" s="165">
        <v>10</v>
      </c>
      <c r="B416" s="160" t="s">
        <v>15</v>
      </c>
      <c r="C416" s="84" t="s">
        <v>240</v>
      </c>
      <c r="D416" s="42">
        <v>1</v>
      </c>
      <c r="E416" s="57">
        <v>52</v>
      </c>
      <c r="F416" s="57">
        <v>85</v>
      </c>
      <c r="G416" s="57">
        <v>85</v>
      </c>
      <c r="H416" s="60">
        <f t="shared" si="8"/>
        <v>33</v>
      </c>
      <c r="I416" s="52" t="s">
        <v>2</v>
      </c>
      <c r="J416" s="56" t="s">
        <v>149</v>
      </c>
    </row>
    <row r="417" spans="1:11" x14ac:dyDescent="0.2">
      <c r="A417" s="165">
        <v>10</v>
      </c>
      <c r="B417" s="160" t="s">
        <v>15</v>
      </c>
      <c r="C417" s="84" t="s">
        <v>230</v>
      </c>
      <c r="D417" s="42">
        <v>1</v>
      </c>
      <c r="E417" s="57">
        <v>1</v>
      </c>
      <c r="F417" s="57">
        <v>2.5</v>
      </c>
      <c r="G417" s="57">
        <v>2.5</v>
      </c>
      <c r="H417" s="60">
        <f t="shared" si="8"/>
        <v>1.5</v>
      </c>
      <c r="I417" s="52" t="s">
        <v>2</v>
      </c>
      <c r="J417" s="56" t="s">
        <v>149</v>
      </c>
    </row>
    <row r="418" spans="1:11" x14ac:dyDescent="0.2">
      <c r="A418" s="165">
        <v>10</v>
      </c>
      <c r="B418" s="160" t="s">
        <v>15</v>
      </c>
      <c r="C418" s="84" t="s">
        <v>230</v>
      </c>
      <c r="D418" s="42">
        <v>1</v>
      </c>
      <c r="E418" s="57">
        <v>1</v>
      </c>
      <c r="F418" s="57">
        <v>2.5</v>
      </c>
      <c r="G418" s="57">
        <v>2.5</v>
      </c>
      <c r="H418" s="60">
        <f t="shared" si="8"/>
        <v>1.5</v>
      </c>
      <c r="I418" s="52" t="s">
        <v>2</v>
      </c>
      <c r="J418" s="56" t="s">
        <v>149</v>
      </c>
    </row>
    <row r="419" spans="1:11" x14ac:dyDescent="0.2">
      <c r="A419" s="165">
        <v>10</v>
      </c>
      <c r="B419" s="160" t="s">
        <v>15</v>
      </c>
      <c r="C419" s="84" t="s">
        <v>230</v>
      </c>
      <c r="D419" s="42">
        <v>1</v>
      </c>
      <c r="E419" s="57">
        <v>1</v>
      </c>
      <c r="F419" s="57">
        <v>2.5</v>
      </c>
      <c r="G419" s="57">
        <v>2.5</v>
      </c>
      <c r="H419" s="60">
        <f t="shared" si="8"/>
        <v>1.5</v>
      </c>
      <c r="I419" s="52" t="s">
        <v>2</v>
      </c>
      <c r="J419" s="56" t="s">
        <v>149</v>
      </c>
    </row>
    <row r="420" spans="1:11" x14ac:dyDescent="0.2">
      <c r="A420" s="165">
        <v>10</v>
      </c>
      <c r="B420" s="160" t="s">
        <v>15</v>
      </c>
      <c r="C420" s="84" t="s">
        <v>230</v>
      </c>
      <c r="D420" s="42">
        <v>1</v>
      </c>
      <c r="E420" s="57">
        <v>1</v>
      </c>
      <c r="F420" s="57">
        <v>2.5</v>
      </c>
      <c r="G420" s="57">
        <v>2.5</v>
      </c>
      <c r="H420" s="60">
        <f t="shared" si="8"/>
        <v>1.5</v>
      </c>
      <c r="I420" s="52" t="s">
        <v>2</v>
      </c>
      <c r="J420" s="56" t="s">
        <v>149</v>
      </c>
    </row>
    <row r="421" spans="1:11" x14ac:dyDescent="0.2">
      <c r="A421" s="165">
        <v>10</v>
      </c>
      <c r="B421" s="160" t="s">
        <v>15</v>
      </c>
      <c r="C421" s="84" t="s">
        <v>226</v>
      </c>
      <c r="D421" s="42">
        <v>1</v>
      </c>
      <c r="E421" s="57">
        <v>22</v>
      </c>
      <c r="F421" s="57"/>
      <c r="G421" s="57">
        <v>49.2</v>
      </c>
      <c r="H421" s="60">
        <f t="shared" si="8"/>
        <v>27.200000000000003</v>
      </c>
      <c r="I421" s="52" t="s">
        <v>2</v>
      </c>
      <c r="J421" s="56" t="s">
        <v>244</v>
      </c>
    </row>
    <row r="422" spans="1:11" x14ac:dyDescent="0.2">
      <c r="A422" s="165">
        <v>10</v>
      </c>
      <c r="B422" s="160" t="s">
        <v>15</v>
      </c>
      <c r="C422" s="84" t="s">
        <v>242</v>
      </c>
      <c r="D422" s="42">
        <v>1</v>
      </c>
      <c r="E422" s="57">
        <v>8</v>
      </c>
      <c r="F422" s="57"/>
      <c r="G422" s="57">
        <v>17</v>
      </c>
      <c r="H422" s="60">
        <f t="shared" si="8"/>
        <v>9</v>
      </c>
      <c r="I422" s="52" t="s">
        <v>2</v>
      </c>
      <c r="J422" s="56" t="s">
        <v>243</v>
      </c>
    </row>
    <row r="423" spans="1:11" x14ac:dyDescent="0.2">
      <c r="A423" s="165">
        <v>10</v>
      </c>
      <c r="B423" s="160" t="s">
        <v>15</v>
      </c>
      <c r="C423" s="84" t="s">
        <v>242</v>
      </c>
      <c r="D423" s="42">
        <v>1</v>
      </c>
      <c r="E423" s="57">
        <v>7</v>
      </c>
      <c r="F423" s="57"/>
      <c r="G423" s="57">
        <v>15</v>
      </c>
      <c r="H423" s="60">
        <f t="shared" si="8"/>
        <v>8</v>
      </c>
      <c r="I423" s="52" t="s">
        <v>2</v>
      </c>
      <c r="J423" s="56" t="s">
        <v>243</v>
      </c>
    </row>
    <row r="424" spans="1:11" x14ac:dyDescent="0.2">
      <c r="A424" s="165">
        <v>10</v>
      </c>
      <c r="B424" s="160" t="s">
        <v>15</v>
      </c>
      <c r="C424" s="84" t="s">
        <v>242</v>
      </c>
      <c r="D424" s="42">
        <v>1</v>
      </c>
      <c r="E424" s="57">
        <v>7</v>
      </c>
      <c r="F424" s="57"/>
      <c r="G424" s="57">
        <v>15</v>
      </c>
      <c r="H424" s="60">
        <f t="shared" si="8"/>
        <v>8</v>
      </c>
      <c r="I424" s="52" t="s">
        <v>2</v>
      </c>
      <c r="J424" s="56" t="s">
        <v>243</v>
      </c>
    </row>
    <row r="425" spans="1:11" x14ac:dyDescent="0.2">
      <c r="A425" s="165">
        <v>10</v>
      </c>
      <c r="B425" s="160" t="s">
        <v>15</v>
      </c>
      <c r="C425" s="55" t="s">
        <v>315</v>
      </c>
      <c r="D425" s="42">
        <v>1</v>
      </c>
      <c r="E425" s="57">
        <v>15</v>
      </c>
      <c r="F425" s="57">
        <v>75</v>
      </c>
      <c r="G425" s="57">
        <v>75</v>
      </c>
      <c r="H425" s="60">
        <f t="shared" si="8"/>
        <v>60</v>
      </c>
      <c r="I425" s="52" t="s">
        <v>2</v>
      </c>
      <c r="J425" s="56" t="s">
        <v>149</v>
      </c>
    </row>
    <row r="426" spans="1:11" x14ac:dyDescent="0.2">
      <c r="A426" s="165">
        <v>10</v>
      </c>
      <c r="B426" s="160" t="s">
        <v>15</v>
      </c>
      <c r="C426" s="84" t="s">
        <v>257</v>
      </c>
      <c r="D426" s="42">
        <v>1</v>
      </c>
      <c r="E426" s="57">
        <v>40</v>
      </c>
      <c r="F426" s="57"/>
      <c r="G426" s="57">
        <v>78.599999999999994</v>
      </c>
      <c r="H426" s="60">
        <f t="shared" si="8"/>
        <v>38.599999999999994</v>
      </c>
      <c r="I426" s="52" t="s">
        <v>2</v>
      </c>
      <c r="J426" s="56" t="s">
        <v>243</v>
      </c>
    </row>
    <row r="427" spans="1:11" x14ac:dyDescent="0.2">
      <c r="A427" s="165">
        <v>10</v>
      </c>
      <c r="B427" s="160" t="s">
        <v>15</v>
      </c>
      <c r="C427" s="54" t="s">
        <v>158</v>
      </c>
      <c r="D427" s="42">
        <v>1</v>
      </c>
      <c r="E427" s="57">
        <v>0</v>
      </c>
      <c r="F427" s="57">
        <v>50</v>
      </c>
      <c r="G427" s="57">
        <v>50</v>
      </c>
      <c r="H427" s="60">
        <f t="shared" si="8"/>
        <v>50</v>
      </c>
      <c r="I427" s="52" t="s">
        <v>2</v>
      </c>
      <c r="J427" s="56" t="s">
        <v>149</v>
      </c>
    </row>
    <row r="428" spans="1:11" x14ac:dyDescent="0.2">
      <c r="A428" s="165">
        <v>10</v>
      </c>
      <c r="B428" s="160" t="s">
        <v>15</v>
      </c>
      <c r="C428" s="84" t="s">
        <v>255</v>
      </c>
      <c r="D428" s="42">
        <v>1</v>
      </c>
      <c r="E428" s="57">
        <v>30</v>
      </c>
      <c r="F428" s="57"/>
      <c r="G428" s="57">
        <v>45</v>
      </c>
      <c r="H428" s="60">
        <f t="shared" si="8"/>
        <v>15</v>
      </c>
      <c r="I428" s="52" t="s">
        <v>2</v>
      </c>
      <c r="J428" s="56" t="s">
        <v>243</v>
      </c>
    </row>
    <row r="429" spans="1:11" x14ac:dyDescent="0.2">
      <c r="A429" s="165">
        <v>10</v>
      </c>
      <c r="B429" s="160" t="s">
        <v>15</v>
      </c>
      <c r="C429" s="84" t="s">
        <v>248</v>
      </c>
      <c r="D429" s="42">
        <v>1</v>
      </c>
      <c r="E429" s="57">
        <v>15</v>
      </c>
      <c r="F429" s="57"/>
      <c r="G429" s="57">
        <v>18.59</v>
      </c>
      <c r="H429" s="60">
        <f t="shared" si="8"/>
        <v>3.59</v>
      </c>
      <c r="I429" s="52" t="s">
        <v>2</v>
      </c>
      <c r="J429" s="56" t="s">
        <v>243</v>
      </c>
    </row>
    <row r="430" spans="1:11" x14ac:dyDescent="0.2">
      <c r="A430" s="165">
        <v>10</v>
      </c>
      <c r="B430" s="160" t="s">
        <v>15</v>
      </c>
      <c r="C430" s="84" t="s">
        <v>318</v>
      </c>
      <c r="D430" s="42">
        <v>1</v>
      </c>
      <c r="E430" s="57">
        <v>35</v>
      </c>
      <c r="F430" s="57"/>
      <c r="G430" s="57">
        <v>54.6</v>
      </c>
      <c r="H430" s="60">
        <f t="shared" si="8"/>
        <v>19.600000000000001</v>
      </c>
      <c r="I430" s="52" t="s">
        <v>2</v>
      </c>
      <c r="J430" s="56" t="s">
        <v>243</v>
      </c>
      <c r="K430" s="109"/>
    </row>
    <row r="431" spans="1:11" x14ac:dyDescent="0.2">
      <c r="A431" s="165">
        <v>10</v>
      </c>
      <c r="B431" s="160" t="s">
        <v>15</v>
      </c>
      <c r="C431" s="84" t="s">
        <v>318</v>
      </c>
      <c r="D431" s="42">
        <v>1</v>
      </c>
      <c r="E431" s="57">
        <v>37</v>
      </c>
      <c r="F431" s="57"/>
      <c r="G431" s="57">
        <v>65</v>
      </c>
      <c r="H431" s="60">
        <f t="shared" si="8"/>
        <v>28</v>
      </c>
      <c r="I431" s="52" t="s">
        <v>2</v>
      </c>
      <c r="J431" s="56" t="s">
        <v>243</v>
      </c>
      <c r="K431" s="109"/>
    </row>
    <row r="432" spans="1:11" x14ac:dyDescent="0.2">
      <c r="A432" s="165">
        <v>10</v>
      </c>
      <c r="B432" s="160" t="s">
        <v>15</v>
      </c>
      <c r="C432" s="84" t="s">
        <v>318</v>
      </c>
      <c r="D432" s="42">
        <v>1</v>
      </c>
      <c r="E432" s="57">
        <v>37</v>
      </c>
      <c r="F432" s="57"/>
      <c r="G432" s="57">
        <v>65</v>
      </c>
      <c r="H432" s="60">
        <f t="shared" si="8"/>
        <v>28</v>
      </c>
      <c r="I432" s="52" t="s">
        <v>2</v>
      </c>
      <c r="J432" s="56" t="s">
        <v>243</v>
      </c>
      <c r="K432" s="109"/>
    </row>
    <row r="433" spans="1:11" x14ac:dyDescent="0.2">
      <c r="A433" s="165">
        <v>10</v>
      </c>
      <c r="B433" s="160" t="s">
        <v>15</v>
      </c>
      <c r="C433" s="84" t="s">
        <v>262</v>
      </c>
      <c r="D433" s="42">
        <v>1</v>
      </c>
      <c r="E433" s="57">
        <v>4</v>
      </c>
      <c r="F433" s="57"/>
      <c r="G433" s="57">
        <v>9</v>
      </c>
      <c r="H433" s="60">
        <f t="shared" si="8"/>
        <v>5</v>
      </c>
      <c r="I433" s="52" t="s">
        <v>2</v>
      </c>
      <c r="J433" s="56" t="s">
        <v>243</v>
      </c>
      <c r="K433" s="109"/>
    </row>
    <row r="434" spans="1:11" x14ac:dyDescent="0.2">
      <c r="A434" s="165">
        <v>10</v>
      </c>
      <c r="B434" s="160" t="s">
        <v>15</v>
      </c>
      <c r="C434" s="84" t="s">
        <v>241</v>
      </c>
      <c r="D434" s="42">
        <v>1</v>
      </c>
      <c r="E434" s="57">
        <v>4</v>
      </c>
      <c r="F434" s="57"/>
      <c r="G434" s="57">
        <v>9</v>
      </c>
      <c r="H434" s="60">
        <f t="shared" si="8"/>
        <v>5</v>
      </c>
      <c r="I434" s="52" t="s">
        <v>2</v>
      </c>
      <c r="J434" s="56" t="s">
        <v>243</v>
      </c>
      <c r="K434" s="109"/>
    </row>
    <row r="435" spans="1:11" x14ac:dyDescent="0.2">
      <c r="A435" s="165">
        <v>10</v>
      </c>
      <c r="B435" s="160" t="s">
        <v>15</v>
      </c>
      <c r="C435" s="84" t="s">
        <v>254</v>
      </c>
      <c r="D435" s="42">
        <v>1</v>
      </c>
      <c r="E435" s="57">
        <v>1.5</v>
      </c>
      <c r="F435" s="57"/>
      <c r="G435" s="57">
        <v>5</v>
      </c>
      <c r="H435" s="60">
        <f t="shared" si="8"/>
        <v>3.5</v>
      </c>
      <c r="I435" s="52" t="s">
        <v>2</v>
      </c>
      <c r="J435" s="56" t="s">
        <v>243</v>
      </c>
      <c r="K435" s="109"/>
    </row>
    <row r="436" spans="1:11" x14ac:dyDescent="0.2">
      <c r="A436" s="165">
        <v>10</v>
      </c>
      <c r="B436" s="160" t="s">
        <v>15</v>
      </c>
      <c r="C436" s="84" t="s">
        <v>254</v>
      </c>
      <c r="D436" s="42">
        <v>1</v>
      </c>
      <c r="E436" s="57">
        <v>1.5</v>
      </c>
      <c r="F436" s="57"/>
      <c r="G436" s="57">
        <v>5</v>
      </c>
      <c r="H436" s="60">
        <f t="shared" si="8"/>
        <v>3.5</v>
      </c>
      <c r="I436" s="52" t="s">
        <v>2</v>
      </c>
      <c r="J436" s="56" t="s">
        <v>243</v>
      </c>
      <c r="K436" s="109"/>
    </row>
    <row r="437" spans="1:11" x14ac:dyDescent="0.2">
      <c r="A437" s="165">
        <v>10</v>
      </c>
      <c r="B437" s="160" t="s">
        <v>15</v>
      </c>
      <c r="C437" s="84" t="s">
        <v>254</v>
      </c>
      <c r="D437" s="42">
        <v>1</v>
      </c>
      <c r="E437" s="57">
        <v>1.5</v>
      </c>
      <c r="F437" s="57"/>
      <c r="G437" s="57">
        <v>5</v>
      </c>
      <c r="H437" s="60">
        <f t="shared" si="8"/>
        <v>3.5</v>
      </c>
      <c r="I437" s="52" t="s">
        <v>2</v>
      </c>
      <c r="J437" s="56" t="s">
        <v>243</v>
      </c>
      <c r="K437" s="109"/>
    </row>
    <row r="438" spans="1:11" x14ac:dyDescent="0.2">
      <c r="A438" s="165">
        <v>10</v>
      </c>
      <c r="B438" s="160" t="s">
        <v>15</v>
      </c>
      <c r="C438" s="84" t="s">
        <v>254</v>
      </c>
      <c r="D438" s="42">
        <v>3</v>
      </c>
      <c r="E438" s="57">
        <f>D438*1.5</f>
        <v>4.5</v>
      </c>
      <c r="F438" s="57"/>
      <c r="G438" s="57">
        <v>20</v>
      </c>
      <c r="H438" s="60">
        <f t="shared" si="8"/>
        <v>15.5</v>
      </c>
      <c r="I438" s="52" t="s">
        <v>2</v>
      </c>
      <c r="J438" s="56" t="s">
        <v>243</v>
      </c>
      <c r="K438" s="109"/>
    </row>
    <row r="439" spans="1:11" x14ac:dyDescent="0.2">
      <c r="A439" s="165">
        <v>10</v>
      </c>
      <c r="B439" s="160" t="s">
        <v>15</v>
      </c>
      <c r="C439" s="84" t="s">
        <v>215</v>
      </c>
      <c r="D439" s="42">
        <v>1</v>
      </c>
      <c r="E439" s="57">
        <v>4</v>
      </c>
      <c r="F439" s="57"/>
      <c r="G439" s="57">
        <v>7.4</v>
      </c>
      <c r="H439" s="60">
        <f t="shared" si="8"/>
        <v>3.4000000000000004</v>
      </c>
      <c r="I439" s="52" t="s">
        <v>2</v>
      </c>
      <c r="J439" s="56" t="s">
        <v>243</v>
      </c>
      <c r="K439" s="109"/>
    </row>
    <row r="440" spans="1:11" x14ac:dyDescent="0.2">
      <c r="A440" s="165">
        <v>10</v>
      </c>
      <c r="B440" s="160" t="s">
        <v>15</v>
      </c>
      <c r="C440" s="84" t="s">
        <v>215</v>
      </c>
      <c r="D440" s="42">
        <v>1</v>
      </c>
      <c r="E440" s="57">
        <v>4</v>
      </c>
      <c r="F440" s="57"/>
      <c r="G440" s="57">
        <v>7.4</v>
      </c>
      <c r="H440" s="60">
        <f t="shared" si="8"/>
        <v>3.4000000000000004</v>
      </c>
      <c r="I440" s="52" t="s">
        <v>2</v>
      </c>
      <c r="J440" s="56" t="s">
        <v>243</v>
      </c>
      <c r="K440" s="109"/>
    </row>
    <row r="441" spans="1:11" x14ac:dyDescent="0.2">
      <c r="A441" s="165">
        <v>10</v>
      </c>
      <c r="B441" s="160" t="s">
        <v>15</v>
      </c>
      <c r="C441" s="84" t="s">
        <v>215</v>
      </c>
      <c r="D441" s="42">
        <v>1</v>
      </c>
      <c r="E441" s="57">
        <v>4</v>
      </c>
      <c r="F441" s="57"/>
      <c r="G441" s="57">
        <v>9</v>
      </c>
      <c r="H441" s="60">
        <f t="shared" si="8"/>
        <v>5</v>
      </c>
      <c r="I441" s="52" t="s">
        <v>2</v>
      </c>
      <c r="J441" s="56" t="s">
        <v>243</v>
      </c>
      <c r="K441" s="109"/>
    </row>
    <row r="442" spans="1:11" x14ac:dyDescent="0.2">
      <c r="A442" s="165">
        <v>10</v>
      </c>
      <c r="B442" s="160" t="s">
        <v>15</v>
      </c>
      <c r="C442" s="84" t="s">
        <v>215</v>
      </c>
      <c r="D442" s="42">
        <v>1</v>
      </c>
      <c r="E442" s="57">
        <v>4</v>
      </c>
      <c r="F442" s="57"/>
      <c r="G442" s="57">
        <v>9</v>
      </c>
      <c r="H442" s="60">
        <f t="shared" si="8"/>
        <v>5</v>
      </c>
      <c r="I442" s="52" t="s">
        <v>2</v>
      </c>
      <c r="J442" s="56" t="s">
        <v>243</v>
      </c>
      <c r="K442" s="109"/>
    </row>
    <row r="443" spans="1:11" x14ac:dyDescent="0.2">
      <c r="A443" s="165">
        <v>10</v>
      </c>
      <c r="B443" s="160" t="s">
        <v>15</v>
      </c>
      <c r="C443" s="84" t="s">
        <v>256</v>
      </c>
      <c r="D443" s="42">
        <v>1</v>
      </c>
      <c r="E443" s="57">
        <v>35</v>
      </c>
      <c r="F443" s="57"/>
      <c r="G443" s="57">
        <v>56</v>
      </c>
      <c r="H443" s="60">
        <f t="shared" si="8"/>
        <v>21</v>
      </c>
      <c r="I443" s="52" t="s">
        <v>2</v>
      </c>
      <c r="J443" s="56" t="s">
        <v>243</v>
      </c>
      <c r="K443" s="109"/>
    </row>
    <row r="444" spans="1:11" x14ac:dyDescent="0.2">
      <c r="A444" s="165">
        <v>10</v>
      </c>
      <c r="B444" s="160" t="s">
        <v>15</v>
      </c>
      <c r="C444" s="84" t="s">
        <v>266</v>
      </c>
      <c r="D444" s="42">
        <v>1</v>
      </c>
      <c r="E444" s="57">
        <v>12</v>
      </c>
      <c r="F444" s="57">
        <v>25</v>
      </c>
      <c r="G444" s="57">
        <v>25</v>
      </c>
      <c r="H444" s="60">
        <f t="shared" si="8"/>
        <v>13</v>
      </c>
      <c r="I444" s="52" t="s">
        <v>2</v>
      </c>
      <c r="J444" s="56" t="s">
        <v>149</v>
      </c>
      <c r="K444" s="109"/>
    </row>
    <row r="445" spans="1:11" x14ac:dyDescent="0.2">
      <c r="A445" s="165">
        <v>10</v>
      </c>
      <c r="B445" s="160" t="s">
        <v>15</v>
      </c>
      <c r="C445" s="84" t="s">
        <v>170</v>
      </c>
      <c r="D445" s="42">
        <v>1</v>
      </c>
      <c r="E445" s="57">
        <v>15</v>
      </c>
      <c r="F445" s="57">
        <v>30</v>
      </c>
      <c r="G445" s="57">
        <v>30</v>
      </c>
      <c r="H445" s="60">
        <f t="shared" si="8"/>
        <v>15</v>
      </c>
      <c r="I445" s="52" t="s">
        <v>2</v>
      </c>
      <c r="J445" s="56" t="s">
        <v>149</v>
      </c>
      <c r="K445" s="109"/>
    </row>
    <row r="446" spans="1:11" x14ac:dyDescent="0.2">
      <c r="A446" s="165">
        <v>10</v>
      </c>
      <c r="B446" s="160" t="s">
        <v>15</v>
      </c>
      <c r="C446" s="84" t="s">
        <v>113</v>
      </c>
      <c r="D446" s="42">
        <v>1</v>
      </c>
      <c r="E446" s="57">
        <v>7</v>
      </c>
      <c r="F446" s="57"/>
      <c r="G446" s="57">
        <v>13</v>
      </c>
      <c r="H446" s="60">
        <f t="shared" ref="H446:H509" si="9">G446-E446</f>
        <v>6</v>
      </c>
      <c r="I446" s="52" t="s">
        <v>2</v>
      </c>
      <c r="J446" s="56" t="s">
        <v>243</v>
      </c>
    </row>
    <row r="447" spans="1:11" x14ac:dyDescent="0.2">
      <c r="A447" s="165">
        <v>10</v>
      </c>
      <c r="B447" s="160" t="s">
        <v>15</v>
      </c>
      <c r="C447" s="167" t="s">
        <v>320</v>
      </c>
      <c r="D447" s="42">
        <v>1</v>
      </c>
      <c r="E447" s="57">
        <v>5</v>
      </c>
      <c r="F447" s="57"/>
      <c r="G447" s="57">
        <v>9.8000000000000007</v>
      </c>
      <c r="H447" s="60">
        <f t="shared" si="9"/>
        <v>4.8000000000000007</v>
      </c>
      <c r="I447" s="52" t="s">
        <v>2</v>
      </c>
      <c r="J447" s="56" t="s">
        <v>243</v>
      </c>
    </row>
    <row r="448" spans="1:11" x14ac:dyDescent="0.2">
      <c r="A448" s="165">
        <v>10</v>
      </c>
      <c r="B448" s="160" t="s">
        <v>15</v>
      </c>
      <c r="C448" s="84" t="s">
        <v>251</v>
      </c>
      <c r="D448" s="42">
        <v>1</v>
      </c>
      <c r="E448" s="57">
        <v>10</v>
      </c>
      <c r="F448" s="57"/>
      <c r="G448" s="57">
        <v>13</v>
      </c>
      <c r="H448" s="60">
        <f t="shared" si="9"/>
        <v>3</v>
      </c>
      <c r="I448" s="52" t="s">
        <v>2</v>
      </c>
      <c r="J448" s="56" t="s">
        <v>243</v>
      </c>
    </row>
    <row r="449" spans="1:10" x14ac:dyDescent="0.2">
      <c r="A449" s="165">
        <v>10</v>
      </c>
      <c r="B449" s="160" t="s">
        <v>15</v>
      </c>
      <c r="C449" s="167" t="s">
        <v>245</v>
      </c>
      <c r="D449" s="42">
        <v>1</v>
      </c>
      <c r="E449" s="57">
        <v>3.5</v>
      </c>
      <c r="F449" s="57"/>
      <c r="G449" s="57">
        <v>7.8</v>
      </c>
      <c r="H449" s="60">
        <f t="shared" si="9"/>
        <v>4.3</v>
      </c>
      <c r="I449" s="52" t="s">
        <v>2</v>
      </c>
      <c r="J449" s="56" t="s">
        <v>244</v>
      </c>
    </row>
    <row r="450" spans="1:10" x14ac:dyDescent="0.2">
      <c r="A450" s="165">
        <v>10</v>
      </c>
      <c r="B450" s="160" t="s">
        <v>15</v>
      </c>
      <c r="C450" s="84" t="s">
        <v>238</v>
      </c>
      <c r="D450" s="42">
        <v>1</v>
      </c>
      <c r="E450" s="57">
        <v>3.5</v>
      </c>
      <c r="F450" s="57"/>
      <c r="G450" s="57">
        <v>7.8</v>
      </c>
      <c r="H450" s="60">
        <f t="shared" si="9"/>
        <v>4.3</v>
      </c>
      <c r="I450" s="52" t="s">
        <v>2</v>
      </c>
      <c r="J450" s="56" t="s">
        <v>243</v>
      </c>
    </row>
    <row r="451" spans="1:10" x14ac:dyDescent="0.2">
      <c r="A451" s="165">
        <v>10</v>
      </c>
      <c r="B451" s="160" t="s">
        <v>15</v>
      </c>
      <c r="C451" s="84" t="s">
        <v>227</v>
      </c>
      <c r="D451" s="42">
        <v>1</v>
      </c>
      <c r="E451" s="57">
        <v>16</v>
      </c>
      <c r="F451" s="57"/>
      <c r="G451" s="57">
        <v>32</v>
      </c>
      <c r="H451" s="60">
        <f t="shared" si="9"/>
        <v>16</v>
      </c>
      <c r="I451" s="52" t="s">
        <v>2</v>
      </c>
      <c r="J451" s="56" t="s">
        <v>244</v>
      </c>
    </row>
    <row r="452" spans="1:10" x14ac:dyDescent="0.2">
      <c r="A452" s="165">
        <v>10</v>
      </c>
      <c r="B452" s="160" t="s">
        <v>15</v>
      </c>
      <c r="C452" s="84" t="s">
        <v>239</v>
      </c>
      <c r="D452" s="42">
        <v>1</v>
      </c>
      <c r="E452" s="57">
        <v>35</v>
      </c>
      <c r="F452" s="57"/>
      <c r="G452" s="57">
        <v>61</v>
      </c>
      <c r="H452" s="60">
        <f t="shared" si="9"/>
        <v>26</v>
      </c>
      <c r="I452" s="52" t="s">
        <v>2</v>
      </c>
      <c r="J452" s="56" t="s">
        <v>243</v>
      </c>
    </row>
    <row r="453" spans="1:10" x14ac:dyDescent="0.2">
      <c r="A453" s="165">
        <v>10</v>
      </c>
      <c r="B453" s="160" t="s">
        <v>15</v>
      </c>
      <c r="C453" s="84" t="s">
        <v>264</v>
      </c>
      <c r="D453" s="42">
        <v>1</v>
      </c>
      <c r="E453" s="57">
        <v>3</v>
      </c>
      <c r="F453" s="57">
        <v>10</v>
      </c>
      <c r="G453" s="57">
        <v>10</v>
      </c>
      <c r="H453" s="60">
        <f t="shared" si="9"/>
        <v>7</v>
      </c>
      <c r="I453" s="52" t="s">
        <v>2</v>
      </c>
      <c r="J453" s="56" t="s">
        <v>149</v>
      </c>
    </row>
    <row r="454" spans="1:10" x14ac:dyDescent="0.2">
      <c r="A454" s="165">
        <v>10</v>
      </c>
      <c r="B454" s="160" t="s">
        <v>15</v>
      </c>
      <c r="C454" s="84" t="s">
        <v>235</v>
      </c>
      <c r="D454" s="42">
        <v>1</v>
      </c>
      <c r="E454" s="57">
        <v>14</v>
      </c>
      <c r="F454" s="57"/>
      <c r="G454" s="57">
        <v>25.36</v>
      </c>
      <c r="H454" s="60">
        <f t="shared" si="9"/>
        <v>11.36</v>
      </c>
      <c r="I454" s="52" t="s">
        <v>2</v>
      </c>
      <c r="J454" s="56" t="s">
        <v>243</v>
      </c>
    </row>
    <row r="455" spans="1:10" x14ac:dyDescent="0.2">
      <c r="A455" s="165">
        <v>10</v>
      </c>
      <c r="B455" s="160" t="s">
        <v>15</v>
      </c>
      <c r="C455" s="84" t="s">
        <v>235</v>
      </c>
      <c r="D455" s="42">
        <v>1</v>
      </c>
      <c r="E455" s="57">
        <v>12</v>
      </c>
      <c r="F455" s="57"/>
      <c r="G455" s="57">
        <v>25.36</v>
      </c>
      <c r="H455" s="60">
        <f t="shared" si="9"/>
        <v>13.36</v>
      </c>
      <c r="I455" s="52" t="s">
        <v>2</v>
      </c>
      <c r="J455" s="56" t="s">
        <v>243</v>
      </c>
    </row>
    <row r="456" spans="1:10" x14ac:dyDescent="0.2">
      <c r="A456" s="165">
        <v>10</v>
      </c>
      <c r="B456" s="160" t="s">
        <v>15</v>
      </c>
      <c r="C456" s="84" t="s">
        <v>253</v>
      </c>
      <c r="D456" s="42">
        <v>1</v>
      </c>
      <c r="E456" s="57">
        <v>1</v>
      </c>
      <c r="F456" s="57"/>
      <c r="G456" s="57">
        <v>5</v>
      </c>
      <c r="H456" s="60">
        <f t="shared" si="9"/>
        <v>4</v>
      </c>
      <c r="I456" s="52" t="s">
        <v>2</v>
      </c>
      <c r="J456" s="56" t="s">
        <v>243</v>
      </c>
    </row>
    <row r="457" spans="1:10" x14ac:dyDescent="0.2">
      <c r="A457" s="165">
        <v>10</v>
      </c>
      <c r="B457" s="160" t="s">
        <v>15</v>
      </c>
      <c r="C457" s="84" t="s">
        <v>250</v>
      </c>
      <c r="D457" s="42">
        <v>1</v>
      </c>
      <c r="E457" s="57"/>
      <c r="F457" s="57"/>
      <c r="G457" s="57">
        <v>33</v>
      </c>
      <c r="H457" s="60">
        <f t="shared" si="9"/>
        <v>33</v>
      </c>
      <c r="I457" s="52" t="s">
        <v>2</v>
      </c>
      <c r="J457" s="56" t="s">
        <v>243</v>
      </c>
    </row>
    <row r="458" spans="1:10" x14ac:dyDescent="0.2">
      <c r="A458" s="165">
        <v>10</v>
      </c>
      <c r="B458" s="160" t="s">
        <v>15</v>
      </c>
      <c r="C458" s="41" t="s">
        <v>322</v>
      </c>
      <c r="D458" s="42">
        <v>2</v>
      </c>
      <c r="E458" s="57">
        <v>2</v>
      </c>
      <c r="F458" s="57"/>
      <c r="G458" s="57">
        <v>8.4</v>
      </c>
      <c r="H458" s="60">
        <f t="shared" si="9"/>
        <v>6.4</v>
      </c>
      <c r="I458" s="52" t="s">
        <v>2</v>
      </c>
      <c r="J458" s="56" t="s">
        <v>243</v>
      </c>
    </row>
    <row r="459" spans="1:10" x14ac:dyDescent="0.2">
      <c r="A459" s="165">
        <v>10</v>
      </c>
      <c r="B459" s="160" t="s">
        <v>15</v>
      </c>
      <c r="C459" s="84" t="s">
        <v>237</v>
      </c>
      <c r="D459" s="42">
        <v>1</v>
      </c>
      <c r="E459" s="57">
        <v>11</v>
      </c>
      <c r="F459" s="57"/>
      <c r="G459" s="57">
        <v>18.600000000000001</v>
      </c>
      <c r="H459" s="60">
        <f t="shared" si="9"/>
        <v>7.6000000000000014</v>
      </c>
      <c r="I459" s="52" t="s">
        <v>2</v>
      </c>
      <c r="J459" s="56" t="s">
        <v>243</v>
      </c>
    </row>
    <row r="460" spans="1:10" x14ac:dyDescent="0.2">
      <c r="A460" s="165">
        <v>10</v>
      </c>
      <c r="B460" s="160" t="s">
        <v>15</v>
      </c>
      <c r="C460" s="84" t="s">
        <v>194</v>
      </c>
      <c r="D460" s="42">
        <v>1</v>
      </c>
      <c r="E460" s="57">
        <v>52</v>
      </c>
      <c r="F460" s="57">
        <v>85</v>
      </c>
      <c r="G460" s="57">
        <v>85</v>
      </c>
      <c r="H460" s="60">
        <f t="shared" si="9"/>
        <v>33</v>
      </c>
      <c r="I460" s="52" t="s">
        <v>2</v>
      </c>
      <c r="J460" s="56" t="s">
        <v>149</v>
      </c>
    </row>
    <row r="461" spans="1:10" x14ac:dyDescent="0.2">
      <c r="A461" s="165">
        <v>10</v>
      </c>
      <c r="B461" s="160" t="s">
        <v>15</v>
      </c>
      <c r="C461" s="84" t="s">
        <v>194</v>
      </c>
      <c r="D461" s="42">
        <v>1</v>
      </c>
      <c r="E461" s="57">
        <v>52</v>
      </c>
      <c r="F461" s="57">
        <v>85</v>
      </c>
      <c r="G461" s="57">
        <v>85</v>
      </c>
      <c r="H461" s="60">
        <f t="shared" si="9"/>
        <v>33</v>
      </c>
      <c r="I461" s="52" t="s">
        <v>2</v>
      </c>
      <c r="J461" s="56" t="s">
        <v>149</v>
      </c>
    </row>
    <row r="462" spans="1:10" x14ac:dyDescent="0.2">
      <c r="A462" s="165">
        <v>11</v>
      </c>
      <c r="B462" s="160" t="s">
        <v>16</v>
      </c>
      <c r="C462" s="41" t="s">
        <v>252</v>
      </c>
      <c r="D462" s="42">
        <v>1</v>
      </c>
      <c r="E462" s="43">
        <v>30</v>
      </c>
      <c r="F462" s="115"/>
      <c r="G462" s="115">
        <v>50.876899999999999</v>
      </c>
      <c r="H462" s="60">
        <f t="shared" si="9"/>
        <v>20.876899999999999</v>
      </c>
      <c r="I462" s="52" t="s">
        <v>2</v>
      </c>
      <c r="J462" s="56" t="s">
        <v>243</v>
      </c>
    </row>
    <row r="463" spans="1:10" x14ac:dyDescent="0.2">
      <c r="A463" s="165">
        <v>11</v>
      </c>
      <c r="B463" s="160" t="s">
        <v>16</v>
      </c>
      <c r="C463" s="84" t="s">
        <v>206</v>
      </c>
      <c r="D463" s="42">
        <v>1</v>
      </c>
      <c r="E463" s="43">
        <v>5</v>
      </c>
      <c r="F463" s="115"/>
      <c r="G463" s="115">
        <v>17.528199999999998</v>
      </c>
      <c r="H463" s="60">
        <f t="shared" si="9"/>
        <v>12.528199999999998</v>
      </c>
      <c r="I463" s="52" t="s">
        <v>2</v>
      </c>
      <c r="J463" s="56" t="s">
        <v>243</v>
      </c>
    </row>
    <row r="464" spans="1:10" x14ac:dyDescent="0.2">
      <c r="A464" s="165">
        <v>11</v>
      </c>
      <c r="B464" s="160" t="s">
        <v>16</v>
      </c>
      <c r="C464" s="84" t="s">
        <v>162</v>
      </c>
      <c r="D464" s="42">
        <v>1</v>
      </c>
      <c r="E464" s="57">
        <v>15</v>
      </c>
      <c r="F464" s="57">
        <v>35</v>
      </c>
      <c r="G464" s="57">
        <v>35</v>
      </c>
      <c r="H464" s="60">
        <f t="shared" si="9"/>
        <v>20</v>
      </c>
      <c r="I464" s="52" t="s">
        <v>2</v>
      </c>
      <c r="J464" s="56" t="s">
        <v>149</v>
      </c>
    </row>
    <row r="465" spans="1:10" x14ac:dyDescent="0.2">
      <c r="A465" s="165">
        <v>11</v>
      </c>
      <c r="B465" s="160" t="s">
        <v>16</v>
      </c>
      <c r="C465" s="84" t="s">
        <v>126</v>
      </c>
      <c r="D465" s="42">
        <v>1</v>
      </c>
      <c r="E465" s="57">
        <v>5</v>
      </c>
      <c r="F465" s="57"/>
      <c r="G465" s="57">
        <v>7.2</v>
      </c>
      <c r="H465" s="60">
        <f t="shared" si="9"/>
        <v>2.2000000000000002</v>
      </c>
      <c r="I465" s="52" t="s">
        <v>2</v>
      </c>
      <c r="J465" s="56" t="s">
        <v>291</v>
      </c>
    </row>
    <row r="466" spans="1:10" x14ac:dyDescent="0.2">
      <c r="A466" s="165">
        <v>11</v>
      </c>
      <c r="B466" s="160" t="s">
        <v>16</v>
      </c>
      <c r="C466" s="84" t="s">
        <v>268</v>
      </c>
      <c r="D466" s="42">
        <v>1</v>
      </c>
      <c r="E466" s="57">
        <v>2</v>
      </c>
      <c r="F466" s="57"/>
      <c r="G466" s="57">
        <v>8.19</v>
      </c>
      <c r="H466" s="60">
        <f t="shared" si="9"/>
        <v>6.1899999999999995</v>
      </c>
      <c r="I466" s="52" t="s">
        <v>2</v>
      </c>
      <c r="J466" s="56" t="s">
        <v>243</v>
      </c>
    </row>
    <row r="467" spans="1:10" x14ac:dyDescent="0.2">
      <c r="A467" s="165">
        <v>11</v>
      </c>
      <c r="B467" s="160" t="s">
        <v>16</v>
      </c>
      <c r="C467" s="84" t="s">
        <v>280</v>
      </c>
      <c r="D467" s="42">
        <v>1</v>
      </c>
      <c r="E467" s="57">
        <v>2</v>
      </c>
      <c r="F467" s="57">
        <v>15</v>
      </c>
      <c r="G467" s="57">
        <v>15</v>
      </c>
      <c r="H467" s="60">
        <f t="shared" si="9"/>
        <v>13</v>
      </c>
      <c r="I467" s="52" t="s">
        <v>2</v>
      </c>
      <c r="J467" s="56" t="s">
        <v>149</v>
      </c>
    </row>
    <row r="468" spans="1:10" x14ac:dyDescent="0.2">
      <c r="A468" s="165">
        <v>11</v>
      </c>
      <c r="B468" s="160" t="s">
        <v>16</v>
      </c>
      <c r="C468" s="84" t="s">
        <v>270</v>
      </c>
      <c r="D468" s="42">
        <v>1</v>
      </c>
      <c r="E468" s="57">
        <v>12</v>
      </c>
      <c r="F468" s="57">
        <v>25</v>
      </c>
      <c r="G468" s="57">
        <v>25</v>
      </c>
      <c r="H468" s="60">
        <f t="shared" si="9"/>
        <v>13</v>
      </c>
      <c r="I468" s="52" t="s">
        <v>2</v>
      </c>
      <c r="J468" s="56" t="s">
        <v>149</v>
      </c>
    </row>
    <row r="469" spans="1:10" x14ac:dyDescent="0.2">
      <c r="A469" s="165">
        <v>11</v>
      </c>
      <c r="B469" s="160" t="s">
        <v>16</v>
      </c>
      <c r="C469" s="84" t="s">
        <v>263</v>
      </c>
      <c r="D469" s="42">
        <v>5</v>
      </c>
      <c r="E469" s="43">
        <v>325</v>
      </c>
      <c r="F469" s="115"/>
      <c r="G469" s="115">
        <v>477.37990000000002</v>
      </c>
      <c r="H469" s="60">
        <f t="shared" si="9"/>
        <v>152.37990000000002</v>
      </c>
      <c r="I469" s="52" t="s">
        <v>2</v>
      </c>
      <c r="J469" s="56" t="s">
        <v>243</v>
      </c>
    </row>
    <row r="470" spans="1:10" x14ac:dyDescent="0.2">
      <c r="A470" s="165">
        <v>11</v>
      </c>
      <c r="B470" s="160" t="s">
        <v>16</v>
      </c>
      <c r="C470" s="84" t="s">
        <v>263</v>
      </c>
      <c r="D470" s="42">
        <v>2</v>
      </c>
      <c r="E470" s="57">
        <v>130</v>
      </c>
      <c r="F470" s="57"/>
      <c r="G470" s="57">
        <f>93*D470</f>
        <v>186</v>
      </c>
      <c r="H470" s="60">
        <f t="shared" si="9"/>
        <v>56</v>
      </c>
      <c r="I470" s="52" t="s">
        <v>2</v>
      </c>
      <c r="J470" s="56" t="s">
        <v>291</v>
      </c>
    </row>
    <row r="471" spans="1:10" x14ac:dyDescent="0.2">
      <c r="A471" s="165">
        <v>11</v>
      </c>
      <c r="B471" s="160" t="s">
        <v>16</v>
      </c>
      <c r="C471" s="84" t="s">
        <v>218</v>
      </c>
      <c r="D471" s="42">
        <v>1</v>
      </c>
      <c r="E471" s="43">
        <v>3</v>
      </c>
      <c r="F471" s="115"/>
      <c r="G471" s="115">
        <v>4.6999999999999993</v>
      </c>
      <c r="H471" s="60">
        <f t="shared" si="9"/>
        <v>1.6999999999999993</v>
      </c>
      <c r="I471" s="52" t="s">
        <v>2</v>
      </c>
      <c r="J471" s="56" t="s">
        <v>243</v>
      </c>
    </row>
    <row r="472" spans="1:10" x14ac:dyDescent="0.2">
      <c r="A472" s="165">
        <v>11</v>
      </c>
      <c r="B472" s="160" t="s">
        <v>16</v>
      </c>
      <c r="C472" s="84" t="s">
        <v>311</v>
      </c>
      <c r="D472" s="42">
        <v>1</v>
      </c>
      <c r="E472" s="57">
        <v>13.5</v>
      </c>
      <c r="F472" s="57">
        <v>20</v>
      </c>
      <c r="G472" s="57">
        <v>20</v>
      </c>
      <c r="H472" s="60">
        <f t="shared" si="9"/>
        <v>6.5</v>
      </c>
      <c r="I472" s="52" t="s">
        <v>2</v>
      </c>
      <c r="J472" s="56" t="s">
        <v>149</v>
      </c>
    </row>
    <row r="473" spans="1:10" x14ac:dyDescent="0.2">
      <c r="A473" s="165">
        <v>11</v>
      </c>
      <c r="B473" s="160" t="s">
        <v>16</v>
      </c>
      <c r="C473" s="84" t="s">
        <v>311</v>
      </c>
      <c r="D473" s="42">
        <v>1</v>
      </c>
      <c r="E473" s="57">
        <v>13.5</v>
      </c>
      <c r="F473" s="57">
        <v>20</v>
      </c>
      <c r="G473" s="57">
        <v>20</v>
      </c>
      <c r="H473" s="60">
        <f t="shared" si="9"/>
        <v>6.5</v>
      </c>
      <c r="I473" s="52" t="s">
        <v>2</v>
      </c>
      <c r="J473" s="56" t="s">
        <v>149</v>
      </c>
    </row>
    <row r="474" spans="1:10" x14ac:dyDescent="0.2">
      <c r="A474" s="165">
        <v>11</v>
      </c>
      <c r="B474" s="160" t="s">
        <v>16</v>
      </c>
      <c r="C474" s="41" t="s">
        <v>288</v>
      </c>
      <c r="D474" s="42">
        <v>2</v>
      </c>
      <c r="E474" s="43">
        <v>38</v>
      </c>
      <c r="F474" s="115"/>
      <c r="G474" s="115">
        <v>60.702100000000002</v>
      </c>
      <c r="H474" s="60">
        <f t="shared" si="9"/>
        <v>22.702100000000002</v>
      </c>
      <c r="I474" s="52" t="s">
        <v>2</v>
      </c>
      <c r="J474" s="56" t="s">
        <v>243</v>
      </c>
    </row>
    <row r="475" spans="1:10" x14ac:dyDescent="0.2">
      <c r="A475" s="165">
        <v>11</v>
      </c>
      <c r="B475" s="160" t="s">
        <v>16</v>
      </c>
      <c r="C475" s="41" t="s">
        <v>249</v>
      </c>
      <c r="D475" s="42">
        <v>4</v>
      </c>
      <c r="E475" s="43">
        <v>28</v>
      </c>
      <c r="F475" s="115"/>
      <c r="G475" s="115">
        <v>49.36</v>
      </c>
      <c r="H475" s="60">
        <f t="shared" si="9"/>
        <v>21.36</v>
      </c>
      <c r="I475" s="52" t="s">
        <v>2</v>
      </c>
      <c r="J475" s="56" t="s">
        <v>243</v>
      </c>
    </row>
    <row r="476" spans="1:10" x14ac:dyDescent="0.2">
      <c r="A476" s="165">
        <v>11</v>
      </c>
      <c r="B476" s="160" t="s">
        <v>16</v>
      </c>
      <c r="C476" s="84" t="s">
        <v>240</v>
      </c>
      <c r="D476" s="42">
        <v>1</v>
      </c>
      <c r="E476" s="57">
        <v>44</v>
      </c>
      <c r="F476" s="57">
        <v>70</v>
      </c>
      <c r="G476" s="57">
        <v>70</v>
      </c>
      <c r="H476" s="60">
        <f t="shared" si="9"/>
        <v>26</v>
      </c>
      <c r="I476" s="52" t="s">
        <v>2</v>
      </c>
      <c r="J476" s="56" t="s">
        <v>149</v>
      </c>
    </row>
    <row r="477" spans="1:10" x14ac:dyDescent="0.2">
      <c r="A477" s="165">
        <v>11</v>
      </c>
      <c r="B477" s="160" t="s">
        <v>16</v>
      </c>
      <c r="C477" s="41" t="s">
        <v>313</v>
      </c>
      <c r="D477" s="42">
        <v>2</v>
      </c>
      <c r="E477" s="43">
        <v>120</v>
      </c>
      <c r="F477" s="115"/>
      <c r="G477" s="115">
        <v>158.69999999999999</v>
      </c>
      <c r="H477" s="60">
        <f t="shared" si="9"/>
        <v>38.699999999999989</v>
      </c>
      <c r="I477" s="52" t="s">
        <v>2</v>
      </c>
      <c r="J477" s="56" t="s">
        <v>243</v>
      </c>
    </row>
    <row r="478" spans="1:10" x14ac:dyDescent="0.2">
      <c r="A478" s="165">
        <v>11</v>
      </c>
      <c r="B478" s="160" t="s">
        <v>16</v>
      </c>
      <c r="C478" s="41" t="s">
        <v>97</v>
      </c>
      <c r="D478" s="42">
        <v>1</v>
      </c>
      <c r="E478" s="43">
        <v>80</v>
      </c>
      <c r="F478" s="115"/>
      <c r="G478" s="115">
        <v>102.16660000000002</v>
      </c>
      <c r="H478" s="60">
        <f t="shared" si="9"/>
        <v>22.166600000000017</v>
      </c>
      <c r="I478" s="52" t="s">
        <v>2</v>
      </c>
      <c r="J478" s="56" t="s">
        <v>243</v>
      </c>
    </row>
    <row r="479" spans="1:10" x14ac:dyDescent="0.2">
      <c r="A479" s="165">
        <v>11</v>
      </c>
      <c r="B479" s="160" t="s">
        <v>16</v>
      </c>
      <c r="C479" s="84" t="s">
        <v>97</v>
      </c>
      <c r="D479" s="42">
        <v>1</v>
      </c>
      <c r="E479" s="57">
        <v>80</v>
      </c>
      <c r="F479" s="57"/>
      <c r="G479" s="57">
        <v>99</v>
      </c>
      <c r="H479" s="60">
        <f t="shared" si="9"/>
        <v>19</v>
      </c>
      <c r="I479" s="52" t="s">
        <v>2</v>
      </c>
      <c r="J479" s="56" t="s">
        <v>291</v>
      </c>
    </row>
    <row r="480" spans="1:10" x14ac:dyDescent="0.2">
      <c r="A480" s="165">
        <v>11</v>
      </c>
      <c r="B480" s="160" t="s">
        <v>16</v>
      </c>
      <c r="C480" s="55" t="s">
        <v>315</v>
      </c>
      <c r="D480" s="42">
        <v>1</v>
      </c>
      <c r="E480" s="57">
        <v>44</v>
      </c>
      <c r="F480" s="57">
        <v>65</v>
      </c>
      <c r="G480" s="57">
        <v>65</v>
      </c>
      <c r="H480" s="60">
        <f t="shared" si="9"/>
        <v>21</v>
      </c>
      <c r="I480" s="52" t="s">
        <v>2</v>
      </c>
      <c r="J480" s="56" t="s">
        <v>149</v>
      </c>
    </row>
    <row r="481" spans="1:10" x14ac:dyDescent="0.2">
      <c r="A481" s="165">
        <v>11</v>
      </c>
      <c r="B481" s="160" t="s">
        <v>16</v>
      </c>
      <c r="C481" s="84" t="s">
        <v>317</v>
      </c>
      <c r="D481" s="42">
        <v>1</v>
      </c>
      <c r="E481" s="43">
        <v>0</v>
      </c>
      <c r="F481" s="115"/>
      <c r="G481" s="115">
        <v>27.299500000000002</v>
      </c>
      <c r="H481" s="60">
        <f t="shared" si="9"/>
        <v>27.299500000000002</v>
      </c>
      <c r="I481" s="52" t="s">
        <v>2</v>
      </c>
      <c r="J481" s="56" t="s">
        <v>243</v>
      </c>
    </row>
    <row r="482" spans="1:10" x14ac:dyDescent="0.2">
      <c r="A482" s="165">
        <v>11</v>
      </c>
      <c r="B482" s="160" t="s">
        <v>16</v>
      </c>
      <c r="C482" s="84" t="s">
        <v>152</v>
      </c>
      <c r="D482" s="42">
        <v>1</v>
      </c>
      <c r="E482" s="57">
        <v>23</v>
      </c>
      <c r="F482" s="57">
        <v>40</v>
      </c>
      <c r="G482" s="57">
        <v>40</v>
      </c>
      <c r="H482" s="60">
        <f t="shared" si="9"/>
        <v>17</v>
      </c>
      <c r="I482" s="52" t="s">
        <v>2</v>
      </c>
      <c r="J482" s="56" t="s">
        <v>149</v>
      </c>
    </row>
    <row r="483" spans="1:10" x14ac:dyDescent="0.2">
      <c r="A483" s="165">
        <v>11</v>
      </c>
      <c r="B483" s="160" t="s">
        <v>16</v>
      </c>
      <c r="C483" s="41" t="s">
        <v>290</v>
      </c>
      <c r="D483" s="42">
        <v>4</v>
      </c>
      <c r="E483" s="43">
        <v>148</v>
      </c>
      <c r="F483" s="115"/>
      <c r="G483" s="115">
        <v>259.1311</v>
      </c>
      <c r="H483" s="60">
        <f t="shared" si="9"/>
        <v>111.1311</v>
      </c>
      <c r="I483" s="52" t="s">
        <v>2</v>
      </c>
      <c r="J483" s="56" t="s">
        <v>243</v>
      </c>
    </row>
    <row r="484" spans="1:10" x14ac:dyDescent="0.2">
      <c r="A484" s="165">
        <v>11</v>
      </c>
      <c r="B484" s="160" t="s">
        <v>16</v>
      </c>
      <c r="C484" s="84" t="s">
        <v>318</v>
      </c>
      <c r="D484" s="42">
        <v>1</v>
      </c>
      <c r="E484" s="57">
        <v>37</v>
      </c>
      <c r="F484" s="57">
        <v>90</v>
      </c>
      <c r="G484" s="57">
        <v>90</v>
      </c>
      <c r="H484" s="60">
        <f t="shared" si="9"/>
        <v>53</v>
      </c>
      <c r="I484" s="52" t="s">
        <v>2</v>
      </c>
      <c r="J484" s="56" t="s">
        <v>149</v>
      </c>
    </row>
    <row r="485" spans="1:10" x14ac:dyDescent="0.2">
      <c r="A485" s="165">
        <v>11</v>
      </c>
      <c r="B485" s="160" t="s">
        <v>16</v>
      </c>
      <c r="C485" s="84" t="s">
        <v>283</v>
      </c>
      <c r="D485" s="42">
        <v>1</v>
      </c>
      <c r="E485" s="57">
        <v>35</v>
      </c>
      <c r="F485" s="57">
        <v>70</v>
      </c>
      <c r="G485" s="57">
        <v>70</v>
      </c>
      <c r="H485" s="60">
        <f t="shared" si="9"/>
        <v>35</v>
      </c>
      <c r="I485" s="52" t="s">
        <v>2</v>
      </c>
      <c r="J485" s="56" t="s">
        <v>149</v>
      </c>
    </row>
    <row r="486" spans="1:10" x14ac:dyDescent="0.2">
      <c r="A486" s="165">
        <v>11</v>
      </c>
      <c r="B486" s="160" t="s">
        <v>16</v>
      </c>
      <c r="C486" s="41" t="s">
        <v>285</v>
      </c>
      <c r="D486" s="42">
        <v>1</v>
      </c>
      <c r="E486" s="43">
        <v>0</v>
      </c>
      <c r="F486" s="115"/>
      <c r="G486" s="115">
        <v>12.399999999999999</v>
      </c>
      <c r="H486" s="60">
        <f t="shared" si="9"/>
        <v>12.399999999999999</v>
      </c>
      <c r="I486" s="52" t="s">
        <v>2</v>
      </c>
      <c r="J486" s="56" t="s">
        <v>243</v>
      </c>
    </row>
    <row r="487" spans="1:10" x14ac:dyDescent="0.2">
      <c r="A487" s="165">
        <v>11</v>
      </c>
      <c r="B487" s="160" t="s">
        <v>16</v>
      </c>
      <c r="C487" s="84" t="s">
        <v>254</v>
      </c>
      <c r="D487" s="42">
        <v>1</v>
      </c>
      <c r="E487" s="43">
        <v>1.5</v>
      </c>
      <c r="F487" s="115"/>
      <c r="G487" s="115">
        <v>7.7799999999999994</v>
      </c>
      <c r="H487" s="60">
        <f t="shared" si="9"/>
        <v>6.2799999999999994</v>
      </c>
      <c r="I487" s="52" t="s">
        <v>2</v>
      </c>
      <c r="J487" s="56" t="s">
        <v>243</v>
      </c>
    </row>
    <row r="488" spans="1:10" x14ac:dyDescent="0.2">
      <c r="A488" s="165">
        <v>11</v>
      </c>
      <c r="B488" s="160" t="s">
        <v>16</v>
      </c>
      <c r="C488" s="84" t="s">
        <v>215</v>
      </c>
      <c r="D488" s="42">
        <v>8</v>
      </c>
      <c r="E488" s="43">
        <v>32</v>
      </c>
      <c r="F488" s="115"/>
      <c r="G488" s="115">
        <v>113.34699999999999</v>
      </c>
      <c r="H488" s="60">
        <f t="shared" si="9"/>
        <v>81.346999999999994</v>
      </c>
      <c r="I488" s="52" t="s">
        <v>2</v>
      </c>
      <c r="J488" s="56" t="s">
        <v>243</v>
      </c>
    </row>
    <row r="489" spans="1:10" x14ac:dyDescent="0.2">
      <c r="A489" s="165">
        <v>11</v>
      </c>
      <c r="B489" s="160" t="s">
        <v>16</v>
      </c>
      <c r="C489" s="84" t="s">
        <v>273</v>
      </c>
      <c r="D489" s="42">
        <v>1</v>
      </c>
      <c r="E489" s="57">
        <v>30</v>
      </c>
      <c r="F489" s="57">
        <v>55</v>
      </c>
      <c r="G489" s="57">
        <v>55</v>
      </c>
      <c r="H489" s="60">
        <f t="shared" si="9"/>
        <v>25</v>
      </c>
      <c r="I489" s="52" t="s">
        <v>2</v>
      </c>
      <c r="J489" s="56" t="s">
        <v>149</v>
      </c>
    </row>
    <row r="490" spans="1:10" x14ac:dyDescent="0.2">
      <c r="A490" s="165">
        <v>11</v>
      </c>
      <c r="B490" s="160" t="s">
        <v>16</v>
      </c>
      <c r="C490" s="41" t="s">
        <v>286</v>
      </c>
      <c r="D490" s="42">
        <v>1</v>
      </c>
      <c r="E490" s="43">
        <v>0</v>
      </c>
      <c r="F490" s="115"/>
      <c r="G490" s="115">
        <v>14.324999999999999</v>
      </c>
      <c r="H490" s="60">
        <f t="shared" si="9"/>
        <v>14.324999999999999</v>
      </c>
      <c r="I490" s="52" t="s">
        <v>2</v>
      </c>
      <c r="J490" s="56" t="s">
        <v>243</v>
      </c>
    </row>
    <row r="491" spans="1:10" x14ac:dyDescent="0.2">
      <c r="A491" s="165">
        <v>11</v>
      </c>
      <c r="B491" s="160" t="s">
        <v>16</v>
      </c>
      <c r="C491" s="84" t="s">
        <v>274</v>
      </c>
      <c r="D491" s="42">
        <v>1</v>
      </c>
      <c r="E491" s="57">
        <v>15</v>
      </c>
      <c r="F491" s="57">
        <v>35</v>
      </c>
      <c r="G491" s="57">
        <v>35</v>
      </c>
      <c r="H491" s="60">
        <f t="shared" si="9"/>
        <v>20</v>
      </c>
      <c r="I491" s="52" t="s">
        <v>2</v>
      </c>
      <c r="J491" s="56" t="s">
        <v>149</v>
      </c>
    </row>
    <row r="492" spans="1:10" x14ac:dyDescent="0.2">
      <c r="A492" s="165">
        <v>11</v>
      </c>
      <c r="B492" s="160" t="s">
        <v>16</v>
      </c>
      <c r="C492" s="41" t="s">
        <v>287</v>
      </c>
      <c r="D492" s="42">
        <v>1</v>
      </c>
      <c r="E492" s="43">
        <v>10</v>
      </c>
      <c r="F492" s="115"/>
      <c r="G492" s="115">
        <v>14.517499999999998</v>
      </c>
      <c r="H492" s="60">
        <f t="shared" si="9"/>
        <v>4.5174999999999983</v>
      </c>
      <c r="I492" s="52" t="s">
        <v>2</v>
      </c>
      <c r="J492" s="56" t="s">
        <v>243</v>
      </c>
    </row>
    <row r="493" spans="1:10" x14ac:dyDescent="0.2">
      <c r="A493" s="165">
        <v>11</v>
      </c>
      <c r="B493" s="160" t="s">
        <v>16</v>
      </c>
      <c r="C493" s="41" t="s">
        <v>289</v>
      </c>
      <c r="D493" s="42">
        <v>1</v>
      </c>
      <c r="E493" s="43">
        <v>45</v>
      </c>
      <c r="F493" s="115"/>
      <c r="G493" s="115">
        <v>62.45</v>
      </c>
      <c r="H493" s="60">
        <f t="shared" si="9"/>
        <v>17.450000000000003</v>
      </c>
      <c r="I493" s="52" t="s">
        <v>2</v>
      </c>
      <c r="J493" s="56" t="s">
        <v>243</v>
      </c>
    </row>
    <row r="494" spans="1:10" x14ac:dyDescent="0.2">
      <c r="A494" s="165">
        <v>11</v>
      </c>
      <c r="B494" s="160" t="s">
        <v>16</v>
      </c>
      <c r="C494" s="84" t="s">
        <v>264</v>
      </c>
      <c r="D494" s="42">
        <v>1</v>
      </c>
      <c r="E494" s="57">
        <v>10</v>
      </c>
      <c r="F494" s="57">
        <v>20</v>
      </c>
      <c r="G494" s="57">
        <v>20</v>
      </c>
      <c r="H494" s="60">
        <f t="shared" si="9"/>
        <v>10</v>
      </c>
      <c r="I494" s="52" t="s">
        <v>2</v>
      </c>
      <c r="J494" s="56" t="s">
        <v>149</v>
      </c>
    </row>
    <row r="495" spans="1:10" x14ac:dyDescent="0.2">
      <c r="A495" s="165">
        <v>11</v>
      </c>
      <c r="B495" s="160" t="s">
        <v>16</v>
      </c>
      <c r="C495" s="84" t="s">
        <v>277</v>
      </c>
      <c r="D495" s="42">
        <v>1</v>
      </c>
      <c r="E495" s="57">
        <v>6</v>
      </c>
      <c r="F495" s="57">
        <v>10</v>
      </c>
      <c r="G495" s="57">
        <v>10</v>
      </c>
      <c r="H495" s="60">
        <f t="shared" si="9"/>
        <v>4</v>
      </c>
      <c r="I495" s="52" t="s">
        <v>2</v>
      </c>
      <c r="J495" s="56" t="s">
        <v>149</v>
      </c>
    </row>
    <row r="496" spans="1:10" x14ac:dyDescent="0.2">
      <c r="A496" s="165">
        <v>11</v>
      </c>
      <c r="B496" s="160" t="s">
        <v>16</v>
      </c>
      <c r="C496" s="84" t="s">
        <v>271</v>
      </c>
      <c r="D496" s="42">
        <v>1</v>
      </c>
      <c r="E496" s="57">
        <v>13</v>
      </c>
      <c r="F496" s="57">
        <v>25</v>
      </c>
      <c r="G496" s="57">
        <v>25</v>
      </c>
      <c r="H496" s="60">
        <f t="shared" si="9"/>
        <v>12</v>
      </c>
      <c r="I496" s="52" t="s">
        <v>2</v>
      </c>
      <c r="J496" s="56" t="s">
        <v>149</v>
      </c>
    </row>
    <row r="497" spans="1:10" x14ac:dyDescent="0.2">
      <c r="A497" s="165">
        <v>11</v>
      </c>
      <c r="B497" s="160" t="s">
        <v>16</v>
      </c>
      <c r="C497" s="84" t="s">
        <v>278</v>
      </c>
      <c r="D497" s="42">
        <v>1</v>
      </c>
      <c r="E497" s="57">
        <v>3</v>
      </c>
      <c r="F497" s="57">
        <v>10</v>
      </c>
      <c r="G497" s="57">
        <v>10</v>
      </c>
      <c r="H497" s="60">
        <f t="shared" si="9"/>
        <v>7</v>
      </c>
      <c r="I497" s="52" t="s">
        <v>2</v>
      </c>
      <c r="J497" s="56" t="s">
        <v>149</v>
      </c>
    </row>
    <row r="498" spans="1:10" x14ac:dyDescent="0.2">
      <c r="A498" s="165">
        <v>11</v>
      </c>
      <c r="B498" s="160" t="s">
        <v>16</v>
      </c>
      <c r="C498" s="84" t="s">
        <v>284</v>
      </c>
      <c r="D498" s="42">
        <v>1</v>
      </c>
      <c r="E498" s="57">
        <v>42</v>
      </c>
      <c r="F498" s="57">
        <v>70</v>
      </c>
      <c r="G498" s="57">
        <v>70</v>
      </c>
      <c r="H498" s="60">
        <f t="shared" si="9"/>
        <v>28</v>
      </c>
      <c r="I498" s="52" t="s">
        <v>2</v>
      </c>
      <c r="J498" s="56" t="s">
        <v>149</v>
      </c>
    </row>
    <row r="499" spans="1:10" x14ac:dyDescent="0.2">
      <c r="A499" s="165">
        <v>11</v>
      </c>
      <c r="B499" s="160" t="s">
        <v>16</v>
      </c>
      <c r="C499" s="84" t="s">
        <v>279</v>
      </c>
      <c r="D499" s="42">
        <v>1</v>
      </c>
      <c r="E499" s="57">
        <v>15</v>
      </c>
      <c r="F499" s="57">
        <v>30</v>
      </c>
      <c r="G499" s="57">
        <v>30</v>
      </c>
      <c r="H499" s="60">
        <f t="shared" si="9"/>
        <v>15</v>
      </c>
      <c r="I499" s="52" t="s">
        <v>2</v>
      </c>
      <c r="J499" s="56" t="s">
        <v>149</v>
      </c>
    </row>
    <row r="500" spans="1:10" x14ac:dyDescent="0.2">
      <c r="A500" s="165">
        <v>11</v>
      </c>
      <c r="B500" s="160" t="s">
        <v>16</v>
      </c>
      <c r="C500" s="41" t="s">
        <v>322</v>
      </c>
      <c r="D500" s="42">
        <v>3</v>
      </c>
      <c r="E500" s="43">
        <v>3</v>
      </c>
      <c r="F500" s="115"/>
      <c r="G500" s="115">
        <v>17.79</v>
      </c>
      <c r="H500" s="60">
        <f t="shared" si="9"/>
        <v>14.79</v>
      </c>
      <c r="I500" s="52" t="s">
        <v>2</v>
      </c>
      <c r="J500" s="56" t="s">
        <v>243</v>
      </c>
    </row>
    <row r="501" spans="1:10" x14ac:dyDescent="0.2">
      <c r="A501" s="165">
        <v>11</v>
      </c>
      <c r="B501" s="160" t="s">
        <v>16</v>
      </c>
      <c r="C501" s="84" t="s">
        <v>282</v>
      </c>
      <c r="D501" s="42">
        <v>1</v>
      </c>
      <c r="E501" s="57">
        <v>40</v>
      </c>
      <c r="F501" s="57">
        <v>60</v>
      </c>
      <c r="G501" s="57">
        <v>60</v>
      </c>
      <c r="H501" s="60">
        <f t="shared" si="9"/>
        <v>20</v>
      </c>
      <c r="I501" s="52" t="s">
        <v>2</v>
      </c>
      <c r="J501" s="56" t="s">
        <v>149</v>
      </c>
    </row>
    <row r="502" spans="1:10" x14ac:dyDescent="0.2">
      <c r="A502" s="165">
        <v>12</v>
      </c>
      <c r="B502" s="160" t="s">
        <v>17</v>
      </c>
      <c r="C502" s="84" t="s">
        <v>229</v>
      </c>
      <c r="D502" s="42">
        <v>1</v>
      </c>
      <c r="E502" s="57">
        <v>78</v>
      </c>
      <c r="F502" s="57">
        <v>140</v>
      </c>
      <c r="G502" s="57">
        <v>140</v>
      </c>
      <c r="H502" s="60">
        <f t="shared" si="9"/>
        <v>62</v>
      </c>
      <c r="I502" s="52" t="s">
        <v>2</v>
      </c>
      <c r="J502" s="56" t="s">
        <v>149</v>
      </c>
    </row>
    <row r="503" spans="1:10" x14ac:dyDescent="0.2">
      <c r="A503" s="165">
        <v>12</v>
      </c>
      <c r="B503" s="160" t="s">
        <v>17</v>
      </c>
      <c r="C503" s="84" t="s">
        <v>293</v>
      </c>
      <c r="D503" s="42">
        <v>1</v>
      </c>
      <c r="E503" s="57">
        <v>15</v>
      </c>
      <c r="F503" s="57">
        <v>25</v>
      </c>
      <c r="G503" s="57">
        <v>25</v>
      </c>
      <c r="H503" s="60">
        <f t="shared" si="9"/>
        <v>10</v>
      </c>
      <c r="I503" s="52" t="s">
        <v>2</v>
      </c>
      <c r="J503" s="56" t="s">
        <v>149</v>
      </c>
    </row>
    <row r="504" spans="1:10" x14ac:dyDescent="0.2">
      <c r="A504" s="165">
        <v>12</v>
      </c>
      <c r="B504" s="160" t="s">
        <v>17</v>
      </c>
      <c r="C504" s="84" t="s">
        <v>334</v>
      </c>
      <c r="D504" s="42">
        <v>1</v>
      </c>
      <c r="E504" s="57">
        <v>17</v>
      </c>
      <c r="F504" s="57">
        <v>30</v>
      </c>
      <c r="G504" s="57">
        <v>30</v>
      </c>
      <c r="H504" s="60">
        <f t="shared" si="9"/>
        <v>13</v>
      </c>
      <c r="I504" s="52" t="s">
        <v>2</v>
      </c>
      <c r="J504" s="56" t="s">
        <v>149</v>
      </c>
    </row>
    <row r="505" spans="1:10" x14ac:dyDescent="0.2">
      <c r="A505" s="165">
        <v>12</v>
      </c>
      <c r="B505" s="160" t="s">
        <v>17</v>
      </c>
      <c r="C505" s="84" t="s">
        <v>333</v>
      </c>
      <c r="D505" s="42">
        <v>1</v>
      </c>
      <c r="E505" s="57">
        <v>7.5</v>
      </c>
      <c r="F505" s="57">
        <v>18</v>
      </c>
      <c r="G505" s="57">
        <v>18</v>
      </c>
      <c r="H505" s="60">
        <f t="shared" si="9"/>
        <v>10.5</v>
      </c>
      <c r="I505" s="52" t="s">
        <v>2</v>
      </c>
      <c r="J505" s="56" t="s">
        <v>149</v>
      </c>
    </row>
    <row r="506" spans="1:10" x14ac:dyDescent="0.2">
      <c r="A506" s="165">
        <v>12</v>
      </c>
      <c r="B506" s="160" t="s">
        <v>17</v>
      </c>
      <c r="C506" s="84" t="s">
        <v>337</v>
      </c>
      <c r="D506" s="42">
        <v>1</v>
      </c>
      <c r="E506" s="57">
        <v>17</v>
      </c>
      <c r="F506" s="57">
        <v>35</v>
      </c>
      <c r="G506" s="57">
        <v>35</v>
      </c>
      <c r="H506" s="60">
        <f t="shared" si="9"/>
        <v>18</v>
      </c>
      <c r="I506" s="52" t="s">
        <v>2</v>
      </c>
      <c r="J506" s="56" t="s">
        <v>149</v>
      </c>
    </row>
    <row r="507" spans="1:10" x14ac:dyDescent="0.2">
      <c r="A507" s="165">
        <v>12</v>
      </c>
      <c r="B507" s="160" t="s">
        <v>17</v>
      </c>
      <c r="C507" s="84" t="s">
        <v>165</v>
      </c>
      <c r="D507" s="42">
        <v>1</v>
      </c>
      <c r="E507" s="57">
        <v>12</v>
      </c>
      <c r="F507" s="57">
        <v>23</v>
      </c>
      <c r="G507" s="57">
        <v>23</v>
      </c>
      <c r="H507" s="60">
        <f t="shared" si="9"/>
        <v>11</v>
      </c>
      <c r="I507" s="52" t="s">
        <v>2</v>
      </c>
      <c r="J507" s="56" t="s">
        <v>149</v>
      </c>
    </row>
    <row r="508" spans="1:10" x14ac:dyDescent="0.2">
      <c r="A508" s="165">
        <v>12</v>
      </c>
      <c r="B508" s="160" t="s">
        <v>17</v>
      </c>
      <c r="C508" s="84" t="s">
        <v>153</v>
      </c>
      <c r="D508" s="42">
        <v>1</v>
      </c>
      <c r="E508" s="57">
        <v>3.5</v>
      </c>
      <c r="F508" s="57">
        <v>10</v>
      </c>
      <c r="G508" s="57">
        <v>10</v>
      </c>
      <c r="H508" s="60">
        <f t="shared" si="9"/>
        <v>6.5</v>
      </c>
      <c r="I508" s="52" t="s">
        <v>2</v>
      </c>
      <c r="J508" s="56" t="s">
        <v>149</v>
      </c>
    </row>
    <row r="509" spans="1:10" x14ac:dyDescent="0.2">
      <c r="A509" s="165">
        <v>12</v>
      </c>
      <c r="B509" s="160" t="s">
        <v>17</v>
      </c>
      <c r="C509" s="84" t="s">
        <v>332</v>
      </c>
      <c r="D509" s="42">
        <v>1</v>
      </c>
      <c r="E509" s="57">
        <v>15</v>
      </c>
      <c r="F509" s="57">
        <v>30</v>
      </c>
      <c r="G509" s="57">
        <v>30</v>
      </c>
      <c r="H509" s="60">
        <f t="shared" si="9"/>
        <v>15</v>
      </c>
      <c r="I509" s="52" t="s">
        <v>2</v>
      </c>
      <c r="J509" s="56" t="s">
        <v>149</v>
      </c>
    </row>
    <row r="510" spans="1:10" x14ac:dyDescent="0.2">
      <c r="A510" s="165">
        <v>12</v>
      </c>
      <c r="B510" s="160" t="s">
        <v>17</v>
      </c>
      <c r="C510" s="116" t="s">
        <v>292</v>
      </c>
      <c r="D510" s="42">
        <v>2</v>
      </c>
      <c r="E510" s="57">
        <v>15</v>
      </c>
      <c r="F510" s="57"/>
      <c r="G510" s="57">
        <v>18</v>
      </c>
      <c r="H510" s="60">
        <f t="shared" ref="H510:H573" si="10">G510-E510</f>
        <v>3</v>
      </c>
      <c r="I510" s="52" t="s">
        <v>88</v>
      </c>
      <c r="J510" s="117" t="s">
        <v>294</v>
      </c>
    </row>
    <row r="511" spans="1:10" x14ac:dyDescent="0.2">
      <c r="A511" s="165">
        <v>12</v>
      </c>
      <c r="B511" s="160" t="s">
        <v>17</v>
      </c>
      <c r="C511" s="84" t="s">
        <v>263</v>
      </c>
      <c r="D511" s="42">
        <v>1</v>
      </c>
      <c r="E511" s="57">
        <v>65</v>
      </c>
      <c r="F511" s="57"/>
      <c r="G511" s="57">
        <v>91</v>
      </c>
      <c r="H511" s="60">
        <f t="shared" si="10"/>
        <v>26</v>
      </c>
      <c r="I511" s="52" t="s">
        <v>2</v>
      </c>
      <c r="J511" s="117" t="s">
        <v>294</v>
      </c>
    </row>
    <row r="512" spans="1:10" x14ac:dyDescent="0.2">
      <c r="A512" s="165">
        <v>12</v>
      </c>
      <c r="B512" s="160" t="s">
        <v>17</v>
      </c>
      <c r="C512" s="84" t="s">
        <v>331</v>
      </c>
      <c r="D512" s="142">
        <v>1</v>
      </c>
      <c r="E512" s="57"/>
      <c r="F512" s="57">
        <v>15</v>
      </c>
      <c r="G512" s="57">
        <v>9.42</v>
      </c>
      <c r="H512" s="60">
        <f t="shared" si="10"/>
        <v>9.42</v>
      </c>
      <c r="I512" s="52" t="s">
        <v>2</v>
      </c>
      <c r="J512" s="117" t="s">
        <v>294</v>
      </c>
    </row>
    <row r="513" spans="1:10" x14ac:dyDescent="0.2">
      <c r="A513" s="165">
        <v>12</v>
      </c>
      <c r="B513" s="160" t="s">
        <v>17</v>
      </c>
      <c r="C513" s="84" t="s">
        <v>218</v>
      </c>
      <c r="D513" s="42">
        <v>1</v>
      </c>
      <c r="E513" s="57">
        <v>3</v>
      </c>
      <c r="F513" s="57"/>
      <c r="G513" s="57">
        <v>5</v>
      </c>
      <c r="H513" s="60">
        <f t="shared" si="10"/>
        <v>2</v>
      </c>
      <c r="I513" s="52" t="s">
        <v>2</v>
      </c>
      <c r="J513" s="117" t="s">
        <v>294</v>
      </c>
    </row>
    <row r="514" spans="1:10" x14ac:dyDescent="0.2">
      <c r="A514" s="165">
        <v>12</v>
      </c>
      <c r="B514" s="160" t="s">
        <v>17</v>
      </c>
      <c r="C514" s="84" t="s">
        <v>313</v>
      </c>
      <c r="D514" s="42">
        <v>1</v>
      </c>
      <c r="E514" s="57">
        <v>65</v>
      </c>
      <c r="F514" s="57"/>
      <c r="G514" s="57">
        <v>81</v>
      </c>
      <c r="H514" s="60">
        <f t="shared" si="10"/>
        <v>16</v>
      </c>
      <c r="I514" s="52" t="s">
        <v>2</v>
      </c>
      <c r="J514" s="117" t="s">
        <v>294</v>
      </c>
    </row>
    <row r="515" spans="1:10" x14ac:dyDescent="0.2">
      <c r="A515" s="165">
        <v>12</v>
      </c>
      <c r="B515" s="160" t="s">
        <v>17</v>
      </c>
      <c r="C515" s="84" t="s">
        <v>313</v>
      </c>
      <c r="D515" s="42">
        <v>1</v>
      </c>
      <c r="E515" s="57">
        <v>65</v>
      </c>
      <c r="F515" s="57"/>
      <c r="G515" s="57">
        <v>81</v>
      </c>
      <c r="H515" s="60">
        <f t="shared" si="10"/>
        <v>16</v>
      </c>
      <c r="I515" s="52" t="s">
        <v>2</v>
      </c>
      <c r="J515" s="117" t="s">
        <v>294</v>
      </c>
    </row>
    <row r="516" spans="1:10" x14ac:dyDescent="0.2">
      <c r="A516" s="165">
        <v>12</v>
      </c>
      <c r="B516" s="160" t="s">
        <v>17</v>
      </c>
      <c r="C516" s="84" t="s">
        <v>254</v>
      </c>
      <c r="D516" s="42">
        <v>1</v>
      </c>
      <c r="E516" s="57">
        <v>1.5</v>
      </c>
      <c r="F516" s="57"/>
      <c r="G516" s="57">
        <v>7.8</v>
      </c>
      <c r="H516" s="60">
        <f t="shared" si="10"/>
        <v>6.3</v>
      </c>
      <c r="I516" s="52" t="s">
        <v>2</v>
      </c>
      <c r="J516" s="117" t="s">
        <v>294</v>
      </c>
    </row>
    <row r="517" spans="1:10" x14ac:dyDescent="0.2">
      <c r="A517" s="165">
        <v>12</v>
      </c>
      <c r="B517" s="160" t="s">
        <v>17</v>
      </c>
      <c r="C517" s="84" t="s">
        <v>330</v>
      </c>
      <c r="D517" s="42">
        <v>1</v>
      </c>
      <c r="E517" s="57">
        <v>10</v>
      </c>
      <c r="F517" s="57">
        <v>22.75</v>
      </c>
      <c r="G517" s="57">
        <v>15.19</v>
      </c>
      <c r="H517" s="60">
        <f t="shared" si="10"/>
        <v>5.1899999999999995</v>
      </c>
      <c r="I517" s="52" t="s">
        <v>2</v>
      </c>
      <c r="J517" s="117" t="s">
        <v>294</v>
      </c>
    </row>
    <row r="518" spans="1:10" x14ac:dyDescent="0.2">
      <c r="A518" s="165">
        <v>12</v>
      </c>
      <c r="B518" s="160" t="s">
        <v>17</v>
      </c>
      <c r="C518" s="84" t="s">
        <v>329</v>
      </c>
      <c r="D518" s="42">
        <v>1</v>
      </c>
      <c r="E518" s="57">
        <v>4</v>
      </c>
      <c r="F518" s="57">
        <v>15</v>
      </c>
      <c r="G518" s="57">
        <v>9</v>
      </c>
      <c r="H518" s="60">
        <f t="shared" si="10"/>
        <v>5</v>
      </c>
      <c r="I518" s="52" t="s">
        <v>2</v>
      </c>
      <c r="J518" s="117" t="s">
        <v>294</v>
      </c>
    </row>
    <row r="519" spans="1:10" x14ac:dyDescent="0.2">
      <c r="A519" s="165">
        <v>12</v>
      </c>
      <c r="B519" s="160" t="s">
        <v>17</v>
      </c>
      <c r="C519" s="84" t="s">
        <v>263</v>
      </c>
      <c r="D519" s="42">
        <v>1</v>
      </c>
      <c r="E519" s="57">
        <v>65</v>
      </c>
      <c r="F519" s="57"/>
      <c r="G519" s="57">
        <v>93</v>
      </c>
      <c r="H519" s="60">
        <f t="shared" si="10"/>
        <v>28</v>
      </c>
      <c r="I519" s="52" t="s">
        <v>2</v>
      </c>
      <c r="J519" s="56" t="s">
        <v>295</v>
      </c>
    </row>
    <row r="520" spans="1:10" x14ac:dyDescent="0.2">
      <c r="A520" s="165">
        <v>12</v>
      </c>
      <c r="B520" s="160" t="s">
        <v>17</v>
      </c>
      <c r="C520" s="84"/>
      <c r="D520" s="42"/>
      <c r="E520" s="57"/>
      <c r="F520" s="57"/>
      <c r="G520" s="57"/>
      <c r="H520" s="60">
        <f t="shared" si="10"/>
        <v>0</v>
      </c>
      <c r="I520" s="52"/>
      <c r="J520" s="56"/>
    </row>
    <row r="521" spans="1:10" x14ac:dyDescent="0.2">
      <c r="A521" s="165">
        <v>12</v>
      </c>
      <c r="B521" s="160" t="s">
        <v>17</v>
      </c>
      <c r="C521" s="84"/>
      <c r="D521" s="42"/>
      <c r="E521" s="57"/>
      <c r="F521" s="57"/>
      <c r="G521" s="57"/>
      <c r="H521" s="60">
        <f t="shared" si="10"/>
        <v>0</v>
      </c>
      <c r="I521" s="52"/>
      <c r="J521" s="56"/>
    </row>
    <row r="522" spans="1:10" x14ac:dyDescent="0.2">
      <c r="A522" s="165">
        <v>12</v>
      </c>
      <c r="B522" s="160" t="s">
        <v>17</v>
      </c>
      <c r="C522" s="84"/>
      <c r="D522" s="42"/>
      <c r="E522" s="57"/>
      <c r="F522" s="57"/>
      <c r="G522" s="57"/>
      <c r="H522" s="60">
        <f t="shared" si="10"/>
        <v>0</v>
      </c>
      <c r="I522" s="52"/>
      <c r="J522" s="56"/>
    </row>
    <row r="523" spans="1:10" x14ac:dyDescent="0.2">
      <c r="A523" s="165">
        <v>12</v>
      </c>
      <c r="B523" s="160" t="s">
        <v>17</v>
      </c>
      <c r="C523" s="84"/>
      <c r="D523" s="42"/>
      <c r="E523" s="57"/>
      <c r="F523" s="57"/>
      <c r="G523" s="57"/>
      <c r="H523" s="60">
        <f t="shared" si="10"/>
        <v>0</v>
      </c>
      <c r="I523" s="52"/>
      <c r="J523" s="56"/>
    </row>
    <row r="524" spans="1:10" x14ac:dyDescent="0.2">
      <c r="A524" s="165">
        <v>12</v>
      </c>
      <c r="B524" s="160" t="s">
        <v>17</v>
      </c>
      <c r="C524" s="84"/>
      <c r="D524" s="42"/>
      <c r="E524" s="57"/>
      <c r="F524" s="57"/>
      <c r="G524" s="57"/>
      <c r="H524" s="60">
        <f t="shared" si="10"/>
        <v>0</v>
      </c>
      <c r="I524" s="52"/>
      <c r="J524" s="56"/>
    </row>
    <row r="525" spans="1:10" x14ac:dyDescent="0.2">
      <c r="A525" s="165">
        <v>12</v>
      </c>
      <c r="B525" s="160" t="s">
        <v>17</v>
      </c>
      <c r="C525" s="84"/>
      <c r="D525" s="42"/>
      <c r="E525" s="57"/>
      <c r="F525" s="57"/>
      <c r="G525" s="57"/>
      <c r="H525" s="60">
        <f t="shared" si="10"/>
        <v>0</v>
      </c>
      <c r="I525" s="52"/>
      <c r="J525" s="56"/>
    </row>
    <row r="526" spans="1:10" x14ac:dyDescent="0.2">
      <c r="A526" s="165">
        <v>12</v>
      </c>
      <c r="B526" s="160" t="s">
        <v>17</v>
      </c>
      <c r="C526" s="84"/>
      <c r="D526" s="42"/>
      <c r="E526" s="57"/>
      <c r="F526" s="57"/>
      <c r="G526" s="57"/>
      <c r="H526" s="60">
        <f t="shared" si="10"/>
        <v>0</v>
      </c>
      <c r="I526" s="52"/>
      <c r="J526" s="56"/>
    </row>
    <row r="527" spans="1:10" x14ac:dyDescent="0.2">
      <c r="A527" s="165">
        <v>12</v>
      </c>
      <c r="B527" s="160" t="s">
        <v>17</v>
      </c>
      <c r="C527" s="84"/>
      <c r="D527" s="42"/>
      <c r="E527" s="57"/>
      <c r="F527" s="57"/>
      <c r="G527" s="57"/>
      <c r="H527" s="60">
        <f t="shared" si="10"/>
        <v>0</v>
      </c>
      <c r="I527" s="52"/>
      <c r="J527" s="56"/>
    </row>
    <row r="528" spans="1:10" x14ac:dyDescent="0.2">
      <c r="A528" s="165">
        <v>12</v>
      </c>
      <c r="B528" s="160" t="s">
        <v>17</v>
      </c>
      <c r="C528" s="84"/>
      <c r="D528" s="42"/>
      <c r="E528" s="57"/>
      <c r="F528" s="57"/>
      <c r="G528" s="57"/>
      <c r="H528" s="60">
        <f t="shared" si="10"/>
        <v>0</v>
      </c>
      <c r="I528" s="52"/>
      <c r="J528" s="56"/>
    </row>
    <row r="529" spans="1:10" x14ac:dyDescent="0.2">
      <c r="A529" s="165">
        <v>12</v>
      </c>
      <c r="B529" s="160" t="s">
        <v>17</v>
      </c>
      <c r="C529" s="84"/>
      <c r="D529" s="42"/>
      <c r="E529" s="57"/>
      <c r="F529" s="57"/>
      <c r="G529" s="57"/>
      <c r="H529" s="60">
        <f t="shared" si="10"/>
        <v>0</v>
      </c>
      <c r="I529" s="52"/>
      <c r="J529" s="56"/>
    </row>
    <row r="530" spans="1:10" x14ac:dyDescent="0.2">
      <c r="A530" s="165">
        <v>12</v>
      </c>
      <c r="B530" s="160" t="s">
        <v>17</v>
      </c>
      <c r="C530" s="84"/>
      <c r="D530" s="42"/>
      <c r="E530" s="57"/>
      <c r="F530" s="57"/>
      <c r="G530" s="57"/>
      <c r="H530" s="60">
        <f t="shared" si="10"/>
        <v>0</v>
      </c>
      <c r="I530" s="52"/>
      <c r="J530" s="56"/>
    </row>
    <row r="531" spans="1:10" x14ac:dyDescent="0.2">
      <c r="A531" s="165">
        <v>12</v>
      </c>
      <c r="B531" s="160" t="s">
        <v>17</v>
      </c>
      <c r="C531" s="84"/>
      <c r="D531" s="42"/>
      <c r="E531" s="57"/>
      <c r="F531" s="57"/>
      <c r="G531" s="57"/>
      <c r="H531" s="60"/>
      <c r="I531" s="52"/>
      <c r="J531" s="56"/>
    </row>
    <row r="532" spans="1:10" x14ac:dyDescent="0.2">
      <c r="A532" s="165"/>
      <c r="B532" s="160"/>
      <c r="C532" s="84"/>
      <c r="D532" s="42"/>
      <c r="E532" s="57"/>
      <c r="F532" s="57"/>
      <c r="G532" s="57"/>
      <c r="H532" s="57"/>
      <c r="I532" s="52"/>
      <c r="J532" s="56"/>
    </row>
    <row r="533" spans="1:10" x14ac:dyDescent="0.2">
      <c r="A533" s="165"/>
      <c r="B533" s="160"/>
      <c r="C533" s="84"/>
      <c r="D533" s="42"/>
      <c r="E533" s="57"/>
      <c r="F533" s="57"/>
      <c r="G533" s="57"/>
      <c r="H533" s="57"/>
      <c r="I533" s="52"/>
      <c r="J533" s="56"/>
    </row>
    <row r="534" spans="1:10" x14ac:dyDescent="0.2">
      <c r="A534" s="165"/>
      <c r="B534" s="160"/>
      <c r="C534" s="84"/>
      <c r="D534" s="42">
        <f>SUM(D502:D519)</f>
        <v>19</v>
      </c>
      <c r="E534" s="57"/>
      <c r="F534" s="57"/>
      <c r="G534" s="42">
        <f>SUM(G502:G519)</f>
        <v>721.41000000000008</v>
      </c>
      <c r="H534" s="42">
        <f>SUM(H502:H519)</f>
        <v>262.90999999999997</v>
      </c>
      <c r="I534" s="52"/>
      <c r="J534" s="56"/>
    </row>
    <row r="535" spans="1:10" x14ac:dyDescent="0.2">
      <c r="A535" s="165"/>
      <c r="B535" s="160"/>
      <c r="C535" s="84"/>
      <c r="D535" s="42"/>
      <c r="E535" s="57"/>
      <c r="F535" s="57"/>
      <c r="G535" s="57"/>
      <c r="H535" s="60"/>
      <c r="I535" s="52"/>
      <c r="J535" s="56"/>
    </row>
    <row r="536" spans="1:10" x14ac:dyDescent="0.2">
      <c r="A536" s="165"/>
      <c r="B536" s="160"/>
      <c r="C536" s="84"/>
      <c r="D536" s="42"/>
      <c r="E536" s="57"/>
      <c r="F536" s="57"/>
      <c r="G536" s="57"/>
      <c r="H536" s="60"/>
      <c r="I536" s="52"/>
      <c r="J536" s="56"/>
    </row>
    <row r="537" spans="1:10" x14ac:dyDescent="0.2">
      <c r="A537" s="165"/>
      <c r="B537" s="160"/>
      <c r="C537" s="84"/>
      <c r="D537" s="42"/>
      <c r="E537" s="57"/>
      <c r="F537" s="57"/>
      <c r="G537" s="57"/>
      <c r="H537" s="60"/>
      <c r="I537" s="52"/>
      <c r="J537" s="56"/>
    </row>
    <row r="538" spans="1:10" x14ac:dyDescent="0.2">
      <c r="A538" s="165"/>
      <c r="B538" s="160"/>
      <c r="C538" s="84"/>
      <c r="D538" s="42"/>
      <c r="E538" s="57"/>
      <c r="F538" s="57"/>
      <c r="G538" s="57"/>
      <c r="H538" s="60"/>
      <c r="I538" s="52"/>
      <c r="J538" s="56"/>
    </row>
    <row r="539" spans="1:10" x14ac:dyDescent="0.2">
      <c r="A539" s="165"/>
      <c r="B539" s="160"/>
      <c r="C539" s="84"/>
      <c r="D539" s="42"/>
      <c r="E539" s="57"/>
      <c r="F539" s="57"/>
      <c r="G539" s="57"/>
      <c r="H539" s="60"/>
      <c r="I539" s="52"/>
      <c r="J539" s="56"/>
    </row>
    <row r="540" spans="1:10" x14ac:dyDescent="0.2">
      <c r="A540" s="165"/>
      <c r="B540" s="160"/>
      <c r="C540" s="84"/>
      <c r="D540" s="42"/>
      <c r="E540" s="57"/>
      <c r="F540" s="57"/>
      <c r="G540" s="57"/>
      <c r="H540" s="60"/>
      <c r="I540" s="52"/>
      <c r="J540" s="56"/>
    </row>
    <row r="541" spans="1:10" x14ac:dyDescent="0.2">
      <c r="A541" s="165"/>
      <c r="B541" s="160"/>
      <c r="C541" s="84"/>
      <c r="D541" s="42"/>
      <c r="E541" s="57"/>
      <c r="F541" s="57"/>
      <c r="G541" s="57"/>
      <c r="H541" s="60"/>
      <c r="I541" s="52"/>
      <c r="J541" s="56"/>
    </row>
    <row r="542" spans="1:10" x14ac:dyDescent="0.2">
      <c r="A542" s="165"/>
      <c r="B542" s="160"/>
      <c r="C542" s="84"/>
      <c r="D542" s="42"/>
      <c r="E542" s="57"/>
      <c r="F542" s="57"/>
      <c r="G542" s="57"/>
      <c r="H542" s="60"/>
      <c r="I542" s="52"/>
      <c r="J542" s="56"/>
    </row>
    <row r="543" spans="1:10" x14ac:dyDescent="0.2">
      <c r="A543" s="165"/>
      <c r="B543" s="160"/>
      <c r="C543" s="84"/>
      <c r="D543" s="42"/>
      <c r="E543" s="57"/>
      <c r="F543" s="57"/>
      <c r="G543" s="57"/>
      <c r="H543" s="60"/>
      <c r="I543" s="52"/>
      <c r="J543" s="56"/>
    </row>
    <row r="544" spans="1:10" x14ac:dyDescent="0.2">
      <c r="A544" s="165"/>
      <c r="B544" s="160"/>
      <c r="C544" s="84"/>
      <c r="D544" s="42"/>
      <c r="E544" s="57"/>
      <c r="F544" s="57"/>
      <c r="G544" s="57"/>
      <c r="H544" s="60"/>
      <c r="I544" s="52"/>
      <c r="J544" s="56"/>
    </row>
    <row r="545" spans="1:10" x14ac:dyDescent="0.2">
      <c r="A545" s="165"/>
      <c r="B545" s="160"/>
      <c r="C545" s="84"/>
      <c r="D545" s="42"/>
      <c r="E545" s="57"/>
      <c r="F545" s="57"/>
      <c r="G545" s="57"/>
      <c r="H545" s="60"/>
      <c r="I545" s="52"/>
      <c r="J545" s="56"/>
    </row>
    <row r="546" spans="1:10" x14ac:dyDescent="0.2">
      <c r="A546" s="165"/>
      <c r="B546" s="160"/>
      <c r="C546" s="84"/>
      <c r="D546" s="42"/>
      <c r="E546" s="57"/>
      <c r="F546" s="57"/>
      <c r="G546" s="57"/>
      <c r="H546" s="60"/>
      <c r="I546" s="52"/>
      <c r="J546" s="56"/>
    </row>
    <row r="547" spans="1:10" x14ac:dyDescent="0.2">
      <c r="A547" s="165"/>
      <c r="B547" s="160"/>
      <c r="C547" s="84"/>
      <c r="D547" s="42"/>
      <c r="E547" s="57"/>
      <c r="F547" s="57"/>
      <c r="G547" s="57"/>
      <c r="H547" s="60"/>
      <c r="I547" s="52"/>
      <c r="J547" s="56"/>
    </row>
    <row r="548" spans="1:10" x14ac:dyDescent="0.2">
      <c r="A548" s="165"/>
      <c r="B548" s="160"/>
      <c r="C548" s="84"/>
      <c r="D548" s="42"/>
      <c r="E548" s="57"/>
      <c r="F548" s="57"/>
      <c r="G548" s="57"/>
      <c r="H548" s="60"/>
      <c r="I548" s="52"/>
      <c r="J548" s="56"/>
    </row>
    <row r="549" spans="1:10" x14ac:dyDescent="0.2">
      <c r="A549" s="165"/>
      <c r="B549" s="160"/>
      <c r="C549" s="84"/>
      <c r="D549" s="42"/>
      <c r="E549" s="57"/>
      <c r="F549" s="57"/>
      <c r="G549" s="57"/>
      <c r="H549" s="60"/>
      <c r="I549" s="52"/>
      <c r="J549" s="56"/>
    </row>
    <row r="550" spans="1:10" x14ac:dyDescent="0.2">
      <c r="A550" s="165"/>
      <c r="B550" s="160"/>
      <c r="C550" s="84"/>
      <c r="D550" s="42"/>
      <c r="E550" s="57"/>
      <c r="F550" s="57"/>
      <c r="G550" s="57"/>
      <c r="H550" s="60"/>
      <c r="I550" s="52"/>
      <c r="J550" s="56"/>
    </row>
    <row r="551" spans="1:10" x14ac:dyDescent="0.2">
      <c r="A551" s="165"/>
      <c r="B551" s="160"/>
      <c r="C551" s="84"/>
      <c r="D551" s="42"/>
      <c r="E551" s="57"/>
      <c r="F551" s="57"/>
      <c r="G551" s="57"/>
      <c r="H551" s="60"/>
      <c r="I551" s="52"/>
      <c r="J551" s="56"/>
    </row>
    <row r="552" spans="1:10" x14ac:dyDescent="0.2">
      <c r="A552" s="165"/>
      <c r="B552" s="160"/>
      <c r="C552" s="84"/>
      <c r="D552" s="42"/>
      <c r="E552" s="57"/>
      <c r="F552" s="57"/>
      <c r="G552" s="57"/>
      <c r="H552" s="60"/>
      <c r="I552" s="52"/>
      <c r="J552" s="56"/>
    </row>
    <row r="553" spans="1:10" x14ac:dyDescent="0.2">
      <c r="A553" s="165"/>
      <c r="B553" s="160"/>
      <c r="C553" s="84"/>
      <c r="D553" s="42"/>
      <c r="E553" s="57"/>
      <c r="F553" s="57"/>
      <c r="G553" s="57"/>
      <c r="H553" s="60"/>
      <c r="I553" s="52"/>
      <c r="J553" s="56"/>
    </row>
  </sheetData>
  <autoFilter ref="A1:J531" xr:uid="{00000000-0001-0000-0200-000000000000}">
    <sortState xmlns:xlrd2="http://schemas.microsoft.com/office/spreadsheetml/2017/richdata2" ref="A2:J531">
      <sortCondition ref="A1:A531"/>
    </sortState>
  </autoFilter>
  <dataConsolidate/>
  <phoneticPr fontId="13" type="noConversion"/>
  <conditionalFormatting sqref="A2:A287">
    <cfRule type="expression" dxfId="33" priority="10">
      <formula>H2 = "Vendido"</formula>
    </cfRule>
    <cfRule type="expression" dxfId="32" priority="11">
      <formula>H2 = "Estoque"</formula>
    </cfRule>
    <cfRule type="expression" dxfId="31" priority="12">
      <formula>H2 = "Pendente"</formula>
    </cfRule>
    <cfRule type="expression" dxfId="30" priority="13">
      <formula>H2 = "Tem que compra"</formula>
    </cfRule>
    <cfRule type="expression" dxfId="29" priority="14">
      <formula>H2 = "Atacado"</formula>
    </cfRule>
    <cfRule type="expression" dxfId="28" priority="15">
      <formula>H2 = "Loja"</formula>
    </cfRule>
  </conditionalFormatting>
  <conditionalFormatting sqref="A288:A357">
    <cfRule type="expression" dxfId="27" priority="7">
      <formula>G288 = "Pendente"</formula>
    </cfRule>
    <cfRule type="expression" dxfId="26" priority="8">
      <formula>G288 = "Estoque"</formula>
    </cfRule>
    <cfRule type="expression" dxfId="25" priority="9" stopIfTrue="1">
      <formula>G288 = "Vendido"</formula>
    </cfRule>
  </conditionalFormatting>
  <conditionalFormatting sqref="A358:A553">
    <cfRule type="expression" dxfId="24" priority="1">
      <formula>H358 = "Vendido"</formula>
    </cfRule>
    <cfRule type="expression" dxfId="23" priority="2">
      <formula>H358 = "Estoque"</formula>
    </cfRule>
    <cfRule type="expression" dxfId="22" priority="3">
      <formula>H358 = "Pendente"</formula>
    </cfRule>
    <cfRule type="expression" dxfId="21" priority="4">
      <formula>H358 = "Tem que compra"</formula>
    </cfRule>
    <cfRule type="expression" dxfId="20" priority="5">
      <formula>H358 = "Atacado"</formula>
    </cfRule>
    <cfRule type="expression" dxfId="19" priority="6">
      <formula>H358 = "Loja"</formula>
    </cfRule>
  </conditionalFormatting>
  <conditionalFormatting sqref="B1:B1048576">
    <cfRule type="expression" dxfId="18" priority="16">
      <formula>I1 = "Vendido"</formula>
    </cfRule>
    <cfRule type="expression" dxfId="17" priority="17">
      <formula>I1 = "Estoque"</formula>
    </cfRule>
    <cfRule type="expression" dxfId="16" priority="18">
      <formula>I1 = "Pendente"</formula>
    </cfRule>
    <cfRule type="expression" dxfId="15" priority="19">
      <formula>I1 = "Tem que compra"</formula>
    </cfRule>
    <cfRule type="expression" dxfId="14" priority="20">
      <formula>I1 = "Atacado"</formula>
    </cfRule>
    <cfRule type="expression" dxfId="13" priority="21">
      <formula>I1 = "Loja"</formula>
    </cfRule>
  </conditionalFormatting>
  <conditionalFormatting sqref="C1:C1048576">
    <cfRule type="expression" dxfId="12" priority="107">
      <formula>I1 = "Pendente"</formula>
    </cfRule>
    <cfRule type="expression" dxfId="11" priority="228">
      <formula>I1 = "Estoque"</formula>
    </cfRule>
    <cfRule type="expression" dxfId="10" priority="237" stopIfTrue="1">
      <formula>I1 = "Vendido"</formula>
    </cfRule>
  </conditionalFormatting>
  <conditionalFormatting sqref="C494">
    <cfRule type="expression" dxfId="9" priority="7310">
      <formula>I495 = "Pendente"</formula>
    </cfRule>
    <cfRule type="expression" dxfId="8" priority="7311">
      <formula>I495 = "Estoque"</formula>
    </cfRule>
    <cfRule type="expression" dxfId="7" priority="7312" stopIfTrue="1">
      <formula>I495 = "Vendido"</formula>
    </cfRule>
  </conditionalFormatting>
  <conditionalFormatting sqref="I1:I1048576">
    <cfRule type="expression" dxfId="6" priority="120">
      <formula>I1 = "Estoque"</formula>
    </cfRule>
    <cfRule type="expression" dxfId="5" priority="123">
      <formula>I1 = "Vendido"</formula>
    </cfRule>
    <cfRule type="expression" dxfId="4" priority="124">
      <formula>I1 = "Pendente"</formula>
    </cfRule>
  </conditionalFormatting>
  <conditionalFormatting sqref="J1:J1048576">
    <cfRule type="expression" dxfId="3" priority="108">
      <formula>J1 = "Shopee CPF"</formula>
    </cfRule>
    <cfRule type="expression" dxfId="2" priority="116">
      <formula>J1 = "Magalu"</formula>
    </cfRule>
    <cfRule type="expression" dxfId="1" priority="117">
      <formula>J1 = "BSB"</formula>
    </cfRule>
    <cfRule type="expression" dxfId="0" priority="118">
      <formula>J1 = "Shopee CNPJ"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2566-FF24-4585-B712-7D464BE43E10}">
  <dimension ref="A1:M22"/>
  <sheetViews>
    <sheetView zoomScale="130" zoomScaleNormal="130" workbookViewId="0">
      <selection activeCell="A3" sqref="A3"/>
    </sheetView>
  </sheetViews>
  <sheetFormatPr defaultRowHeight="15" x14ac:dyDescent="0.25"/>
  <cols>
    <col min="1" max="7" width="11.42578125" customWidth="1"/>
    <col min="11" max="13" width="9.85546875" customWidth="1"/>
  </cols>
  <sheetData>
    <row r="1" spans="1:13" ht="27" customHeight="1" x14ac:dyDescent="0.25">
      <c r="A1" s="175" t="s">
        <v>106</v>
      </c>
      <c r="B1" s="175"/>
      <c r="C1" s="175"/>
      <c r="D1" s="22"/>
      <c r="E1" s="175" t="s">
        <v>111</v>
      </c>
      <c r="F1" s="175"/>
      <c r="G1" s="175"/>
      <c r="K1" s="176" t="s">
        <v>107</v>
      </c>
      <c r="L1" s="176"/>
      <c r="M1" s="176"/>
    </row>
    <row r="2" spans="1:13" x14ac:dyDescent="0.25">
      <c r="A2" s="90" t="s">
        <v>104</v>
      </c>
      <c r="B2" s="90" t="s">
        <v>105</v>
      </c>
      <c r="C2" s="90" t="s">
        <v>20</v>
      </c>
      <c r="D2" s="22"/>
      <c r="E2" s="90" t="s">
        <v>104</v>
      </c>
      <c r="F2" s="90" t="s">
        <v>105</v>
      </c>
      <c r="G2" s="90" t="s">
        <v>20</v>
      </c>
      <c r="K2" s="87">
        <v>1</v>
      </c>
      <c r="L2" s="87">
        <v>2</v>
      </c>
      <c r="M2" s="87">
        <v>3</v>
      </c>
    </row>
    <row r="3" spans="1:13" x14ac:dyDescent="0.25">
      <c r="A3" s="19"/>
      <c r="B3" s="19"/>
      <c r="C3" s="19"/>
      <c r="D3" s="22"/>
      <c r="E3" s="19"/>
      <c r="F3" s="19"/>
      <c r="G3" s="19"/>
      <c r="K3" s="87">
        <v>4</v>
      </c>
      <c r="L3" s="87">
        <v>5</v>
      </c>
      <c r="M3" s="87">
        <v>6</v>
      </c>
    </row>
    <row r="4" spans="1:13" x14ac:dyDescent="0.25">
      <c r="A4" s="19"/>
      <c r="B4" s="19"/>
      <c r="C4" s="19"/>
      <c r="D4" s="22"/>
      <c r="E4" s="19"/>
      <c r="F4" s="19"/>
      <c r="G4" s="19"/>
      <c r="K4" s="87">
        <v>7</v>
      </c>
      <c r="L4" s="87">
        <v>8</v>
      </c>
      <c r="M4" s="87">
        <v>9</v>
      </c>
    </row>
    <row r="5" spans="1:13" x14ac:dyDescent="0.25">
      <c r="A5" s="19"/>
      <c r="B5" s="19"/>
      <c r="C5" s="19"/>
      <c r="D5" s="22"/>
      <c r="E5" s="19"/>
      <c r="F5" s="19"/>
      <c r="G5" s="19"/>
      <c r="K5" s="87">
        <v>10</v>
      </c>
      <c r="L5" s="87">
        <v>11</v>
      </c>
      <c r="M5" s="87">
        <v>12</v>
      </c>
    </row>
    <row r="6" spans="1:13" x14ac:dyDescent="0.25">
      <c r="A6" s="19"/>
      <c r="B6" s="19"/>
      <c r="C6" s="19"/>
      <c r="D6" s="22"/>
      <c r="E6" s="19"/>
      <c r="F6" s="19"/>
      <c r="G6" s="19"/>
      <c r="K6" s="87">
        <v>13</v>
      </c>
      <c r="L6" s="87">
        <v>14</v>
      </c>
      <c r="M6" s="87">
        <v>15</v>
      </c>
    </row>
    <row r="7" spans="1:13" x14ac:dyDescent="0.25">
      <c r="A7" s="19"/>
      <c r="B7" s="19"/>
      <c r="C7" s="19"/>
      <c r="D7" s="22"/>
      <c r="E7" s="19"/>
      <c r="F7" s="19"/>
      <c r="G7" s="19"/>
      <c r="K7" s="87">
        <v>16</v>
      </c>
      <c r="L7" s="87">
        <v>17</v>
      </c>
      <c r="M7" s="87">
        <v>18</v>
      </c>
    </row>
    <row r="8" spans="1:13" x14ac:dyDescent="0.25">
      <c r="A8" s="19"/>
      <c r="B8" s="19"/>
      <c r="C8" s="19"/>
      <c r="D8" s="22"/>
      <c r="E8" s="19"/>
      <c r="F8" s="19"/>
      <c r="G8" s="19"/>
      <c r="K8" s="87">
        <v>19</v>
      </c>
      <c r="L8" s="87">
        <v>20</v>
      </c>
      <c r="M8" s="87">
        <v>21</v>
      </c>
    </row>
    <row r="9" spans="1:13" x14ac:dyDescent="0.25">
      <c r="A9" s="19"/>
      <c r="B9" s="19"/>
      <c r="C9" s="19"/>
      <c r="D9" s="22"/>
      <c r="E9" s="19"/>
      <c r="F9" s="19"/>
      <c r="G9" s="19"/>
      <c r="K9" s="87">
        <v>22</v>
      </c>
      <c r="L9" s="87">
        <v>23</v>
      </c>
      <c r="M9" s="87">
        <v>24</v>
      </c>
    </row>
    <row r="10" spans="1:13" x14ac:dyDescent="0.25">
      <c r="A10" s="19"/>
      <c r="B10" s="19"/>
      <c r="C10" s="19"/>
      <c r="D10" s="22"/>
      <c r="E10" s="19"/>
      <c r="F10" s="19"/>
      <c r="G10" s="19"/>
      <c r="K10" s="87">
        <v>25</v>
      </c>
      <c r="L10" s="87">
        <v>26</v>
      </c>
      <c r="M10" s="87">
        <v>27</v>
      </c>
    </row>
    <row r="11" spans="1:13" x14ac:dyDescent="0.25">
      <c r="A11" s="19"/>
      <c r="B11" s="19"/>
      <c r="C11" s="19"/>
      <c r="D11" s="22"/>
      <c r="E11" s="19"/>
      <c r="F11" s="19"/>
      <c r="G11" s="19"/>
      <c r="K11" s="87">
        <v>29</v>
      </c>
      <c r="L11" s="87">
        <v>30</v>
      </c>
      <c r="M11" s="87">
        <v>31</v>
      </c>
    </row>
    <row r="12" spans="1:13" x14ac:dyDescent="0.25">
      <c r="A12" s="19"/>
      <c r="B12" s="19"/>
      <c r="C12" s="19"/>
      <c r="D12" s="22"/>
      <c r="E12" s="19"/>
      <c r="F12" s="19"/>
      <c r="G12" s="19"/>
      <c r="K12" s="177"/>
      <c r="L12" s="177"/>
      <c r="M12" s="177"/>
    </row>
    <row r="13" spans="1:13" x14ac:dyDescent="0.25">
      <c r="A13" s="19"/>
      <c r="B13" s="19"/>
      <c r="C13" s="19"/>
      <c r="D13" s="22"/>
      <c r="E13" s="19"/>
      <c r="F13" s="19"/>
      <c r="G13" s="19"/>
      <c r="K13" s="88"/>
      <c r="L13" s="177" t="s">
        <v>108</v>
      </c>
      <c r="M13" s="177"/>
    </row>
    <row r="14" spans="1:13" x14ac:dyDescent="0.25">
      <c r="A14" s="19"/>
      <c r="B14" s="19"/>
      <c r="C14" s="19"/>
      <c r="D14" s="22"/>
      <c r="E14" s="19"/>
      <c r="F14" s="19"/>
      <c r="G14" s="19"/>
      <c r="K14" s="89"/>
      <c r="L14" s="177" t="s">
        <v>109</v>
      </c>
      <c r="M14" s="177"/>
    </row>
    <row r="15" spans="1:13" x14ac:dyDescent="0.25">
      <c r="A15" s="19"/>
      <c r="B15" s="19"/>
      <c r="C15" s="19"/>
      <c r="D15" s="22"/>
      <c r="E15" s="19"/>
      <c r="F15" s="19"/>
      <c r="G15" s="19"/>
      <c r="K15" s="173" t="s">
        <v>110</v>
      </c>
      <c r="L15" s="173"/>
      <c r="M15" s="173"/>
    </row>
    <row r="16" spans="1:13" x14ac:dyDescent="0.25">
      <c r="A16" s="19"/>
      <c r="B16" s="19"/>
      <c r="C16" s="19"/>
      <c r="D16" s="22"/>
      <c r="E16" s="19"/>
      <c r="F16" s="19"/>
      <c r="G16" s="19"/>
      <c r="K16" s="174"/>
      <c r="L16" s="174"/>
      <c r="M16" s="174"/>
    </row>
    <row r="17" spans="1:13" x14ac:dyDescent="0.25">
      <c r="A17" s="19"/>
      <c r="B17" s="19"/>
      <c r="C17" s="19"/>
      <c r="D17" s="22"/>
      <c r="E17" s="19"/>
      <c r="F17" s="19"/>
      <c r="G17" s="19"/>
      <c r="K17" s="174"/>
      <c r="L17" s="174"/>
      <c r="M17" s="174"/>
    </row>
    <row r="18" spans="1:13" x14ac:dyDescent="0.25">
      <c r="A18" s="19"/>
      <c r="B18" s="19"/>
      <c r="C18" s="19"/>
      <c r="D18" s="22"/>
      <c r="E18" s="19"/>
      <c r="F18" s="19"/>
      <c r="G18" s="19"/>
    </row>
    <row r="19" spans="1:13" x14ac:dyDescent="0.25">
      <c r="A19" s="19"/>
      <c r="B19" s="19"/>
      <c r="C19" s="19"/>
      <c r="D19" s="22"/>
      <c r="E19" s="19"/>
      <c r="F19" s="19"/>
      <c r="G19" s="19"/>
    </row>
    <row r="20" spans="1:13" x14ac:dyDescent="0.25">
      <c r="A20" s="19"/>
      <c r="B20" s="19"/>
      <c r="C20" s="19"/>
      <c r="D20" s="22"/>
      <c r="E20" s="19"/>
      <c r="F20" s="19"/>
      <c r="G20" s="19"/>
    </row>
    <row r="21" spans="1:13" x14ac:dyDescent="0.25">
      <c r="A21" s="19"/>
      <c r="B21" s="19"/>
      <c r="C21" s="19"/>
      <c r="D21" s="22"/>
      <c r="E21" s="19"/>
      <c r="F21" s="19"/>
      <c r="G21" s="19"/>
    </row>
    <row r="22" spans="1:13" x14ac:dyDescent="0.25">
      <c r="A22" s="19"/>
      <c r="B22" s="19"/>
      <c r="C22" s="19"/>
      <c r="D22" s="22"/>
      <c r="E22" s="19"/>
      <c r="F22" s="19"/>
      <c r="G22" s="19"/>
    </row>
  </sheetData>
  <mergeCells count="7">
    <mergeCell ref="K15:M17"/>
    <mergeCell ref="A1:C1"/>
    <mergeCell ref="E1:G1"/>
    <mergeCell ref="K1:M1"/>
    <mergeCell ref="K12:M12"/>
    <mergeCell ref="L14:M14"/>
    <mergeCell ref="L13:M1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91"/>
  <sheetViews>
    <sheetView topLeftCell="A4" workbookViewId="0">
      <selection activeCell="I14" sqref="I3:I14"/>
    </sheetView>
  </sheetViews>
  <sheetFormatPr defaultRowHeight="15" x14ac:dyDescent="0.25"/>
  <cols>
    <col min="1" max="1" width="16.28515625" bestFit="1" customWidth="1"/>
    <col min="2" max="3" width="12.7109375" style="31" customWidth="1"/>
    <col min="4" max="5" width="11.42578125" customWidth="1"/>
    <col min="6" max="6" width="14.7109375" style="22" customWidth="1"/>
    <col min="7" max="7" width="14.7109375" style="22" bestFit="1" customWidth="1"/>
    <col min="8" max="8" width="12.7109375" bestFit="1" customWidth="1"/>
    <col min="9" max="9" width="11.7109375" style="31" bestFit="1" customWidth="1"/>
    <col min="10" max="10" width="8.28515625" bestFit="1" customWidth="1"/>
    <col min="11" max="11" width="12.85546875" bestFit="1" customWidth="1"/>
    <col min="12" max="12" width="13.5703125" bestFit="1" customWidth="1"/>
    <col min="13" max="14" width="10.140625" bestFit="1" customWidth="1"/>
    <col min="15" max="15" width="17.85546875" style="31" bestFit="1" customWidth="1"/>
    <col min="17" max="17" width="13.85546875" bestFit="1" customWidth="1"/>
    <col min="18" max="18" width="11.7109375" bestFit="1" customWidth="1"/>
    <col min="20" max="21" width="11.7109375" bestFit="1" customWidth="1"/>
    <col min="22" max="22" width="10.140625" bestFit="1" customWidth="1"/>
  </cols>
  <sheetData>
    <row r="1" spans="1:15" s="22" customFormat="1" ht="25.5" customHeight="1" x14ac:dyDescent="0.25">
      <c r="A1" s="176" t="s">
        <v>39</v>
      </c>
      <c r="B1" s="176"/>
      <c r="C1" s="176"/>
      <c r="D1" s="176"/>
      <c r="E1" s="176"/>
      <c r="F1" s="176"/>
      <c r="G1" s="176"/>
      <c r="H1" s="176"/>
      <c r="I1" s="23"/>
      <c r="J1" s="178" t="s">
        <v>36</v>
      </c>
      <c r="K1" s="179"/>
      <c r="L1" s="179"/>
      <c r="M1" s="180"/>
      <c r="N1" s="65">
        <f>SUM(M4:M13)</f>
        <v>284</v>
      </c>
      <c r="O1" s="66" t="s">
        <v>45</v>
      </c>
    </row>
    <row r="2" spans="1:15" s="22" customFormat="1" ht="41.25" customHeight="1" x14ac:dyDescent="0.25">
      <c r="A2" s="147" t="s">
        <v>40</v>
      </c>
      <c r="B2" s="147" t="s">
        <v>325</v>
      </c>
      <c r="C2" s="147" t="s">
        <v>326</v>
      </c>
      <c r="D2" s="147" t="s">
        <v>327</v>
      </c>
      <c r="E2" s="147" t="s">
        <v>328</v>
      </c>
      <c r="F2" s="145" t="s">
        <v>324</v>
      </c>
      <c r="G2" s="145" t="s">
        <v>323</v>
      </c>
      <c r="H2" s="145" t="s">
        <v>48</v>
      </c>
      <c r="I2" s="23"/>
      <c r="J2" s="32"/>
      <c r="K2" s="73"/>
      <c r="L2" s="73"/>
      <c r="M2" s="74"/>
      <c r="N2" s="65"/>
      <c r="O2" s="66"/>
    </row>
    <row r="3" spans="1:15" x14ac:dyDescent="0.25">
      <c r="A3" s="69" t="s">
        <v>5</v>
      </c>
      <c r="B3" s="148">
        <v>1088.97</v>
      </c>
      <c r="C3" s="148">
        <v>861.59</v>
      </c>
      <c r="D3" s="149">
        <v>483.75</v>
      </c>
      <c r="E3" s="149">
        <v>319</v>
      </c>
      <c r="F3" s="146">
        <v>864.54</v>
      </c>
      <c r="G3" s="146">
        <v>496.72</v>
      </c>
      <c r="H3" s="16">
        <v>1830</v>
      </c>
      <c r="I3" s="31">
        <f t="shared" ref="I3:I13" si="0">SUM(B3:H3)</f>
        <v>5944.57</v>
      </c>
      <c r="J3" s="25" t="s">
        <v>35</v>
      </c>
      <c r="K3" s="66" t="s">
        <v>37</v>
      </c>
      <c r="L3" s="25" t="s">
        <v>38</v>
      </c>
      <c r="M3" s="25" t="s">
        <v>19</v>
      </c>
      <c r="N3" s="67" t="s">
        <v>44</v>
      </c>
      <c r="O3" s="68"/>
    </row>
    <row r="4" spans="1:15" x14ac:dyDescent="0.25">
      <c r="A4" s="69" t="s">
        <v>7</v>
      </c>
      <c r="B4" s="149">
        <v>1347.69</v>
      </c>
      <c r="C4" s="149">
        <v>951.08</v>
      </c>
      <c r="D4" s="149">
        <v>319.2</v>
      </c>
      <c r="E4" s="149">
        <v>255.37</v>
      </c>
      <c r="F4" s="146">
        <v>612.23</v>
      </c>
      <c r="G4" s="146">
        <v>333.3</v>
      </c>
      <c r="H4" s="16">
        <v>2518</v>
      </c>
      <c r="I4" s="31">
        <f t="shared" si="0"/>
        <v>6336.87</v>
      </c>
      <c r="J4" s="19" t="s">
        <v>91</v>
      </c>
      <c r="K4" s="46">
        <v>4</v>
      </c>
      <c r="L4" s="21">
        <v>17</v>
      </c>
      <c r="M4" s="21">
        <f>L4*K4</f>
        <v>68</v>
      </c>
      <c r="N4" s="19" t="s">
        <v>90</v>
      </c>
      <c r="O4" s="16"/>
    </row>
    <row r="5" spans="1:15" x14ac:dyDescent="0.25">
      <c r="A5" s="69" t="s">
        <v>8</v>
      </c>
      <c r="B5" s="149">
        <v>1696.65</v>
      </c>
      <c r="C5" s="149">
        <v>1347.46</v>
      </c>
      <c r="D5" s="149">
        <v>807.5</v>
      </c>
      <c r="E5" s="149">
        <v>646</v>
      </c>
      <c r="F5" s="153">
        <v>787.79</v>
      </c>
      <c r="G5" s="153">
        <v>452.1</v>
      </c>
      <c r="H5" s="16">
        <v>1433</v>
      </c>
      <c r="I5" s="31">
        <f t="shared" si="0"/>
        <v>7170.5000000000009</v>
      </c>
      <c r="J5" s="19" t="s">
        <v>224</v>
      </c>
      <c r="K5" s="46">
        <v>1</v>
      </c>
      <c r="L5" s="21">
        <v>216</v>
      </c>
      <c r="M5" s="21">
        <f>L5*K5</f>
        <v>216</v>
      </c>
      <c r="N5" s="19" t="s">
        <v>90</v>
      </c>
      <c r="O5" s="16"/>
    </row>
    <row r="6" spans="1:15" x14ac:dyDescent="0.25">
      <c r="A6" s="69" t="s">
        <v>9</v>
      </c>
      <c r="B6" s="149">
        <v>648.94000000000005</v>
      </c>
      <c r="C6" s="149">
        <v>287.52</v>
      </c>
      <c r="D6" s="149">
        <v>228.5</v>
      </c>
      <c r="E6" s="149">
        <v>182.8</v>
      </c>
      <c r="F6" s="153">
        <v>579.28</v>
      </c>
      <c r="G6" s="153">
        <v>286.39999999999998</v>
      </c>
      <c r="H6" s="16">
        <v>260</v>
      </c>
      <c r="I6" s="31">
        <f t="shared" si="0"/>
        <v>2473.44</v>
      </c>
      <c r="J6" s="19"/>
      <c r="K6" s="46"/>
      <c r="L6" s="21"/>
      <c r="M6" s="21"/>
      <c r="N6" s="47"/>
      <c r="O6" s="16"/>
    </row>
    <row r="7" spans="1:15" x14ac:dyDescent="0.25">
      <c r="A7" s="69" t="s">
        <v>10</v>
      </c>
      <c r="B7" s="150">
        <v>1658.18</v>
      </c>
      <c r="C7" s="150">
        <v>1324.14</v>
      </c>
      <c r="D7" s="149">
        <v>105.5</v>
      </c>
      <c r="E7" s="149">
        <v>84.4</v>
      </c>
      <c r="F7" s="153">
        <v>1074.7</v>
      </c>
      <c r="G7" s="153">
        <v>521.91999999999996</v>
      </c>
      <c r="H7" s="16">
        <v>2160</v>
      </c>
      <c r="I7" s="31">
        <f t="shared" si="0"/>
        <v>6928.84</v>
      </c>
      <c r="J7" s="19"/>
      <c r="K7" s="46"/>
      <c r="L7" s="21"/>
      <c r="M7" s="21"/>
      <c r="N7" s="47"/>
      <c r="O7" s="16"/>
    </row>
    <row r="8" spans="1:15" x14ac:dyDescent="0.25">
      <c r="A8" s="69" t="s">
        <v>11</v>
      </c>
      <c r="B8" s="150">
        <v>1227.3399999999999</v>
      </c>
      <c r="C8" s="150">
        <v>802.27</v>
      </c>
      <c r="D8" s="149">
        <v>406.53</v>
      </c>
      <c r="E8" s="149">
        <v>251.19</v>
      </c>
      <c r="F8" s="153">
        <v>421.87</v>
      </c>
      <c r="G8" s="153">
        <v>201.72</v>
      </c>
      <c r="H8" s="16">
        <v>1227</v>
      </c>
      <c r="I8" s="31">
        <f t="shared" si="0"/>
        <v>4537.92</v>
      </c>
      <c r="J8" s="19"/>
      <c r="K8" s="46"/>
      <c r="L8" s="21"/>
      <c r="M8" s="21"/>
      <c r="N8" s="47"/>
      <c r="O8" s="16"/>
    </row>
    <row r="9" spans="1:15" x14ac:dyDescent="0.25">
      <c r="A9" s="69" t="s">
        <v>12</v>
      </c>
      <c r="B9" s="150">
        <v>1209.04</v>
      </c>
      <c r="C9" s="150">
        <v>699.45</v>
      </c>
      <c r="D9" s="149">
        <v>358</v>
      </c>
      <c r="E9" s="149">
        <v>260.41000000000003</v>
      </c>
      <c r="F9" s="153">
        <v>345.24</v>
      </c>
      <c r="G9" s="153">
        <v>151.80000000000001</v>
      </c>
      <c r="H9" s="16">
        <v>925</v>
      </c>
      <c r="I9" s="31">
        <f t="shared" si="0"/>
        <v>3948.9399999999996</v>
      </c>
      <c r="J9" s="19"/>
      <c r="K9" s="46"/>
      <c r="L9" s="21"/>
      <c r="M9" s="21"/>
      <c r="N9" s="47"/>
      <c r="O9" s="16"/>
    </row>
    <row r="10" spans="1:15" x14ac:dyDescent="0.25">
      <c r="A10" s="69" t="s">
        <v>13</v>
      </c>
      <c r="B10" s="150">
        <v>714.94</v>
      </c>
      <c r="C10" s="150">
        <v>470.33</v>
      </c>
      <c r="D10" s="149">
        <v>716.75</v>
      </c>
      <c r="E10" s="149">
        <v>459.26</v>
      </c>
      <c r="F10" s="153">
        <v>908.24</v>
      </c>
      <c r="G10" s="153">
        <v>324</v>
      </c>
      <c r="H10" s="16">
        <v>1220</v>
      </c>
      <c r="I10" s="31">
        <f t="shared" si="0"/>
        <v>4813.5199999999995</v>
      </c>
      <c r="J10" s="19"/>
      <c r="K10" s="46"/>
      <c r="L10" s="21"/>
      <c r="M10" s="21"/>
      <c r="N10" s="47"/>
      <c r="O10" s="16"/>
    </row>
    <row r="11" spans="1:15" x14ac:dyDescent="0.25">
      <c r="A11" s="69" t="s">
        <v>14</v>
      </c>
      <c r="B11" s="149">
        <v>594.61</v>
      </c>
      <c r="C11" s="149">
        <v>338.57</v>
      </c>
      <c r="D11" s="149">
        <v>310.8</v>
      </c>
      <c r="E11" s="149">
        <v>221.94</v>
      </c>
      <c r="F11" s="153">
        <v>161.47999999999999</v>
      </c>
      <c r="G11" s="153">
        <v>67.8</v>
      </c>
      <c r="H11" s="16">
        <v>2418</v>
      </c>
      <c r="I11" s="31">
        <f t="shared" si="0"/>
        <v>4113.2</v>
      </c>
      <c r="J11" s="47"/>
      <c r="K11" s="47"/>
      <c r="L11" s="45"/>
      <c r="M11" s="21"/>
      <c r="N11" s="47"/>
      <c r="O11" s="16"/>
    </row>
    <row r="12" spans="1:15" x14ac:dyDescent="0.25">
      <c r="A12" s="69" t="s">
        <v>15</v>
      </c>
      <c r="B12" s="149">
        <v>992.94</v>
      </c>
      <c r="C12" s="149">
        <v>681.97</v>
      </c>
      <c r="D12" s="149">
        <v>285.25</v>
      </c>
      <c r="E12" s="149">
        <v>182.19</v>
      </c>
      <c r="F12" s="146">
        <v>0</v>
      </c>
      <c r="G12" s="146">
        <v>0</v>
      </c>
      <c r="H12" s="16">
        <v>1033</v>
      </c>
      <c r="I12" s="31">
        <f t="shared" si="0"/>
        <v>3175.35</v>
      </c>
      <c r="J12" s="19"/>
      <c r="K12" s="46"/>
      <c r="L12" s="21"/>
      <c r="M12" s="21"/>
      <c r="N12" s="47"/>
      <c r="O12" s="16"/>
    </row>
    <row r="13" spans="1:15" x14ac:dyDescent="0.25">
      <c r="A13" s="69" t="s">
        <v>16</v>
      </c>
      <c r="B13" s="149">
        <v>3071.23</v>
      </c>
      <c r="C13" s="149">
        <v>2285.9899999999998</v>
      </c>
      <c r="D13" s="151">
        <v>179.75</v>
      </c>
      <c r="E13" s="151">
        <v>122.79</v>
      </c>
      <c r="F13" s="152">
        <v>0</v>
      </c>
      <c r="G13" s="152">
        <v>0</v>
      </c>
      <c r="H13" s="60">
        <v>765</v>
      </c>
      <c r="I13" s="31">
        <f t="shared" si="0"/>
        <v>6424.7599999999993</v>
      </c>
      <c r="J13" s="19"/>
      <c r="K13" s="46"/>
      <c r="L13" s="21"/>
      <c r="M13" s="21"/>
      <c r="N13" s="47"/>
      <c r="O13" s="16"/>
    </row>
    <row r="14" spans="1:15" ht="14.25" customHeight="1" x14ac:dyDescent="0.25">
      <c r="A14" s="69" t="s">
        <v>17</v>
      </c>
      <c r="B14" s="16">
        <v>2356.9299999999998</v>
      </c>
      <c r="C14" s="16">
        <v>1694.13</v>
      </c>
      <c r="D14" s="16"/>
      <c r="E14" s="16"/>
      <c r="F14" s="21">
        <v>0</v>
      </c>
      <c r="G14" s="21">
        <v>0</v>
      </c>
      <c r="H14" s="16"/>
      <c r="I14" s="31">
        <f>SUM(B14:H14)</f>
        <v>4051.06</v>
      </c>
      <c r="J14" s="19" t="s">
        <v>47</v>
      </c>
      <c r="K14" s="62">
        <v>48.92</v>
      </c>
      <c r="L14" s="19"/>
      <c r="M14" s="72">
        <f>SUM(M4:M13)</f>
        <v>284</v>
      </c>
      <c r="N14" s="47"/>
      <c r="O14" s="16">
        <f>SUM(O3:O13)</f>
        <v>0</v>
      </c>
    </row>
    <row r="15" spans="1:15" x14ac:dyDescent="0.25">
      <c r="A15" s="67" t="s">
        <v>41</v>
      </c>
      <c r="B15" s="66">
        <f>SUM(B3:B14)</f>
        <v>16607.460000000003</v>
      </c>
      <c r="C15" s="66">
        <f t="shared" ref="C15:E15" si="1">SUM(C3:C14)</f>
        <v>11744.5</v>
      </c>
      <c r="D15" s="66">
        <f t="shared" si="1"/>
        <v>4201.5300000000007</v>
      </c>
      <c r="E15" s="66">
        <f t="shared" si="1"/>
        <v>2985.3500000000004</v>
      </c>
      <c r="F15" s="66">
        <f>SUM(F3:F14)</f>
        <v>5755.369999999999</v>
      </c>
      <c r="G15" s="66">
        <f>SUM(G3:G14)</f>
        <v>2835.76</v>
      </c>
      <c r="H15" s="66">
        <f>SUM(H3:H14)</f>
        <v>15789</v>
      </c>
    </row>
    <row r="16" spans="1:15" ht="20.25" customHeight="1" x14ac:dyDescent="0.25">
      <c r="A16" s="67" t="s">
        <v>42</v>
      </c>
      <c r="B16" s="70">
        <f>B15+F15+M14</f>
        <v>22646.83</v>
      </c>
      <c r="C16" s="70"/>
      <c r="D16" s="70"/>
      <c r="E16" s="70"/>
      <c r="F16" s="66"/>
      <c r="G16" s="66"/>
      <c r="H16" s="70"/>
    </row>
    <row r="17" spans="1:11" x14ac:dyDescent="0.25">
      <c r="A17" s="67" t="s">
        <v>19</v>
      </c>
      <c r="B17" s="70">
        <f>SUM(C15,E15,G15,H15,M14)</f>
        <v>33638.61</v>
      </c>
      <c r="C17" s="70"/>
      <c r="D17" s="69"/>
      <c r="E17" s="69"/>
      <c r="F17" s="25"/>
      <c r="G17" s="25"/>
      <c r="H17" s="69"/>
    </row>
    <row r="18" spans="1:11" x14ac:dyDescent="0.25">
      <c r="A18" s="67"/>
      <c r="B18" s="70"/>
      <c r="C18" s="70"/>
      <c r="D18" s="70"/>
      <c r="E18" s="70"/>
      <c r="F18" s="66"/>
      <c r="G18" s="66"/>
      <c r="H18" s="70"/>
    </row>
    <row r="19" spans="1:11" x14ac:dyDescent="0.25">
      <c r="A19" s="67" t="s">
        <v>46</v>
      </c>
      <c r="B19" s="70">
        <f>B20/D19</f>
        <v>47361.39</v>
      </c>
      <c r="C19" s="70"/>
      <c r="D19" s="71">
        <v>1</v>
      </c>
      <c r="E19" s="71"/>
      <c r="F19" s="81"/>
      <c r="G19" s="81"/>
      <c r="H19" s="71"/>
    </row>
    <row r="20" spans="1:11" x14ac:dyDescent="0.25">
      <c r="A20" s="25" t="s">
        <v>43</v>
      </c>
      <c r="B20" s="66">
        <f>81000-(B17-B18)</f>
        <v>47361.39</v>
      </c>
      <c r="C20" s="66"/>
      <c r="D20" s="66"/>
      <c r="E20" s="66"/>
      <c r="F20" s="66"/>
      <c r="G20" s="66"/>
      <c r="H20" s="66"/>
    </row>
    <row r="24" spans="1:11" ht="26.25" customHeight="1" x14ac:dyDescent="0.25"/>
    <row r="26" spans="1:11" x14ac:dyDescent="0.25">
      <c r="K26" s="61"/>
    </row>
    <row r="27" spans="1:11" x14ac:dyDescent="0.25">
      <c r="K27" s="20"/>
    </row>
    <row r="31" spans="1:11" x14ac:dyDescent="0.25">
      <c r="A31" s="22"/>
      <c r="B31" s="23"/>
      <c r="C31" s="23"/>
      <c r="D31" s="22"/>
      <c r="E31" s="22"/>
      <c r="H31" s="22"/>
    </row>
    <row r="32" spans="1:11" x14ac:dyDescent="0.25">
      <c r="A32" s="80"/>
      <c r="B32" s="80"/>
      <c r="C32" s="80"/>
      <c r="D32" s="80"/>
      <c r="E32" s="80"/>
      <c r="F32" s="82"/>
      <c r="G32" s="82"/>
      <c r="H32" s="80"/>
      <c r="I32" s="23"/>
    </row>
    <row r="33" spans="4:22" x14ac:dyDescent="0.25">
      <c r="D33" s="31"/>
      <c r="E33" s="31"/>
      <c r="F33" s="82"/>
      <c r="G33" s="82"/>
      <c r="H33" s="20"/>
      <c r="I33" s="34"/>
    </row>
    <row r="34" spans="4:22" x14ac:dyDescent="0.25">
      <c r="D34" s="31"/>
      <c r="E34" s="31"/>
      <c r="F34" s="82"/>
      <c r="G34" s="82"/>
      <c r="H34" s="20"/>
      <c r="I34" s="22"/>
    </row>
    <row r="35" spans="4:22" x14ac:dyDescent="0.25">
      <c r="D35" s="31"/>
      <c r="E35" s="31"/>
      <c r="F35" s="82"/>
      <c r="G35" s="82"/>
      <c r="H35" s="20"/>
      <c r="I35" s="22"/>
    </row>
    <row r="36" spans="4:22" x14ac:dyDescent="0.25">
      <c r="D36" s="31"/>
      <c r="E36" s="31"/>
      <c r="F36" s="82"/>
      <c r="G36" s="82"/>
      <c r="H36" s="20"/>
      <c r="I36" s="22"/>
    </row>
    <row r="37" spans="4:22" x14ac:dyDescent="0.25">
      <c r="D37" s="31"/>
      <c r="E37" s="31"/>
      <c r="F37" s="82"/>
      <c r="G37" s="82"/>
      <c r="H37" s="20"/>
      <c r="I37" s="22"/>
      <c r="T37" s="23" t="s">
        <v>258</v>
      </c>
      <c r="U37" s="23" t="s">
        <v>259</v>
      </c>
      <c r="V37" s="23" t="s">
        <v>260</v>
      </c>
    </row>
    <row r="38" spans="4:22" x14ac:dyDescent="0.25">
      <c r="D38" s="31"/>
      <c r="E38" s="31"/>
      <c r="F38" s="82"/>
      <c r="G38" s="82"/>
      <c r="H38" s="20"/>
      <c r="I38" s="22"/>
      <c r="T38" s="31">
        <v>1120.8080000000002</v>
      </c>
      <c r="U38" s="31">
        <v>1286.384</v>
      </c>
      <c r="V38" s="31">
        <v>729.42799999999988</v>
      </c>
    </row>
    <row r="39" spans="4:22" x14ac:dyDescent="0.25">
      <c r="D39" s="31"/>
      <c r="E39" s="31"/>
      <c r="F39" s="82"/>
      <c r="G39" s="82"/>
      <c r="H39" s="20"/>
      <c r="I39" s="22"/>
    </row>
    <row r="40" spans="4:22" x14ac:dyDescent="0.25">
      <c r="D40" s="31"/>
      <c r="E40" s="31"/>
      <c r="F40" s="82"/>
      <c r="G40" s="82"/>
      <c r="H40" s="20"/>
      <c r="I40" s="22"/>
    </row>
    <row r="41" spans="4:22" x14ac:dyDescent="0.25">
      <c r="D41" s="31"/>
      <c r="E41" s="31"/>
      <c r="F41" s="82"/>
      <c r="G41" s="82"/>
      <c r="H41" s="20"/>
      <c r="I41" s="22"/>
    </row>
    <row r="42" spans="4:22" x14ac:dyDescent="0.25">
      <c r="D42" s="31"/>
      <c r="E42" s="31"/>
      <c r="F42" s="82"/>
      <c r="G42" s="82"/>
      <c r="H42" s="20"/>
      <c r="I42" s="22"/>
    </row>
    <row r="43" spans="4:22" x14ac:dyDescent="0.25">
      <c r="D43" s="31"/>
      <c r="E43" s="31"/>
      <c r="F43" s="82"/>
      <c r="G43" s="82"/>
      <c r="H43" s="20"/>
      <c r="I43" s="22"/>
    </row>
    <row r="44" spans="4:22" x14ac:dyDescent="0.25">
      <c r="D44" s="31"/>
      <c r="E44" s="31"/>
      <c r="F44" s="82"/>
      <c r="G44" s="82"/>
      <c r="H44" s="20"/>
      <c r="I44" s="22"/>
    </row>
    <row r="45" spans="4:22" x14ac:dyDescent="0.25">
      <c r="D45" s="31"/>
      <c r="E45" s="31"/>
      <c r="F45" s="82"/>
      <c r="G45" s="82"/>
      <c r="H45" s="20"/>
      <c r="I45" s="22"/>
    </row>
    <row r="46" spans="4:22" x14ac:dyDescent="0.25">
      <c r="D46" s="31"/>
      <c r="E46" s="31"/>
      <c r="F46" s="82"/>
      <c r="G46" s="82"/>
      <c r="H46" s="20"/>
      <c r="I46" s="22"/>
    </row>
    <row r="47" spans="4:22" x14ac:dyDescent="0.25">
      <c r="D47" s="31"/>
      <c r="E47" s="31"/>
      <c r="F47" s="82"/>
      <c r="G47" s="82"/>
      <c r="H47" s="20"/>
      <c r="I47" s="22"/>
    </row>
    <row r="48" spans="4:22" x14ac:dyDescent="0.25">
      <c r="D48" s="31"/>
      <c r="E48" s="31"/>
      <c r="F48" s="82"/>
      <c r="G48" s="82"/>
      <c r="H48" s="20"/>
      <c r="I48" s="22"/>
    </row>
    <row r="49" spans="4:14" x14ac:dyDescent="0.25">
      <c r="D49" s="31"/>
      <c r="E49" s="31"/>
      <c r="F49" s="82"/>
      <c r="G49" s="82"/>
      <c r="H49" s="20"/>
      <c r="I49" s="22"/>
    </row>
    <row r="50" spans="4:14" x14ac:dyDescent="0.25">
      <c r="D50" s="31"/>
      <c r="E50" s="31"/>
      <c r="F50" s="82"/>
      <c r="G50" s="82"/>
      <c r="H50" s="20"/>
      <c r="I50" s="22"/>
    </row>
    <row r="51" spans="4:14" x14ac:dyDescent="0.25">
      <c r="D51" s="31"/>
      <c r="E51" s="31"/>
      <c r="F51" s="82"/>
      <c r="G51" s="82"/>
      <c r="H51" s="20"/>
      <c r="I51" s="22"/>
    </row>
    <row r="52" spans="4:14" x14ac:dyDescent="0.25">
      <c r="D52" s="31"/>
      <c r="E52" s="31"/>
      <c r="F52" s="82"/>
      <c r="G52" s="82"/>
      <c r="H52" s="20"/>
      <c r="I52" s="22"/>
      <c r="K52" s="31"/>
      <c r="L52" s="31"/>
      <c r="M52" s="31"/>
      <c r="N52" s="31"/>
    </row>
    <row r="53" spans="4:14" x14ac:dyDescent="0.25">
      <c r="D53" s="31"/>
      <c r="E53" s="31"/>
      <c r="F53" s="82"/>
      <c r="G53" s="82"/>
      <c r="H53" s="20"/>
      <c r="I53" s="22"/>
    </row>
    <row r="54" spans="4:14" x14ac:dyDescent="0.25">
      <c r="D54" s="31"/>
      <c r="E54" s="31"/>
      <c r="F54" s="82"/>
      <c r="G54" s="82"/>
      <c r="H54" s="20"/>
      <c r="I54" s="22"/>
    </row>
    <row r="55" spans="4:14" x14ac:dyDescent="0.25">
      <c r="D55" s="31"/>
      <c r="E55" s="31"/>
      <c r="F55" s="82"/>
      <c r="G55" s="82"/>
      <c r="H55" s="20"/>
      <c r="I55" s="22"/>
    </row>
    <row r="56" spans="4:14" x14ac:dyDescent="0.25">
      <c r="D56" s="31"/>
      <c r="E56" s="31"/>
      <c r="F56" s="82"/>
      <c r="G56" s="82"/>
      <c r="H56" s="20"/>
      <c r="I56" s="22"/>
    </row>
    <row r="57" spans="4:14" x14ac:dyDescent="0.25">
      <c r="D57" s="31"/>
      <c r="E57" s="31"/>
      <c r="F57" s="82"/>
      <c r="G57" s="82"/>
      <c r="H57" s="20"/>
      <c r="I57" s="22"/>
    </row>
    <row r="58" spans="4:14" x14ac:dyDescent="0.25">
      <c r="D58" s="31"/>
      <c r="E58" s="31"/>
      <c r="F58" s="82"/>
      <c r="G58" s="82"/>
      <c r="H58" s="20"/>
      <c r="I58" s="22"/>
    </row>
    <row r="59" spans="4:14" x14ac:dyDescent="0.25">
      <c r="D59" s="31"/>
      <c r="E59" s="31"/>
      <c r="F59" s="82"/>
      <c r="G59" s="82"/>
      <c r="H59" s="20"/>
      <c r="I59" s="22"/>
    </row>
    <row r="60" spans="4:14" x14ac:dyDescent="0.25">
      <c r="D60" s="31"/>
      <c r="E60" s="31"/>
      <c r="F60" s="82"/>
      <c r="G60" s="82"/>
      <c r="H60" s="20"/>
      <c r="I60" s="22"/>
    </row>
    <row r="61" spans="4:14" x14ac:dyDescent="0.25">
      <c r="D61" s="31"/>
      <c r="E61" s="31"/>
      <c r="F61" s="82"/>
      <c r="G61" s="82"/>
      <c r="H61" s="20"/>
      <c r="I61" s="22"/>
    </row>
    <row r="62" spans="4:14" x14ac:dyDescent="0.25">
      <c r="D62" s="31"/>
      <c r="E62" s="31"/>
      <c r="F62" s="82"/>
      <c r="G62" s="82"/>
      <c r="H62" s="20"/>
      <c r="I62" s="22"/>
    </row>
    <row r="63" spans="4:14" x14ac:dyDescent="0.25">
      <c r="D63" s="31"/>
      <c r="E63" s="31"/>
      <c r="F63" s="82"/>
      <c r="G63" s="82"/>
      <c r="H63" s="20"/>
      <c r="I63" s="22"/>
    </row>
    <row r="64" spans="4:14" x14ac:dyDescent="0.25">
      <c r="D64" s="31"/>
      <c r="E64" s="31"/>
      <c r="F64" s="82"/>
      <c r="G64" s="82"/>
      <c r="H64" s="20"/>
      <c r="I64" s="22"/>
    </row>
    <row r="65" spans="4:9" x14ac:dyDescent="0.25">
      <c r="D65" s="31"/>
      <c r="E65" s="31"/>
      <c r="F65" s="82"/>
      <c r="G65" s="82"/>
      <c r="H65" s="20"/>
      <c r="I65" s="22"/>
    </row>
    <row r="66" spans="4:9" x14ac:dyDescent="0.25">
      <c r="D66" s="31"/>
      <c r="E66" s="31"/>
      <c r="F66" s="82"/>
      <c r="G66" s="82"/>
      <c r="H66" s="20"/>
      <c r="I66" s="22"/>
    </row>
    <row r="67" spans="4:9" x14ac:dyDescent="0.25">
      <c r="D67" s="31"/>
      <c r="E67" s="31"/>
      <c r="F67" s="82"/>
      <c r="G67" s="82"/>
      <c r="H67" s="20"/>
      <c r="I67" s="22"/>
    </row>
    <row r="68" spans="4:9" x14ac:dyDescent="0.25">
      <c r="D68" s="31"/>
      <c r="E68" s="31"/>
      <c r="F68" s="82"/>
      <c r="G68" s="82"/>
      <c r="H68" s="20"/>
      <c r="I68" s="22"/>
    </row>
    <row r="69" spans="4:9" x14ac:dyDescent="0.25">
      <c r="D69" s="31"/>
      <c r="E69" s="31"/>
      <c r="F69" s="82"/>
      <c r="G69" s="82"/>
      <c r="H69" s="20"/>
      <c r="I69" s="22"/>
    </row>
    <row r="70" spans="4:9" x14ac:dyDescent="0.25">
      <c r="D70" s="31"/>
      <c r="E70" s="31"/>
      <c r="F70" s="82"/>
      <c r="G70" s="82"/>
      <c r="H70" s="20"/>
      <c r="I70" s="22"/>
    </row>
    <row r="71" spans="4:9" x14ac:dyDescent="0.25">
      <c r="D71" s="31"/>
      <c r="E71" s="31"/>
      <c r="F71" s="82"/>
      <c r="G71" s="82"/>
      <c r="H71" s="20"/>
      <c r="I71" s="22"/>
    </row>
    <row r="72" spans="4:9" x14ac:dyDescent="0.25">
      <c r="D72" s="31"/>
      <c r="E72" s="31"/>
      <c r="F72" s="82"/>
      <c r="G72" s="82"/>
      <c r="H72" s="20"/>
      <c r="I72" s="22"/>
    </row>
    <row r="73" spans="4:9" x14ac:dyDescent="0.25">
      <c r="D73" s="31"/>
      <c r="E73" s="31"/>
      <c r="F73" s="82"/>
      <c r="G73" s="82"/>
      <c r="H73" s="20"/>
      <c r="I73" s="22"/>
    </row>
    <row r="74" spans="4:9" x14ac:dyDescent="0.25">
      <c r="D74" s="31"/>
      <c r="E74" s="31"/>
      <c r="F74" s="82"/>
      <c r="G74" s="82"/>
      <c r="H74" s="20"/>
      <c r="I74" s="22"/>
    </row>
    <row r="75" spans="4:9" x14ac:dyDescent="0.25">
      <c r="D75" s="31"/>
      <c r="E75" s="31"/>
      <c r="F75" s="82"/>
      <c r="G75" s="82"/>
      <c r="H75" s="20"/>
      <c r="I75" s="22"/>
    </row>
    <row r="76" spans="4:9" x14ac:dyDescent="0.25">
      <c r="D76" s="31"/>
      <c r="E76" s="31"/>
      <c r="F76" s="82"/>
      <c r="G76" s="82"/>
      <c r="H76" s="20"/>
      <c r="I76" s="22"/>
    </row>
    <row r="77" spans="4:9" x14ac:dyDescent="0.25">
      <c r="D77" s="31"/>
      <c r="E77" s="31"/>
      <c r="F77" s="82"/>
      <c r="G77" s="82"/>
      <c r="H77" s="20"/>
      <c r="I77" s="22"/>
    </row>
    <row r="78" spans="4:9" x14ac:dyDescent="0.25">
      <c r="D78" s="31"/>
      <c r="E78" s="31"/>
      <c r="F78" s="82"/>
      <c r="G78" s="82"/>
      <c r="H78" s="20"/>
      <c r="I78" s="22"/>
    </row>
    <row r="79" spans="4:9" x14ac:dyDescent="0.25">
      <c r="D79" s="31"/>
      <c r="E79" s="31"/>
      <c r="F79" s="82"/>
      <c r="G79" s="82"/>
      <c r="H79" s="20"/>
      <c r="I79" s="22"/>
    </row>
    <row r="80" spans="4:9" x14ac:dyDescent="0.25">
      <c r="D80" s="31"/>
      <c r="E80" s="31"/>
      <c r="F80" s="82"/>
      <c r="G80" s="82"/>
      <c r="H80" s="20"/>
      <c r="I80" s="22"/>
    </row>
    <row r="81" spans="4:9" x14ac:dyDescent="0.25">
      <c r="D81" s="31"/>
      <c r="E81" s="31"/>
      <c r="F81" s="82"/>
      <c r="G81" s="82"/>
      <c r="H81" s="20"/>
      <c r="I81" s="22"/>
    </row>
    <row r="82" spans="4:9" x14ac:dyDescent="0.25">
      <c r="D82" s="31"/>
      <c r="E82" s="31"/>
      <c r="F82" s="82"/>
      <c r="G82" s="82"/>
      <c r="H82" s="20"/>
      <c r="I82" s="22"/>
    </row>
    <row r="83" spans="4:9" x14ac:dyDescent="0.25">
      <c r="D83" s="31"/>
      <c r="E83" s="31"/>
      <c r="F83" s="82"/>
      <c r="G83" s="82"/>
      <c r="H83" s="20"/>
      <c r="I83" s="22"/>
    </row>
    <row r="84" spans="4:9" x14ac:dyDescent="0.25">
      <c r="D84" s="31"/>
      <c r="E84" s="31"/>
      <c r="F84" s="82"/>
      <c r="G84" s="82"/>
      <c r="H84" s="20"/>
      <c r="I84" s="22"/>
    </row>
    <row r="85" spans="4:9" x14ac:dyDescent="0.25">
      <c r="D85" s="31"/>
      <c r="E85" s="31"/>
      <c r="F85" s="82"/>
      <c r="G85" s="82"/>
      <c r="H85" s="20"/>
      <c r="I85" s="22"/>
    </row>
    <row r="86" spans="4:9" x14ac:dyDescent="0.25">
      <c r="D86" s="31"/>
      <c r="E86" s="31"/>
      <c r="F86" s="82"/>
      <c r="G86" s="82"/>
      <c r="H86" s="20"/>
      <c r="I86" s="22"/>
    </row>
    <row r="87" spans="4:9" x14ac:dyDescent="0.25">
      <c r="D87" s="31"/>
      <c r="E87" s="31"/>
      <c r="F87" s="82"/>
      <c r="G87" s="82"/>
      <c r="H87" s="20"/>
      <c r="I87" s="22"/>
    </row>
    <row r="88" spans="4:9" x14ac:dyDescent="0.25">
      <c r="D88" s="31"/>
      <c r="E88" s="31"/>
      <c r="F88" s="82"/>
      <c r="G88" s="82"/>
      <c r="H88" s="20"/>
      <c r="I88" s="22"/>
    </row>
    <row r="89" spans="4:9" x14ac:dyDescent="0.25">
      <c r="D89" s="31"/>
      <c r="E89" s="31"/>
      <c r="F89" s="82"/>
      <c r="G89" s="82"/>
      <c r="H89" s="20"/>
      <c r="I89" s="22"/>
    </row>
    <row r="90" spans="4:9" x14ac:dyDescent="0.25">
      <c r="D90" s="31"/>
      <c r="E90" s="31"/>
      <c r="F90" s="82"/>
      <c r="G90" s="82"/>
      <c r="H90" s="20"/>
      <c r="I90" s="22"/>
    </row>
    <row r="91" spans="4:9" x14ac:dyDescent="0.25">
      <c r="D91" s="31"/>
      <c r="E91" s="31"/>
      <c r="F91" s="82"/>
      <c r="G91" s="82"/>
      <c r="H91" s="20"/>
      <c r="I91" s="22"/>
    </row>
    <row r="92" spans="4:9" x14ac:dyDescent="0.25">
      <c r="D92" s="31"/>
      <c r="E92" s="31"/>
      <c r="F92" s="82"/>
      <c r="G92" s="82"/>
      <c r="H92" s="20"/>
      <c r="I92" s="22"/>
    </row>
    <row r="93" spans="4:9" x14ac:dyDescent="0.25">
      <c r="D93" s="31"/>
      <c r="E93" s="31"/>
      <c r="F93" s="82"/>
      <c r="G93" s="82"/>
      <c r="H93" s="20"/>
      <c r="I93" s="22"/>
    </row>
    <row r="94" spans="4:9" x14ac:dyDescent="0.25">
      <c r="D94" s="31"/>
      <c r="E94" s="31"/>
      <c r="F94" s="82"/>
      <c r="G94" s="82"/>
      <c r="H94" s="20"/>
      <c r="I94" s="22"/>
    </row>
    <row r="95" spans="4:9" x14ac:dyDescent="0.25">
      <c r="D95" s="31"/>
      <c r="E95" s="31"/>
      <c r="F95" s="82"/>
      <c r="G95" s="82"/>
      <c r="H95" s="20"/>
      <c r="I95" s="22"/>
    </row>
    <row r="96" spans="4:9" x14ac:dyDescent="0.25">
      <c r="D96" s="31"/>
      <c r="E96" s="31"/>
      <c r="F96" s="82"/>
      <c r="G96" s="82"/>
      <c r="H96" s="20"/>
      <c r="I96" s="22"/>
    </row>
    <row r="97" spans="4:9" x14ac:dyDescent="0.25">
      <c r="D97" s="31"/>
      <c r="E97" s="31"/>
      <c r="F97" s="82"/>
      <c r="G97" s="82"/>
      <c r="H97" s="20"/>
      <c r="I97" s="22"/>
    </row>
    <row r="98" spans="4:9" x14ac:dyDescent="0.25">
      <c r="D98" s="31"/>
      <c r="E98" s="31"/>
      <c r="F98" s="82"/>
      <c r="G98" s="82"/>
      <c r="H98" s="20"/>
      <c r="I98" s="22"/>
    </row>
    <row r="99" spans="4:9" x14ac:dyDescent="0.25">
      <c r="D99" s="31"/>
      <c r="E99" s="31"/>
      <c r="F99" s="82"/>
      <c r="G99" s="82"/>
      <c r="H99" s="20"/>
      <c r="I99" s="22"/>
    </row>
    <row r="100" spans="4:9" x14ac:dyDescent="0.25">
      <c r="D100" s="31"/>
      <c r="E100" s="31"/>
      <c r="F100" s="82"/>
      <c r="G100" s="82"/>
      <c r="H100" s="20"/>
      <c r="I100" s="22"/>
    </row>
    <row r="101" spans="4:9" x14ac:dyDescent="0.25">
      <c r="D101" s="31"/>
      <c r="E101" s="31"/>
      <c r="F101" s="82"/>
      <c r="G101" s="82"/>
      <c r="H101" s="20"/>
      <c r="I101" s="22"/>
    </row>
    <row r="102" spans="4:9" x14ac:dyDescent="0.25">
      <c r="D102" s="31"/>
      <c r="E102" s="31"/>
      <c r="F102" s="82"/>
      <c r="G102" s="82"/>
      <c r="H102" s="20"/>
      <c r="I102" s="22"/>
    </row>
    <row r="103" spans="4:9" x14ac:dyDescent="0.25">
      <c r="D103" s="31"/>
      <c r="E103" s="31"/>
      <c r="F103" s="82"/>
      <c r="G103" s="82"/>
      <c r="H103" s="20"/>
      <c r="I103" s="22"/>
    </row>
    <row r="104" spans="4:9" x14ac:dyDescent="0.25">
      <c r="D104" s="31"/>
      <c r="E104" s="31"/>
      <c r="F104" s="82"/>
      <c r="G104" s="82"/>
      <c r="H104" s="20"/>
      <c r="I104" s="22"/>
    </row>
    <row r="105" spans="4:9" x14ac:dyDescent="0.25">
      <c r="D105" s="31"/>
      <c r="E105" s="31"/>
      <c r="F105" s="82"/>
      <c r="G105" s="82"/>
      <c r="H105" s="20"/>
      <c r="I105" s="22"/>
    </row>
    <row r="106" spans="4:9" x14ac:dyDescent="0.25">
      <c r="D106" s="31"/>
      <c r="E106" s="31"/>
      <c r="F106" s="82"/>
      <c r="G106" s="82"/>
      <c r="H106" s="20"/>
      <c r="I106" s="22"/>
    </row>
    <row r="107" spans="4:9" x14ac:dyDescent="0.25">
      <c r="D107" s="31"/>
      <c r="E107" s="31"/>
      <c r="F107" s="82"/>
      <c r="G107" s="82"/>
      <c r="H107" s="20"/>
      <c r="I107" s="22"/>
    </row>
    <row r="108" spans="4:9" x14ac:dyDescent="0.25">
      <c r="D108" s="31"/>
      <c r="E108" s="31"/>
      <c r="F108" s="82"/>
      <c r="G108" s="82"/>
      <c r="H108" s="20"/>
      <c r="I108" s="22"/>
    </row>
    <row r="109" spans="4:9" x14ac:dyDescent="0.25">
      <c r="D109" s="31"/>
      <c r="E109" s="31"/>
      <c r="F109" s="82"/>
      <c r="G109" s="82"/>
      <c r="H109" s="20"/>
      <c r="I109" s="22"/>
    </row>
    <row r="110" spans="4:9" x14ac:dyDescent="0.25">
      <c r="D110" s="31"/>
      <c r="E110" s="31"/>
      <c r="F110" s="82"/>
      <c r="G110" s="82"/>
      <c r="H110" s="20"/>
      <c r="I110" s="22"/>
    </row>
    <row r="111" spans="4:9" x14ac:dyDescent="0.25">
      <c r="D111" s="31"/>
      <c r="E111" s="31"/>
      <c r="F111" s="82"/>
      <c r="G111" s="82"/>
      <c r="H111" s="20"/>
      <c r="I111" s="22"/>
    </row>
    <row r="112" spans="4:9" x14ac:dyDescent="0.25">
      <c r="D112" s="31"/>
      <c r="E112" s="31"/>
      <c r="F112" s="82"/>
      <c r="G112" s="82"/>
      <c r="H112" s="20"/>
      <c r="I112" s="22"/>
    </row>
    <row r="113" spans="4:9" x14ac:dyDescent="0.25">
      <c r="D113" s="31"/>
      <c r="E113" s="31"/>
      <c r="F113" s="82"/>
      <c r="G113" s="82"/>
      <c r="H113" s="20"/>
      <c r="I113" s="22"/>
    </row>
    <row r="114" spans="4:9" x14ac:dyDescent="0.25">
      <c r="D114" s="31"/>
      <c r="E114" s="31"/>
      <c r="F114" s="82"/>
      <c r="G114" s="82"/>
      <c r="H114" s="20"/>
      <c r="I114" s="22"/>
    </row>
    <row r="115" spans="4:9" x14ac:dyDescent="0.25">
      <c r="D115" s="31"/>
      <c r="E115" s="31"/>
      <c r="F115" s="82"/>
      <c r="G115" s="82"/>
      <c r="H115" s="20"/>
      <c r="I115" s="22"/>
    </row>
    <row r="116" spans="4:9" x14ac:dyDescent="0.25">
      <c r="D116" s="31"/>
      <c r="E116" s="31"/>
      <c r="F116" s="82"/>
      <c r="G116" s="82"/>
      <c r="H116" s="20"/>
      <c r="I116" s="22"/>
    </row>
    <row r="117" spans="4:9" x14ac:dyDescent="0.25">
      <c r="D117" s="31"/>
      <c r="E117" s="31"/>
      <c r="F117" s="82"/>
      <c r="G117" s="82"/>
      <c r="H117" s="20"/>
      <c r="I117" s="22"/>
    </row>
    <row r="118" spans="4:9" x14ac:dyDescent="0.25">
      <c r="D118" s="31"/>
      <c r="E118" s="31"/>
      <c r="F118" s="82"/>
      <c r="G118" s="82"/>
      <c r="H118" s="20"/>
      <c r="I118" s="22"/>
    </row>
    <row r="119" spans="4:9" x14ac:dyDescent="0.25">
      <c r="D119" s="31"/>
      <c r="E119" s="31"/>
      <c r="F119" s="82"/>
      <c r="G119" s="82"/>
      <c r="H119" s="20"/>
      <c r="I119" s="22"/>
    </row>
    <row r="120" spans="4:9" x14ac:dyDescent="0.25">
      <c r="D120" s="31"/>
      <c r="E120" s="31"/>
      <c r="F120" s="82"/>
      <c r="G120" s="82"/>
      <c r="H120" s="20"/>
      <c r="I120" s="22"/>
    </row>
    <row r="121" spans="4:9" x14ac:dyDescent="0.25">
      <c r="D121" s="31"/>
      <c r="E121" s="31"/>
      <c r="F121" s="82"/>
      <c r="G121" s="82"/>
      <c r="H121" s="20"/>
      <c r="I121" s="22"/>
    </row>
    <row r="122" spans="4:9" x14ac:dyDescent="0.25">
      <c r="D122" s="31"/>
      <c r="E122" s="31"/>
      <c r="F122" s="82"/>
      <c r="G122" s="82"/>
      <c r="H122" s="20"/>
      <c r="I122" s="22"/>
    </row>
    <row r="123" spans="4:9" x14ac:dyDescent="0.25">
      <c r="D123" s="31"/>
      <c r="E123" s="31"/>
      <c r="F123" s="82"/>
      <c r="G123" s="82"/>
      <c r="H123" s="20"/>
      <c r="I123" s="22"/>
    </row>
    <row r="124" spans="4:9" x14ac:dyDescent="0.25">
      <c r="D124" s="31"/>
      <c r="E124" s="31"/>
      <c r="F124" s="82"/>
      <c r="G124" s="82"/>
      <c r="H124" s="20"/>
      <c r="I124" s="22"/>
    </row>
    <row r="125" spans="4:9" x14ac:dyDescent="0.25">
      <c r="D125" s="31"/>
      <c r="E125" s="31"/>
      <c r="F125" s="82"/>
      <c r="G125" s="82"/>
      <c r="H125" s="20"/>
      <c r="I125" s="22"/>
    </row>
    <row r="126" spans="4:9" x14ac:dyDescent="0.25">
      <c r="D126" s="31"/>
      <c r="E126" s="31"/>
      <c r="F126" s="82"/>
      <c r="G126" s="82"/>
      <c r="H126" s="20"/>
      <c r="I126" s="22"/>
    </row>
    <row r="127" spans="4:9" x14ac:dyDescent="0.25">
      <c r="D127" s="31"/>
      <c r="E127" s="31"/>
      <c r="F127" s="82"/>
      <c r="G127" s="82"/>
      <c r="H127" s="20"/>
      <c r="I127" s="22"/>
    </row>
    <row r="128" spans="4:9" x14ac:dyDescent="0.25">
      <c r="D128" s="31"/>
      <c r="E128" s="31"/>
      <c r="F128" s="82"/>
      <c r="G128" s="82"/>
      <c r="H128" s="20"/>
      <c r="I128" s="22"/>
    </row>
    <row r="129" spans="4:9" x14ac:dyDescent="0.25">
      <c r="D129" s="31"/>
      <c r="E129" s="31"/>
      <c r="F129" s="82"/>
      <c r="G129" s="82"/>
      <c r="H129" s="20"/>
      <c r="I129" s="22"/>
    </row>
    <row r="130" spans="4:9" x14ac:dyDescent="0.25">
      <c r="D130" s="31"/>
      <c r="E130" s="31"/>
      <c r="F130" s="82"/>
      <c r="G130" s="82"/>
      <c r="H130" s="20"/>
      <c r="I130" s="22"/>
    </row>
    <row r="131" spans="4:9" x14ac:dyDescent="0.25">
      <c r="D131" s="31"/>
      <c r="E131" s="31"/>
      <c r="F131" s="82"/>
      <c r="G131" s="82"/>
      <c r="H131" s="20"/>
      <c r="I131" s="22"/>
    </row>
    <row r="132" spans="4:9" x14ac:dyDescent="0.25">
      <c r="D132" s="31"/>
      <c r="E132" s="31"/>
      <c r="F132" s="82"/>
      <c r="G132" s="82"/>
      <c r="H132" s="20"/>
      <c r="I132" s="22"/>
    </row>
    <row r="133" spans="4:9" x14ac:dyDescent="0.25">
      <c r="D133" s="31"/>
      <c r="E133" s="31"/>
      <c r="F133" s="82"/>
      <c r="G133" s="82"/>
      <c r="H133" s="20"/>
      <c r="I133" s="22"/>
    </row>
    <row r="134" spans="4:9" x14ac:dyDescent="0.25">
      <c r="D134" s="31"/>
      <c r="E134" s="31"/>
      <c r="F134" s="82"/>
      <c r="G134" s="82"/>
      <c r="H134" s="20"/>
      <c r="I134" s="22"/>
    </row>
    <row r="135" spans="4:9" x14ac:dyDescent="0.25">
      <c r="D135" s="31"/>
      <c r="E135" s="31"/>
      <c r="F135" s="82"/>
      <c r="G135" s="82"/>
      <c r="H135" s="20"/>
      <c r="I135" s="22"/>
    </row>
    <row r="136" spans="4:9" x14ac:dyDescent="0.25">
      <c r="D136" s="31"/>
      <c r="E136" s="31"/>
      <c r="F136" s="82"/>
      <c r="G136" s="82"/>
      <c r="H136" s="20"/>
      <c r="I136" s="22"/>
    </row>
    <row r="137" spans="4:9" x14ac:dyDescent="0.25">
      <c r="D137" s="31"/>
      <c r="E137" s="31"/>
      <c r="F137" s="82"/>
      <c r="G137" s="82"/>
      <c r="H137" s="20"/>
      <c r="I137" s="22"/>
    </row>
    <row r="138" spans="4:9" x14ac:dyDescent="0.25">
      <c r="D138" s="31"/>
      <c r="E138" s="31"/>
      <c r="F138" s="82"/>
      <c r="G138" s="82"/>
      <c r="H138" s="20"/>
      <c r="I138" s="22"/>
    </row>
    <row r="139" spans="4:9" x14ac:dyDescent="0.25">
      <c r="D139" s="31"/>
      <c r="E139" s="31"/>
      <c r="F139" s="82"/>
      <c r="G139" s="82"/>
      <c r="H139" s="20"/>
      <c r="I139" s="22"/>
    </row>
    <row r="140" spans="4:9" x14ac:dyDescent="0.25">
      <c r="D140" s="31"/>
      <c r="E140" s="31"/>
      <c r="F140" s="82"/>
      <c r="G140" s="82"/>
      <c r="H140" s="20"/>
      <c r="I140" s="22"/>
    </row>
    <row r="141" spans="4:9" x14ac:dyDescent="0.25">
      <c r="D141" s="31"/>
      <c r="E141" s="31"/>
      <c r="F141" s="82"/>
      <c r="G141" s="82"/>
      <c r="H141" s="20"/>
      <c r="I141" s="22"/>
    </row>
    <row r="142" spans="4:9" x14ac:dyDescent="0.25">
      <c r="D142" s="31"/>
      <c r="E142" s="31"/>
      <c r="F142" s="82"/>
      <c r="G142" s="82"/>
      <c r="H142" s="20"/>
      <c r="I142" s="22"/>
    </row>
    <row r="143" spans="4:9" x14ac:dyDescent="0.25">
      <c r="D143" s="31"/>
      <c r="E143" s="31"/>
      <c r="F143" s="82"/>
      <c r="G143" s="82"/>
      <c r="H143" s="20"/>
      <c r="I143" s="22"/>
    </row>
    <row r="144" spans="4:9" x14ac:dyDescent="0.25">
      <c r="D144" s="31"/>
      <c r="E144" s="31"/>
      <c r="F144" s="82"/>
      <c r="G144" s="82"/>
      <c r="H144" s="20"/>
      <c r="I144" s="22"/>
    </row>
    <row r="145" spans="4:9" x14ac:dyDescent="0.25">
      <c r="D145" s="31"/>
      <c r="E145" s="31"/>
      <c r="F145" s="82"/>
      <c r="G145" s="82"/>
      <c r="H145" s="20"/>
      <c r="I145" s="22"/>
    </row>
    <row r="146" spans="4:9" x14ac:dyDescent="0.25">
      <c r="D146" s="31"/>
      <c r="E146" s="31"/>
      <c r="F146" s="82"/>
      <c r="G146" s="82"/>
      <c r="H146" s="20"/>
      <c r="I146" s="22"/>
    </row>
    <row r="147" spans="4:9" x14ac:dyDescent="0.25">
      <c r="D147" s="31"/>
      <c r="E147" s="31"/>
      <c r="F147" s="82"/>
      <c r="G147" s="82"/>
      <c r="H147" s="20"/>
      <c r="I147" s="22"/>
    </row>
    <row r="148" spans="4:9" x14ac:dyDescent="0.25">
      <c r="D148" s="31"/>
      <c r="E148" s="31"/>
      <c r="F148" s="82"/>
      <c r="G148" s="82"/>
      <c r="H148" s="20"/>
      <c r="I148" s="22"/>
    </row>
    <row r="149" spans="4:9" x14ac:dyDescent="0.25">
      <c r="D149" s="31"/>
      <c r="E149" s="31"/>
      <c r="F149" s="82"/>
      <c r="G149" s="82"/>
      <c r="H149" s="20"/>
      <c r="I149" s="22"/>
    </row>
    <row r="150" spans="4:9" x14ac:dyDescent="0.25">
      <c r="D150" s="31"/>
      <c r="E150" s="31"/>
      <c r="F150" s="82"/>
      <c r="G150" s="82"/>
      <c r="H150" s="20"/>
      <c r="I150" s="22"/>
    </row>
    <row r="151" spans="4:9" x14ac:dyDescent="0.25">
      <c r="D151" s="31"/>
      <c r="E151" s="31"/>
      <c r="F151" s="82"/>
      <c r="G151" s="82"/>
      <c r="H151" s="20"/>
      <c r="I151" s="22"/>
    </row>
    <row r="152" spans="4:9" x14ac:dyDescent="0.25">
      <c r="D152" s="31"/>
      <c r="E152" s="31"/>
      <c r="F152" s="82"/>
      <c r="G152" s="82"/>
      <c r="H152" s="20"/>
      <c r="I152" s="22"/>
    </row>
    <row r="153" spans="4:9" x14ac:dyDescent="0.25">
      <c r="D153" s="31"/>
      <c r="E153" s="31"/>
      <c r="F153" s="82"/>
      <c r="G153" s="82"/>
      <c r="H153" s="20"/>
      <c r="I153" s="22"/>
    </row>
    <row r="154" spans="4:9" x14ac:dyDescent="0.25">
      <c r="D154" s="31"/>
      <c r="E154" s="31"/>
      <c r="F154" s="82"/>
      <c r="G154" s="82"/>
      <c r="H154" s="20"/>
      <c r="I154" s="22"/>
    </row>
    <row r="155" spans="4:9" x14ac:dyDescent="0.25">
      <c r="D155" s="31"/>
      <c r="E155" s="31"/>
      <c r="F155" s="82"/>
      <c r="G155" s="82"/>
      <c r="H155" s="20"/>
      <c r="I155" s="22"/>
    </row>
    <row r="156" spans="4:9" x14ac:dyDescent="0.25">
      <c r="D156" s="31"/>
      <c r="E156" s="31"/>
      <c r="F156" s="82"/>
      <c r="G156" s="82"/>
      <c r="H156" s="20"/>
      <c r="I156" s="22"/>
    </row>
    <row r="157" spans="4:9" x14ac:dyDescent="0.25">
      <c r="D157" s="31"/>
      <c r="E157" s="31"/>
      <c r="F157" s="82"/>
      <c r="G157" s="82"/>
      <c r="H157" s="20"/>
      <c r="I157" s="22"/>
    </row>
    <row r="158" spans="4:9" x14ac:dyDescent="0.25">
      <c r="D158" s="31"/>
      <c r="E158" s="31"/>
      <c r="F158" s="82"/>
      <c r="G158" s="82"/>
      <c r="H158" s="20"/>
      <c r="I158" s="22"/>
    </row>
    <row r="159" spans="4:9" x14ac:dyDescent="0.25">
      <c r="D159" s="31"/>
      <c r="E159" s="31"/>
      <c r="F159" s="82"/>
      <c r="G159" s="82"/>
      <c r="H159" s="20"/>
      <c r="I159" s="22"/>
    </row>
    <row r="160" spans="4:9" x14ac:dyDescent="0.25">
      <c r="D160" s="31"/>
      <c r="E160" s="31"/>
      <c r="F160" s="82"/>
      <c r="G160" s="82"/>
      <c r="H160" s="20"/>
      <c r="I160" s="22"/>
    </row>
    <row r="161" spans="4:9" x14ac:dyDescent="0.25">
      <c r="D161" s="31"/>
      <c r="E161" s="31"/>
      <c r="F161" s="82"/>
      <c r="G161" s="82"/>
      <c r="H161" s="20"/>
      <c r="I161" s="22"/>
    </row>
    <row r="162" spans="4:9" x14ac:dyDescent="0.25">
      <c r="D162" s="31"/>
      <c r="E162" s="31"/>
      <c r="F162" s="82"/>
      <c r="G162" s="82"/>
      <c r="H162" s="20"/>
      <c r="I162" s="22"/>
    </row>
    <row r="163" spans="4:9" x14ac:dyDescent="0.25">
      <c r="D163" s="31"/>
      <c r="E163" s="31"/>
      <c r="F163" s="82"/>
      <c r="G163" s="82"/>
      <c r="H163" s="20"/>
      <c r="I163" s="22"/>
    </row>
    <row r="164" spans="4:9" x14ac:dyDescent="0.25">
      <c r="D164" s="31"/>
      <c r="E164" s="31"/>
      <c r="F164" s="82"/>
      <c r="G164" s="82"/>
      <c r="H164" s="20"/>
      <c r="I164" s="22"/>
    </row>
    <row r="165" spans="4:9" x14ac:dyDescent="0.25">
      <c r="D165" s="31"/>
      <c r="E165" s="31"/>
      <c r="F165" s="82"/>
      <c r="G165" s="82"/>
      <c r="H165" s="20"/>
      <c r="I165" s="22"/>
    </row>
    <row r="166" spans="4:9" x14ac:dyDescent="0.25">
      <c r="D166" s="31"/>
      <c r="E166" s="31"/>
      <c r="F166" s="82"/>
      <c r="G166" s="82"/>
      <c r="H166" s="20"/>
      <c r="I166" s="22"/>
    </row>
    <row r="167" spans="4:9" x14ac:dyDescent="0.25">
      <c r="D167" s="31"/>
      <c r="E167" s="31"/>
      <c r="F167" s="82"/>
      <c r="G167" s="82"/>
      <c r="H167" s="20"/>
      <c r="I167" s="22"/>
    </row>
    <row r="168" spans="4:9" x14ac:dyDescent="0.25">
      <c r="D168" s="31"/>
      <c r="E168" s="31"/>
      <c r="F168" s="82"/>
      <c r="G168" s="82"/>
      <c r="H168" s="20"/>
      <c r="I168" s="22"/>
    </row>
    <row r="169" spans="4:9" x14ac:dyDescent="0.25">
      <c r="D169" s="31"/>
      <c r="E169" s="31"/>
      <c r="F169" s="82"/>
      <c r="G169" s="82"/>
      <c r="H169" s="20"/>
      <c r="I169" s="22"/>
    </row>
    <row r="170" spans="4:9" x14ac:dyDescent="0.25">
      <c r="D170" s="31"/>
      <c r="E170" s="31"/>
      <c r="F170" s="82"/>
      <c r="G170" s="82"/>
      <c r="H170" s="20"/>
      <c r="I170" s="22"/>
    </row>
    <row r="171" spans="4:9" x14ac:dyDescent="0.25">
      <c r="D171" s="31"/>
      <c r="E171" s="31"/>
      <c r="F171" s="82"/>
      <c r="G171" s="82"/>
      <c r="H171" s="20"/>
      <c r="I171" s="22"/>
    </row>
    <row r="172" spans="4:9" x14ac:dyDescent="0.25">
      <c r="D172" s="31"/>
      <c r="E172" s="31"/>
      <c r="F172" s="82"/>
      <c r="G172" s="82"/>
      <c r="H172" s="20"/>
      <c r="I172" s="22"/>
    </row>
    <row r="173" spans="4:9" x14ac:dyDescent="0.25">
      <c r="D173" s="31"/>
      <c r="E173" s="31"/>
      <c r="F173" s="82"/>
      <c r="G173" s="82"/>
      <c r="H173" s="20"/>
      <c r="I173" s="22"/>
    </row>
    <row r="174" spans="4:9" x14ac:dyDescent="0.25">
      <c r="D174" s="31"/>
      <c r="E174" s="31"/>
      <c r="F174" s="82"/>
      <c r="G174" s="82"/>
      <c r="H174" s="20"/>
      <c r="I174" s="22"/>
    </row>
    <row r="175" spans="4:9" x14ac:dyDescent="0.25">
      <c r="D175" s="31"/>
      <c r="E175" s="31"/>
      <c r="F175" s="82"/>
      <c r="G175" s="82"/>
      <c r="H175" s="20"/>
      <c r="I175" s="22"/>
    </row>
    <row r="176" spans="4:9" x14ac:dyDescent="0.25">
      <c r="D176" s="31"/>
      <c r="E176" s="31"/>
      <c r="F176" s="82"/>
      <c r="G176" s="82"/>
      <c r="H176" s="20"/>
      <c r="I176" s="22"/>
    </row>
    <row r="177" spans="4:9" x14ac:dyDescent="0.25">
      <c r="D177" s="31"/>
      <c r="E177" s="31"/>
      <c r="F177" s="82"/>
      <c r="G177" s="82"/>
      <c r="H177" s="20"/>
      <c r="I177" s="22"/>
    </row>
    <row r="178" spans="4:9" x14ac:dyDescent="0.25">
      <c r="D178" s="31"/>
      <c r="E178" s="31"/>
      <c r="F178" s="82"/>
      <c r="G178" s="82"/>
      <c r="H178" s="20"/>
      <c r="I178" s="22"/>
    </row>
    <row r="179" spans="4:9" x14ac:dyDescent="0.25">
      <c r="D179" s="31"/>
      <c r="E179" s="31"/>
      <c r="F179" s="82"/>
      <c r="G179" s="82"/>
      <c r="H179" s="20"/>
      <c r="I179" s="22"/>
    </row>
    <row r="180" spans="4:9" x14ac:dyDescent="0.25">
      <c r="D180" s="31"/>
      <c r="E180" s="31"/>
      <c r="F180" s="82"/>
      <c r="G180" s="82"/>
      <c r="H180" s="20"/>
      <c r="I180" s="22"/>
    </row>
    <row r="181" spans="4:9" x14ac:dyDescent="0.25">
      <c r="D181" s="31"/>
      <c r="E181" s="31"/>
      <c r="F181" s="82"/>
      <c r="G181" s="82"/>
      <c r="H181" s="20"/>
      <c r="I181" s="22"/>
    </row>
    <row r="182" spans="4:9" x14ac:dyDescent="0.25">
      <c r="D182" s="31"/>
      <c r="E182" s="31"/>
      <c r="F182" s="82"/>
      <c r="G182" s="82"/>
      <c r="H182" s="20"/>
      <c r="I182" s="22"/>
    </row>
    <row r="183" spans="4:9" x14ac:dyDescent="0.25">
      <c r="D183" s="31"/>
      <c r="E183" s="31"/>
      <c r="F183" s="82"/>
      <c r="G183" s="82"/>
      <c r="H183" s="20"/>
      <c r="I183" s="22"/>
    </row>
    <row r="184" spans="4:9" x14ac:dyDescent="0.25">
      <c r="D184" s="31"/>
      <c r="E184" s="31"/>
      <c r="F184" s="82"/>
      <c r="G184" s="82"/>
      <c r="H184" s="20"/>
      <c r="I184" s="22"/>
    </row>
    <row r="185" spans="4:9" x14ac:dyDescent="0.25">
      <c r="D185" s="31"/>
      <c r="E185" s="31"/>
      <c r="F185" s="82"/>
      <c r="G185" s="82"/>
      <c r="H185" s="20"/>
      <c r="I185" s="22"/>
    </row>
    <row r="186" spans="4:9" x14ac:dyDescent="0.25">
      <c r="D186" s="31"/>
      <c r="E186" s="31"/>
      <c r="F186" s="82"/>
      <c r="G186" s="82"/>
      <c r="H186" s="20"/>
      <c r="I186" s="22"/>
    </row>
    <row r="187" spans="4:9" x14ac:dyDescent="0.25">
      <c r="D187" s="31"/>
      <c r="E187" s="31"/>
      <c r="F187" s="82"/>
      <c r="G187" s="82"/>
      <c r="H187" s="20"/>
      <c r="I187" s="22"/>
    </row>
    <row r="188" spans="4:9" x14ac:dyDescent="0.25">
      <c r="D188" s="31"/>
      <c r="E188" s="31"/>
      <c r="F188" s="82"/>
      <c r="G188" s="82"/>
      <c r="H188" s="20"/>
      <c r="I188" s="22"/>
    </row>
    <row r="189" spans="4:9" x14ac:dyDescent="0.25">
      <c r="D189" s="31"/>
      <c r="E189" s="31"/>
      <c r="F189" s="82"/>
      <c r="G189" s="82"/>
      <c r="H189" s="20"/>
      <c r="I189" s="22"/>
    </row>
    <row r="190" spans="4:9" x14ac:dyDescent="0.25">
      <c r="D190" s="31"/>
      <c r="E190" s="31"/>
      <c r="F190" s="82"/>
      <c r="G190" s="82"/>
      <c r="H190" s="20"/>
      <c r="I190" s="22"/>
    </row>
    <row r="191" spans="4:9" x14ac:dyDescent="0.25">
      <c r="I191" s="22"/>
    </row>
  </sheetData>
  <mergeCells count="2">
    <mergeCell ref="J1:M1"/>
    <mergeCell ref="A1:H1"/>
  </mergeCells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Devedores</vt:lpstr>
      <vt:lpstr>Relatorio</vt:lpstr>
      <vt:lpstr>Dados</vt:lpstr>
      <vt:lpstr>Vendas</vt:lpstr>
      <vt:lpstr>Rifas</vt:lpstr>
      <vt:lpstr>V. S. N.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 cunha</cp:lastModifiedBy>
  <dcterms:created xsi:type="dcterms:W3CDTF">2021-01-28T11:21:43Z</dcterms:created>
  <dcterms:modified xsi:type="dcterms:W3CDTF">2026-07-13T00:00:24Z</dcterms:modified>
</cp:coreProperties>
</file>